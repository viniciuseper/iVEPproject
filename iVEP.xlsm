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5.xml" ContentType="application/vnd.ms-excel.person+xml"/>
  <Override PartName="/xl/persons/person7.xml" ContentType="application/vnd.ms-excel.person+xml"/>
  <Override PartName="/xl/persons/person29.xml" ContentType="application/vnd.ms-excel.person+xml"/>
  <Override PartName="/xl/persons/person34.xml" ContentType="application/vnd.ms-excel.person+xml"/>
  <Override PartName="/xl/persons/person52.xml" ContentType="application/vnd.ms-excel.person+xml"/>
  <Override PartName="/xl/persons/person57.xml" ContentType="application/vnd.ms-excel.person+xml"/>
  <Override PartName="/xl/persons/person4.xml" ContentType="application/vnd.ms-excel.person+xml"/>
  <Override PartName="/xl/persons/person0.xml" ContentType="application/vnd.ms-excel.person+xml"/>
  <Override PartName="/xl/persons/person20.xml" ContentType="application/vnd.ms-excel.person+xml"/>
  <Override PartName="/xl/persons/person24.xml" ContentType="application/vnd.ms-excel.person+xml"/>
  <Override PartName="/xl/persons/person40.xml" ContentType="application/vnd.ms-excel.person+xml"/>
  <Override PartName="/xl/persons/person47.xml" ContentType="application/vnd.ms-excel.person+xml"/>
  <Override PartName="/xl/persons/person58.xml" ContentType="application/vnd.ms-excel.person+xml"/>
  <Override PartName="/xl/persons/person63.xml" ContentType="application/vnd.ms-excel.person+xml"/>
  <Override PartName="/xl/persons/person45.xml" ContentType="application/vnd.ms-excel.person+xml"/>
  <Override PartName="/xl/persons/person36.xml" ContentType="application/vnd.ms-excel.person+xml"/>
  <Override PartName="/xl/persons/person10.xml" ContentType="application/vnd.ms-excel.person+xml"/>
  <Override PartName="/xl/persons/person19.xml" ContentType="application/vnd.ms-excel.person+xml"/>
  <Override PartName="/xl/persons/person48.xml" ContentType="application/vnd.ms-excel.person+xml"/>
  <Override PartName="/xl/persons/person53.xml" ContentType="application/vnd.ms-excel.person+xml"/>
  <Override PartName="/xl/persons/person35.xml" ContentType="application/vnd.ms-excel.person+xml"/>
  <Override PartName="/xl/persons/person28.xml" ContentType="application/vnd.ms-excel.person+xml"/>
  <Override PartName="/xl/persons/person18.xml" ContentType="application/vnd.ms-excel.person+xml"/>
  <Override PartName="/xl/persons/person12.xml" ContentType="application/vnd.ms-excel.person+xml"/>
  <Override PartName="/xl/persons/person3.xml" ContentType="application/vnd.ms-excel.person+xml"/>
  <Override PartName="/xl/persons/person44.xml" ContentType="application/vnd.ms-excel.person+xml"/>
  <Override PartName="/xl/persons/person39.xml" ContentType="application/vnd.ms-excel.person+xml"/>
  <Override PartName="/xl/persons/person30.xml" ContentType="application/vnd.ms-excel.person+xml"/>
  <Override PartName="/xl/persons/person22.xml" ContentType="application/vnd.ms-excel.person+xml"/>
  <Override PartName="/xl/persons/person14.xml" ContentType="application/vnd.ms-excel.person+xml"/>
  <Override PartName="/xl/persons/person51.xml" ContentType="application/vnd.ms-excel.person+xml"/>
  <Override PartName="/xl/persons/person55.xml" ContentType="application/vnd.ms-excel.person+xml"/>
  <Override PartName="/xl/persons/person59.xml" ContentType="application/vnd.ms-excel.person+xml"/>
  <Override PartName="/xl/persons/person64.xml" ContentType="application/vnd.ms-excel.person+xml"/>
  <Override PartName="/xl/persons/person25.xml" ContentType="application/vnd.ms-excel.person+xml"/>
  <Override PartName="/xl/persons/person6.xml" ContentType="application/vnd.ms-excel.person+xml"/>
  <Override PartName="/xl/persons/person13.xml" ContentType="application/vnd.ms-excel.person+xml"/>
  <Override PartName="/xl/persons/person38.xml" ContentType="application/vnd.ms-excel.person+xml"/>
  <Override PartName="/xl/persons/person33.xml" ContentType="application/vnd.ms-excel.person+xml"/>
  <Override PartName="/xl/persons/person27.xml" ContentType="application/vnd.ms-excel.person+xml"/>
  <Override PartName="/xl/persons/person8.xml" ContentType="application/vnd.ms-excel.person+xml"/>
  <Override PartName="/xl/persons/person5.xml" ContentType="application/vnd.ms-excel.person+xml"/>
  <Override PartName="/xl/persons/person46.xml" ContentType="application/vnd.ms-excel.person+xml"/>
  <Override PartName="/xl/persons/person49.xml" ContentType="application/vnd.ms-excel.person+xml"/>
  <Override PartName="/xl/persons/person54.xml" ContentType="application/vnd.ms-excel.person+xml"/>
  <Override PartName="/xl/persons/person62.xml" ContentType="application/vnd.ms-excel.person+xml"/>
  <Override PartName="/xl/persons/person66.xml" ContentType="application/vnd.ms-excel.person+xml"/>
  <Override PartName="/xl/persons/person16.xml" ContentType="application/vnd.ms-excel.person+xml"/>
  <Override PartName="/xl/persons/person43.xml" ContentType="application/vnd.ms-excel.person+xml"/>
  <Override PartName="/xl/persons/person11.xml" ContentType="application/vnd.ms-excel.person+xml"/>
  <Override PartName="/xl/persons/person2.xml" ContentType="application/vnd.ms-excel.person+xml"/>
  <Override PartName="/xl/persons/person21.xml" ContentType="application/vnd.ms-excel.person+xml"/>
  <Override PartName="/xl/persons/person65.xml" ContentType="application/vnd.ms-excel.person+xml"/>
  <Override PartName="/xl/persons/person37.xml" ContentType="application/vnd.ms-excel.person+xml"/>
  <Override PartName="/xl/persons/person60.xml" ContentType="application/vnd.ms-excel.person+xml"/>
  <Override PartName="/xl/persons/person68.xml" ContentType="application/vnd.ms-excel.person+xml"/>
  <Override PartName="/xl/persons/person56.xml" ContentType="application/vnd.ms-excel.person+xml"/>
  <Override PartName="/xl/persons/person1.xml" ContentType="application/vnd.ms-excel.person+xml"/>
  <Override PartName="/xl/persons/person17.xml" ContentType="application/vnd.ms-excel.person+xml"/>
  <Override PartName="/xl/persons/person32.xml" ContentType="application/vnd.ms-excel.person+xml"/>
  <Override PartName="/xl/persons/person26.xml" ContentType="application/vnd.ms-excel.person+xml"/>
  <Override PartName="/xl/persons/person50.xml" ContentType="application/vnd.ms-excel.person+xml"/>
  <Override PartName="/xl/persons/person31.xml" ContentType="application/vnd.ms-excel.person+xml"/>
  <Override PartName="/xl/persons/person9.xml" ContentType="application/vnd.ms-excel.person+xml"/>
  <Override PartName="/xl/persons/person42.xml" ContentType="application/vnd.ms-excel.person+xml"/>
  <Override PartName="/xl/persons/person67.xml" ContentType="application/vnd.ms-excel.person+xml"/>
  <Override PartName="/xl/persons/person41.xml" ContentType="application/vnd.ms-excel.person+xml"/>
  <Override PartName="/xl/persons/person23.xml" ContentType="application/vnd.ms-excel.person+xml"/>
  <Override PartName="/xl/persons/person6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f7e6048659c5de8/Área de Trabalho/iVEP/"/>
    </mc:Choice>
  </mc:AlternateContent>
  <xr:revisionPtr revIDLastSave="170" documentId="8_{0E1FF200-207F-4FD3-8F85-9202D069C287}" xr6:coauthVersionLast="47" xr6:coauthVersionMax="47" xr10:uidLastSave="{AF3B5111-4DDA-4FA6-930C-871B6BBC4015}"/>
  <bookViews>
    <workbookView showHorizontalScroll="0" showVerticalScroll="0" showSheetTabs="0" xWindow="-108" yWindow="-108" windowWidth="23256" windowHeight="12456" tabRatio="734" xr2:uid="{87FE4EA7-D7BA-4B72-AAA0-3F53335FC430}"/>
  </bookViews>
  <sheets>
    <sheet name="Iniciar" sheetId="31" r:id="rId1"/>
    <sheet name="CadProd" sheetId="1" r:id="rId2"/>
    <sheet name="TempCadProd" sheetId="20" r:id="rId3"/>
    <sheet name="CadProdInfo" sheetId="30" r:id="rId4"/>
    <sheet name="Custos" sheetId="23" r:id="rId5"/>
    <sheet name="TempCustos" sheetId="24" r:id="rId6"/>
    <sheet name="CustosInfo" sheetId="25" r:id="rId7"/>
    <sheet name="Estoque" sheetId="18" r:id="rId8"/>
    <sheet name="TempEstoque" sheetId="19" r:id="rId9"/>
    <sheet name="EstoqueInfo" sheetId="21" r:id="rId10"/>
    <sheet name="Entrada" sheetId="2" r:id="rId11"/>
    <sheet name="TempEntrada" sheetId="3" r:id="rId12"/>
    <sheet name="MovEntrada" sheetId="13" r:id="rId13"/>
    <sheet name="TempMovEntrada" sheetId="5" r:id="rId14"/>
    <sheet name="Saida" sheetId="10" r:id="rId15"/>
    <sheet name="TempSaida" sheetId="11" r:id="rId16"/>
    <sheet name="MovSaida" sheetId="15" r:id="rId17"/>
    <sheet name="TempMovSaida" sheetId="16" r:id="rId18"/>
    <sheet name="CalcDesc" sheetId="17" r:id="rId19"/>
    <sheet name="Lucro" sheetId="26" r:id="rId20"/>
    <sheet name="TempLucro" sheetId="28" r:id="rId21"/>
    <sheet name="BD_INFO" sheetId="6" r:id="rId22"/>
    <sheet name="BD_MARCA" sheetId="7" r:id="rId23"/>
    <sheet name="BD_CUSTO" sheetId="22" r:id="rId24"/>
    <sheet name="BD_CUSTO_Info" sheetId="29" r:id="rId25"/>
  </sheets>
  <definedNames>
    <definedName name="_xlnm._FilterDatabase" localSheetId="1" hidden="1">CadProd!$A$1:$F$10</definedName>
    <definedName name="_xlnm._FilterDatabase" localSheetId="3" hidden="1">CadProdInfo!$A$1:$B$12</definedName>
    <definedName name="_xlnm._FilterDatabase" localSheetId="7" hidden="1">Estoque!$A$1:$H$16</definedName>
    <definedName name="_xlnm._FilterDatabase" localSheetId="19" hidden="1">Lucro!$A$1:$T$6</definedName>
    <definedName name="_xlnm._FilterDatabase" localSheetId="12" hidden="1">MovEntrada!$A$1:$P$5001</definedName>
    <definedName name="_xlnm._FilterDatabase" localSheetId="16" hidden="1">MovSaida!$A$1:$P$2976</definedName>
    <definedName name="_xlnm._FilterDatabase" localSheetId="13" hidden="1">TempMovEntrada!$A$1:$I$5001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" i="5" l="1"/>
  <c r="M1" i="5"/>
  <c r="G2976" i="16"/>
  <c r="D2976" i="16"/>
  <c r="C2976" i="16"/>
  <c r="G2975" i="16"/>
  <c r="D2975" i="16"/>
  <c r="C2975" i="16"/>
  <c r="G2974" i="16"/>
  <c r="D2974" i="16"/>
  <c r="C2974" i="16"/>
  <c r="G2973" i="16"/>
  <c r="D2973" i="16"/>
  <c r="C2973" i="16"/>
  <c r="G2972" i="16"/>
  <c r="D2972" i="16"/>
  <c r="C2972" i="16"/>
  <c r="G2971" i="16"/>
  <c r="D2971" i="16"/>
  <c r="C2971" i="16"/>
  <c r="G2970" i="16"/>
  <c r="D2970" i="16"/>
  <c r="C2970" i="16"/>
  <c r="G2969" i="16"/>
  <c r="D2969" i="16"/>
  <c r="C2969" i="16"/>
  <c r="G2968" i="16"/>
  <c r="D2968" i="16"/>
  <c r="C2968" i="16"/>
  <c r="G2967" i="16"/>
  <c r="D2967" i="16"/>
  <c r="C2967" i="16"/>
  <c r="G2966" i="16"/>
  <c r="D2966" i="16"/>
  <c r="C2966" i="16"/>
  <c r="G2965" i="16"/>
  <c r="D2965" i="16"/>
  <c r="C2965" i="16"/>
  <c r="G2964" i="16"/>
  <c r="D2964" i="16"/>
  <c r="C2964" i="16"/>
  <c r="G2963" i="16"/>
  <c r="D2963" i="16"/>
  <c r="C2963" i="16"/>
  <c r="G2962" i="16"/>
  <c r="D2962" i="16"/>
  <c r="C2962" i="16"/>
  <c r="G2961" i="16"/>
  <c r="D2961" i="16"/>
  <c r="C2961" i="16"/>
  <c r="G2960" i="16"/>
  <c r="D2960" i="16"/>
  <c r="C2960" i="16"/>
  <c r="G2959" i="16"/>
  <c r="D2959" i="16"/>
  <c r="C2959" i="16"/>
  <c r="G2958" i="16"/>
  <c r="D2958" i="16"/>
  <c r="C2958" i="16"/>
  <c r="G2957" i="16"/>
  <c r="D2957" i="16"/>
  <c r="C2957" i="16"/>
  <c r="G2956" i="16"/>
  <c r="D2956" i="16"/>
  <c r="C2956" i="16"/>
  <c r="G2955" i="16"/>
  <c r="D2955" i="16"/>
  <c r="C2955" i="16"/>
  <c r="G2954" i="16"/>
  <c r="D2954" i="16"/>
  <c r="C2954" i="16"/>
  <c r="G2953" i="16"/>
  <c r="D2953" i="16"/>
  <c r="C2953" i="16"/>
  <c r="G2952" i="16"/>
  <c r="D2952" i="16"/>
  <c r="C2952" i="16"/>
  <c r="G2951" i="16"/>
  <c r="D2951" i="16"/>
  <c r="C2951" i="16"/>
  <c r="G2950" i="16"/>
  <c r="D2950" i="16"/>
  <c r="C2950" i="16"/>
  <c r="G2949" i="16"/>
  <c r="D2949" i="16"/>
  <c r="C2949" i="16"/>
  <c r="G2948" i="16"/>
  <c r="D2948" i="16"/>
  <c r="C2948" i="16"/>
  <c r="G2947" i="16"/>
  <c r="D2947" i="16"/>
  <c r="C2947" i="16"/>
  <c r="G2946" i="16"/>
  <c r="D2946" i="16"/>
  <c r="C2946" i="16"/>
  <c r="G2945" i="16"/>
  <c r="D2945" i="16"/>
  <c r="C2945" i="16"/>
  <c r="G2944" i="16"/>
  <c r="D2944" i="16"/>
  <c r="C2944" i="16"/>
  <c r="G2943" i="16"/>
  <c r="D2943" i="16"/>
  <c r="C2943" i="16"/>
  <c r="G2942" i="16"/>
  <c r="D2942" i="16"/>
  <c r="C2942" i="16"/>
  <c r="G2941" i="16"/>
  <c r="D2941" i="16"/>
  <c r="C2941" i="16"/>
  <c r="G2940" i="16"/>
  <c r="D2940" i="16"/>
  <c r="C2940" i="16"/>
  <c r="G2939" i="16"/>
  <c r="D2939" i="16"/>
  <c r="C2939" i="16"/>
  <c r="G2938" i="16"/>
  <c r="D2938" i="16"/>
  <c r="C2938" i="16"/>
  <c r="G2937" i="16"/>
  <c r="D2937" i="16"/>
  <c r="C2937" i="16"/>
  <c r="G2936" i="16"/>
  <c r="D2936" i="16"/>
  <c r="C2936" i="16"/>
  <c r="G2935" i="16"/>
  <c r="D2935" i="16"/>
  <c r="C2935" i="16"/>
  <c r="G2934" i="16"/>
  <c r="D2934" i="16"/>
  <c r="C2934" i="16"/>
  <c r="G2933" i="16"/>
  <c r="D2933" i="16"/>
  <c r="C2933" i="16"/>
  <c r="G2932" i="16"/>
  <c r="D2932" i="16"/>
  <c r="C2932" i="16"/>
  <c r="G2931" i="16"/>
  <c r="D2931" i="16"/>
  <c r="C2931" i="16"/>
  <c r="G2930" i="16"/>
  <c r="D2930" i="16"/>
  <c r="C2930" i="16"/>
  <c r="G2929" i="16"/>
  <c r="D2929" i="16"/>
  <c r="C2929" i="16"/>
  <c r="G2928" i="16"/>
  <c r="D2928" i="16"/>
  <c r="C2928" i="16"/>
  <c r="G2927" i="16"/>
  <c r="D2927" i="16"/>
  <c r="C2927" i="16"/>
  <c r="G2926" i="16"/>
  <c r="D2926" i="16"/>
  <c r="C2926" i="16"/>
  <c r="G2925" i="16"/>
  <c r="D2925" i="16"/>
  <c r="C2925" i="16"/>
  <c r="G2924" i="16"/>
  <c r="D2924" i="16"/>
  <c r="C2924" i="16"/>
  <c r="G2923" i="16"/>
  <c r="D2923" i="16"/>
  <c r="C2923" i="16"/>
  <c r="G2922" i="16"/>
  <c r="D2922" i="16"/>
  <c r="C2922" i="16"/>
  <c r="G2921" i="16"/>
  <c r="D2921" i="16"/>
  <c r="C2921" i="16"/>
  <c r="G2920" i="16"/>
  <c r="D2920" i="16"/>
  <c r="C2920" i="16"/>
  <c r="G2919" i="16"/>
  <c r="D2919" i="16"/>
  <c r="C2919" i="16"/>
  <c r="G2918" i="16"/>
  <c r="D2918" i="16"/>
  <c r="C2918" i="16"/>
  <c r="G2917" i="16"/>
  <c r="D2917" i="16"/>
  <c r="C2917" i="16"/>
  <c r="G2916" i="16"/>
  <c r="D2916" i="16"/>
  <c r="C2916" i="16"/>
  <c r="G2915" i="16"/>
  <c r="D2915" i="16"/>
  <c r="C2915" i="16"/>
  <c r="G2914" i="16"/>
  <c r="D2914" i="16"/>
  <c r="C2914" i="16"/>
  <c r="G2913" i="16"/>
  <c r="D2913" i="16"/>
  <c r="C2913" i="16"/>
  <c r="G2912" i="16"/>
  <c r="D2912" i="16"/>
  <c r="C2912" i="16"/>
  <c r="G2911" i="16"/>
  <c r="D2911" i="16"/>
  <c r="C2911" i="16"/>
  <c r="G2910" i="16"/>
  <c r="D2910" i="16"/>
  <c r="C2910" i="16"/>
  <c r="G2909" i="16"/>
  <c r="D2909" i="16"/>
  <c r="C2909" i="16"/>
  <c r="G2908" i="16"/>
  <c r="D2908" i="16"/>
  <c r="C2908" i="16"/>
  <c r="G2907" i="16"/>
  <c r="D2907" i="16"/>
  <c r="C2907" i="16"/>
  <c r="G2906" i="16"/>
  <c r="D2906" i="16"/>
  <c r="C2906" i="16"/>
  <c r="G2905" i="16"/>
  <c r="D2905" i="16"/>
  <c r="C2905" i="16"/>
  <c r="G2904" i="16"/>
  <c r="D2904" i="16"/>
  <c r="C2904" i="16"/>
  <c r="G2903" i="16"/>
  <c r="D2903" i="16"/>
  <c r="C2903" i="16"/>
  <c r="G2902" i="16"/>
  <c r="D2902" i="16"/>
  <c r="C2902" i="16"/>
  <c r="G2901" i="16"/>
  <c r="D2901" i="16"/>
  <c r="C2901" i="16"/>
  <c r="G2900" i="16"/>
  <c r="D2900" i="16"/>
  <c r="C2900" i="16"/>
  <c r="G2899" i="16"/>
  <c r="D2899" i="16"/>
  <c r="C2899" i="16"/>
  <c r="G2898" i="16"/>
  <c r="D2898" i="16"/>
  <c r="C2898" i="16"/>
  <c r="G2897" i="16"/>
  <c r="D2897" i="16"/>
  <c r="C2897" i="16"/>
  <c r="G2896" i="16"/>
  <c r="D2896" i="16"/>
  <c r="C2896" i="16"/>
  <c r="G2895" i="16"/>
  <c r="D2895" i="16"/>
  <c r="C2895" i="16"/>
  <c r="G2894" i="16"/>
  <c r="D2894" i="16"/>
  <c r="C2894" i="16"/>
  <c r="G2893" i="16"/>
  <c r="D2893" i="16"/>
  <c r="C2893" i="16"/>
  <c r="G2892" i="16"/>
  <c r="D2892" i="16"/>
  <c r="C2892" i="16"/>
  <c r="G2891" i="16"/>
  <c r="D2891" i="16"/>
  <c r="C2891" i="16"/>
  <c r="G2890" i="16"/>
  <c r="D2890" i="16"/>
  <c r="C2890" i="16"/>
  <c r="G2889" i="16"/>
  <c r="D2889" i="16"/>
  <c r="C2889" i="16"/>
  <c r="G2888" i="16"/>
  <c r="D2888" i="16"/>
  <c r="C2888" i="16"/>
  <c r="G2887" i="16"/>
  <c r="D2887" i="16"/>
  <c r="C2887" i="16"/>
  <c r="G2886" i="16"/>
  <c r="D2886" i="16"/>
  <c r="C2886" i="16"/>
  <c r="G2885" i="16"/>
  <c r="D2885" i="16"/>
  <c r="C2885" i="16"/>
  <c r="G2884" i="16"/>
  <c r="D2884" i="16"/>
  <c r="C2884" i="16"/>
  <c r="G2883" i="16"/>
  <c r="D2883" i="16"/>
  <c r="C2883" i="16"/>
  <c r="G2882" i="16"/>
  <c r="D2882" i="16"/>
  <c r="C2882" i="16"/>
  <c r="G2881" i="16"/>
  <c r="D2881" i="16"/>
  <c r="C2881" i="16"/>
  <c r="G2880" i="16"/>
  <c r="D2880" i="16"/>
  <c r="C2880" i="16"/>
  <c r="G2879" i="16"/>
  <c r="D2879" i="16"/>
  <c r="C2879" i="16"/>
  <c r="G2878" i="16"/>
  <c r="D2878" i="16"/>
  <c r="C2878" i="16"/>
  <c r="G2877" i="16"/>
  <c r="D2877" i="16"/>
  <c r="C2877" i="16"/>
  <c r="G2876" i="16"/>
  <c r="D2876" i="16"/>
  <c r="C2876" i="16"/>
  <c r="G2875" i="16"/>
  <c r="D2875" i="16"/>
  <c r="C2875" i="16"/>
  <c r="G2874" i="16"/>
  <c r="D2874" i="16"/>
  <c r="C2874" i="16"/>
  <c r="G2873" i="16"/>
  <c r="D2873" i="16"/>
  <c r="C2873" i="16"/>
  <c r="G2872" i="16"/>
  <c r="D2872" i="16"/>
  <c r="C2872" i="16"/>
  <c r="G2871" i="16"/>
  <c r="D2871" i="16"/>
  <c r="C2871" i="16"/>
  <c r="G2870" i="16"/>
  <c r="D2870" i="16"/>
  <c r="C2870" i="16"/>
  <c r="G2869" i="16"/>
  <c r="D2869" i="16"/>
  <c r="C2869" i="16"/>
  <c r="G2868" i="16"/>
  <c r="D2868" i="16"/>
  <c r="C2868" i="16"/>
  <c r="G2867" i="16"/>
  <c r="D2867" i="16"/>
  <c r="C2867" i="16"/>
  <c r="G2866" i="16"/>
  <c r="D2866" i="16"/>
  <c r="C2866" i="16"/>
  <c r="G2865" i="16"/>
  <c r="D2865" i="16"/>
  <c r="C2865" i="16"/>
  <c r="G2864" i="16"/>
  <c r="D2864" i="16"/>
  <c r="C2864" i="16"/>
  <c r="G2863" i="16"/>
  <c r="D2863" i="16"/>
  <c r="C2863" i="16"/>
  <c r="G2862" i="16"/>
  <c r="D2862" i="16"/>
  <c r="C2862" i="16"/>
  <c r="G2861" i="16"/>
  <c r="D2861" i="16"/>
  <c r="C2861" i="16"/>
  <c r="G2860" i="16"/>
  <c r="D2860" i="16"/>
  <c r="C2860" i="16"/>
  <c r="G2859" i="16"/>
  <c r="D2859" i="16"/>
  <c r="C2859" i="16"/>
  <c r="G2858" i="16"/>
  <c r="D2858" i="16"/>
  <c r="C2858" i="16"/>
  <c r="G2857" i="16"/>
  <c r="D2857" i="16"/>
  <c r="C2857" i="16"/>
  <c r="G2856" i="16"/>
  <c r="D2856" i="16"/>
  <c r="C2856" i="16"/>
  <c r="G2855" i="16"/>
  <c r="D2855" i="16"/>
  <c r="C2855" i="16"/>
  <c r="G2854" i="16"/>
  <c r="D2854" i="16"/>
  <c r="C2854" i="16"/>
  <c r="G2853" i="16"/>
  <c r="D2853" i="16"/>
  <c r="C2853" i="16"/>
  <c r="G2852" i="16"/>
  <c r="D2852" i="16"/>
  <c r="C2852" i="16"/>
  <c r="G2851" i="16"/>
  <c r="D2851" i="16"/>
  <c r="C2851" i="16"/>
  <c r="G2850" i="16"/>
  <c r="D2850" i="16"/>
  <c r="C2850" i="16"/>
  <c r="G2849" i="16"/>
  <c r="D2849" i="16"/>
  <c r="C2849" i="16"/>
  <c r="G2848" i="16"/>
  <c r="D2848" i="16"/>
  <c r="C2848" i="16"/>
  <c r="G2847" i="16"/>
  <c r="D2847" i="16"/>
  <c r="C2847" i="16"/>
  <c r="G2846" i="16"/>
  <c r="D2846" i="16"/>
  <c r="C2846" i="16"/>
  <c r="G2845" i="16"/>
  <c r="D2845" i="16"/>
  <c r="C2845" i="16"/>
  <c r="G2844" i="16"/>
  <c r="D2844" i="16"/>
  <c r="C2844" i="16"/>
  <c r="G2843" i="16"/>
  <c r="D2843" i="16"/>
  <c r="C2843" i="16"/>
  <c r="G2842" i="16"/>
  <c r="D2842" i="16"/>
  <c r="C2842" i="16"/>
  <c r="G2841" i="16"/>
  <c r="D2841" i="16"/>
  <c r="C2841" i="16"/>
  <c r="G2840" i="16"/>
  <c r="D2840" i="16"/>
  <c r="C2840" i="16"/>
  <c r="G2839" i="16"/>
  <c r="D2839" i="16"/>
  <c r="C2839" i="16"/>
  <c r="G2838" i="16"/>
  <c r="D2838" i="16"/>
  <c r="C2838" i="16"/>
  <c r="G2837" i="16"/>
  <c r="D2837" i="16"/>
  <c r="C2837" i="16"/>
  <c r="G2836" i="16"/>
  <c r="D2836" i="16"/>
  <c r="C2836" i="16"/>
  <c r="G2835" i="16"/>
  <c r="D2835" i="16"/>
  <c r="C2835" i="16"/>
  <c r="G2834" i="16"/>
  <c r="D2834" i="16"/>
  <c r="C2834" i="16"/>
  <c r="G2833" i="16"/>
  <c r="D2833" i="16"/>
  <c r="C2833" i="16"/>
  <c r="G2832" i="16"/>
  <c r="D2832" i="16"/>
  <c r="C2832" i="16"/>
  <c r="G2831" i="16"/>
  <c r="D2831" i="16"/>
  <c r="C2831" i="16"/>
  <c r="G2830" i="16"/>
  <c r="D2830" i="16"/>
  <c r="C2830" i="16"/>
  <c r="G2829" i="16"/>
  <c r="D2829" i="16"/>
  <c r="C2829" i="16"/>
  <c r="G2828" i="16"/>
  <c r="D2828" i="16"/>
  <c r="C2828" i="16"/>
  <c r="G2827" i="16"/>
  <c r="D2827" i="16"/>
  <c r="C2827" i="16"/>
  <c r="G2826" i="16"/>
  <c r="D2826" i="16"/>
  <c r="C2826" i="16"/>
  <c r="G2825" i="16"/>
  <c r="D2825" i="16"/>
  <c r="C2825" i="16"/>
  <c r="G2824" i="16"/>
  <c r="D2824" i="16"/>
  <c r="C2824" i="16"/>
  <c r="G2823" i="16"/>
  <c r="D2823" i="16"/>
  <c r="C2823" i="16"/>
  <c r="G2822" i="16"/>
  <c r="D2822" i="16"/>
  <c r="C2822" i="16"/>
  <c r="G2821" i="16"/>
  <c r="D2821" i="16"/>
  <c r="C2821" i="16"/>
  <c r="G2820" i="16"/>
  <c r="D2820" i="16"/>
  <c r="C2820" i="16"/>
  <c r="G2819" i="16"/>
  <c r="D2819" i="16"/>
  <c r="C2819" i="16"/>
  <c r="G2818" i="16"/>
  <c r="D2818" i="16"/>
  <c r="C2818" i="16"/>
  <c r="G2817" i="16"/>
  <c r="D2817" i="16"/>
  <c r="C2817" i="16"/>
  <c r="G2816" i="16"/>
  <c r="D2816" i="16"/>
  <c r="C2816" i="16"/>
  <c r="G2815" i="16"/>
  <c r="D2815" i="16"/>
  <c r="C2815" i="16"/>
  <c r="G2814" i="16"/>
  <c r="D2814" i="16"/>
  <c r="C2814" i="16"/>
  <c r="G2813" i="16"/>
  <c r="D2813" i="16"/>
  <c r="C2813" i="16"/>
  <c r="G2812" i="16"/>
  <c r="D2812" i="16"/>
  <c r="C2812" i="16"/>
  <c r="G2811" i="16"/>
  <c r="D2811" i="16"/>
  <c r="C2811" i="16"/>
  <c r="G2810" i="16"/>
  <c r="D2810" i="16"/>
  <c r="C2810" i="16"/>
  <c r="G2809" i="16"/>
  <c r="D2809" i="16"/>
  <c r="C2809" i="16"/>
  <c r="G2808" i="16"/>
  <c r="D2808" i="16"/>
  <c r="C2808" i="16"/>
  <c r="G2807" i="16"/>
  <c r="D2807" i="16"/>
  <c r="C2807" i="16"/>
  <c r="G2806" i="16"/>
  <c r="D2806" i="16"/>
  <c r="C2806" i="16"/>
  <c r="G2805" i="16"/>
  <c r="D2805" i="16"/>
  <c r="C2805" i="16"/>
  <c r="G2804" i="16"/>
  <c r="D2804" i="16"/>
  <c r="C2804" i="16"/>
  <c r="G2803" i="16"/>
  <c r="D2803" i="16"/>
  <c r="C2803" i="16"/>
  <c r="G2802" i="16"/>
  <c r="D2802" i="16"/>
  <c r="C2802" i="16"/>
  <c r="G2801" i="16"/>
  <c r="D2801" i="16"/>
  <c r="C2801" i="16"/>
  <c r="G2800" i="16"/>
  <c r="D2800" i="16"/>
  <c r="C2800" i="16"/>
  <c r="G2799" i="16"/>
  <c r="D2799" i="16"/>
  <c r="C2799" i="16"/>
  <c r="G2798" i="16"/>
  <c r="D2798" i="16"/>
  <c r="C2798" i="16"/>
  <c r="G2797" i="16"/>
  <c r="D2797" i="16"/>
  <c r="C2797" i="16"/>
  <c r="G2796" i="16"/>
  <c r="D2796" i="16"/>
  <c r="C2796" i="16"/>
  <c r="G2795" i="16"/>
  <c r="D2795" i="16"/>
  <c r="C2795" i="16"/>
  <c r="G2794" i="16"/>
  <c r="D2794" i="16"/>
  <c r="C2794" i="16"/>
  <c r="G2793" i="16"/>
  <c r="D2793" i="16"/>
  <c r="C2793" i="16"/>
  <c r="G2792" i="16"/>
  <c r="D2792" i="16"/>
  <c r="C2792" i="16"/>
  <c r="G2791" i="16"/>
  <c r="D2791" i="16"/>
  <c r="C2791" i="16"/>
  <c r="G2790" i="16"/>
  <c r="D2790" i="16"/>
  <c r="C2790" i="16"/>
  <c r="G2789" i="16"/>
  <c r="D2789" i="16"/>
  <c r="C2789" i="16"/>
  <c r="G2788" i="16"/>
  <c r="D2788" i="16"/>
  <c r="C2788" i="16"/>
  <c r="G2787" i="16"/>
  <c r="D2787" i="16"/>
  <c r="C2787" i="16"/>
  <c r="G2786" i="16"/>
  <c r="D2786" i="16"/>
  <c r="C2786" i="16"/>
  <c r="G2785" i="16"/>
  <c r="D2785" i="16"/>
  <c r="C2785" i="16"/>
  <c r="G2784" i="16"/>
  <c r="D2784" i="16"/>
  <c r="C2784" i="16"/>
  <c r="G2783" i="16"/>
  <c r="D2783" i="16"/>
  <c r="C2783" i="16"/>
  <c r="G2782" i="16"/>
  <c r="D2782" i="16"/>
  <c r="C2782" i="16"/>
  <c r="G2781" i="16"/>
  <c r="D2781" i="16"/>
  <c r="C2781" i="16"/>
  <c r="G2780" i="16"/>
  <c r="D2780" i="16"/>
  <c r="C2780" i="16"/>
  <c r="G2779" i="16"/>
  <c r="D2779" i="16"/>
  <c r="C2779" i="16"/>
  <c r="G2778" i="16"/>
  <c r="D2778" i="16"/>
  <c r="C2778" i="16"/>
  <c r="G2777" i="16"/>
  <c r="D2777" i="16"/>
  <c r="C2777" i="16"/>
  <c r="G2776" i="16"/>
  <c r="D2776" i="16"/>
  <c r="C2776" i="16"/>
  <c r="G2775" i="16"/>
  <c r="D2775" i="16"/>
  <c r="C2775" i="16"/>
  <c r="G2774" i="16"/>
  <c r="D2774" i="16"/>
  <c r="C2774" i="16"/>
  <c r="G2773" i="16"/>
  <c r="D2773" i="16"/>
  <c r="C2773" i="16"/>
  <c r="G2772" i="16"/>
  <c r="D2772" i="16"/>
  <c r="C2772" i="16"/>
  <c r="G2771" i="16"/>
  <c r="D2771" i="16"/>
  <c r="C2771" i="16"/>
  <c r="G2770" i="16"/>
  <c r="D2770" i="16"/>
  <c r="C2770" i="16"/>
  <c r="G2769" i="16"/>
  <c r="D2769" i="16"/>
  <c r="C2769" i="16"/>
  <c r="G2768" i="16"/>
  <c r="D2768" i="16"/>
  <c r="C2768" i="16"/>
  <c r="G2767" i="16"/>
  <c r="D2767" i="16"/>
  <c r="C2767" i="16"/>
  <c r="G2766" i="16"/>
  <c r="D2766" i="16"/>
  <c r="C2766" i="16"/>
  <c r="G2765" i="16"/>
  <c r="D2765" i="16"/>
  <c r="C2765" i="16"/>
  <c r="G2764" i="16"/>
  <c r="D2764" i="16"/>
  <c r="C2764" i="16"/>
  <c r="G2763" i="16"/>
  <c r="D2763" i="16"/>
  <c r="C2763" i="16"/>
  <c r="G2762" i="16"/>
  <c r="D2762" i="16"/>
  <c r="C2762" i="16"/>
  <c r="G2761" i="16"/>
  <c r="D2761" i="16"/>
  <c r="C2761" i="16"/>
  <c r="G2760" i="16"/>
  <c r="D2760" i="16"/>
  <c r="C2760" i="16"/>
  <c r="G2759" i="16"/>
  <c r="D2759" i="16"/>
  <c r="C2759" i="16"/>
  <c r="G2758" i="16"/>
  <c r="D2758" i="16"/>
  <c r="C2758" i="16"/>
  <c r="G2757" i="16"/>
  <c r="D2757" i="16"/>
  <c r="C2757" i="16"/>
  <c r="G2756" i="16"/>
  <c r="D2756" i="16"/>
  <c r="C2756" i="16"/>
  <c r="G2755" i="16"/>
  <c r="D2755" i="16"/>
  <c r="C2755" i="16"/>
  <c r="G2754" i="16"/>
  <c r="D2754" i="16"/>
  <c r="C2754" i="16"/>
  <c r="G2753" i="16"/>
  <c r="D2753" i="16"/>
  <c r="C2753" i="16"/>
  <c r="G2752" i="16"/>
  <c r="D2752" i="16"/>
  <c r="C2752" i="16"/>
  <c r="G2751" i="16"/>
  <c r="D2751" i="16"/>
  <c r="C2751" i="16"/>
  <c r="G2750" i="16"/>
  <c r="D2750" i="16"/>
  <c r="C2750" i="16"/>
  <c r="G2749" i="16"/>
  <c r="D2749" i="16"/>
  <c r="C2749" i="16"/>
  <c r="G2748" i="16"/>
  <c r="D2748" i="16"/>
  <c r="C2748" i="16"/>
  <c r="G2747" i="16"/>
  <c r="D2747" i="16"/>
  <c r="C2747" i="16"/>
  <c r="G2746" i="16"/>
  <c r="D2746" i="16"/>
  <c r="C2746" i="16"/>
  <c r="G2745" i="16"/>
  <c r="D2745" i="16"/>
  <c r="C2745" i="16"/>
  <c r="G2744" i="16"/>
  <c r="D2744" i="16"/>
  <c r="C2744" i="16"/>
  <c r="G2743" i="16"/>
  <c r="D2743" i="16"/>
  <c r="C2743" i="16"/>
  <c r="G2742" i="16"/>
  <c r="D2742" i="16"/>
  <c r="C2742" i="16"/>
  <c r="G2741" i="16"/>
  <c r="D2741" i="16"/>
  <c r="C2741" i="16"/>
  <c r="G2740" i="16"/>
  <c r="D2740" i="16"/>
  <c r="C2740" i="16"/>
  <c r="G2739" i="16"/>
  <c r="D2739" i="16"/>
  <c r="C2739" i="16"/>
  <c r="G2738" i="16"/>
  <c r="D2738" i="16"/>
  <c r="C2738" i="16"/>
  <c r="G2737" i="16"/>
  <c r="D2737" i="16"/>
  <c r="C2737" i="16"/>
  <c r="G2736" i="16"/>
  <c r="D2736" i="16"/>
  <c r="C2736" i="16"/>
  <c r="G2735" i="16"/>
  <c r="D2735" i="16"/>
  <c r="C2735" i="16"/>
  <c r="G2734" i="16"/>
  <c r="D2734" i="16"/>
  <c r="C2734" i="16"/>
  <c r="G2733" i="16"/>
  <c r="D2733" i="16"/>
  <c r="C2733" i="16"/>
  <c r="G2732" i="16"/>
  <c r="D2732" i="16"/>
  <c r="C2732" i="16"/>
  <c r="G2731" i="16"/>
  <c r="D2731" i="16"/>
  <c r="C2731" i="16"/>
  <c r="G2730" i="16"/>
  <c r="D2730" i="16"/>
  <c r="C2730" i="16"/>
  <c r="G2729" i="16"/>
  <c r="D2729" i="16"/>
  <c r="C2729" i="16"/>
  <c r="G2728" i="16"/>
  <c r="D2728" i="16"/>
  <c r="C2728" i="16"/>
  <c r="G2727" i="16"/>
  <c r="D2727" i="16"/>
  <c r="C2727" i="16"/>
  <c r="G2726" i="16"/>
  <c r="D2726" i="16"/>
  <c r="C2726" i="16"/>
  <c r="G2725" i="16"/>
  <c r="D2725" i="16"/>
  <c r="C2725" i="16"/>
  <c r="G2724" i="16"/>
  <c r="D2724" i="16"/>
  <c r="C2724" i="16"/>
  <c r="G2723" i="16"/>
  <c r="D2723" i="16"/>
  <c r="C2723" i="16"/>
  <c r="G2722" i="16"/>
  <c r="D2722" i="16"/>
  <c r="C2722" i="16"/>
  <c r="G2721" i="16"/>
  <c r="D2721" i="16"/>
  <c r="C2721" i="16"/>
  <c r="G2720" i="16"/>
  <c r="D2720" i="16"/>
  <c r="C2720" i="16"/>
  <c r="G2719" i="16"/>
  <c r="D2719" i="16"/>
  <c r="C2719" i="16"/>
  <c r="G2718" i="16"/>
  <c r="D2718" i="16"/>
  <c r="C2718" i="16"/>
  <c r="G2717" i="16"/>
  <c r="D2717" i="16"/>
  <c r="C2717" i="16"/>
  <c r="G2716" i="16"/>
  <c r="D2716" i="16"/>
  <c r="C2716" i="16"/>
  <c r="G2715" i="16"/>
  <c r="D2715" i="16"/>
  <c r="C2715" i="16"/>
  <c r="G2714" i="16"/>
  <c r="D2714" i="16"/>
  <c r="C2714" i="16"/>
  <c r="G2713" i="16"/>
  <c r="D2713" i="16"/>
  <c r="C2713" i="16"/>
  <c r="G2712" i="16"/>
  <c r="D2712" i="16"/>
  <c r="C2712" i="16"/>
  <c r="G2711" i="16"/>
  <c r="D2711" i="16"/>
  <c r="C2711" i="16"/>
  <c r="G2710" i="16"/>
  <c r="D2710" i="16"/>
  <c r="C2710" i="16"/>
  <c r="G2709" i="16"/>
  <c r="D2709" i="16"/>
  <c r="C2709" i="16"/>
  <c r="G2708" i="16"/>
  <c r="D2708" i="16"/>
  <c r="C2708" i="16"/>
  <c r="G2707" i="16"/>
  <c r="D2707" i="16"/>
  <c r="C2707" i="16"/>
  <c r="G2706" i="16"/>
  <c r="D2706" i="16"/>
  <c r="C2706" i="16"/>
  <c r="G2705" i="16"/>
  <c r="D2705" i="16"/>
  <c r="C2705" i="16"/>
  <c r="G2704" i="16"/>
  <c r="D2704" i="16"/>
  <c r="C2704" i="16"/>
  <c r="G2703" i="16"/>
  <c r="D2703" i="16"/>
  <c r="C2703" i="16"/>
  <c r="G2702" i="16"/>
  <c r="D2702" i="16"/>
  <c r="C2702" i="16"/>
  <c r="G2701" i="16"/>
  <c r="D2701" i="16"/>
  <c r="C2701" i="16"/>
  <c r="G2700" i="16"/>
  <c r="D2700" i="16"/>
  <c r="C2700" i="16"/>
  <c r="G2699" i="16"/>
  <c r="D2699" i="16"/>
  <c r="C2699" i="16"/>
  <c r="G2698" i="16"/>
  <c r="D2698" i="16"/>
  <c r="C2698" i="16"/>
  <c r="G2697" i="16"/>
  <c r="D2697" i="16"/>
  <c r="C2697" i="16"/>
  <c r="G2696" i="16"/>
  <c r="D2696" i="16"/>
  <c r="C2696" i="16"/>
  <c r="G2695" i="16"/>
  <c r="D2695" i="16"/>
  <c r="C2695" i="16"/>
  <c r="G2694" i="16"/>
  <c r="D2694" i="16"/>
  <c r="C2694" i="16"/>
  <c r="G2693" i="16"/>
  <c r="D2693" i="16"/>
  <c r="C2693" i="16"/>
  <c r="G2692" i="16"/>
  <c r="D2692" i="16"/>
  <c r="C2692" i="16"/>
  <c r="G2691" i="16"/>
  <c r="D2691" i="16"/>
  <c r="C2691" i="16"/>
  <c r="G2690" i="16"/>
  <c r="D2690" i="16"/>
  <c r="C2690" i="16"/>
  <c r="G2689" i="16"/>
  <c r="D2689" i="16"/>
  <c r="C2689" i="16"/>
  <c r="G2688" i="16"/>
  <c r="D2688" i="16"/>
  <c r="C2688" i="16"/>
  <c r="G2687" i="16"/>
  <c r="D2687" i="16"/>
  <c r="C2687" i="16"/>
  <c r="G2686" i="16"/>
  <c r="D2686" i="16"/>
  <c r="C2686" i="16"/>
  <c r="G2685" i="16"/>
  <c r="D2685" i="16"/>
  <c r="C2685" i="16"/>
  <c r="G2684" i="16"/>
  <c r="D2684" i="16"/>
  <c r="C2684" i="16"/>
  <c r="G2683" i="16"/>
  <c r="D2683" i="16"/>
  <c r="C2683" i="16"/>
  <c r="G2682" i="16"/>
  <c r="D2682" i="16"/>
  <c r="C2682" i="16"/>
  <c r="G2681" i="16"/>
  <c r="D2681" i="16"/>
  <c r="C2681" i="16"/>
  <c r="G2680" i="16"/>
  <c r="D2680" i="16"/>
  <c r="C2680" i="16"/>
  <c r="G2679" i="16"/>
  <c r="D2679" i="16"/>
  <c r="C2679" i="16"/>
  <c r="G2678" i="16"/>
  <c r="D2678" i="16"/>
  <c r="C2678" i="16"/>
  <c r="G2677" i="16"/>
  <c r="D2677" i="16"/>
  <c r="C2677" i="16"/>
  <c r="G2676" i="16"/>
  <c r="D2676" i="16"/>
  <c r="C2676" i="16"/>
  <c r="G2675" i="16"/>
  <c r="D2675" i="16"/>
  <c r="C2675" i="16"/>
  <c r="G2674" i="16"/>
  <c r="D2674" i="16"/>
  <c r="C2674" i="16"/>
  <c r="G2673" i="16"/>
  <c r="D2673" i="16"/>
  <c r="C2673" i="16"/>
  <c r="G2672" i="16"/>
  <c r="D2672" i="16"/>
  <c r="C2672" i="16"/>
  <c r="G2671" i="16"/>
  <c r="D2671" i="16"/>
  <c r="C2671" i="16"/>
  <c r="G2670" i="16"/>
  <c r="D2670" i="16"/>
  <c r="C2670" i="16"/>
  <c r="G2669" i="16"/>
  <c r="D2669" i="16"/>
  <c r="C2669" i="16"/>
  <c r="G2668" i="16"/>
  <c r="D2668" i="16"/>
  <c r="C2668" i="16"/>
  <c r="G2667" i="16"/>
  <c r="D2667" i="16"/>
  <c r="C2667" i="16"/>
  <c r="G2666" i="16"/>
  <c r="D2666" i="16"/>
  <c r="C2666" i="16"/>
  <c r="G2665" i="16"/>
  <c r="D2665" i="16"/>
  <c r="C2665" i="16"/>
  <c r="G2664" i="16"/>
  <c r="D2664" i="16"/>
  <c r="C2664" i="16"/>
  <c r="G2663" i="16"/>
  <c r="D2663" i="16"/>
  <c r="C2663" i="16"/>
  <c r="G2662" i="16"/>
  <c r="D2662" i="16"/>
  <c r="C2662" i="16"/>
  <c r="G2661" i="16"/>
  <c r="D2661" i="16"/>
  <c r="C2661" i="16"/>
  <c r="G2660" i="16"/>
  <c r="D2660" i="16"/>
  <c r="C2660" i="16"/>
  <c r="G2659" i="16"/>
  <c r="D2659" i="16"/>
  <c r="C2659" i="16"/>
  <c r="G2658" i="16"/>
  <c r="D2658" i="16"/>
  <c r="C2658" i="16"/>
  <c r="G2657" i="16"/>
  <c r="D2657" i="16"/>
  <c r="C2657" i="16"/>
  <c r="G2656" i="16"/>
  <c r="D2656" i="16"/>
  <c r="C2656" i="16"/>
  <c r="G2655" i="16"/>
  <c r="D2655" i="16"/>
  <c r="C2655" i="16"/>
  <c r="G2654" i="16"/>
  <c r="D2654" i="16"/>
  <c r="C2654" i="16"/>
  <c r="G2653" i="16"/>
  <c r="D2653" i="16"/>
  <c r="C2653" i="16"/>
  <c r="G2652" i="16"/>
  <c r="D2652" i="16"/>
  <c r="C2652" i="16"/>
  <c r="G2651" i="16"/>
  <c r="D2651" i="16"/>
  <c r="C2651" i="16"/>
  <c r="G2650" i="16"/>
  <c r="D2650" i="16"/>
  <c r="C2650" i="16"/>
  <c r="G2649" i="16"/>
  <c r="D2649" i="16"/>
  <c r="C2649" i="16"/>
  <c r="G2648" i="16"/>
  <c r="D2648" i="16"/>
  <c r="C2648" i="16"/>
  <c r="G2647" i="16"/>
  <c r="D2647" i="16"/>
  <c r="C2647" i="16"/>
  <c r="G2646" i="16"/>
  <c r="D2646" i="16"/>
  <c r="C2646" i="16"/>
  <c r="G2645" i="16"/>
  <c r="D2645" i="16"/>
  <c r="C2645" i="16"/>
  <c r="G2644" i="16"/>
  <c r="D2644" i="16"/>
  <c r="C2644" i="16"/>
  <c r="G2643" i="16"/>
  <c r="D2643" i="16"/>
  <c r="C2643" i="16"/>
  <c r="G2642" i="16"/>
  <c r="D2642" i="16"/>
  <c r="C2642" i="16"/>
  <c r="G2641" i="16"/>
  <c r="D2641" i="16"/>
  <c r="C2641" i="16"/>
  <c r="G2640" i="16"/>
  <c r="D2640" i="16"/>
  <c r="C2640" i="16"/>
  <c r="G2639" i="16"/>
  <c r="D2639" i="16"/>
  <c r="C2639" i="16"/>
  <c r="G2638" i="16"/>
  <c r="D2638" i="16"/>
  <c r="C2638" i="16"/>
  <c r="G2637" i="16"/>
  <c r="D2637" i="16"/>
  <c r="C2637" i="16"/>
  <c r="G2636" i="16"/>
  <c r="D2636" i="16"/>
  <c r="C2636" i="16"/>
  <c r="G2635" i="16"/>
  <c r="D2635" i="16"/>
  <c r="C2635" i="16"/>
  <c r="G2634" i="16"/>
  <c r="D2634" i="16"/>
  <c r="C2634" i="16"/>
  <c r="G2633" i="16"/>
  <c r="D2633" i="16"/>
  <c r="C2633" i="16"/>
  <c r="G2632" i="16"/>
  <c r="D2632" i="16"/>
  <c r="C2632" i="16"/>
  <c r="G2631" i="16"/>
  <c r="D2631" i="16"/>
  <c r="C2631" i="16"/>
  <c r="G2630" i="16"/>
  <c r="D2630" i="16"/>
  <c r="C2630" i="16"/>
  <c r="G2629" i="16"/>
  <c r="D2629" i="16"/>
  <c r="C2629" i="16"/>
  <c r="G2628" i="16"/>
  <c r="D2628" i="16"/>
  <c r="C2628" i="16"/>
  <c r="G2627" i="16"/>
  <c r="D2627" i="16"/>
  <c r="C2627" i="16"/>
  <c r="G2626" i="16"/>
  <c r="D2626" i="16"/>
  <c r="C2626" i="16"/>
  <c r="G2625" i="16"/>
  <c r="D2625" i="16"/>
  <c r="C2625" i="16"/>
  <c r="G2624" i="16"/>
  <c r="D2624" i="16"/>
  <c r="C2624" i="16"/>
  <c r="G2623" i="16"/>
  <c r="D2623" i="16"/>
  <c r="C2623" i="16"/>
  <c r="G2622" i="16"/>
  <c r="D2622" i="16"/>
  <c r="C2622" i="16"/>
  <c r="G2621" i="16"/>
  <c r="D2621" i="16"/>
  <c r="C2621" i="16"/>
  <c r="G2620" i="16"/>
  <c r="D2620" i="16"/>
  <c r="C2620" i="16"/>
  <c r="G2619" i="16"/>
  <c r="D2619" i="16"/>
  <c r="C2619" i="16"/>
  <c r="G2618" i="16"/>
  <c r="D2618" i="16"/>
  <c r="C2618" i="16"/>
  <c r="G2617" i="16"/>
  <c r="D2617" i="16"/>
  <c r="C2617" i="16"/>
  <c r="G2616" i="16"/>
  <c r="D2616" i="16"/>
  <c r="C2616" i="16"/>
  <c r="G2615" i="16"/>
  <c r="D2615" i="16"/>
  <c r="C2615" i="16"/>
  <c r="G2614" i="16"/>
  <c r="D2614" i="16"/>
  <c r="C2614" i="16"/>
  <c r="G2613" i="16"/>
  <c r="D2613" i="16"/>
  <c r="C2613" i="16"/>
  <c r="G2612" i="16"/>
  <c r="D2612" i="16"/>
  <c r="C2612" i="16"/>
  <c r="G2611" i="16"/>
  <c r="D2611" i="16"/>
  <c r="C2611" i="16"/>
  <c r="G2610" i="16"/>
  <c r="D2610" i="16"/>
  <c r="C2610" i="16"/>
  <c r="G2609" i="16"/>
  <c r="D2609" i="16"/>
  <c r="C2609" i="16"/>
  <c r="G2608" i="16"/>
  <c r="D2608" i="16"/>
  <c r="C2608" i="16"/>
  <c r="G2607" i="16"/>
  <c r="D2607" i="16"/>
  <c r="C2607" i="16"/>
  <c r="G2606" i="16"/>
  <c r="D2606" i="16"/>
  <c r="C2606" i="16"/>
  <c r="G2605" i="16"/>
  <c r="D2605" i="16"/>
  <c r="C2605" i="16"/>
  <c r="G2604" i="16"/>
  <c r="D2604" i="16"/>
  <c r="C2604" i="16"/>
  <c r="G2603" i="16"/>
  <c r="D2603" i="16"/>
  <c r="C2603" i="16"/>
  <c r="G2602" i="16"/>
  <c r="D2602" i="16"/>
  <c r="C2602" i="16"/>
  <c r="G2601" i="16"/>
  <c r="D2601" i="16"/>
  <c r="C2601" i="16"/>
  <c r="G2600" i="16"/>
  <c r="D2600" i="16"/>
  <c r="C2600" i="16"/>
  <c r="G2599" i="16"/>
  <c r="D2599" i="16"/>
  <c r="C2599" i="16"/>
  <c r="G2598" i="16"/>
  <c r="D2598" i="16"/>
  <c r="C2598" i="16"/>
  <c r="G2597" i="16"/>
  <c r="D2597" i="16"/>
  <c r="C2597" i="16"/>
  <c r="G2596" i="16"/>
  <c r="D2596" i="16"/>
  <c r="C2596" i="16"/>
  <c r="G2595" i="16"/>
  <c r="D2595" i="16"/>
  <c r="C2595" i="16"/>
  <c r="G2594" i="16"/>
  <c r="D2594" i="16"/>
  <c r="C2594" i="16"/>
  <c r="G2593" i="16"/>
  <c r="D2593" i="16"/>
  <c r="C2593" i="16"/>
  <c r="G2592" i="16"/>
  <c r="D2592" i="16"/>
  <c r="C2592" i="16"/>
  <c r="G2591" i="16"/>
  <c r="D2591" i="16"/>
  <c r="C2591" i="16"/>
  <c r="G2590" i="16"/>
  <c r="D2590" i="16"/>
  <c r="C2590" i="16"/>
  <c r="G2589" i="16"/>
  <c r="D2589" i="16"/>
  <c r="C2589" i="16"/>
  <c r="G2588" i="16"/>
  <c r="D2588" i="16"/>
  <c r="C2588" i="16"/>
  <c r="G2587" i="16"/>
  <c r="D2587" i="16"/>
  <c r="C2587" i="16"/>
  <c r="G2586" i="16"/>
  <c r="D2586" i="16"/>
  <c r="C2586" i="16"/>
  <c r="G2585" i="16"/>
  <c r="D2585" i="16"/>
  <c r="C2585" i="16"/>
  <c r="G2584" i="16"/>
  <c r="D2584" i="16"/>
  <c r="C2584" i="16"/>
  <c r="G2583" i="16"/>
  <c r="D2583" i="16"/>
  <c r="C2583" i="16"/>
  <c r="G2582" i="16"/>
  <c r="D2582" i="16"/>
  <c r="C2582" i="16"/>
  <c r="G2581" i="16"/>
  <c r="D2581" i="16"/>
  <c r="C2581" i="16"/>
  <c r="G2580" i="16"/>
  <c r="D2580" i="16"/>
  <c r="C2580" i="16"/>
  <c r="G2579" i="16"/>
  <c r="D2579" i="16"/>
  <c r="C2579" i="16"/>
  <c r="G2578" i="16"/>
  <c r="D2578" i="16"/>
  <c r="C2578" i="16"/>
  <c r="G2577" i="16"/>
  <c r="D2577" i="16"/>
  <c r="C2577" i="16"/>
  <c r="G2576" i="16"/>
  <c r="D2576" i="16"/>
  <c r="C2576" i="16"/>
  <c r="G2575" i="16"/>
  <c r="D2575" i="16"/>
  <c r="C2575" i="16"/>
  <c r="G2574" i="16"/>
  <c r="D2574" i="16"/>
  <c r="C2574" i="16"/>
  <c r="G2573" i="16"/>
  <c r="D2573" i="16"/>
  <c r="C2573" i="16"/>
  <c r="G2572" i="16"/>
  <c r="D2572" i="16"/>
  <c r="C2572" i="16"/>
  <c r="G2571" i="16"/>
  <c r="D2571" i="16"/>
  <c r="C2571" i="16"/>
  <c r="G2570" i="16"/>
  <c r="D2570" i="16"/>
  <c r="C2570" i="16"/>
  <c r="G2569" i="16"/>
  <c r="D2569" i="16"/>
  <c r="C2569" i="16"/>
  <c r="G2568" i="16"/>
  <c r="D2568" i="16"/>
  <c r="C2568" i="16"/>
  <c r="G2567" i="16"/>
  <c r="D2567" i="16"/>
  <c r="C2567" i="16"/>
  <c r="G2566" i="16"/>
  <c r="D2566" i="16"/>
  <c r="C2566" i="16"/>
  <c r="G2565" i="16"/>
  <c r="D2565" i="16"/>
  <c r="C2565" i="16"/>
  <c r="G2564" i="16"/>
  <c r="D2564" i="16"/>
  <c r="C2564" i="16"/>
  <c r="G2563" i="16"/>
  <c r="D2563" i="16"/>
  <c r="C2563" i="16"/>
  <c r="G2562" i="16"/>
  <c r="D2562" i="16"/>
  <c r="C2562" i="16"/>
  <c r="G2561" i="16"/>
  <c r="D2561" i="16"/>
  <c r="C2561" i="16"/>
  <c r="G2560" i="16"/>
  <c r="D2560" i="16"/>
  <c r="C2560" i="16"/>
  <c r="G2559" i="16"/>
  <c r="D2559" i="16"/>
  <c r="C2559" i="16"/>
  <c r="G2558" i="16"/>
  <c r="D2558" i="16"/>
  <c r="C2558" i="16"/>
  <c r="G2557" i="16"/>
  <c r="D2557" i="16"/>
  <c r="C2557" i="16"/>
  <c r="G2556" i="16"/>
  <c r="D2556" i="16"/>
  <c r="C2556" i="16"/>
  <c r="G2555" i="16"/>
  <c r="D2555" i="16"/>
  <c r="C2555" i="16"/>
  <c r="G2554" i="16"/>
  <c r="D2554" i="16"/>
  <c r="C2554" i="16"/>
  <c r="G2553" i="16"/>
  <c r="D2553" i="16"/>
  <c r="C2553" i="16"/>
  <c r="G2552" i="16"/>
  <c r="D2552" i="16"/>
  <c r="C2552" i="16"/>
  <c r="G2551" i="16"/>
  <c r="D2551" i="16"/>
  <c r="C2551" i="16"/>
  <c r="G2550" i="16"/>
  <c r="D2550" i="16"/>
  <c r="C2550" i="16"/>
  <c r="G2549" i="16"/>
  <c r="D2549" i="16"/>
  <c r="C2549" i="16"/>
  <c r="G2548" i="16"/>
  <c r="D2548" i="16"/>
  <c r="C2548" i="16"/>
  <c r="G2547" i="16"/>
  <c r="D2547" i="16"/>
  <c r="C2547" i="16"/>
  <c r="G2546" i="16"/>
  <c r="D2546" i="16"/>
  <c r="C2546" i="16"/>
  <c r="G2545" i="16"/>
  <c r="D2545" i="16"/>
  <c r="C2545" i="16"/>
  <c r="G2544" i="16"/>
  <c r="D2544" i="16"/>
  <c r="C2544" i="16"/>
  <c r="G2543" i="16"/>
  <c r="D2543" i="16"/>
  <c r="C2543" i="16"/>
  <c r="G2542" i="16"/>
  <c r="D2542" i="16"/>
  <c r="C2542" i="16"/>
  <c r="G2541" i="16"/>
  <c r="D2541" i="16"/>
  <c r="C2541" i="16"/>
  <c r="G2540" i="16"/>
  <c r="D2540" i="16"/>
  <c r="C2540" i="16"/>
  <c r="G2539" i="16"/>
  <c r="D2539" i="16"/>
  <c r="C2539" i="16"/>
  <c r="G2538" i="16"/>
  <c r="D2538" i="16"/>
  <c r="C2538" i="16"/>
  <c r="G2537" i="16"/>
  <c r="D2537" i="16"/>
  <c r="C2537" i="16"/>
  <c r="G2536" i="16"/>
  <c r="D2536" i="16"/>
  <c r="C2536" i="16"/>
  <c r="G2535" i="16"/>
  <c r="D2535" i="16"/>
  <c r="C2535" i="16"/>
  <c r="G2534" i="16"/>
  <c r="D2534" i="16"/>
  <c r="C2534" i="16"/>
  <c r="G2533" i="16"/>
  <c r="D2533" i="16"/>
  <c r="C2533" i="16"/>
  <c r="G2532" i="16"/>
  <c r="D2532" i="16"/>
  <c r="C2532" i="16"/>
  <c r="G2531" i="16"/>
  <c r="D2531" i="16"/>
  <c r="C2531" i="16"/>
  <c r="G2530" i="16"/>
  <c r="D2530" i="16"/>
  <c r="C2530" i="16"/>
  <c r="G2529" i="16"/>
  <c r="D2529" i="16"/>
  <c r="C2529" i="16"/>
  <c r="G2528" i="16"/>
  <c r="D2528" i="16"/>
  <c r="C2528" i="16"/>
  <c r="G2527" i="16"/>
  <c r="D2527" i="16"/>
  <c r="C2527" i="16"/>
  <c r="G2526" i="16"/>
  <c r="D2526" i="16"/>
  <c r="C2526" i="16"/>
  <c r="G2525" i="16"/>
  <c r="D2525" i="16"/>
  <c r="C2525" i="16"/>
  <c r="G2524" i="16"/>
  <c r="D2524" i="16"/>
  <c r="C2524" i="16"/>
  <c r="G2523" i="16"/>
  <c r="D2523" i="16"/>
  <c r="C2523" i="16"/>
  <c r="G2522" i="16"/>
  <c r="D2522" i="16"/>
  <c r="C2522" i="16"/>
  <c r="G2521" i="16"/>
  <c r="D2521" i="16"/>
  <c r="C2521" i="16"/>
  <c r="G2520" i="16"/>
  <c r="D2520" i="16"/>
  <c r="C2520" i="16"/>
  <c r="G2519" i="16"/>
  <c r="D2519" i="16"/>
  <c r="C2519" i="16"/>
  <c r="G2518" i="16"/>
  <c r="D2518" i="16"/>
  <c r="C2518" i="16"/>
  <c r="G2517" i="16"/>
  <c r="D2517" i="16"/>
  <c r="C2517" i="16"/>
  <c r="G2516" i="16"/>
  <c r="D2516" i="16"/>
  <c r="C2516" i="16"/>
  <c r="G2515" i="16"/>
  <c r="D2515" i="16"/>
  <c r="C2515" i="16"/>
  <c r="G2514" i="16"/>
  <c r="D2514" i="16"/>
  <c r="C2514" i="16"/>
  <c r="G2513" i="16"/>
  <c r="D2513" i="16"/>
  <c r="C2513" i="16"/>
  <c r="G2512" i="16"/>
  <c r="D2512" i="16"/>
  <c r="C2512" i="16"/>
  <c r="G2511" i="16"/>
  <c r="D2511" i="16"/>
  <c r="C2511" i="16"/>
  <c r="G2510" i="16"/>
  <c r="D2510" i="16"/>
  <c r="C2510" i="16"/>
  <c r="G2509" i="16"/>
  <c r="D2509" i="16"/>
  <c r="C2509" i="16"/>
  <c r="G2508" i="16"/>
  <c r="D2508" i="16"/>
  <c r="C2508" i="16"/>
  <c r="G2507" i="16"/>
  <c r="D2507" i="16"/>
  <c r="C2507" i="16"/>
  <c r="G2506" i="16"/>
  <c r="D2506" i="16"/>
  <c r="C2506" i="16"/>
  <c r="G2505" i="16"/>
  <c r="D2505" i="16"/>
  <c r="C2505" i="16"/>
  <c r="G2504" i="16"/>
  <c r="D2504" i="16"/>
  <c r="C2504" i="16"/>
  <c r="G2503" i="16"/>
  <c r="D2503" i="16"/>
  <c r="C2503" i="16"/>
  <c r="G2502" i="16"/>
  <c r="D2502" i="16"/>
  <c r="C2502" i="16"/>
  <c r="G2501" i="16"/>
  <c r="D2501" i="16"/>
  <c r="C2501" i="16"/>
  <c r="G2500" i="16"/>
  <c r="D2500" i="16"/>
  <c r="C2500" i="16"/>
  <c r="G2499" i="16"/>
  <c r="D2499" i="16"/>
  <c r="C2499" i="16"/>
  <c r="G2498" i="16"/>
  <c r="D2498" i="16"/>
  <c r="C2498" i="16"/>
  <c r="G2497" i="16"/>
  <c r="D2497" i="16"/>
  <c r="C2497" i="16"/>
  <c r="G2496" i="16"/>
  <c r="D2496" i="16"/>
  <c r="C2496" i="16"/>
  <c r="G2495" i="16"/>
  <c r="D2495" i="16"/>
  <c r="C2495" i="16"/>
  <c r="G2494" i="16"/>
  <c r="D2494" i="16"/>
  <c r="C2494" i="16"/>
  <c r="G2493" i="16"/>
  <c r="D2493" i="16"/>
  <c r="C2493" i="16"/>
  <c r="G2492" i="16"/>
  <c r="D2492" i="16"/>
  <c r="C2492" i="16"/>
  <c r="G2491" i="16"/>
  <c r="D2491" i="16"/>
  <c r="C2491" i="16"/>
  <c r="G2490" i="16"/>
  <c r="D2490" i="16"/>
  <c r="C2490" i="16"/>
  <c r="G2489" i="16"/>
  <c r="D2489" i="16"/>
  <c r="C2489" i="16"/>
  <c r="G2488" i="16"/>
  <c r="D2488" i="16"/>
  <c r="C2488" i="16"/>
  <c r="G2487" i="16"/>
  <c r="D2487" i="16"/>
  <c r="C2487" i="16"/>
  <c r="G2486" i="16"/>
  <c r="D2486" i="16"/>
  <c r="C2486" i="16"/>
  <c r="G2485" i="16"/>
  <c r="D2485" i="16"/>
  <c r="C2485" i="16"/>
  <c r="G2484" i="16"/>
  <c r="D2484" i="16"/>
  <c r="C2484" i="16"/>
  <c r="G2483" i="16"/>
  <c r="D2483" i="16"/>
  <c r="C2483" i="16"/>
  <c r="G2482" i="16"/>
  <c r="D2482" i="16"/>
  <c r="C2482" i="16"/>
  <c r="G2481" i="16"/>
  <c r="D2481" i="16"/>
  <c r="C2481" i="16"/>
  <c r="G2480" i="16"/>
  <c r="D2480" i="16"/>
  <c r="C2480" i="16"/>
  <c r="G2479" i="16"/>
  <c r="D2479" i="16"/>
  <c r="C2479" i="16"/>
  <c r="G2478" i="16"/>
  <c r="D2478" i="16"/>
  <c r="C2478" i="16"/>
  <c r="G2477" i="16"/>
  <c r="D2477" i="16"/>
  <c r="C2477" i="16"/>
  <c r="G2476" i="16"/>
  <c r="D2476" i="16"/>
  <c r="C2476" i="16"/>
  <c r="G2475" i="16"/>
  <c r="D2475" i="16"/>
  <c r="C2475" i="16"/>
  <c r="G2474" i="16"/>
  <c r="D2474" i="16"/>
  <c r="C2474" i="16"/>
  <c r="G2473" i="16"/>
  <c r="D2473" i="16"/>
  <c r="C2473" i="16"/>
  <c r="G2472" i="16"/>
  <c r="D2472" i="16"/>
  <c r="C2472" i="16"/>
  <c r="G2471" i="16"/>
  <c r="D2471" i="16"/>
  <c r="C2471" i="16"/>
  <c r="G2470" i="16"/>
  <c r="D2470" i="16"/>
  <c r="C2470" i="16"/>
  <c r="G2469" i="16"/>
  <c r="D2469" i="16"/>
  <c r="C2469" i="16"/>
  <c r="G2468" i="16"/>
  <c r="D2468" i="16"/>
  <c r="C2468" i="16"/>
  <c r="G2467" i="16"/>
  <c r="D2467" i="16"/>
  <c r="C2467" i="16"/>
  <c r="G2466" i="16"/>
  <c r="D2466" i="16"/>
  <c r="C2466" i="16"/>
  <c r="G2465" i="16"/>
  <c r="D2465" i="16"/>
  <c r="C2465" i="16"/>
  <c r="G2464" i="16"/>
  <c r="D2464" i="16"/>
  <c r="C2464" i="16"/>
  <c r="G2463" i="16"/>
  <c r="D2463" i="16"/>
  <c r="C2463" i="16"/>
  <c r="G2462" i="16"/>
  <c r="D2462" i="16"/>
  <c r="C2462" i="16"/>
  <c r="G2461" i="16"/>
  <c r="D2461" i="16"/>
  <c r="C2461" i="16"/>
  <c r="G2460" i="16"/>
  <c r="D2460" i="16"/>
  <c r="C2460" i="16"/>
  <c r="G2459" i="16"/>
  <c r="D2459" i="16"/>
  <c r="C2459" i="16"/>
  <c r="G2458" i="16"/>
  <c r="D2458" i="16"/>
  <c r="C2458" i="16"/>
  <c r="G2457" i="16"/>
  <c r="D2457" i="16"/>
  <c r="C2457" i="16"/>
  <c r="G2456" i="16"/>
  <c r="D2456" i="16"/>
  <c r="C2456" i="16"/>
  <c r="G2455" i="16"/>
  <c r="D2455" i="16"/>
  <c r="C2455" i="16"/>
  <c r="G2454" i="16"/>
  <c r="D2454" i="16"/>
  <c r="C2454" i="16"/>
  <c r="G2453" i="16"/>
  <c r="D2453" i="16"/>
  <c r="C2453" i="16"/>
  <c r="G2452" i="16"/>
  <c r="D2452" i="16"/>
  <c r="C2452" i="16"/>
  <c r="G2451" i="16"/>
  <c r="D2451" i="16"/>
  <c r="C2451" i="16"/>
  <c r="G2450" i="16"/>
  <c r="D2450" i="16"/>
  <c r="C2450" i="16"/>
  <c r="G2449" i="16"/>
  <c r="D2449" i="16"/>
  <c r="C2449" i="16"/>
  <c r="G2448" i="16"/>
  <c r="D2448" i="16"/>
  <c r="C2448" i="16"/>
  <c r="G2447" i="16"/>
  <c r="D2447" i="16"/>
  <c r="C2447" i="16"/>
  <c r="G2446" i="16"/>
  <c r="D2446" i="16"/>
  <c r="C2446" i="16"/>
  <c r="G2445" i="16"/>
  <c r="D2445" i="16"/>
  <c r="C2445" i="16"/>
  <c r="G2444" i="16"/>
  <c r="D2444" i="16"/>
  <c r="C2444" i="16"/>
  <c r="G2443" i="16"/>
  <c r="D2443" i="16"/>
  <c r="C2443" i="16"/>
  <c r="G2442" i="16"/>
  <c r="D2442" i="16"/>
  <c r="C2442" i="16"/>
  <c r="G2441" i="16"/>
  <c r="D2441" i="16"/>
  <c r="C2441" i="16"/>
  <c r="G2440" i="16"/>
  <c r="D2440" i="16"/>
  <c r="C2440" i="16"/>
  <c r="G2439" i="16"/>
  <c r="D2439" i="16"/>
  <c r="C2439" i="16"/>
  <c r="G2438" i="16"/>
  <c r="D2438" i="16"/>
  <c r="C2438" i="16"/>
  <c r="G2437" i="16"/>
  <c r="D2437" i="16"/>
  <c r="C2437" i="16"/>
  <c r="G2436" i="16"/>
  <c r="D2436" i="16"/>
  <c r="C2436" i="16"/>
  <c r="G2435" i="16"/>
  <c r="D2435" i="16"/>
  <c r="C2435" i="16"/>
  <c r="G2434" i="16"/>
  <c r="D2434" i="16"/>
  <c r="C2434" i="16"/>
  <c r="G2433" i="16"/>
  <c r="D2433" i="16"/>
  <c r="C2433" i="16"/>
  <c r="G2432" i="16"/>
  <c r="D2432" i="16"/>
  <c r="C2432" i="16"/>
  <c r="G2431" i="16"/>
  <c r="D2431" i="16"/>
  <c r="C2431" i="16"/>
  <c r="G2430" i="16"/>
  <c r="D2430" i="16"/>
  <c r="C2430" i="16"/>
  <c r="G2429" i="16"/>
  <c r="D2429" i="16"/>
  <c r="C2429" i="16"/>
  <c r="G2428" i="16"/>
  <c r="D2428" i="16"/>
  <c r="C2428" i="16"/>
  <c r="G2427" i="16"/>
  <c r="D2427" i="16"/>
  <c r="C2427" i="16"/>
  <c r="G2426" i="16"/>
  <c r="D2426" i="16"/>
  <c r="C2426" i="16"/>
  <c r="G2425" i="16"/>
  <c r="D2425" i="16"/>
  <c r="C2425" i="16"/>
  <c r="G2424" i="16"/>
  <c r="D2424" i="16"/>
  <c r="C2424" i="16"/>
  <c r="G2423" i="16"/>
  <c r="D2423" i="16"/>
  <c r="C2423" i="16"/>
  <c r="G2422" i="16"/>
  <c r="D2422" i="16"/>
  <c r="C2422" i="16"/>
  <c r="G2421" i="16"/>
  <c r="D2421" i="16"/>
  <c r="C2421" i="16"/>
  <c r="G2420" i="16"/>
  <c r="D2420" i="16"/>
  <c r="C2420" i="16"/>
  <c r="G2419" i="16"/>
  <c r="D2419" i="16"/>
  <c r="C2419" i="16"/>
  <c r="G2418" i="16"/>
  <c r="D2418" i="16"/>
  <c r="C2418" i="16"/>
  <c r="G2417" i="16"/>
  <c r="D2417" i="16"/>
  <c r="C2417" i="16"/>
  <c r="G2416" i="16"/>
  <c r="D2416" i="16"/>
  <c r="C2416" i="16"/>
  <c r="G2415" i="16"/>
  <c r="D2415" i="16"/>
  <c r="C2415" i="16"/>
  <c r="G2414" i="16"/>
  <c r="D2414" i="16"/>
  <c r="C2414" i="16"/>
  <c r="G2413" i="16"/>
  <c r="D2413" i="16"/>
  <c r="C2413" i="16"/>
  <c r="G2412" i="16"/>
  <c r="D2412" i="16"/>
  <c r="C2412" i="16"/>
  <c r="G2411" i="16"/>
  <c r="D2411" i="16"/>
  <c r="C2411" i="16"/>
  <c r="G2410" i="16"/>
  <c r="D2410" i="16"/>
  <c r="C2410" i="16"/>
  <c r="G2409" i="16"/>
  <c r="D2409" i="16"/>
  <c r="C2409" i="16"/>
  <c r="G2408" i="16"/>
  <c r="D2408" i="16"/>
  <c r="C2408" i="16"/>
  <c r="G2407" i="16"/>
  <c r="D2407" i="16"/>
  <c r="C2407" i="16"/>
  <c r="G2406" i="16"/>
  <c r="D2406" i="16"/>
  <c r="C2406" i="16"/>
  <c r="G2405" i="16"/>
  <c r="D2405" i="16"/>
  <c r="C2405" i="16"/>
  <c r="G2404" i="16"/>
  <c r="D2404" i="16"/>
  <c r="C2404" i="16"/>
  <c r="G2403" i="16"/>
  <c r="D2403" i="16"/>
  <c r="C2403" i="16"/>
  <c r="G2402" i="16"/>
  <c r="D2402" i="16"/>
  <c r="C2402" i="16"/>
  <c r="G2401" i="16"/>
  <c r="D2401" i="16"/>
  <c r="C2401" i="16"/>
  <c r="G2400" i="16"/>
  <c r="D2400" i="16"/>
  <c r="C2400" i="16"/>
  <c r="G2399" i="16"/>
  <c r="D2399" i="16"/>
  <c r="C2399" i="16"/>
  <c r="G2398" i="16"/>
  <c r="D2398" i="16"/>
  <c r="C2398" i="16"/>
  <c r="G2397" i="16"/>
  <c r="D2397" i="16"/>
  <c r="C2397" i="16"/>
  <c r="G2396" i="16"/>
  <c r="D2396" i="16"/>
  <c r="C2396" i="16"/>
  <c r="G2395" i="16"/>
  <c r="D2395" i="16"/>
  <c r="C2395" i="16"/>
  <c r="G2394" i="16"/>
  <c r="D2394" i="16"/>
  <c r="C2394" i="16"/>
  <c r="G2393" i="16"/>
  <c r="D2393" i="16"/>
  <c r="C2393" i="16"/>
  <c r="G2392" i="16"/>
  <c r="D2392" i="16"/>
  <c r="C2392" i="16"/>
  <c r="G2391" i="16"/>
  <c r="D2391" i="16"/>
  <c r="C2391" i="16"/>
  <c r="G2390" i="16"/>
  <c r="D2390" i="16"/>
  <c r="C2390" i="16"/>
  <c r="G2389" i="16"/>
  <c r="D2389" i="16"/>
  <c r="C2389" i="16"/>
  <c r="G2388" i="16"/>
  <c r="D2388" i="16"/>
  <c r="C2388" i="16"/>
  <c r="G2387" i="16"/>
  <c r="D2387" i="16"/>
  <c r="C2387" i="16"/>
  <c r="G2386" i="16"/>
  <c r="D2386" i="16"/>
  <c r="C2386" i="16"/>
  <c r="G2385" i="16"/>
  <c r="D2385" i="16"/>
  <c r="C2385" i="16"/>
  <c r="G2384" i="16"/>
  <c r="D2384" i="16"/>
  <c r="C2384" i="16"/>
  <c r="G2383" i="16"/>
  <c r="D2383" i="16"/>
  <c r="C2383" i="16"/>
  <c r="G2382" i="16"/>
  <c r="D2382" i="16"/>
  <c r="C2382" i="16"/>
  <c r="G2381" i="16"/>
  <c r="D2381" i="16"/>
  <c r="C2381" i="16"/>
  <c r="G2380" i="16"/>
  <c r="D2380" i="16"/>
  <c r="C2380" i="16"/>
  <c r="G2379" i="16"/>
  <c r="D2379" i="16"/>
  <c r="C2379" i="16"/>
  <c r="G2378" i="16"/>
  <c r="D2378" i="16"/>
  <c r="C2378" i="16"/>
  <c r="G2377" i="16"/>
  <c r="D2377" i="16"/>
  <c r="C2377" i="16"/>
  <c r="G2376" i="16"/>
  <c r="D2376" i="16"/>
  <c r="C2376" i="16"/>
  <c r="G2375" i="16"/>
  <c r="D2375" i="16"/>
  <c r="C2375" i="16"/>
  <c r="G2374" i="16"/>
  <c r="D2374" i="16"/>
  <c r="C2374" i="16"/>
  <c r="G2373" i="16"/>
  <c r="D2373" i="16"/>
  <c r="C2373" i="16"/>
  <c r="G2372" i="16"/>
  <c r="D2372" i="16"/>
  <c r="C2372" i="16"/>
  <c r="G2371" i="16"/>
  <c r="D2371" i="16"/>
  <c r="C2371" i="16"/>
  <c r="G2370" i="16"/>
  <c r="D2370" i="16"/>
  <c r="C2370" i="16"/>
  <c r="G2369" i="16"/>
  <c r="D2369" i="16"/>
  <c r="C2369" i="16"/>
  <c r="G2368" i="16"/>
  <c r="D2368" i="16"/>
  <c r="C2368" i="16"/>
  <c r="G2367" i="16"/>
  <c r="D2367" i="16"/>
  <c r="C2367" i="16"/>
  <c r="G2366" i="16"/>
  <c r="D2366" i="16"/>
  <c r="C2366" i="16"/>
  <c r="G2365" i="16"/>
  <c r="D2365" i="16"/>
  <c r="C2365" i="16"/>
  <c r="G2364" i="16"/>
  <c r="D2364" i="16"/>
  <c r="C2364" i="16"/>
  <c r="G2363" i="16"/>
  <c r="D2363" i="16"/>
  <c r="C2363" i="16"/>
  <c r="G2362" i="16"/>
  <c r="D2362" i="16"/>
  <c r="C2362" i="16"/>
  <c r="G2361" i="16"/>
  <c r="D2361" i="16"/>
  <c r="C2361" i="16"/>
  <c r="G2360" i="16"/>
  <c r="D2360" i="16"/>
  <c r="C2360" i="16"/>
  <c r="G2359" i="16"/>
  <c r="D2359" i="16"/>
  <c r="C2359" i="16"/>
  <c r="G2358" i="16"/>
  <c r="D2358" i="16"/>
  <c r="C2358" i="16"/>
  <c r="G2357" i="16"/>
  <c r="D2357" i="16"/>
  <c r="C2357" i="16"/>
  <c r="G2356" i="16"/>
  <c r="D2356" i="16"/>
  <c r="C2356" i="16"/>
  <c r="G2355" i="16"/>
  <c r="D2355" i="16"/>
  <c r="C2355" i="16"/>
  <c r="G2354" i="16"/>
  <c r="D2354" i="16"/>
  <c r="C2354" i="16"/>
  <c r="G2353" i="16"/>
  <c r="D2353" i="16"/>
  <c r="C2353" i="16"/>
  <c r="G2352" i="16"/>
  <c r="D2352" i="16"/>
  <c r="C2352" i="16"/>
  <c r="G2351" i="16"/>
  <c r="D2351" i="16"/>
  <c r="C2351" i="16"/>
  <c r="G2350" i="16"/>
  <c r="D2350" i="16"/>
  <c r="C2350" i="16"/>
  <c r="G2349" i="16"/>
  <c r="D2349" i="16"/>
  <c r="C2349" i="16"/>
  <c r="G2348" i="16"/>
  <c r="D2348" i="16"/>
  <c r="C2348" i="16"/>
  <c r="G2347" i="16"/>
  <c r="D2347" i="16"/>
  <c r="C2347" i="16"/>
  <c r="G2346" i="16"/>
  <c r="D2346" i="16"/>
  <c r="C2346" i="16"/>
  <c r="G2345" i="16"/>
  <c r="D2345" i="16"/>
  <c r="C2345" i="16"/>
  <c r="G2344" i="16"/>
  <c r="D2344" i="16"/>
  <c r="C2344" i="16"/>
  <c r="G2343" i="16"/>
  <c r="D2343" i="16"/>
  <c r="C2343" i="16"/>
  <c r="G2342" i="16"/>
  <c r="D2342" i="16"/>
  <c r="C2342" i="16"/>
  <c r="G2341" i="16"/>
  <c r="D2341" i="16"/>
  <c r="C2341" i="16"/>
  <c r="G2340" i="16"/>
  <c r="D2340" i="16"/>
  <c r="C2340" i="16"/>
  <c r="G2339" i="16"/>
  <c r="D2339" i="16"/>
  <c r="C2339" i="16"/>
  <c r="G2338" i="16"/>
  <c r="D2338" i="16"/>
  <c r="C2338" i="16"/>
  <c r="G2337" i="16"/>
  <c r="D2337" i="16"/>
  <c r="C2337" i="16"/>
  <c r="G2336" i="16"/>
  <c r="D2336" i="16"/>
  <c r="C2336" i="16"/>
  <c r="G2335" i="16"/>
  <c r="D2335" i="16"/>
  <c r="C2335" i="16"/>
  <c r="G2334" i="16"/>
  <c r="D2334" i="16"/>
  <c r="C2334" i="16"/>
  <c r="G2333" i="16"/>
  <c r="D2333" i="16"/>
  <c r="C2333" i="16"/>
  <c r="G2332" i="16"/>
  <c r="D2332" i="16"/>
  <c r="C2332" i="16"/>
  <c r="G2331" i="16"/>
  <c r="D2331" i="16"/>
  <c r="C2331" i="16"/>
  <c r="G2330" i="16"/>
  <c r="D2330" i="16"/>
  <c r="C2330" i="16"/>
  <c r="G2329" i="16"/>
  <c r="D2329" i="16"/>
  <c r="C2329" i="16"/>
  <c r="G2328" i="16"/>
  <c r="D2328" i="16"/>
  <c r="C2328" i="16"/>
  <c r="G2327" i="16"/>
  <c r="D2327" i="16"/>
  <c r="C2327" i="16"/>
  <c r="G2326" i="16"/>
  <c r="D2326" i="16"/>
  <c r="C2326" i="16"/>
  <c r="G2325" i="16"/>
  <c r="D2325" i="16"/>
  <c r="C2325" i="16"/>
  <c r="G2324" i="16"/>
  <c r="D2324" i="16"/>
  <c r="C2324" i="16"/>
  <c r="G2323" i="16"/>
  <c r="D2323" i="16"/>
  <c r="C2323" i="16"/>
  <c r="G2322" i="16"/>
  <c r="D2322" i="16"/>
  <c r="C2322" i="16"/>
  <c r="G2321" i="16"/>
  <c r="D2321" i="16"/>
  <c r="C2321" i="16"/>
  <c r="G2320" i="16"/>
  <c r="D2320" i="16"/>
  <c r="C2320" i="16"/>
  <c r="G2319" i="16"/>
  <c r="D2319" i="16"/>
  <c r="C2319" i="16"/>
  <c r="G2318" i="16"/>
  <c r="D2318" i="16"/>
  <c r="C2318" i="16"/>
  <c r="G2317" i="16"/>
  <c r="D2317" i="16"/>
  <c r="C2317" i="16"/>
  <c r="G2316" i="16"/>
  <c r="D2316" i="16"/>
  <c r="C2316" i="16"/>
  <c r="G2315" i="16"/>
  <c r="D2315" i="16"/>
  <c r="C2315" i="16"/>
  <c r="G2314" i="16"/>
  <c r="D2314" i="16"/>
  <c r="C2314" i="16"/>
  <c r="G2313" i="16"/>
  <c r="D2313" i="16"/>
  <c r="C2313" i="16"/>
  <c r="G2312" i="16"/>
  <c r="D2312" i="16"/>
  <c r="C2312" i="16"/>
  <c r="G2311" i="16"/>
  <c r="D2311" i="16"/>
  <c r="C2311" i="16"/>
  <c r="G2310" i="16"/>
  <c r="D2310" i="16"/>
  <c r="C2310" i="16"/>
  <c r="G2309" i="16"/>
  <c r="D2309" i="16"/>
  <c r="C2309" i="16"/>
  <c r="G2308" i="16"/>
  <c r="D2308" i="16"/>
  <c r="C2308" i="16"/>
  <c r="G2307" i="16"/>
  <c r="D2307" i="16"/>
  <c r="C2307" i="16"/>
  <c r="G2306" i="16"/>
  <c r="D2306" i="16"/>
  <c r="C2306" i="16"/>
  <c r="G2305" i="16"/>
  <c r="D2305" i="16"/>
  <c r="C2305" i="16"/>
  <c r="G2304" i="16"/>
  <c r="D2304" i="16"/>
  <c r="C2304" i="16"/>
  <c r="G2303" i="16"/>
  <c r="D2303" i="16"/>
  <c r="C2303" i="16"/>
  <c r="G2302" i="16"/>
  <c r="D2302" i="16"/>
  <c r="C2302" i="16"/>
  <c r="G2301" i="16"/>
  <c r="D2301" i="16"/>
  <c r="C2301" i="16"/>
  <c r="G2300" i="16"/>
  <c r="D2300" i="16"/>
  <c r="C2300" i="16"/>
  <c r="G2299" i="16"/>
  <c r="D2299" i="16"/>
  <c r="C2299" i="16"/>
  <c r="G2298" i="16"/>
  <c r="D2298" i="16"/>
  <c r="C2298" i="16"/>
  <c r="G2297" i="16"/>
  <c r="D2297" i="16"/>
  <c r="C2297" i="16"/>
  <c r="G2296" i="16"/>
  <c r="D2296" i="16"/>
  <c r="C2296" i="16"/>
  <c r="G2295" i="16"/>
  <c r="D2295" i="16"/>
  <c r="C2295" i="16"/>
  <c r="G2294" i="16"/>
  <c r="D2294" i="16"/>
  <c r="C2294" i="16"/>
  <c r="G2293" i="16"/>
  <c r="D2293" i="16"/>
  <c r="C2293" i="16"/>
  <c r="G2292" i="16"/>
  <c r="D2292" i="16"/>
  <c r="C2292" i="16"/>
  <c r="G2291" i="16"/>
  <c r="D2291" i="16"/>
  <c r="C2291" i="16"/>
  <c r="G2290" i="16"/>
  <c r="D2290" i="16"/>
  <c r="C2290" i="16"/>
  <c r="G2289" i="16"/>
  <c r="D2289" i="16"/>
  <c r="C2289" i="16"/>
  <c r="G2288" i="16"/>
  <c r="D2288" i="16"/>
  <c r="C2288" i="16"/>
  <c r="G2287" i="16"/>
  <c r="D2287" i="16"/>
  <c r="C2287" i="16"/>
  <c r="G2286" i="16"/>
  <c r="D2286" i="16"/>
  <c r="C2286" i="16"/>
  <c r="G2285" i="16"/>
  <c r="D2285" i="16"/>
  <c r="C2285" i="16"/>
  <c r="G2284" i="16"/>
  <c r="D2284" i="16"/>
  <c r="C2284" i="16"/>
  <c r="G2283" i="16"/>
  <c r="D2283" i="16"/>
  <c r="C2283" i="16"/>
  <c r="G2282" i="16"/>
  <c r="D2282" i="16"/>
  <c r="C2282" i="16"/>
  <c r="G2281" i="16"/>
  <c r="D2281" i="16"/>
  <c r="C2281" i="16"/>
  <c r="G2280" i="16"/>
  <c r="D2280" i="16"/>
  <c r="C2280" i="16"/>
  <c r="G2279" i="16"/>
  <c r="D2279" i="16"/>
  <c r="C2279" i="16"/>
  <c r="G2278" i="16"/>
  <c r="D2278" i="16"/>
  <c r="C2278" i="16"/>
  <c r="G2277" i="16"/>
  <c r="D2277" i="16"/>
  <c r="C2277" i="16"/>
  <c r="G2276" i="16"/>
  <c r="D2276" i="16"/>
  <c r="C2276" i="16"/>
  <c r="G2275" i="16"/>
  <c r="D2275" i="16"/>
  <c r="C2275" i="16"/>
  <c r="G2274" i="16"/>
  <c r="D2274" i="16"/>
  <c r="C2274" i="16"/>
  <c r="G2273" i="16"/>
  <c r="D2273" i="16"/>
  <c r="C2273" i="16"/>
  <c r="G2272" i="16"/>
  <c r="D2272" i="16"/>
  <c r="C2272" i="16"/>
  <c r="G2271" i="16"/>
  <c r="D2271" i="16"/>
  <c r="C2271" i="16"/>
  <c r="G2270" i="16"/>
  <c r="D2270" i="16"/>
  <c r="C2270" i="16"/>
  <c r="G2269" i="16"/>
  <c r="D2269" i="16"/>
  <c r="C2269" i="16"/>
  <c r="G2268" i="16"/>
  <c r="D2268" i="16"/>
  <c r="C2268" i="16"/>
  <c r="G2267" i="16"/>
  <c r="D2267" i="16"/>
  <c r="C2267" i="16"/>
  <c r="G2266" i="16"/>
  <c r="D2266" i="16"/>
  <c r="C2266" i="16"/>
  <c r="G2265" i="16"/>
  <c r="D2265" i="16"/>
  <c r="C2265" i="16"/>
  <c r="G2264" i="16"/>
  <c r="D2264" i="16"/>
  <c r="C2264" i="16"/>
  <c r="G2263" i="16"/>
  <c r="D2263" i="16"/>
  <c r="C2263" i="16"/>
  <c r="G2262" i="16"/>
  <c r="D2262" i="16"/>
  <c r="C2262" i="16"/>
  <c r="G2261" i="16"/>
  <c r="D2261" i="16"/>
  <c r="C2261" i="16"/>
  <c r="G2260" i="16"/>
  <c r="D2260" i="16"/>
  <c r="C2260" i="16"/>
  <c r="G2259" i="16"/>
  <c r="D2259" i="16"/>
  <c r="C2259" i="16"/>
  <c r="G2258" i="16"/>
  <c r="D2258" i="16"/>
  <c r="C2258" i="16"/>
  <c r="G2257" i="16"/>
  <c r="D2257" i="16"/>
  <c r="C2257" i="16"/>
  <c r="G2256" i="16"/>
  <c r="D2256" i="16"/>
  <c r="C2256" i="16"/>
  <c r="G2255" i="16"/>
  <c r="D2255" i="16"/>
  <c r="C2255" i="16"/>
  <c r="G2254" i="16"/>
  <c r="D2254" i="16"/>
  <c r="C2254" i="16"/>
  <c r="G2253" i="16"/>
  <c r="D2253" i="16"/>
  <c r="C2253" i="16"/>
  <c r="G2252" i="16"/>
  <c r="D2252" i="16"/>
  <c r="C2252" i="16"/>
  <c r="G2251" i="16"/>
  <c r="D2251" i="16"/>
  <c r="C2251" i="16"/>
  <c r="G2250" i="16"/>
  <c r="D2250" i="16"/>
  <c r="C2250" i="16"/>
  <c r="G2249" i="16"/>
  <c r="D2249" i="16"/>
  <c r="C2249" i="16"/>
  <c r="G2248" i="16"/>
  <c r="D2248" i="16"/>
  <c r="C2248" i="16"/>
  <c r="G2247" i="16"/>
  <c r="D2247" i="16"/>
  <c r="C2247" i="16"/>
  <c r="G2246" i="16"/>
  <c r="D2246" i="16"/>
  <c r="C2246" i="16"/>
  <c r="G2245" i="16"/>
  <c r="D2245" i="16"/>
  <c r="C2245" i="16"/>
  <c r="G2244" i="16"/>
  <c r="D2244" i="16"/>
  <c r="C2244" i="16"/>
  <c r="G2243" i="16"/>
  <c r="D2243" i="16"/>
  <c r="C2243" i="16"/>
  <c r="G2242" i="16"/>
  <c r="D2242" i="16"/>
  <c r="C2242" i="16"/>
  <c r="G2241" i="16"/>
  <c r="D2241" i="16"/>
  <c r="C2241" i="16"/>
  <c r="G2240" i="16"/>
  <c r="D2240" i="16"/>
  <c r="C2240" i="16"/>
  <c r="G2239" i="16"/>
  <c r="D2239" i="16"/>
  <c r="C2239" i="16"/>
  <c r="G2238" i="16"/>
  <c r="D2238" i="16"/>
  <c r="C2238" i="16"/>
  <c r="G2237" i="16"/>
  <c r="D2237" i="16"/>
  <c r="C2237" i="16"/>
  <c r="G2236" i="16"/>
  <c r="D2236" i="16"/>
  <c r="C2236" i="16"/>
  <c r="G2235" i="16"/>
  <c r="D2235" i="16"/>
  <c r="C2235" i="16"/>
  <c r="G2234" i="16"/>
  <c r="D2234" i="16"/>
  <c r="C2234" i="16"/>
  <c r="G2233" i="16"/>
  <c r="D2233" i="16"/>
  <c r="C2233" i="16"/>
  <c r="G2232" i="16"/>
  <c r="D2232" i="16"/>
  <c r="C2232" i="16"/>
  <c r="G2231" i="16"/>
  <c r="D2231" i="16"/>
  <c r="C2231" i="16"/>
  <c r="G2230" i="16"/>
  <c r="D2230" i="16"/>
  <c r="C2230" i="16"/>
  <c r="G2229" i="16"/>
  <c r="D2229" i="16"/>
  <c r="C2229" i="16"/>
  <c r="G2228" i="16"/>
  <c r="D2228" i="16"/>
  <c r="C2228" i="16"/>
  <c r="G2227" i="16"/>
  <c r="D2227" i="16"/>
  <c r="C2227" i="16"/>
  <c r="G2226" i="16"/>
  <c r="D2226" i="16"/>
  <c r="C2226" i="16"/>
  <c r="G2225" i="16"/>
  <c r="D2225" i="16"/>
  <c r="C2225" i="16"/>
  <c r="G2224" i="16"/>
  <c r="D2224" i="16"/>
  <c r="C2224" i="16"/>
  <c r="G2223" i="16"/>
  <c r="D2223" i="16"/>
  <c r="C2223" i="16"/>
  <c r="G2222" i="16"/>
  <c r="D2222" i="16"/>
  <c r="C2222" i="16"/>
  <c r="G2221" i="16"/>
  <c r="D2221" i="16"/>
  <c r="C2221" i="16"/>
  <c r="G2220" i="16"/>
  <c r="D2220" i="16"/>
  <c r="C2220" i="16"/>
  <c r="G2219" i="16"/>
  <c r="D2219" i="16"/>
  <c r="C2219" i="16"/>
  <c r="G2218" i="16"/>
  <c r="D2218" i="16"/>
  <c r="C2218" i="16"/>
  <c r="G2217" i="16"/>
  <c r="D2217" i="16"/>
  <c r="C2217" i="16"/>
  <c r="G2216" i="16"/>
  <c r="D2216" i="16"/>
  <c r="C2216" i="16"/>
  <c r="G2215" i="16"/>
  <c r="D2215" i="16"/>
  <c r="C2215" i="16"/>
  <c r="G2214" i="16"/>
  <c r="D2214" i="16"/>
  <c r="C2214" i="16"/>
  <c r="G2213" i="16"/>
  <c r="D2213" i="16"/>
  <c r="C2213" i="16"/>
  <c r="G2212" i="16"/>
  <c r="D2212" i="16"/>
  <c r="C2212" i="16"/>
  <c r="G2211" i="16"/>
  <c r="D2211" i="16"/>
  <c r="C2211" i="16"/>
  <c r="G2210" i="16"/>
  <c r="D2210" i="16"/>
  <c r="C2210" i="16"/>
  <c r="G2209" i="16"/>
  <c r="D2209" i="16"/>
  <c r="C2209" i="16"/>
  <c r="G2208" i="16"/>
  <c r="D2208" i="16"/>
  <c r="C2208" i="16"/>
  <c r="G2207" i="16"/>
  <c r="D2207" i="16"/>
  <c r="C2207" i="16"/>
  <c r="G2206" i="16"/>
  <c r="D2206" i="16"/>
  <c r="C2206" i="16"/>
  <c r="G2205" i="16"/>
  <c r="D2205" i="16"/>
  <c r="C2205" i="16"/>
  <c r="G2204" i="16"/>
  <c r="D2204" i="16"/>
  <c r="C2204" i="16"/>
  <c r="G2203" i="16"/>
  <c r="D2203" i="16"/>
  <c r="C2203" i="16"/>
  <c r="G2202" i="16"/>
  <c r="D2202" i="16"/>
  <c r="C2202" i="16"/>
  <c r="G2201" i="16"/>
  <c r="D2201" i="16"/>
  <c r="C2201" i="16"/>
  <c r="G2200" i="16"/>
  <c r="D2200" i="16"/>
  <c r="C2200" i="16"/>
  <c r="G2199" i="16"/>
  <c r="D2199" i="16"/>
  <c r="C2199" i="16"/>
  <c r="G2198" i="16"/>
  <c r="D2198" i="16"/>
  <c r="C2198" i="16"/>
  <c r="G2197" i="16"/>
  <c r="D2197" i="16"/>
  <c r="C2197" i="16"/>
  <c r="G2196" i="16"/>
  <c r="D2196" i="16"/>
  <c r="C2196" i="16"/>
  <c r="G2195" i="16"/>
  <c r="D2195" i="16"/>
  <c r="C2195" i="16"/>
  <c r="G2194" i="16"/>
  <c r="D2194" i="16"/>
  <c r="C2194" i="16"/>
  <c r="G2193" i="16"/>
  <c r="D2193" i="16"/>
  <c r="C2193" i="16"/>
  <c r="G2192" i="16"/>
  <c r="D2192" i="16"/>
  <c r="C2192" i="16"/>
  <c r="G2191" i="16"/>
  <c r="D2191" i="16"/>
  <c r="C2191" i="16"/>
  <c r="G2190" i="16"/>
  <c r="D2190" i="16"/>
  <c r="C2190" i="16"/>
  <c r="G2189" i="16"/>
  <c r="D2189" i="16"/>
  <c r="C2189" i="16"/>
  <c r="G2188" i="16"/>
  <c r="D2188" i="16"/>
  <c r="C2188" i="16"/>
  <c r="G2187" i="16"/>
  <c r="D2187" i="16"/>
  <c r="C2187" i="16"/>
  <c r="G2186" i="16"/>
  <c r="D2186" i="16"/>
  <c r="C2186" i="16"/>
  <c r="G2185" i="16"/>
  <c r="D2185" i="16"/>
  <c r="C2185" i="16"/>
  <c r="G2184" i="16"/>
  <c r="D2184" i="16"/>
  <c r="C2184" i="16"/>
  <c r="G2183" i="16"/>
  <c r="D2183" i="16"/>
  <c r="C2183" i="16"/>
  <c r="G2182" i="16"/>
  <c r="D2182" i="16"/>
  <c r="C2182" i="16"/>
  <c r="G2181" i="16"/>
  <c r="D2181" i="16"/>
  <c r="C2181" i="16"/>
  <c r="G2180" i="16"/>
  <c r="D2180" i="16"/>
  <c r="C2180" i="16"/>
  <c r="G2179" i="16"/>
  <c r="D2179" i="16"/>
  <c r="C2179" i="16"/>
  <c r="G2178" i="16"/>
  <c r="D2178" i="16"/>
  <c r="C2178" i="16"/>
  <c r="G2177" i="16"/>
  <c r="D2177" i="16"/>
  <c r="C2177" i="16"/>
  <c r="G2176" i="16"/>
  <c r="D2176" i="16"/>
  <c r="C2176" i="16"/>
  <c r="G2175" i="16"/>
  <c r="D2175" i="16"/>
  <c r="C2175" i="16"/>
  <c r="G2174" i="16"/>
  <c r="D2174" i="16"/>
  <c r="C2174" i="16"/>
  <c r="G2173" i="16"/>
  <c r="D2173" i="16"/>
  <c r="C2173" i="16"/>
  <c r="G2172" i="16"/>
  <c r="D2172" i="16"/>
  <c r="C2172" i="16"/>
  <c r="G2171" i="16"/>
  <c r="D2171" i="16"/>
  <c r="C2171" i="16"/>
  <c r="G2170" i="16"/>
  <c r="D2170" i="16"/>
  <c r="C2170" i="16"/>
  <c r="G2169" i="16"/>
  <c r="D2169" i="16"/>
  <c r="C2169" i="16"/>
  <c r="G2168" i="16"/>
  <c r="D2168" i="16"/>
  <c r="C2168" i="16"/>
  <c r="G2167" i="16"/>
  <c r="D2167" i="16"/>
  <c r="C2167" i="16"/>
  <c r="G2166" i="16"/>
  <c r="D2166" i="16"/>
  <c r="C2166" i="16"/>
  <c r="G2165" i="16"/>
  <c r="D2165" i="16"/>
  <c r="C2165" i="16"/>
  <c r="G2164" i="16"/>
  <c r="D2164" i="16"/>
  <c r="C2164" i="16"/>
  <c r="G2163" i="16"/>
  <c r="D2163" i="16"/>
  <c r="C2163" i="16"/>
  <c r="G2162" i="16"/>
  <c r="D2162" i="16"/>
  <c r="C2162" i="16"/>
  <c r="G2161" i="16"/>
  <c r="D2161" i="16"/>
  <c r="C2161" i="16"/>
  <c r="G2160" i="16"/>
  <c r="D2160" i="16"/>
  <c r="C2160" i="16"/>
  <c r="G2159" i="16"/>
  <c r="D2159" i="16"/>
  <c r="C2159" i="16"/>
  <c r="G2158" i="16"/>
  <c r="D2158" i="16"/>
  <c r="C2158" i="16"/>
  <c r="G2157" i="16"/>
  <c r="D2157" i="16"/>
  <c r="C2157" i="16"/>
  <c r="G2156" i="16"/>
  <c r="D2156" i="16"/>
  <c r="C2156" i="16"/>
  <c r="G2155" i="16"/>
  <c r="D2155" i="16"/>
  <c r="C2155" i="16"/>
  <c r="G2154" i="16"/>
  <c r="D2154" i="16"/>
  <c r="C2154" i="16"/>
  <c r="G2153" i="16"/>
  <c r="D2153" i="16"/>
  <c r="C2153" i="16"/>
  <c r="G2152" i="16"/>
  <c r="D2152" i="16"/>
  <c r="C2152" i="16"/>
  <c r="G2151" i="16"/>
  <c r="D2151" i="16"/>
  <c r="C2151" i="16"/>
  <c r="G2150" i="16"/>
  <c r="D2150" i="16"/>
  <c r="C2150" i="16"/>
  <c r="G2149" i="16"/>
  <c r="D2149" i="16"/>
  <c r="C2149" i="16"/>
  <c r="G2148" i="16"/>
  <c r="D2148" i="16"/>
  <c r="C2148" i="16"/>
  <c r="G2147" i="16"/>
  <c r="D2147" i="16"/>
  <c r="C2147" i="16"/>
  <c r="G2146" i="16"/>
  <c r="D2146" i="16"/>
  <c r="C2146" i="16"/>
  <c r="G2145" i="16"/>
  <c r="D2145" i="16"/>
  <c r="C2145" i="16"/>
  <c r="G2144" i="16"/>
  <c r="D2144" i="16"/>
  <c r="C2144" i="16"/>
  <c r="G2143" i="16"/>
  <c r="D2143" i="16"/>
  <c r="C2143" i="16"/>
  <c r="G2142" i="16"/>
  <c r="D2142" i="16"/>
  <c r="C2142" i="16"/>
  <c r="G2141" i="16"/>
  <c r="D2141" i="16"/>
  <c r="C2141" i="16"/>
  <c r="G2140" i="16"/>
  <c r="D2140" i="16"/>
  <c r="C2140" i="16"/>
  <c r="G2139" i="16"/>
  <c r="D2139" i="16"/>
  <c r="C2139" i="16"/>
  <c r="G2138" i="16"/>
  <c r="D2138" i="16"/>
  <c r="C2138" i="16"/>
  <c r="G2137" i="16"/>
  <c r="D2137" i="16"/>
  <c r="C2137" i="16"/>
  <c r="G2136" i="16"/>
  <c r="D2136" i="16"/>
  <c r="C2136" i="16"/>
  <c r="G2135" i="16"/>
  <c r="D2135" i="16"/>
  <c r="C2135" i="16"/>
  <c r="G2134" i="16"/>
  <c r="D2134" i="16"/>
  <c r="C2134" i="16"/>
  <c r="G2133" i="16"/>
  <c r="D2133" i="16"/>
  <c r="C2133" i="16"/>
  <c r="G2132" i="16"/>
  <c r="D2132" i="16"/>
  <c r="C2132" i="16"/>
  <c r="G2131" i="16"/>
  <c r="D2131" i="16"/>
  <c r="C2131" i="16"/>
  <c r="G2130" i="16"/>
  <c r="D2130" i="16"/>
  <c r="C2130" i="16"/>
  <c r="G2129" i="16"/>
  <c r="D2129" i="16"/>
  <c r="C2129" i="16"/>
  <c r="G2128" i="16"/>
  <c r="D2128" i="16"/>
  <c r="C2128" i="16"/>
  <c r="G2127" i="16"/>
  <c r="D2127" i="16"/>
  <c r="C2127" i="16"/>
  <c r="G2126" i="16"/>
  <c r="D2126" i="16"/>
  <c r="C2126" i="16"/>
  <c r="G2125" i="16"/>
  <c r="D2125" i="16"/>
  <c r="C2125" i="16"/>
  <c r="G2124" i="16"/>
  <c r="D2124" i="16"/>
  <c r="C2124" i="16"/>
  <c r="G2123" i="16"/>
  <c r="D2123" i="16"/>
  <c r="C2123" i="16"/>
  <c r="G2122" i="16"/>
  <c r="D2122" i="16"/>
  <c r="C2122" i="16"/>
  <c r="G2121" i="16"/>
  <c r="D2121" i="16"/>
  <c r="C2121" i="16"/>
  <c r="G2120" i="16"/>
  <c r="D2120" i="16"/>
  <c r="C2120" i="16"/>
  <c r="G2119" i="16"/>
  <c r="D2119" i="16"/>
  <c r="C2119" i="16"/>
  <c r="G2118" i="16"/>
  <c r="D2118" i="16"/>
  <c r="C2118" i="16"/>
  <c r="G2117" i="16"/>
  <c r="D2117" i="16"/>
  <c r="C2117" i="16"/>
  <c r="G2116" i="16"/>
  <c r="D2116" i="16"/>
  <c r="C2116" i="16"/>
  <c r="G2115" i="16"/>
  <c r="D2115" i="16"/>
  <c r="C2115" i="16"/>
  <c r="G2114" i="16"/>
  <c r="D2114" i="16"/>
  <c r="C2114" i="16"/>
  <c r="G2113" i="16"/>
  <c r="D2113" i="16"/>
  <c r="C2113" i="16"/>
  <c r="G2112" i="16"/>
  <c r="D2112" i="16"/>
  <c r="C2112" i="16"/>
  <c r="G2111" i="16"/>
  <c r="D2111" i="16"/>
  <c r="C2111" i="16"/>
  <c r="G2110" i="16"/>
  <c r="D2110" i="16"/>
  <c r="C2110" i="16"/>
  <c r="G2109" i="16"/>
  <c r="D2109" i="16"/>
  <c r="C2109" i="16"/>
  <c r="G2108" i="16"/>
  <c r="D2108" i="16"/>
  <c r="C2108" i="16"/>
  <c r="G2107" i="16"/>
  <c r="D2107" i="16"/>
  <c r="C2107" i="16"/>
  <c r="G2106" i="16"/>
  <c r="D2106" i="16"/>
  <c r="C2106" i="16"/>
  <c r="G2105" i="16"/>
  <c r="D2105" i="16"/>
  <c r="C2105" i="16"/>
  <c r="G2104" i="16"/>
  <c r="D2104" i="16"/>
  <c r="C2104" i="16"/>
  <c r="G2103" i="16"/>
  <c r="D2103" i="16"/>
  <c r="C2103" i="16"/>
  <c r="G2102" i="16"/>
  <c r="D2102" i="16"/>
  <c r="C2102" i="16"/>
  <c r="G2101" i="16"/>
  <c r="D2101" i="16"/>
  <c r="C2101" i="16"/>
  <c r="G2100" i="16"/>
  <c r="D2100" i="16"/>
  <c r="C2100" i="16"/>
  <c r="G2099" i="16"/>
  <c r="D2099" i="16"/>
  <c r="C2099" i="16"/>
  <c r="G2098" i="16"/>
  <c r="D2098" i="16"/>
  <c r="C2098" i="16"/>
  <c r="G2097" i="16"/>
  <c r="D2097" i="16"/>
  <c r="C2097" i="16"/>
  <c r="G2096" i="16"/>
  <c r="D2096" i="16"/>
  <c r="C2096" i="16"/>
  <c r="G2095" i="16"/>
  <c r="D2095" i="16"/>
  <c r="C2095" i="16"/>
  <c r="G2094" i="16"/>
  <c r="D2094" i="16"/>
  <c r="C2094" i="16"/>
  <c r="G2093" i="16"/>
  <c r="D2093" i="16"/>
  <c r="C2093" i="16"/>
  <c r="G2092" i="16"/>
  <c r="D2092" i="16"/>
  <c r="C2092" i="16"/>
  <c r="G2091" i="16"/>
  <c r="D2091" i="16"/>
  <c r="C2091" i="16"/>
  <c r="G2090" i="16"/>
  <c r="D2090" i="16"/>
  <c r="C2090" i="16"/>
  <c r="G2089" i="16"/>
  <c r="D2089" i="16"/>
  <c r="C2089" i="16"/>
  <c r="G2088" i="16"/>
  <c r="D2088" i="16"/>
  <c r="C2088" i="16"/>
  <c r="G2087" i="16"/>
  <c r="D2087" i="16"/>
  <c r="C2087" i="16"/>
  <c r="G2086" i="16"/>
  <c r="D2086" i="16"/>
  <c r="C2086" i="16"/>
  <c r="G2085" i="16"/>
  <c r="D2085" i="16"/>
  <c r="C2085" i="16"/>
  <c r="G2084" i="16"/>
  <c r="D2084" i="16"/>
  <c r="C2084" i="16"/>
  <c r="G2083" i="16"/>
  <c r="D2083" i="16"/>
  <c r="C2083" i="16"/>
  <c r="G2082" i="16"/>
  <c r="D2082" i="16"/>
  <c r="C2082" i="16"/>
  <c r="G2081" i="16"/>
  <c r="D2081" i="16"/>
  <c r="C2081" i="16"/>
  <c r="G2080" i="16"/>
  <c r="D2080" i="16"/>
  <c r="C2080" i="16"/>
  <c r="G2079" i="16"/>
  <c r="D2079" i="16"/>
  <c r="C2079" i="16"/>
  <c r="G2078" i="16"/>
  <c r="D2078" i="16"/>
  <c r="C2078" i="16"/>
  <c r="G2077" i="16"/>
  <c r="D2077" i="16"/>
  <c r="C2077" i="16"/>
  <c r="G2076" i="16"/>
  <c r="D2076" i="16"/>
  <c r="C2076" i="16"/>
  <c r="G2075" i="16"/>
  <c r="D2075" i="16"/>
  <c r="C2075" i="16"/>
  <c r="G2074" i="16"/>
  <c r="D2074" i="16"/>
  <c r="C2074" i="16"/>
  <c r="G2073" i="16"/>
  <c r="D2073" i="16"/>
  <c r="C2073" i="16"/>
  <c r="G2072" i="16"/>
  <c r="D2072" i="16"/>
  <c r="C2072" i="16"/>
  <c r="G2071" i="16"/>
  <c r="D2071" i="16"/>
  <c r="C2071" i="16"/>
  <c r="G2070" i="16"/>
  <c r="D2070" i="16"/>
  <c r="C2070" i="16"/>
  <c r="G2069" i="16"/>
  <c r="D2069" i="16"/>
  <c r="C2069" i="16"/>
  <c r="G2068" i="16"/>
  <c r="D2068" i="16"/>
  <c r="C2068" i="16"/>
  <c r="G2067" i="16"/>
  <c r="D2067" i="16"/>
  <c r="C2067" i="16"/>
  <c r="G2066" i="16"/>
  <c r="D2066" i="16"/>
  <c r="C2066" i="16"/>
  <c r="G2065" i="16"/>
  <c r="D2065" i="16"/>
  <c r="C2065" i="16"/>
  <c r="G2064" i="16"/>
  <c r="D2064" i="16"/>
  <c r="C2064" i="16"/>
  <c r="G2063" i="16"/>
  <c r="D2063" i="16"/>
  <c r="C2063" i="16"/>
  <c r="G2062" i="16"/>
  <c r="D2062" i="16"/>
  <c r="C2062" i="16"/>
  <c r="G2061" i="16"/>
  <c r="D2061" i="16"/>
  <c r="C2061" i="16"/>
  <c r="G2060" i="16"/>
  <c r="D2060" i="16"/>
  <c r="C2060" i="16"/>
  <c r="G2059" i="16"/>
  <c r="D2059" i="16"/>
  <c r="C2059" i="16"/>
  <c r="G2058" i="16"/>
  <c r="D2058" i="16"/>
  <c r="C2058" i="16"/>
  <c r="G2057" i="16"/>
  <c r="D2057" i="16"/>
  <c r="C2057" i="16"/>
  <c r="G2056" i="16"/>
  <c r="D2056" i="16"/>
  <c r="C2056" i="16"/>
  <c r="G2055" i="16"/>
  <c r="D2055" i="16"/>
  <c r="C2055" i="16"/>
  <c r="G2054" i="16"/>
  <c r="D2054" i="16"/>
  <c r="C2054" i="16"/>
  <c r="G2053" i="16"/>
  <c r="D2053" i="16"/>
  <c r="C2053" i="16"/>
  <c r="G2052" i="16"/>
  <c r="D2052" i="16"/>
  <c r="C2052" i="16"/>
  <c r="G2051" i="16"/>
  <c r="D2051" i="16"/>
  <c r="C2051" i="16"/>
  <c r="G2050" i="16"/>
  <c r="D2050" i="16"/>
  <c r="C2050" i="16"/>
  <c r="G2049" i="16"/>
  <c r="D2049" i="16"/>
  <c r="C2049" i="16"/>
  <c r="G2048" i="16"/>
  <c r="D2048" i="16"/>
  <c r="C2048" i="16"/>
  <c r="G2047" i="16"/>
  <c r="D2047" i="16"/>
  <c r="C2047" i="16"/>
  <c r="G2046" i="16"/>
  <c r="D2046" i="16"/>
  <c r="C2046" i="16"/>
  <c r="G2045" i="16"/>
  <c r="D2045" i="16"/>
  <c r="C2045" i="16"/>
  <c r="G2044" i="16"/>
  <c r="D2044" i="16"/>
  <c r="C2044" i="16"/>
  <c r="G2043" i="16"/>
  <c r="D2043" i="16"/>
  <c r="C2043" i="16"/>
  <c r="G2042" i="16"/>
  <c r="D2042" i="16"/>
  <c r="C2042" i="16"/>
  <c r="G2041" i="16"/>
  <c r="D2041" i="16"/>
  <c r="C2041" i="16"/>
  <c r="G2040" i="16"/>
  <c r="D2040" i="16"/>
  <c r="C2040" i="16"/>
  <c r="G2039" i="16"/>
  <c r="D2039" i="16"/>
  <c r="C2039" i="16"/>
  <c r="G2038" i="16"/>
  <c r="D2038" i="16"/>
  <c r="C2038" i="16"/>
  <c r="G2037" i="16"/>
  <c r="D2037" i="16"/>
  <c r="C2037" i="16"/>
  <c r="G2036" i="16"/>
  <c r="D2036" i="16"/>
  <c r="C2036" i="16"/>
  <c r="G2035" i="16"/>
  <c r="D2035" i="16"/>
  <c r="C2035" i="16"/>
  <c r="G2034" i="16"/>
  <c r="D2034" i="16"/>
  <c r="C2034" i="16"/>
  <c r="G2033" i="16"/>
  <c r="D2033" i="16"/>
  <c r="C2033" i="16"/>
  <c r="G2032" i="16"/>
  <c r="D2032" i="16"/>
  <c r="C2032" i="16"/>
  <c r="G2031" i="16"/>
  <c r="D2031" i="16"/>
  <c r="C2031" i="16"/>
  <c r="G2030" i="16"/>
  <c r="D2030" i="16"/>
  <c r="C2030" i="16"/>
  <c r="G2029" i="16"/>
  <c r="D2029" i="16"/>
  <c r="C2029" i="16"/>
  <c r="G2028" i="16"/>
  <c r="D2028" i="16"/>
  <c r="C2028" i="16"/>
  <c r="G2027" i="16"/>
  <c r="D2027" i="16"/>
  <c r="C2027" i="16"/>
  <c r="G2026" i="16"/>
  <c r="D2026" i="16"/>
  <c r="C2026" i="16"/>
  <c r="G2025" i="16"/>
  <c r="D2025" i="16"/>
  <c r="C2025" i="16"/>
  <c r="G2024" i="16"/>
  <c r="D2024" i="16"/>
  <c r="C2024" i="16"/>
  <c r="G2023" i="16"/>
  <c r="D2023" i="16"/>
  <c r="C2023" i="16"/>
  <c r="G2022" i="16"/>
  <c r="D2022" i="16"/>
  <c r="C2022" i="16"/>
  <c r="G2021" i="16"/>
  <c r="D2021" i="16"/>
  <c r="C2021" i="16"/>
  <c r="G2020" i="16"/>
  <c r="D2020" i="16"/>
  <c r="C2020" i="16"/>
  <c r="G2019" i="16"/>
  <c r="D2019" i="16"/>
  <c r="C2019" i="16"/>
  <c r="G2018" i="16"/>
  <c r="D2018" i="16"/>
  <c r="C2018" i="16"/>
  <c r="G2017" i="16"/>
  <c r="D2017" i="16"/>
  <c r="C2017" i="16"/>
  <c r="G2016" i="16"/>
  <c r="D2016" i="16"/>
  <c r="C2016" i="16"/>
  <c r="G2015" i="16"/>
  <c r="D2015" i="16"/>
  <c r="C2015" i="16"/>
  <c r="G2014" i="16"/>
  <c r="D2014" i="16"/>
  <c r="C2014" i="16"/>
  <c r="G2013" i="16"/>
  <c r="D2013" i="16"/>
  <c r="C2013" i="16"/>
  <c r="G2012" i="16"/>
  <c r="D2012" i="16"/>
  <c r="C2012" i="16"/>
  <c r="G2011" i="16"/>
  <c r="D2011" i="16"/>
  <c r="C2011" i="16"/>
  <c r="G2010" i="16"/>
  <c r="D2010" i="16"/>
  <c r="C2010" i="16"/>
  <c r="G2009" i="16"/>
  <c r="D2009" i="16"/>
  <c r="C2009" i="16"/>
  <c r="G2008" i="16"/>
  <c r="D2008" i="16"/>
  <c r="C2008" i="16"/>
  <c r="G2007" i="16"/>
  <c r="D2007" i="16"/>
  <c r="C2007" i="16"/>
  <c r="G2006" i="16"/>
  <c r="D2006" i="16"/>
  <c r="C2006" i="16"/>
  <c r="G2005" i="16"/>
  <c r="D2005" i="16"/>
  <c r="C2005" i="16"/>
  <c r="G2004" i="16"/>
  <c r="D2004" i="16"/>
  <c r="C2004" i="16"/>
  <c r="G2003" i="16"/>
  <c r="D2003" i="16"/>
  <c r="C2003" i="16"/>
  <c r="G2002" i="16"/>
  <c r="D2002" i="16"/>
  <c r="C2002" i="16"/>
  <c r="G2001" i="16"/>
  <c r="D2001" i="16"/>
  <c r="C2001" i="16"/>
  <c r="G2000" i="16"/>
  <c r="D2000" i="16"/>
  <c r="C2000" i="16"/>
  <c r="G1999" i="16"/>
  <c r="D1999" i="16"/>
  <c r="C1999" i="16"/>
  <c r="G1998" i="16"/>
  <c r="D1998" i="16"/>
  <c r="C1998" i="16"/>
  <c r="G1997" i="16"/>
  <c r="D1997" i="16"/>
  <c r="C1997" i="16"/>
  <c r="G1996" i="16"/>
  <c r="D1996" i="16"/>
  <c r="C1996" i="16"/>
  <c r="G1995" i="16"/>
  <c r="D1995" i="16"/>
  <c r="C1995" i="16"/>
  <c r="G1994" i="16"/>
  <c r="D1994" i="16"/>
  <c r="C1994" i="16"/>
  <c r="G1993" i="16"/>
  <c r="D1993" i="16"/>
  <c r="C1993" i="16"/>
  <c r="G1992" i="16"/>
  <c r="D1992" i="16"/>
  <c r="C1992" i="16"/>
  <c r="G1991" i="16"/>
  <c r="D1991" i="16"/>
  <c r="C1991" i="16"/>
  <c r="G1990" i="16"/>
  <c r="D1990" i="16"/>
  <c r="C1990" i="16"/>
  <c r="G1989" i="16"/>
  <c r="D1989" i="16"/>
  <c r="C1989" i="16"/>
  <c r="G1988" i="16"/>
  <c r="D1988" i="16"/>
  <c r="C1988" i="16"/>
  <c r="G1987" i="16"/>
  <c r="D1987" i="16"/>
  <c r="C1987" i="16"/>
  <c r="G1986" i="16"/>
  <c r="D1986" i="16"/>
  <c r="C1986" i="16"/>
  <c r="G1985" i="16"/>
  <c r="D1985" i="16"/>
  <c r="C1985" i="16"/>
  <c r="G1984" i="16"/>
  <c r="D1984" i="16"/>
  <c r="C1984" i="16"/>
  <c r="G1983" i="16"/>
  <c r="D1983" i="16"/>
  <c r="C1983" i="16"/>
  <c r="G1982" i="16"/>
  <c r="D1982" i="16"/>
  <c r="C1982" i="16"/>
  <c r="G1981" i="16"/>
  <c r="D1981" i="16"/>
  <c r="C1981" i="16"/>
  <c r="G1980" i="16"/>
  <c r="D1980" i="16"/>
  <c r="C1980" i="16"/>
  <c r="G1979" i="16"/>
  <c r="D1979" i="16"/>
  <c r="C1979" i="16"/>
  <c r="G1978" i="16"/>
  <c r="D1978" i="16"/>
  <c r="C1978" i="16"/>
  <c r="G1977" i="16"/>
  <c r="D1977" i="16"/>
  <c r="C1977" i="16"/>
  <c r="G1976" i="16"/>
  <c r="D1976" i="16"/>
  <c r="C1976" i="16"/>
  <c r="G1975" i="16"/>
  <c r="D1975" i="16"/>
  <c r="C1975" i="16"/>
  <c r="G1974" i="16"/>
  <c r="D1974" i="16"/>
  <c r="C1974" i="16"/>
  <c r="G1973" i="16"/>
  <c r="D1973" i="16"/>
  <c r="C1973" i="16"/>
  <c r="G1972" i="16"/>
  <c r="D1972" i="16"/>
  <c r="C1972" i="16"/>
  <c r="G1971" i="16"/>
  <c r="D1971" i="16"/>
  <c r="C1971" i="16"/>
  <c r="G1970" i="16"/>
  <c r="D1970" i="16"/>
  <c r="C1970" i="16"/>
  <c r="G1969" i="16"/>
  <c r="D1969" i="16"/>
  <c r="C1969" i="16"/>
  <c r="G1968" i="16"/>
  <c r="D1968" i="16"/>
  <c r="C1968" i="16"/>
  <c r="G1967" i="16"/>
  <c r="D1967" i="16"/>
  <c r="C1967" i="16"/>
  <c r="G1966" i="16"/>
  <c r="D1966" i="16"/>
  <c r="C1966" i="16"/>
  <c r="G1965" i="16"/>
  <c r="D1965" i="16"/>
  <c r="C1965" i="16"/>
  <c r="G1964" i="16"/>
  <c r="D1964" i="16"/>
  <c r="C1964" i="16"/>
  <c r="G1963" i="16"/>
  <c r="D1963" i="16"/>
  <c r="C1963" i="16"/>
  <c r="G1962" i="16"/>
  <c r="D1962" i="16"/>
  <c r="C1962" i="16"/>
  <c r="G1961" i="16"/>
  <c r="D1961" i="16"/>
  <c r="C1961" i="16"/>
  <c r="G1960" i="16"/>
  <c r="D1960" i="16"/>
  <c r="C1960" i="16"/>
  <c r="G1959" i="16"/>
  <c r="D1959" i="16"/>
  <c r="C1959" i="16"/>
  <c r="G1958" i="16"/>
  <c r="D1958" i="16"/>
  <c r="C1958" i="16"/>
  <c r="G1957" i="16"/>
  <c r="D1957" i="16"/>
  <c r="C1957" i="16"/>
  <c r="G1956" i="16"/>
  <c r="D1956" i="16"/>
  <c r="C1956" i="16"/>
  <c r="G1955" i="16"/>
  <c r="D1955" i="16"/>
  <c r="C1955" i="16"/>
  <c r="G1954" i="16"/>
  <c r="D1954" i="16"/>
  <c r="C1954" i="16"/>
  <c r="G1953" i="16"/>
  <c r="D1953" i="16"/>
  <c r="C1953" i="16"/>
  <c r="G1952" i="16"/>
  <c r="D1952" i="16"/>
  <c r="C1952" i="16"/>
  <c r="G1951" i="16"/>
  <c r="D1951" i="16"/>
  <c r="C1951" i="16"/>
  <c r="G1950" i="16"/>
  <c r="D1950" i="16"/>
  <c r="C1950" i="16"/>
  <c r="G1949" i="16"/>
  <c r="D1949" i="16"/>
  <c r="C1949" i="16"/>
  <c r="G1948" i="16"/>
  <c r="D1948" i="16"/>
  <c r="C1948" i="16"/>
  <c r="G1947" i="16"/>
  <c r="D1947" i="16"/>
  <c r="C1947" i="16"/>
  <c r="G1946" i="16"/>
  <c r="D1946" i="16"/>
  <c r="C1946" i="16"/>
  <c r="G1945" i="16"/>
  <c r="D1945" i="16"/>
  <c r="C1945" i="16"/>
  <c r="G1944" i="16"/>
  <c r="D1944" i="16"/>
  <c r="C1944" i="16"/>
  <c r="G1943" i="16"/>
  <c r="D1943" i="16"/>
  <c r="C1943" i="16"/>
  <c r="G1942" i="16"/>
  <c r="D1942" i="16"/>
  <c r="C1942" i="16"/>
  <c r="G1941" i="16"/>
  <c r="D1941" i="16"/>
  <c r="C1941" i="16"/>
  <c r="G1940" i="16"/>
  <c r="D1940" i="16"/>
  <c r="C1940" i="16"/>
  <c r="G1939" i="16"/>
  <c r="D1939" i="16"/>
  <c r="C1939" i="16"/>
  <c r="G1938" i="16"/>
  <c r="D1938" i="16"/>
  <c r="C1938" i="16"/>
  <c r="G1937" i="16"/>
  <c r="D1937" i="16"/>
  <c r="C1937" i="16"/>
  <c r="G1936" i="16"/>
  <c r="D1936" i="16"/>
  <c r="C1936" i="16"/>
  <c r="G1935" i="16"/>
  <c r="D1935" i="16"/>
  <c r="C1935" i="16"/>
  <c r="G1934" i="16"/>
  <c r="D1934" i="16"/>
  <c r="C1934" i="16"/>
  <c r="G1933" i="16"/>
  <c r="D1933" i="16"/>
  <c r="C1933" i="16"/>
  <c r="G1932" i="16"/>
  <c r="D1932" i="16"/>
  <c r="C1932" i="16"/>
  <c r="G1931" i="16"/>
  <c r="D1931" i="16"/>
  <c r="C1931" i="16"/>
  <c r="G1930" i="16"/>
  <c r="D1930" i="16"/>
  <c r="C1930" i="16"/>
  <c r="G1929" i="16"/>
  <c r="D1929" i="16"/>
  <c r="C1929" i="16"/>
  <c r="G1928" i="16"/>
  <c r="D1928" i="16"/>
  <c r="C1928" i="16"/>
  <c r="G1927" i="16"/>
  <c r="D1927" i="16"/>
  <c r="C1927" i="16"/>
  <c r="G1926" i="16"/>
  <c r="D1926" i="16"/>
  <c r="C1926" i="16"/>
  <c r="G1925" i="16"/>
  <c r="D1925" i="16"/>
  <c r="C1925" i="16"/>
  <c r="G1924" i="16"/>
  <c r="D1924" i="16"/>
  <c r="C1924" i="16"/>
  <c r="G1923" i="16"/>
  <c r="D1923" i="16"/>
  <c r="C1923" i="16"/>
  <c r="G1922" i="16"/>
  <c r="D1922" i="16"/>
  <c r="C1922" i="16"/>
  <c r="G1921" i="16"/>
  <c r="D1921" i="16"/>
  <c r="C1921" i="16"/>
  <c r="G1920" i="16"/>
  <c r="D1920" i="16"/>
  <c r="C1920" i="16"/>
  <c r="G1919" i="16"/>
  <c r="D1919" i="16"/>
  <c r="C1919" i="16"/>
  <c r="G1918" i="16"/>
  <c r="D1918" i="16"/>
  <c r="C1918" i="16"/>
  <c r="G1917" i="16"/>
  <c r="D1917" i="16"/>
  <c r="C1917" i="16"/>
  <c r="G1916" i="16"/>
  <c r="D1916" i="16"/>
  <c r="C1916" i="16"/>
  <c r="G1915" i="16"/>
  <c r="D1915" i="16"/>
  <c r="C1915" i="16"/>
  <c r="G1914" i="16"/>
  <c r="D1914" i="16"/>
  <c r="C1914" i="16"/>
  <c r="G1913" i="16"/>
  <c r="D1913" i="16"/>
  <c r="C1913" i="16"/>
  <c r="G1912" i="16"/>
  <c r="D1912" i="16"/>
  <c r="C1912" i="16"/>
  <c r="G1911" i="16"/>
  <c r="D1911" i="16"/>
  <c r="C1911" i="16"/>
  <c r="G1910" i="16"/>
  <c r="D1910" i="16"/>
  <c r="C1910" i="16"/>
  <c r="G1909" i="16"/>
  <c r="D1909" i="16"/>
  <c r="C1909" i="16"/>
  <c r="G1908" i="16"/>
  <c r="D1908" i="16"/>
  <c r="C1908" i="16"/>
  <c r="G1907" i="16"/>
  <c r="D1907" i="16"/>
  <c r="C1907" i="16"/>
  <c r="G1906" i="16"/>
  <c r="D1906" i="16"/>
  <c r="C1906" i="16"/>
  <c r="G1905" i="16"/>
  <c r="D1905" i="16"/>
  <c r="C1905" i="16"/>
  <c r="G1904" i="16"/>
  <c r="D1904" i="16"/>
  <c r="C1904" i="16"/>
  <c r="G1903" i="16"/>
  <c r="D1903" i="16"/>
  <c r="C1903" i="16"/>
  <c r="G1902" i="16"/>
  <c r="D1902" i="16"/>
  <c r="C1902" i="16"/>
  <c r="G1901" i="16"/>
  <c r="D1901" i="16"/>
  <c r="C1901" i="16"/>
  <c r="G1900" i="16"/>
  <c r="D1900" i="16"/>
  <c r="C1900" i="16"/>
  <c r="G1899" i="16"/>
  <c r="D1899" i="16"/>
  <c r="C1899" i="16"/>
  <c r="G1898" i="16"/>
  <c r="D1898" i="16"/>
  <c r="C1898" i="16"/>
  <c r="G1897" i="16"/>
  <c r="D1897" i="16"/>
  <c r="C1897" i="16"/>
  <c r="G1896" i="16"/>
  <c r="D1896" i="16"/>
  <c r="C1896" i="16"/>
  <c r="G1895" i="16"/>
  <c r="D1895" i="16"/>
  <c r="C1895" i="16"/>
  <c r="G1894" i="16"/>
  <c r="D1894" i="16"/>
  <c r="C1894" i="16"/>
  <c r="G1893" i="16"/>
  <c r="D1893" i="16"/>
  <c r="C1893" i="16"/>
  <c r="G1892" i="16"/>
  <c r="D1892" i="16"/>
  <c r="C1892" i="16"/>
  <c r="G1891" i="16"/>
  <c r="D1891" i="16"/>
  <c r="C1891" i="16"/>
  <c r="G1890" i="16"/>
  <c r="D1890" i="16"/>
  <c r="C1890" i="16"/>
  <c r="G1889" i="16"/>
  <c r="D1889" i="16"/>
  <c r="C1889" i="16"/>
  <c r="G1888" i="16"/>
  <c r="D1888" i="16"/>
  <c r="C1888" i="16"/>
  <c r="G1887" i="16"/>
  <c r="D1887" i="16"/>
  <c r="C1887" i="16"/>
  <c r="G1886" i="16"/>
  <c r="D1886" i="16"/>
  <c r="C1886" i="16"/>
  <c r="G1885" i="16"/>
  <c r="D1885" i="16"/>
  <c r="C1885" i="16"/>
  <c r="G1884" i="16"/>
  <c r="D1884" i="16"/>
  <c r="C1884" i="16"/>
  <c r="G1883" i="16"/>
  <c r="D1883" i="16"/>
  <c r="C1883" i="16"/>
  <c r="G1882" i="16"/>
  <c r="D1882" i="16"/>
  <c r="C1882" i="16"/>
  <c r="G1881" i="16"/>
  <c r="D1881" i="16"/>
  <c r="C1881" i="16"/>
  <c r="G1880" i="16"/>
  <c r="D1880" i="16"/>
  <c r="C1880" i="16"/>
  <c r="G1879" i="16"/>
  <c r="D1879" i="16"/>
  <c r="C1879" i="16"/>
  <c r="G1878" i="16"/>
  <c r="D1878" i="16"/>
  <c r="C1878" i="16"/>
  <c r="G1877" i="16"/>
  <c r="D1877" i="16"/>
  <c r="C1877" i="16"/>
  <c r="G1876" i="16"/>
  <c r="D1876" i="16"/>
  <c r="C1876" i="16"/>
  <c r="G1875" i="16"/>
  <c r="D1875" i="16"/>
  <c r="C1875" i="16"/>
  <c r="G1874" i="16"/>
  <c r="D1874" i="16"/>
  <c r="C1874" i="16"/>
  <c r="G1873" i="16"/>
  <c r="D1873" i="16"/>
  <c r="C1873" i="16"/>
  <c r="G1872" i="16"/>
  <c r="D1872" i="16"/>
  <c r="C1872" i="16"/>
  <c r="G1871" i="16"/>
  <c r="D1871" i="16"/>
  <c r="C1871" i="16"/>
  <c r="G1870" i="16"/>
  <c r="D1870" i="16"/>
  <c r="C1870" i="16"/>
  <c r="G1869" i="16"/>
  <c r="D1869" i="16"/>
  <c r="C1869" i="16"/>
  <c r="G1868" i="16"/>
  <c r="D1868" i="16"/>
  <c r="C1868" i="16"/>
  <c r="G1867" i="16"/>
  <c r="D1867" i="16"/>
  <c r="C1867" i="16"/>
  <c r="G1866" i="16"/>
  <c r="D1866" i="16"/>
  <c r="C1866" i="16"/>
  <c r="G1865" i="16"/>
  <c r="D1865" i="16"/>
  <c r="C1865" i="16"/>
  <c r="G1864" i="16"/>
  <c r="D1864" i="16"/>
  <c r="C1864" i="16"/>
  <c r="G1863" i="16"/>
  <c r="D1863" i="16"/>
  <c r="C1863" i="16"/>
  <c r="G1862" i="16"/>
  <c r="D1862" i="16"/>
  <c r="C1862" i="16"/>
  <c r="G1861" i="16"/>
  <c r="D1861" i="16"/>
  <c r="C1861" i="16"/>
  <c r="G1860" i="16"/>
  <c r="D1860" i="16"/>
  <c r="C1860" i="16"/>
  <c r="G1859" i="16"/>
  <c r="D1859" i="16"/>
  <c r="C1859" i="16"/>
  <c r="G1858" i="16"/>
  <c r="D1858" i="16"/>
  <c r="C1858" i="16"/>
  <c r="G1857" i="16"/>
  <c r="D1857" i="16"/>
  <c r="C1857" i="16"/>
  <c r="G1856" i="16"/>
  <c r="D1856" i="16"/>
  <c r="C1856" i="16"/>
  <c r="G1855" i="16"/>
  <c r="D1855" i="16"/>
  <c r="C1855" i="16"/>
  <c r="G1854" i="16"/>
  <c r="D1854" i="16"/>
  <c r="C1854" i="16"/>
  <c r="G1853" i="16"/>
  <c r="D1853" i="16"/>
  <c r="C1853" i="16"/>
  <c r="G1852" i="16"/>
  <c r="D1852" i="16"/>
  <c r="C1852" i="16"/>
  <c r="G1851" i="16"/>
  <c r="D1851" i="16"/>
  <c r="C1851" i="16"/>
  <c r="G1850" i="16"/>
  <c r="D1850" i="16"/>
  <c r="C1850" i="16"/>
  <c r="G1849" i="16"/>
  <c r="D1849" i="16"/>
  <c r="C1849" i="16"/>
  <c r="G1848" i="16"/>
  <c r="D1848" i="16"/>
  <c r="C1848" i="16"/>
  <c r="G1847" i="16"/>
  <c r="D1847" i="16"/>
  <c r="C1847" i="16"/>
  <c r="G1846" i="16"/>
  <c r="D1846" i="16"/>
  <c r="C1846" i="16"/>
  <c r="G1845" i="16"/>
  <c r="D1845" i="16"/>
  <c r="C1845" i="16"/>
  <c r="G1844" i="16"/>
  <c r="D1844" i="16"/>
  <c r="C1844" i="16"/>
  <c r="G1843" i="16"/>
  <c r="D1843" i="16"/>
  <c r="C1843" i="16"/>
  <c r="G1842" i="16"/>
  <c r="D1842" i="16"/>
  <c r="C1842" i="16"/>
  <c r="G1841" i="16"/>
  <c r="D1841" i="16"/>
  <c r="C1841" i="16"/>
  <c r="G1840" i="16"/>
  <c r="D1840" i="16"/>
  <c r="C1840" i="16"/>
  <c r="G1839" i="16"/>
  <c r="D1839" i="16"/>
  <c r="C1839" i="16"/>
  <c r="G1838" i="16"/>
  <c r="D1838" i="16"/>
  <c r="C1838" i="16"/>
  <c r="G1837" i="16"/>
  <c r="D1837" i="16"/>
  <c r="C1837" i="16"/>
  <c r="G1836" i="16"/>
  <c r="D1836" i="16"/>
  <c r="C1836" i="16"/>
  <c r="G1835" i="16"/>
  <c r="D1835" i="16"/>
  <c r="C1835" i="16"/>
  <c r="G1834" i="16"/>
  <c r="D1834" i="16"/>
  <c r="C1834" i="16"/>
  <c r="G1833" i="16"/>
  <c r="D1833" i="16"/>
  <c r="C1833" i="16"/>
  <c r="G1832" i="16"/>
  <c r="D1832" i="16"/>
  <c r="C1832" i="16"/>
  <c r="G1831" i="16"/>
  <c r="D1831" i="16"/>
  <c r="C1831" i="16"/>
  <c r="G1830" i="16"/>
  <c r="D1830" i="16"/>
  <c r="C1830" i="16"/>
  <c r="G1829" i="16"/>
  <c r="D1829" i="16"/>
  <c r="C1829" i="16"/>
  <c r="G1828" i="16"/>
  <c r="D1828" i="16"/>
  <c r="C1828" i="16"/>
  <c r="G1827" i="16"/>
  <c r="D1827" i="16"/>
  <c r="C1827" i="16"/>
  <c r="G1826" i="16"/>
  <c r="D1826" i="16"/>
  <c r="C1826" i="16"/>
  <c r="G1825" i="16"/>
  <c r="D1825" i="16"/>
  <c r="C1825" i="16"/>
  <c r="G1824" i="16"/>
  <c r="D1824" i="16"/>
  <c r="C1824" i="16"/>
  <c r="G1823" i="16"/>
  <c r="D1823" i="16"/>
  <c r="C1823" i="16"/>
  <c r="G1822" i="16"/>
  <c r="D1822" i="16"/>
  <c r="C1822" i="16"/>
  <c r="G1821" i="16"/>
  <c r="D1821" i="16"/>
  <c r="C1821" i="16"/>
  <c r="G1820" i="16"/>
  <c r="D1820" i="16"/>
  <c r="C1820" i="16"/>
  <c r="G1819" i="16"/>
  <c r="D1819" i="16"/>
  <c r="C1819" i="16"/>
  <c r="G1818" i="16"/>
  <c r="D1818" i="16"/>
  <c r="C1818" i="16"/>
  <c r="G1817" i="16"/>
  <c r="D1817" i="16"/>
  <c r="C1817" i="16"/>
  <c r="G1816" i="16"/>
  <c r="D1816" i="16"/>
  <c r="C1816" i="16"/>
  <c r="G1815" i="16"/>
  <c r="D1815" i="16"/>
  <c r="C1815" i="16"/>
  <c r="G1814" i="16"/>
  <c r="D1814" i="16"/>
  <c r="C1814" i="16"/>
  <c r="G1813" i="16"/>
  <c r="D1813" i="16"/>
  <c r="C1813" i="16"/>
  <c r="G1812" i="16"/>
  <c r="D1812" i="16"/>
  <c r="C1812" i="16"/>
  <c r="G1811" i="16"/>
  <c r="D1811" i="16"/>
  <c r="C1811" i="16"/>
  <c r="G1810" i="16"/>
  <c r="D1810" i="16"/>
  <c r="C1810" i="16"/>
  <c r="G1809" i="16"/>
  <c r="D1809" i="16"/>
  <c r="C1809" i="16"/>
  <c r="G1808" i="16"/>
  <c r="D1808" i="16"/>
  <c r="C1808" i="16"/>
  <c r="G1807" i="16"/>
  <c r="D1807" i="16"/>
  <c r="C1807" i="16"/>
  <c r="G1806" i="16"/>
  <c r="D1806" i="16"/>
  <c r="C1806" i="16"/>
  <c r="G1805" i="16"/>
  <c r="D1805" i="16"/>
  <c r="C1805" i="16"/>
  <c r="G1804" i="16"/>
  <c r="D1804" i="16"/>
  <c r="C1804" i="16"/>
  <c r="G1803" i="16"/>
  <c r="D1803" i="16"/>
  <c r="C1803" i="16"/>
  <c r="G1802" i="16"/>
  <c r="D1802" i="16"/>
  <c r="C1802" i="16"/>
  <c r="G1801" i="16"/>
  <c r="D1801" i="16"/>
  <c r="C1801" i="16"/>
  <c r="G1800" i="16"/>
  <c r="D1800" i="16"/>
  <c r="C1800" i="16"/>
  <c r="G1799" i="16"/>
  <c r="D1799" i="16"/>
  <c r="C1799" i="16"/>
  <c r="G1798" i="16"/>
  <c r="D1798" i="16"/>
  <c r="C1798" i="16"/>
  <c r="G1797" i="16"/>
  <c r="D1797" i="16"/>
  <c r="C1797" i="16"/>
  <c r="G1796" i="16"/>
  <c r="D1796" i="16"/>
  <c r="C1796" i="16"/>
  <c r="G1795" i="16"/>
  <c r="D1795" i="16"/>
  <c r="C1795" i="16"/>
  <c r="G1794" i="16"/>
  <c r="D1794" i="16"/>
  <c r="C1794" i="16"/>
  <c r="G1793" i="16"/>
  <c r="D1793" i="16"/>
  <c r="C1793" i="16"/>
  <c r="G1792" i="16"/>
  <c r="D1792" i="16"/>
  <c r="C1792" i="16"/>
  <c r="G1791" i="16"/>
  <c r="D1791" i="16"/>
  <c r="C1791" i="16"/>
  <c r="G1790" i="16"/>
  <c r="D1790" i="16"/>
  <c r="C1790" i="16"/>
  <c r="G1789" i="16"/>
  <c r="D1789" i="16"/>
  <c r="C1789" i="16"/>
  <c r="G1788" i="16"/>
  <c r="D1788" i="16"/>
  <c r="C1788" i="16"/>
  <c r="G1787" i="16"/>
  <c r="D1787" i="16"/>
  <c r="C1787" i="16"/>
  <c r="G1786" i="16"/>
  <c r="D1786" i="16"/>
  <c r="C1786" i="16"/>
  <c r="G1785" i="16"/>
  <c r="D1785" i="16"/>
  <c r="C1785" i="16"/>
  <c r="G1784" i="16"/>
  <c r="D1784" i="16"/>
  <c r="C1784" i="16"/>
  <c r="G1783" i="16"/>
  <c r="D1783" i="16"/>
  <c r="C1783" i="16"/>
  <c r="G1782" i="16"/>
  <c r="D1782" i="16"/>
  <c r="C1782" i="16"/>
  <c r="G1781" i="16"/>
  <c r="D1781" i="16"/>
  <c r="C1781" i="16"/>
  <c r="G1780" i="16"/>
  <c r="D1780" i="16"/>
  <c r="C1780" i="16"/>
  <c r="G1779" i="16"/>
  <c r="D1779" i="16"/>
  <c r="C1779" i="16"/>
  <c r="G1778" i="16"/>
  <c r="D1778" i="16"/>
  <c r="C1778" i="16"/>
  <c r="G1777" i="16"/>
  <c r="D1777" i="16"/>
  <c r="C1777" i="16"/>
  <c r="G1776" i="16"/>
  <c r="D1776" i="16"/>
  <c r="C1776" i="16"/>
  <c r="G1775" i="16"/>
  <c r="D1775" i="16"/>
  <c r="C1775" i="16"/>
  <c r="G1774" i="16"/>
  <c r="D1774" i="16"/>
  <c r="C1774" i="16"/>
  <c r="G1773" i="16"/>
  <c r="D1773" i="16"/>
  <c r="C1773" i="16"/>
  <c r="G1772" i="16"/>
  <c r="D1772" i="16"/>
  <c r="C1772" i="16"/>
  <c r="G1771" i="16"/>
  <c r="D1771" i="16"/>
  <c r="C1771" i="16"/>
  <c r="G1770" i="16"/>
  <c r="D1770" i="16"/>
  <c r="C1770" i="16"/>
  <c r="G1769" i="16"/>
  <c r="D1769" i="16"/>
  <c r="C1769" i="16"/>
  <c r="G1768" i="16"/>
  <c r="D1768" i="16"/>
  <c r="C1768" i="16"/>
  <c r="G1767" i="16"/>
  <c r="D1767" i="16"/>
  <c r="C1767" i="16"/>
  <c r="G1766" i="16"/>
  <c r="D1766" i="16"/>
  <c r="C1766" i="16"/>
  <c r="G1765" i="16"/>
  <c r="D1765" i="16"/>
  <c r="C1765" i="16"/>
  <c r="G1764" i="16"/>
  <c r="D1764" i="16"/>
  <c r="C1764" i="16"/>
  <c r="G1763" i="16"/>
  <c r="D1763" i="16"/>
  <c r="C1763" i="16"/>
  <c r="G1762" i="16"/>
  <c r="D1762" i="16"/>
  <c r="C1762" i="16"/>
  <c r="G1761" i="16"/>
  <c r="D1761" i="16"/>
  <c r="C1761" i="16"/>
  <c r="G1760" i="16"/>
  <c r="D1760" i="16"/>
  <c r="C1760" i="16"/>
  <c r="G1759" i="16"/>
  <c r="D1759" i="16"/>
  <c r="C1759" i="16"/>
  <c r="G1758" i="16"/>
  <c r="D1758" i="16"/>
  <c r="C1758" i="16"/>
  <c r="G1757" i="16"/>
  <c r="D1757" i="16"/>
  <c r="C1757" i="16"/>
  <c r="G1756" i="16"/>
  <c r="D1756" i="16"/>
  <c r="C1756" i="16"/>
  <c r="G1755" i="16"/>
  <c r="D1755" i="16"/>
  <c r="C1755" i="16"/>
  <c r="G1754" i="16"/>
  <c r="D1754" i="16"/>
  <c r="C1754" i="16"/>
  <c r="G1753" i="16"/>
  <c r="D1753" i="16"/>
  <c r="C1753" i="16"/>
  <c r="G1752" i="16"/>
  <c r="D1752" i="16"/>
  <c r="C1752" i="16"/>
  <c r="G1751" i="16"/>
  <c r="D1751" i="16"/>
  <c r="C1751" i="16"/>
  <c r="G1750" i="16"/>
  <c r="D1750" i="16"/>
  <c r="C1750" i="16"/>
  <c r="G1749" i="16"/>
  <c r="D1749" i="16"/>
  <c r="C1749" i="16"/>
  <c r="G1748" i="16"/>
  <c r="D1748" i="16"/>
  <c r="C1748" i="16"/>
  <c r="G1747" i="16"/>
  <c r="D1747" i="16"/>
  <c r="C1747" i="16"/>
  <c r="G1746" i="16"/>
  <c r="D1746" i="16"/>
  <c r="C1746" i="16"/>
  <c r="G1745" i="16"/>
  <c r="D1745" i="16"/>
  <c r="C1745" i="16"/>
  <c r="G1744" i="16"/>
  <c r="D1744" i="16"/>
  <c r="C1744" i="16"/>
  <c r="G1743" i="16"/>
  <c r="D1743" i="16"/>
  <c r="C1743" i="16"/>
  <c r="G1742" i="16"/>
  <c r="D1742" i="16"/>
  <c r="C1742" i="16"/>
  <c r="G1741" i="16"/>
  <c r="D1741" i="16"/>
  <c r="C1741" i="16"/>
  <c r="G1740" i="16"/>
  <c r="D1740" i="16"/>
  <c r="C1740" i="16"/>
  <c r="G1739" i="16"/>
  <c r="D1739" i="16"/>
  <c r="C1739" i="16"/>
  <c r="G1738" i="16"/>
  <c r="D1738" i="16"/>
  <c r="C1738" i="16"/>
  <c r="G1737" i="16"/>
  <c r="D1737" i="16"/>
  <c r="C1737" i="16"/>
  <c r="G1736" i="16"/>
  <c r="D1736" i="16"/>
  <c r="C1736" i="16"/>
  <c r="G1735" i="16"/>
  <c r="D1735" i="16"/>
  <c r="C1735" i="16"/>
  <c r="G1734" i="16"/>
  <c r="D1734" i="16"/>
  <c r="C1734" i="16"/>
  <c r="G1733" i="16"/>
  <c r="D1733" i="16"/>
  <c r="C1733" i="16"/>
  <c r="G1732" i="16"/>
  <c r="D1732" i="16"/>
  <c r="C1732" i="16"/>
  <c r="G1731" i="16"/>
  <c r="D1731" i="16"/>
  <c r="C1731" i="16"/>
  <c r="G1730" i="16"/>
  <c r="D1730" i="16"/>
  <c r="C1730" i="16"/>
  <c r="G1729" i="16"/>
  <c r="D1729" i="16"/>
  <c r="C1729" i="16"/>
  <c r="G1728" i="16"/>
  <c r="D1728" i="16"/>
  <c r="C1728" i="16"/>
  <c r="G1727" i="16"/>
  <c r="D1727" i="16"/>
  <c r="C1727" i="16"/>
  <c r="G1726" i="16"/>
  <c r="D1726" i="16"/>
  <c r="C1726" i="16"/>
  <c r="G1725" i="16"/>
  <c r="D1725" i="16"/>
  <c r="C1725" i="16"/>
  <c r="G1724" i="16"/>
  <c r="D1724" i="16"/>
  <c r="C1724" i="16"/>
  <c r="G1723" i="16"/>
  <c r="D1723" i="16"/>
  <c r="C1723" i="16"/>
  <c r="G1722" i="16"/>
  <c r="D1722" i="16"/>
  <c r="C1722" i="16"/>
  <c r="G1721" i="16"/>
  <c r="D1721" i="16"/>
  <c r="C1721" i="16"/>
  <c r="G1720" i="16"/>
  <c r="D1720" i="16"/>
  <c r="C1720" i="16"/>
  <c r="G1719" i="16"/>
  <c r="D1719" i="16"/>
  <c r="C1719" i="16"/>
  <c r="G1718" i="16"/>
  <c r="D1718" i="16"/>
  <c r="C1718" i="16"/>
  <c r="G1717" i="16"/>
  <c r="D1717" i="16"/>
  <c r="C1717" i="16"/>
  <c r="G1716" i="16"/>
  <c r="D1716" i="16"/>
  <c r="C1716" i="16"/>
  <c r="G1715" i="16"/>
  <c r="D1715" i="16"/>
  <c r="C1715" i="16"/>
  <c r="G1714" i="16"/>
  <c r="D1714" i="16"/>
  <c r="C1714" i="16"/>
  <c r="G1713" i="16"/>
  <c r="D1713" i="16"/>
  <c r="C1713" i="16"/>
  <c r="G1712" i="16"/>
  <c r="D1712" i="16"/>
  <c r="C1712" i="16"/>
  <c r="G1711" i="16"/>
  <c r="D1711" i="16"/>
  <c r="C1711" i="16"/>
  <c r="G1710" i="16"/>
  <c r="D1710" i="16"/>
  <c r="C1710" i="16"/>
  <c r="G1709" i="16"/>
  <c r="D1709" i="16"/>
  <c r="C1709" i="16"/>
  <c r="G1708" i="16"/>
  <c r="D1708" i="16"/>
  <c r="C1708" i="16"/>
  <c r="G1707" i="16"/>
  <c r="D1707" i="16"/>
  <c r="C1707" i="16"/>
  <c r="G1706" i="16"/>
  <c r="D1706" i="16"/>
  <c r="C1706" i="16"/>
  <c r="G1705" i="16"/>
  <c r="D1705" i="16"/>
  <c r="C1705" i="16"/>
  <c r="G1704" i="16"/>
  <c r="D1704" i="16"/>
  <c r="C1704" i="16"/>
  <c r="G1703" i="16"/>
  <c r="D1703" i="16"/>
  <c r="C1703" i="16"/>
  <c r="G1702" i="16"/>
  <c r="D1702" i="16"/>
  <c r="C1702" i="16"/>
  <c r="G1701" i="16"/>
  <c r="D1701" i="16"/>
  <c r="C1701" i="16"/>
  <c r="G1700" i="16"/>
  <c r="D1700" i="16"/>
  <c r="C1700" i="16"/>
  <c r="G1699" i="16"/>
  <c r="D1699" i="16"/>
  <c r="C1699" i="16"/>
  <c r="G1698" i="16"/>
  <c r="D1698" i="16"/>
  <c r="C1698" i="16"/>
  <c r="G1697" i="16"/>
  <c r="D1697" i="16"/>
  <c r="C1697" i="16"/>
  <c r="G1696" i="16"/>
  <c r="D1696" i="16"/>
  <c r="C1696" i="16"/>
  <c r="G1695" i="16"/>
  <c r="D1695" i="16"/>
  <c r="C1695" i="16"/>
  <c r="G1694" i="16"/>
  <c r="D1694" i="16"/>
  <c r="C1694" i="16"/>
  <c r="G1693" i="16"/>
  <c r="D1693" i="16"/>
  <c r="C1693" i="16"/>
  <c r="G1692" i="16"/>
  <c r="D1692" i="16"/>
  <c r="C1692" i="16"/>
  <c r="G1691" i="16"/>
  <c r="D1691" i="16"/>
  <c r="C1691" i="16"/>
  <c r="G1690" i="16"/>
  <c r="D1690" i="16"/>
  <c r="C1690" i="16"/>
  <c r="G1689" i="16"/>
  <c r="D1689" i="16"/>
  <c r="C1689" i="16"/>
  <c r="G1688" i="16"/>
  <c r="D1688" i="16"/>
  <c r="C1688" i="16"/>
  <c r="G1687" i="16"/>
  <c r="D1687" i="16"/>
  <c r="C1687" i="16"/>
  <c r="G1686" i="16"/>
  <c r="D1686" i="16"/>
  <c r="C1686" i="16"/>
  <c r="G1685" i="16"/>
  <c r="D1685" i="16"/>
  <c r="C1685" i="16"/>
  <c r="G1684" i="16"/>
  <c r="D1684" i="16"/>
  <c r="C1684" i="16"/>
  <c r="G1683" i="16"/>
  <c r="D1683" i="16"/>
  <c r="C1683" i="16"/>
  <c r="G1682" i="16"/>
  <c r="D1682" i="16"/>
  <c r="C1682" i="16"/>
  <c r="G1681" i="16"/>
  <c r="D1681" i="16"/>
  <c r="C1681" i="16"/>
  <c r="G1680" i="16"/>
  <c r="D1680" i="16"/>
  <c r="C1680" i="16"/>
  <c r="G1679" i="16"/>
  <c r="D1679" i="16"/>
  <c r="C1679" i="16"/>
  <c r="G1678" i="16"/>
  <c r="D1678" i="16"/>
  <c r="C1678" i="16"/>
  <c r="G1677" i="16"/>
  <c r="D1677" i="16"/>
  <c r="C1677" i="16"/>
  <c r="G1676" i="16"/>
  <c r="D1676" i="16"/>
  <c r="C1676" i="16"/>
  <c r="G1675" i="16"/>
  <c r="D1675" i="16"/>
  <c r="C1675" i="16"/>
  <c r="G1674" i="16"/>
  <c r="D1674" i="16"/>
  <c r="C1674" i="16"/>
  <c r="G1673" i="16"/>
  <c r="D1673" i="16"/>
  <c r="C1673" i="16"/>
  <c r="G1672" i="16"/>
  <c r="D1672" i="16"/>
  <c r="C1672" i="16"/>
  <c r="G1671" i="16"/>
  <c r="D1671" i="16"/>
  <c r="C1671" i="16"/>
  <c r="G1670" i="16"/>
  <c r="D1670" i="16"/>
  <c r="C1670" i="16"/>
  <c r="G1669" i="16"/>
  <c r="D1669" i="16"/>
  <c r="C1669" i="16"/>
  <c r="G1668" i="16"/>
  <c r="D1668" i="16"/>
  <c r="C1668" i="16"/>
  <c r="G1667" i="16"/>
  <c r="D1667" i="16"/>
  <c r="C1667" i="16"/>
  <c r="G1666" i="16"/>
  <c r="D1666" i="16"/>
  <c r="C1666" i="16"/>
  <c r="G1665" i="16"/>
  <c r="D1665" i="16"/>
  <c r="C1665" i="16"/>
  <c r="G1664" i="16"/>
  <c r="D1664" i="16"/>
  <c r="C1664" i="16"/>
  <c r="G1663" i="16"/>
  <c r="D1663" i="16"/>
  <c r="C1663" i="16"/>
  <c r="G1662" i="16"/>
  <c r="D1662" i="16"/>
  <c r="C1662" i="16"/>
  <c r="G1661" i="16"/>
  <c r="D1661" i="16"/>
  <c r="C1661" i="16"/>
  <c r="G1660" i="16"/>
  <c r="D1660" i="16"/>
  <c r="C1660" i="16"/>
  <c r="G1659" i="16"/>
  <c r="D1659" i="16"/>
  <c r="C1659" i="16"/>
  <c r="G1658" i="16"/>
  <c r="D1658" i="16"/>
  <c r="C1658" i="16"/>
  <c r="G1657" i="16"/>
  <c r="D1657" i="16"/>
  <c r="C1657" i="16"/>
  <c r="G1656" i="16"/>
  <c r="D1656" i="16"/>
  <c r="C1656" i="16"/>
  <c r="G1655" i="16"/>
  <c r="D1655" i="16"/>
  <c r="C1655" i="16"/>
  <c r="G1654" i="16"/>
  <c r="D1654" i="16"/>
  <c r="C1654" i="16"/>
  <c r="G1653" i="16"/>
  <c r="D1653" i="16"/>
  <c r="C1653" i="16"/>
  <c r="G1652" i="16"/>
  <c r="D1652" i="16"/>
  <c r="C1652" i="16"/>
  <c r="G1651" i="16"/>
  <c r="D1651" i="16"/>
  <c r="C1651" i="16"/>
  <c r="G1650" i="16"/>
  <c r="D1650" i="16"/>
  <c r="C1650" i="16"/>
  <c r="G1649" i="16"/>
  <c r="D1649" i="16"/>
  <c r="C1649" i="16"/>
  <c r="G1648" i="16"/>
  <c r="D1648" i="16"/>
  <c r="C1648" i="16"/>
  <c r="G1647" i="16"/>
  <c r="D1647" i="16"/>
  <c r="C1647" i="16"/>
  <c r="G1646" i="16"/>
  <c r="D1646" i="16"/>
  <c r="C1646" i="16"/>
  <c r="G1645" i="16"/>
  <c r="D1645" i="16"/>
  <c r="C1645" i="16"/>
  <c r="G1644" i="16"/>
  <c r="D1644" i="16"/>
  <c r="C1644" i="16"/>
  <c r="G1643" i="16"/>
  <c r="D1643" i="16"/>
  <c r="C1643" i="16"/>
  <c r="G1642" i="16"/>
  <c r="D1642" i="16"/>
  <c r="C1642" i="16"/>
  <c r="G1641" i="16"/>
  <c r="D1641" i="16"/>
  <c r="C1641" i="16"/>
  <c r="G1640" i="16"/>
  <c r="D1640" i="16"/>
  <c r="C1640" i="16"/>
  <c r="G1639" i="16"/>
  <c r="D1639" i="16"/>
  <c r="C1639" i="16"/>
  <c r="G1638" i="16"/>
  <c r="D1638" i="16"/>
  <c r="C1638" i="16"/>
  <c r="G1637" i="16"/>
  <c r="D1637" i="16"/>
  <c r="C1637" i="16"/>
  <c r="G1636" i="16"/>
  <c r="D1636" i="16"/>
  <c r="C1636" i="16"/>
  <c r="G1635" i="16"/>
  <c r="D1635" i="16"/>
  <c r="C1635" i="16"/>
  <c r="G1634" i="16"/>
  <c r="D1634" i="16"/>
  <c r="C1634" i="16"/>
  <c r="G1633" i="16"/>
  <c r="D1633" i="16"/>
  <c r="C1633" i="16"/>
  <c r="G1632" i="16"/>
  <c r="D1632" i="16"/>
  <c r="C1632" i="16"/>
  <c r="G1631" i="16"/>
  <c r="D1631" i="16"/>
  <c r="C1631" i="16"/>
  <c r="G1630" i="16"/>
  <c r="D1630" i="16"/>
  <c r="C1630" i="16"/>
  <c r="G1629" i="16"/>
  <c r="D1629" i="16"/>
  <c r="C1629" i="16"/>
  <c r="G1628" i="16"/>
  <c r="D1628" i="16"/>
  <c r="C1628" i="16"/>
  <c r="G1627" i="16"/>
  <c r="D1627" i="16"/>
  <c r="C1627" i="16"/>
  <c r="G1626" i="16"/>
  <c r="D1626" i="16"/>
  <c r="C1626" i="16"/>
  <c r="G1625" i="16"/>
  <c r="D1625" i="16"/>
  <c r="C1625" i="16"/>
  <c r="G1624" i="16"/>
  <c r="D1624" i="16"/>
  <c r="C1624" i="16"/>
  <c r="G1623" i="16"/>
  <c r="D1623" i="16"/>
  <c r="C1623" i="16"/>
  <c r="G1622" i="16"/>
  <c r="D1622" i="16"/>
  <c r="C1622" i="16"/>
  <c r="G1621" i="16"/>
  <c r="D1621" i="16"/>
  <c r="C1621" i="16"/>
  <c r="G1620" i="16"/>
  <c r="D1620" i="16"/>
  <c r="C1620" i="16"/>
  <c r="G1619" i="16"/>
  <c r="D1619" i="16"/>
  <c r="C1619" i="16"/>
  <c r="G1618" i="16"/>
  <c r="D1618" i="16"/>
  <c r="C1618" i="16"/>
  <c r="G1617" i="16"/>
  <c r="D1617" i="16"/>
  <c r="C1617" i="16"/>
  <c r="G1616" i="16"/>
  <c r="D1616" i="16"/>
  <c r="C1616" i="16"/>
  <c r="G1615" i="16"/>
  <c r="D1615" i="16"/>
  <c r="C1615" i="16"/>
  <c r="G1614" i="16"/>
  <c r="D1614" i="16"/>
  <c r="C1614" i="16"/>
  <c r="G1613" i="16"/>
  <c r="D1613" i="16"/>
  <c r="C1613" i="16"/>
  <c r="G1612" i="16"/>
  <c r="D1612" i="16"/>
  <c r="C1612" i="16"/>
  <c r="G1611" i="16"/>
  <c r="D1611" i="16"/>
  <c r="C1611" i="16"/>
  <c r="G1610" i="16"/>
  <c r="D1610" i="16"/>
  <c r="C1610" i="16"/>
  <c r="G1609" i="16"/>
  <c r="D1609" i="16"/>
  <c r="C1609" i="16"/>
  <c r="G1608" i="16"/>
  <c r="D1608" i="16"/>
  <c r="C1608" i="16"/>
  <c r="G1607" i="16"/>
  <c r="D1607" i="16"/>
  <c r="C1607" i="16"/>
  <c r="G1606" i="16"/>
  <c r="D1606" i="16"/>
  <c r="C1606" i="16"/>
  <c r="G1605" i="16"/>
  <c r="D1605" i="16"/>
  <c r="C1605" i="16"/>
  <c r="G1604" i="16"/>
  <c r="D1604" i="16"/>
  <c r="C1604" i="16"/>
  <c r="G1603" i="16"/>
  <c r="D1603" i="16"/>
  <c r="C1603" i="16"/>
  <c r="G1602" i="16"/>
  <c r="D1602" i="16"/>
  <c r="C1602" i="16"/>
  <c r="G1601" i="16"/>
  <c r="D1601" i="16"/>
  <c r="C1601" i="16"/>
  <c r="G1600" i="16"/>
  <c r="D1600" i="16"/>
  <c r="C1600" i="16"/>
  <c r="G1599" i="16"/>
  <c r="D1599" i="16"/>
  <c r="C1599" i="16"/>
  <c r="G1598" i="16"/>
  <c r="D1598" i="16"/>
  <c r="C1598" i="16"/>
  <c r="G1597" i="16"/>
  <c r="D1597" i="16"/>
  <c r="C1597" i="16"/>
  <c r="G1596" i="16"/>
  <c r="D1596" i="16"/>
  <c r="C1596" i="16"/>
  <c r="G1595" i="16"/>
  <c r="D1595" i="16"/>
  <c r="C1595" i="16"/>
  <c r="G1594" i="16"/>
  <c r="D1594" i="16"/>
  <c r="C1594" i="16"/>
  <c r="G1593" i="16"/>
  <c r="D1593" i="16"/>
  <c r="C1593" i="16"/>
  <c r="G1592" i="16"/>
  <c r="D1592" i="16"/>
  <c r="C1592" i="16"/>
  <c r="G1591" i="16"/>
  <c r="D1591" i="16"/>
  <c r="C1591" i="16"/>
  <c r="G1590" i="16"/>
  <c r="D1590" i="16"/>
  <c r="C1590" i="16"/>
  <c r="G1589" i="16"/>
  <c r="D1589" i="16"/>
  <c r="C1589" i="16"/>
  <c r="G1588" i="16"/>
  <c r="D1588" i="16"/>
  <c r="C1588" i="16"/>
  <c r="G1587" i="16"/>
  <c r="D1587" i="16"/>
  <c r="C1587" i="16"/>
  <c r="G1586" i="16"/>
  <c r="D1586" i="16"/>
  <c r="C1586" i="16"/>
  <c r="G1585" i="16"/>
  <c r="D1585" i="16"/>
  <c r="C1585" i="16"/>
  <c r="G1584" i="16"/>
  <c r="D1584" i="16"/>
  <c r="C1584" i="16"/>
  <c r="G1583" i="16"/>
  <c r="D1583" i="16"/>
  <c r="C1583" i="16"/>
  <c r="G1582" i="16"/>
  <c r="D1582" i="16"/>
  <c r="C1582" i="16"/>
  <c r="G1581" i="16"/>
  <c r="D1581" i="16"/>
  <c r="C1581" i="16"/>
  <c r="G1580" i="16"/>
  <c r="D1580" i="16"/>
  <c r="C1580" i="16"/>
  <c r="G1579" i="16"/>
  <c r="D1579" i="16"/>
  <c r="C1579" i="16"/>
  <c r="G1578" i="16"/>
  <c r="D1578" i="16"/>
  <c r="C1578" i="16"/>
  <c r="G1577" i="16"/>
  <c r="D1577" i="16"/>
  <c r="C1577" i="16"/>
  <c r="G1576" i="16"/>
  <c r="D1576" i="16"/>
  <c r="C1576" i="16"/>
  <c r="G1575" i="16"/>
  <c r="D1575" i="16"/>
  <c r="C1575" i="16"/>
  <c r="G1574" i="16"/>
  <c r="D1574" i="16"/>
  <c r="C1574" i="16"/>
  <c r="G1573" i="16"/>
  <c r="D1573" i="16"/>
  <c r="C1573" i="16"/>
  <c r="G1572" i="16"/>
  <c r="D1572" i="16"/>
  <c r="C1572" i="16"/>
  <c r="G1571" i="16"/>
  <c r="D1571" i="16"/>
  <c r="C1571" i="16"/>
  <c r="G1570" i="16"/>
  <c r="D1570" i="16"/>
  <c r="C1570" i="16"/>
  <c r="G1569" i="16"/>
  <c r="D1569" i="16"/>
  <c r="C1569" i="16"/>
  <c r="G1568" i="16"/>
  <c r="D1568" i="16"/>
  <c r="C1568" i="16"/>
  <c r="G1567" i="16"/>
  <c r="D1567" i="16"/>
  <c r="C1567" i="16"/>
  <c r="G1566" i="16"/>
  <c r="D1566" i="16"/>
  <c r="C1566" i="16"/>
  <c r="G1565" i="16"/>
  <c r="D1565" i="16"/>
  <c r="C1565" i="16"/>
  <c r="G1564" i="16"/>
  <c r="D1564" i="16"/>
  <c r="C1564" i="16"/>
  <c r="G1563" i="16"/>
  <c r="D1563" i="16"/>
  <c r="C1563" i="16"/>
  <c r="G1562" i="16"/>
  <c r="D1562" i="16"/>
  <c r="C1562" i="16"/>
  <c r="G1561" i="16"/>
  <c r="D1561" i="16"/>
  <c r="C1561" i="16"/>
  <c r="G1560" i="16"/>
  <c r="D1560" i="16"/>
  <c r="C1560" i="16"/>
  <c r="G1559" i="16"/>
  <c r="D1559" i="16"/>
  <c r="C1559" i="16"/>
  <c r="G1558" i="16"/>
  <c r="D1558" i="16"/>
  <c r="C1558" i="16"/>
  <c r="G1557" i="16"/>
  <c r="D1557" i="16"/>
  <c r="C1557" i="16"/>
  <c r="G1556" i="16"/>
  <c r="D1556" i="16"/>
  <c r="C1556" i="16"/>
  <c r="G1555" i="16"/>
  <c r="D1555" i="16"/>
  <c r="C1555" i="16"/>
  <c r="G1554" i="16"/>
  <c r="D1554" i="16"/>
  <c r="C1554" i="16"/>
  <c r="G1553" i="16"/>
  <c r="D1553" i="16"/>
  <c r="C1553" i="16"/>
  <c r="G1552" i="16"/>
  <c r="D1552" i="16"/>
  <c r="C1552" i="16"/>
  <c r="G1551" i="16"/>
  <c r="D1551" i="16"/>
  <c r="C1551" i="16"/>
  <c r="G1550" i="16"/>
  <c r="D1550" i="16"/>
  <c r="C1550" i="16"/>
  <c r="G1549" i="16"/>
  <c r="D1549" i="16"/>
  <c r="C1549" i="16"/>
  <c r="G1548" i="16"/>
  <c r="D1548" i="16"/>
  <c r="C1548" i="16"/>
  <c r="G1547" i="16"/>
  <c r="D1547" i="16"/>
  <c r="C1547" i="16"/>
  <c r="G1546" i="16"/>
  <c r="D1546" i="16"/>
  <c r="C1546" i="16"/>
  <c r="G1545" i="16"/>
  <c r="D1545" i="16"/>
  <c r="C1545" i="16"/>
  <c r="G1544" i="16"/>
  <c r="D1544" i="16"/>
  <c r="C1544" i="16"/>
  <c r="G1543" i="16"/>
  <c r="D1543" i="16"/>
  <c r="C1543" i="16"/>
  <c r="G1542" i="16"/>
  <c r="D1542" i="16"/>
  <c r="C1542" i="16"/>
  <c r="G1541" i="16"/>
  <c r="D1541" i="16"/>
  <c r="C1541" i="16"/>
  <c r="G1540" i="16"/>
  <c r="D1540" i="16"/>
  <c r="C1540" i="16"/>
  <c r="G1539" i="16"/>
  <c r="D1539" i="16"/>
  <c r="C1539" i="16"/>
  <c r="G1538" i="16"/>
  <c r="D1538" i="16"/>
  <c r="C1538" i="16"/>
  <c r="G1537" i="16"/>
  <c r="D1537" i="16"/>
  <c r="C1537" i="16"/>
  <c r="G1536" i="16"/>
  <c r="D1536" i="16"/>
  <c r="C1536" i="16"/>
  <c r="G1535" i="16"/>
  <c r="D1535" i="16"/>
  <c r="C1535" i="16"/>
  <c r="G1534" i="16"/>
  <c r="D1534" i="16"/>
  <c r="C1534" i="16"/>
  <c r="G1533" i="16"/>
  <c r="D1533" i="16"/>
  <c r="C1533" i="16"/>
  <c r="G1532" i="16"/>
  <c r="D1532" i="16"/>
  <c r="C1532" i="16"/>
  <c r="G1531" i="16"/>
  <c r="D1531" i="16"/>
  <c r="C1531" i="16"/>
  <c r="G1530" i="16"/>
  <c r="D1530" i="16"/>
  <c r="C1530" i="16"/>
  <c r="G1529" i="16"/>
  <c r="D1529" i="16"/>
  <c r="C1529" i="16"/>
  <c r="G1528" i="16"/>
  <c r="D1528" i="16"/>
  <c r="C1528" i="16"/>
  <c r="G1527" i="16"/>
  <c r="D1527" i="16"/>
  <c r="C1527" i="16"/>
  <c r="G1526" i="16"/>
  <c r="D1526" i="16"/>
  <c r="C1526" i="16"/>
  <c r="G1525" i="16"/>
  <c r="D1525" i="16"/>
  <c r="C1525" i="16"/>
  <c r="G1524" i="16"/>
  <c r="D1524" i="16"/>
  <c r="C1524" i="16"/>
  <c r="G1523" i="16"/>
  <c r="D1523" i="16"/>
  <c r="C1523" i="16"/>
  <c r="G1522" i="16"/>
  <c r="D1522" i="16"/>
  <c r="C1522" i="16"/>
  <c r="G1521" i="16"/>
  <c r="D1521" i="16"/>
  <c r="C1521" i="16"/>
  <c r="G1520" i="16"/>
  <c r="D1520" i="16"/>
  <c r="C1520" i="16"/>
  <c r="G1519" i="16"/>
  <c r="D1519" i="16"/>
  <c r="C1519" i="16"/>
  <c r="G1518" i="16"/>
  <c r="D1518" i="16"/>
  <c r="C1518" i="16"/>
  <c r="G1517" i="16"/>
  <c r="D1517" i="16"/>
  <c r="C1517" i="16"/>
  <c r="G1516" i="16"/>
  <c r="D1516" i="16"/>
  <c r="C1516" i="16"/>
  <c r="G1515" i="16"/>
  <c r="D1515" i="16"/>
  <c r="C1515" i="16"/>
  <c r="G1514" i="16"/>
  <c r="D1514" i="16"/>
  <c r="C1514" i="16"/>
  <c r="G1513" i="16"/>
  <c r="D1513" i="16"/>
  <c r="C1513" i="16"/>
  <c r="G1512" i="16"/>
  <c r="D1512" i="16"/>
  <c r="C1512" i="16"/>
  <c r="G1511" i="16"/>
  <c r="D1511" i="16"/>
  <c r="C1511" i="16"/>
  <c r="G1510" i="16"/>
  <c r="D1510" i="16"/>
  <c r="C1510" i="16"/>
  <c r="G1509" i="16"/>
  <c r="D1509" i="16"/>
  <c r="C1509" i="16"/>
  <c r="G1508" i="16"/>
  <c r="D1508" i="16"/>
  <c r="C1508" i="16"/>
  <c r="G1507" i="16"/>
  <c r="D1507" i="16"/>
  <c r="C1507" i="16"/>
  <c r="G1506" i="16"/>
  <c r="D1506" i="16"/>
  <c r="C1506" i="16"/>
  <c r="G1505" i="16"/>
  <c r="D1505" i="16"/>
  <c r="C1505" i="16"/>
  <c r="G1504" i="16"/>
  <c r="D1504" i="16"/>
  <c r="C1504" i="16"/>
  <c r="G1503" i="16"/>
  <c r="D1503" i="16"/>
  <c r="C1503" i="16"/>
  <c r="G1502" i="16"/>
  <c r="D1502" i="16"/>
  <c r="C1502" i="16"/>
  <c r="G1501" i="16"/>
  <c r="D1501" i="16"/>
  <c r="C1501" i="16"/>
  <c r="G1500" i="16"/>
  <c r="D1500" i="16"/>
  <c r="C1500" i="16"/>
  <c r="G1499" i="16"/>
  <c r="D1499" i="16"/>
  <c r="C1499" i="16"/>
  <c r="G1498" i="16"/>
  <c r="D1498" i="16"/>
  <c r="C1498" i="16"/>
  <c r="G1497" i="16"/>
  <c r="D1497" i="16"/>
  <c r="C1497" i="16"/>
  <c r="G1496" i="16"/>
  <c r="D1496" i="16"/>
  <c r="C1496" i="16"/>
  <c r="G1495" i="16"/>
  <c r="D1495" i="16"/>
  <c r="C1495" i="16"/>
  <c r="G1494" i="16"/>
  <c r="D1494" i="16"/>
  <c r="C1494" i="16"/>
  <c r="G1493" i="16"/>
  <c r="D1493" i="16"/>
  <c r="C1493" i="16"/>
  <c r="G1492" i="16"/>
  <c r="D1492" i="16"/>
  <c r="C1492" i="16"/>
  <c r="G1491" i="16"/>
  <c r="D1491" i="16"/>
  <c r="C1491" i="16"/>
  <c r="G1490" i="16"/>
  <c r="D1490" i="16"/>
  <c r="C1490" i="16"/>
  <c r="G1489" i="16"/>
  <c r="D1489" i="16"/>
  <c r="C1489" i="16"/>
  <c r="G1488" i="16"/>
  <c r="D1488" i="16"/>
  <c r="C1488" i="16"/>
  <c r="G1487" i="16"/>
  <c r="D1487" i="16"/>
  <c r="C1487" i="16"/>
  <c r="G1486" i="16"/>
  <c r="D1486" i="16"/>
  <c r="C1486" i="16"/>
  <c r="G1485" i="16"/>
  <c r="D1485" i="16"/>
  <c r="C1485" i="16"/>
  <c r="G1484" i="16"/>
  <c r="D1484" i="16"/>
  <c r="C1484" i="16"/>
  <c r="G1483" i="16"/>
  <c r="D1483" i="16"/>
  <c r="C1483" i="16"/>
  <c r="G1482" i="16"/>
  <c r="D1482" i="16"/>
  <c r="C1482" i="16"/>
  <c r="G1481" i="16"/>
  <c r="D1481" i="16"/>
  <c r="C1481" i="16"/>
  <c r="G1480" i="16"/>
  <c r="D1480" i="16"/>
  <c r="C1480" i="16"/>
  <c r="G1479" i="16"/>
  <c r="D1479" i="16"/>
  <c r="C1479" i="16"/>
  <c r="G1478" i="16"/>
  <c r="D1478" i="16"/>
  <c r="C1478" i="16"/>
  <c r="G1477" i="16"/>
  <c r="D1477" i="16"/>
  <c r="C1477" i="16"/>
  <c r="G1476" i="16"/>
  <c r="D1476" i="16"/>
  <c r="C1476" i="16"/>
  <c r="G1475" i="16"/>
  <c r="D1475" i="16"/>
  <c r="C1475" i="16"/>
  <c r="G1474" i="16"/>
  <c r="D1474" i="16"/>
  <c r="C1474" i="16"/>
  <c r="G1473" i="16"/>
  <c r="D1473" i="16"/>
  <c r="C1473" i="16"/>
  <c r="G1472" i="16"/>
  <c r="D1472" i="16"/>
  <c r="C1472" i="16"/>
  <c r="G1471" i="16"/>
  <c r="D1471" i="16"/>
  <c r="C1471" i="16"/>
  <c r="G1470" i="16"/>
  <c r="D1470" i="16"/>
  <c r="C1470" i="16"/>
  <c r="G1469" i="16"/>
  <c r="D1469" i="16"/>
  <c r="C1469" i="16"/>
  <c r="G1468" i="16"/>
  <c r="D1468" i="16"/>
  <c r="C1468" i="16"/>
  <c r="G1467" i="16"/>
  <c r="D1467" i="16"/>
  <c r="C1467" i="16"/>
  <c r="G1466" i="16"/>
  <c r="D1466" i="16"/>
  <c r="C1466" i="16"/>
  <c r="G1465" i="16"/>
  <c r="D1465" i="16"/>
  <c r="C1465" i="16"/>
  <c r="G1464" i="16"/>
  <c r="D1464" i="16"/>
  <c r="C1464" i="16"/>
  <c r="G1463" i="16"/>
  <c r="D1463" i="16"/>
  <c r="C1463" i="16"/>
  <c r="G1462" i="16"/>
  <c r="D1462" i="16"/>
  <c r="C1462" i="16"/>
  <c r="G1461" i="16"/>
  <c r="D1461" i="16"/>
  <c r="C1461" i="16"/>
  <c r="G1460" i="16"/>
  <c r="D1460" i="16"/>
  <c r="C1460" i="16"/>
  <c r="G1459" i="16"/>
  <c r="D1459" i="16"/>
  <c r="C1459" i="16"/>
  <c r="G1458" i="16"/>
  <c r="D1458" i="16"/>
  <c r="C1458" i="16"/>
  <c r="G1457" i="16"/>
  <c r="D1457" i="16"/>
  <c r="C1457" i="16"/>
  <c r="G1456" i="16"/>
  <c r="D1456" i="16"/>
  <c r="C1456" i="16"/>
  <c r="G1455" i="16"/>
  <c r="D1455" i="16"/>
  <c r="C1455" i="16"/>
  <c r="G1454" i="16"/>
  <c r="D1454" i="16"/>
  <c r="C1454" i="16"/>
  <c r="G1453" i="16"/>
  <c r="D1453" i="16"/>
  <c r="C1453" i="16"/>
  <c r="G1452" i="16"/>
  <c r="D1452" i="16"/>
  <c r="C1452" i="16"/>
  <c r="G1451" i="16"/>
  <c r="D1451" i="16"/>
  <c r="C1451" i="16"/>
  <c r="G1450" i="16"/>
  <c r="D1450" i="16"/>
  <c r="C1450" i="16"/>
  <c r="G1449" i="16"/>
  <c r="D1449" i="16"/>
  <c r="C1449" i="16"/>
  <c r="G1448" i="16"/>
  <c r="D1448" i="16"/>
  <c r="C1448" i="16"/>
  <c r="G1447" i="16"/>
  <c r="D1447" i="16"/>
  <c r="C1447" i="16"/>
  <c r="G1446" i="16"/>
  <c r="D1446" i="16"/>
  <c r="C1446" i="16"/>
  <c r="G1445" i="16"/>
  <c r="D1445" i="16"/>
  <c r="C1445" i="16"/>
  <c r="G1444" i="16"/>
  <c r="D1444" i="16"/>
  <c r="C1444" i="16"/>
  <c r="G1443" i="16"/>
  <c r="D1443" i="16"/>
  <c r="C1443" i="16"/>
  <c r="G1442" i="16"/>
  <c r="D1442" i="16"/>
  <c r="C1442" i="16"/>
  <c r="G1441" i="16"/>
  <c r="D1441" i="16"/>
  <c r="C1441" i="16"/>
  <c r="G1440" i="16"/>
  <c r="D1440" i="16"/>
  <c r="C1440" i="16"/>
  <c r="G1439" i="16"/>
  <c r="D1439" i="16"/>
  <c r="C1439" i="16"/>
  <c r="G1438" i="16"/>
  <c r="D1438" i="16"/>
  <c r="C1438" i="16"/>
  <c r="G1437" i="16"/>
  <c r="D1437" i="16"/>
  <c r="C1437" i="16"/>
  <c r="G1436" i="16"/>
  <c r="D1436" i="16"/>
  <c r="C1436" i="16"/>
  <c r="G1435" i="16"/>
  <c r="D1435" i="16"/>
  <c r="C1435" i="16"/>
  <c r="G1434" i="16"/>
  <c r="D1434" i="16"/>
  <c r="C1434" i="16"/>
  <c r="G1433" i="16"/>
  <c r="D1433" i="16"/>
  <c r="C1433" i="16"/>
  <c r="G1432" i="16"/>
  <c r="D1432" i="16"/>
  <c r="C1432" i="16"/>
  <c r="G1431" i="16"/>
  <c r="D1431" i="16"/>
  <c r="C1431" i="16"/>
  <c r="G1430" i="16"/>
  <c r="D1430" i="16"/>
  <c r="C1430" i="16"/>
  <c r="G1429" i="16"/>
  <c r="D1429" i="16"/>
  <c r="C1429" i="16"/>
  <c r="G1428" i="16"/>
  <c r="D1428" i="16"/>
  <c r="C1428" i="16"/>
  <c r="G1427" i="16"/>
  <c r="D1427" i="16"/>
  <c r="C1427" i="16"/>
  <c r="G1426" i="16"/>
  <c r="D1426" i="16"/>
  <c r="C1426" i="16"/>
  <c r="G1425" i="16"/>
  <c r="D1425" i="16"/>
  <c r="C1425" i="16"/>
  <c r="G1424" i="16"/>
  <c r="D1424" i="16"/>
  <c r="C1424" i="16"/>
  <c r="G1423" i="16"/>
  <c r="D1423" i="16"/>
  <c r="C1423" i="16"/>
  <c r="G1422" i="16"/>
  <c r="D1422" i="16"/>
  <c r="C1422" i="16"/>
  <c r="G1421" i="16"/>
  <c r="D1421" i="16"/>
  <c r="C1421" i="16"/>
  <c r="G1420" i="16"/>
  <c r="D1420" i="16"/>
  <c r="C1420" i="16"/>
  <c r="G1419" i="16"/>
  <c r="D1419" i="16"/>
  <c r="C1419" i="16"/>
  <c r="G1418" i="16"/>
  <c r="D1418" i="16"/>
  <c r="C1418" i="16"/>
  <c r="G1417" i="16"/>
  <c r="D1417" i="16"/>
  <c r="C1417" i="16"/>
  <c r="G1416" i="16"/>
  <c r="D1416" i="16"/>
  <c r="C1416" i="16"/>
  <c r="G1415" i="16"/>
  <c r="D1415" i="16"/>
  <c r="C1415" i="16"/>
  <c r="G1414" i="16"/>
  <c r="D1414" i="16"/>
  <c r="C1414" i="16"/>
  <c r="G1413" i="16"/>
  <c r="D1413" i="16"/>
  <c r="C1413" i="16"/>
  <c r="G1412" i="16"/>
  <c r="D1412" i="16"/>
  <c r="C1412" i="16"/>
  <c r="G1411" i="16"/>
  <c r="D1411" i="16"/>
  <c r="C1411" i="16"/>
  <c r="G1410" i="16"/>
  <c r="D1410" i="16"/>
  <c r="C1410" i="16"/>
  <c r="G1409" i="16"/>
  <c r="D1409" i="16"/>
  <c r="C1409" i="16"/>
  <c r="G1408" i="16"/>
  <c r="D1408" i="16"/>
  <c r="C1408" i="16"/>
  <c r="G1407" i="16"/>
  <c r="D1407" i="16"/>
  <c r="C1407" i="16"/>
  <c r="G1406" i="16"/>
  <c r="D1406" i="16"/>
  <c r="C1406" i="16"/>
  <c r="G1405" i="16"/>
  <c r="D1405" i="16"/>
  <c r="C1405" i="16"/>
  <c r="G1404" i="16"/>
  <c r="D1404" i="16"/>
  <c r="C1404" i="16"/>
  <c r="G1403" i="16"/>
  <c r="D1403" i="16"/>
  <c r="C1403" i="16"/>
  <c r="G1402" i="16"/>
  <c r="D1402" i="16"/>
  <c r="C1402" i="16"/>
  <c r="G1401" i="16"/>
  <c r="D1401" i="16"/>
  <c r="C1401" i="16"/>
  <c r="G1400" i="16"/>
  <c r="D1400" i="16"/>
  <c r="C1400" i="16"/>
  <c r="G1399" i="16"/>
  <c r="D1399" i="16"/>
  <c r="C1399" i="16"/>
  <c r="G1398" i="16"/>
  <c r="D1398" i="16"/>
  <c r="C1398" i="16"/>
  <c r="G1397" i="16"/>
  <c r="D1397" i="16"/>
  <c r="C1397" i="16"/>
  <c r="G1396" i="16"/>
  <c r="D1396" i="16"/>
  <c r="C1396" i="16"/>
  <c r="G1395" i="16"/>
  <c r="D1395" i="16"/>
  <c r="C1395" i="16"/>
  <c r="G1394" i="16"/>
  <c r="D1394" i="16"/>
  <c r="C1394" i="16"/>
  <c r="G1393" i="16"/>
  <c r="D1393" i="16"/>
  <c r="C1393" i="16"/>
  <c r="G1392" i="16"/>
  <c r="D1392" i="16"/>
  <c r="C1392" i="16"/>
  <c r="G1391" i="16"/>
  <c r="D1391" i="16"/>
  <c r="C1391" i="16"/>
  <c r="G1390" i="16"/>
  <c r="D1390" i="16"/>
  <c r="C1390" i="16"/>
  <c r="G1389" i="16"/>
  <c r="D1389" i="16"/>
  <c r="C1389" i="16"/>
  <c r="G1388" i="16"/>
  <c r="D1388" i="16"/>
  <c r="C1388" i="16"/>
  <c r="G1387" i="16"/>
  <c r="D1387" i="16"/>
  <c r="C1387" i="16"/>
  <c r="G1386" i="16"/>
  <c r="D1386" i="16"/>
  <c r="C1386" i="16"/>
  <c r="G1385" i="16"/>
  <c r="D1385" i="16"/>
  <c r="C1385" i="16"/>
  <c r="G1384" i="16"/>
  <c r="D1384" i="16"/>
  <c r="C1384" i="16"/>
  <c r="G1383" i="16"/>
  <c r="D1383" i="16"/>
  <c r="C1383" i="16"/>
  <c r="G1382" i="16"/>
  <c r="D1382" i="16"/>
  <c r="C1382" i="16"/>
  <c r="G1381" i="16"/>
  <c r="D1381" i="16"/>
  <c r="C1381" i="16"/>
  <c r="G1380" i="16"/>
  <c r="D1380" i="16"/>
  <c r="C1380" i="16"/>
  <c r="G1379" i="16"/>
  <c r="D1379" i="16"/>
  <c r="C1379" i="16"/>
  <c r="G1378" i="16"/>
  <c r="D1378" i="16"/>
  <c r="C1378" i="16"/>
  <c r="G1377" i="16"/>
  <c r="D1377" i="16"/>
  <c r="C1377" i="16"/>
  <c r="G1376" i="16"/>
  <c r="D1376" i="16"/>
  <c r="C1376" i="16"/>
  <c r="G1375" i="16"/>
  <c r="D1375" i="16"/>
  <c r="C1375" i="16"/>
  <c r="G1374" i="16"/>
  <c r="D1374" i="16"/>
  <c r="C1374" i="16"/>
  <c r="G1373" i="16"/>
  <c r="D1373" i="16"/>
  <c r="C1373" i="16"/>
  <c r="G1372" i="16"/>
  <c r="D1372" i="16"/>
  <c r="C1372" i="16"/>
  <c r="G1371" i="16"/>
  <c r="D1371" i="16"/>
  <c r="C1371" i="16"/>
  <c r="G1370" i="16"/>
  <c r="D1370" i="16"/>
  <c r="C1370" i="16"/>
  <c r="G1369" i="16"/>
  <c r="D1369" i="16"/>
  <c r="C1369" i="16"/>
  <c r="G1368" i="16"/>
  <c r="D1368" i="16"/>
  <c r="C1368" i="16"/>
  <c r="G1367" i="16"/>
  <c r="D1367" i="16"/>
  <c r="C1367" i="16"/>
  <c r="G1366" i="16"/>
  <c r="D1366" i="16"/>
  <c r="C1366" i="16"/>
  <c r="G1365" i="16"/>
  <c r="D1365" i="16"/>
  <c r="C1365" i="16"/>
  <c r="G1364" i="16"/>
  <c r="D1364" i="16"/>
  <c r="C1364" i="16"/>
  <c r="G1363" i="16"/>
  <c r="D1363" i="16"/>
  <c r="C1363" i="16"/>
  <c r="G1362" i="16"/>
  <c r="D1362" i="16"/>
  <c r="C1362" i="16"/>
  <c r="G1361" i="16"/>
  <c r="D1361" i="16"/>
  <c r="C1361" i="16"/>
  <c r="G1360" i="16"/>
  <c r="D1360" i="16"/>
  <c r="C1360" i="16"/>
  <c r="G1359" i="16"/>
  <c r="D1359" i="16"/>
  <c r="C1359" i="16"/>
  <c r="G1358" i="16"/>
  <c r="D1358" i="16"/>
  <c r="C1358" i="16"/>
  <c r="G1357" i="16"/>
  <c r="D1357" i="16"/>
  <c r="C1357" i="16"/>
  <c r="G1356" i="16"/>
  <c r="D1356" i="16"/>
  <c r="C1356" i="16"/>
  <c r="G1355" i="16"/>
  <c r="D1355" i="16"/>
  <c r="C1355" i="16"/>
  <c r="G1354" i="16"/>
  <c r="D1354" i="16"/>
  <c r="C1354" i="16"/>
  <c r="G1353" i="16"/>
  <c r="D1353" i="16"/>
  <c r="C1353" i="16"/>
  <c r="G1352" i="16"/>
  <c r="D1352" i="16"/>
  <c r="C1352" i="16"/>
  <c r="G1351" i="16"/>
  <c r="D1351" i="16"/>
  <c r="C1351" i="16"/>
  <c r="G1350" i="16"/>
  <c r="D1350" i="16"/>
  <c r="C1350" i="16"/>
  <c r="G1349" i="16"/>
  <c r="D1349" i="16"/>
  <c r="C1349" i="16"/>
  <c r="G1348" i="16"/>
  <c r="D1348" i="16"/>
  <c r="C1348" i="16"/>
  <c r="G1347" i="16"/>
  <c r="D1347" i="16"/>
  <c r="C1347" i="16"/>
  <c r="G1346" i="16"/>
  <c r="D1346" i="16"/>
  <c r="C1346" i="16"/>
  <c r="G1345" i="16"/>
  <c r="D1345" i="16"/>
  <c r="C1345" i="16"/>
  <c r="G1344" i="16"/>
  <c r="D1344" i="16"/>
  <c r="C1344" i="16"/>
  <c r="G1343" i="16"/>
  <c r="D1343" i="16"/>
  <c r="C1343" i="16"/>
  <c r="G1342" i="16"/>
  <c r="D1342" i="16"/>
  <c r="C1342" i="16"/>
  <c r="G1341" i="16"/>
  <c r="D1341" i="16"/>
  <c r="C1341" i="16"/>
  <c r="G1340" i="16"/>
  <c r="D1340" i="16"/>
  <c r="C1340" i="16"/>
  <c r="G1339" i="16"/>
  <c r="D1339" i="16"/>
  <c r="C1339" i="16"/>
  <c r="G1338" i="16"/>
  <c r="D1338" i="16"/>
  <c r="C1338" i="16"/>
  <c r="G1337" i="16"/>
  <c r="D1337" i="16"/>
  <c r="C1337" i="16"/>
  <c r="G1336" i="16"/>
  <c r="D1336" i="16"/>
  <c r="C1336" i="16"/>
  <c r="G1335" i="16"/>
  <c r="D1335" i="16"/>
  <c r="C1335" i="16"/>
  <c r="G1334" i="16"/>
  <c r="D1334" i="16"/>
  <c r="C1334" i="16"/>
  <c r="G1333" i="16"/>
  <c r="D1333" i="16"/>
  <c r="C1333" i="16"/>
  <c r="G1332" i="16"/>
  <c r="D1332" i="16"/>
  <c r="C1332" i="16"/>
  <c r="G1331" i="16"/>
  <c r="D1331" i="16"/>
  <c r="C1331" i="16"/>
  <c r="G1330" i="16"/>
  <c r="D1330" i="16"/>
  <c r="C1330" i="16"/>
  <c r="G1329" i="16"/>
  <c r="D1329" i="16"/>
  <c r="C1329" i="16"/>
  <c r="G1328" i="16"/>
  <c r="D1328" i="16"/>
  <c r="C1328" i="16"/>
  <c r="G1327" i="16"/>
  <c r="D1327" i="16"/>
  <c r="C1327" i="16"/>
  <c r="G1326" i="16"/>
  <c r="D1326" i="16"/>
  <c r="C1326" i="16"/>
  <c r="G1325" i="16"/>
  <c r="D1325" i="16"/>
  <c r="C1325" i="16"/>
  <c r="G1324" i="16"/>
  <c r="D1324" i="16"/>
  <c r="C1324" i="16"/>
  <c r="G1323" i="16"/>
  <c r="D1323" i="16"/>
  <c r="C1323" i="16"/>
  <c r="G1322" i="16"/>
  <c r="D1322" i="16"/>
  <c r="C1322" i="16"/>
  <c r="G1321" i="16"/>
  <c r="D1321" i="16"/>
  <c r="C1321" i="16"/>
  <c r="G1320" i="16"/>
  <c r="D1320" i="16"/>
  <c r="C1320" i="16"/>
  <c r="G1319" i="16"/>
  <c r="D1319" i="16"/>
  <c r="C1319" i="16"/>
  <c r="G1318" i="16"/>
  <c r="D1318" i="16"/>
  <c r="C1318" i="16"/>
  <c r="G1317" i="16"/>
  <c r="D1317" i="16"/>
  <c r="C1317" i="16"/>
  <c r="G1316" i="16"/>
  <c r="D1316" i="16"/>
  <c r="C1316" i="16"/>
  <c r="G1315" i="16"/>
  <c r="D1315" i="16"/>
  <c r="C1315" i="16"/>
  <c r="G1314" i="16"/>
  <c r="D1314" i="16"/>
  <c r="C1314" i="16"/>
  <c r="G1313" i="16"/>
  <c r="D1313" i="16"/>
  <c r="C1313" i="16"/>
  <c r="G1312" i="16"/>
  <c r="D1312" i="16"/>
  <c r="C1312" i="16"/>
  <c r="G1311" i="16"/>
  <c r="D1311" i="16"/>
  <c r="C1311" i="16"/>
  <c r="G1310" i="16"/>
  <c r="D1310" i="16"/>
  <c r="C1310" i="16"/>
  <c r="G1309" i="16"/>
  <c r="D1309" i="16"/>
  <c r="C1309" i="16"/>
  <c r="G1308" i="16"/>
  <c r="D1308" i="16"/>
  <c r="C1308" i="16"/>
  <c r="G1307" i="16"/>
  <c r="D1307" i="16"/>
  <c r="C1307" i="16"/>
  <c r="G1306" i="16"/>
  <c r="D1306" i="16"/>
  <c r="C1306" i="16"/>
  <c r="G1305" i="16"/>
  <c r="D1305" i="16"/>
  <c r="C1305" i="16"/>
  <c r="G1304" i="16"/>
  <c r="D1304" i="16"/>
  <c r="C1304" i="16"/>
  <c r="G1303" i="16"/>
  <c r="D1303" i="16"/>
  <c r="C1303" i="16"/>
  <c r="G1302" i="16"/>
  <c r="D1302" i="16"/>
  <c r="C1302" i="16"/>
  <c r="G1301" i="16"/>
  <c r="D1301" i="16"/>
  <c r="C1301" i="16"/>
  <c r="G1300" i="16"/>
  <c r="D1300" i="16"/>
  <c r="C1300" i="16"/>
  <c r="G1299" i="16"/>
  <c r="D1299" i="16"/>
  <c r="C1299" i="16"/>
  <c r="G1298" i="16"/>
  <c r="D1298" i="16"/>
  <c r="C1298" i="16"/>
  <c r="G1297" i="16"/>
  <c r="D1297" i="16"/>
  <c r="C1297" i="16"/>
  <c r="G1296" i="16"/>
  <c r="D1296" i="16"/>
  <c r="C1296" i="16"/>
  <c r="G1295" i="16"/>
  <c r="D1295" i="16"/>
  <c r="C1295" i="16"/>
  <c r="G1294" i="16"/>
  <c r="D1294" i="16"/>
  <c r="C1294" i="16"/>
  <c r="G1293" i="16"/>
  <c r="D1293" i="16"/>
  <c r="C1293" i="16"/>
  <c r="G1292" i="16"/>
  <c r="D1292" i="16"/>
  <c r="C1292" i="16"/>
  <c r="G1291" i="16"/>
  <c r="D1291" i="16"/>
  <c r="C1291" i="16"/>
  <c r="G1290" i="16"/>
  <c r="D1290" i="16"/>
  <c r="C1290" i="16"/>
  <c r="G1289" i="16"/>
  <c r="D1289" i="16"/>
  <c r="C1289" i="16"/>
  <c r="G1288" i="16"/>
  <c r="D1288" i="16"/>
  <c r="C1288" i="16"/>
  <c r="G1287" i="16"/>
  <c r="D1287" i="16"/>
  <c r="C1287" i="16"/>
  <c r="G1286" i="16"/>
  <c r="D1286" i="16"/>
  <c r="C1286" i="16"/>
  <c r="G1285" i="16"/>
  <c r="D1285" i="16"/>
  <c r="C1285" i="16"/>
  <c r="G1284" i="16"/>
  <c r="D1284" i="16"/>
  <c r="C1284" i="16"/>
  <c r="G1283" i="16"/>
  <c r="D1283" i="16"/>
  <c r="C1283" i="16"/>
  <c r="G1282" i="16"/>
  <c r="D1282" i="16"/>
  <c r="C1282" i="16"/>
  <c r="G1281" i="16"/>
  <c r="D1281" i="16"/>
  <c r="C1281" i="16"/>
  <c r="G1280" i="16"/>
  <c r="D1280" i="16"/>
  <c r="C1280" i="16"/>
  <c r="G1279" i="16"/>
  <c r="D1279" i="16"/>
  <c r="C1279" i="16"/>
  <c r="G1278" i="16"/>
  <c r="D1278" i="16"/>
  <c r="C1278" i="16"/>
  <c r="G1277" i="16"/>
  <c r="D1277" i="16"/>
  <c r="C1277" i="16"/>
  <c r="G1276" i="16"/>
  <c r="D1276" i="16"/>
  <c r="C1276" i="16"/>
  <c r="G1275" i="16"/>
  <c r="D1275" i="16"/>
  <c r="C1275" i="16"/>
  <c r="G1274" i="16"/>
  <c r="D1274" i="16"/>
  <c r="C1274" i="16"/>
  <c r="G1273" i="16"/>
  <c r="D1273" i="16"/>
  <c r="C1273" i="16"/>
  <c r="G1272" i="16"/>
  <c r="D1272" i="16"/>
  <c r="C1272" i="16"/>
  <c r="G1271" i="16"/>
  <c r="D1271" i="16"/>
  <c r="C1271" i="16"/>
  <c r="G1270" i="16"/>
  <c r="D1270" i="16"/>
  <c r="C1270" i="16"/>
  <c r="G1269" i="16"/>
  <c r="D1269" i="16"/>
  <c r="C1269" i="16"/>
  <c r="G1268" i="16"/>
  <c r="D1268" i="16"/>
  <c r="C1268" i="16"/>
  <c r="G1267" i="16"/>
  <c r="D1267" i="16"/>
  <c r="C1267" i="16"/>
  <c r="G1266" i="16"/>
  <c r="D1266" i="16"/>
  <c r="C1266" i="16"/>
  <c r="G1265" i="16"/>
  <c r="D1265" i="16"/>
  <c r="C1265" i="16"/>
  <c r="G1264" i="16"/>
  <c r="D1264" i="16"/>
  <c r="C1264" i="16"/>
  <c r="G1263" i="16"/>
  <c r="D1263" i="16"/>
  <c r="C1263" i="16"/>
  <c r="G1262" i="16"/>
  <c r="D1262" i="16"/>
  <c r="C1262" i="16"/>
  <c r="G1261" i="16"/>
  <c r="D1261" i="16"/>
  <c r="C1261" i="16"/>
  <c r="G1260" i="16"/>
  <c r="D1260" i="16"/>
  <c r="C1260" i="16"/>
  <c r="G1259" i="16"/>
  <c r="D1259" i="16"/>
  <c r="C1259" i="16"/>
  <c r="G1258" i="16"/>
  <c r="D1258" i="16"/>
  <c r="C1258" i="16"/>
  <c r="G1257" i="16"/>
  <c r="D1257" i="16"/>
  <c r="C1257" i="16"/>
  <c r="G1256" i="16"/>
  <c r="D1256" i="16"/>
  <c r="C1256" i="16"/>
  <c r="G1255" i="16"/>
  <c r="D1255" i="16"/>
  <c r="C1255" i="16"/>
  <c r="G1254" i="16"/>
  <c r="D1254" i="16"/>
  <c r="C1254" i="16"/>
  <c r="G1253" i="16"/>
  <c r="D1253" i="16"/>
  <c r="C1253" i="16"/>
  <c r="G1252" i="16"/>
  <c r="D1252" i="16"/>
  <c r="C1252" i="16"/>
  <c r="G1251" i="16"/>
  <c r="D1251" i="16"/>
  <c r="C1251" i="16"/>
  <c r="G1250" i="16"/>
  <c r="D1250" i="16"/>
  <c r="C1250" i="16"/>
  <c r="G1249" i="16"/>
  <c r="D1249" i="16"/>
  <c r="C1249" i="16"/>
  <c r="G1248" i="16"/>
  <c r="D1248" i="16"/>
  <c r="C1248" i="16"/>
  <c r="G1247" i="16"/>
  <c r="D1247" i="16"/>
  <c r="C1247" i="16"/>
  <c r="G1246" i="16"/>
  <c r="D1246" i="16"/>
  <c r="C1246" i="16"/>
  <c r="G1245" i="16"/>
  <c r="D1245" i="16"/>
  <c r="C1245" i="16"/>
  <c r="G1244" i="16"/>
  <c r="D1244" i="16"/>
  <c r="C1244" i="16"/>
  <c r="G1243" i="16"/>
  <c r="D1243" i="16"/>
  <c r="C1243" i="16"/>
  <c r="G1242" i="16"/>
  <c r="D1242" i="16"/>
  <c r="C1242" i="16"/>
  <c r="G1241" i="16"/>
  <c r="D1241" i="16"/>
  <c r="C1241" i="16"/>
  <c r="G1240" i="16"/>
  <c r="D1240" i="16"/>
  <c r="C1240" i="16"/>
  <c r="G1239" i="16"/>
  <c r="D1239" i="16"/>
  <c r="C1239" i="16"/>
  <c r="G1238" i="16"/>
  <c r="D1238" i="16"/>
  <c r="C1238" i="16"/>
  <c r="G1237" i="16"/>
  <c r="D1237" i="16"/>
  <c r="C1237" i="16"/>
  <c r="G1236" i="16"/>
  <c r="D1236" i="16"/>
  <c r="C1236" i="16"/>
  <c r="G1235" i="16"/>
  <c r="D1235" i="16"/>
  <c r="C1235" i="16"/>
  <c r="G1234" i="16"/>
  <c r="D1234" i="16"/>
  <c r="C1234" i="16"/>
  <c r="G1233" i="16"/>
  <c r="D1233" i="16"/>
  <c r="C1233" i="16"/>
  <c r="G1232" i="16"/>
  <c r="D1232" i="16"/>
  <c r="C1232" i="16"/>
  <c r="G1231" i="16"/>
  <c r="D1231" i="16"/>
  <c r="C1231" i="16"/>
  <c r="G1230" i="16"/>
  <c r="D1230" i="16"/>
  <c r="C1230" i="16"/>
  <c r="G1229" i="16"/>
  <c r="D1229" i="16"/>
  <c r="C1229" i="16"/>
  <c r="G1228" i="16"/>
  <c r="D1228" i="16"/>
  <c r="C1228" i="16"/>
  <c r="G1227" i="16"/>
  <c r="D1227" i="16"/>
  <c r="C1227" i="16"/>
  <c r="G1226" i="16"/>
  <c r="D1226" i="16"/>
  <c r="C1226" i="16"/>
  <c r="G1225" i="16"/>
  <c r="D1225" i="16"/>
  <c r="C1225" i="16"/>
  <c r="G1224" i="16"/>
  <c r="D1224" i="16"/>
  <c r="C1224" i="16"/>
  <c r="G1223" i="16"/>
  <c r="D1223" i="16"/>
  <c r="C1223" i="16"/>
  <c r="G1222" i="16"/>
  <c r="D1222" i="16"/>
  <c r="C1222" i="16"/>
  <c r="G1221" i="16"/>
  <c r="D1221" i="16"/>
  <c r="C1221" i="16"/>
  <c r="G1220" i="16"/>
  <c r="D1220" i="16"/>
  <c r="C1220" i="16"/>
  <c r="G1219" i="16"/>
  <c r="D1219" i="16"/>
  <c r="C1219" i="16"/>
  <c r="G1218" i="16"/>
  <c r="D1218" i="16"/>
  <c r="C1218" i="16"/>
  <c r="G1217" i="16"/>
  <c r="D1217" i="16"/>
  <c r="C1217" i="16"/>
  <c r="G1216" i="16"/>
  <c r="D1216" i="16"/>
  <c r="C1216" i="16"/>
  <c r="G1215" i="16"/>
  <c r="D1215" i="16"/>
  <c r="C1215" i="16"/>
  <c r="G1214" i="16"/>
  <c r="D1214" i="16"/>
  <c r="C1214" i="16"/>
  <c r="G1213" i="16"/>
  <c r="D1213" i="16"/>
  <c r="C1213" i="16"/>
  <c r="G1212" i="16"/>
  <c r="D1212" i="16"/>
  <c r="C1212" i="16"/>
  <c r="G1211" i="16"/>
  <c r="D1211" i="16"/>
  <c r="C1211" i="16"/>
  <c r="G1210" i="16"/>
  <c r="D1210" i="16"/>
  <c r="C1210" i="16"/>
  <c r="G1209" i="16"/>
  <c r="D1209" i="16"/>
  <c r="C1209" i="16"/>
  <c r="G1208" i="16"/>
  <c r="D1208" i="16"/>
  <c r="C1208" i="16"/>
  <c r="G1207" i="16"/>
  <c r="D1207" i="16"/>
  <c r="C1207" i="16"/>
  <c r="G1206" i="16"/>
  <c r="D1206" i="16"/>
  <c r="C1206" i="16"/>
  <c r="G1205" i="16"/>
  <c r="D1205" i="16"/>
  <c r="C1205" i="16"/>
  <c r="G1204" i="16"/>
  <c r="D1204" i="16"/>
  <c r="C1204" i="16"/>
  <c r="G1203" i="16"/>
  <c r="D1203" i="16"/>
  <c r="C1203" i="16"/>
  <c r="G1202" i="16"/>
  <c r="D1202" i="16"/>
  <c r="C1202" i="16"/>
  <c r="G1201" i="16"/>
  <c r="D1201" i="16"/>
  <c r="C1201" i="16"/>
  <c r="G1200" i="16"/>
  <c r="D1200" i="16"/>
  <c r="C1200" i="16"/>
  <c r="G1199" i="16"/>
  <c r="D1199" i="16"/>
  <c r="C1199" i="16"/>
  <c r="G1198" i="16"/>
  <c r="D1198" i="16"/>
  <c r="C1198" i="16"/>
  <c r="G1197" i="16"/>
  <c r="D1197" i="16"/>
  <c r="C1197" i="16"/>
  <c r="G1196" i="16"/>
  <c r="D1196" i="16"/>
  <c r="C1196" i="16"/>
  <c r="G1195" i="16"/>
  <c r="D1195" i="16"/>
  <c r="C1195" i="16"/>
  <c r="G1194" i="16"/>
  <c r="D1194" i="16"/>
  <c r="C1194" i="16"/>
  <c r="G1193" i="16"/>
  <c r="D1193" i="16"/>
  <c r="C1193" i="16"/>
  <c r="G1192" i="16"/>
  <c r="D1192" i="16"/>
  <c r="C1192" i="16"/>
  <c r="G1191" i="16"/>
  <c r="D1191" i="16"/>
  <c r="C1191" i="16"/>
  <c r="G1190" i="16"/>
  <c r="D1190" i="16"/>
  <c r="C1190" i="16"/>
  <c r="G1189" i="16"/>
  <c r="D1189" i="16"/>
  <c r="C1189" i="16"/>
  <c r="G1188" i="16"/>
  <c r="D1188" i="16"/>
  <c r="C1188" i="16"/>
  <c r="G1187" i="16"/>
  <c r="D1187" i="16"/>
  <c r="C1187" i="16"/>
  <c r="G1186" i="16"/>
  <c r="D1186" i="16"/>
  <c r="C1186" i="16"/>
  <c r="G1185" i="16"/>
  <c r="D1185" i="16"/>
  <c r="C1185" i="16"/>
  <c r="G1184" i="16"/>
  <c r="D1184" i="16"/>
  <c r="C1184" i="16"/>
  <c r="G1183" i="16"/>
  <c r="D1183" i="16"/>
  <c r="C1183" i="16"/>
  <c r="G1182" i="16"/>
  <c r="D1182" i="16"/>
  <c r="C1182" i="16"/>
  <c r="G1181" i="16"/>
  <c r="D1181" i="16"/>
  <c r="C1181" i="16"/>
  <c r="G1180" i="16"/>
  <c r="D1180" i="16"/>
  <c r="C1180" i="16"/>
  <c r="G1179" i="16"/>
  <c r="D1179" i="16"/>
  <c r="C1179" i="16"/>
  <c r="G1178" i="16"/>
  <c r="D1178" i="16"/>
  <c r="C1178" i="16"/>
  <c r="G1177" i="16"/>
  <c r="D1177" i="16"/>
  <c r="C1177" i="16"/>
  <c r="G1176" i="16"/>
  <c r="D1176" i="16"/>
  <c r="C1176" i="16"/>
  <c r="G1175" i="16"/>
  <c r="D1175" i="16"/>
  <c r="C1175" i="16"/>
  <c r="G1174" i="16"/>
  <c r="D1174" i="16"/>
  <c r="C1174" i="16"/>
  <c r="G1173" i="16"/>
  <c r="D1173" i="16"/>
  <c r="C1173" i="16"/>
  <c r="G1172" i="16"/>
  <c r="D1172" i="16"/>
  <c r="C1172" i="16"/>
  <c r="G1171" i="16"/>
  <c r="D1171" i="16"/>
  <c r="C1171" i="16"/>
  <c r="G1170" i="16"/>
  <c r="D1170" i="16"/>
  <c r="C1170" i="16"/>
  <c r="G1169" i="16"/>
  <c r="D1169" i="16"/>
  <c r="C1169" i="16"/>
  <c r="G1168" i="16"/>
  <c r="D1168" i="16"/>
  <c r="C1168" i="16"/>
  <c r="G1167" i="16"/>
  <c r="D1167" i="16"/>
  <c r="C1167" i="16"/>
  <c r="G1166" i="16"/>
  <c r="D1166" i="16"/>
  <c r="C1166" i="16"/>
  <c r="G1165" i="16"/>
  <c r="D1165" i="16"/>
  <c r="C1165" i="16"/>
  <c r="G1164" i="16"/>
  <c r="D1164" i="16"/>
  <c r="C1164" i="16"/>
  <c r="G1163" i="16"/>
  <c r="D1163" i="16"/>
  <c r="C1163" i="16"/>
  <c r="G1162" i="16"/>
  <c r="D1162" i="16"/>
  <c r="C1162" i="16"/>
  <c r="G1161" i="16"/>
  <c r="D1161" i="16"/>
  <c r="C1161" i="16"/>
  <c r="G1160" i="16"/>
  <c r="D1160" i="16"/>
  <c r="C1160" i="16"/>
  <c r="G1159" i="16"/>
  <c r="D1159" i="16"/>
  <c r="C1159" i="16"/>
  <c r="G1158" i="16"/>
  <c r="D1158" i="16"/>
  <c r="C1158" i="16"/>
  <c r="G1157" i="16"/>
  <c r="D1157" i="16"/>
  <c r="C1157" i="16"/>
  <c r="G1156" i="16"/>
  <c r="D1156" i="16"/>
  <c r="C1156" i="16"/>
  <c r="G1155" i="16"/>
  <c r="D1155" i="16"/>
  <c r="C1155" i="16"/>
  <c r="G1154" i="16"/>
  <c r="D1154" i="16"/>
  <c r="C1154" i="16"/>
  <c r="G1153" i="16"/>
  <c r="D1153" i="16"/>
  <c r="C1153" i="16"/>
  <c r="G1152" i="16"/>
  <c r="D1152" i="16"/>
  <c r="C1152" i="16"/>
  <c r="G1151" i="16"/>
  <c r="D1151" i="16"/>
  <c r="C1151" i="16"/>
  <c r="G1150" i="16"/>
  <c r="D1150" i="16"/>
  <c r="C1150" i="16"/>
  <c r="G1149" i="16"/>
  <c r="D1149" i="16"/>
  <c r="C1149" i="16"/>
  <c r="G1148" i="16"/>
  <c r="D1148" i="16"/>
  <c r="C1148" i="16"/>
  <c r="G1147" i="16"/>
  <c r="D1147" i="16"/>
  <c r="C1147" i="16"/>
  <c r="G1146" i="16"/>
  <c r="D1146" i="16"/>
  <c r="C1146" i="16"/>
  <c r="G1145" i="16"/>
  <c r="D1145" i="16"/>
  <c r="C1145" i="16"/>
  <c r="G1144" i="16"/>
  <c r="D1144" i="16"/>
  <c r="C1144" i="16"/>
  <c r="G1143" i="16"/>
  <c r="D1143" i="16"/>
  <c r="C1143" i="16"/>
  <c r="G1142" i="16"/>
  <c r="D1142" i="16"/>
  <c r="C1142" i="16"/>
  <c r="G1141" i="16"/>
  <c r="D1141" i="16"/>
  <c r="C1141" i="16"/>
  <c r="G1140" i="16"/>
  <c r="D1140" i="16"/>
  <c r="C1140" i="16"/>
  <c r="G1139" i="16"/>
  <c r="D1139" i="16"/>
  <c r="C1139" i="16"/>
  <c r="G1138" i="16"/>
  <c r="D1138" i="16"/>
  <c r="C1138" i="16"/>
  <c r="G1137" i="16"/>
  <c r="D1137" i="16"/>
  <c r="C1137" i="16"/>
  <c r="G1136" i="16"/>
  <c r="D1136" i="16"/>
  <c r="C1136" i="16"/>
  <c r="G1135" i="16"/>
  <c r="D1135" i="16"/>
  <c r="C1135" i="16"/>
  <c r="G1134" i="16"/>
  <c r="D1134" i="16"/>
  <c r="C1134" i="16"/>
  <c r="G1133" i="16"/>
  <c r="D1133" i="16"/>
  <c r="C1133" i="16"/>
  <c r="G1132" i="16"/>
  <c r="D1132" i="16"/>
  <c r="C1132" i="16"/>
  <c r="G1131" i="16"/>
  <c r="D1131" i="16"/>
  <c r="C1131" i="16"/>
  <c r="G1130" i="16"/>
  <c r="D1130" i="16"/>
  <c r="C1130" i="16"/>
  <c r="G1129" i="16"/>
  <c r="D1129" i="16"/>
  <c r="C1129" i="16"/>
  <c r="G1128" i="16"/>
  <c r="D1128" i="16"/>
  <c r="C1128" i="16"/>
  <c r="G1127" i="16"/>
  <c r="D1127" i="16"/>
  <c r="C1127" i="16"/>
  <c r="G1126" i="16"/>
  <c r="D1126" i="16"/>
  <c r="C1126" i="16"/>
  <c r="G1125" i="16"/>
  <c r="D1125" i="16"/>
  <c r="C1125" i="16"/>
  <c r="G1124" i="16"/>
  <c r="D1124" i="16"/>
  <c r="C1124" i="16"/>
  <c r="G1123" i="16"/>
  <c r="D1123" i="16"/>
  <c r="C1123" i="16"/>
  <c r="G1122" i="16"/>
  <c r="D1122" i="16"/>
  <c r="C1122" i="16"/>
  <c r="G1121" i="16"/>
  <c r="D1121" i="16"/>
  <c r="C1121" i="16"/>
  <c r="G1120" i="16"/>
  <c r="D1120" i="16"/>
  <c r="C1120" i="16"/>
  <c r="G1119" i="16"/>
  <c r="D1119" i="16"/>
  <c r="C1119" i="16"/>
  <c r="G1118" i="16"/>
  <c r="D1118" i="16"/>
  <c r="C1118" i="16"/>
  <c r="G1117" i="16"/>
  <c r="D1117" i="16"/>
  <c r="C1117" i="16"/>
  <c r="G1116" i="16"/>
  <c r="D1116" i="16"/>
  <c r="C1116" i="16"/>
  <c r="G1115" i="16"/>
  <c r="D1115" i="16"/>
  <c r="C1115" i="16"/>
  <c r="G1114" i="16"/>
  <c r="D1114" i="16"/>
  <c r="C1114" i="16"/>
  <c r="G1113" i="16"/>
  <c r="D1113" i="16"/>
  <c r="C1113" i="16"/>
  <c r="G1112" i="16"/>
  <c r="D1112" i="16"/>
  <c r="C1112" i="16"/>
  <c r="G1111" i="16"/>
  <c r="D1111" i="16"/>
  <c r="C1111" i="16"/>
  <c r="G1110" i="16"/>
  <c r="D1110" i="16"/>
  <c r="C1110" i="16"/>
  <c r="G1109" i="16"/>
  <c r="D1109" i="16"/>
  <c r="C1109" i="16"/>
  <c r="G1108" i="16"/>
  <c r="D1108" i="16"/>
  <c r="C1108" i="16"/>
  <c r="G1107" i="16"/>
  <c r="D1107" i="16"/>
  <c r="C1107" i="16"/>
  <c r="G1106" i="16"/>
  <c r="D1106" i="16"/>
  <c r="C1106" i="16"/>
  <c r="G1105" i="16"/>
  <c r="D1105" i="16"/>
  <c r="C1105" i="16"/>
  <c r="G1104" i="16"/>
  <c r="D1104" i="16"/>
  <c r="C1104" i="16"/>
  <c r="G1103" i="16"/>
  <c r="D1103" i="16"/>
  <c r="C1103" i="16"/>
  <c r="G1102" i="16"/>
  <c r="D1102" i="16"/>
  <c r="C1102" i="16"/>
  <c r="G1101" i="16"/>
  <c r="D1101" i="16"/>
  <c r="C1101" i="16"/>
  <c r="G1100" i="16"/>
  <c r="D1100" i="16"/>
  <c r="C1100" i="16"/>
  <c r="G1099" i="16"/>
  <c r="D1099" i="16"/>
  <c r="C1099" i="16"/>
  <c r="G1098" i="16"/>
  <c r="D1098" i="16"/>
  <c r="C1098" i="16"/>
  <c r="G1097" i="16"/>
  <c r="D1097" i="16"/>
  <c r="C1097" i="16"/>
  <c r="G1096" i="16"/>
  <c r="D1096" i="16"/>
  <c r="C1096" i="16"/>
  <c r="G1095" i="16"/>
  <c r="D1095" i="16"/>
  <c r="C1095" i="16"/>
  <c r="G1094" i="16"/>
  <c r="D1094" i="16"/>
  <c r="C1094" i="16"/>
  <c r="G1093" i="16"/>
  <c r="D1093" i="16"/>
  <c r="C1093" i="16"/>
  <c r="G1092" i="16"/>
  <c r="D1092" i="16"/>
  <c r="C1092" i="16"/>
  <c r="G1091" i="16"/>
  <c r="D1091" i="16"/>
  <c r="C1091" i="16"/>
  <c r="G1090" i="16"/>
  <c r="D1090" i="16"/>
  <c r="C1090" i="16"/>
  <c r="G1089" i="16"/>
  <c r="D1089" i="16"/>
  <c r="C1089" i="16"/>
  <c r="G1088" i="16"/>
  <c r="D1088" i="16"/>
  <c r="C1088" i="16"/>
  <c r="G1087" i="16"/>
  <c r="D1087" i="16"/>
  <c r="C1087" i="16"/>
  <c r="G1086" i="16"/>
  <c r="D1086" i="16"/>
  <c r="C1086" i="16"/>
  <c r="G1085" i="16"/>
  <c r="D1085" i="16"/>
  <c r="C1085" i="16"/>
  <c r="G1084" i="16"/>
  <c r="D1084" i="16"/>
  <c r="C1084" i="16"/>
  <c r="G1083" i="16"/>
  <c r="D1083" i="16"/>
  <c r="C1083" i="16"/>
  <c r="G1082" i="16"/>
  <c r="D1082" i="16"/>
  <c r="C1082" i="16"/>
  <c r="G1081" i="16"/>
  <c r="D1081" i="16"/>
  <c r="C1081" i="16"/>
  <c r="G1080" i="16"/>
  <c r="D1080" i="16"/>
  <c r="C1080" i="16"/>
  <c r="G1079" i="16"/>
  <c r="D1079" i="16"/>
  <c r="C1079" i="16"/>
  <c r="G1078" i="16"/>
  <c r="D1078" i="16"/>
  <c r="C1078" i="16"/>
  <c r="G1077" i="16"/>
  <c r="D1077" i="16"/>
  <c r="C1077" i="16"/>
  <c r="G1076" i="16"/>
  <c r="D1076" i="16"/>
  <c r="C1076" i="16"/>
  <c r="G1075" i="16"/>
  <c r="D1075" i="16"/>
  <c r="C1075" i="16"/>
  <c r="G1074" i="16"/>
  <c r="D1074" i="16"/>
  <c r="C1074" i="16"/>
  <c r="G1073" i="16"/>
  <c r="D1073" i="16"/>
  <c r="C1073" i="16"/>
  <c r="G1072" i="16"/>
  <c r="D1072" i="16"/>
  <c r="C1072" i="16"/>
  <c r="G1071" i="16"/>
  <c r="D1071" i="16"/>
  <c r="C1071" i="16"/>
  <c r="G1070" i="16"/>
  <c r="D1070" i="16"/>
  <c r="C1070" i="16"/>
  <c r="G1069" i="16"/>
  <c r="D1069" i="16"/>
  <c r="C1069" i="16"/>
  <c r="G1068" i="16"/>
  <c r="D1068" i="16"/>
  <c r="C1068" i="16"/>
  <c r="G1067" i="16"/>
  <c r="D1067" i="16"/>
  <c r="C1067" i="16"/>
  <c r="G1066" i="16"/>
  <c r="D1066" i="16"/>
  <c r="C1066" i="16"/>
  <c r="G1065" i="16"/>
  <c r="D1065" i="16"/>
  <c r="C1065" i="16"/>
  <c r="G1064" i="16"/>
  <c r="D1064" i="16"/>
  <c r="C1064" i="16"/>
  <c r="G1063" i="16"/>
  <c r="D1063" i="16"/>
  <c r="C1063" i="16"/>
  <c r="G1062" i="16"/>
  <c r="D1062" i="16"/>
  <c r="C1062" i="16"/>
  <c r="G1061" i="16"/>
  <c r="D1061" i="16"/>
  <c r="C1061" i="16"/>
  <c r="G1060" i="16"/>
  <c r="D1060" i="16"/>
  <c r="C1060" i="16"/>
  <c r="G1059" i="16"/>
  <c r="D1059" i="16"/>
  <c r="C1059" i="16"/>
  <c r="G1058" i="16"/>
  <c r="D1058" i="16"/>
  <c r="C1058" i="16"/>
  <c r="G1057" i="16"/>
  <c r="D1057" i="16"/>
  <c r="C1057" i="16"/>
  <c r="G1056" i="16"/>
  <c r="D1056" i="16"/>
  <c r="C1056" i="16"/>
  <c r="G1055" i="16"/>
  <c r="D1055" i="16"/>
  <c r="C1055" i="16"/>
  <c r="G1054" i="16"/>
  <c r="D1054" i="16"/>
  <c r="C1054" i="16"/>
  <c r="G1053" i="16"/>
  <c r="D1053" i="16"/>
  <c r="C1053" i="16"/>
  <c r="G1052" i="16"/>
  <c r="D1052" i="16"/>
  <c r="C1052" i="16"/>
  <c r="G1051" i="16"/>
  <c r="D1051" i="16"/>
  <c r="C1051" i="16"/>
  <c r="G1050" i="16"/>
  <c r="D1050" i="16"/>
  <c r="C1050" i="16"/>
  <c r="G1049" i="16"/>
  <c r="D1049" i="16"/>
  <c r="C1049" i="16"/>
  <c r="G1048" i="16"/>
  <c r="D1048" i="16"/>
  <c r="C1048" i="16"/>
  <c r="G1047" i="16"/>
  <c r="D1047" i="16"/>
  <c r="C1047" i="16"/>
  <c r="G1046" i="16"/>
  <c r="D1046" i="16"/>
  <c r="C1046" i="16"/>
  <c r="G1045" i="16"/>
  <c r="D1045" i="16"/>
  <c r="C1045" i="16"/>
  <c r="G1044" i="16"/>
  <c r="D1044" i="16"/>
  <c r="C1044" i="16"/>
  <c r="G1043" i="16"/>
  <c r="D1043" i="16"/>
  <c r="C1043" i="16"/>
  <c r="G1042" i="16"/>
  <c r="D1042" i="16"/>
  <c r="C1042" i="16"/>
  <c r="G1041" i="16"/>
  <c r="D1041" i="16"/>
  <c r="C1041" i="16"/>
  <c r="G1040" i="16"/>
  <c r="D1040" i="16"/>
  <c r="C1040" i="16"/>
  <c r="G1039" i="16"/>
  <c r="D1039" i="16"/>
  <c r="C1039" i="16"/>
  <c r="G1038" i="16"/>
  <c r="D1038" i="16"/>
  <c r="C1038" i="16"/>
  <c r="G1037" i="16"/>
  <c r="D1037" i="16"/>
  <c r="C1037" i="16"/>
  <c r="G1036" i="16"/>
  <c r="D1036" i="16"/>
  <c r="C1036" i="16"/>
  <c r="G1035" i="16"/>
  <c r="D1035" i="16"/>
  <c r="C1035" i="16"/>
  <c r="G1034" i="16"/>
  <c r="D1034" i="16"/>
  <c r="C1034" i="16"/>
  <c r="G1033" i="16"/>
  <c r="D1033" i="16"/>
  <c r="C1033" i="16"/>
  <c r="G1032" i="16"/>
  <c r="D1032" i="16"/>
  <c r="C1032" i="16"/>
  <c r="G1031" i="16"/>
  <c r="D1031" i="16"/>
  <c r="C1031" i="16"/>
  <c r="G1030" i="16"/>
  <c r="D1030" i="16"/>
  <c r="C1030" i="16"/>
  <c r="G1029" i="16"/>
  <c r="D1029" i="16"/>
  <c r="C1029" i="16"/>
  <c r="G1028" i="16"/>
  <c r="D1028" i="16"/>
  <c r="C1028" i="16"/>
  <c r="G1027" i="16"/>
  <c r="D1027" i="16"/>
  <c r="C1027" i="16"/>
  <c r="G1026" i="16"/>
  <c r="D1026" i="16"/>
  <c r="C1026" i="16"/>
  <c r="G1025" i="16"/>
  <c r="D1025" i="16"/>
  <c r="C1025" i="16"/>
  <c r="G1024" i="16"/>
  <c r="D1024" i="16"/>
  <c r="C1024" i="16"/>
  <c r="G1023" i="16"/>
  <c r="D1023" i="16"/>
  <c r="C1023" i="16"/>
  <c r="G1022" i="16"/>
  <c r="D1022" i="16"/>
  <c r="C1022" i="16"/>
  <c r="G1021" i="16"/>
  <c r="D1021" i="16"/>
  <c r="C1021" i="16"/>
  <c r="G1020" i="16"/>
  <c r="D1020" i="16"/>
  <c r="C1020" i="16"/>
  <c r="G1019" i="16"/>
  <c r="D1019" i="16"/>
  <c r="C1019" i="16"/>
  <c r="G1018" i="16"/>
  <c r="D1018" i="16"/>
  <c r="C1018" i="16"/>
  <c r="G1017" i="16"/>
  <c r="D1017" i="16"/>
  <c r="C1017" i="16"/>
  <c r="G1016" i="16"/>
  <c r="D1016" i="16"/>
  <c r="C1016" i="16"/>
  <c r="G1015" i="16"/>
  <c r="D1015" i="16"/>
  <c r="C1015" i="16"/>
  <c r="G1014" i="16"/>
  <c r="D1014" i="16"/>
  <c r="C1014" i="16"/>
  <c r="G1013" i="16"/>
  <c r="D1013" i="16"/>
  <c r="C1013" i="16"/>
  <c r="G1012" i="16"/>
  <c r="D1012" i="16"/>
  <c r="C1012" i="16"/>
  <c r="G1011" i="16"/>
  <c r="D1011" i="16"/>
  <c r="C1011" i="16"/>
  <c r="G1010" i="16"/>
  <c r="D1010" i="16"/>
  <c r="C1010" i="16"/>
  <c r="G1009" i="16"/>
  <c r="D1009" i="16"/>
  <c r="C1009" i="16"/>
  <c r="G1008" i="16"/>
  <c r="D1008" i="16"/>
  <c r="C1008" i="16"/>
  <c r="G1007" i="16"/>
  <c r="D1007" i="16"/>
  <c r="C1007" i="16"/>
  <c r="G1006" i="16"/>
  <c r="D1006" i="16"/>
  <c r="C1006" i="16"/>
  <c r="G1005" i="16"/>
  <c r="D1005" i="16"/>
  <c r="C1005" i="16"/>
  <c r="G1004" i="16"/>
  <c r="D1004" i="16"/>
  <c r="C1004" i="16"/>
  <c r="G1003" i="16"/>
  <c r="D1003" i="16"/>
  <c r="C1003" i="16"/>
  <c r="G1002" i="16"/>
  <c r="D1002" i="16"/>
  <c r="C1002" i="16"/>
  <c r="G1001" i="16"/>
  <c r="D1001" i="16"/>
  <c r="C1001" i="16"/>
  <c r="G1000" i="16"/>
  <c r="D1000" i="16"/>
  <c r="C1000" i="16"/>
  <c r="G999" i="16"/>
  <c r="D999" i="16"/>
  <c r="C999" i="16"/>
  <c r="G998" i="16"/>
  <c r="D998" i="16"/>
  <c r="C998" i="16"/>
  <c r="G997" i="16"/>
  <c r="D997" i="16"/>
  <c r="C997" i="16"/>
  <c r="G996" i="16"/>
  <c r="D996" i="16"/>
  <c r="C996" i="16"/>
  <c r="G995" i="16"/>
  <c r="D995" i="16"/>
  <c r="C995" i="16"/>
  <c r="G994" i="16"/>
  <c r="D994" i="16"/>
  <c r="C994" i="16"/>
  <c r="G993" i="16"/>
  <c r="D993" i="16"/>
  <c r="C993" i="16"/>
  <c r="G992" i="16"/>
  <c r="D992" i="16"/>
  <c r="C992" i="16"/>
  <c r="G991" i="16"/>
  <c r="D991" i="16"/>
  <c r="C991" i="16"/>
  <c r="G990" i="16"/>
  <c r="D990" i="16"/>
  <c r="C990" i="16"/>
  <c r="G989" i="16"/>
  <c r="D989" i="16"/>
  <c r="C989" i="16"/>
  <c r="G988" i="16"/>
  <c r="D988" i="16"/>
  <c r="C988" i="16"/>
  <c r="G987" i="16"/>
  <c r="D987" i="16"/>
  <c r="C987" i="16"/>
  <c r="G986" i="16"/>
  <c r="D986" i="16"/>
  <c r="C986" i="16"/>
  <c r="G985" i="16"/>
  <c r="D985" i="16"/>
  <c r="C985" i="16"/>
  <c r="G984" i="16"/>
  <c r="D984" i="16"/>
  <c r="C984" i="16"/>
  <c r="G983" i="16"/>
  <c r="D983" i="16"/>
  <c r="C983" i="16"/>
  <c r="G982" i="16"/>
  <c r="D982" i="16"/>
  <c r="C982" i="16"/>
  <c r="G981" i="16"/>
  <c r="D981" i="16"/>
  <c r="C981" i="16"/>
  <c r="G980" i="16"/>
  <c r="D980" i="16"/>
  <c r="C980" i="16"/>
  <c r="G979" i="16"/>
  <c r="D979" i="16"/>
  <c r="C979" i="16"/>
  <c r="G978" i="16"/>
  <c r="D978" i="16"/>
  <c r="C978" i="16"/>
  <c r="G977" i="16"/>
  <c r="D977" i="16"/>
  <c r="C977" i="16"/>
  <c r="G976" i="16"/>
  <c r="D976" i="16"/>
  <c r="C976" i="16"/>
  <c r="G975" i="16"/>
  <c r="D975" i="16"/>
  <c r="C975" i="16"/>
  <c r="G974" i="16"/>
  <c r="D974" i="16"/>
  <c r="C974" i="16"/>
  <c r="G973" i="16"/>
  <c r="D973" i="16"/>
  <c r="C973" i="16"/>
  <c r="G972" i="16"/>
  <c r="D972" i="16"/>
  <c r="C972" i="16"/>
  <c r="G971" i="16"/>
  <c r="D971" i="16"/>
  <c r="C971" i="16"/>
  <c r="G970" i="16"/>
  <c r="D970" i="16"/>
  <c r="C970" i="16"/>
  <c r="G969" i="16"/>
  <c r="D969" i="16"/>
  <c r="C969" i="16"/>
  <c r="G968" i="16"/>
  <c r="D968" i="16"/>
  <c r="C968" i="16"/>
  <c r="G967" i="16"/>
  <c r="D967" i="16"/>
  <c r="C967" i="16"/>
  <c r="G966" i="16"/>
  <c r="D966" i="16"/>
  <c r="C966" i="16"/>
  <c r="G965" i="16"/>
  <c r="D965" i="16"/>
  <c r="C965" i="16"/>
  <c r="G964" i="16"/>
  <c r="D964" i="16"/>
  <c r="C964" i="16"/>
  <c r="G963" i="16"/>
  <c r="D963" i="16"/>
  <c r="C963" i="16"/>
  <c r="G962" i="16"/>
  <c r="D962" i="16"/>
  <c r="C962" i="16"/>
  <c r="G961" i="16"/>
  <c r="D961" i="16"/>
  <c r="C961" i="16"/>
  <c r="G960" i="16"/>
  <c r="D960" i="16"/>
  <c r="C960" i="16"/>
  <c r="G959" i="16"/>
  <c r="D959" i="16"/>
  <c r="C959" i="16"/>
  <c r="G958" i="16"/>
  <c r="D958" i="16"/>
  <c r="C958" i="16"/>
  <c r="G957" i="16"/>
  <c r="D957" i="16"/>
  <c r="C957" i="16"/>
  <c r="G956" i="16"/>
  <c r="D956" i="16"/>
  <c r="C956" i="16"/>
  <c r="G955" i="16"/>
  <c r="D955" i="16"/>
  <c r="C955" i="16"/>
  <c r="G954" i="16"/>
  <c r="D954" i="16"/>
  <c r="C954" i="16"/>
  <c r="G953" i="16"/>
  <c r="D953" i="16"/>
  <c r="C953" i="16"/>
  <c r="G952" i="16"/>
  <c r="D952" i="16"/>
  <c r="C952" i="16"/>
  <c r="G951" i="16"/>
  <c r="D951" i="16"/>
  <c r="C951" i="16"/>
  <c r="G950" i="16"/>
  <c r="D950" i="16"/>
  <c r="C950" i="16"/>
  <c r="G949" i="16"/>
  <c r="D949" i="16"/>
  <c r="C949" i="16"/>
  <c r="G948" i="16"/>
  <c r="D948" i="16"/>
  <c r="C948" i="16"/>
  <c r="G947" i="16"/>
  <c r="D947" i="16"/>
  <c r="C947" i="16"/>
  <c r="G946" i="16"/>
  <c r="D946" i="16"/>
  <c r="C946" i="16"/>
  <c r="G945" i="16"/>
  <c r="D945" i="16"/>
  <c r="C945" i="16"/>
  <c r="G944" i="16"/>
  <c r="D944" i="16"/>
  <c r="C944" i="16"/>
  <c r="G943" i="16"/>
  <c r="D943" i="16"/>
  <c r="C943" i="16"/>
  <c r="G942" i="16"/>
  <c r="D942" i="16"/>
  <c r="C942" i="16"/>
  <c r="G941" i="16"/>
  <c r="D941" i="16"/>
  <c r="C941" i="16"/>
  <c r="G940" i="16"/>
  <c r="D940" i="16"/>
  <c r="C940" i="16"/>
  <c r="G939" i="16"/>
  <c r="D939" i="16"/>
  <c r="C939" i="16"/>
  <c r="G938" i="16"/>
  <c r="D938" i="16"/>
  <c r="C938" i="16"/>
  <c r="G937" i="16"/>
  <c r="D937" i="16"/>
  <c r="C937" i="16"/>
  <c r="G936" i="16"/>
  <c r="D936" i="16"/>
  <c r="C936" i="16"/>
  <c r="G935" i="16"/>
  <c r="D935" i="16"/>
  <c r="C935" i="16"/>
  <c r="G934" i="16"/>
  <c r="D934" i="16"/>
  <c r="C934" i="16"/>
  <c r="G933" i="16"/>
  <c r="D933" i="16"/>
  <c r="C933" i="16"/>
  <c r="G932" i="16"/>
  <c r="D932" i="16"/>
  <c r="C932" i="16"/>
  <c r="G931" i="16"/>
  <c r="D931" i="16"/>
  <c r="C931" i="16"/>
  <c r="G930" i="16"/>
  <c r="D930" i="16"/>
  <c r="C930" i="16"/>
  <c r="G929" i="16"/>
  <c r="D929" i="16"/>
  <c r="C929" i="16"/>
  <c r="G928" i="16"/>
  <c r="D928" i="16"/>
  <c r="C928" i="16"/>
  <c r="G927" i="16"/>
  <c r="D927" i="16"/>
  <c r="C927" i="16"/>
  <c r="G926" i="16"/>
  <c r="D926" i="16"/>
  <c r="C926" i="16"/>
  <c r="G925" i="16"/>
  <c r="D925" i="16"/>
  <c r="C925" i="16"/>
  <c r="G924" i="16"/>
  <c r="D924" i="16"/>
  <c r="C924" i="16"/>
  <c r="G923" i="16"/>
  <c r="D923" i="16"/>
  <c r="C923" i="16"/>
  <c r="G922" i="16"/>
  <c r="D922" i="16"/>
  <c r="C922" i="16"/>
  <c r="G921" i="16"/>
  <c r="D921" i="16"/>
  <c r="C921" i="16"/>
  <c r="G920" i="16"/>
  <c r="D920" i="16"/>
  <c r="C920" i="16"/>
  <c r="G919" i="16"/>
  <c r="D919" i="16"/>
  <c r="C919" i="16"/>
  <c r="G918" i="16"/>
  <c r="D918" i="16"/>
  <c r="C918" i="16"/>
  <c r="G917" i="16"/>
  <c r="D917" i="16"/>
  <c r="C917" i="16"/>
  <c r="G916" i="16"/>
  <c r="D916" i="16"/>
  <c r="C916" i="16"/>
  <c r="G915" i="16"/>
  <c r="D915" i="16"/>
  <c r="C915" i="16"/>
  <c r="G914" i="16"/>
  <c r="D914" i="16"/>
  <c r="C914" i="16"/>
  <c r="G913" i="16"/>
  <c r="D913" i="16"/>
  <c r="C913" i="16"/>
  <c r="G912" i="16"/>
  <c r="D912" i="16"/>
  <c r="C912" i="16"/>
  <c r="G911" i="16"/>
  <c r="D911" i="16"/>
  <c r="C911" i="16"/>
  <c r="G910" i="16"/>
  <c r="D910" i="16"/>
  <c r="C910" i="16"/>
  <c r="G909" i="16"/>
  <c r="D909" i="16"/>
  <c r="C909" i="16"/>
  <c r="G908" i="16"/>
  <c r="D908" i="16"/>
  <c r="C908" i="16"/>
  <c r="G907" i="16"/>
  <c r="D907" i="16"/>
  <c r="C907" i="16"/>
  <c r="G906" i="16"/>
  <c r="D906" i="16"/>
  <c r="C906" i="16"/>
  <c r="G905" i="16"/>
  <c r="D905" i="16"/>
  <c r="C905" i="16"/>
  <c r="G904" i="16"/>
  <c r="D904" i="16"/>
  <c r="C904" i="16"/>
  <c r="G903" i="16"/>
  <c r="D903" i="16"/>
  <c r="C903" i="16"/>
  <c r="G902" i="16"/>
  <c r="D902" i="16"/>
  <c r="C902" i="16"/>
  <c r="G901" i="16"/>
  <c r="D901" i="16"/>
  <c r="C901" i="16"/>
  <c r="G900" i="16"/>
  <c r="D900" i="16"/>
  <c r="C900" i="16"/>
  <c r="G899" i="16"/>
  <c r="D899" i="16"/>
  <c r="C899" i="16"/>
  <c r="G898" i="16"/>
  <c r="D898" i="16"/>
  <c r="C898" i="16"/>
  <c r="G897" i="16"/>
  <c r="D897" i="16"/>
  <c r="C897" i="16"/>
  <c r="G896" i="16"/>
  <c r="D896" i="16"/>
  <c r="C896" i="16"/>
  <c r="G895" i="16"/>
  <c r="D895" i="16"/>
  <c r="C895" i="16"/>
  <c r="G894" i="16"/>
  <c r="D894" i="16"/>
  <c r="C894" i="16"/>
  <c r="G893" i="16"/>
  <c r="D893" i="16"/>
  <c r="C893" i="16"/>
  <c r="G892" i="16"/>
  <c r="D892" i="16"/>
  <c r="C892" i="16"/>
  <c r="G891" i="16"/>
  <c r="D891" i="16"/>
  <c r="C891" i="16"/>
  <c r="G890" i="16"/>
  <c r="D890" i="16"/>
  <c r="C890" i="16"/>
  <c r="G889" i="16"/>
  <c r="D889" i="16"/>
  <c r="C889" i="16"/>
  <c r="G888" i="16"/>
  <c r="D888" i="16"/>
  <c r="C888" i="16"/>
  <c r="G887" i="16"/>
  <c r="D887" i="16"/>
  <c r="C887" i="16"/>
  <c r="G886" i="16"/>
  <c r="D886" i="16"/>
  <c r="C886" i="16"/>
  <c r="G885" i="16"/>
  <c r="D885" i="16"/>
  <c r="C885" i="16"/>
  <c r="G884" i="16"/>
  <c r="D884" i="16"/>
  <c r="C884" i="16"/>
  <c r="G883" i="16"/>
  <c r="D883" i="16"/>
  <c r="C883" i="16"/>
  <c r="G882" i="16"/>
  <c r="D882" i="16"/>
  <c r="C882" i="16"/>
  <c r="G881" i="16"/>
  <c r="D881" i="16"/>
  <c r="C881" i="16"/>
  <c r="G880" i="16"/>
  <c r="D880" i="16"/>
  <c r="C880" i="16"/>
  <c r="G879" i="16"/>
  <c r="D879" i="16"/>
  <c r="C879" i="16"/>
  <c r="G878" i="16"/>
  <c r="D878" i="16"/>
  <c r="C878" i="16"/>
  <c r="G877" i="16"/>
  <c r="D877" i="16"/>
  <c r="C877" i="16"/>
  <c r="G876" i="16"/>
  <c r="D876" i="16"/>
  <c r="C876" i="16"/>
  <c r="G875" i="16"/>
  <c r="D875" i="16"/>
  <c r="C875" i="16"/>
  <c r="G874" i="16"/>
  <c r="D874" i="16"/>
  <c r="C874" i="16"/>
  <c r="G873" i="16"/>
  <c r="D873" i="16"/>
  <c r="C873" i="16"/>
  <c r="G872" i="16"/>
  <c r="D872" i="16"/>
  <c r="C872" i="16"/>
  <c r="G871" i="16"/>
  <c r="D871" i="16"/>
  <c r="C871" i="16"/>
  <c r="G870" i="16"/>
  <c r="D870" i="16"/>
  <c r="C870" i="16"/>
  <c r="G869" i="16"/>
  <c r="D869" i="16"/>
  <c r="C869" i="16"/>
  <c r="G868" i="16"/>
  <c r="D868" i="16"/>
  <c r="C868" i="16"/>
  <c r="G867" i="16"/>
  <c r="D867" i="16"/>
  <c r="C867" i="16"/>
  <c r="G866" i="16"/>
  <c r="D866" i="16"/>
  <c r="C866" i="16"/>
  <c r="G865" i="16"/>
  <c r="D865" i="16"/>
  <c r="C865" i="16"/>
  <c r="G864" i="16"/>
  <c r="D864" i="16"/>
  <c r="C864" i="16"/>
  <c r="G863" i="16"/>
  <c r="D863" i="16"/>
  <c r="C863" i="16"/>
  <c r="G862" i="16"/>
  <c r="D862" i="16"/>
  <c r="C862" i="16"/>
  <c r="G861" i="16"/>
  <c r="D861" i="16"/>
  <c r="C861" i="16"/>
  <c r="G860" i="16"/>
  <c r="D860" i="16"/>
  <c r="C860" i="16"/>
  <c r="G859" i="16"/>
  <c r="D859" i="16"/>
  <c r="C859" i="16"/>
  <c r="G858" i="16"/>
  <c r="D858" i="16"/>
  <c r="C858" i="16"/>
  <c r="G857" i="16"/>
  <c r="D857" i="16"/>
  <c r="C857" i="16"/>
  <c r="G856" i="16"/>
  <c r="D856" i="16"/>
  <c r="C856" i="16"/>
  <c r="G855" i="16"/>
  <c r="D855" i="16"/>
  <c r="C855" i="16"/>
  <c r="G854" i="16"/>
  <c r="D854" i="16"/>
  <c r="C854" i="16"/>
  <c r="G853" i="16"/>
  <c r="D853" i="16"/>
  <c r="C853" i="16"/>
  <c r="G852" i="16"/>
  <c r="D852" i="16"/>
  <c r="C852" i="16"/>
  <c r="G851" i="16"/>
  <c r="D851" i="16"/>
  <c r="C851" i="16"/>
  <c r="G850" i="16"/>
  <c r="D850" i="16"/>
  <c r="C850" i="16"/>
  <c r="G849" i="16"/>
  <c r="D849" i="16"/>
  <c r="C849" i="16"/>
  <c r="G848" i="16"/>
  <c r="D848" i="16"/>
  <c r="C848" i="16"/>
  <c r="G847" i="16"/>
  <c r="D847" i="16"/>
  <c r="C847" i="16"/>
  <c r="G846" i="16"/>
  <c r="D846" i="16"/>
  <c r="C846" i="16"/>
  <c r="G845" i="16"/>
  <c r="D845" i="16"/>
  <c r="C845" i="16"/>
  <c r="G844" i="16"/>
  <c r="D844" i="16"/>
  <c r="C844" i="16"/>
  <c r="G843" i="16"/>
  <c r="D843" i="16"/>
  <c r="C843" i="16"/>
  <c r="G842" i="16"/>
  <c r="D842" i="16"/>
  <c r="C842" i="16"/>
  <c r="G841" i="16"/>
  <c r="D841" i="16"/>
  <c r="C841" i="16"/>
  <c r="G840" i="16"/>
  <c r="D840" i="16"/>
  <c r="C840" i="16"/>
  <c r="G839" i="16"/>
  <c r="D839" i="16"/>
  <c r="C839" i="16"/>
  <c r="G838" i="16"/>
  <c r="D838" i="16"/>
  <c r="C838" i="16"/>
  <c r="G837" i="16"/>
  <c r="D837" i="16"/>
  <c r="C837" i="16"/>
  <c r="G836" i="16"/>
  <c r="D836" i="16"/>
  <c r="C836" i="16"/>
  <c r="G835" i="16"/>
  <c r="D835" i="16"/>
  <c r="C835" i="16"/>
  <c r="G834" i="16"/>
  <c r="D834" i="16"/>
  <c r="C834" i="16"/>
  <c r="G833" i="16"/>
  <c r="D833" i="16"/>
  <c r="C833" i="16"/>
  <c r="G832" i="16"/>
  <c r="D832" i="16"/>
  <c r="C832" i="16"/>
  <c r="G831" i="16"/>
  <c r="D831" i="16"/>
  <c r="C831" i="16"/>
  <c r="G830" i="16"/>
  <c r="D830" i="16"/>
  <c r="C830" i="16"/>
  <c r="G829" i="16"/>
  <c r="D829" i="16"/>
  <c r="C829" i="16"/>
  <c r="G828" i="16"/>
  <c r="D828" i="16"/>
  <c r="C828" i="16"/>
  <c r="G827" i="16"/>
  <c r="D827" i="16"/>
  <c r="C827" i="16"/>
  <c r="G826" i="16"/>
  <c r="D826" i="16"/>
  <c r="C826" i="16"/>
  <c r="G825" i="16"/>
  <c r="D825" i="16"/>
  <c r="C825" i="16"/>
  <c r="G824" i="16"/>
  <c r="D824" i="16"/>
  <c r="C824" i="16"/>
  <c r="G823" i="16"/>
  <c r="D823" i="16"/>
  <c r="C823" i="16"/>
  <c r="G822" i="16"/>
  <c r="D822" i="16"/>
  <c r="C822" i="16"/>
  <c r="G821" i="16"/>
  <c r="D821" i="16"/>
  <c r="C821" i="16"/>
  <c r="G820" i="16"/>
  <c r="D820" i="16"/>
  <c r="C820" i="16"/>
  <c r="G819" i="16"/>
  <c r="D819" i="16"/>
  <c r="C819" i="16"/>
  <c r="G818" i="16"/>
  <c r="D818" i="16"/>
  <c r="C818" i="16"/>
  <c r="G817" i="16"/>
  <c r="D817" i="16"/>
  <c r="C817" i="16"/>
  <c r="G816" i="16"/>
  <c r="D816" i="16"/>
  <c r="C816" i="16"/>
  <c r="G815" i="16"/>
  <c r="D815" i="16"/>
  <c r="C815" i="16"/>
  <c r="G814" i="16"/>
  <c r="D814" i="16"/>
  <c r="C814" i="16"/>
  <c r="G813" i="16"/>
  <c r="D813" i="16"/>
  <c r="C813" i="16"/>
  <c r="G812" i="16"/>
  <c r="D812" i="16"/>
  <c r="C812" i="16"/>
  <c r="G811" i="16"/>
  <c r="D811" i="16"/>
  <c r="C811" i="16"/>
  <c r="G810" i="16"/>
  <c r="D810" i="16"/>
  <c r="C810" i="16"/>
  <c r="G809" i="16"/>
  <c r="D809" i="16"/>
  <c r="C809" i="16"/>
  <c r="G808" i="16"/>
  <c r="D808" i="16"/>
  <c r="C808" i="16"/>
  <c r="G807" i="16"/>
  <c r="D807" i="16"/>
  <c r="C807" i="16"/>
  <c r="G806" i="16"/>
  <c r="D806" i="16"/>
  <c r="C806" i="16"/>
  <c r="G805" i="16"/>
  <c r="D805" i="16"/>
  <c r="C805" i="16"/>
  <c r="G804" i="16"/>
  <c r="D804" i="16"/>
  <c r="C804" i="16"/>
  <c r="G803" i="16"/>
  <c r="D803" i="16"/>
  <c r="C803" i="16"/>
  <c r="G802" i="16"/>
  <c r="D802" i="16"/>
  <c r="C802" i="16"/>
  <c r="G801" i="16"/>
  <c r="D801" i="16"/>
  <c r="C801" i="16"/>
  <c r="G800" i="16"/>
  <c r="D800" i="16"/>
  <c r="C800" i="16"/>
  <c r="G799" i="16"/>
  <c r="D799" i="16"/>
  <c r="C799" i="16"/>
  <c r="G798" i="16"/>
  <c r="D798" i="16"/>
  <c r="C798" i="16"/>
  <c r="G797" i="16"/>
  <c r="D797" i="16"/>
  <c r="C797" i="16"/>
  <c r="G796" i="16"/>
  <c r="D796" i="16"/>
  <c r="C796" i="16"/>
  <c r="G795" i="16"/>
  <c r="D795" i="16"/>
  <c r="C795" i="16"/>
  <c r="G794" i="16"/>
  <c r="D794" i="16"/>
  <c r="C794" i="16"/>
  <c r="G793" i="16"/>
  <c r="D793" i="16"/>
  <c r="C793" i="16"/>
  <c r="G792" i="16"/>
  <c r="D792" i="16"/>
  <c r="C792" i="16"/>
  <c r="G791" i="16"/>
  <c r="D791" i="16"/>
  <c r="C791" i="16"/>
  <c r="G790" i="16"/>
  <c r="D790" i="16"/>
  <c r="C790" i="16"/>
  <c r="G789" i="16"/>
  <c r="D789" i="16"/>
  <c r="C789" i="16"/>
  <c r="G788" i="16"/>
  <c r="D788" i="16"/>
  <c r="C788" i="16"/>
  <c r="G787" i="16"/>
  <c r="D787" i="16"/>
  <c r="C787" i="16"/>
  <c r="G786" i="16"/>
  <c r="D786" i="16"/>
  <c r="C786" i="16"/>
  <c r="G785" i="16"/>
  <c r="D785" i="16"/>
  <c r="C785" i="16"/>
  <c r="G784" i="16"/>
  <c r="D784" i="16"/>
  <c r="C784" i="16"/>
  <c r="G783" i="16"/>
  <c r="D783" i="16"/>
  <c r="C783" i="16"/>
  <c r="G782" i="16"/>
  <c r="D782" i="16"/>
  <c r="C782" i="16"/>
  <c r="G781" i="16"/>
  <c r="D781" i="16"/>
  <c r="C781" i="16"/>
  <c r="G780" i="16"/>
  <c r="D780" i="16"/>
  <c r="C780" i="16"/>
  <c r="G779" i="16"/>
  <c r="D779" i="16"/>
  <c r="C779" i="16"/>
  <c r="G778" i="16"/>
  <c r="D778" i="16"/>
  <c r="C778" i="16"/>
  <c r="G777" i="16"/>
  <c r="D777" i="16"/>
  <c r="C777" i="16"/>
  <c r="G776" i="16"/>
  <c r="D776" i="16"/>
  <c r="C776" i="16"/>
  <c r="G775" i="16"/>
  <c r="D775" i="16"/>
  <c r="C775" i="16"/>
  <c r="G774" i="16"/>
  <c r="D774" i="16"/>
  <c r="C774" i="16"/>
  <c r="G773" i="16"/>
  <c r="D773" i="16"/>
  <c r="C773" i="16"/>
  <c r="G772" i="16"/>
  <c r="D772" i="16"/>
  <c r="C772" i="16"/>
  <c r="G771" i="16"/>
  <c r="D771" i="16"/>
  <c r="C771" i="16"/>
  <c r="G770" i="16"/>
  <c r="D770" i="16"/>
  <c r="C770" i="16"/>
  <c r="G769" i="16"/>
  <c r="D769" i="16"/>
  <c r="C769" i="16"/>
  <c r="G768" i="16"/>
  <c r="D768" i="16"/>
  <c r="C768" i="16"/>
  <c r="G767" i="16"/>
  <c r="D767" i="16"/>
  <c r="C767" i="16"/>
  <c r="G766" i="16"/>
  <c r="D766" i="16"/>
  <c r="C766" i="16"/>
  <c r="G765" i="16"/>
  <c r="D765" i="16"/>
  <c r="C765" i="16"/>
  <c r="G764" i="16"/>
  <c r="D764" i="16"/>
  <c r="C764" i="16"/>
  <c r="G763" i="16"/>
  <c r="D763" i="16"/>
  <c r="C763" i="16"/>
  <c r="G762" i="16"/>
  <c r="D762" i="16"/>
  <c r="C762" i="16"/>
  <c r="G761" i="16"/>
  <c r="D761" i="16"/>
  <c r="C761" i="16"/>
  <c r="G760" i="16"/>
  <c r="D760" i="16"/>
  <c r="C760" i="16"/>
  <c r="G759" i="16"/>
  <c r="D759" i="16"/>
  <c r="C759" i="16"/>
  <c r="G758" i="16"/>
  <c r="D758" i="16"/>
  <c r="C758" i="16"/>
  <c r="G757" i="16"/>
  <c r="D757" i="16"/>
  <c r="C757" i="16"/>
  <c r="G756" i="16"/>
  <c r="D756" i="16"/>
  <c r="C756" i="16"/>
  <c r="G755" i="16"/>
  <c r="D755" i="16"/>
  <c r="C755" i="16"/>
  <c r="G754" i="16"/>
  <c r="D754" i="16"/>
  <c r="C754" i="16"/>
  <c r="G753" i="16"/>
  <c r="D753" i="16"/>
  <c r="C753" i="16"/>
  <c r="G752" i="16"/>
  <c r="D752" i="16"/>
  <c r="C752" i="16"/>
  <c r="G751" i="16"/>
  <c r="D751" i="16"/>
  <c r="C751" i="16"/>
  <c r="G750" i="16"/>
  <c r="D750" i="16"/>
  <c r="C750" i="16"/>
  <c r="G749" i="16"/>
  <c r="D749" i="16"/>
  <c r="C749" i="16"/>
  <c r="G748" i="16"/>
  <c r="D748" i="16"/>
  <c r="C748" i="16"/>
  <c r="G747" i="16"/>
  <c r="D747" i="16"/>
  <c r="C747" i="16"/>
  <c r="G746" i="16"/>
  <c r="D746" i="16"/>
  <c r="C746" i="16"/>
  <c r="G745" i="16"/>
  <c r="D745" i="16"/>
  <c r="C745" i="16"/>
  <c r="G744" i="16"/>
  <c r="D744" i="16"/>
  <c r="C744" i="16"/>
  <c r="G743" i="16"/>
  <c r="D743" i="16"/>
  <c r="C743" i="16"/>
  <c r="G742" i="16"/>
  <c r="D742" i="16"/>
  <c r="C742" i="16"/>
  <c r="G741" i="16"/>
  <c r="D741" i="16"/>
  <c r="C741" i="16"/>
  <c r="G740" i="16"/>
  <c r="D740" i="16"/>
  <c r="C740" i="16"/>
  <c r="G739" i="16"/>
  <c r="D739" i="16"/>
  <c r="C739" i="16"/>
  <c r="G738" i="16"/>
  <c r="D738" i="16"/>
  <c r="C738" i="16"/>
  <c r="G737" i="16"/>
  <c r="D737" i="16"/>
  <c r="C737" i="16"/>
  <c r="G736" i="16"/>
  <c r="D736" i="16"/>
  <c r="C736" i="16"/>
  <c r="G735" i="16"/>
  <c r="D735" i="16"/>
  <c r="C735" i="16"/>
  <c r="G734" i="16"/>
  <c r="D734" i="16"/>
  <c r="C734" i="16"/>
  <c r="G733" i="16"/>
  <c r="D733" i="16"/>
  <c r="C733" i="16"/>
  <c r="G732" i="16"/>
  <c r="D732" i="16"/>
  <c r="C732" i="16"/>
  <c r="G731" i="16"/>
  <c r="D731" i="16"/>
  <c r="C731" i="16"/>
  <c r="G730" i="16"/>
  <c r="D730" i="16"/>
  <c r="C730" i="16"/>
  <c r="G729" i="16"/>
  <c r="D729" i="16"/>
  <c r="C729" i="16"/>
  <c r="G728" i="16"/>
  <c r="D728" i="16"/>
  <c r="C728" i="16"/>
  <c r="G727" i="16"/>
  <c r="D727" i="16"/>
  <c r="C727" i="16"/>
  <c r="G726" i="16"/>
  <c r="D726" i="16"/>
  <c r="C726" i="16"/>
  <c r="G725" i="16"/>
  <c r="D725" i="16"/>
  <c r="C725" i="16"/>
  <c r="G724" i="16"/>
  <c r="D724" i="16"/>
  <c r="C724" i="16"/>
  <c r="G723" i="16"/>
  <c r="D723" i="16"/>
  <c r="C723" i="16"/>
  <c r="G722" i="16"/>
  <c r="D722" i="16"/>
  <c r="C722" i="16"/>
  <c r="G721" i="16"/>
  <c r="D721" i="16"/>
  <c r="C721" i="16"/>
  <c r="G720" i="16"/>
  <c r="D720" i="16"/>
  <c r="C720" i="16"/>
  <c r="G719" i="16"/>
  <c r="D719" i="16"/>
  <c r="C719" i="16"/>
  <c r="G718" i="16"/>
  <c r="D718" i="16"/>
  <c r="C718" i="16"/>
  <c r="G717" i="16"/>
  <c r="D717" i="16"/>
  <c r="C717" i="16"/>
  <c r="G716" i="16"/>
  <c r="D716" i="16"/>
  <c r="C716" i="16"/>
  <c r="G715" i="16"/>
  <c r="D715" i="16"/>
  <c r="C715" i="16"/>
  <c r="G714" i="16"/>
  <c r="D714" i="16"/>
  <c r="C714" i="16"/>
  <c r="G713" i="16"/>
  <c r="D713" i="16"/>
  <c r="C713" i="16"/>
  <c r="G712" i="16"/>
  <c r="D712" i="16"/>
  <c r="C712" i="16"/>
  <c r="G711" i="16"/>
  <c r="D711" i="16"/>
  <c r="C711" i="16"/>
  <c r="G710" i="16"/>
  <c r="D710" i="16"/>
  <c r="C710" i="16"/>
  <c r="G709" i="16"/>
  <c r="D709" i="16"/>
  <c r="C709" i="16"/>
  <c r="G708" i="16"/>
  <c r="D708" i="16"/>
  <c r="C708" i="16"/>
  <c r="G707" i="16"/>
  <c r="D707" i="16"/>
  <c r="C707" i="16"/>
  <c r="G706" i="16"/>
  <c r="D706" i="16"/>
  <c r="C706" i="16"/>
  <c r="G705" i="16"/>
  <c r="D705" i="16"/>
  <c r="C705" i="16"/>
  <c r="G704" i="16"/>
  <c r="D704" i="16"/>
  <c r="C704" i="16"/>
  <c r="G703" i="16"/>
  <c r="D703" i="16"/>
  <c r="C703" i="16"/>
  <c r="G702" i="16"/>
  <c r="D702" i="16"/>
  <c r="C702" i="16"/>
  <c r="G701" i="16"/>
  <c r="D701" i="16"/>
  <c r="C701" i="16"/>
  <c r="G700" i="16"/>
  <c r="D700" i="16"/>
  <c r="C700" i="16"/>
  <c r="G699" i="16"/>
  <c r="D699" i="16"/>
  <c r="C699" i="16"/>
  <c r="G698" i="16"/>
  <c r="D698" i="16"/>
  <c r="C698" i="16"/>
  <c r="G697" i="16"/>
  <c r="D697" i="16"/>
  <c r="C697" i="16"/>
  <c r="G696" i="16"/>
  <c r="D696" i="16"/>
  <c r="C696" i="16"/>
  <c r="G695" i="16"/>
  <c r="D695" i="16"/>
  <c r="C695" i="16"/>
  <c r="G694" i="16"/>
  <c r="D694" i="16"/>
  <c r="C694" i="16"/>
  <c r="G693" i="16"/>
  <c r="D693" i="16"/>
  <c r="C693" i="16"/>
  <c r="G692" i="16"/>
  <c r="D692" i="16"/>
  <c r="C692" i="16"/>
  <c r="G691" i="16"/>
  <c r="D691" i="16"/>
  <c r="C691" i="16"/>
  <c r="G690" i="16"/>
  <c r="D690" i="16"/>
  <c r="C690" i="16"/>
  <c r="G689" i="16"/>
  <c r="D689" i="16"/>
  <c r="C689" i="16"/>
  <c r="G688" i="16"/>
  <c r="D688" i="16"/>
  <c r="C688" i="16"/>
  <c r="G687" i="16"/>
  <c r="D687" i="16"/>
  <c r="C687" i="16"/>
  <c r="G686" i="16"/>
  <c r="D686" i="16"/>
  <c r="C686" i="16"/>
  <c r="G685" i="16"/>
  <c r="D685" i="16"/>
  <c r="C685" i="16"/>
  <c r="G684" i="16"/>
  <c r="D684" i="16"/>
  <c r="C684" i="16"/>
  <c r="G683" i="16"/>
  <c r="D683" i="16"/>
  <c r="C683" i="16"/>
  <c r="G682" i="16"/>
  <c r="D682" i="16"/>
  <c r="C682" i="16"/>
  <c r="G681" i="16"/>
  <c r="D681" i="16"/>
  <c r="C681" i="16"/>
  <c r="G680" i="16"/>
  <c r="D680" i="16"/>
  <c r="C680" i="16"/>
  <c r="G679" i="16"/>
  <c r="D679" i="16"/>
  <c r="C679" i="16"/>
  <c r="G678" i="16"/>
  <c r="D678" i="16"/>
  <c r="C678" i="16"/>
  <c r="G677" i="16"/>
  <c r="D677" i="16"/>
  <c r="C677" i="16"/>
  <c r="G676" i="16"/>
  <c r="D676" i="16"/>
  <c r="C676" i="16"/>
  <c r="G675" i="16"/>
  <c r="D675" i="16"/>
  <c r="C675" i="16"/>
  <c r="G674" i="16"/>
  <c r="D674" i="16"/>
  <c r="C674" i="16"/>
  <c r="G673" i="16"/>
  <c r="D673" i="16"/>
  <c r="C673" i="16"/>
  <c r="G672" i="16"/>
  <c r="D672" i="16"/>
  <c r="C672" i="16"/>
  <c r="G671" i="16"/>
  <c r="D671" i="16"/>
  <c r="C671" i="16"/>
  <c r="G670" i="16"/>
  <c r="D670" i="16"/>
  <c r="C670" i="16"/>
  <c r="G669" i="16"/>
  <c r="D669" i="16"/>
  <c r="C669" i="16"/>
  <c r="G668" i="16"/>
  <c r="D668" i="16"/>
  <c r="C668" i="16"/>
  <c r="G667" i="16"/>
  <c r="D667" i="16"/>
  <c r="C667" i="16"/>
  <c r="G666" i="16"/>
  <c r="D666" i="16"/>
  <c r="C666" i="16"/>
  <c r="G665" i="16"/>
  <c r="D665" i="16"/>
  <c r="C665" i="16"/>
  <c r="G664" i="16"/>
  <c r="D664" i="16"/>
  <c r="C664" i="16"/>
  <c r="G663" i="16"/>
  <c r="D663" i="16"/>
  <c r="C663" i="16"/>
  <c r="G662" i="16"/>
  <c r="D662" i="16"/>
  <c r="C662" i="16"/>
  <c r="G661" i="16"/>
  <c r="D661" i="16"/>
  <c r="C661" i="16"/>
  <c r="G660" i="16"/>
  <c r="D660" i="16"/>
  <c r="C660" i="16"/>
  <c r="G659" i="16"/>
  <c r="D659" i="16"/>
  <c r="C659" i="16"/>
  <c r="G658" i="16"/>
  <c r="D658" i="16"/>
  <c r="C658" i="16"/>
  <c r="G657" i="16"/>
  <c r="D657" i="16"/>
  <c r="C657" i="16"/>
  <c r="G656" i="16"/>
  <c r="D656" i="16"/>
  <c r="C656" i="16"/>
  <c r="G655" i="16"/>
  <c r="D655" i="16"/>
  <c r="C655" i="16"/>
  <c r="G654" i="16"/>
  <c r="D654" i="16"/>
  <c r="C654" i="16"/>
  <c r="G653" i="16"/>
  <c r="D653" i="16"/>
  <c r="C653" i="16"/>
  <c r="G652" i="16"/>
  <c r="D652" i="16"/>
  <c r="C652" i="16"/>
  <c r="G651" i="16"/>
  <c r="D651" i="16"/>
  <c r="C651" i="16"/>
  <c r="G650" i="16"/>
  <c r="D650" i="16"/>
  <c r="C650" i="16"/>
  <c r="G649" i="16"/>
  <c r="D649" i="16"/>
  <c r="C649" i="16"/>
  <c r="G648" i="16"/>
  <c r="D648" i="16"/>
  <c r="C648" i="16"/>
  <c r="G647" i="16"/>
  <c r="D647" i="16"/>
  <c r="C647" i="16"/>
  <c r="G646" i="16"/>
  <c r="D646" i="16"/>
  <c r="C646" i="16"/>
  <c r="G645" i="16"/>
  <c r="D645" i="16"/>
  <c r="C645" i="16"/>
  <c r="G644" i="16"/>
  <c r="D644" i="16"/>
  <c r="C644" i="16"/>
  <c r="G643" i="16"/>
  <c r="D643" i="16"/>
  <c r="C643" i="16"/>
  <c r="G642" i="16"/>
  <c r="D642" i="16"/>
  <c r="C642" i="16"/>
  <c r="G641" i="16"/>
  <c r="D641" i="16"/>
  <c r="C641" i="16"/>
  <c r="G640" i="16"/>
  <c r="D640" i="16"/>
  <c r="C640" i="16"/>
  <c r="G639" i="16"/>
  <c r="D639" i="16"/>
  <c r="C639" i="16"/>
  <c r="G638" i="16"/>
  <c r="D638" i="16"/>
  <c r="C638" i="16"/>
  <c r="G637" i="16"/>
  <c r="D637" i="16"/>
  <c r="C637" i="16"/>
  <c r="G636" i="16"/>
  <c r="D636" i="16"/>
  <c r="C636" i="16"/>
  <c r="G635" i="16"/>
  <c r="D635" i="16"/>
  <c r="C635" i="16"/>
  <c r="G634" i="16"/>
  <c r="D634" i="16"/>
  <c r="C634" i="16"/>
  <c r="G633" i="16"/>
  <c r="D633" i="16"/>
  <c r="C633" i="16"/>
  <c r="G632" i="16"/>
  <c r="D632" i="16"/>
  <c r="C632" i="16"/>
  <c r="G631" i="16"/>
  <c r="D631" i="16"/>
  <c r="C631" i="16"/>
  <c r="G630" i="16"/>
  <c r="D630" i="16"/>
  <c r="C630" i="16"/>
  <c r="G629" i="16"/>
  <c r="D629" i="16"/>
  <c r="C629" i="16"/>
  <c r="G628" i="16"/>
  <c r="D628" i="16"/>
  <c r="C628" i="16"/>
  <c r="G627" i="16"/>
  <c r="D627" i="16"/>
  <c r="C627" i="16"/>
  <c r="G626" i="16"/>
  <c r="D626" i="16"/>
  <c r="C626" i="16"/>
  <c r="G625" i="16"/>
  <c r="D625" i="16"/>
  <c r="C625" i="16"/>
  <c r="G624" i="16"/>
  <c r="D624" i="16"/>
  <c r="C624" i="16"/>
  <c r="G623" i="16"/>
  <c r="D623" i="16"/>
  <c r="C623" i="16"/>
  <c r="G622" i="16"/>
  <c r="D622" i="16"/>
  <c r="C622" i="16"/>
  <c r="G621" i="16"/>
  <c r="D621" i="16"/>
  <c r="C621" i="16"/>
  <c r="G620" i="16"/>
  <c r="D620" i="16"/>
  <c r="C620" i="16"/>
  <c r="G619" i="16"/>
  <c r="D619" i="16"/>
  <c r="C619" i="16"/>
  <c r="G618" i="16"/>
  <c r="D618" i="16"/>
  <c r="C618" i="16"/>
  <c r="G617" i="16"/>
  <c r="D617" i="16"/>
  <c r="C617" i="16"/>
  <c r="G616" i="16"/>
  <c r="D616" i="16"/>
  <c r="C616" i="16"/>
  <c r="G615" i="16"/>
  <c r="D615" i="16"/>
  <c r="C615" i="16"/>
  <c r="G614" i="16"/>
  <c r="D614" i="16"/>
  <c r="C614" i="16"/>
  <c r="G613" i="16"/>
  <c r="D613" i="16"/>
  <c r="C613" i="16"/>
  <c r="G612" i="16"/>
  <c r="D612" i="16"/>
  <c r="C612" i="16"/>
  <c r="G611" i="16"/>
  <c r="D611" i="16"/>
  <c r="C611" i="16"/>
  <c r="G610" i="16"/>
  <c r="D610" i="16"/>
  <c r="C610" i="16"/>
  <c r="G609" i="16"/>
  <c r="D609" i="16"/>
  <c r="C609" i="16"/>
  <c r="G608" i="16"/>
  <c r="D608" i="16"/>
  <c r="C608" i="16"/>
  <c r="G607" i="16"/>
  <c r="D607" i="16"/>
  <c r="C607" i="16"/>
  <c r="G606" i="16"/>
  <c r="D606" i="16"/>
  <c r="C606" i="16"/>
  <c r="G605" i="16"/>
  <c r="D605" i="16"/>
  <c r="C605" i="16"/>
  <c r="G604" i="16"/>
  <c r="D604" i="16"/>
  <c r="C604" i="16"/>
  <c r="G603" i="16"/>
  <c r="D603" i="16"/>
  <c r="C603" i="16"/>
  <c r="G602" i="16"/>
  <c r="D602" i="16"/>
  <c r="C602" i="16"/>
  <c r="G601" i="16"/>
  <c r="D601" i="16"/>
  <c r="C601" i="16"/>
  <c r="G600" i="16"/>
  <c r="D600" i="16"/>
  <c r="C600" i="16"/>
  <c r="G599" i="16"/>
  <c r="D599" i="16"/>
  <c r="C599" i="16"/>
  <c r="G598" i="16"/>
  <c r="D598" i="16"/>
  <c r="C598" i="16"/>
  <c r="G597" i="16"/>
  <c r="D597" i="16"/>
  <c r="C597" i="16"/>
  <c r="G596" i="16"/>
  <c r="D596" i="16"/>
  <c r="C596" i="16"/>
  <c r="G595" i="16"/>
  <c r="D595" i="16"/>
  <c r="C595" i="16"/>
  <c r="G594" i="16"/>
  <c r="D594" i="16"/>
  <c r="C594" i="16"/>
  <c r="G593" i="16"/>
  <c r="D593" i="16"/>
  <c r="C593" i="16"/>
  <c r="G592" i="16"/>
  <c r="D592" i="16"/>
  <c r="C592" i="16"/>
  <c r="G591" i="16"/>
  <c r="D591" i="16"/>
  <c r="C591" i="16"/>
  <c r="G590" i="16"/>
  <c r="D590" i="16"/>
  <c r="C590" i="16"/>
  <c r="G589" i="16"/>
  <c r="D589" i="16"/>
  <c r="C589" i="16"/>
  <c r="G588" i="16"/>
  <c r="D588" i="16"/>
  <c r="C588" i="16"/>
  <c r="G587" i="16"/>
  <c r="D587" i="16"/>
  <c r="C587" i="16"/>
  <c r="G586" i="16"/>
  <c r="D586" i="16"/>
  <c r="C586" i="16"/>
  <c r="G585" i="16"/>
  <c r="D585" i="16"/>
  <c r="C585" i="16"/>
  <c r="G584" i="16"/>
  <c r="D584" i="16"/>
  <c r="C584" i="16"/>
  <c r="G583" i="16"/>
  <c r="D583" i="16"/>
  <c r="C583" i="16"/>
  <c r="G582" i="16"/>
  <c r="D582" i="16"/>
  <c r="C582" i="16"/>
  <c r="G581" i="16"/>
  <c r="D581" i="16"/>
  <c r="C581" i="16"/>
  <c r="G580" i="16"/>
  <c r="D580" i="16"/>
  <c r="C580" i="16"/>
  <c r="G579" i="16"/>
  <c r="D579" i="16"/>
  <c r="C579" i="16"/>
  <c r="G578" i="16"/>
  <c r="D578" i="16"/>
  <c r="C578" i="16"/>
  <c r="G577" i="16"/>
  <c r="D577" i="16"/>
  <c r="C577" i="16"/>
  <c r="G576" i="16"/>
  <c r="D576" i="16"/>
  <c r="C576" i="16"/>
  <c r="G575" i="16"/>
  <c r="D575" i="16"/>
  <c r="C575" i="16"/>
  <c r="G574" i="16"/>
  <c r="D574" i="16"/>
  <c r="C574" i="16"/>
  <c r="G573" i="16"/>
  <c r="D573" i="16"/>
  <c r="C573" i="16"/>
  <c r="G572" i="16"/>
  <c r="D572" i="16"/>
  <c r="C572" i="16"/>
  <c r="G571" i="16"/>
  <c r="D571" i="16"/>
  <c r="C571" i="16"/>
  <c r="G570" i="16"/>
  <c r="D570" i="16"/>
  <c r="C570" i="16"/>
  <c r="G569" i="16"/>
  <c r="D569" i="16"/>
  <c r="C569" i="16"/>
  <c r="G568" i="16"/>
  <c r="D568" i="16"/>
  <c r="C568" i="16"/>
  <c r="G567" i="16"/>
  <c r="D567" i="16"/>
  <c r="C567" i="16"/>
  <c r="G566" i="16"/>
  <c r="D566" i="16"/>
  <c r="C566" i="16"/>
  <c r="G565" i="16"/>
  <c r="D565" i="16"/>
  <c r="C565" i="16"/>
  <c r="G564" i="16"/>
  <c r="D564" i="16"/>
  <c r="C564" i="16"/>
  <c r="G563" i="16"/>
  <c r="D563" i="16"/>
  <c r="C563" i="16"/>
  <c r="G562" i="16"/>
  <c r="D562" i="16"/>
  <c r="C562" i="16"/>
  <c r="G561" i="16"/>
  <c r="D561" i="16"/>
  <c r="C561" i="16"/>
  <c r="G560" i="16"/>
  <c r="D560" i="16"/>
  <c r="C560" i="16"/>
  <c r="G559" i="16"/>
  <c r="D559" i="16"/>
  <c r="C559" i="16"/>
  <c r="G558" i="16"/>
  <c r="D558" i="16"/>
  <c r="C558" i="16"/>
  <c r="G557" i="16"/>
  <c r="D557" i="16"/>
  <c r="C557" i="16"/>
  <c r="G556" i="16"/>
  <c r="D556" i="16"/>
  <c r="C556" i="16"/>
  <c r="G555" i="16"/>
  <c r="D555" i="16"/>
  <c r="C555" i="16"/>
  <c r="G554" i="16"/>
  <c r="D554" i="16"/>
  <c r="C554" i="16"/>
  <c r="G553" i="16"/>
  <c r="D553" i="16"/>
  <c r="C553" i="16"/>
  <c r="G552" i="16"/>
  <c r="D552" i="16"/>
  <c r="C552" i="16"/>
  <c r="G551" i="16"/>
  <c r="D551" i="16"/>
  <c r="C551" i="16"/>
  <c r="G550" i="16"/>
  <c r="D550" i="16"/>
  <c r="C550" i="16"/>
  <c r="G549" i="16"/>
  <c r="D549" i="16"/>
  <c r="C549" i="16"/>
  <c r="G548" i="16"/>
  <c r="D548" i="16"/>
  <c r="C548" i="16"/>
  <c r="G547" i="16"/>
  <c r="D547" i="16"/>
  <c r="C547" i="16"/>
  <c r="G546" i="16"/>
  <c r="D546" i="16"/>
  <c r="C546" i="16"/>
  <c r="G545" i="16"/>
  <c r="D545" i="16"/>
  <c r="C545" i="16"/>
  <c r="G544" i="16"/>
  <c r="D544" i="16"/>
  <c r="C544" i="16"/>
  <c r="G543" i="16"/>
  <c r="D543" i="16"/>
  <c r="C543" i="16"/>
  <c r="G542" i="16"/>
  <c r="D542" i="16"/>
  <c r="C542" i="16"/>
  <c r="G541" i="16"/>
  <c r="D541" i="16"/>
  <c r="C541" i="16"/>
  <c r="G540" i="16"/>
  <c r="D540" i="16"/>
  <c r="C540" i="16"/>
  <c r="G539" i="16"/>
  <c r="D539" i="16"/>
  <c r="C539" i="16"/>
  <c r="G538" i="16"/>
  <c r="D538" i="16"/>
  <c r="C538" i="16"/>
  <c r="G537" i="16"/>
  <c r="D537" i="16"/>
  <c r="C537" i="16"/>
  <c r="G536" i="16"/>
  <c r="D536" i="16"/>
  <c r="C536" i="16"/>
  <c r="G535" i="16"/>
  <c r="D535" i="16"/>
  <c r="C535" i="16"/>
  <c r="G534" i="16"/>
  <c r="D534" i="16"/>
  <c r="C534" i="16"/>
  <c r="G533" i="16"/>
  <c r="D533" i="16"/>
  <c r="C533" i="16"/>
  <c r="G532" i="16"/>
  <c r="D532" i="16"/>
  <c r="C532" i="16"/>
  <c r="G531" i="16"/>
  <c r="D531" i="16"/>
  <c r="C531" i="16"/>
  <c r="G530" i="16"/>
  <c r="D530" i="16"/>
  <c r="C530" i="16"/>
  <c r="G529" i="16"/>
  <c r="D529" i="16"/>
  <c r="C529" i="16"/>
  <c r="G528" i="16"/>
  <c r="D528" i="16"/>
  <c r="C528" i="16"/>
  <c r="G527" i="16"/>
  <c r="D527" i="16"/>
  <c r="C527" i="16"/>
  <c r="G526" i="16"/>
  <c r="D526" i="16"/>
  <c r="C526" i="16"/>
  <c r="G525" i="16"/>
  <c r="D525" i="16"/>
  <c r="C525" i="16"/>
  <c r="G524" i="16"/>
  <c r="D524" i="16"/>
  <c r="C524" i="16"/>
  <c r="G523" i="16"/>
  <c r="D523" i="16"/>
  <c r="C523" i="16"/>
  <c r="G522" i="16"/>
  <c r="D522" i="16"/>
  <c r="C522" i="16"/>
  <c r="G521" i="16"/>
  <c r="D521" i="16"/>
  <c r="C521" i="16"/>
  <c r="G520" i="16"/>
  <c r="D520" i="16"/>
  <c r="C520" i="16"/>
  <c r="G519" i="16"/>
  <c r="D519" i="16"/>
  <c r="C519" i="16"/>
  <c r="G518" i="16"/>
  <c r="D518" i="16"/>
  <c r="C518" i="16"/>
  <c r="G517" i="16"/>
  <c r="D517" i="16"/>
  <c r="C517" i="16"/>
  <c r="G516" i="16"/>
  <c r="D516" i="16"/>
  <c r="C516" i="16"/>
  <c r="G515" i="16"/>
  <c r="D515" i="16"/>
  <c r="C515" i="16"/>
  <c r="G514" i="16"/>
  <c r="D514" i="16"/>
  <c r="C514" i="16"/>
  <c r="G513" i="16"/>
  <c r="D513" i="16"/>
  <c r="C513" i="16"/>
  <c r="G512" i="16"/>
  <c r="D512" i="16"/>
  <c r="C512" i="16"/>
  <c r="G511" i="16"/>
  <c r="D511" i="16"/>
  <c r="C511" i="16"/>
  <c r="G510" i="16"/>
  <c r="D510" i="16"/>
  <c r="C510" i="16"/>
  <c r="G509" i="16"/>
  <c r="D509" i="16"/>
  <c r="C509" i="16"/>
  <c r="G508" i="16"/>
  <c r="D508" i="16"/>
  <c r="C508" i="16"/>
  <c r="G507" i="16"/>
  <c r="D507" i="16"/>
  <c r="C507" i="16"/>
  <c r="G506" i="16"/>
  <c r="D506" i="16"/>
  <c r="C506" i="16"/>
  <c r="G505" i="16"/>
  <c r="D505" i="16"/>
  <c r="C505" i="16"/>
  <c r="G504" i="16"/>
  <c r="D504" i="16"/>
  <c r="C504" i="16"/>
  <c r="G503" i="16"/>
  <c r="D503" i="16"/>
  <c r="C503" i="16"/>
  <c r="G502" i="16"/>
  <c r="D502" i="16"/>
  <c r="C502" i="16"/>
  <c r="G501" i="16"/>
  <c r="D501" i="16"/>
  <c r="C501" i="16"/>
  <c r="G500" i="16"/>
  <c r="D500" i="16"/>
  <c r="C500" i="16"/>
  <c r="G499" i="16"/>
  <c r="D499" i="16"/>
  <c r="C499" i="16"/>
  <c r="G498" i="16"/>
  <c r="D498" i="16"/>
  <c r="C498" i="16"/>
  <c r="G497" i="16"/>
  <c r="D497" i="16"/>
  <c r="C497" i="16"/>
  <c r="G496" i="16"/>
  <c r="D496" i="16"/>
  <c r="C496" i="16"/>
  <c r="G495" i="16"/>
  <c r="D495" i="16"/>
  <c r="C495" i="16"/>
  <c r="G494" i="16"/>
  <c r="D494" i="16"/>
  <c r="C494" i="16"/>
  <c r="G493" i="16"/>
  <c r="D493" i="16"/>
  <c r="C493" i="16"/>
  <c r="G492" i="16"/>
  <c r="D492" i="16"/>
  <c r="C492" i="16"/>
  <c r="G491" i="16"/>
  <c r="D491" i="16"/>
  <c r="C491" i="16"/>
  <c r="G490" i="16"/>
  <c r="D490" i="16"/>
  <c r="C490" i="16"/>
  <c r="G489" i="16"/>
  <c r="D489" i="16"/>
  <c r="C489" i="16"/>
  <c r="G488" i="16"/>
  <c r="D488" i="16"/>
  <c r="C488" i="16"/>
  <c r="G487" i="16"/>
  <c r="D487" i="16"/>
  <c r="C487" i="16"/>
  <c r="G486" i="16"/>
  <c r="D486" i="16"/>
  <c r="C486" i="16"/>
  <c r="G485" i="16"/>
  <c r="D485" i="16"/>
  <c r="C485" i="16"/>
  <c r="G484" i="16"/>
  <c r="D484" i="16"/>
  <c r="C484" i="16"/>
  <c r="G483" i="16"/>
  <c r="D483" i="16"/>
  <c r="C483" i="16"/>
  <c r="G482" i="16"/>
  <c r="D482" i="16"/>
  <c r="C482" i="16"/>
  <c r="G481" i="16"/>
  <c r="D481" i="16"/>
  <c r="C481" i="16"/>
  <c r="G480" i="16"/>
  <c r="D480" i="16"/>
  <c r="C480" i="16"/>
  <c r="G479" i="16"/>
  <c r="D479" i="16"/>
  <c r="C479" i="16"/>
  <c r="G478" i="16"/>
  <c r="D478" i="16"/>
  <c r="C478" i="16"/>
  <c r="G477" i="16"/>
  <c r="D477" i="16"/>
  <c r="C477" i="16"/>
  <c r="G476" i="16"/>
  <c r="D476" i="16"/>
  <c r="C476" i="16"/>
  <c r="G475" i="16"/>
  <c r="D475" i="16"/>
  <c r="C475" i="16"/>
  <c r="G474" i="16"/>
  <c r="D474" i="16"/>
  <c r="C474" i="16"/>
  <c r="G473" i="16"/>
  <c r="D473" i="16"/>
  <c r="C473" i="16"/>
  <c r="G472" i="16"/>
  <c r="D472" i="16"/>
  <c r="C472" i="16"/>
  <c r="G471" i="16"/>
  <c r="D471" i="16"/>
  <c r="C471" i="16"/>
  <c r="G470" i="16"/>
  <c r="D470" i="16"/>
  <c r="C470" i="16"/>
  <c r="G469" i="16"/>
  <c r="D469" i="16"/>
  <c r="C469" i="16"/>
  <c r="G468" i="16"/>
  <c r="D468" i="16"/>
  <c r="C468" i="16"/>
  <c r="G467" i="16"/>
  <c r="D467" i="16"/>
  <c r="C467" i="16"/>
  <c r="G466" i="16"/>
  <c r="D466" i="16"/>
  <c r="C466" i="16"/>
  <c r="G465" i="16"/>
  <c r="D465" i="16"/>
  <c r="C465" i="16"/>
  <c r="G464" i="16"/>
  <c r="D464" i="16"/>
  <c r="C464" i="16"/>
  <c r="G463" i="16"/>
  <c r="D463" i="16"/>
  <c r="C463" i="16"/>
  <c r="G462" i="16"/>
  <c r="D462" i="16"/>
  <c r="C462" i="16"/>
  <c r="G461" i="16"/>
  <c r="D461" i="16"/>
  <c r="C461" i="16"/>
  <c r="G460" i="16"/>
  <c r="D460" i="16"/>
  <c r="C460" i="16"/>
  <c r="G459" i="16"/>
  <c r="D459" i="16"/>
  <c r="C459" i="16"/>
  <c r="G458" i="16"/>
  <c r="D458" i="16"/>
  <c r="C458" i="16"/>
  <c r="G457" i="16"/>
  <c r="D457" i="16"/>
  <c r="C457" i="16"/>
  <c r="G456" i="16"/>
  <c r="D456" i="16"/>
  <c r="C456" i="16"/>
  <c r="G455" i="16"/>
  <c r="D455" i="16"/>
  <c r="C455" i="16"/>
  <c r="G454" i="16"/>
  <c r="D454" i="16"/>
  <c r="C454" i="16"/>
  <c r="G453" i="16"/>
  <c r="D453" i="16"/>
  <c r="C453" i="16"/>
  <c r="G452" i="16"/>
  <c r="D452" i="16"/>
  <c r="C452" i="16"/>
  <c r="G451" i="16"/>
  <c r="D451" i="16"/>
  <c r="C451" i="16"/>
  <c r="G450" i="16"/>
  <c r="D450" i="16"/>
  <c r="C450" i="16"/>
  <c r="G449" i="16"/>
  <c r="D449" i="16"/>
  <c r="C449" i="16"/>
  <c r="G448" i="16"/>
  <c r="D448" i="16"/>
  <c r="C448" i="16"/>
  <c r="G447" i="16"/>
  <c r="D447" i="16"/>
  <c r="C447" i="16"/>
  <c r="G446" i="16"/>
  <c r="D446" i="16"/>
  <c r="C446" i="16"/>
  <c r="G445" i="16"/>
  <c r="D445" i="16"/>
  <c r="C445" i="16"/>
  <c r="G444" i="16"/>
  <c r="D444" i="16"/>
  <c r="C444" i="16"/>
  <c r="G443" i="16"/>
  <c r="D443" i="16"/>
  <c r="C443" i="16"/>
  <c r="G442" i="16"/>
  <c r="D442" i="16"/>
  <c r="C442" i="16"/>
  <c r="G441" i="16"/>
  <c r="D441" i="16"/>
  <c r="C441" i="16"/>
  <c r="G440" i="16"/>
  <c r="D440" i="16"/>
  <c r="C440" i="16"/>
  <c r="G439" i="16"/>
  <c r="D439" i="16"/>
  <c r="C439" i="16"/>
  <c r="G438" i="16"/>
  <c r="D438" i="16"/>
  <c r="C438" i="16"/>
  <c r="G437" i="16"/>
  <c r="D437" i="16"/>
  <c r="C437" i="16"/>
  <c r="G436" i="16"/>
  <c r="D436" i="16"/>
  <c r="C436" i="16"/>
  <c r="G435" i="16"/>
  <c r="D435" i="16"/>
  <c r="C435" i="16"/>
  <c r="G434" i="16"/>
  <c r="D434" i="16"/>
  <c r="C434" i="16"/>
  <c r="G433" i="16"/>
  <c r="D433" i="16"/>
  <c r="C433" i="16"/>
  <c r="G432" i="16"/>
  <c r="D432" i="16"/>
  <c r="C432" i="16"/>
  <c r="G431" i="16"/>
  <c r="D431" i="16"/>
  <c r="C431" i="16"/>
  <c r="G430" i="16"/>
  <c r="D430" i="16"/>
  <c r="C430" i="16"/>
  <c r="G429" i="16"/>
  <c r="D429" i="16"/>
  <c r="C429" i="16"/>
  <c r="G428" i="16"/>
  <c r="D428" i="16"/>
  <c r="C428" i="16"/>
  <c r="G427" i="16"/>
  <c r="D427" i="16"/>
  <c r="C427" i="16"/>
  <c r="G426" i="16"/>
  <c r="D426" i="16"/>
  <c r="C426" i="16"/>
  <c r="G425" i="16"/>
  <c r="D425" i="16"/>
  <c r="C425" i="16"/>
  <c r="G424" i="16"/>
  <c r="D424" i="16"/>
  <c r="C424" i="16"/>
  <c r="G423" i="16"/>
  <c r="D423" i="16"/>
  <c r="C423" i="16"/>
  <c r="G422" i="16"/>
  <c r="D422" i="16"/>
  <c r="C422" i="16"/>
  <c r="G421" i="16"/>
  <c r="D421" i="16"/>
  <c r="C421" i="16"/>
  <c r="G420" i="16"/>
  <c r="D420" i="16"/>
  <c r="C420" i="16"/>
  <c r="G419" i="16"/>
  <c r="D419" i="16"/>
  <c r="C419" i="16"/>
  <c r="G418" i="16"/>
  <c r="D418" i="16"/>
  <c r="C418" i="16"/>
  <c r="G417" i="16"/>
  <c r="D417" i="16"/>
  <c r="C417" i="16"/>
  <c r="G416" i="16"/>
  <c r="D416" i="16"/>
  <c r="C416" i="16"/>
  <c r="G415" i="16"/>
  <c r="D415" i="16"/>
  <c r="C415" i="16"/>
  <c r="G414" i="16"/>
  <c r="D414" i="16"/>
  <c r="C414" i="16"/>
  <c r="G413" i="16"/>
  <c r="D413" i="16"/>
  <c r="C413" i="16"/>
  <c r="G412" i="16"/>
  <c r="D412" i="16"/>
  <c r="C412" i="16"/>
  <c r="G411" i="16"/>
  <c r="D411" i="16"/>
  <c r="C411" i="16"/>
  <c r="G410" i="16"/>
  <c r="D410" i="16"/>
  <c r="C410" i="16"/>
  <c r="G409" i="16"/>
  <c r="D409" i="16"/>
  <c r="C409" i="16"/>
  <c r="G408" i="16"/>
  <c r="D408" i="16"/>
  <c r="C408" i="16"/>
  <c r="G407" i="16"/>
  <c r="D407" i="16"/>
  <c r="C407" i="16"/>
  <c r="G406" i="16"/>
  <c r="D406" i="16"/>
  <c r="C406" i="16"/>
  <c r="G405" i="16"/>
  <c r="D405" i="16"/>
  <c r="C405" i="16"/>
  <c r="G404" i="16"/>
  <c r="D404" i="16"/>
  <c r="C404" i="16"/>
  <c r="G403" i="16"/>
  <c r="D403" i="16"/>
  <c r="C403" i="16"/>
  <c r="G402" i="16"/>
  <c r="D402" i="16"/>
  <c r="C402" i="16"/>
  <c r="G401" i="16"/>
  <c r="D401" i="16"/>
  <c r="C401" i="16"/>
  <c r="G400" i="16"/>
  <c r="D400" i="16"/>
  <c r="C400" i="16"/>
  <c r="G399" i="16"/>
  <c r="D399" i="16"/>
  <c r="C399" i="16"/>
  <c r="G398" i="16"/>
  <c r="D398" i="16"/>
  <c r="C398" i="16"/>
  <c r="G397" i="16"/>
  <c r="D397" i="16"/>
  <c r="C397" i="16"/>
  <c r="G396" i="16"/>
  <c r="D396" i="16"/>
  <c r="C396" i="16"/>
  <c r="G395" i="16"/>
  <c r="D395" i="16"/>
  <c r="C395" i="16"/>
  <c r="G394" i="16"/>
  <c r="D394" i="16"/>
  <c r="C394" i="16"/>
  <c r="G393" i="16"/>
  <c r="D393" i="16"/>
  <c r="C393" i="16"/>
  <c r="G392" i="16"/>
  <c r="D392" i="16"/>
  <c r="C392" i="16"/>
  <c r="G391" i="16"/>
  <c r="D391" i="16"/>
  <c r="C391" i="16"/>
  <c r="G390" i="16"/>
  <c r="D390" i="16"/>
  <c r="C390" i="16"/>
  <c r="G389" i="16"/>
  <c r="D389" i="16"/>
  <c r="C389" i="16"/>
  <c r="G388" i="16"/>
  <c r="D388" i="16"/>
  <c r="C388" i="16"/>
  <c r="G387" i="16"/>
  <c r="D387" i="16"/>
  <c r="C387" i="16"/>
  <c r="G386" i="16"/>
  <c r="D386" i="16"/>
  <c r="C386" i="16"/>
  <c r="G385" i="16"/>
  <c r="D385" i="16"/>
  <c r="C385" i="16"/>
  <c r="G384" i="16"/>
  <c r="D384" i="16"/>
  <c r="C384" i="16"/>
  <c r="G383" i="16"/>
  <c r="D383" i="16"/>
  <c r="C383" i="16"/>
  <c r="G382" i="16"/>
  <c r="D382" i="16"/>
  <c r="C382" i="16"/>
  <c r="G381" i="16"/>
  <c r="D381" i="16"/>
  <c r="C381" i="16"/>
  <c r="G380" i="16"/>
  <c r="D380" i="16"/>
  <c r="C380" i="16"/>
  <c r="G379" i="16"/>
  <c r="D379" i="16"/>
  <c r="C379" i="16"/>
  <c r="G378" i="16"/>
  <c r="D378" i="16"/>
  <c r="C378" i="16"/>
  <c r="G377" i="16"/>
  <c r="D377" i="16"/>
  <c r="C377" i="16"/>
  <c r="G376" i="16"/>
  <c r="D376" i="16"/>
  <c r="C376" i="16"/>
  <c r="G375" i="16"/>
  <c r="D375" i="16"/>
  <c r="C375" i="16"/>
  <c r="G374" i="16"/>
  <c r="D374" i="16"/>
  <c r="C374" i="16"/>
  <c r="G373" i="16"/>
  <c r="D373" i="16"/>
  <c r="C373" i="16"/>
  <c r="G372" i="16"/>
  <c r="D372" i="16"/>
  <c r="C372" i="16"/>
  <c r="G371" i="16"/>
  <c r="D371" i="16"/>
  <c r="C371" i="16"/>
  <c r="G370" i="16"/>
  <c r="D370" i="16"/>
  <c r="C370" i="16"/>
  <c r="G369" i="16"/>
  <c r="D369" i="16"/>
  <c r="C369" i="16"/>
  <c r="G368" i="16"/>
  <c r="D368" i="16"/>
  <c r="C368" i="16"/>
  <c r="G367" i="16"/>
  <c r="D367" i="16"/>
  <c r="C367" i="16"/>
  <c r="G366" i="16"/>
  <c r="D366" i="16"/>
  <c r="C366" i="16"/>
  <c r="G365" i="16"/>
  <c r="D365" i="16"/>
  <c r="C365" i="16"/>
  <c r="G364" i="16"/>
  <c r="D364" i="16"/>
  <c r="C364" i="16"/>
  <c r="G363" i="16"/>
  <c r="D363" i="16"/>
  <c r="C363" i="16"/>
  <c r="G362" i="16"/>
  <c r="D362" i="16"/>
  <c r="C362" i="16"/>
  <c r="G361" i="16"/>
  <c r="D361" i="16"/>
  <c r="C361" i="16"/>
  <c r="G360" i="16"/>
  <c r="D360" i="16"/>
  <c r="C360" i="16"/>
  <c r="G359" i="16"/>
  <c r="D359" i="16"/>
  <c r="C359" i="16"/>
  <c r="G358" i="16"/>
  <c r="D358" i="16"/>
  <c r="C358" i="16"/>
  <c r="G357" i="16"/>
  <c r="D357" i="16"/>
  <c r="C357" i="16"/>
  <c r="G356" i="16"/>
  <c r="D356" i="16"/>
  <c r="C356" i="16"/>
  <c r="G355" i="16"/>
  <c r="D355" i="16"/>
  <c r="C355" i="16"/>
  <c r="G354" i="16"/>
  <c r="D354" i="16"/>
  <c r="C354" i="16"/>
  <c r="G353" i="16"/>
  <c r="D353" i="16"/>
  <c r="C353" i="16"/>
  <c r="G352" i="16"/>
  <c r="D352" i="16"/>
  <c r="C352" i="16"/>
  <c r="G351" i="16"/>
  <c r="D351" i="16"/>
  <c r="C351" i="16"/>
  <c r="G350" i="16"/>
  <c r="D350" i="16"/>
  <c r="C350" i="16"/>
  <c r="G349" i="16"/>
  <c r="D349" i="16"/>
  <c r="C349" i="16"/>
  <c r="G348" i="16"/>
  <c r="D348" i="16"/>
  <c r="C348" i="16"/>
  <c r="G347" i="16"/>
  <c r="D347" i="16"/>
  <c r="C347" i="16"/>
  <c r="G346" i="16"/>
  <c r="D346" i="16"/>
  <c r="C346" i="16"/>
  <c r="G345" i="16"/>
  <c r="D345" i="16"/>
  <c r="C345" i="16"/>
  <c r="G344" i="16"/>
  <c r="D344" i="16"/>
  <c r="C344" i="16"/>
  <c r="G343" i="16"/>
  <c r="D343" i="16"/>
  <c r="C343" i="16"/>
  <c r="G342" i="16"/>
  <c r="D342" i="16"/>
  <c r="C342" i="16"/>
  <c r="G341" i="16"/>
  <c r="D341" i="16"/>
  <c r="C341" i="16"/>
  <c r="G340" i="16"/>
  <c r="D340" i="16"/>
  <c r="C340" i="16"/>
  <c r="G339" i="16"/>
  <c r="D339" i="16"/>
  <c r="C339" i="16"/>
  <c r="G338" i="16"/>
  <c r="D338" i="16"/>
  <c r="C338" i="16"/>
  <c r="G337" i="16"/>
  <c r="D337" i="16"/>
  <c r="C337" i="16"/>
  <c r="G336" i="16"/>
  <c r="D336" i="16"/>
  <c r="C336" i="16"/>
  <c r="G335" i="16"/>
  <c r="D335" i="16"/>
  <c r="C335" i="16"/>
  <c r="G334" i="16"/>
  <c r="D334" i="16"/>
  <c r="C334" i="16"/>
  <c r="G333" i="16"/>
  <c r="D333" i="16"/>
  <c r="C333" i="16"/>
  <c r="G332" i="16"/>
  <c r="D332" i="16"/>
  <c r="C332" i="16"/>
  <c r="G331" i="16"/>
  <c r="D331" i="16"/>
  <c r="C331" i="16"/>
  <c r="G330" i="16"/>
  <c r="D330" i="16"/>
  <c r="C330" i="16"/>
  <c r="G329" i="16"/>
  <c r="D329" i="16"/>
  <c r="C329" i="16"/>
  <c r="G328" i="16"/>
  <c r="D328" i="16"/>
  <c r="C328" i="16"/>
  <c r="G327" i="16"/>
  <c r="D327" i="16"/>
  <c r="C327" i="16"/>
  <c r="G326" i="16"/>
  <c r="D326" i="16"/>
  <c r="C326" i="16"/>
  <c r="G325" i="16"/>
  <c r="D325" i="16"/>
  <c r="C325" i="16"/>
  <c r="G324" i="16"/>
  <c r="D324" i="16"/>
  <c r="C324" i="16"/>
  <c r="G323" i="16"/>
  <c r="D323" i="16"/>
  <c r="C323" i="16"/>
  <c r="G322" i="16"/>
  <c r="D322" i="16"/>
  <c r="C322" i="16"/>
  <c r="G321" i="16"/>
  <c r="D321" i="16"/>
  <c r="C321" i="16"/>
  <c r="G320" i="16"/>
  <c r="D320" i="16"/>
  <c r="C320" i="16"/>
  <c r="G319" i="16"/>
  <c r="D319" i="16"/>
  <c r="C319" i="16"/>
  <c r="G318" i="16"/>
  <c r="D318" i="16"/>
  <c r="C318" i="16"/>
  <c r="G317" i="16"/>
  <c r="D317" i="16"/>
  <c r="C317" i="16"/>
  <c r="G316" i="16"/>
  <c r="D316" i="16"/>
  <c r="C316" i="16"/>
  <c r="G315" i="16"/>
  <c r="D315" i="16"/>
  <c r="C315" i="16"/>
  <c r="G314" i="16"/>
  <c r="D314" i="16"/>
  <c r="C314" i="16"/>
  <c r="G313" i="16"/>
  <c r="D313" i="16"/>
  <c r="C313" i="16"/>
  <c r="G312" i="16"/>
  <c r="D312" i="16"/>
  <c r="C312" i="16"/>
  <c r="G311" i="16"/>
  <c r="D311" i="16"/>
  <c r="C311" i="16"/>
  <c r="G310" i="16"/>
  <c r="D310" i="16"/>
  <c r="C310" i="16"/>
  <c r="G309" i="16"/>
  <c r="D309" i="16"/>
  <c r="C309" i="16"/>
  <c r="G308" i="16"/>
  <c r="D308" i="16"/>
  <c r="C308" i="16"/>
  <c r="G307" i="16"/>
  <c r="D307" i="16"/>
  <c r="C307" i="16"/>
  <c r="G306" i="16"/>
  <c r="D306" i="16"/>
  <c r="C306" i="16"/>
  <c r="G305" i="16"/>
  <c r="D305" i="16"/>
  <c r="C305" i="16"/>
  <c r="G304" i="16"/>
  <c r="D304" i="16"/>
  <c r="C304" i="16"/>
  <c r="G303" i="16"/>
  <c r="D303" i="16"/>
  <c r="C303" i="16"/>
  <c r="G302" i="16"/>
  <c r="D302" i="16"/>
  <c r="C302" i="16"/>
  <c r="G301" i="16"/>
  <c r="D301" i="16"/>
  <c r="C301" i="16"/>
  <c r="G300" i="16"/>
  <c r="D300" i="16"/>
  <c r="C300" i="16"/>
  <c r="G299" i="16"/>
  <c r="D299" i="16"/>
  <c r="C299" i="16"/>
  <c r="G298" i="16"/>
  <c r="D298" i="16"/>
  <c r="C298" i="16"/>
  <c r="G297" i="16"/>
  <c r="D297" i="16"/>
  <c r="C297" i="16"/>
  <c r="G296" i="16"/>
  <c r="D296" i="16"/>
  <c r="C296" i="16"/>
  <c r="G295" i="16"/>
  <c r="D295" i="16"/>
  <c r="C295" i="16"/>
  <c r="G294" i="16"/>
  <c r="D294" i="16"/>
  <c r="C294" i="16"/>
  <c r="G293" i="16"/>
  <c r="D293" i="16"/>
  <c r="C293" i="16"/>
  <c r="G292" i="16"/>
  <c r="D292" i="16"/>
  <c r="C292" i="16"/>
  <c r="G291" i="16"/>
  <c r="D291" i="16"/>
  <c r="C291" i="16"/>
  <c r="G290" i="16"/>
  <c r="D290" i="16"/>
  <c r="C290" i="16"/>
  <c r="G289" i="16"/>
  <c r="D289" i="16"/>
  <c r="C289" i="16"/>
  <c r="G288" i="16"/>
  <c r="D288" i="16"/>
  <c r="C288" i="16"/>
  <c r="G287" i="16"/>
  <c r="D287" i="16"/>
  <c r="C287" i="16"/>
  <c r="G286" i="16"/>
  <c r="D286" i="16"/>
  <c r="C286" i="16"/>
  <c r="G285" i="16"/>
  <c r="D285" i="16"/>
  <c r="C285" i="16"/>
  <c r="G284" i="16"/>
  <c r="D284" i="16"/>
  <c r="C284" i="16"/>
  <c r="G283" i="16"/>
  <c r="D283" i="16"/>
  <c r="C283" i="16"/>
  <c r="G282" i="16"/>
  <c r="D282" i="16"/>
  <c r="C282" i="16"/>
  <c r="G281" i="16"/>
  <c r="D281" i="16"/>
  <c r="C281" i="16"/>
  <c r="G280" i="16"/>
  <c r="D280" i="16"/>
  <c r="C280" i="16"/>
  <c r="G279" i="16"/>
  <c r="D279" i="16"/>
  <c r="C279" i="16"/>
  <c r="G278" i="16"/>
  <c r="D278" i="16"/>
  <c r="C278" i="16"/>
  <c r="G277" i="16"/>
  <c r="D277" i="16"/>
  <c r="C277" i="16"/>
  <c r="G276" i="16"/>
  <c r="D276" i="16"/>
  <c r="C276" i="16"/>
  <c r="G275" i="16"/>
  <c r="D275" i="16"/>
  <c r="C275" i="16"/>
  <c r="G274" i="16"/>
  <c r="D274" i="16"/>
  <c r="C274" i="16"/>
  <c r="G273" i="16"/>
  <c r="D273" i="16"/>
  <c r="C273" i="16"/>
  <c r="G272" i="16"/>
  <c r="D272" i="16"/>
  <c r="C272" i="16"/>
  <c r="G271" i="16"/>
  <c r="D271" i="16"/>
  <c r="C271" i="16"/>
  <c r="G270" i="16"/>
  <c r="D270" i="16"/>
  <c r="C270" i="16"/>
  <c r="G269" i="16"/>
  <c r="D269" i="16"/>
  <c r="C269" i="16"/>
  <c r="G268" i="16"/>
  <c r="D268" i="16"/>
  <c r="C268" i="16"/>
  <c r="G267" i="16"/>
  <c r="D267" i="16"/>
  <c r="C267" i="16"/>
  <c r="G266" i="16"/>
  <c r="D266" i="16"/>
  <c r="C266" i="16"/>
  <c r="G265" i="16"/>
  <c r="D265" i="16"/>
  <c r="C265" i="16"/>
  <c r="G264" i="16"/>
  <c r="D264" i="16"/>
  <c r="C264" i="16"/>
  <c r="G263" i="16"/>
  <c r="D263" i="16"/>
  <c r="C263" i="16"/>
  <c r="G262" i="16"/>
  <c r="D262" i="16"/>
  <c r="C262" i="16"/>
  <c r="G261" i="16"/>
  <c r="D261" i="16"/>
  <c r="C261" i="16"/>
  <c r="G260" i="16"/>
  <c r="D260" i="16"/>
  <c r="C260" i="16"/>
  <c r="G259" i="16"/>
  <c r="D259" i="16"/>
  <c r="C259" i="16"/>
  <c r="G258" i="16"/>
  <c r="D258" i="16"/>
  <c r="C258" i="16"/>
  <c r="G257" i="16"/>
  <c r="D257" i="16"/>
  <c r="C257" i="16"/>
  <c r="G256" i="16"/>
  <c r="D256" i="16"/>
  <c r="C256" i="16"/>
  <c r="G255" i="16"/>
  <c r="D255" i="16"/>
  <c r="C255" i="16"/>
  <c r="G254" i="16"/>
  <c r="D254" i="16"/>
  <c r="C254" i="16"/>
  <c r="G253" i="16"/>
  <c r="D253" i="16"/>
  <c r="C253" i="16"/>
  <c r="G252" i="16"/>
  <c r="D252" i="16"/>
  <c r="C252" i="16"/>
  <c r="G251" i="16"/>
  <c r="D251" i="16"/>
  <c r="C251" i="16"/>
  <c r="G250" i="16"/>
  <c r="D250" i="16"/>
  <c r="C250" i="16"/>
  <c r="G249" i="16"/>
  <c r="D249" i="16"/>
  <c r="C249" i="16"/>
  <c r="G248" i="16"/>
  <c r="D248" i="16"/>
  <c r="C248" i="16"/>
  <c r="G247" i="16"/>
  <c r="D247" i="16"/>
  <c r="C247" i="16"/>
  <c r="G246" i="16"/>
  <c r="D246" i="16"/>
  <c r="C246" i="16"/>
  <c r="G245" i="16"/>
  <c r="D245" i="16"/>
  <c r="C245" i="16"/>
  <c r="G244" i="16"/>
  <c r="D244" i="16"/>
  <c r="C244" i="16"/>
  <c r="G243" i="16"/>
  <c r="D243" i="16"/>
  <c r="C243" i="16"/>
  <c r="G242" i="16"/>
  <c r="D242" i="16"/>
  <c r="C242" i="16"/>
  <c r="G241" i="16"/>
  <c r="D241" i="16"/>
  <c r="C241" i="16"/>
  <c r="G240" i="16"/>
  <c r="D240" i="16"/>
  <c r="C240" i="16"/>
  <c r="G239" i="16"/>
  <c r="D239" i="16"/>
  <c r="C239" i="16"/>
  <c r="G238" i="16"/>
  <c r="D238" i="16"/>
  <c r="C238" i="16"/>
  <c r="G237" i="16"/>
  <c r="D237" i="16"/>
  <c r="C237" i="16"/>
  <c r="G236" i="16"/>
  <c r="D236" i="16"/>
  <c r="C236" i="16"/>
  <c r="G235" i="16"/>
  <c r="D235" i="16"/>
  <c r="C235" i="16"/>
  <c r="G234" i="16"/>
  <c r="D234" i="16"/>
  <c r="C234" i="16"/>
  <c r="G233" i="16"/>
  <c r="D233" i="16"/>
  <c r="C233" i="16"/>
  <c r="G232" i="16"/>
  <c r="D232" i="16"/>
  <c r="C232" i="16"/>
  <c r="G231" i="16"/>
  <c r="D231" i="16"/>
  <c r="C231" i="16"/>
  <c r="G230" i="16"/>
  <c r="D230" i="16"/>
  <c r="C230" i="16"/>
  <c r="G229" i="16"/>
  <c r="D229" i="16"/>
  <c r="C229" i="16"/>
  <c r="G228" i="16"/>
  <c r="D228" i="16"/>
  <c r="C228" i="16"/>
  <c r="G227" i="16"/>
  <c r="D227" i="16"/>
  <c r="C227" i="16"/>
  <c r="G226" i="16"/>
  <c r="D226" i="16"/>
  <c r="C226" i="16"/>
  <c r="G225" i="16"/>
  <c r="D225" i="16"/>
  <c r="C225" i="16"/>
  <c r="G224" i="16"/>
  <c r="D224" i="16"/>
  <c r="C224" i="16"/>
  <c r="G223" i="16"/>
  <c r="D223" i="16"/>
  <c r="C223" i="16"/>
  <c r="G222" i="16"/>
  <c r="D222" i="16"/>
  <c r="C222" i="16"/>
  <c r="G221" i="16"/>
  <c r="D221" i="16"/>
  <c r="C221" i="16"/>
  <c r="G220" i="16"/>
  <c r="D220" i="16"/>
  <c r="C220" i="16"/>
  <c r="G219" i="16"/>
  <c r="D219" i="16"/>
  <c r="C219" i="16"/>
  <c r="G218" i="16"/>
  <c r="D218" i="16"/>
  <c r="C218" i="16"/>
  <c r="G217" i="16"/>
  <c r="D217" i="16"/>
  <c r="C217" i="16"/>
  <c r="G216" i="16"/>
  <c r="D216" i="16"/>
  <c r="C216" i="16"/>
  <c r="G215" i="16"/>
  <c r="D215" i="16"/>
  <c r="C215" i="16"/>
  <c r="G214" i="16"/>
  <c r="D214" i="16"/>
  <c r="C214" i="16"/>
  <c r="G213" i="16"/>
  <c r="D213" i="16"/>
  <c r="C213" i="16"/>
  <c r="G212" i="16"/>
  <c r="D212" i="16"/>
  <c r="C212" i="16"/>
  <c r="G211" i="16"/>
  <c r="D211" i="16"/>
  <c r="C211" i="16"/>
  <c r="G210" i="16"/>
  <c r="D210" i="16"/>
  <c r="C210" i="16"/>
  <c r="G209" i="16"/>
  <c r="D209" i="16"/>
  <c r="C209" i="16"/>
  <c r="G208" i="16"/>
  <c r="D208" i="16"/>
  <c r="C208" i="16"/>
  <c r="G207" i="16"/>
  <c r="D207" i="16"/>
  <c r="C207" i="16"/>
  <c r="G206" i="16"/>
  <c r="D206" i="16"/>
  <c r="C206" i="16"/>
  <c r="G205" i="16"/>
  <c r="D205" i="16"/>
  <c r="C205" i="16"/>
  <c r="G204" i="16"/>
  <c r="D204" i="16"/>
  <c r="C204" i="16"/>
  <c r="G203" i="16"/>
  <c r="D203" i="16"/>
  <c r="C203" i="16"/>
  <c r="G202" i="16"/>
  <c r="D202" i="16"/>
  <c r="C202" i="16"/>
  <c r="G201" i="16"/>
  <c r="D201" i="16"/>
  <c r="C201" i="16"/>
  <c r="G200" i="16"/>
  <c r="D200" i="16"/>
  <c r="C200" i="16"/>
  <c r="G199" i="16"/>
  <c r="D199" i="16"/>
  <c r="C199" i="16"/>
  <c r="G198" i="16"/>
  <c r="D198" i="16"/>
  <c r="C198" i="16"/>
  <c r="G197" i="16"/>
  <c r="D197" i="16"/>
  <c r="C197" i="16"/>
  <c r="G196" i="16"/>
  <c r="D196" i="16"/>
  <c r="C196" i="16"/>
  <c r="G195" i="16"/>
  <c r="D195" i="16"/>
  <c r="C195" i="16"/>
  <c r="G194" i="16"/>
  <c r="D194" i="16"/>
  <c r="C194" i="16"/>
  <c r="G193" i="16"/>
  <c r="D193" i="16"/>
  <c r="C193" i="16"/>
  <c r="G192" i="16"/>
  <c r="D192" i="16"/>
  <c r="C192" i="16"/>
  <c r="G191" i="16"/>
  <c r="D191" i="16"/>
  <c r="C191" i="16"/>
  <c r="G190" i="16"/>
  <c r="D190" i="16"/>
  <c r="C190" i="16"/>
  <c r="G189" i="16"/>
  <c r="D189" i="16"/>
  <c r="C189" i="16"/>
  <c r="G188" i="16"/>
  <c r="D188" i="16"/>
  <c r="C188" i="16"/>
  <c r="G187" i="16"/>
  <c r="D187" i="16"/>
  <c r="C187" i="16"/>
  <c r="G186" i="16"/>
  <c r="D186" i="16"/>
  <c r="C186" i="16"/>
  <c r="G185" i="16"/>
  <c r="D185" i="16"/>
  <c r="C185" i="16"/>
  <c r="G184" i="16"/>
  <c r="D184" i="16"/>
  <c r="C184" i="16"/>
  <c r="G183" i="16"/>
  <c r="D183" i="16"/>
  <c r="C183" i="16"/>
  <c r="G182" i="16"/>
  <c r="D182" i="16"/>
  <c r="C182" i="16"/>
  <c r="G181" i="16"/>
  <c r="D181" i="16"/>
  <c r="C181" i="16"/>
  <c r="G180" i="16"/>
  <c r="D180" i="16"/>
  <c r="C180" i="16"/>
  <c r="G179" i="16"/>
  <c r="D179" i="16"/>
  <c r="C179" i="16"/>
  <c r="G178" i="16"/>
  <c r="D178" i="16"/>
  <c r="C178" i="16"/>
  <c r="G177" i="16"/>
  <c r="D177" i="16"/>
  <c r="C177" i="16"/>
  <c r="G176" i="16"/>
  <c r="D176" i="16"/>
  <c r="C176" i="16"/>
  <c r="G175" i="16"/>
  <c r="D175" i="16"/>
  <c r="C175" i="16"/>
  <c r="G174" i="16"/>
  <c r="D174" i="16"/>
  <c r="C174" i="16"/>
  <c r="G173" i="16"/>
  <c r="D173" i="16"/>
  <c r="C173" i="16"/>
  <c r="G172" i="16"/>
  <c r="D172" i="16"/>
  <c r="C172" i="16"/>
  <c r="G171" i="16"/>
  <c r="D171" i="16"/>
  <c r="C171" i="16"/>
  <c r="G170" i="16"/>
  <c r="D170" i="16"/>
  <c r="C170" i="16"/>
  <c r="G169" i="16"/>
  <c r="D169" i="16"/>
  <c r="C169" i="16"/>
  <c r="G168" i="16"/>
  <c r="D168" i="16"/>
  <c r="C168" i="16"/>
  <c r="G167" i="16"/>
  <c r="D167" i="16"/>
  <c r="C167" i="16"/>
  <c r="G166" i="16"/>
  <c r="D166" i="16"/>
  <c r="C166" i="16"/>
  <c r="G165" i="16"/>
  <c r="D165" i="16"/>
  <c r="C165" i="16"/>
  <c r="G164" i="16"/>
  <c r="D164" i="16"/>
  <c r="C164" i="16"/>
  <c r="G163" i="16"/>
  <c r="D163" i="16"/>
  <c r="C163" i="16"/>
  <c r="G162" i="16"/>
  <c r="D162" i="16"/>
  <c r="C162" i="16"/>
  <c r="G161" i="16"/>
  <c r="D161" i="16"/>
  <c r="C161" i="16"/>
  <c r="G160" i="16"/>
  <c r="D160" i="16"/>
  <c r="C160" i="16"/>
  <c r="G159" i="16"/>
  <c r="D159" i="16"/>
  <c r="C159" i="16"/>
  <c r="G158" i="16"/>
  <c r="D158" i="16"/>
  <c r="C158" i="16"/>
  <c r="G157" i="16"/>
  <c r="D157" i="16"/>
  <c r="C157" i="16"/>
  <c r="G156" i="16"/>
  <c r="D156" i="16"/>
  <c r="C156" i="16"/>
  <c r="G155" i="16"/>
  <c r="D155" i="16"/>
  <c r="C155" i="16"/>
  <c r="G154" i="16"/>
  <c r="D154" i="16"/>
  <c r="C154" i="16"/>
  <c r="G153" i="16"/>
  <c r="D153" i="16"/>
  <c r="C153" i="16"/>
  <c r="G152" i="16"/>
  <c r="D152" i="16"/>
  <c r="C152" i="16"/>
  <c r="G151" i="16"/>
  <c r="D151" i="16"/>
  <c r="C151" i="16"/>
  <c r="G150" i="16"/>
  <c r="D150" i="16"/>
  <c r="C150" i="16"/>
  <c r="G149" i="16"/>
  <c r="D149" i="16"/>
  <c r="C149" i="16"/>
  <c r="G148" i="16"/>
  <c r="D148" i="16"/>
  <c r="C148" i="16"/>
  <c r="G147" i="16"/>
  <c r="D147" i="16"/>
  <c r="C147" i="16"/>
  <c r="G146" i="16"/>
  <c r="D146" i="16"/>
  <c r="C146" i="16"/>
  <c r="G145" i="16"/>
  <c r="D145" i="16"/>
  <c r="C145" i="16"/>
  <c r="G144" i="16"/>
  <c r="D144" i="16"/>
  <c r="C144" i="16"/>
  <c r="G143" i="16"/>
  <c r="D143" i="16"/>
  <c r="C143" i="16"/>
  <c r="G142" i="16"/>
  <c r="D142" i="16"/>
  <c r="C142" i="16"/>
  <c r="G141" i="16"/>
  <c r="D141" i="16"/>
  <c r="C141" i="16"/>
  <c r="G140" i="16"/>
  <c r="D140" i="16"/>
  <c r="C140" i="16"/>
  <c r="G139" i="16"/>
  <c r="D139" i="16"/>
  <c r="C139" i="16"/>
  <c r="G138" i="16"/>
  <c r="D138" i="16"/>
  <c r="C138" i="16"/>
  <c r="G137" i="16"/>
  <c r="D137" i="16"/>
  <c r="C137" i="16"/>
  <c r="G136" i="16"/>
  <c r="D136" i="16"/>
  <c r="C136" i="16"/>
  <c r="G135" i="16"/>
  <c r="D135" i="16"/>
  <c r="C135" i="16"/>
  <c r="G134" i="16"/>
  <c r="D134" i="16"/>
  <c r="C134" i="16"/>
  <c r="G133" i="16"/>
  <c r="D133" i="16"/>
  <c r="C133" i="16"/>
  <c r="G132" i="16"/>
  <c r="D132" i="16"/>
  <c r="C132" i="16"/>
  <c r="G131" i="16"/>
  <c r="D131" i="16"/>
  <c r="C131" i="16"/>
  <c r="G130" i="16"/>
  <c r="D130" i="16"/>
  <c r="C130" i="16"/>
  <c r="G129" i="16"/>
  <c r="D129" i="16"/>
  <c r="C129" i="16"/>
  <c r="G128" i="16"/>
  <c r="D128" i="16"/>
  <c r="C128" i="16"/>
  <c r="G127" i="16"/>
  <c r="D127" i="16"/>
  <c r="C127" i="16"/>
  <c r="G126" i="16"/>
  <c r="D126" i="16"/>
  <c r="C126" i="16"/>
  <c r="G125" i="16"/>
  <c r="D125" i="16"/>
  <c r="C125" i="16"/>
  <c r="G124" i="16"/>
  <c r="D124" i="16"/>
  <c r="C124" i="16"/>
  <c r="G123" i="16"/>
  <c r="D123" i="16"/>
  <c r="C123" i="16"/>
  <c r="G122" i="16"/>
  <c r="D122" i="16"/>
  <c r="C122" i="16"/>
  <c r="G121" i="16"/>
  <c r="D121" i="16"/>
  <c r="C121" i="16"/>
  <c r="G120" i="16"/>
  <c r="D120" i="16"/>
  <c r="C120" i="16"/>
  <c r="G119" i="16"/>
  <c r="D119" i="16"/>
  <c r="C119" i="16"/>
  <c r="G118" i="16"/>
  <c r="D118" i="16"/>
  <c r="C118" i="16"/>
  <c r="G117" i="16"/>
  <c r="D117" i="16"/>
  <c r="C117" i="16"/>
  <c r="G116" i="16"/>
  <c r="D116" i="16"/>
  <c r="C116" i="16"/>
  <c r="G115" i="16"/>
  <c r="D115" i="16"/>
  <c r="C115" i="16"/>
  <c r="G114" i="16"/>
  <c r="D114" i="16"/>
  <c r="C114" i="16"/>
  <c r="G113" i="16"/>
  <c r="D113" i="16"/>
  <c r="C113" i="16"/>
  <c r="G112" i="16"/>
  <c r="D112" i="16"/>
  <c r="C112" i="16"/>
  <c r="G111" i="16"/>
  <c r="D111" i="16"/>
  <c r="C111" i="16"/>
  <c r="G110" i="16"/>
  <c r="D110" i="16"/>
  <c r="C110" i="16"/>
  <c r="G109" i="16"/>
  <c r="D109" i="16"/>
  <c r="C109" i="16"/>
  <c r="G108" i="16"/>
  <c r="D108" i="16"/>
  <c r="C108" i="16"/>
  <c r="G107" i="16"/>
  <c r="D107" i="16"/>
  <c r="C107" i="16"/>
  <c r="G106" i="16"/>
  <c r="D106" i="16"/>
  <c r="C106" i="16"/>
  <c r="G105" i="16"/>
  <c r="D105" i="16"/>
  <c r="C105" i="16"/>
  <c r="G104" i="16"/>
  <c r="D104" i="16"/>
  <c r="C104" i="16"/>
  <c r="G103" i="16"/>
  <c r="D103" i="16"/>
  <c r="C103" i="16"/>
  <c r="G102" i="16"/>
  <c r="D102" i="16"/>
  <c r="C102" i="16"/>
  <c r="G101" i="16"/>
  <c r="D101" i="16"/>
  <c r="C101" i="16"/>
  <c r="G100" i="16"/>
  <c r="D100" i="16"/>
  <c r="C100" i="16"/>
  <c r="G99" i="16"/>
  <c r="D99" i="16"/>
  <c r="C99" i="16"/>
  <c r="G98" i="16"/>
  <c r="D98" i="16"/>
  <c r="C98" i="16"/>
  <c r="G97" i="16"/>
  <c r="D97" i="16"/>
  <c r="C97" i="16"/>
  <c r="G96" i="16"/>
  <c r="D96" i="16"/>
  <c r="C96" i="16"/>
  <c r="G95" i="16"/>
  <c r="D95" i="16"/>
  <c r="C95" i="16"/>
  <c r="G94" i="16"/>
  <c r="D94" i="16"/>
  <c r="C94" i="16"/>
  <c r="G93" i="16"/>
  <c r="D93" i="16"/>
  <c r="C93" i="16"/>
  <c r="G92" i="16"/>
  <c r="D92" i="16"/>
  <c r="C92" i="16"/>
  <c r="G91" i="16"/>
  <c r="D91" i="16"/>
  <c r="C91" i="16"/>
  <c r="G90" i="16"/>
  <c r="D90" i="16"/>
  <c r="C90" i="16"/>
  <c r="G89" i="16"/>
  <c r="D89" i="16"/>
  <c r="C89" i="16"/>
  <c r="G88" i="16"/>
  <c r="D88" i="16"/>
  <c r="C88" i="16"/>
  <c r="G87" i="16"/>
  <c r="D87" i="16"/>
  <c r="C87" i="16"/>
  <c r="G86" i="16"/>
  <c r="D86" i="16"/>
  <c r="C86" i="16"/>
  <c r="G85" i="16"/>
  <c r="D85" i="16"/>
  <c r="C85" i="16"/>
  <c r="G84" i="16"/>
  <c r="D84" i="16"/>
  <c r="C84" i="16"/>
  <c r="G83" i="16"/>
  <c r="D83" i="16"/>
  <c r="C83" i="16"/>
  <c r="G82" i="16"/>
  <c r="D82" i="16"/>
  <c r="C82" i="16"/>
  <c r="G81" i="16"/>
  <c r="D81" i="16"/>
  <c r="C81" i="16"/>
  <c r="G80" i="16"/>
  <c r="D80" i="16"/>
  <c r="C80" i="16"/>
  <c r="G79" i="16"/>
  <c r="D79" i="16"/>
  <c r="C79" i="16"/>
  <c r="G78" i="16"/>
  <c r="D78" i="16"/>
  <c r="C78" i="16"/>
  <c r="G77" i="16"/>
  <c r="D77" i="16"/>
  <c r="C77" i="16"/>
  <c r="G76" i="16"/>
  <c r="D76" i="16"/>
  <c r="C76" i="16"/>
  <c r="G75" i="16"/>
  <c r="D75" i="16"/>
  <c r="C75" i="16"/>
  <c r="G74" i="16"/>
  <c r="D74" i="16"/>
  <c r="C74" i="16"/>
  <c r="G73" i="16"/>
  <c r="D73" i="16"/>
  <c r="C73" i="16"/>
  <c r="G72" i="16"/>
  <c r="D72" i="16"/>
  <c r="C72" i="16"/>
  <c r="G71" i="16"/>
  <c r="D71" i="16"/>
  <c r="C71" i="16"/>
  <c r="G70" i="16"/>
  <c r="D70" i="16"/>
  <c r="C70" i="16"/>
  <c r="G69" i="16"/>
  <c r="D69" i="16"/>
  <c r="C69" i="16"/>
  <c r="G68" i="16"/>
  <c r="D68" i="16"/>
  <c r="C68" i="16"/>
  <c r="G67" i="16"/>
  <c r="D67" i="16"/>
  <c r="C67" i="16"/>
  <c r="G66" i="16"/>
  <c r="D66" i="16"/>
  <c r="C66" i="16"/>
  <c r="G65" i="16"/>
  <c r="D65" i="16"/>
  <c r="C65" i="16"/>
  <c r="G64" i="16"/>
  <c r="D64" i="16"/>
  <c r="C64" i="16"/>
  <c r="G63" i="16"/>
  <c r="D63" i="16"/>
  <c r="C63" i="16"/>
  <c r="G62" i="16"/>
  <c r="D62" i="16"/>
  <c r="C62" i="16"/>
  <c r="G61" i="16"/>
  <c r="D61" i="16"/>
  <c r="C61" i="16"/>
  <c r="G60" i="16"/>
  <c r="D60" i="16"/>
  <c r="C60" i="16"/>
  <c r="G59" i="16"/>
  <c r="D59" i="16"/>
  <c r="C59" i="16"/>
  <c r="G58" i="16"/>
  <c r="D58" i="16"/>
  <c r="C58" i="16"/>
  <c r="G57" i="16"/>
  <c r="D57" i="16"/>
  <c r="C57" i="16"/>
  <c r="G56" i="16"/>
  <c r="D56" i="16"/>
  <c r="C56" i="16"/>
  <c r="G55" i="16"/>
  <c r="D55" i="16"/>
  <c r="C55" i="16"/>
  <c r="G54" i="16"/>
  <c r="D54" i="16"/>
  <c r="C54" i="16"/>
  <c r="G53" i="16"/>
  <c r="D53" i="16"/>
  <c r="C53" i="16"/>
  <c r="G52" i="16"/>
  <c r="D52" i="16"/>
  <c r="C52" i="16"/>
  <c r="G51" i="16"/>
  <c r="D51" i="16"/>
  <c r="C51" i="16"/>
  <c r="G50" i="16"/>
  <c r="D50" i="16"/>
  <c r="C50" i="16"/>
  <c r="G49" i="16"/>
  <c r="D49" i="16"/>
  <c r="C49" i="16"/>
  <c r="G48" i="16"/>
  <c r="D48" i="16"/>
  <c r="C48" i="16"/>
  <c r="G47" i="16"/>
  <c r="D47" i="16"/>
  <c r="C47" i="16"/>
  <c r="G46" i="16"/>
  <c r="D46" i="16"/>
  <c r="C46" i="16"/>
  <c r="G45" i="16"/>
  <c r="D45" i="16"/>
  <c r="C45" i="16"/>
  <c r="G44" i="16"/>
  <c r="D44" i="16"/>
  <c r="C44" i="16"/>
  <c r="G43" i="16"/>
  <c r="D43" i="16"/>
  <c r="C43" i="16"/>
  <c r="G42" i="16"/>
  <c r="D42" i="16"/>
  <c r="C42" i="16"/>
  <c r="G41" i="16"/>
  <c r="D41" i="16"/>
  <c r="C41" i="16"/>
  <c r="G40" i="16"/>
  <c r="D40" i="16"/>
  <c r="C40" i="16"/>
  <c r="G39" i="16"/>
  <c r="D39" i="16"/>
  <c r="C39" i="16"/>
  <c r="G38" i="16"/>
  <c r="D38" i="16"/>
  <c r="C38" i="16"/>
  <c r="G37" i="16"/>
  <c r="D37" i="16"/>
  <c r="C37" i="16"/>
  <c r="G36" i="16"/>
  <c r="D36" i="16"/>
  <c r="C36" i="16"/>
  <c r="G35" i="16"/>
  <c r="D35" i="16"/>
  <c r="C35" i="16"/>
  <c r="G34" i="16"/>
  <c r="D34" i="16"/>
  <c r="C34" i="16"/>
  <c r="G33" i="16"/>
  <c r="D33" i="16"/>
  <c r="C33" i="16"/>
  <c r="G32" i="16"/>
  <c r="D32" i="16"/>
  <c r="C32" i="16"/>
  <c r="G31" i="16"/>
  <c r="D31" i="16"/>
  <c r="C31" i="16"/>
  <c r="G30" i="16"/>
  <c r="D30" i="16"/>
  <c r="C30" i="16"/>
  <c r="G29" i="16"/>
  <c r="D29" i="16"/>
  <c r="C29" i="16"/>
  <c r="G28" i="16"/>
  <c r="D28" i="16"/>
  <c r="C28" i="16"/>
  <c r="G27" i="16"/>
  <c r="D27" i="16"/>
  <c r="C27" i="16"/>
  <c r="G26" i="16"/>
  <c r="D26" i="16"/>
  <c r="C26" i="16"/>
  <c r="G25" i="16"/>
  <c r="D25" i="16"/>
  <c r="C25" i="16"/>
  <c r="G24" i="16"/>
  <c r="D24" i="16"/>
  <c r="C24" i="16"/>
  <c r="G23" i="16"/>
  <c r="D23" i="16"/>
  <c r="C23" i="16"/>
  <c r="G22" i="16"/>
  <c r="D22" i="16"/>
  <c r="C22" i="16"/>
  <c r="G21" i="16"/>
  <c r="D21" i="16"/>
  <c r="C21" i="16"/>
  <c r="G20" i="16"/>
  <c r="D20" i="16"/>
  <c r="C20" i="16"/>
  <c r="G19" i="16"/>
  <c r="D19" i="16"/>
  <c r="C19" i="16"/>
  <c r="G18" i="16"/>
  <c r="D18" i="16"/>
  <c r="C18" i="16"/>
  <c r="G17" i="16"/>
  <c r="D17" i="16"/>
  <c r="C17" i="16"/>
  <c r="G16" i="16"/>
  <c r="D16" i="16"/>
  <c r="C16" i="16"/>
  <c r="G15" i="16"/>
  <c r="D15" i="16"/>
  <c r="C15" i="16"/>
  <c r="G14" i="16"/>
  <c r="D14" i="16"/>
  <c r="C14" i="16"/>
  <c r="G13" i="16"/>
  <c r="D13" i="16"/>
  <c r="C13" i="16"/>
  <c r="G12" i="16"/>
  <c r="D12" i="16"/>
  <c r="C12" i="16"/>
  <c r="G11" i="16"/>
  <c r="P1" i="16" s="1"/>
  <c r="D11" i="16"/>
  <c r="C11" i="16"/>
  <c r="M1" i="16"/>
  <c r="T1" i="28"/>
  <c r="Q1" i="28"/>
  <c r="J2" i="13"/>
  <c r="I2" i="13"/>
  <c r="H2" i="13"/>
  <c r="B2" i="21"/>
  <c r="H1" i="6"/>
  <c r="O1" i="6" s="1"/>
  <c r="B1" i="30"/>
  <c r="B1" i="29"/>
  <c r="Q1" i="26"/>
  <c r="B2" i="17"/>
  <c r="C2" i="17"/>
  <c r="B4" i="21"/>
  <c r="B5" i="21" s="1"/>
  <c r="B8" i="21" s="1"/>
  <c r="G1" i="23"/>
  <c r="C3" i="11"/>
  <c r="D3" i="11"/>
  <c r="B1" i="21"/>
  <c r="I2968" i="17"/>
  <c r="C2968" i="17"/>
  <c r="B2968" i="17"/>
  <c r="I2967" i="17"/>
  <c r="C2967" i="17"/>
  <c r="B2967" i="17"/>
  <c r="I2966" i="17"/>
  <c r="C2966" i="17"/>
  <c r="B2966" i="17"/>
  <c r="I2965" i="17"/>
  <c r="C2965" i="17"/>
  <c r="B2965" i="17"/>
  <c r="I2964" i="17"/>
  <c r="C2964" i="17"/>
  <c r="B2964" i="17"/>
  <c r="I2963" i="17"/>
  <c r="C2963" i="17"/>
  <c r="B2963" i="17"/>
  <c r="I2962" i="17"/>
  <c r="C2962" i="17"/>
  <c r="B2962" i="17"/>
  <c r="I2961" i="17"/>
  <c r="C2961" i="17"/>
  <c r="B2961" i="17"/>
  <c r="I2960" i="17"/>
  <c r="C2960" i="17"/>
  <c r="B2960" i="17"/>
  <c r="I2959" i="17"/>
  <c r="C2959" i="17"/>
  <c r="B2959" i="17"/>
  <c r="I2958" i="17"/>
  <c r="C2958" i="17"/>
  <c r="B2958" i="17"/>
  <c r="I2957" i="17"/>
  <c r="C2957" i="17"/>
  <c r="B2957" i="17"/>
  <c r="I2956" i="17"/>
  <c r="C2956" i="17"/>
  <c r="B2956" i="17"/>
  <c r="I2955" i="17"/>
  <c r="C2955" i="17"/>
  <c r="B2955" i="17"/>
  <c r="I2954" i="17"/>
  <c r="C2954" i="17"/>
  <c r="B2954" i="17"/>
  <c r="I2953" i="17"/>
  <c r="C2953" i="17"/>
  <c r="B2953" i="17"/>
  <c r="I2952" i="17"/>
  <c r="C2952" i="17"/>
  <c r="B2952" i="17"/>
  <c r="I2951" i="17"/>
  <c r="C2951" i="17"/>
  <c r="B2951" i="17"/>
  <c r="I2950" i="17"/>
  <c r="C2950" i="17"/>
  <c r="B2950" i="17"/>
  <c r="I2949" i="17"/>
  <c r="C2949" i="17"/>
  <c r="B2949" i="17"/>
  <c r="I2948" i="17"/>
  <c r="C2948" i="17"/>
  <c r="B2948" i="17"/>
  <c r="I2947" i="17"/>
  <c r="C2947" i="17"/>
  <c r="B2947" i="17"/>
  <c r="I2946" i="17"/>
  <c r="C2946" i="17"/>
  <c r="B2946" i="17"/>
  <c r="I2945" i="17"/>
  <c r="C2945" i="17"/>
  <c r="B2945" i="17"/>
  <c r="I2944" i="17"/>
  <c r="C2944" i="17"/>
  <c r="B2944" i="17"/>
  <c r="I2943" i="17"/>
  <c r="C2943" i="17"/>
  <c r="B2943" i="17"/>
  <c r="I2942" i="17"/>
  <c r="C2942" i="17"/>
  <c r="B2942" i="17"/>
  <c r="I2941" i="17"/>
  <c r="C2941" i="17"/>
  <c r="B2941" i="17"/>
  <c r="I2940" i="17"/>
  <c r="C2940" i="17"/>
  <c r="B2940" i="17"/>
  <c r="I2939" i="17"/>
  <c r="C2939" i="17"/>
  <c r="B2939" i="17"/>
  <c r="I2938" i="17"/>
  <c r="C2938" i="17"/>
  <c r="B2938" i="17"/>
  <c r="I2937" i="17"/>
  <c r="C2937" i="17"/>
  <c r="B2937" i="17"/>
  <c r="I2936" i="17"/>
  <c r="C2936" i="17"/>
  <c r="B2936" i="17"/>
  <c r="I2935" i="17"/>
  <c r="C2935" i="17"/>
  <c r="B2935" i="17"/>
  <c r="I2934" i="17"/>
  <c r="C2934" i="17"/>
  <c r="B2934" i="17"/>
  <c r="I2933" i="17"/>
  <c r="C2933" i="17"/>
  <c r="B2933" i="17"/>
  <c r="I2932" i="17"/>
  <c r="C2932" i="17"/>
  <c r="B2932" i="17"/>
  <c r="I2931" i="17"/>
  <c r="C2931" i="17"/>
  <c r="B2931" i="17"/>
  <c r="I2930" i="17"/>
  <c r="C2930" i="17"/>
  <c r="B2930" i="17"/>
  <c r="I2929" i="17"/>
  <c r="C2929" i="17"/>
  <c r="B2929" i="17"/>
  <c r="I2928" i="17"/>
  <c r="C2928" i="17"/>
  <c r="B2928" i="17"/>
  <c r="I2927" i="17"/>
  <c r="C2927" i="17"/>
  <c r="B2927" i="17"/>
  <c r="I2926" i="17"/>
  <c r="C2926" i="17"/>
  <c r="B2926" i="17"/>
  <c r="I2925" i="17"/>
  <c r="C2925" i="17"/>
  <c r="B2925" i="17"/>
  <c r="I2924" i="17"/>
  <c r="C2924" i="17"/>
  <c r="B2924" i="17"/>
  <c r="I2923" i="17"/>
  <c r="C2923" i="17"/>
  <c r="B2923" i="17"/>
  <c r="I2922" i="17"/>
  <c r="C2922" i="17"/>
  <c r="B2922" i="17"/>
  <c r="I2921" i="17"/>
  <c r="C2921" i="17"/>
  <c r="B2921" i="17"/>
  <c r="I2920" i="17"/>
  <c r="C2920" i="17"/>
  <c r="B2920" i="17"/>
  <c r="I2919" i="17"/>
  <c r="C2919" i="17"/>
  <c r="B2919" i="17"/>
  <c r="I2918" i="17"/>
  <c r="C2918" i="17"/>
  <c r="B2918" i="17"/>
  <c r="I2917" i="17"/>
  <c r="C2917" i="17"/>
  <c r="B2917" i="17"/>
  <c r="I2916" i="17"/>
  <c r="C2916" i="17"/>
  <c r="B2916" i="17"/>
  <c r="I2915" i="17"/>
  <c r="C2915" i="17"/>
  <c r="B2915" i="17"/>
  <c r="I2914" i="17"/>
  <c r="C2914" i="17"/>
  <c r="B2914" i="17"/>
  <c r="I2913" i="17"/>
  <c r="C2913" i="17"/>
  <c r="B2913" i="17"/>
  <c r="I2912" i="17"/>
  <c r="C2912" i="17"/>
  <c r="B2912" i="17"/>
  <c r="I2911" i="17"/>
  <c r="C2911" i="17"/>
  <c r="B2911" i="17"/>
  <c r="I2910" i="17"/>
  <c r="C2910" i="17"/>
  <c r="B2910" i="17"/>
  <c r="I2909" i="17"/>
  <c r="C2909" i="17"/>
  <c r="B2909" i="17"/>
  <c r="I2908" i="17"/>
  <c r="C2908" i="17"/>
  <c r="B2908" i="17"/>
  <c r="I2907" i="17"/>
  <c r="C2907" i="17"/>
  <c r="B2907" i="17"/>
  <c r="I2906" i="17"/>
  <c r="C2906" i="17"/>
  <c r="B2906" i="17"/>
  <c r="I2905" i="17"/>
  <c r="C2905" i="17"/>
  <c r="B2905" i="17"/>
  <c r="I2904" i="17"/>
  <c r="C2904" i="17"/>
  <c r="B2904" i="17"/>
  <c r="I2903" i="17"/>
  <c r="C2903" i="17"/>
  <c r="B2903" i="17"/>
  <c r="I2902" i="17"/>
  <c r="C2902" i="17"/>
  <c r="B2902" i="17"/>
  <c r="I2901" i="17"/>
  <c r="C2901" i="17"/>
  <c r="B2901" i="17"/>
  <c r="I2900" i="17"/>
  <c r="C2900" i="17"/>
  <c r="B2900" i="17"/>
  <c r="I2899" i="17"/>
  <c r="C2899" i="17"/>
  <c r="B2899" i="17"/>
  <c r="I2898" i="17"/>
  <c r="C2898" i="17"/>
  <c r="B2898" i="17"/>
  <c r="I2897" i="17"/>
  <c r="C2897" i="17"/>
  <c r="B2897" i="17"/>
  <c r="I2896" i="17"/>
  <c r="C2896" i="17"/>
  <c r="B2896" i="17"/>
  <c r="I2895" i="17"/>
  <c r="C2895" i="17"/>
  <c r="B2895" i="17"/>
  <c r="I2894" i="17"/>
  <c r="C2894" i="17"/>
  <c r="B2894" i="17"/>
  <c r="I2893" i="17"/>
  <c r="C2893" i="17"/>
  <c r="B2893" i="17"/>
  <c r="I2892" i="17"/>
  <c r="C2892" i="17"/>
  <c r="B2892" i="17"/>
  <c r="I2891" i="17"/>
  <c r="C2891" i="17"/>
  <c r="B2891" i="17"/>
  <c r="I2890" i="17"/>
  <c r="C2890" i="17"/>
  <c r="B2890" i="17"/>
  <c r="I2889" i="17"/>
  <c r="C2889" i="17"/>
  <c r="B2889" i="17"/>
  <c r="I2888" i="17"/>
  <c r="C2888" i="17"/>
  <c r="B2888" i="17"/>
  <c r="I2887" i="17"/>
  <c r="C2887" i="17"/>
  <c r="B2887" i="17"/>
  <c r="I2886" i="17"/>
  <c r="C2886" i="17"/>
  <c r="B2886" i="17"/>
  <c r="I2885" i="17"/>
  <c r="C2885" i="17"/>
  <c r="B2885" i="17"/>
  <c r="I2884" i="17"/>
  <c r="C2884" i="17"/>
  <c r="B2884" i="17"/>
  <c r="I2883" i="17"/>
  <c r="C2883" i="17"/>
  <c r="B2883" i="17"/>
  <c r="I2882" i="17"/>
  <c r="C2882" i="17"/>
  <c r="B2882" i="17"/>
  <c r="I2881" i="17"/>
  <c r="C2881" i="17"/>
  <c r="B2881" i="17"/>
  <c r="I2880" i="17"/>
  <c r="C2880" i="17"/>
  <c r="B2880" i="17"/>
  <c r="I2879" i="17"/>
  <c r="C2879" i="17"/>
  <c r="B2879" i="17"/>
  <c r="I2878" i="17"/>
  <c r="C2878" i="17"/>
  <c r="B2878" i="17"/>
  <c r="I2877" i="17"/>
  <c r="C2877" i="17"/>
  <c r="B2877" i="17"/>
  <c r="I2876" i="17"/>
  <c r="C2876" i="17"/>
  <c r="B2876" i="17"/>
  <c r="I2875" i="17"/>
  <c r="C2875" i="17"/>
  <c r="B2875" i="17"/>
  <c r="I2874" i="17"/>
  <c r="C2874" i="17"/>
  <c r="B2874" i="17"/>
  <c r="I2873" i="17"/>
  <c r="C2873" i="17"/>
  <c r="B2873" i="17"/>
  <c r="I2872" i="17"/>
  <c r="C2872" i="17"/>
  <c r="B2872" i="17"/>
  <c r="I2871" i="17"/>
  <c r="C2871" i="17"/>
  <c r="B2871" i="17"/>
  <c r="I2870" i="17"/>
  <c r="C2870" i="17"/>
  <c r="B2870" i="17"/>
  <c r="I2869" i="17"/>
  <c r="C2869" i="17"/>
  <c r="B2869" i="17"/>
  <c r="I2868" i="17"/>
  <c r="C2868" i="17"/>
  <c r="B2868" i="17"/>
  <c r="I2867" i="17"/>
  <c r="C2867" i="17"/>
  <c r="B2867" i="17"/>
  <c r="I2866" i="17"/>
  <c r="C2866" i="17"/>
  <c r="B2866" i="17"/>
  <c r="I2865" i="17"/>
  <c r="C2865" i="17"/>
  <c r="B2865" i="17"/>
  <c r="I2864" i="17"/>
  <c r="C2864" i="17"/>
  <c r="B2864" i="17"/>
  <c r="I2863" i="17"/>
  <c r="C2863" i="17"/>
  <c r="B2863" i="17"/>
  <c r="I2862" i="17"/>
  <c r="C2862" i="17"/>
  <c r="B2862" i="17"/>
  <c r="I2861" i="17"/>
  <c r="C2861" i="17"/>
  <c r="B2861" i="17"/>
  <c r="I2860" i="17"/>
  <c r="C2860" i="17"/>
  <c r="B2860" i="17"/>
  <c r="I2859" i="17"/>
  <c r="C2859" i="17"/>
  <c r="B2859" i="17"/>
  <c r="I2858" i="17"/>
  <c r="C2858" i="17"/>
  <c r="B2858" i="17"/>
  <c r="I2857" i="17"/>
  <c r="C2857" i="17"/>
  <c r="B2857" i="17"/>
  <c r="I2856" i="17"/>
  <c r="C2856" i="17"/>
  <c r="B2856" i="17"/>
  <c r="I2855" i="17"/>
  <c r="C2855" i="17"/>
  <c r="B2855" i="17"/>
  <c r="I2854" i="17"/>
  <c r="C2854" i="17"/>
  <c r="B2854" i="17"/>
  <c r="I2853" i="17"/>
  <c r="C2853" i="17"/>
  <c r="B2853" i="17"/>
  <c r="I2852" i="17"/>
  <c r="C2852" i="17"/>
  <c r="B2852" i="17"/>
  <c r="I2851" i="17"/>
  <c r="C2851" i="17"/>
  <c r="B2851" i="17"/>
  <c r="I2850" i="17"/>
  <c r="C2850" i="17"/>
  <c r="B2850" i="17"/>
  <c r="I2849" i="17"/>
  <c r="C2849" i="17"/>
  <c r="B2849" i="17"/>
  <c r="I2848" i="17"/>
  <c r="C2848" i="17"/>
  <c r="B2848" i="17"/>
  <c r="I2847" i="17"/>
  <c r="C2847" i="17"/>
  <c r="B2847" i="17"/>
  <c r="I2846" i="17"/>
  <c r="C2846" i="17"/>
  <c r="B2846" i="17"/>
  <c r="I2845" i="17"/>
  <c r="C2845" i="17"/>
  <c r="B2845" i="17"/>
  <c r="I2844" i="17"/>
  <c r="C2844" i="17"/>
  <c r="B2844" i="17"/>
  <c r="I2843" i="17"/>
  <c r="C2843" i="17"/>
  <c r="B2843" i="17"/>
  <c r="I2842" i="17"/>
  <c r="C2842" i="17"/>
  <c r="B2842" i="17"/>
  <c r="I2841" i="17"/>
  <c r="C2841" i="17"/>
  <c r="B2841" i="17"/>
  <c r="I2840" i="17"/>
  <c r="C2840" i="17"/>
  <c r="B2840" i="17"/>
  <c r="I2839" i="17"/>
  <c r="C2839" i="17"/>
  <c r="B2839" i="17"/>
  <c r="I2838" i="17"/>
  <c r="C2838" i="17"/>
  <c r="B2838" i="17"/>
  <c r="I2837" i="17"/>
  <c r="C2837" i="17"/>
  <c r="B2837" i="17"/>
  <c r="I2836" i="17"/>
  <c r="C2836" i="17"/>
  <c r="B2836" i="17"/>
  <c r="I2835" i="17"/>
  <c r="C2835" i="17"/>
  <c r="B2835" i="17"/>
  <c r="I2834" i="17"/>
  <c r="C2834" i="17"/>
  <c r="B2834" i="17"/>
  <c r="I2833" i="17"/>
  <c r="C2833" i="17"/>
  <c r="B2833" i="17"/>
  <c r="I2832" i="17"/>
  <c r="C2832" i="17"/>
  <c r="B2832" i="17"/>
  <c r="I2831" i="17"/>
  <c r="C2831" i="17"/>
  <c r="B2831" i="17"/>
  <c r="I2830" i="17"/>
  <c r="C2830" i="17"/>
  <c r="B2830" i="17"/>
  <c r="I2829" i="17"/>
  <c r="C2829" i="17"/>
  <c r="B2829" i="17"/>
  <c r="I2828" i="17"/>
  <c r="C2828" i="17"/>
  <c r="B2828" i="17"/>
  <c r="I2827" i="17"/>
  <c r="C2827" i="17"/>
  <c r="B2827" i="17"/>
  <c r="I2826" i="17"/>
  <c r="C2826" i="17"/>
  <c r="B2826" i="17"/>
  <c r="I2825" i="17"/>
  <c r="C2825" i="17"/>
  <c r="B2825" i="17"/>
  <c r="I2824" i="17"/>
  <c r="C2824" i="17"/>
  <c r="B2824" i="17"/>
  <c r="I2823" i="17"/>
  <c r="C2823" i="17"/>
  <c r="B2823" i="17"/>
  <c r="I2822" i="17"/>
  <c r="C2822" i="17"/>
  <c r="B2822" i="17"/>
  <c r="I2821" i="17"/>
  <c r="C2821" i="17"/>
  <c r="B2821" i="17"/>
  <c r="I2820" i="17"/>
  <c r="C2820" i="17"/>
  <c r="B2820" i="17"/>
  <c r="I2819" i="17"/>
  <c r="C2819" i="17"/>
  <c r="B2819" i="17"/>
  <c r="I2818" i="17"/>
  <c r="C2818" i="17"/>
  <c r="B2818" i="17"/>
  <c r="I2817" i="17"/>
  <c r="C2817" i="17"/>
  <c r="B2817" i="17"/>
  <c r="I2816" i="17"/>
  <c r="C2816" i="17"/>
  <c r="B2816" i="17"/>
  <c r="I2815" i="17"/>
  <c r="C2815" i="17"/>
  <c r="B2815" i="17"/>
  <c r="I2814" i="17"/>
  <c r="C2814" i="17"/>
  <c r="B2814" i="17"/>
  <c r="I2813" i="17"/>
  <c r="C2813" i="17"/>
  <c r="B2813" i="17"/>
  <c r="I2812" i="17"/>
  <c r="C2812" i="17"/>
  <c r="B2812" i="17"/>
  <c r="I2811" i="17"/>
  <c r="C2811" i="17"/>
  <c r="B2811" i="17"/>
  <c r="I2810" i="17"/>
  <c r="C2810" i="17"/>
  <c r="B2810" i="17"/>
  <c r="I2809" i="17"/>
  <c r="C2809" i="17"/>
  <c r="B2809" i="17"/>
  <c r="I2808" i="17"/>
  <c r="C2808" i="17"/>
  <c r="B2808" i="17"/>
  <c r="I2807" i="17"/>
  <c r="C2807" i="17"/>
  <c r="B2807" i="17"/>
  <c r="I2806" i="17"/>
  <c r="C2806" i="17"/>
  <c r="B2806" i="17"/>
  <c r="I2805" i="17"/>
  <c r="C2805" i="17"/>
  <c r="B2805" i="17"/>
  <c r="I2804" i="17"/>
  <c r="C2804" i="17"/>
  <c r="B2804" i="17"/>
  <c r="I2803" i="17"/>
  <c r="C2803" i="17"/>
  <c r="B2803" i="17"/>
  <c r="I2802" i="17"/>
  <c r="C2802" i="17"/>
  <c r="B2802" i="17"/>
  <c r="I2801" i="17"/>
  <c r="C2801" i="17"/>
  <c r="B2801" i="17"/>
  <c r="I2800" i="17"/>
  <c r="C2800" i="17"/>
  <c r="B2800" i="17"/>
  <c r="I2799" i="17"/>
  <c r="C2799" i="17"/>
  <c r="B2799" i="17"/>
  <c r="I2798" i="17"/>
  <c r="C2798" i="17"/>
  <c r="B2798" i="17"/>
  <c r="I2797" i="17"/>
  <c r="C2797" i="17"/>
  <c r="B2797" i="17"/>
  <c r="I2796" i="17"/>
  <c r="C2796" i="17"/>
  <c r="B2796" i="17"/>
  <c r="I2795" i="17"/>
  <c r="C2795" i="17"/>
  <c r="B2795" i="17"/>
  <c r="I2794" i="17"/>
  <c r="C2794" i="17"/>
  <c r="B2794" i="17"/>
  <c r="I2793" i="17"/>
  <c r="C2793" i="17"/>
  <c r="B2793" i="17"/>
  <c r="I2792" i="17"/>
  <c r="C2792" i="17"/>
  <c r="B2792" i="17"/>
  <c r="I2791" i="17"/>
  <c r="C2791" i="17"/>
  <c r="B2791" i="17"/>
  <c r="I2790" i="17"/>
  <c r="C2790" i="17"/>
  <c r="B2790" i="17"/>
  <c r="I2789" i="17"/>
  <c r="C2789" i="17"/>
  <c r="B2789" i="17"/>
  <c r="I2788" i="17"/>
  <c r="C2788" i="17"/>
  <c r="B2788" i="17"/>
  <c r="I2787" i="17"/>
  <c r="C2787" i="17"/>
  <c r="B2787" i="17"/>
  <c r="I2786" i="17"/>
  <c r="C2786" i="17"/>
  <c r="B2786" i="17"/>
  <c r="I2785" i="17"/>
  <c r="C2785" i="17"/>
  <c r="B2785" i="17"/>
  <c r="I2784" i="17"/>
  <c r="C2784" i="17"/>
  <c r="B2784" i="17"/>
  <c r="I2783" i="17"/>
  <c r="C2783" i="17"/>
  <c r="B2783" i="17"/>
  <c r="I2782" i="17"/>
  <c r="C2782" i="17"/>
  <c r="B2782" i="17"/>
  <c r="I2781" i="17"/>
  <c r="C2781" i="17"/>
  <c r="B2781" i="17"/>
  <c r="I2780" i="17"/>
  <c r="C2780" i="17"/>
  <c r="B2780" i="17"/>
  <c r="I2779" i="17"/>
  <c r="C2779" i="17"/>
  <c r="B2779" i="17"/>
  <c r="I2778" i="17"/>
  <c r="C2778" i="17"/>
  <c r="B2778" i="17"/>
  <c r="I2777" i="17"/>
  <c r="C2777" i="17"/>
  <c r="B2777" i="17"/>
  <c r="I2776" i="17"/>
  <c r="C2776" i="17"/>
  <c r="B2776" i="17"/>
  <c r="I2775" i="17"/>
  <c r="C2775" i="17"/>
  <c r="B2775" i="17"/>
  <c r="I2774" i="17"/>
  <c r="C2774" i="17"/>
  <c r="B2774" i="17"/>
  <c r="I2773" i="17"/>
  <c r="C2773" i="17"/>
  <c r="B2773" i="17"/>
  <c r="I2772" i="17"/>
  <c r="C2772" i="17"/>
  <c r="B2772" i="17"/>
  <c r="I2771" i="17"/>
  <c r="C2771" i="17"/>
  <c r="B2771" i="17"/>
  <c r="I2770" i="17"/>
  <c r="C2770" i="17"/>
  <c r="B2770" i="17"/>
  <c r="I2769" i="17"/>
  <c r="C2769" i="17"/>
  <c r="B2769" i="17"/>
  <c r="I2768" i="17"/>
  <c r="C2768" i="17"/>
  <c r="B2768" i="17"/>
  <c r="I2767" i="17"/>
  <c r="C2767" i="17"/>
  <c r="B2767" i="17"/>
  <c r="I2766" i="17"/>
  <c r="C2766" i="17"/>
  <c r="B2766" i="17"/>
  <c r="I2765" i="17"/>
  <c r="C2765" i="17"/>
  <c r="B2765" i="17"/>
  <c r="I2764" i="17"/>
  <c r="C2764" i="17"/>
  <c r="B2764" i="17"/>
  <c r="I2763" i="17"/>
  <c r="C2763" i="17"/>
  <c r="B2763" i="17"/>
  <c r="I2762" i="17"/>
  <c r="C2762" i="17"/>
  <c r="B2762" i="17"/>
  <c r="I2761" i="17"/>
  <c r="C2761" i="17"/>
  <c r="B2761" i="17"/>
  <c r="I2760" i="17"/>
  <c r="C2760" i="17"/>
  <c r="B2760" i="17"/>
  <c r="I2759" i="17"/>
  <c r="C2759" i="17"/>
  <c r="B2759" i="17"/>
  <c r="I2758" i="17"/>
  <c r="C2758" i="17"/>
  <c r="B2758" i="17"/>
  <c r="I2757" i="17"/>
  <c r="C2757" i="17"/>
  <c r="B2757" i="17"/>
  <c r="I2756" i="17"/>
  <c r="C2756" i="17"/>
  <c r="B2756" i="17"/>
  <c r="I2755" i="17"/>
  <c r="C2755" i="17"/>
  <c r="B2755" i="17"/>
  <c r="I2754" i="17"/>
  <c r="C2754" i="17"/>
  <c r="B2754" i="17"/>
  <c r="I2753" i="17"/>
  <c r="C2753" i="17"/>
  <c r="B2753" i="17"/>
  <c r="I2752" i="17"/>
  <c r="C2752" i="17"/>
  <c r="B2752" i="17"/>
  <c r="I2751" i="17"/>
  <c r="C2751" i="17"/>
  <c r="B2751" i="17"/>
  <c r="I2750" i="17"/>
  <c r="C2750" i="17"/>
  <c r="B2750" i="17"/>
  <c r="I2749" i="17"/>
  <c r="C2749" i="17"/>
  <c r="B2749" i="17"/>
  <c r="I2748" i="17"/>
  <c r="C2748" i="17"/>
  <c r="B2748" i="17"/>
  <c r="I2747" i="17"/>
  <c r="C2747" i="17"/>
  <c r="B2747" i="17"/>
  <c r="I2746" i="17"/>
  <c r="C2746" i="17"/>
  <c r="B2746" i="17"/>
  <c r="I2745" i="17"/>
  <c r="C2745" i="17"/>
  <c r="B2745" i="17"/>
  <c r="I2744" i="17"/>
  <c r="C2744" i="17"/>
  <c r="B2744" i="17"/>
  <c r="I2743" i="17"/>
  <c r="C2743" i="17"/>
  <c r="B2743" i="17"/>
  <c r="I2742" i="17"/>
  <c r="C2742" i="17"/>
  <c r="B2742" i="17"/>
  <c r="I2741" i="17"/>
  <c r="C2741" i="17"/>
  <c r="B2741" i="17"/>
  <c r="I2740" i="17"/>
  <c r="C2740" i="17"/>
  <c r="B2740" i="17"/>
  <c r="I2739" i="17"/>
  <c r="C2739" i="17"/>
  <c r="B2739" i="17"/>
  <c r="I2738" i="17"/>
  <c r="C2738" i="17"/>
  <c r="B2738" i="17"/>
  <c r="I2737" i="17"/>
  <c r="C2737" i="17"/>
  <c r="B2737" i="17"/>
  <c r="I2736" i="17"/>
  <c r="C2736" i="17"/>
  <c r="B2736" i="17"/>
  <c r="I2735" i="17"/>
  <c r="C2735" i="17"/>
  <c r="B2735" i="17"/>
  <c r="I2734" i="17"/>
  <c r="C2734" i="17"/>
  <c r="B2734" i="17"/>
  <c r="I2733" i="17"/>
  <c r="C2733" i="17"/>
  <c r="B2733" i="17"/>
  <c r="I2732" i="17"/>
  <c r="C2732" i="17"/>
  <c r="B2732" i="17"/>
  <c r="I2731" i="17"/>
  <c r="C2731" i="17"/>
  <c r="B2731" i="17"/>
  <c r="I2730" i="17"/>
  <c r="C2730" i="17"/>
  <c r="B2730" i="17"/>
  <c r="I2729" i="17"/>
  <c r="C2729" i="17"/>
  <c r="B2729" i="17"/>
  <c r="I2728" i="17"/>
  <c r="C2728" i="17"/>
  <c r="B2728" i="17"/>
  <c r="I2727" i="17"/>
  <c r="C2727" i="17"/>
  <c r="B2727" i="17"/>
  <c r="I2726" i="17"/>
  <c r="C2726" i="17"/>
  <c r="B2726" i="17"/>
  <c r="I2725" i="17"/>
  <c r="C2725" i="17"/>
  <c r="B2725" i="17"/>
  <c r="I2724" i="17"/>
  <c r="C2724" i="17"/>
  <c r="B2724" i="17"/>
  <c r="I2723" i="17"/>
  <c r="C2723" i="17"/>
  <c r="B2723" i="17"/>
  <c r="I2722" i="17"/>
  <c r="C2722" i="17"/>
  <c r="B2722" i="17"/>
  <c r="I2721" i="17"/>
  <c r="C2721" i="17"/>
  <c r="B2721" i="17"/>
  <c r="I2720" i="17"/>
  <c r="C2720" i="17"/>
  <c r="B2720" i="17"/>
  <c r="I2719" i="17"/>
  <c r="C2719" i="17"/>
  <c r="B2719" i="17"/>
  <c r="I2718" i="17"/>
  <c r="C2718" i="17"/>
  <c r="B2718" i="17"/>
  <c r="I2717" i="17"/>
  <c r="C2717" i="17"/>
  <c r="B2717" i="17"/>
  <c r="I2716" i="17"/>
  <c r="C2716" i="17"/>
  <c r="B2716" i="17"/>
  <c r="I2715" i="17"/>
  <c r="C2715" i="17"/>
  <c r="B2715" i="17"/>
  <c r="I2714" i="17"/>
  <c r="C2714" i="17"/>
  <c r="B2714" i="17"/>
  <c r="I2713" i="17"/>
  <c r="C2713" i="17"/>
  <c r="B2713" i="17"/>
  <c r="I2712" i="17"/>
  <c r="C2712" i="17"/>
  <c r="B2712" i="17"/>
  <c r="I2711" i="17"/>
  <c r="C2711" i="17"/>
  <c r="B2711" i="17"/>
  <c r="I2710" i="17"/>
  <c r="C2710" i="17"/>
  <c r="B2710" i="17"/>
  <c r="I2709" i="17"/>
  <c r="C2709" i="17"/>
  <c r="B2709" i="17"/>
  <c r="I2708" i="17"/>
  <c r="C2708" i="17"/>
  <c r="B2708" i="17"/>
  <c r="I2707" i="17"/>
  <c r="C2707" i="17"/>
  <c r="B2707" i="17"/>
  <c r="I2706" i="17"/>
  <c r="C2706" i="17"/>
  <c r="B2706" i="17"/>
  <c r="I2705" i="17"/>
  <c r="C2705" i="17"/>
  <c r="B2705" i="17"/>
  <c r="I2704" i="17"/>
  <c r="C2704" i="17"/>
  <c r="B2704" i="17"/>
  <c r="I2703" i="17"/>
  <c r="C2703" i="17"/>
  <c r="B2703" i="17"/>
  <c r="I2702" i="17"/>
  <c r="C2702" i="17"/>
  <c r="B2702" i="17"/>
  <c r="I2701" i="17"/>
  <c r="C2701" i="17"/>
  <c r="B2701" i="17"/>
  <c r="I2700" i="17"/>
  <c r="C2700" i="17"/>
  <c r="B2700" i="17"/>
  <c r="I2699" i="17"/>
  <c r="C2699" i="17"/>
  <c r="B2699" i="17"/>
  <c r="I2698" i="17"/>
  <c r="C2698" i="17"/>
  <c r="B2698" i="17"/>
  <c r="I2697" i="17"/>
  <c r="C2697" i="17"/>
  <c r="B2697" i="17"/>
  <c r="I2696" i="17"/>
  <c r="C2696" i="17"/>
  <c r="B2696" i="17"/>
  <c r="I2695" i="17"/>
  <c r="C2695" i="17"/>
  <c r="B2695" i="17"/>
  <c r="I2694" i="17"/>
  <c r="C2694" i="17"/>
  <c r="B2694" i="17"/>
  <c r="I2693" i="17"/>
  <c r="C2693" i="17"/>
  <c r="B2693" i="17"/>
  <c r="I2692" i="17"/>
  <c r="C2692" i="17"/>
  <c r="B2692" i="17"/>
  <c r="I2691" i="17"/>
  <c r="C2691" i="17"/>
  <c r="B2691" i="17"/>
  <c r="I2690" i="17"/>
  <c r="C2690" i="17"/>
  <c r="B2690" i="17"/>
  <c r="I2689" i="17"/>
  <c r="C2689" i="17"/>
  <c r="B2689" i="17"/>
  <c r="I2688" i="17"/>
  <c r="C2688" i="17"/>
  <c r="B2688" i="17"/>
  <c r="I2687" i="17"/>
  <c r="C2687" i="17"/>
  <c r="B2687" i="17"/>
  <c r="I2686" i="17"/>
  <c r="C2686" i="17"/>
  <c r="B2686" i="17"/>
  <c r="I2685" i="17"/>
  <c r="C2685" i="17"/>
  <c r="B2685" i="17"/>
  <c r="I2684" i="17"/>
  <c r="C2684" i="17"/>
  <c r="B2684" i="17"/>
  <c r="I2683" i="17"/>
  <c r="C2683" i="17"/>
  <c r="B2683" i="17"/>
  <c r="I2682" i="17"/>
  <c r="C2682" i="17"/>
  <c r="B2682" i="17"/>
  <c r="I2681" i="17"/>
  <c r="C2681" i="17"/>
  <c r="B2681" i="17"/>
  <c r="I2680" i="17"/>
  <c r="C2680" i="17"/>
  <c r="B2680" i="17"/>
  <c r="I2679" i="17"/>
  <c r="C2679" i="17"/>
  <c r="B2679" i="17"/>
  <c r="I2678" i="17"/>
  <c r="C2678" i="17"/>
  <c r="B2678" i="17"/>
  <c r="I2677" i="17"/>
  <c r="C2677" i="17"/>
  <c r="B2677" i="17"/>
  <c r="I2676" i="17"/>
  <c r="C2676" i="17"/>
  <c r="B2676" i="17"/>
  <c r="I2675" i="17"/>
  <c r="C2675" i="17"/>
  <c r="B2675" i="17"/>
  <c r="I2674" i="17"/>
  <c r="C2674" i="17"/>
  <c r="B2674" i="17"/>
  <c r="I2673" i="17"/>
  <c r="C2673" i="17"/>
  <c r="B2673" i="17"/>
  <c r="I2672" i="17"/>
  <c r="C2672" i="17"/>
  <c r="B2672" i="17"/>
  <c r="I2671" i="17"/>
  <c r="C2671" i="17"/>
  <c r="B2671" i="17"/>
  <c r="I2670" i="17"/>
  <c r="C2670" i="17"/>
  <c r="B2670" i="17"/>
  <c r="I2669" i="17"/>
  <c r="C2669" i="17"/>
  <c r="B2669" i="17"/>
  <c r="I2668" i="17"/>
  <c r="C2668" i="17"/>
  <c r="B2668" i="17"/>
  <c r="I2667" i="17"/>
  <c r="C2667" i="17"/>
  <c r="B2667" i="17"/>
  <c r="I2666" i="17"/>
  <c r="C2666" i="17"/>
  <c r="B2666" i="17"/>
  <c r="I2665" i="17"/>
  <c r="C2665" i="17"/>
  <c r="B2665" i="17"/>
  <c r="I2664" i="17"/>
  <c r="C2664" i="17"/>
  <c r="B2664" i="17"/>
  <c r="I2663" i="17"/>
  <c r="C2663" i="17"/>
  <c r="B2663" i="17"/>
  <c r="I2662" i="17"/>
  <c r="C2662" i="17"/>
  <c r="B2662" i="17"/>
  <c r="I2661" i="17"/>
  <c r="C2661" i="17"/>
  <c r="B2661" i="17"/>
  <c r="I2660" i="17"/>
  <c r="C2660" i="17"/>
  <c r="B2660" i="17"/>
  <c r="I2659" i="17"/>
  <c r="C2659" i="17"/>
  <c r="B2659" i="17"/>
  <c r="I2658" i="17"/>
  <c r="C2658" i="17"/>
  <c r="B2658" i="17"/>
  <c r="I2657" i="17"/>
  <c r="C2657" i="17"/>
  <c r="B2657" i="17"/>
  <c r="I2656" i="17"/>
  <c r="C2656" i="17"/>
  <c r="B2656" i="17"/>
  <c r="I2655" i="17"/>
  <c r="C2655" i="17"/>
  <c r="B2655" i="17"/>
  <c r="I2654" i="17"/>
  <c r="C2654" i="17"/>
  <c r="B2654" i="17"/>
  <c r="I2653" i="17"/>
  <c r="C2653" i="17"/>
  <c r="B2653" i="17"/>
  <c r="I2652" i="17"/>
  <c r="C2652" i="17"/>
  <c r="B2652" i="17"/>
  <c r="I2651" i="17"/>
  <c r="C2651" i="17"/>
  <c r="B2651" i="17"/>
  <c r="I2650" i="17"/>
  <c r="C2650" i="17"/>
  <c r="B2650" i="17"/>
  <c r="I2649" i="17"/>
  <c r="C2649" i="17"/>
  <c r="B2649" i="17"/>
  <c r="I2648" i="17"/>
  <c r="C2648" i="17"/>
  <c r="B2648" i="17"/>
  <c r="I2647" i="17"/>
  <c r="C2647" i="17"/>
  <c r="B2647" i="17"/>
  <c r="I2646" i="17"/>
  <c r="C2646" i="17"/>
  <c r="B2646" i="17"/>
  <c r="I2645" i="17"/>
  <c r="C2645" i="17"/>
  <c r="B2645" i="17"/>
  <c r="I2644" i="17"/>
  <c r="C2644" i="17"/>
  <c r="B2644" i="17"/>
  <c r="I2643" i="17"/>
  <c r="C2643" i="17"/>
  <c r="B2643" i="17"/>
  <c r="I2642" i="17"/>
  <c r="C2642" i="17"/>
  <c r="B2642" i="17"/>
  <c r="I2641" i="17"/>
  <c r="C2641" i="17"/>
  <c r="B2641" i="17"/>
  <c r="I2640" i="17"/>
  <c r="C2640" i="17"/>
  <c r="B2640" i="17"/>
  <c r="I2639" i="17"/>
  <c r="C2639" i="17"/>
  <c r="B2639" i="17"/>
  <c r="I2638" i="17"/>
  <c r="C2638" i="17"/>
  <c r="B2638" i="17"/>
  <c r="I2637" i="17"/>
  <c r="C2637" i="17"/>
  <c r="B2637" i="17"/>
  <c r="I2636" i="17"/>
  <c r="C2636" i="17"/>
  <c r="B2636" i="17"/>
  <c r="I2635" i="17"/>
  <c r="C2635" i="17"/>
  <c r="B2635" i="17"/>
  <c r="I2634" i="17"/>
  <c r="C2634" i="17"/>
  <c r="B2634" i="17"/>
  <c r="I2633" i="17"/>
  <c r="C2633" i="17"/>
  <c r="B2633" i="17"/>
  <c r="I2632" i="17"/>
  <c r="C2632" i="17"/>
  <c r="B2632" i="17"/>
  <c r="I2631" i="17"/>
  <c r="C2631" i="17"/>
  <c r="B2631" i="17"/>
  <c r="I2630" i="17"/>
  <c r="C2630" i="17"/>
  <c r="B2630" i="17"/>
  <c r="I2629" i="17"/>
  <c r="C2629" i="17"/>
  <c r="B2629" i="17"/>
  <c r="I2628" i="17"/>
  <c r="C2628" i="17"/>
  <c r="B2628" i="17"/>
  <c r="I2627" i="17"/>
  <c r="C2627" i="17"/>
  <c r="B2627" i="17"/>
  <c r="I2626" i="17"/>
  <c r="C2626" i="17"/>
  <c r="B2626" i="17"/>
  <c r="I2625" i="17"/>
  <c r="C2625" i="17"/>
  <c r="B2625" i="17"/>
  <c r="I2624" i="17"/>
  <c r="C2624" i="17"/>
  <c r="B2624" i="17"/>
  <c r="I2623" i="17"/>
  <c r="C2623" i="17"/>
  <c r="B2623" i="17"/>
  <c r="I2622" i="17"/>
  <c r="C2622" i="17"/>
  <c r="B2622" i="17"/>
  <c r="I2621" i="17"/>
  <c r="C2621" i="17"/>
  <c r="B2621" i="17"/>
  <c r="I2620" i="17"/>
  <c r="C2620" i="17"/>
  <c r="B2620" i="17"/>
  <c r="I2619" i="17"/>
  <c r="C2619" i="17"/>
  <c r="B2619" i="17"/>
  <c r="I2618" i="17"/>
  <c r="C2618" i="17"/>
  <c r="B2618" i="17"/>
  <c r="I2617" i="17"/>
  <c r="C2617" i="17"/>
  <c r="B2617" i="17"/>
  <c r="I2616" i="17"/>
  <c r="C2616" i="17"/>
  <c r="B2616" i="17"/>
  <c r="I2615" i="17"/>
  <c r="C2615" i="17"/>
  <c r="B2615" i="17"/>
  <c r="I2614" i="17"/>
  <c r="C2614" i="17"/>
  <c r="B2614" i="17"/>
  <c r="I2613" i="17"/>
  <c r="C2613" i="17"/>
  <c r="B2613" i="17"/>
  <c r="I2612" i="17"/>
  <c r="C2612" i="17"/>
  <c r="B2612" i="17"/>
  <c r="I2611" i="17"/>
  <c r="C2611" i="17"/>
  <c r="B2611" i="17"/>
  <c r="I2610" i="17"/>
  <c r="C2610" i="17"/>
  <c r="B2610" i="17"/>
  <c r="I2609" i="17"/>
  <c r="C2609" i="17"/>
  <c r="B2609" i="17"/>
  <c r="I2608" i="17"/>
  <c r="C2608" i="17"/>
  <c r="B2608" i="17"/>
  <c r="I2607" i="17"/>
  <c r="C2607" i="17"/>
  <c r="B2607" i="17"/>
  <c r="I2606" i="17"/>
  <c r="C2606" i="17"/>
  <c r="B2606" i="17"/>
  <c r="I2605" i="17"/>
  <c r="C2605" i="17"/>
  <c r="B2605" i="17"/>
  <c r="I2604" i="17"/>
  <c r="C2604" i="17"/>
  <c r="B2604" i="17"/>
  <c r="I2603" i="17"/>
  <c r="C2603" i="17"/>
  <c r="B2603" i="17"/>
  <c r="I2602" i="17"/>
  <c r="C2602" i="17"/>
  <c r="B2602" i="17"/>
  <c r="I2601" i="17"/>
  <c r="C2601" i="17"/>
  <c r="B2601" i="17"/>
  <c r="I2600" i="17"/>
  <c r="C2600" i="17"/>
  <c r="B2600" i="17"/>
  <c r="I2599" i="17"/>
  <c r="C2599" i="17"/>
  <c r="B2599" i="17"/>
  <c r="I2598" i="17"/>
  <c r="C2598" i="17"/>
  <c r="B2598" i="17"/>
  <c r="I2597" i="17"/>
  <c r="C2597" i="17"/>
  <c r="B2597" i="17"/>
  <c r="I2596" i="17"/>
  <c r="C2596" i="17"/>
  <c r="B2596" i="17"/>
  <c r="I2595" i="17"/>
  <c r="C2595" i="17"/>
  <c r="B2595" i="17"/>
  <c r="I2594" i="17"/>
  <c r="C2594" i="17"/>
  <c r="B2594" i="17"/>
  <c r="I2593" i="17"/>
  <c r="C2593" i="17"/>
  <c r="B2593" i="17"/>
  <c r="I2592" i="17"/>
  <c r="C2592" i="17"/>
  <c r="B2592" i="17"/>
  <c r="I2591" i="17"/>
  <c r="C2591" i="17"/>
  <c r="B2591" i="17"/>
  <c r="I2590" i="17"/>
  <c r="C2590" i="17"/>
  <c r="B2590" i="17"/>
  <c r="I2589" i="17"/>
  <c r="C2589" i="17"/>
  <c r="B2589" i="17"/>
  <c r="I2588" i="17"/>
  <c r="C2588" i="17"/>
  <c r="B2588" i="17"/>
  <c r="I2587" i="17"/>
  <c r="C2587" i="17"/>
  <c r="B2587" i="17"/>
  <c r="I2586" i="17"/>
  <c r="C2586" i="17"/>
  <c r="B2586" i="17"/>
  <c r="I2585" i="17"/>
  <c r="C2585" i="17"/>
  <c r="B2585" i="17"/>
  <c r="I2584" i="17"/>
  <c r="C2584" i="17"/>
  <c r="B2584" i="17"/>
  <c r="I2583" i="17"/>
  <c r="C2583" i="17"/>
  <c r="B2583" i="17"/>
  <c r="I2582" i="17"/>
  <c r="C2582" i="17"/>
  <c r="B2582" i="17"/>
  <c r="I2581" i="17"/>
  <c r="C2581" i="17"/>
  <c r="B2581" i="17"/>
  <c r="I2580" i="17"/>
  <c r="C2580" i="17"/>
  <c r="B2580" i="17"/>
  <c r="I2579" i="17"/>
  <c r="C2579" i="17"/>
  <c r="B2579" i="17"/>
  <c r="I2578" i="17"/>
  <c r="C2578" i="17"/>
  <c r="B2578" i="17"/>
  <c r="I2577" i="17"/>
  <c r="C2577" i="17"/>
  <c r="B2577" i="17"/>
  <c r="I2576" i="17"/>
  <c r="C2576" i="17"/>
  <c r="B2576" i="17"/>
  <c r="I2575" i="17"/>
  <c r="C2575" i="17"/>
  <c r="B2575" i="17"/>
  <c r="I2574" i="17"/>
  <c r="C2574" i="17"/>
  <c r="B2574" i="17"/>
  <c r="I2573" i="17"/>
  <c r="C2573" i="17"/>
  <c r="B2573" i="17"/>
  <c r="I2572" i="17"/>
  <c r="C2572" i="17"/>
  <c r="B2572" i="17"/>
  <c r="I2571" i="17"/>
  <c r="C2571" i="17"/>
  <c r="B2571" i="17"/>
  <c r="I2570" i="17"/>
  <c r="C2570" i="17"/>
  <c r="B2570" i="17"/>
  <c r="I2569" i="17"/>
  <c r="C2569" i="17"/>
  <c r="B2569" i="17"/>
  <c r="I2568" i="17"/>
  <c r="C2568" i="17"/>
  <c r="B2568" i="17"/>
  <c r="I2567" i="17"/>
  <c r="C2567" i="17"/>
  <c r="B2567" i="17"/>
  <c r="I2566" i="17"/>
  <c r="C2566" i="17"/>
  <c r="B2566" i="17"/>
  <c r="I2565" i="17"/>
  <c r="C2565" i="17"/>
  <c r="B2565" i="17"/>
  <c r="I2564" i="17"/>
  <c r="C2564" i="17"/>
  <c r="B2564" i="17"/>
  <c r="I2563" i="17"/>
  <c r="C2563" i="17"/>
  <c r="B2563" i="17"/>
  <c r="I2562" i="17"/>
  <c r="C2562" i="17"/>
  <c r="B2562" i="17"/>
  <c r="I2561" i="17"/>
  <c r="C2561" i="17"/>
  <c r="B2561" i="17"/>
  <c r="I2560" i="17"/>
  <c r="C2560" i="17"/>
  <c r="B2560" i="17"/>
  <c r="I2559" i="17"/>
  <c r="C2559" i="17"/>
  <c r="B2559" i="17"/>
  <c r="I2558" i="17"/>
  <c r="C2558" i="17"/>
  <c r="B2558" i="17"/>
  <c r="I2557" i="17"/>
  <c r="C2557" i="17"/>
  <c r="B2557" i="17"/>
  <c r="I2556" i="17"/>
  <c r="C2556" i="17"/>
  <c r="B2556" i="17"/>
  <c r="I2555" i="17"/>
  <c r="C2555" i="17"/>
  <c r="B2555" i="17"/>
  <c r="I2554" i="17"/>
  <c r="C2554" i="17"/>
  <c r="B2554" i="17"/>
  <c r="I2553" i="17"/>
  <c r="C2553" i="17"/>
  <c r="B2553" i="17"/>
  <c r="I2552" i="17"/>
  <c r="C2552" i="17"/>
  <c r="B2552" i="17"/>
  <c r="I2551" i="17"/>
  <c r="C2551" i="17"/>
  <c r="B2551" i="17"/>
  <c r="I2550" i="17"/>
  <c r="C2550" i="17"/>
  <c r="B2550" i="17"/>
  <c r="I2549" i="17"/>
  <c r="C2549" i="17"/>
  <c r="B2549" i="17"/>
  <c r="I2548" i="17"/>
  <c r="C2548" i="17"/>
  <c r="B2548" i="17"/>
  <c r="I2547" i="17"/>
  <c r="C2547" i="17"/>
  <c r="B2547" i="17"/>
  <c r="I2546" i="17"/>
  <c r="C2546" i="17"/>
  <c r="B2546" i="17"/>
  <c r="I2545" i="17"/>
  <c r="C2545" i="17"/>
  <c r="B2545" i="17"/>
  <c r="I2544" i="17"/>
  <c r="C2544" i="17"/>
  <c r="B2544" i="17"/>
  <c r="I2543" i="17"/>
  <c r="C2543" i="17"/>
  <c r="B2543" i="17"/>
  <c r="I2542" i="17"/>
  <c r="C2542" i="17"/>
  <c r="B2542" i="17"/>
  <c r="I2541" i="17"/>
  <c r="C2541" i="17"/>
  <c r="B2541" i="17"/>
  <c r="I2540" i="17"/>
  <c r="C2540" i="17"/>
  <c r="B2540" i="17"/>
  <c r="I2539" i="17"/>
  <c r="C2539" i="17"/>
  <c r="B2539" i="17"/>
  <c r="I2538" i="17"/>
  <c r="C2538" i="17"/>
  <c r="B2538" i="17"/>
  <c r="I2537" i="17"/>
  <c r="C2537" i="17"/>
  <c r="B2537" i="17"/>
  <c r="I2536" i="17"/>
  <c r="C2536" i="17"/>
  <c r="B2536" i="17"/>
  <c r="I2535" i="17"/>
  <c r="C2535" i="17"/>
  <c r="B2535" i="17"/>
  <c r="I2534" i="17"/>
  <c r="C2534" i="17"/>
  <c r="B2534" i="17"/>
  <c r="I2533" i="17"/>
  <c r="C2533" i="17"/>
  <c r="B2533" i="17"/>
  <c r="I2532" i="17"/>
  <c r="C2532" i="17"/>
  <c r="B2532" i="17"/>
  <c r="I2531" i="17"/>
  <c r="C2531" i="17"/>
  <c r="B2531" i="17"/>
  <c r="I2530" i="17"/>
  <c r="C2530" i="17"/>
  <c r="B2530" i="17"/>
  <c r="I2529" i="17"/>
  <c r="C2529" i="17"/>
  <c r="B2529" i="17"/>
  <c r="I2528" i="17"/>
  <c r="C2528" i="17"/>
  <c r="B2528" i="17"/>
  <c r="I2527" i="17"/>
  <c r="C2527" i="17"/>
  <c r="B2527" i="17"/>
  <c r="I2526" i="17"/>
  <c r="C2526" i="17"/>
  <c r="B2526" i="17"/>
  <c r="I2525" i="17"/>
  <c r="C2525" i="17"/>
  <c r="B2525" i="17"/>
  <c r="I2524" i="17"/>
  <c r="C2524" i="17"/>
  <c r="B2524" i="17"/>
  <c r="I2523" i="17"/>
  <c r="C2523" i="17"/>
  <c r="B2523" i="17"/>
  <c r="I2522" i="17"/>
  <c r="C2522" i="17"/>
  <c r="B2522" i="17"/>
  <c r="I2521" i="17"/>
  <c r="C2521" i="17"/>
  <c r="B2521" i="17"/>
  <c r="I2520" i="17"/>
  <c r="C2520" i="17"/>
  <c r="B2520" i="17"/>
  <c r="I2519" i="17"/>
  <c r="C2519" i="17"/>
  <c r="B2519" i="17"/>
  <c r="I2518" i="17"/>
  <c r="C2518" i="17"/>
  <c r="B2518" i="17"/>
  <c r="I2517" i="17"/>
  <c r="C2517" i="17"/>
  <c r="B2517" i="17"/>
  <c r="I2516" i="17"/>
  <c r="C2516" i="17"/>
  <c r="B2516" i="17"/>
  <c r="I2515" i="17"/>
  <c r="C2515" i="17"/>
  <c r="B2515" i="17"/>
  <c r="I2514" i="17"/>
  <c r="C2514" i="17"/>
  <c r="B2514" i="17"/>
  <c r="I2513" i="17"/>
  <c r="C2513" i="17"/>
  <c r="B2513" i="17"/>
  <c r="I2512" i="17"/>
  <c r="C2512" i="17"/>
  <c r="B2512" i="17"/>
  <c r="I2511" i="17"/>
  <c r="C2511" i="17"/>
  <c r="B2511" i="17"/>
  <c r="I2510" i="17"/>
  <c r="C2510" i="17"/>
  <c r="B2510" i="17"/>
  <c r="I2509" i="17"/>
  <c r="C2509" i="17"/>
  <c r="B2509" i="17"/>
  <c r="I2508" i="17"/>
  <c r="C2508" i="17"/>
  <c r="B2508" i="17"/>
  <c r="I2507" i="17"/>
  <c r="C2507" i="17"/>
  <c r="B2507" i="17"/>
  <c r="I2506" i="17"/>
  <c r="C2506" i="17"/>
  <c r="B2506" i="17"/>
  <c r="I2505" i="17"/>
  <c r="C2505" i="17"/>
  <c r="B2505" i="17"/>
  <c r="I2504" i="17"/>
  <c r="C2504" i="17"/>
  <c r="B2504" i="17"/>
  <c r="I2503" i="17"/>
  <c r="C2503" i="17"/>
  <c r="B2503" i="17"/>
  <c r="I2502" i="17"/>
  <c r="C2502" i="17"/>
  <c r="B2502" i="17"/>
  <c r="I2501" i="17"/>
  <c r="C2501" i="17"/>
  <c r="B2501" i="17"/>
  <c r="I2500" i="17"/>
  <c r="C2500" i="17"/>
  <c r="B2500" i="17"/>
  <c r="I2499" i="17"/>
  <c r="C2499" i="17"/>
  <c r="B2499" i="17"/>
  <c r="I2498" i="17"/>
  <c r="C2498" i="17"/>
  <c r="B2498" i="17"/>
  <c r="I2497" i="17"/>
  <c r="C2497" i="17"/>
  <c r="B2497" i="17"/>
  <c r="I2496" i="17"/>
  <c r="C2496" i="17"/>
  <c r="B2496" i="17"/>
  <c r="I2495" i="17"/>
  <c r="C2495" i="17"/>
  <c r="B2495" i="17"/>
  <c r="I2494" i="17"/>
  <c r="C2494" i="17"/>
  <c r="B2494" i="17"/>
  <c r="I2493" i="17"/>
  <c r="C2493" i="17"/>
  <c r="B2493" i="17"/>
  <c r="I2492" i="17"/>
  <c r="C2492" i="17"/>
  <c r="B2492" i="17"/>
  <c r="I2491" i="17"/>
  <c r="C2491" i="17"/>
  <c r="B2491" i="17"/>
  <c r="I2490" i="17"/>
  <c r="C2490" i="17"/>
  <c r="B2490" i="17"/>
  <c r="I2489" i="17"/>
  <c r="C2489" i="17"/>
  <c r="B2489" i="17"/>
  <c r="I2488" i="17"/>
  <c r="C2488" i="17"/>
  <c r="B2488" i="17"/>
  <c r="I2487" i="17"/>
  <c r="C2487" i="17"/>
  <c r="B2487" i="17"/>
  <c r="I2486" i="17"/>
  <c r="C2486" i="17"/>
  <c r="B2486" i="17"/>
  <c r="I2485" i="17"/>
  <c r="C2485" i="17"/>
  <c r="B2485" i="17"/>
  <c r="I2484" i="17"/>
  <c r="C2484" i="17"/>
  <c r="B2484" i="17"/>
  <c r="I2483" i="17"/>
  <c r="C2483" i="17"/>
  <c r="B2483" i="17"/>
  <c r="I2482" i="17"/>
  <c r="C2482" i="17"/>
  <c r="B2482" i="17"/>
  <c r="I2481" i="17"/>
  <c r="C2481" i="17"/>
  <c r="B2481" i="17"/>
  <c r="I2480" i="17"/>
  <c r="C2480" i="17"/>
  <c r="B2480" i="17"/>
  <c r="I2479" i="17"/>
  <c r="C2479" i="17"/>
  <c r="B2479" i="17"/>
  <c r="I2478" i="17"/>
  <c r="C2478" i="17"/>
  <c r="B2478" i="17"/>
  <c r="I2477" i="17"/>
  <c r="C2477" i="17"/>
  <c r="B2477" i="17"/>
  <c r="I2476" i="17"/>
  <c r="C2476" i="17"/>
  <c r="B2476" i="17"/>
  <c r="I2475" i="17"/>
  <c r="C2475" i="17"/>
  <c r="B2475" i="17"/>
  <c r="I2474" i="17"/>
  <c r="C2474" i="17"/>
  <c r="B2474" i="17"/>
  <c r="I2473" i="17"/>
  <c r="C2473" i="17"/>
  <c r="B2473" i="17"/>
  <c r="I2472" i="17"/>
  <c r="C2472" i="17"/>
  <c r="B2472" i="17"/>
  <c r="I2471" i="17"/>
  <c r="C2471" i="17"/>
  <c r="B2471" i="17"/>
  <c r="I2470" i="17"/>
  <c r="C2470" i="17"/>
  <c r="B2470" i="17"/>
  <c r="I2469" i="17"/>
  <c r="C2469" i="17"/>
  <c r="B2469" i="17"/>
  <c r="I2468" i="17"/>
  <c r="C2468" i="17"/>
  <c r="B2468" i="17"/>
  <c r="I2467" i="17"/>
  <c r="C2467" i="17"/>
  <c r="B2467" i="17"/>
  <c r="I2466" i="17"/>
  <c r="C2466" i="17"/>
  <c r="B2466" i="17"/>
  <c r="I2465" i="17"/>
  <c r="C2465" i="17"/>
  <c r="B2465" i="17"/>
  <c r="I2464" i="17"/>
  <c r="C2464" i="17"/>
  <c r="B2464" i="17"/>
  <c r="I2463" i="17"/>
  <c r="C2463" i="17"/>
  <c r="B2463" i="17"/>
  <c r="I2462" i="17"/>
  <c r="C2462" i="17"/>
  <c r="B2462" i="17"/>
  <c r="I2461" i="17"/>
  <c r="C2461" i="17"/>
  <c r="B2461" i="17"/>
  <c r="I2460" i="17"/>
  <c r="C2460" i="17"/>
  <c r="B2460" i="17"/>
  <c r="I2459" i="17"/>
  <c r="C2459" i="17"/>
  <c r="B2459" i="17"/>
  <c r="I2458" i="17"/>
  <c r="C2458" i="17"/>
  <c r="B2458" i="17"/>
  <c r="I2457" i="17"/>
  <c r="C2457" i="17"/>
  <c r="B2457" i="17"/>
  <c r="I2456" i="17"/>
  <c r="C2456" i="17"/>
  <c r="B2456" i="17"/>
  <c r="I2455" i="17"/>
  <c r="C2455" i="17"/>
  <c r="B2455" i="17"/>
  <c r="I2454" i="17"/>
  <c r="C2454" i="17"/>
  <c r="B2454" i="17"/>
  <c r="I2453" i="17"/>
  <c r="C2453" i="17"/>
  <c r="B2453" i="17"/>
  <c r="I2452" i="17"/>
  <c r="C2452" i="17"/>
  <c r="B2452" i="17"/>
  <c r="I2451" i="17"/>
  <c r="C2451" i="17"/>
  <c r="B2451" i="17"/>
  <c r="I2450" i="17"/>
  <c r="C2450" i="17"/>
  <c r="B2450" i="17"/>
  <c r="I2449" i="17"/>
  <c r="C2449" i="17"/>
  <c r="B2449" i="17"/>
  <c r="I2448" i="17"/>
  <c r="C2448" i="17"/>
  <c r="B2448" i="17"/>
  <c r="I2447" i="17"/>
  <c r="C2447" i="17"/>
  <c r="B2447" i="17"/>
  <c r="I2446" i="17"/>
  <c r="C2446" i="17"/>
  <c r="B2446" i="17"/>
  <c r="I2445" i="17"/>
  <c r="C2445" i="17"/>
  <c r="B2445" i="17"/>
  <c r="I2444" i="17"/>
  <c r="C2444" i="17"/>
  <c r="B2444" i="17"/>
  <c r="I2443" i="17"/>
  <c r="C2443" i="17"/>
  <c r="B2443" i="17"/>
  <c r="I2442" i="17"/>
  <c r="C2442" i="17"/>
  <c r="B2442" i="17"/>
  <c r="I2441" i="17"/>
  <c r="C2441" i="17"/>
  <c r="B2441" i="17"/>
  <c r="I2440" i="17"/>
  <c r="C2440" i="17"/>
  <c r="B2440" i="17"/>
  <c r="I2439" i="17"/>
  <c r="C2439" i="17"/>
  <c r="B2439" i="17"/>
  <c r="I2438" i="17"/>
  <c r="C2438" i="17"/>
  <c r="B2438" i="17"/>
  <c r="I2437" i="17"/>
  <c r="C2437" i="17"/>
  <c r="B2437" i="17"/>
  <c r="I2436" i="17"/>
  <c r="C2436" i="17"/>
  <c r="B2436" i="17"/>
  <c r="I2435" i="17"/>
  <c r="C2435" i="17"/>
  <c r="B2435" i="17"/>
  <c r="I2434" i="17"/>
  <c r="C2434" i="17"/>
  <c r="B2434" i="17"/>
  <c r="I2433" i="17"/>
  <c r="C2433" i="17"/>
  <c r="B2433" i="17"/>
  <c r="I2432" i="17"/>
  <c r="C2432" i="17"/>
  <c r="B2432" i="17"/>
  <c r="I2431" i="17"/>
  <c r="C2431" i="17"/>
  <c r="B2431" i="17"/>
  <c r="I2430" i="17"/>
  <c r="C2430" i="17"/>
  <c r="B2430" i="17"/>
  <c r="I2429" i="17"/>
  <c r="C2429" i="17"/>
  <c r="B2429" i="17"/>
  <c r="I2428" i="17"/>
  <c r="C2428" i="17"/>
  <c r="B2428" i="17"/>
  <c r="I2427" i="17"/>
  <c r="C2427" i="17"/>
  <c r="B2427" i="17"/>
  <c r="I2426" i="17"/>
  <c r="C2426" i="17"/>
  <c r="B2426" i="17"/>
  <c r="I2425" i="17"/>
  <c r="C2425" i="17"/>
  <c r="B2425" i="17"/>
  <c r="I2424" i="17"/>
  <c r="C2424" i="17"/>
  <c r="B2424" i="17"/>
  <c r="I2423" i="17"/>
  <c r="C2423" i="17"/>
  <c r="B2423" i="17"/>
  <c r="I2422" i="17"/>
  <c r="C2422" i="17"/>
  <c r="B2422" i="17"/>
  <c r="I2421" i="17"/>
  <c r="C2421" i="17"/>
  <c r="B2421" i="17"/>
  <c r="I2420" i="17"/>
  <c r="C2420" i="17"/>
  <c r="B2420" i="17"/>
  <c r="I2419" i="17"/>
  <c r="C2419" i="17"/>
  <c r="B2419" i="17"/>
  <c r="I2418" i="17"/>
  <c r="C2418" i="17"/>
  <c r="B2418" i="17"/>
  <c r="I2417" i="17"/>
  <c r="C2417" i="17"/>
  <c r="B2417" i="17"/>
  <c r="I2416" i="17"/>
  <c r="C2416" i="17"/>
  <c r="B2416" i="17"/>
  <c r="I2415" i="17"/>
  <c r="C2415" i="17"/>
  <c r="B2415" i="17"/>
  <c r="I2414" i="17"/>
  <c r="C2414" i="17"/>
  <c r="B2414" i="17"/>
  <c r="I2413" i="17"/>
  <c r="C2413" i="17"/>
  <c r="B2413" i="17"/>
  <c r="I2412" i="17"/>
  <c r="C2412" i="17"/>
  <c r="B2412" i="17"/>
  <c r="I2411" i="17"/>
  <c r="C2411" i="17"/>
  <c r="B2411" i="17"/>
  <c r="I2410" i="17"/>
  <c r="C2410" i="17"/>
  <c r="B2410" i="17"/>
  <c r="I2409" i="17"/>
  <c r="C2409" i="17"/>
  <c r="B2409" i="17"/>
  <c r="I2408" i="17"/>
  <c r="C2408" i="17"/>
  <c r="B2408" i="17"/>
  <c r="I2407" i="17"/>
  <c r="C2407" i="17"/>
  <c r="B2407" i="17"/>
  <c r="I2406" i="17"/>
  <c r="C2406" i="17"/>
  <c r="B2406" i="17"/>
  <c r="I2405" i="17"/>
  <c r="C2405" i="17"/>
  <c r="B2405" i="17"/>
  <c r="I2404" i="17"/>
  <c r="C2404" i="17"/>
  <c r="B2404" i="17"/>
  <c r="I2403" i="17"/>
  <c r="C2403" i="17"/>
  <c r="B2403" i="17"/>
  <c r="I2402" i="17"/>
  <c r="C2402" i="17"/>
  <c r="B2402" i="17"/>
  <c r="I2401" i="17"/>
  <c r="C2401" i="17"/>
  <c r="B2401" i="17"/>
  <c r="I2400" i="17"/>
  <c r="C2400" i="17"/>
  <c r="B2400" i="17"/>
  <c r="I2399" i="17"/>
  <c r="C2399" i="17"/>
  <c r="B2399" i="17"/>
  <c r="I2398" i="17"/>
  <c r="C2398" i="17"/>
  <c r="B2398" i="17"/>
  <c r="I2397" i="17"/>
  <c r="C2397" i="17"/>
  <c r="B2397" i="17"/>
  <c r="I2396" i="17"/>
  <c r="C2396" i="17"/>
  <c r="B2396" i="17"/>
  <c r="I2395" i="17"/>
  <c r="C2395" i="17"/>
  <c r="B2395" i="17"/>
  <c r="I2394" i="17"/>
  <c r="C2394" i="17"/>
  <c r="B2394" i="17"/>
  <c r="I2393" i="17"/>
  <c r="C2393" i="17"/>
  <c r="B2393" i="17"/>
  <c r="I2392" i="17"/>
  <c r="C2392" i="17"/>
  <c r="B2392" i="17"/>
  <c r="I2391" i="17"/>
  <c r="C2391" i="17"/>
  <c r="B2391" i="17"/>
  <c r="I2390" i="17"/>
  <c r="C2390" i="17"/>
  <c r="B2390" i="17"/>
  <c r="I2389" i="17"/>
  <c r="C2389" i="17"/>
  <c r="B2389" i="17"/>
  <c r="I2388" i="17"/>
  <c r="C2388" i="17"/>
  <c r="B2388" i="17"/>
  <c r="I2387" i="17"/>
  <c r="C2387" i="17"/>
  <c r="B2387" i="17"/>
  <c r="I2386" i="17"/>
  <c r="C2386" i="17"/>
  <c r="B2386" i="17"/>
  <c r="I2385" i="17"/>
  <c r="C2385" i="17"/>
  <c r="B2385" i="17"/>
  <c r="I2384" i="17"/>
  <c r="C2384" i="17"/>
  <c r="B2384" i="17"/>
  <c r="I2383" i="17"/>
  <c r="C2383" i="17"/>
  <c r="B2383" i="17"/>
  <c r="I2382" i="17"/>
  <c r="C2382" i="17"/>
  <c r="B2382" i="17"/>
  <c r="I2381" i="17"/>
  <c r="C2381" i="17"/>
  <c r="B2381" i="17"/>
  <c r="I2380" i="17"/>
  <c r="C2380" i="17"/>
  <c r="B2380" i="17"/>
  <c r="I2379" i="17"/>
  <c r="C2379" i="17"/>
  <c r="B2379" i="17"/>
  <c r="I2378" i="17"/>
  <c r="C2378" i="17"/>
  <c r="B2378" i="17"/>
  <c r="I2377" i="17"/>
  <c r="C2377" i="17"/>
  <c r="B2377" i="17"/>
  <c r="I2376" i="17"/>
  <c r="C2376" i="17"/>
  <c r="B2376" i="17"/>
  <c r="I2375" i="17"/>
  <c r="C2375" i="17"/>
  <c r="B2375" i="17"/>
  <c r="I2374" i="17"/>
  <c r="C2374" i="17"/>
  <c r="B2374" i="17"/>
  <c r="I2373" i="17"/>
  <c r="C2373" i="17"/>
  <c r="B2373" i="17"/>
  <c r="I2372" i="17"/>
  <c r="C2372" i="17"/>
  <c r="B2372" i="17"/>
  <c r="I2371" i="17"/>
  <c r="C2371" i="17"/>
  <c r="B2371" i="17"/>
  <c r="I2370" i="17"/>
  <c r="C2370" i="17"/>
  <c r="B2370" i="17"/>
  <c r="I2369" i="17"/>
  <c r="C2369" i="17"/>
  <c r="B2369" i="17"/>
  <c r="I2368" i="17"/>
  <c r="C2368" i="17"/>
  <c r="B2368" i="17"/>
  <c r="I2367" i="17"/>
  <c r="C2367" i="17"/>
  <c r="B2367" i="17"/>
  <c r="I2366" i="17"/>
  <c r="C2366" i="17"/>
  <c r="B2366" i="17"/>
  <c r="I2365" i="17"/>
  <c r="C2365" i="17"/>
  <c r="B2365" i="17"/>
  <c r="I2364" i="17"/>
  <c r="C2364" i="17"/>
  <c r="B2364" i="17"/>
  <c r="I2363" i="17"/>
  <c r="C2363" i="17"/>
  <c r="B2363" i="17"/>
  <c r="I2362" i="17"/>
  <c r="C2362" i="17"/>
  <c r="B2362" i="17"/>
  <c r="I2361" i="17"/>
  <c r="C2361" i="17"/>
  <c r="B2361" i="17"/>
  <c r="I2360" i="17"/>
  <c r="C2360" i="17"/>
  <c r="B2360" i="17"/>
  <c r="I2359" i="17"/>
  <c r="C2359" i="17"/>
  <c r="B2359" i="17"/>
  <c r="I2358" i="17"/>
  <c r="C2358" i="17"/>
  <c r="B2358" i="17"/>
  <c r="I2357" i="17"/>
  <c r="C2357" i="17"/>
  <c r="B2357" i="17"/>
  <c r="I2356" i="17"/>
  <c r="C2356" i="17"/>
  <c r="B2356" i="17"/>
  <c r="I2355" i="17"/>
  <c r="C2355" i="17"/>
  <c r="B2355" i="17"/>
  <c r="I2354" i="17"/>
  <c r="C2354" i="17"/>
  <c r="B2354" i="17"/>
  <c r="I2353" i="17"/>
  <c r="C2353" i="17"/>
  <c r="B2353" i="17"/>
  <c r="I2352" i="17"/>
  <c r="C2352" i="17"/>
  <c r="B2352" i="17"/>
  <c r="I2351" i="17"/>
  <c r="C2351" i="17"/>
  <c r="B2351" i="17"/>
  <c r="I2350" i="17"/>
  <c r="C2350" i="17"/>
  <c r="B2350" i="17"/>
  <c r="I2349" i="17"/>
  <c r="C2349" i="17"/>
  <c r="B2349" i="17"/>
  <c r="I2348" i="17"/>
  <c r="C2348" i="17"/>
  <c r="B2348" i="17"/>
  <c r="I2347" i="17"/>
  <c r="C2347" i="17"/>
  <c r="B2347" i="17"/>
  <c r="I2346" i="17"/>
  <c r="C2346" i="17"/>
  <c r="B2346" i="17"/>
  <c r="I2345" i="17"/>
  <c r="C2345" i="17"/>
  <c r="B2345" i="17"/>
  <c r="I2344" i="17"/>
  <c r="C2344" i="17"/>
  <c r="B2344" i="17"/>
  <c r="I2343" i="17"/>
  <c r="C2343" i="17"/>
  <c r="B2343" i="17"/>
  <c r="I2342" i="17"/>
  <c r="C2342" i="17"/>
  <c r="B2342" i="17"/>
  <c r="I2341" i="17"/>
  <c r="C2341" i="17"/>
  <c r="B2341" i="17"/>
  <c r="I2340" i="17"/>
  <c r="C2340" i="17"/>
  <c r="B2340" i="17"/>
  <c r="I2339" i="17"/>
  <c r="C2339" i="17"/>
  <c r="B2339" i="17"/>
  <c r="I2338" i="17"/>
  <c r="C2338" i="17"/>
  <c r="B2338" i="17"/>
  <c r="I2337" i="17"/>
  <c r="C2337" i="17"/>
  <c r="B2337" i="17"/>
  <c r="I2336" i="17"/>
  <c r="C2336" i="17"/>
  <c r="B2336" i="17"/>
  <c r="I2335" i="17"/>
  <c r="C2335" i="17"/>
  <c r="B2335" i="17"/>
  <c r="I2334" i="17"/>
  <c r="C2334" i="17"/>
  <c r="B2334" i="17"/>
  <c r="I2333" i="17"/>
  <c r="C2333" i="17"/>
  <c r="B2333" i="17"/>
  <c r="I2332" i="17"/>
  <c r="C2332" i="17"/>
  <c r="B2332" i="17"/>
  <c r="I2331" i="17"/>
  <c r="C2331" i="17"/>
  <c r="B2331" i="17"/>
  <c r="I2330" i="17"/>
  <c r="C2330" i="17"/>
  <c r="B2330" i="17"/>
  <c r="I2329" i="17"/>
  <c r="C2329" i="17"/>
  <c r="B2329" i="17"/>
  <c r="I2328" i="17"/>
  <c r="C2328" i="17"/>
  <c r="B2328" i="17"/>
  <c r="I2327" i="17"/>
  <c r="C2327" i="17"/>
  <c r="B2327" i="17"/>
  <c r="I2326" i="17"/>
  <c r="C2326" i="17"/>
  <c r="B2326" i="17"/>
  <c r="I2325" i="17"/>
  <c r="C2325" i="17"/>
  <c r="B2325" i="17"/>
  <c r="I2324" i="17"/>
  <c r="C2324" i="17"/>
  <c r="B2324" i="17"/>
  <c r="I2323" i="17"/>
  <c r="C2323" i="17"/>
  <c r="B2323" i="17"/>
  <c r="I2322" i="17"/>
  <c r="C2322" i="17"/>
  <c r="B2322" i="17"/>
  <c r="I2321" i="17"/>
  <c r="C2321" i="17"/>
  <c r="B2321" i="17"/>
  <c r="I2320" i="17"/>
  <c r="C2320" i="17"/>
  <c r="B2320" i="17"/>
  <c r="I2319" i="17"/>
  <c r="C2319" i="17"/>
  <c r="B2319" i="17"/>
  <c r="I2318" i="17"/>
  <c r="C2318" i="17"/>
  <c r="B2318" i="17"/>
  <c r="I2317" i="17"/>
  <c r="C2317" i="17"/>
  <c r="B2317" i="17"/>
  <c r="I2316" i="17"/>
  <c r="C2316" i="17"/>
  <c r="B2316" i="17"/>
  <c r="I2315" i="17"/>
  <c r="C2315" i="17"/>
  <c r="B2315" i="17"/>
  <c r="I2314" i="17"/>
  <c r="C2314" i="17"/>
  <c r="B2314" i="17"/>
  <c r="I2313" i="17"/>
  <c r="C2313" i="17"/>
  <c r="B2313" i="17"/>
  <c r="I2312" i="17"/>
  <c r="C2312" i="17"/>
  <c r="B2312" i="17"/>
  <c r="I2311" i="17"/>
  <c r="C2311" i="17"/>
  <c r="B2311" i="17"/>
  <c r="I2310" i="17"/>
  <c r="C2310" i="17"/>
  <c r="B2310" i="17"/>
  <c r="I2309" i="17"/>
  <c r="C2309" i="17"/>
  <c r="B2309" i="17"/>
  <c r="I2308" i="17"/>
  <c r="C2308" i="17"/>
  <c r="B2308" i="17"/>
  <c r="I2307" i="17"/>
  <c r="C2307" i="17"/>
  <c r="B2307" i="17"/>
  <c r="I2306" i="17"/>
  <c r="C2306" i="17"/>
  <c r="B2306" i="17"/>
  <c r="I2305" i="17"/>
  <c r="C2305" i="17"/>
  <c r="B2305" i="17"/>
  <c r="I2304" i="17"/>
  <c r="C2304" i="17"/>
  <c r="B2304" i="17"/>
  <c r="I2303" i="17"/>
  <c r="C2303" i="17"/>
  <c r="B2303" i="17"/>
  <c r="I2302" i="17"/>
  <c r="C2302" i="17"/>
  <c r="B2302" i="17"/>
  <c r="I2301" i="17"/>
  <c r="C2301" i="17"/>
  <c r="B2301" i="17"/>
  <c r="I2300" i="17"/>
  <c r="C2300" i="17"/>
  <c r="B2300" i="17"/>
  <c r="I2299" i="17"/>
  <c r="C2299" i="17"/>
  <c r="B2299" i="17"/>
  <c r="I2298" i="17"/>
  <c r="C2298" i="17"/>
  <c r="B2298" i="17"/>
  <c r="I2297" i="17"/>
  <c r="C2297" i="17"/>
  <c r="B2297" i="17"/>
  <c r="I2296" i="17"/>
  <c r="C2296" i="17"/>
  <c r="B2296" i="17"/>
  <c r="I2295" i="17"/>
  <c r="C2295" i="17"/>
  <c r="B2295" i="17"/>
  <c r="I2294" i="17"/>
  <c r="C2294" i="17"/>
  <c r="B2294" i="17"/>
  <c r="I2293" i="17"/>
  <c r="C2293" i="17"/>
  <c r="B2293" i="17"/>
  <c r="I2292" i="17"/>
  <c r="C2292" i="17"/>
  <c r="B2292" i="17"/>
  <c r="I2291" i="17"/>
  <c r="C2291" i="17"/>
  <c r="B2291" i="17"/>
  <c r="I2290" i="17"/>
  <c r="C2290" i="17"/>
  <c r="B2290" i="17"/>
  <c r="I2289" i="17"/>
  <c r="C2289" i="17"/>
  <c r="B2289" i="17"/>
  <c r="I2288" i="17"/>
  <c r="C2288" i="17"/>
  <c r="B2288" i="17"/>
  <c r="I2287" i="17"/>
  <c r="C2287" i="17"/>
  <c r="B2287" i="17"/>
  <c r="I2286" i="17"/>
  <c r="C2286" i="17"/>
  <c r="B2286" i="17"/>
  <c r="I2285" i="17"/>
  <c r="C2285" i="17"/>
  <c r="B2285" i="17"/>
  <c r="I2284" i="17"/>
  <c r="C2284" i="17"/>
  <c r="B2284" i="17"/>
  <c r="I2283" i="17"/>
  <c r="C2283" i="17"/>
  <c r="B2283" i="17"/>
  <c r="I2282" i="17"/>
  <c r="C2282" i="17"/>
  <c r="B2282" i="17"/>
  <c r="I2281" i="17"/>
  <c r="C2281" i="17"/>
  <c r="B2281" i="17"/>
  <c r="I2280" i="17"/>
  <c r="C2280" i="17"/>
  <c r="B2280" i="17"/>
  <c r="I2279" i="17"/>
  <c r="C2279" i="17"/>
  <c r="B2279" i="17"/>
  <c r="I2278" i="17"/>
  <c r="C2278" i="17"/>
  <c r="B2278" i="17"/>
  <c r="I2277" i="17"/>
  <c r="C2277" i="17"/>
  <c r="B2277" i="17"/>
  <c r="I2276" i="17"/>
  <c r="C2276" i="17"/>
  <c r="B2276" i="17"/>
  <c r="I2275" i="17"/>
  <c r="C2275" i="17"/>
  <c r="B2275" i="17"/>
  <c r="I2274" i="17"/>
  <c r="C2274" i="17"/>
  <c r="B2274" i="17"/>
  <c r="I2273" i="17"/>
  <c r="C2273" i="17"/>
  <c r="B2273" i="17"/>
  <c r="I2272" i="17"/>
  <c r="C2272" i="17"/>
  <c r="B2272" i="17"/>
  <c r="I2271" i="17"/>
  <c r="C2271" i="17"/>
  <c r="B2271" i="17"/>
  <c r="I2270" i="17"/>
  <c r="C2270" i="17"/>
  <c r="B2270" i="17"/>
  <c r="I2269" i="17"/>
  <c r="C2269" i="17"/>
  <c r="B2269" i="17"/>
  <c r="I2268" i="17"/>
  <c r="C2268" i="17"/>
  <c r="B2268" i="17"/>
  <c r="I2267" i="17"/>
  <c r="C2267" i="17"/>
  <c r="B2267" i="17"/>
  <c r="I2266" i="17"/>
  <c r="C2266" i="17"/>
  <c r="B2266" i="17"/>
  <c r="I2265" i="17"/>
  <c r="C2265" i="17"/>
  <c r="B2265" i="17"/>
  <c r="I2264" i="17"/>
  <c r="C2264" i="17"/>
  <c r="B2264" i="17"/>
  <c r="I2263" i="17"/>
  <c r="C2263" i="17"/>
  <c r="B2263" i="17"/>
  <c r="I2262" i="17"/>
  <c r="C2262" i="17"/>
  <c r="B2262" i="17"/>
  <c r="I2261" i="17"/>
  <c r="C2261" i="17"/>
  <c r="B2261" i="17"/>
  <c r="I2260" i="17"/>
  <c r="C2260" i="17"/>
  <c r="B2260" i="17"/>
  <c r="I2259" i="17"/>
  <c r="C2259" i="17"/>
  <c r="B2259" i="17"/>
  <c r="I2258" i="17"/>
  <c r="C2258" i="17"/>
  <c r="B2258" i="17"/>
  <c r="I2257" i="17"/>
  <c r="C2257" i="17"/>
  <c r="B2257" i="17"/>
  <c r="I2256" i="17"/>
  <c r="C2256" i="17"/>
  <c r="B2256" i="17"/>
  <c r="I2255" i="17"/>
  <c r="C2255" i="17"/>
  <c r="B2255" i="17"/>
  <c r="I2254" i="17"/>
  <c r="C2254" i="17"/>
  <c r="B2254" i="17"/>
  <c r="I2253" i="17"/>
  <c r="C2253" i="17"/>
  <c r="B2253" i="17"/>
  <c r="I2252" i="17"/>
  <c r="C2252" i="17"/>
  <c r="B2252" i="17"/>
  <c r="I2251" i="17"/>
  <c r="C2251" i="17"/>
  <c r="B2251" i="17"/>
  <c r="I2250" i="17"/>
  <c r="C2250" i="17"/>
  <c r="B2250" i="17"/>
  <c r="I2249" i="17"/>
  <c r="C2249" i="17"/>
  <c r="B2249" i="17"/>
  <c r="I2248" i="17"/>
  <c r="C2248" i="17"/>
  <c r="B2248" i="17"/>
  <c r="I2247" i="17"/>
  <c r="C2247" i="17"/>
  <c r="B2247" i="17"/>
  <c r="I2246" i="17"/>
  <c r="C2246" i="17"/>
  <c r="B2246" i="17"/>
  <c r="I2245" i="17"/>
  <c r="C2245" i="17"/>
  <c r="B2245" i="17"/>
  <c r="I2244" i="17"/>
  <c r="C2244" i="17"/>
  <c r="B2244" i="17"/>
  <c r="I2243" i="17"/>
  <c r="C2243" i="17"/>
  <c r="B2243" i="17"/>
  <c r="I2242" i="17"/>
  <c r="C2242" i="17"/>
  <c r="B2242" i="17"/>
  <c r="I2241" i="17"/>
  <c r="C2241" i="17"/>
  <c r="B2241" i="17"/>
  <c r="I2240" i="17"/>
  <c r="C2240" i="17"/>
  <c r="B2240" i="17"/>
  <c r="I2239" i="17"/>
  <c r="C2239" i="17"/>
  <c r="B2239" i="17"/>
  <c r="I2238" i="17"/>
  <c r="C2238" i="17"/>
  <c r="B2238" i="17"/>
  <c r="I2237" i="17"/>
  <c r="C2237" i="17"/>
  <c r="B2237" i="17"/>
  <c r="I2236" i="17"/>
  <c r="C2236" i="17"/>
  <c r="B2236" i="17"/>
  <c r="I2235" i="17"/>
  <c r="C2235" i="17"/>
  <c r="B2235" i="17"/>
  <c r="I2234" i="17"/>
  <c r="C2234" i="17"/>
  <c r="B2234" i="17"/>
  <c r="I2233" i="17"/>
  <c r="C2233" i="17"/>
  <c r="B2233" i="17"/>
  <c r="I2232" i="17"/>
  <c r="C2232" i="17"/>
  <c r="B2232" i="17"/>
  <c r="I2231" i="17"/>
  <c r="C2231" i="17"/>
  <c r="B2231" i="17"/>
  <c r="I2230" i="17"/>
  <c r="C2230" i="17"/>
  <c r="B2230" i="17"/>
  <c r="I2229" i="17"/>
  <c r="C2229" i="17"/>
  <c r="B2229" i="17"/>
  <c r="I2228" i="17"/>
  <c r="C2228" i="17"/>
  <c r="B2228" i="17"/>
  <c r="I2227" i="17"/>
  <c r="C2227" i="17"/>
  <c r="B2227" i="17"/>
  <c r="I2226" i="17"/>
  <c r="C2226" i="17"/>
  <c r="B2226" i="17"/>
  <c r="I2225" i="17"/>
  <c r="C2225" i="17"/>
  <c r="B2225" i="17"/>
  <c r="I2224" i="17"/>
  <c r="C2224" i="17"/>
  <c r="B2224" i="17"/>
  <c r="I2223" i="17"/>
  <c r="C2223" i="17"/>
  <c r="B2223" i="17"/>
  <c r="I2222" i="17"/>
  <c r="C2222" i="17"/>
  <c r="B2222" i="17"/>
  <c r="I2221" i="17"/>
  <c r="C2221" i="17"/>
  <c r="B2221" i="17"/>
  <c r="I2220" i="17"/>
  <c r="C2220" i="17"/>
  <c r="B2220" i="17"/>
  <c r="I2219" i="17"/>
  <c r="C2219" i="17"/>
  <c r="B2219" i="17"/>
  <c r="I2218" i="17"/>
  <c r="C2218" i="17"/>
  <c r="B2218" i="17"/>
  <c r="I2217" i="17"/>
  <c r="C2217" i="17"/>
  <c r="B2217" i="17"/>
  <c r="I2216" i="17"/>
  <c r="C2216" i="17"/>
  <c r="B2216" i="17"/>
  <c r="I2215" i="17"/>
  <c r="C2215" i="17"/>
  <c r="B2215" i="17"/>
  <c r="I2214" i="17"/>
  <c r="C2214" i="17"/>
  <c r="B2214" i="17"/>
  <c r="I2213" i="17"/>
  <c r="C2213" i="17"/>
  <c r="B2213" i="17"/>
  <c r="I2212" i="17"/>
  <c r="C2212" i="17"/>
  <c r="B2212" i="17"/>
  <c r="I2211" i="17"/>
  <c r="C2211" i="17"/>
  <c r="B2211" i="17"/>
  <c r="I2210" i="17"/>
  <c r="C2210" i="17"/>
  <c r="B2210" i="17"/>
  <c r="I2209" i="17"/>
  <c r="C2209" i="17"/>
  <c r="B2209" i="17"/>
  <c r="I2208" i="17"/>
  <c r="C2208" i="17"/>
  <c r="B2208" i="17"/>
  <c r="I2207" i="17"/>
  <c r="C2207" i="17"/>
  <c r="B2207" i="17"/>
  <c r="I2206" i="17"/>
  <c r="C2206" i="17"/>
  <c r="B2206" i="17"/>
  <c r="I2205" i="17"/>
  <c r="C2205" i="17"/>
  <c r="B2205" i="17"/>
  <c r="I2204" i="17"/>
  <c r="C2204" i="17"/>
  <c r="B2204" i="17"/>
  <c r="I2203" i="17"/>
  <c r="C2203" i="17"/>
  <c r="B2203" i="17"/>
  <c r="I2202" i="17"/>
  <c r="C2202" i="17"/>
  <c r="B2202" i="17"/>
  <c r="I2201" i="17"/>
  <c r="C2201" i="17"/>
  <c r="B2201" i="17"/>
  <c r="I2200" i="17"/>
  <c r="C2200" i="17"/>
  <c r="B2200" i="17"/>
  <c r="I2199" i="17"/>
  <c r="C2199" i="17"/>
  <c r="B2199" i="17"/>
  <c r="I2198" i="17"/>
  <c r="C2198" i="17"/>
  <c r="B2198" i="17"/>
  <c r="I2197" i="17"/>
  <c r="C2197" i="17"/>
  <c r="B2197" i="17"/>
  <c r="I2196" i="17"/>
  <c r="C2196" i="17"/>
  <c r="B2196" i="17"/>
  <c r="I2195" i="17"/>
  <c r="C2195" i="17"/>
  <c r="B2195" i="17"/>
  <c r="I2194" i="17"/>
  <c r="C2194" i="17"/>
  <c r="B2194" i="17"/>
  <c r="I2193" i="17"/>
  <c r="C2193" i="17"/>
  <c r="B2193" i="17"/>
  <c r="I2192" i="17"/>
  <c r="C2192" i="17"/>
  <c r="B2192" i="17"/>
  <c r="I2191" i="17"/>
  <c r="C2191" i="17"/>
  <c r="B2191" i="17"/>
  <c r="I2190" i="17"/>
  <c r="C2190" i="17"/>
  <c r="B2190" i="17"/>
  <c r="I2189" i="17"/>
  <c r="C2189" i="17"/>
  <c r="B2189" i="17"/>
  <c r="I2188" i="17"/>
  <c r="C2188" i="17"/>
  <c r="B2188" i="17"/>
  <c r="I2187" i="17"/>
  <c r="C2187" i="17"/>
  <c r="B2187" i="17"/>
  <c r="I2186" i="17"/>
  <c r="C2186" i="17"/>
  <c r="B2186" i="17"/>
  <c r="I2185" i="17"/>
  <c r="C2185" i="17"/>
  <c r="B2185" i="17"/>
  <c r="I2184" i="17"/>
  <c r="C2184" i="17"/>
  <c r="B2184" i="17"/>
  <c r="I2183" i="17"/>
  <c r="C2183" i="17"/>
  <c r="B2183" i="17"/>
  <c r="I2182" i="17"/>
  <c r="C2182" i="17"/>
  <c r="B2182" i="17"/>
  <c r="I2181" i="17"/>
  <c r="C2181" i="17"/>
  <c r="B2181" i="17"/>
  <c r="I2180" i="17"/>
  <c r="C2180" i="17"/>
  <c r="B2180" i="17"/>
  <c r="I2179" i="17"/>
  <c r="C2179" i="17"/>
  <c r="B2179" i="17"/>
  <c r="I2178" i="17"/>
  <c r="C2178" i="17"/>
  <c r="B2178" i="17"/>
  <c r="I2177" i="17"/>
  <c r="C2177" i="17"/>
  <c r="B2177" i="17"/>
  <c r="I2176" i="17"/>
  <c r="C2176" i="17"/>
  <c r="B2176" i="17"/>
  <c r="I2175" i="17"/>
  <c r="C2175" i="17"/>
  <c r="B2175" i="17"/>
  <c r="I2174" i="17"/>
  <c r="C2174" i="17"/>
  <c r="B2174" i="17"/>
  <c r="I2173" i="17"/>
  <c r="C2173" i="17"/>
  <c r="B2173" i="17"/>
  <c r="I2172" i="17"/>
  <c r="C2172" i="17"/>
  <c r="B2172" i="17"/>
  <c r="I2171" i="17"/>
  <c r="C2171" i="17"/>
  <c r="B2171" i="17"/>
  <c r="I2170" i="17"/>
  <c r="C2170" i="17"/>
  <c r="B2170" i="17"/>
  <c r="I2169" i="17"/>
  <c r="C2169" i="17"/>
  <c r="B2169" i="17"/>
  <c r="I2168" i="17"/>
  <c r="C2168" i="17"/>
  <c r="B2168" i="17"/>
  <c r="I2167" i="17"/>
  <c r="C2167" i="17"/>
  <c r="B2167" i="17"/>
  <c r="I2166" i="17"/>
  <c r="C2166" i="17"/>
  <c r="B2166" i="17"/>
  <c r="I2165" i="17"/>
  <c r="C2165" i="17"/>
  <c r="B2165" i="17"/>
  <c r="I2164" i="17"/>
  <c r="C2164" i="17"/>
  <c r="B2164" i="17"/>
  <c r="I2163" i="17"/>
  <c r="C2163" i="17"/>
  <c r="B2163" i="17"/>
  <c r="I2162" i="17"/>
  <c r="C2162" i="17"/>
  <c r="B2162" i="17"/>
  <c r="I2161" i="17"/>
  <c r="C2161" i="17"/>
  <c r="B2161" i="17"/>
  <c r="I2160" i="17"/>
  <c r="C2160" i="17"/>
  <c r="B2160" i="17"/>
  <c r="I2159" i="17"/>
  <c r="C2159" i="17"/>
  <c r="B2159" i="17"/>
  <c r="I2158" i="17"/>
  <c r="C2158" i="17"/>
  <c r="B2158" i="17"/>
  <c r="I2157" i="17"/>
  <c r="C2157" i="17"/>
  <c r="B2157" i="17"/>
  <c r="I2156" i="17"/>
  <c r="C2156" i="17"/>
  <c r="B2156" i="17"/>
  <c r="I2155" i="17"/>
  <c r="C2155" i="17"/>
  <c r="B2155" i="17"/>
  <c r="I2154" i="17"/>
  <c r="C2154" i="17"/>
  <c r="B2154" i="17"/>
  <c r="I2153" i="17"/>
  <c r="C2153" i="17"/>
  <c r="B2153" i="17"/>
  <c r="I2152" i="17"/>
  <c r="C2152" i="17"/>
  <c r="B2152" i="17"/>
  <c r="I2151" i="17"/>
  <c r="C2151" i="17"/>
  <c r="B2151" i="17"/>
  <c r="I2150" i="17"/>
  <c r="C2150" i="17"/>
  <c r="B2150" i="17"/>
  <c r="I2149" i="17"/>
  <c r="C2149" i="17"/>
  <c r="B2149" i="17"/>
  <c r="I2148" i="17"/>
  <c r="C2148" i="17"/>
  <c r="B2148" i="17"/>
  <c r="I2147" i="17"/>
  <c r="C2147" i="17"/>
  <c r="B2147" i="17"/>
  <c r="I2146" i="17"/>
  <c r="C2146" i="17"/>
  <c r="B2146" i="17"/>
  <c r="I2145" i="17"/>
  <c r="C2145" i="17"/>
  <c r="B2145" i="17"/>
  <c r="I2144" i="17"/>
  <c r="C2144" i="17"/>
  <c r="B2144" i="17"/>
  <c r="I2143" i="17"/>
  <c r="C2143" i="17"/>
  <c r="B2143" i="17"/>
  <c r="I2142" i="17"/>
  <c r="C2142" i="17"/>
  <c r="B2142" i="17"/>
  <c r="I2141" i="17"/>
  <c r="C2141" i="17"/>
  <c r="B2141" i="17"/>
  <c r="I2140" i="17"/>
  <c r="C2140" i="17"/>
  <c r="B2140" i="17"/>
  <c r="I2139" i="17"/>
  <c r="C2139" i="17"/>
  <c r="B2139" i="17"/>
  <c r="I2138" i="17"/>
  <c r="C2138" i="17"/>
  <c r="B2138" i="17"/>
  <c r="I2137" i="17"/>
  <c r="C2137" i="17"/>
  <c r="B2137" i="17"/>
  <c r="I2136" i="17"/>
  <c r="C2136" i="17"/>
  <c r="B2136" i="17"/>
  <c r="I2135" i="17"/>
  <c r="C2135" i="17"/>
  <c r="B2135" i="17"/>
  <c r="I2134" i="17"/>
  <c r="C2134" i="17"/>
  <c r="B2134" i="17"/>
  <c r="I2133" i="17"/>
  <c r="C2133" i="17"/>
  <c r="B2133" i="17"/>
  <c r="I2132" i="17"/>
  <c r="C2132" i="17"/>
  <c r="B2132" i="17"/>
  <c r="I2131" i="17"/>
  <c r="C2131" i="17"/>
  <c r="B2131" i="17"/>
  <c r="I2130" i="17"/>
  <c r="C2130" i="17"/>
  <c r="B2130" i="17"/>
  <c r="I2129" i="17"/>
  <c r="C2129" i="17"/>
  <c r="B2129" i="17"/>
  <c r="I2128" i="17"/>
  <c r="C2128" i="17"/>
  <c r="B2128" i="17"/>
  <c r="I2127" i="17"/>
  <c r="C2127" i="17"/>
  <c r="B2127" i="17"/>
  <c r="I2126" i="17"/>
  <c r="C2126" i="17"/>
  <c r="B2126" i="17"/>
  <c r="I2125" i="17"/>
  <c r="C2125" i="17"/>
  <c r="B2125" i="17"/>
  <c r="I2124" i="17"/>
  <c r="C2124" i="17"/>
  <c r="B2124" i="17"/>
  <c r="I2123" i="17"/>
  <c r="C2123" i="17"/>
  <c r="B2123" i="17"/>
  <c r="I2122" i="17"/>
  <c r="C2122" i="17"/>
  <c r="B2122" i="17"/>
  <c r="I2121" i="17"/>
  <c r="C2121" i="17"/>
  <c r="B2121" i="17"/>
  <c r="I2120" i="17"/>
  <c r="C2120" i="17"/>
  <c r="B2120" i="17"/>
  <c r="I2119" i="17"/>
  <c r="C2119" i="17"/>
  <c r="B2119" i="17"/>
  <c r="I2118" i="17"/>
  <c r="C2118" i="17"/>
  <c r="B2118" i="17"/>
  <c r="I2117" i="17"/>
  <c r="C2117" i="17"/>
  <c r="B2117" i="17"/>
  <c r="I2116" i="17"/>
  <c r="C2116" i="17"/>
  <c r="B2116" i="17"/>
  <c r="I2115" i="17"/>
  <c r="C2115" i="17"/>
  <c r="B2115" i="17"/>
  <c r="I2114" i="17"/>
  <c r="C2114" i="17"/>
  <c r="B2114" i="17"/>
  <c r="I2113" i="17"/>
  <c r="C2113" i="17"/>
  <c r="B2113" i="17"/>
  <c r="I2112" i="17"/>
  <c r="C2112" i="17"/>
  <c r="B2112" i="17"/>
  <c r="I2111" i="17"/>
  <c r="C2111" i="17"/>
  <c r="B2111" i="17"/>
  <c r="I2110" i="17"/>
  <c r="C2110" i="17"/>
  <c r="B2110" i="17"/>
  <c r="I2109" i="17"/>
  <c r="C2109" i="17"/>
  <c r="B2109" i="17"/>
  <c r="I2108" i="17"/>
  <c r="C2108" i="17"/>
  <c r="B2108" i="17"/>
  <c r="I2107" i="17"/>
  <c r="C2107" i="17"/>
  <c r="B2107" i="17"/>
  <c r="I2106" i="17"/>
  <c r="C2106" i="17"/>
  <c r="B2106" i="17"/>
  <c r="I2105" i="17"/>
  <c r="C2105" i="17"/>
  <c r="B2105" i="17"/>
  <c r="I2104" i="17"/>
  <c r="C2104" i="17"/>
  <c r="B2104" i="17"/>
  <c r="I2103" i="17"/>
  <c r="C2103" i="17"/>
  <c r="B2103" i="17"/>
  <c r="I2102" i="17"/>
  <c r="C2102" i="17"/>
  <c r="B2102" i="17"/>
  <c r="I2101" i="17"/>
  <c r="C2101" i="17"/>
  <c r="B2101" i="17"/>
  <c r="I2100" i="17"/>
  <c r="C2100" i="17"/>
  <c r="B2100" i="17"/>
  <c r="I2099" i="17"/>
  <c r="C2099" i="17"/>
  <c r="B2099" i="17"/>
  <c r="I2098" i="17"/>
  <c r="C2098" i="17"/>
  <c r="B2098" i="17"/>
  <c r="I2097" i="17"/>
  <c r="C2097" i="17"/>
  <c r="B2097" i="17"/>
  <c r="I2096" i="17"/>
  <c r="C2096" i="17"/>
  <c r="B2096" i="17"/>
  <c r="I2095" i="17"/>
  <c r="C2095" i="17"/>
  <c r="B2095" i="17"/>
  <c r="I2094" i="17"/>
  <c r="C2094" i="17"/>
  <c r="B2094" i="17"/>
  <c r="I2093" i="17"/>
  <c r="C2093" i="17"/>
  <c r="B2093" i="17"/>
  <c r="I2092" i="17"/>
  <c r="C2092" i="17"/>
  <c r="B2092" i="17"/>
  <c r="I2091" i="17"/>
  <c r="C2091" i="17"/>
  <c r="B2091" i="17"/>
  <c r="I2090" i="17"/>
  <c r="C2090" i="17"/>
  <c r="B2090" i="17"/>
  <c r="I2089" i="17"/>
  <c r="C2089" i="17"/>
  <c r="B2089" i="17"/>
  <c r="I2088" i="17"/>
  <c r="C2088" i="17"/>
  <c r="B2088" i="17"/>
  <c r="I2087" i="17"/>
  <c r="C2087" i="17"/>
  <c r="B2087" i="17"/>
  <c r="I2086" i="17"/>
  <c r="C2086" i="17"/>
  <c r="B2086" i="17"/>
  <c r="I2085" i="17"/>
  <c r="C2085" i="17"/>
  <c r="B2085" i="17"/>
  <c r="I2084" i="17"/>
  <c r="C2084" i="17"/>
  <c r="B2084" i="17"/>
  <c r="I2083" i="17"/>
  <c r="C2083" i="17"/>
  <c r="B2083" i="17"/>
  <c r="I2082" i="17"/>
  <c r="C2082" i="17"/>
  <c r="B2082" i="17"/>
  <c r="I2081" i="17"/>
  <c r="C2081" i="17"/>
  <c r="B2081" i="17"/>
  <c r="I2080" i="17"/>
  <c r="C2080" i="17"/>
  <c r="B2080" i="17"/>
  <c r="I2079" i="17"/>
  <c r="C2079" i="17"/>
  <c r="B2079" i="17"/>
  <c r="I2078" i="17"/>
  <c r="C2078" i="17"/>
  <c r="B2078" i="17"/>
  <c r="I2077" i="17"/>
  <c r="C2077" i="17"/>
  <c r="B2077" i="17"/>
  <c r="I2076" i="17"/>
  <c r="C2076" i="17"/>
  <c r="B2076" i="17"/>
  <c r="I2075" i="17"/>
  <c r="C2075" i="17"/>
  <c r="B2075" i="17"/>
  <c r="I2074" i="17"/>
  <c r="C2074" i="17"/>
  <c r="B2074" i="17"/>
  <c r="I2073" i="17"/>
  <c r="C2073" i="17"/>
  <c r="B2073" i="17"/>
  <c r="I2072" i="17"/>
  <c r="C2072" i="17"/>
  <c r="B2072" i="17"/>
  <c r="I2071" i="17"/>
  <c r="C2071" i="17"/>
  <c r="B2071" i="17"/>
  <c r="I2070" i="17"/>
  <c r="C2070" i="17"/>
  <c r="B2070" i="17"/>
  <c r="I2069" i="17"/>
  <c r="C2069" i="17"/>
  <c r="B2069" i="17"/>
  <c r="I2068" i="17"/>
  <c r="C2068" i="17"/>
  <c r="B2068" i="17"/>
  <c r="I2067" i="17"/>
  <c r="C2067" i="17"/>
  <c r="B2067" i="17"/>
  <c r="I2066" i="17"/>
  <c r="C2066" i="17"/>
  <c r="B2066" i="17"/>
  <c r="I2065" i="17"/>
  <c r="C2065" i="17"/>
  <c r="B2065" i="17"/>
  <c r="I2064" i="17"/>
  <c r="C2064" i="17"/>
  <c r="B2064" i="17"/>
  <c r="I2063" i="17"/>
  <c r="C2063" i="17"/>
  <c r="B2063" i="17"/>
  <c r="I2062" i="17"/>
  <c r="C2062" i="17"/>
  <c r="B2062" i="17"/>
  <c r="I2061" i="17"/>
  <c r="C2061" i="17"/>
  <c r="B2061" i="17"/>
  <c r="I2060" i="17"/>
  <c r="C2060" i="17"/>
  <c r="B2060" i="17"/>
  <c r="I2059" i="17"/>
  <c r="C2059" i="17"/>
  <c r="B2059" i="17"/>
  <c r="I2058" i="17"/>
  <c r="C2058" i="17"/>
  <c r="B2058" i="17"/>
  <c r="I2057" i="17"/>
  <c r="C2057" i="17"/>
  <c r="B2057" i="17"/>
  <c r="I2056" i="17"/>
  <c r="C2056" i="17"/>
  <c r="B2056" i="17"/>
  <c r="I2055" i="17"/>
  <c r="C2055" i="17"/>
  <c r="B2055" i="17"/>
  <c r="I2054" i="17"/>
  <c r="C2054" i="17"/>
  <c r="B2054" i="17"/>
  <c r="I2053" i="17"/>
  <c r="C2053" i="17"/>
  <c r="B2053" i="17"/>
  <c r="I2052" i="17"/>
  <c r="C2052" i="17"/>
  <c r="B2052" i="17"/>
  <c r="I2051" i="17"/>
  <c r="C2051" i="17"/>
  <c r="B2051" i="17"/>
  <c r="I2050" i="17"/>
  <c r="C2050" i="17"/>
  <c r="B2050" i="17"/>
  <c r="I2049" i="17"/>
  <c r="C2049" i="17"/>
  <c r="B2049" i="17"/>
  <c r="I2048" i="17"/>
  <c r="C2048" i="17"/>
  <c r="B2048" i="17"/>
  <c r="I2047" i="17"/>
  <c r="C2047" i="17"/>
  <c r="B2047" i="17"/>
  <c r="I2046" i="17"/>
  <c r="C2046" i="17"/>
  <c r="B2046" i="17"/>
  <c r="I2045" i="17"/>
  <c r="C2045" i="17"/>
  <c r="B2045" i="17"/>
  <c r="I2044" i="17"/>
  <c r="C2044" i="17"/>
  <c r="B2044" i="17"/>
  <c r="I2043" i="17"/>
  <c r="C2043" i="17"/>
  <c r="B2043" i="17"/>
  <c r="I2042" i="17"/>
  <c r="C2042" i="17"/>
  <c r="B2042" i="17"/>
  <c r="I2041" i="17"/>
  <c r="C2041" i="17"/>
  <c r="B2041" i="17"/>
  <c r="I2040" i="17"/>
  <c r="C2040" i="17"/>
  <c r="B2040" i="17"/>
  <c r="I2039" i="17"/>
  <c r="C2039" i="17"/>
  <c r="B2039" i="17"/>
  <c r="I2038" i="17"/>
  <c r="C2038" i="17"/>
  <c r="B2038" i="17"/>
  <c r="I2037" i="17"/>
  <c r="C2037" i="17"/>
  <c r="B2037" i="17"/>
  <c r="I2036" i="17"/>
  <c r="C2036" i="17"/>
  <c r="B2036" i="17"/>
  <c r="I2035" i="17"/>
  <c r="C2035" i="17"/>
  <c r="B2035" i="17"/>
  <c r="I2034" i="17"/>
  <c r="C2034" i="17"/>
  <c r="B2034" i="17"/>
  <c r="I2033" i="17"/>
  <c r="C2033" i="17"/>
  <c r="B2033" i="17"/>
  <c r="I2032" i="17"/>
  <c r="C2032" i="17"/>
  <c r="B2032" i="17"/>
  <c r="I2031" i="17"/>
  <c r="C2031" i="17"/>
  <c r="B2031" i="17"/>
  <c r="I2030" i="17"/>
  <c r="C2030" i="17"/>
  <c r="B2030" i="17"/>
  <c r="I2029" i="17"/>
  <c r="C2029" i="17"/>
  <c r="B2029" i="17"/>
  <c r="I2028" i="17"/>
  <c r="C2028" i="17"/>
  <c r="B2028" i="17"/>
  <c r="I2027" i="17"/>
  <c r="C2027" i="17"/>
  <c r="B2027" i="17"/>
  <c r="I2026" i="17"/>
  <c r="C2026" i="17"/>
  <c r="B2026" i="17"/>
  <c r="I2025" i="17"/>
  <c r="C2025" i="17"/>
  <c r="B2025" i="17"/>
  <c r="I2024" i="17"/>
  <c r="C2024" i="17"/>
  <c r="B2024" i="17"/>
  <c r="I2023" i="17"/>
  <c r="C2023" i="17"/>
  <c r="B2023" i="17"/>
  <c r="I2022" i="17"/>
  <c r="C2022" i="17"/>
  <c r="B2022" i="17"/>
  <c r="I2021" i="17"/>
  <c r="C2021" i="17"/>
  <c r="B2021" i="17"/>
  <c r="I2020" i="17"/>
  <c r="C2020" i="17"/>
  <c r="B2020" i="17"/>
  <c r="I2019" i="17"/>
  <c r="C2019" i="17"/>
  <c r="B2019" i="17"/>
  <c r="I2018" i="17"/>
  <c r="C2018" i="17"/>
  <c r="B2018" i="17"/>
  <c r="I2017" i="17"/>
  <c r="C2017" i="17"/>
  <c r="B2017" i="17"/>
  <c r="I2016" i="17"/>
  <c r="C2016" i="17"/>
  <c r="B2016" i="17"/>
  <c r="I2015" i="17"/>
  <c r="C2015" i="17"/>
  <c r="B2015" i="17"/>
  <c r="I2014" i="17"/>
  <c r="C2014" i="17"/>
  <c r="B2014" i="17"/>
  <c r="I2013" i="17"/>
  <c r="C2013" i="17"/>
  <c r="B2013" i="17"/>
  <c r="I2012" i="17"/>
  <c r="C2012" i="17"/>
  <c r="B2012" i="17"/>
  <c r="I2011" i="17"/>
  <c r="C2011" i="17"/>
  <c r="B2011" i="17"/>
  <c r="I2010" i="17"/>
  <c r="C2010" i="17"/>
  <c r="B2010" i="17"/>
  <c r="I2009" i="17"/>
  <c r="C2009" i="17"/>
  <c r="B2009" i="17"/>
  <c r="I2008" i="17"/>
  <c r="C2008" i="17"/>
  <c r="B2008" i="17"/>
  <c r="I2007" i="17"/>
  <c r="C2007" i="17"/>
  <c r="B2007" i="17"/>
  <c r="I2006" i="17"/>
  <c r="C2006" i="17"/>
  <c r="B2006" i="17"/>
  <c r="I2005" i="17"/>
  <c r="C2005" i="17"/>
  <c r="B2005" i="17"/>
  <c r="I2004" i="17"/>
  <c r="C2004" i="17"/>
  <c r="B2004" i="17"/>
  <c r="I2003" i="17"/>
  <c r="C2003" i="17"/>
  <c r="B2003" i="17"/>
  <c r="I2002" i="17"/>
  <c r="C2002" i="17"/>
  <c r="B2002" i="17"/>
  <c r="I2001" i="17"/>
  <c r="C2001" i="17"/>
  <c r="B2001" i="17"/>
  <c r="I2000" i="17"/>
  <c r="C2000" i="17"/>
  <c r="B2000" i="17"/>
  <c r="I1999" i="17"/>
  <c r="C1999" i="17"/>
  <c r="B1999" i="17"/>
  <c r="I1998" i="17"/>
  <c r="C1998" i="17"/>
  <c r="B1998" i="17"/>
  <c r="I1997" i="17"/>
  <c r="C1997" i="17"/>
  <c r="B1997" i="17"/>
  <c r="I1996" i="17"/>
  <c r="C1996" i="17"/>
  <c r="B1996" i="17"/>
  <c r="I1995" i="17"/>
  <c r="C1995" i="17"/>
  <c r="B1995" i="17"/>
  <c r="I1994" i="17"/>
  <c r="C1994" i="17"/>
  <c r="B1994" i="17"/>
  <c r="I1993" i="17"/>
  <c r="C1993" i="17"/>
  <c r="B1993" i="17"/>
  <c r="I1992" i="17"/>
  <c r="C1992" i="17"/>
  <c r="B1992" i="17"/>
  <c r="I1991" i="17"/>
  <c r="C1991" i="17"/>
  <c r="B1991" i="17"/>
  <c r="I1990" i="17"/>
  <c r="C1990" i="17"/>
  <c r="B1990" i="17"/>
  <c r="I1989" i="17"/>
  <c r="C1989" i="17"/>
  <c r="B1989" i="17"/>
  <c r="I1988" i="17"/>
  <c r="C1988" i="17"/>
  <c r="B1988" i="17"/>
  <c r="I1987" i="17"/>
  <c r="C1987" i="17"/>
  <c r="B1987" i="17"/>
  <c r="I1986" i="17"/>
  <c r="C1986" i="17"/>
  <c r="B1986" i="17"/>
  <c r="I1985" i="17"/>
  <c r="C1985" i="17"/>
  <c r="B1985" i="17"/>
  <c r="I1984" i="17"/>
  <c r="C1984" i="17"/>
  <c r="B1984" i="17"/>
  <c r="I1983" i="17"/>
  <c r="C1983" i="17"/>
  <c r="B1983" i="17"/>
  <c r="I1982" i="17"/>
  <c r="C1982" i="17"/>
  <c r="B1982" i="17"/>
  <c r="I1981" i="17"/>
  <c r="C1981" i="17"/>
  <c r="B1981" i="17"/>
  <c r="I1980" i="17"/>
  <c r="C1980" i="17"/>
  <c r="B1980" i="17"/>
  <c r="I1979" i="17"/>
  <c r="C1979" i="17"/>
  <c r="B1979" i="17"/>
  <c r="I1978" i="17"/>
  <c r="C1978" i="17"/>
  <c r="B1978" i="17"/>
  <c r="I1977" i="17"/>
  <c r="C1977" i="17"/>
  <c r="B1977" i="17"/>
  <c r="I1976" i="17"/>
  <c r="C1976" i="17"/>
  <c r="B1976" i="17"/>
  <c r="I1975" i="17"/>
  <c r="C1975" i="17"/>
  <c r="B1975" i="17"/>
  <c r="I1974" i="17"/>
  <c r="C1974" i="17"/>
  <c r="B1974" i="17"/>
  <c r="I1973" i="17"/>
  <c r="C1973" i="17"/>
  <c r="B1973" i="17"/>
  <c r="I1972" i="17"/>
  <c r="C1972" i="17"/>
  <c r="B1972" i="17"/>
  <c r="I1971" i="17"/>
  <c r="C1971" i="17"/>
  <c r="B1971" i="17"/>
  <c r="I1970" i="17"/>
  <c r="C1970" i="17"/>
  <c r="B1970" i="17"/>
  <c r="I1969" i="17"/>
  <c r="C1969" i="17"/>
  <c r="B1969" i="17"/>
  <c r="I1968" i="17"/>
  <c r="C1968" i="17"/>
  <c r="B1968" i="17"/>
  <c r="I1967" i="17"/>
  <c r="C1967" i="17"/>
  <c r="B1967" i="17"/>
  <c r="I1966" i="17"/>
  <c r="C1966" i="17"/>
  <c r="B1966" i="17"/>
  <c r="I1965" i="17"/>
  <c r="C1965" i="17"/>
  <c r="B1965" i="17"/>
  <c r="I1964" i="17"/>
  <c r="C1964" i="17"/>
  <c r="B1964" i="17"/>
  <c r="I1963" i="17"/>
  <c r="C1963" i="17"/>
  <c r="B1963" i="17"/>
  <c r="I1962" i="17"/>
  <c r="C1962" i="17"/>
  <c r="B1962" i="17"/>
  <c r="I1961" i="17"/>
  <c r="C1961" i="17"/>
  <c r="B1961" i="17"/>
  <c r="I1960" i="17"/>
  <c r="C1960" i="17"/>
  <c r="B1960" i="17"/>
  <c r="I1959" i="17"/>
  <c r="C1959" i="17"/>
  <c r="B1959" i="17"/>
  <c r="I1958" i="17"/>
  <c r="C1958" i="17"/>
  <c r="B1958" i="17"/>
  <c r="I1957" i="17"/>
  <c r="C1957" i="17"/>
  <c r="B1957" i="17"/>
  <c r="I1956" i="17"/>
  <c r="C1956" i="17"/>
  <c r="B1956" i="17"/>
  <c r="I1955" i="17"/>
  <c r="C1955" i="17"/>
  <c r="B1955" i="17"/>
  <c r="I1954" i="17"/>
  <c r="C1954" i="17"/>
  <c r="B1954" i="17"/>
  <c r="I1953" i="17"/>
  <c r="C1953" i="17"/>
  <c r="B1953" i="17"/>
  <c r="I1952" i="17"/>
  <c r="C1952" i="17"/>
  <c r="B1952" i="17"/>
  <c r="I1951" i="17"/>
  <c r="C1951" i="17"/>
  <c r="B1951" i="17"/>
  <c r="I1950" i="17"/>
  <c r="C1950" i="17"/>
  <c r="B1950" i="17"/>
  <c r="I1949" i="17"/>
  <c r="C1949" i="17"/>
  <c r="B1949" i="17"/>
  <c r="I1948" i="17"/>
  <c r="C1948" i="17"/>
  <c r="B1948" i="17"/>
  <c r="I1947" i="17"/>
  <c r="C1947" i="17"/>
  <c r="B1947" i="17"/>
  <c r="I1946" i="17"/>
  <c r="C1946" i="17"/>
  <c r="B1946" i="17"/>
  <c r="I1945" i="17"/>
  <c r="C1945" i="17"/>
  <c r="B1945" i="17"/>
  <c r="I1944" i="17"/>
  <c r="C1944" i="17"/>
  <c r="B1944" i="17"/>
  <c r="I1943" i="17"/>
  <c r="C1943" i="17"/>
  <c r="B1943" i="17"/>
  <c r="I1942" i="17"/>
  <c r="C1942" i="17"/>
  <c r="B1942" i="17"/>
  <c r="I1941" i="17"/>
  <c r="C1941" i="17"/>
  <c r="B1941" i="17"/>
  <c r="I1940" i="17"/>
  <c r="C1940" i="17"/>
  <c r="B1940" i="17"/>
  <c r="I1939" i="17"/>
  <c r="C1939" i="17"/>
  <c r="B1939" i="17"/>
  <c r="I1938" i="17"/>
  <c r="C1938" i="17"/>
  <c r="B1938" i="17"/>
  <c r="I1937" i="17"/>
  <c r="C1937" i="17"/>
  <c r="B1937" i="17"/>
  <c r="I1936" i="17"/>
  <c r="C1936" i="17"/>
  <c r="B1936" i="17"/>
  <c r="I1935" i="17"/>
  <c r="C1935" i="17"/>
  <c r="B1935" i="17"/>
  <c r="I1934" i="17"/>
  <c r="C1934" i="17"/>
  <c r="B1934" i="17"/>
  <c r="I1933" i="17"/>
  <c r="C1933" i="17"/>
  <c r="B1933" i="17"/>
  <c r="I1932" i="17"/>
  <c r="C1932" i="17"/>
  <c r="B1932" i="17"/>
  <c r="I1931" i="17"/>
  <c r="C1931" i="17"/>
  <c r="B1931" i="17"/>
  <c r="I1930" i="17"/>
  <c r="C1930" i="17"/>
  <c r="B1930" i="17"/>
  <c r="I1929" i="17"/>
  <c r="C1929" i="17"/>
  <c r="B1929" i="17"/>
  <c r="I1928" i="17"/>
  <c r="C1928" i="17"/>
  <c r="B1928" i="17"/>
  <c r="I1927" i="17"/>
  <c r="C1927" i="17"/>
  <c r="B1927" i="17"/>
  <c r="I1926" i="17"/>
  <c r="C1926" i="17"/>
  <c r="B1926" i="17"/>
  <c r="I1925" i="17"/>
  <c r="C1925" i="17"/>
  <c r="B1925" i="17"/>
  <c r="I1924" i="17"/>
  <c r="C1924" i="17"/>
  <c r="B1924" i="17"/>
  <c r="I1923" i="17"/>
  <c r="C1923" i="17"/>
  <c r="B1923" i="17"/>
  <c r="I1922" i="17"/>
  <c r="C1922" i="17"/>
  <c r="B1922" i="17"/>
  <c r="I1921" i="17"/>
  <c r="C1921" i="17"/>
  <c r="B1921" i="17"/>
  <c r="I1920" i="17"/>
  <c r="C1920" i="17"/>
  <c r="B1920" i="17"/>
  <c r="I1919" i="17"/>
  <c r="C1919" i="17"/>
  <c r="B1919" i="17"/>
  <c r="I1918" i="17"/>
  <c r="C1918" i="17"/>
  <c r="B1918" i="17"/>
  <c r="I1917" i="17"/>
  <c r="C1917" i="17"/>
  <c r="B1917" i="17"/>
  <c r="I1916" i="17"/>
  <c r="C1916" i="17"/>
  <c r="B1916" i="17"/>
  <c r="I1915" i="17"/>
  <c r="C1915" i="17"/>
  <c r="B1915" i="17"/>
  <c r="I1914" i="17"/>
  <c r="C1914" i="17"/>
  <c r="B1914" i="17"/>
  <c r="I1913" i="17"/>
  <c r="C1913" i="17"/>
  <c r="B1913" i="17"/>
  <c r="I1912" i="17"/>
  <c r="C1912" i="17"/>
  <c r="B1912" i="17"/>
  <c r="I1911" i="17"/>
  <c r="C1911" i="17"/>
  <c r="B1911" i="17"/>
  <c r="I1910" i="17"/>
  <c r="C1910" i="17"/>
  <c r="B1910" i="17"/>
  <c r="I1909" i="17"/>
  <c r="C1909" i="17"/>
  <c r="B1909" i="17"/>
  <c r="I1908" i="17"/>
  <c r="C1908" i="17"/>
  <c r="B1908" i="17"/>
  <c r="I1907" i="17"/>
  <c r="C1907" i="17"/>
  <c r="B1907" i="17"/>
  <c r="I1906" i="17"/>
  <c r="C1906" i="17"/>
  <c r="B1906" i="17"/>
  <c r="I1905" i="17"/>
  <c r="C1905" i="17"/>
  <c r="B1905" i="17"/>
  <c r="I1904" i="17"/>
  <c r="C1904" i="17"/>
  <c r="B1904" i="17"/>
  <c r="I1903" i="17"/>
  <c r="C1903" i="17"/>
  <c r="B1903" i="17"/>
  <c r="I1902" i="17"/>
  <c r="C1902" i="17"/>
  <c r="B1902" i="17"/>
  <c r="I1901" i="17"/>
  <c r="C1901" i="17"/>
  <c r="B1901" i="17"/>
  <c r="I1900" i="17"/>
  <c r="C1900" i="17"/>
  <c r="B1900" i="17"/>
  <c r="I1899" i="17"/>
  <c r="C1899" i="17"/>
  <c r="B1899" i="17"/>
  <c r="I1898" i="17"/>
  <c r="C1898" i="17"/>
  <c r="B1898" i="17"/>
  <c r="I1897" i="17"/>
  <c r="C1897" i="17"/>
  <c r="B1897" i="17"/>
  <c r="I1896" i="17"/>
  <c r="C1896" i="17"/>
  <c r="B1896" i="17"/>
  <c r="I1895" i="17"/>
  <c r="C1895" i="17"/>
  <c r="B1895" i="17"/>
  <c r="I1894" i="17"/>
  <c r="C1894" i="17"/>
  <c r="B1894" i="17"/>
  <c r="I1893" i="17"/>
  <c r="C1893" i="17"/>
  <c r="B1893" i="17"/>
  <c r="I1892" i="17"/>
  <c r="C1892" i="17"/>
  <c r="B1892" i="17"/>
  <c r="I1891" i="17"/>
  <c r="C1891" i="17"/>
  <c r="B1891" i="17"/>
  <c r="I1890" i="17"/>
  <c r="C1890" i="17"/>
  <c r="B1890" i="17"/>
  <c r="I1889" i="17"/>
  <c r="C1889" i="17"/>
  <c r="B1889" i="17"/>
  <c r="I1888" i="17"/>
  <c r="C1888" i="17"/>
  <c r="B1888" i="17"/>
  <c r="I1887" i="17"/>
  <c r="C1887" i="17"/>
  <c r="B1887" i="17"/>
  <c r="I1886" i="17"/>
  <c r="C1886" i="17"/>
  <c r="B1886" i="17"/>
  <c r="I1885" i="17"/>
  <c r="C1885" i="17"/>
  <c r="B1885" i="17"/>
  <c r="I1884" i="17"/>
  <c r="C1884" i="17"/>
  <c r="B1884" i="17"/>
  <c r="I1883" i="17"/>
  <c r="C1883" i="17"/>
  <c r="B1883" i="17"/>
  <c r="I1882" i="17"/>
  <c r="C1882" i="17"/>
  <c r="B1882" i="17"/>
  <c r="I1881" i="17"/>
  <c r="C1881" i="17"/>
  <c r="B1881" i="17"/>
  <c r="I1880" i="17"/>
  <c r="C1880" i="17"/>
  <c r="B1880" i="17"/>
  <c r="I1879" i="17"/>
  <c r="C1879" i="17"/>
  <c r="B1879" i="17"/>
  <c r="I1878" i="17"/>
  <c r="C1878" i="17"/>
  <c r="B1878" i="17"/>
  <c r="I1877" i="17"/>
  <c r="C1877" i="17"/>
  <c r="B1877" i="17"/>
  <c r="I1876" i="17"/>
  <c r="C1876" i="17"/>
  <c r="B1876" i="17"/>
  <c r="I1875" i="17"/>
  <c r="C1875" i="17"/>
  <c r="B1875" i="17"/>
  <c r="I1874" i="17"/>
  <c r="C1874" i="17"/>
  <c r="B1874" i="17"/>
  <c r="I1873" i="17"/>
  <c r="C1873" i="17"/>
  <c r="B1873" i="17"/>
  <c r="I1872" i="17"/>
  <c r="C1872" i="17"/>
  <c r="B1872" i="17"/>
  <c r="I1871" i="17"/>
  <c r="C1871" i="17"/>
  <c r="B1871" i="17"/>
  <c r="I1870" i="17"/>
  <c r="C1870" i="17"/>
  <c r="B1870" i="17"/>
  <c r="I1869" i="17"/>
  <c r="C1869" i="17"/>
  <c r="B1869" i="17"/>
  <c r="I1868" i="17"/>
  <c r="C1868" i="17"/>
  <c r="B1868" i="17"/>
  <c r="I1867" i="17"/>
  <c r="C1867" i="17"/>
  <c r="B1867" i="17"/>
  <c r="I1866" i="17"/>
  <c r="C1866" i="17"/>
  <c r="B1866" i="17"/>
  <c r="I1865" i="17"/>
  <c r="C1865" i="17"/>
  <c r="B1865" i="17"/>
  <c r="I1864" i="17"/>
  <c r="C1864" i="17"/>
  <c r="B1864" i="17"/>
  <c r="I1863" i="17"/>
  <c r="C1863" i="17"/>
  <c r="B1863" i="17"/>
  <c r="I1862" i="17"/>
  <c r="C1862" i="17"/>
  <c r="B1862" i="17"/>
  <c r="I1861" i="17"/>
  <c r="C1861" i="17"/>
  <c r="B1861" i="17"/>
  <c r="I1860" i="17"/>
  <c r="C1860" i="17"/>
  <c r="B1860" i="17"/>
  <c r="I1859" i="17"/>
  <c r="C1859" i="17"/>
  <c r="B1859" i="17"/>
  <c r="I1858" i="17"/>
  <c r="C1858" i="17"/>
  <c r="B1858" i="17"/>
  <c r="I1857" i="17"/>
  <c r="C1857" i="17"/>
  <c r="B1857" i="17"/>
  <c r="I1856" i="17"/>
  <c r="C1856" i="17"/>
  <c r="B1856" i="17"/>
  <c r="I1855" i="17"/>
  <c r="C1855" i="17"/>
  <c r="B1855" i="17"/>
  <c r="I1854" i="17"/>
  <c r="C1854" i="17"/>
  <c r="B1854" i="17"/>
  <c r="I1853" i="17"/>
  <c r="C1853" i="17"/>
  <c r="B1853" i="17"/>
  <c r="I1852" i="17"/>
  <c r="C1852" i="17"/>
  <c r="B1852" i="17"/>
  <c r="I1851" i="17"/>
  <c r="C1851" i="17"/>
  <c r="B1851" i="17"/>
  <c r="I1850" i="17"/>
  <c r="C1850" i="17"/>
  <c r="B1850" i="17"/>
  <c r="I1849" i="17"/>
  <c r="C1849" i="17"/>
  <c r="B1849" i="17"/>
  <c r="I1848" i="17"/>
  <c r="C1848" i="17"/>
  <c r="B1848" i="17"/>
  <c r="I1847" i="17"/>
  <c r="C1847" i="17"/>
  <c r="B1847" i="17"/>
  <c r="I1846" i="17"/>
  <c r="C1846" i="17"/>
  <c r="B1846" i="17"/>
  <c r="I1845" i="17"/>
  <c r="C1845" i="17"/>
  <c r="B1845" i="17"/>
  <c r="I1844" i="17"/>
  <c r="C1844" i="17"/>
  <c r="B1844" i="17"/>
  <c r="I1843" i="17"/>
  <c r="C1843" i="17"/>
  <c r="B1843" i="17"/>
  <c r="I1842" i="17"/>
  <c r="C1842" i="17"/>
  <c r="B1842" i="17"/>
  <c r="I1841" i="17"/>
  <c r="C1841" i="17"/>
  <c r="B1841" i="17"/>
  <c r="I1840" i="17"/>
  <c r="C1840" i="17"/>
  <c r="B1840" i="17"/>
  <c r="I1839" i="17"/>
  <c r="C1839" i="17"/>
  <c r="B1839" i="17"/>
  <c r="I1838" i="17"/>
  <c r="C1838" i="17"/>
  <c r="B1838" i="17"/>
  <c r="I1837" i="17"/>
  <c r="C1837" i="17"/>
  <c r="B1837" i="17"/>
  <c r="I1836" i="17"/>
  <c r="C1836" i="17"/>
  <c r="B1836" i="17"/>
  <c r="I1835" i="17"/>
  <c r="C1835" i="17"/>
  <c r="B1835" i="17"/>
  <c r="I1834" i="17"/>
  <c r="C1834" i="17"/>
  <c r="B1834" i="17"/>
  <c r="I1833" i="17"/>
  <c r="C1833" i="17"/>
  <c r="B1833" i="17"/>
  <c r="I1832" i="17"/>
  <c r="C1832" i="17"/>
  <c r="B1832" i="17"/>
  <c r="I1831" i="17"/>
  <c r="C1831" i="17"/>
  <c r="B1831" i="17"/>
  <c r="I1830" i="17"/>
  <c r="C1830" i="17"/>
  <c r="B1830" i="17"/>
  <c r="I1829" i="17"/>
  <c r="C1829" i="17"/>
  <c r="B1829" i="17"/>
  <c r="I1828" i="17"/>
  <c r="C1828" i="17"/>
  <c r="B1828" i="17"/>
  <c r="I1827" i="17"/>
  <c r="C1827" i="17"/>
  <c r="B1827" i="17"/>
  <c r="I1826" i="17"/>
  <c r="C1826" i="17"/>
  <c r="B1826" i="17"/>
  <c r="I1825" i="17"/>
  <c r="C1825" i="17"/>
  <c r="B1825" i="17"/>
  <c r="I1824" i="17"/>
  <c r="C1824" i="17"/>
  <c r="B1824" i="17"/>
  <c r="I1823" i="17"/>
  <c r="C1823" i="17"/>
  <c r="B1823" i="17"/>
  <c r="I1822" i="17"/>
  <c r="C1822" i="17"/>
  <c r="B1822" i="17"/>
  <c r="I1821" i="17"/>
  <c r="C1821" i="17"/>
  <c r="B1821" i="17"/>
  <c r="I1820" i="17"/>
  <c r="C1820" i="17"/>
  <c r="B1820" i="17"/>
  <c r="I1819" i="17"/>
  <c r="C1819" i="17"/>
  <c r="B1819" i="17"/>
  <c r="I1818" i="17"/>
  <c r="C1818" i="17"/>
  <c r="B1818" i="17"/>
  <c r="I1817" i="17"/>
  <c r="C1817" i="17"/>
  <c r="B1817" i="17"/>
  <c r="I1816" i="17"/>
  <c r="C1816" i="17"/>
  <c r="B1816" i="17"/>
  <c r="I1815" i="17"/>
  <c r="C1815" i="17"/>
  <c r="B1815" i="17"/>
  <c r="I1814" i="17"/>
  <c r="C1814" i="17"/>
  <c r="B1814" i="17"/>
  <c r="I1813" i="17"/>
  <c r="C1813" i="17"/>
  <c r="B1813" i="17"/>
  <c r="I1812" i="17"/>
  <c r="C1812" i="17"/>
  <c r="B1812" i="17"/>
  <c r="I1811" i="17"/>
  <c r="C1811" i="17"/>
  <c r="B1811" i="17"/>
  <c r="I1810" i="17"/>
  <c r="C1810" i="17"/>
  <c r="B1810" i="17"/>
  <c r="I1809" i="17"/>
  <c r="C1809" i="17"/>
  <c r="B1809" i="17"/>
  <c r="I1808" i="17"/>
  <c r="C1808" i="17"/>
  <c r="B1808" i="17"/>
  <c r="I1807" i="17"/>
  <c r="C1807" i="17"/>
  <c r="B1807" i="17"/>
  <c r="I1806" i="17"/>
  <c r="C1806" i="17"/>
  <c r="B1806" i="17"/>
  <c r="I1805" i="17"/>
  <c r="C1805" i="17"/>
  <c r="B1805" i="17"/>
  <c r="I1804" i="17"/>
  <c r="C1804" i="17"/>
  <c r="B1804" i="17"/>
  <c r="I1803" i="17"/>
  <c r="C1803" i="17"/>
  <c r="B1803" i="17"/>
  <c r="I1802" i="17"/>
  <c r="C1802" i="17"/>
  <c r="B1802" i="17"/>
  <c r="I1801" i="17"/>
  <c r="C1801" i="17"/>
  <c r="B1801" i="17"/>
  <c r="I1800" i="17"/>
  <c r="C1800" i="17"/>
  <c r="B1800" i="17"/>
  <c r="I1799" i="17"/>
  <c r="C1799" i="17"/>
  <c r="B1799" i="17"/>
  <c r="I1798" i="17"/>
  <c r="C1798" i="17"/>
  <c r="B1798" i="17"/>
  <c r="I1797" i="17"/>
  <c r="C1797" i="17"/>
  <c r="B1797" i="17"/>
  <c r="I1796" i="17"/>
  <c r="C1796" i="17"/>
  <c r="B1796" i="17"/>
  <c r="I1795" i="17"/>
  <c r="C1795" i="17"/>
  <c r="B1795" i="17"/>
  <c r="I1794" i="17"/>
  <c r="C1794" i="17"/>
  <c r="B1794" i="17"/>
  <c r="I1793" i="17"/>
  <c r="C1793" i="17"/>
  <c r="B1793" i="17"/>
  <c r="I1792" i="17"/>
  <c r="C1792" i="17"/>
  <c r="B1792" i="17"/>
  <c r="I1791" i="17"/>
  <c r="C1791" i="17"/>
  <c r="B1791" i="17"/>
  <c r="I1790" i="17"/>
  <c r="C1790" i="17"/>
  <c r="B1790" i="17"/>
  <c r="I1789" i="17"/>
  <c r="C1789" i="17"/>
  <c r="B1789" i="17"/>
  <c r="I1788" i="17"/>
  <c r="C1788" i="17"/>
  <c r="B1788" i="17"/>
  <c r="I1787" i="17"/>
  <c r="C1787" i="17"/>
  <c r="B1787" i="17"/>
  <c r="I1786" i="17"/>
  <c r="C1786" i="17"/>
  <c r="B1786" i="17"/>
  <c r="I1785" i="17"/>
  <c r="C1785" i="17"/>
  <c r="B1785" i="17"/>
  <c r="I1784" i="17"/>
  <c r="C1784" i="17"/>
  <c r="B1784" i="17"/>
  <c r="I1783" i="17"/>
  <c r="C1783" i="17"/>
  <c r="B1783" i="17"/>
  <c r="I1782" i="17"/>
  <c r="C1782" i="17"/>
  <c r="B1782" i="17"/>
  <c r="I1781" i="17"/>
  <c r="C1781" i="17"/>
  <c r="B1781" i="17"/>
  <c r="I1780" i="17"/>
  <c r="C1780" i="17"/>
  <c r="B1780" i="17"/>
  <c r="I1779" i="17"/>
  <c r="C1779" i="17"/>
  <c r="B1779" i="17"/>
  <c r="I1778" i="17"/>
  <c r="C1778" i="17"/>
  <c r="B1778" i="17"/>
  <c r="I1777" i="17"/>
  <c r="C1777" i="17"/>
  <c r="B1777" i="17"/>
  <c r="I1776" i="17"/>
  <c r="C1776" i="17"/>
  <c r="B1776" i="17"/>
  <c r="I1775" i="17"/>
  <c r="C1775" i="17"/>
  <c r="B1775" i="17"/>
  <c r="I1774" i="17"/>
  <c r="C1774" i="17"/>
  <c r="B1774" i="17"/>
  <c r="I1773" i="17"/>
  <c r="C1773" i="17"/>
  <c r="B1773" i="17"/>
  <c r="I1772" i="17"/>
  <c r="C1772" i="17"/>
  <c r="B1772" i="17"/>
  <c r="I1771" i="17"/>
  <c r="C1771" i="17"/>
  <c r="B1771" i="17"/>
  <c r="I1770" i="17"/>
  <c r="C1770" i="17"/>
  <c r="B1770" i="17"/>
  <c r="I1769" i="17"/>
  <c r="C1769" i="17"/>
  <c r="B1769" i="17"/>
  <c r="I1768" i="17"/>
  <c r="C1768" i="17"/>
  <c r="B1768" i="17"/>
  <c r="I1767" i="17"/>
  <c r="C1767" i="17"/>
  <c r="B1767" i="17"/>
  <c r="I1766" i="17"/>
  <c r="C1766" i="17"/>
  <c r="B1766" i="17"/>
  <c r="I1765" i="17"/>
  <c r="C1765" i="17"/>
  <c r="B1765" i="17"/>
  <c r="I1764" i="17"/>
  <c r="C1764" i="17"/>
  <c r="B1764" i="17"/>
  <c r="I1763" i="17"/>
  <c r="C1763" i="17"/>
  <c r="B1763" i="17"/>
  <c r="I1762" i="17"/>
  <c r="C1762" i="17"/>
  <c r="B1762" i="17"/>
  <c r="I1761" i="17"/>
  <c r="C1761" i="17"/>
  <c r="B1761" i="17"/>
  <c r="I1760" i="17"/>
  <c r="C1760" i="17"/>
  <c r="B1760" i="17"/>
  <c r="I1759" i="17"/>
  <c r="C1759" i="17"/>
  <c r="B1759" i="17"/>
  <c r="I1758" i="17"/>
  <c r="C1758" i="17"/>
  <c r="B1758" i="17"/>
  <c r="I1757" i="17"/>
  <c r="C1757" i="17"/>
  <c r="B1757" i="17"/>
  <c r="I1756" i="17"/>
  <c r="C1756" i="17"/>
  <c r="B1756" i="17"/>
  <c r="I1755" i="17"/>
  <c r="C1755" i="17"/>
  <c r="B1755" i="17"/>
  <c r="I1754" i="17"/>
  <c r="C1754" i="17"/>
  <c r="B1754" i="17"/>
  <c r="I1753" i="17"/>
  <c r="C1753" i="17"/>
  <c r="B1753" i="17"/>
  <c r="I1752" i="17"/>
  <c r="C1752" i="17"/>
  <c r="B1752" i="17"/>
  <c r="I1751" i="17"/>
  <c r="C1751" i="17"/>
  <c r="B1751" i="17"/>
  <c r="I1750" i="17"/>
  <c r="C1750" i="17"/>
  <c r="B1750" i="17"/>
  <c r="I1749" i="17"/>
  <c r="C1749" i="17"/>
  <c r="B1749" i="17"/>
  <c r="I1748" i="17"/>
  <c r="C1748" i="17"/>
  <c r="B1748" i="17"/>
  <c r="I1747" i="17"/>
  <c r="C1747" i="17"/>
  <c r="B1747" i="17"/>
  <c r="I1746" i="17"/>
  <c r="C1746" i="17"/>
  <c r="B1746" i="17"/>
  <c r="I1745" i="17"/>
  <c r="C1745" i="17"/>
  <c r="B1745" i="17"/>
  <c r="I1744" i="17"/>
  <c r="C1744" i="17"/>
  <c r="B1744" i="17"/>
  <c r="I1743" i="17"/>
  <c r="C1743" i="17"/>
  <c r="B1743" i="17"/>
  <c r="I1742" i="17"/>
  <c r="C1742" i="17"/>
  <c r="B1742" i="17"/>
  <c r="I1741" i="17"/>
  <c r="C1741" i="17"/>
  <c r="B1741" i="17"/>
  <c r="I1740" i="17"/>
  <c r="C1740" i="17"/>
  <c r="B1740" i="17"/>
  <c r="I1739" i="17"/>
  <c r="C1739" i="17"/>
  <c r="B1739" i="17"/>
  <c r="I1738" i="17"/>
  <c r="C1738" i="17"/>
  <c r="B1738" i="17"/>
  <c r="I1737" i="17"/>
  <c r="C1737" i="17"/>
  <c r="B1737" i="17"/>
  <c r="I1736" i="17"/>
  <c r="C1736" i="17"/>
  <c r="B1736" i="17"/>
  <c r="I1735" i="17"/>
  <c r="C1735" i="17"/>
  <c r="B1735" i="17"/>
  <c r="I1734" i="17"/>
  <c r="C1734" i="17"/>
  <c r="B1734" i="17"/>
  <c r="I1733" i="17"/>
  <c r="C1733" i="17"/>
  <c r="B1733" i="17"/>
  <c r="I1732" i="17"/>
  <c r="C1732" i="17"/>
  <c r="B1732" i="17"/>
  <c r="I1731" i="17"/>
  <c r="C1731" i="17"/>
  <c r="B1731" i="17"/>
  <c r="I1730" i="17"/>
  <c r="C1730" i="17"/>
  <c r="B1730" i="17"/>
  <c r="I1729" i="17"/>
  <c r="C1729" i="17"/>
  <c r="B1729" i="17"/>
  <c r="I1728" i="17"/>
  <c r="C1728" i="17"/>
  <c r="B1728" i="17"/>
  <c r="I1727" i="17"/>
  <c r="C1727" i="17"/>
  <c r="B1727" i="17"/>
  <c r="I1726" i="17"/>
  <c r="C1726" i="17"/>
  <c r="B1726" i="17"/>
  <c r="I1725" i="17"/>
  <c r="C1725" i="17"/>
  <c r="B1725" i="17"/>
  <c r="I1724" i="17"/>
  <c r="C1724" i="17"/>
  <c r="B1724" i="17"/>
  <c r="I1723" i="17"/>
  <c r="C1723" i="17"/>
  <c r="B1723" i="17"/>
  <c r="I1722" i="17"/>
  <c r="C1722" i="17"/>
  <c r="B1722" i="17"/>
  <c r="I1721" i="17"/>
  <c r="C1721" i="17"/>
  <c r="B1721" i="17"/>
  <c r="I1720" i="17"/>
  <c r="C1720" i="17"/>
  <c r="B1720" i="17"/>
  <c r="I1719" i="17"/>
  <c r="C1719" i="17"/>
  <c r="B1719" i="17"/>
  <c r="I1718" i="17"/>
  <c r="C1718" i="17"/>
  <c r="B1718" i="17"/>
  <c r="I1717" i="17"/>
  <c r="C1717" i="17"/>
  <c r="B1717" i="17"/>
  <c r="I1716" i="17"/>
  <c r="C1716" i="17"/>
  <c r="B1716" i="17"/>
  <c r="I1715" i="17"/>
  <c r="C1715" i="17"/>
  <c r="B1715" i="17"/>
  <c r="I1714" i="17"/>
  <c r="C1714" i="17"/>
  <c r="B1714" i="17"/>
  <c r="I1713" i="17"/>
  <c r="C1713" i="17"/>
  <c r="B1713" i="17"/>
  <c r="I1712" i="17"/>
  <c r="C1712" i="17"/>
  <c r="B1712" i="17"/>
  <c r="I1711" i="17"/>
  <c r="C1711" i="17"/>
  <c r="B1711" i="17"/>
  <c r="I1710" i="17"/>
  <c r="C1710" i="17"/>
  <c r="B1710" i="17"/>
  <c r="I1709" i="17"/>
  <c r="C1709" i="17"/>
  <c r="B1709" i="17"/>
  <c r="I1708" i="17"/>
  <c r="C1708" i="17"/>
  <c r="B1708" i="17"/>
  <c r="I1707" i="17"/>
  <c r="C1707" i="17"/>
  <c r="B1707" i="17"/>
  <c r="I1706" i="17"/>
  <c r="C1706" i="17"/>
  <c r="B1706" i="17"/>
  <c r="I1705" i="17"/>
  <c r="C1705" i="17"/>
  <c r="B1705" i="17"/>
  <c r="I1704" i="17"/>
  <c r="C1704" i="17"/>
  <c r="B1704" i="17"/>
  <c r="I1703" i="17"/>
  <c r="C1703" i="17"/>
  <c r="B1703" i="17"/>
  <c r="I1702" i="17"/>
  <c r="C1702" i="17"/>
  <c r="B1702" i="17"/>
  <c r="I1701" i="17"/>
  <c r="C1701" i="17"/>
  <c r="B1701" i="17"/>
  <c r="I1700" i="17"/>
  <c r="C1700" i="17"/>
  <c r="B1700" i="17"/>
  <c r="I1699" i="17"/>
  <c r="C1699" i="17"/>
  <c r="B1699" i="17"/>
  <c r="I1698" i="17"/>
  <c r="C1698" i="17"/>
  <c r="B1698" i="17"/>
  <c r="I1697" i="17"/>
  <c r="C1697" i="17"/>
  <c r="B1697" i="17"/>
  <c r="I1696" i="17"/>
  <c r="C1696" i="17"/>
  <c r="B1696" i="17"/>
  <c r="I1695" i="17"/>
  <c r="C1695" i="17"/>
  <c r="B1695" i="17"/>
  <c r="I1694" i="17"/>
  <c r="C1694" i="17"/>
  <c r="B1694" i="17"/>
  <c r="I1693" i="17"/>
  <c r="C1693" i="17"/>
  <c r="B1693" i="17"/>
  <c r="I1692" i="17"/>
  <c r="C1692" i="17"/>
  <c r="B1692" i="17"/>
  <c r="I1691" i="17"/>
  <c r="C1691" i="17"/>
  <c r="B1691" i="17"/>
  <c r="I1690" i="17"/>
  <c r="C1690" i="17"/>
  <c r="B1690" i="17"/>
  <c r="I1689" i="17"/>
  <c r="C1689" i="17"/>
  <c r="B1689" i="17"/>
  <c r="I1688" i="17"/>
  <c r="C1688" i="17"/>
  <c r="B1688" i="17"/>
  <c r="I1687" i="17"/>
  <c r="C1687" i="17"/>
  <c r="B1687" i="17"/>
  <c r="I1686" i="17"/>
  <c r="C1686" i="17"/>
  <c r="B1686" i="17"/>
  <c r="I1685" i="17"/>
  <c r="C1685" i="17"/>
  <c r="B1685" i="17"/>
  <c r="I1684" i="17"/>
  <c r="C1684" i="17"/>
  <c r="B1684" i="17"/>
  <c r="I1683" i="17"/>
  <c r="C1683" i="17"/>
  <c r="B1683" i="17"/>
  <c r="I1682" i="17"/>
  <c r="C1682" i="17"/>
  <c r="B1682" i="17"/>
  <c r="I1681" i="17"/>
  <c r="C1681" i="17"/>
  <c r="B1681" i="17"/>
  <c r="I1680" i="17"/>
  <c r="C1680" i="17"/>
  <c r="B1680" i="17"/>
  <c r="I1679" i="17"/>
  <c r="C1679" i="17"/>
  <c r="B1679" i="17"/>
  <c r="I1678" i="17"/>
  <c r="C1678" i="17"/>
  <c r="B1678" i="17"/>
  <c r="I1677" i="17"/>
  <c r="C1677" i="17"/>
  <c r="B1677" i="17"/>
  <c r="I1676" i="17"/>
  <c r="C1676" i="17"/>
  <c r="B1676" i="17"/>
  <c r="I1675" i="17"/>
  <c r="C1675" i="17"/>
  <c r="B1675" i="17"/>
  <c r="I1674" i="17"/>
  <c r="C1674" i="17"/>
  <c r="B1674" i="17"/>
  <c r="I1673" i="17"/>
  <c r="C1673" i="17"/>
  <c r="B1673" i="17"/>
  <c r="I1672" i="17"/>
  <c r="C1672" i="17"/>
  <c r="B1672" i="17"/>
  <c r="I1671" i="17"/>
  <c r="C1671" i="17"/>
  <c r="B1671" i="17"/>
  <c r="I1670" i="17"/>
  <c r="C1670" i="17"/>
  <c r="B1670" i="17"/>
  <c r="I1669" i="17"/>
  <c r="C1669" i="17"/>
  <c r="B1669" i="17"/>
  <c r="I1668" i="17"/>
  <c r="C1668" i="17"/>
  <c r="B1668" i="17"/>
  <c r="I1667" i="17"/>
  <c r="C1667" i="17"/>
  <c r="B1667" i="17"/>
  <c r="I1666" i="17"/>
  <c r="C1666" i="17"/>
  <c r="B1666" i="17"/>
  <c r="I1665" i="17"/>
  <c r="C1665" i="17"/>
  <c r="B1665" i="17"/>
  <c r="I1664" i="17"/>
  <c r="C1664" i="17"/>
  <c r="B1664" i="17"/>
  <c r="I1663" i="17"/>
  <c r="C1663" i="17"/>
  <c r="B1663" i="17"/>
  <c r="I1662" i="17"/>
  <c r="C1662" i="17"/>
  <c r="B1662" i="17"/>
  <c r="I1661" i="17"/>
  <c r="C1661" i="17"/>
  <c r="B1661" i="17"/>
  <c r="I1660" i="17"/>
  <c r="C1660" i="17"/>
  <c r="B1660" i="17"/>
  <c r="I1659" i="17"/>
  <c r="C1659" i="17"/>
  <c r="B1659" i="17"/>
  <c r="I1658" i="17"/>
  <c r="C1658" i="17"/>
  <c r="B1658" i="17"/>
  <c r="I1657" i="17"/>
  <c r="C1657" i="17"/>
  <c r="B1657" i="17"/>
  <c r="I1656" i="17"/>
  <c r="C1656" i="17"/>
  <c r="B1656" i="17"/>
  <c r="I1655" i="17"/>
  <c r="C1655" i="17"/>
  <c r="B1655" i="17"/>
  <c r="I1654" i="17"/>
  <c r="C1654" i="17"/>
  <c r="B1654" i="17"/>
  <c r="I1653" i="17"/>
  <c r="C1653" i="17"/>
  <c r="B1653" i="17"/>
  <c r="I1652" i="17"/>
  <c r="C1652" i="17"/>
  <c r="B1652" i="17"/>
  <c r="I1651" i="17"/>
  <c r="C1651" i="17"/>
  <c r="B1651" i="17"/>
  <c r="I1650" i="17"/>
  <c r="C1650" i="17"/>
  <c r="B1650" i="17"/>
  <c r="I1649" i="17"/>
  <c r="C1649" i="17"/>
  <c r="B1649" i="17"/>
  <c r="I1648" i="17"/>
  <c r="C1648" i="17"/>
  <c r="B1648" i="17"/>
  <c r="I1647" i="17"/>
  <c r="C1647" i="17"/>
  <c r="B1647" i="17"/>
  <c r="I1646" i="17"/>
  <c r="C1646" i="17"/>
  <c r="B1646" i="17"/>
  <c r="I1645" i="17"/>
  <c r="C1645" i="17"/>
  <c r="B1645" i="17"/>
  <c r="I1644" i="17"/>
  <c r="C1644" i="17"/>
  <c r="B1644" i="17"/>
  <c r="I1643" i="17"/>
  <c r="C1643" i="17"/>
  <c r="B1643" i="17"/>
  <c r="I1642" i="17"/>
  <c r="C1642" i="17"/>
  <c r="B1642" i="17"/>
  <c r="I1641" i="17"/>
  <c r="C1641" i="17"/>
  <c r="B1641" i="17"/>
  <c r="I1640" i="17"/>
  <c r="C1640" i="17"/>
  <c r="B1640" i="17"/>
  <c r="I1639" i="17"/>
  <c r="C1639" i="17"/>
  <c r="B1639" i="17"/>
  <c r="I1638" i="17"/>
  <c r="C1638" i="17"/>
  <c r="B1638" i="17"/>
  <c r="I1637" i="17"/>
  <c r="C1637" i="17"/>
  <c r="B1637" i="17"/>
  <c r="I1636" i="17"/>
  <c r="C1636" i="17"/>
  <c r="B1636" i="17"/>
  <c r="I1635" i="17"/>
  <c r="C1635" i="17"/>
  <c r="B1635" i="17"/>
  <c r="I1634" i="17"/>
  <c r="C1634" i="17"/>
  <c r="B1634" i="17"/>
  <c r="I1633" i="17"/>
  <c r="C1633" i="17"/>
  <c r="B1633" i="17"/>
  <c r="I1632" i="17"/>
  <c r="C1632" i="17"/>
  <c r="B1632" i="17"/>
  <c r="I1631" i="17"/>
  <c r="C1631" i="17"/>
  <c r="B1631" i="17"/>
  <c r="I1630" i="17"/>
  <c r="C1630" i="17"/>
  <c r="B1630" i="17"/>
  <c r="I1629" i="17"/>
  <c r="C1629" i="17"/>
  <c r="B1629" i="17"/>
  <c r="I1628" i="17"/>
  <c r="C1628" i="17"/>
  <c r="B1628" i="17"/>
  <c r="I1627" i="17"/>
  <c r="C1627" i="17"/>
  <c r="B1627" i="17"/>
  <c r="I1626" i="17"/>
  <c r="C1626" i="17"/>
  <c r="B1626" i="17"/>
  <c r="I1625" i="17"/>
  <c r="C1625" i="17"/>
  <c r="B1625" i="17"/>
  <c r="I1624" i="17"/>
  <c r="C1624" i="17"/>
  <c r="B1624" i="17"/>
  <c r="I1623" i="17"/>
  <c r="C1623" i="17"/>
  <c r="B1623" i="17"/>
  <c r="I1622" i="17"/>
  <c r="C1622" i="17"/>
  <c r="B1622" i="17"/>
  <c r="I1621" i="17"/>
  <c r="C1621" i="17"/>
  <c r="B1621" i="17"/>
  <c r="I1620" i="17"/>
  <c r="C1620" i="17"/>
  <c r="B1620" i="17"/>
  <c r="I1619" i="17"/>
  <c r="C1619" i="17"/>
  <c r="B1619" i="17"/>
  <c r="I1618" i="17"/>
  <c r="C1618" i="17"/>
  <c r="B1618" i="17"/>
  <c r="I1617" i="17"/>
  <c r="C1617" i="17"/>
  <c r="B1617" i="17"/>
  <c r="I1616" i="17"/>
  <c r="C1616" i="17"/>
  <c r="B1616" i="17"/>
  <c r="I1615" i="17"/>
  <c r="C1615" i="17"/>
  <c r="B1615" i="17"/>
  <c r="I1614" i="17"/>
  <c r="C1614" i="17"/>
  <c r="B1614" i="17"/>
  <c r="I1613" i="17"/>
  <c r="C1613" i="17"/>
  <c r="B1613" i="17"/>
  <c r="I1612" i="17"/>
  <c r="C1612" i="17"/>
  <c r="B1612" i="17"/>
  <c r="I1611" i="17"/>
  <c r="C1611" i="17"/>
  <c r="B1611" i="17"/>
  <c r="I1610" i="17"/>
  <c r="C1610" i="17"/>
  <c r="B1610" i="17"/>
  <c r="I1609" i="17"/>
  <c r="C1609" i="17"/>
  <c r="B1609" i="17"/>
  <c r="I1608" i="17"/>
  <c r="C1608" i="17"/>
  <c r="B1608" i="17"/>
  <c r="I1607" i="17"/>
  <c r="C1607" i="17"/>
  <c r="B1607" i="17"/>
  <c r="I1606" i="17"/>
  <c r="C1606" i="17"/>
  <c r="B1606" i="17"/>
  <c r="I1605" i="17"/>
  <c r="C1605" i="17"/>
  <c r="B1605" i="17"/>
  <c r="I1604" i="17"/>
  <c r="C1604" i="17"/>
  <c r="B1604" i="17"/>
  <c r="I1603" i="17"/>
  <c r="C1603" i="17"/>
  <c r="B1603" i="17"/>
  <c r="I1602" i="17"/>
  <c r="C1602" i="17"/>
  <c r="B1602" i="17"/>
  <c r="I1601" i="17"/>
  <c r="C1601" i="17"/>
  <c r="B1601" i="17"/>
  <c r="I1600" i="17"/>
  <c r="C1600" i="17"/>
  <c r="B1600" i="17"/>
  <c r="I1599" i="17"/>
  <c r="C1599" i="17"/>
  <c r="B1599" i="17"/>
  <c r="I1598" i="17"/>
  <c r="C1598" i="17"/>
  <c r="B1598" i="17"/>
  <c r="I1597" i="17"/>
  <c r="C1597" i="17"/>
  <c r="B1597" i="17"/>
  <c r="I1596" i="17"/>
  <c r="C1596" i="17"/>
  <c r="B1596" i="17"/>
  <c r="I1595" i="17"/>
  <c r="C1595" i="17"/>
  <c r="B1595" i="17"/>
  <c r="I1594" i="17"/>
  <c r="C1594" i="17"/>
  <c r="B1594" i="17"/>
  <c r="I1593" i="17"/>
  <c r="C1593" i="17"/>
  <c r="B1593" i="17"/>
  <c r="I1592" i="17"/>
  <c r="C1592" i="17"/>
  <c r="B1592" i="17"/>
  <c r="I1591" i="17"/>
  <c r="C1591" i="17"/>
  <c r="B1591" i="17"/>
  <c r="I1590" i="17"/>
  <c r="C1590" i="17"/>
  <c r="B1590" i="17"/>
  <c r="I1589" i="17"/>
  <c r="C1589" i="17"/>
  <c r="B1589" i="17"/>
  <c r="I1588" i="17"/>
  <c r="C1588" i="17"/>
  <c r="B1588" i="17"/>
  <c r="I1587" i="17"/>
  <c r="C1587" i="17"/>
  <c r="B1587" i="17"/>
  <c r="I1586" i="17"/>
  <c r="C1586" i="17"/>
  <c r="B1586" i="17"/>
  <c r="I1585" i="17"/>
  <c r="C1585" i="17"/>
  <c r="B1585" i="17"/>
  <c r="I1584" i="17"/>
  <c r="C1584" i="17"/>
  <c r="B1584" i="17"/>
  <c r="I1583" i="17"/>
  <c r="C1583" i="17"/>
  <c r="B1583" i="17"/>
  <c r="I1582" i="17"/>
  <c r="C1582" i="17"/>
  <c r="B1582" i="17"/>
  <c r="I1581" i="17"/>
  <c r="C1581" i="17"/>
  <c r="B1581" i="17"/>
  <c r="I1580" i="17"/>
  <c r="C1580" i="17"/>
  <c r="B1580" i="17"/>
  <c r="I1579" i="17"/>
  <c r="C1579" i="17"/>
  <c r="B1579" i="17"/>
  <c r="I1578" i="17"/>
  <c r="C1578" i="17"/>
  <c r="B1578" i="17"/>
  <c r="I1577" i="17"/>
  <c r="C1577" i="17"/>
  <c r="B1577" i="17"/>
  <c r="I1576" i="17"/>
  <c r="C1576" i="17"/>
  <c r="B1576" i="17"/>
  <c r="I1575" i="17"/>
  <c r="C1575" i="17"/>
  <c r="B1575" i="17"/>
  <c r="I1574" i="17"/>
  <c r="C1574" i="17"/>
  <c r="B1574" i="17"/>
  <c r="I1573" i="17"/>
  <c r="C1573" i="17"/>
  <c r="B1573" i="17"/>
  <c r="I1572" i="17"/>
  <c r="C1572" i="17"/>
  <c r="B1572" i="17"/>
  <c r="I1571" i="17"/>
  <c r="C1571" i="17"/>
  <c r="B1571" i="17"/>
  <c r="I1570" i="17"/>
  <c r="C1570" i="17"/>
  <c r="B1570" i="17"/>
  <c r="I1569" i="17"/>
  <c r="C1569" i="17"/>
  <c r="B1569" i="17"/>
  <c r="I1568" i="17"/>
  <c r="C1568" i="17"/>
  <c r="B1568" i="17"/>
  <c r="I1567" i="17"/>
  <c r="C1567" i="17"/>
  <c r="B1567" i="17"/>
  <c r="I1566" i="17"/>
  <c r="C1566" i="17"/>
  <c r="B1566" i="17"/>
  <c r="I1565" i="17"/>
  <c r="C1565" i="17"/>
  <c r="B1565" i="17"/>
  <c r="I1564" i="17"/>
  <c r="C1564" i="17"/>
  <c r="B1564" i="17"/>
  <c r="I1563" i="17"/>
  <c r="C1563" i="17"/>
  <c r="B1563" i="17"/>
  <c r="I1562" i="17"/>
  <c r="C1562" i="17"/>
  <c r="B1562" i="17"/>
  <c r="I1561" i="17"/>
  <c r="C1561" i="17"/>
  <c r="B1561" i="17"/>
  <c r="I1560" i="17"/>
  <c r="C1560" i="17"/>
  <c r="B1560" i="17"/>
  <c r="I1559" i="17"/>
  <c r="C1559" i="17"/>
  <c r="B1559" i="17"/>
  <c r="I1558" i="17"/>
  <c r="C1558" i="17"/>
  <c r="B1558" i="17"/>
  <c r="I1557" i="17"/>
  <c r="C1557" i="17"/>
  <c r="B1557" i="17"/>
  <c r="I1556" i="17"/>
  <c r="C1556" i="17"/>
  <c r="B1556" i="17"/>
  <c r="I1555" i="17"/>
  <c r="C1555" i="17"/>
  <c r="B1555" i="17"/>
  <c r="I1554" i="17"/>
  <c r="C1554" i="17"/>
  <c r="B1554" i="17"/>
  <c r="I1553" i="17"/>
  <c r="C1553" i="17"/>
  <c r="B1553" i="17"/>
  <c r="I1552" i="17"/>
  <c r="C1552" i="17"/>
  <c r="B1552" i="17"/>
  <c r="I1551" i="17"/>
  <c r="C1551" i="17"/>
  <c r="B1551" i="17"/>
  <c r="I1550" i="17"/>
  <c r="C1550" i="17"/>
  <c r="B1550" i="17"/>
  <c r="I1549" i="17"/>
  <c r="C1549" i="17"/>
  <c r="B1549" i="17"/>
  <c r="I1548" i="17"/>
  <c r="C1548" i="17"/>
  <c r="B1548" i="17"/>
  <c r="I1547" i="17"/>
  <c r="C1547" i="17"/>
  <c r="B1547" i="17"/>
  <c r="I1546" i="17"/>
  <c r="C1546" i="17"/>
  <c r="B1546" i="17"/>
  <c r="I1545" i="17"/>
  <c r="C1545" i="17"/>
  <c r="B1545" i="17"/>
  <c r="I1544" i="17"/>
  <c r="C1544" i="17"/>
  <c r="B1544" i="17"/>
  <c r="I1543" i="17"/>
  <c r="C1543" i="17"/>
  <c r="B1543" i="17"/>
  <c r="I1542" i="17"/>
  <c r="C1542" i="17"/>
  <c r="B1542" i="17"/>
  <c r="I1541" i="17"/>
  <c r="C1541" i="17"/>
  <c r="B1541" i="17"/>
  <c r="I1540" i="17"/>
  <c r="C1540" i="17"/>
  <c r="B1540" i="17"/>
  <c r="I1539" i="17"/>
  <c r="C1539" i="17"/>
  <c r="B1539" i="17"/>
  <c r="I1538" i="17"/>
  <c r="C1538" i="17"/>
  <c r="B1538" i="17"/>
  <c r="I1537" i="17"/>
  <c r="C1537" i="17"/>
  <c r="B1537" i="17"/>
  <c r="I1536" i="17"/>
  <c r="C1536" i="17"/>
  <c r="B1536" i="17"/>
  <c r="I1535" i="17"/>
  <c r="C1535" i="17"/>
  <c r="B1535" i="17"/>
  <c r="I1534" i="17"/>
  <c r="C1534" i="17"/>
  <c r="B1534" i="17"/>
  <c r="I1533" i="17"/>
  <c r="C1533" i="17"/>
  <c r="B1533" i="17"/>
  <c r="I1532" i="17"/>
  <c r="C1532" i="17"/>
  <c r="B1532" i="17"/>
  <c r="I1531" i="17"/>
  <c r="C1531" i="17"/>
  <c r="B1531" i="17"/>
  <c r="I1530" i="17"/>
  <c r="C1530" i="17"/>
  <c r="B1530" i="17"/>
  <c r="I1529" i="17"/>
  <c r="C1529" i="17"/>
  <c r="B1529" i="17"/>
  <c r="I1528" i="17"/>
  <c r="C1528" i="17"/>
  <c r="B1528" i="17"/>
  <c r="I1527" i="17"/>
  <c r="C1527" i="17"/>
  <c r="B1527" i="17"/>
  <c r="I1526" i="17"/>
  <c r="C1526" i="17"/>
  <c r="B1526" i="17"/>
  <c r="I1525" i="17"/>
  <c r="C1525" i="17"/>
  <c r="B1525" i="17"/>
  <c r="I1524" i="17"/>
  <c r="C1524" i="17"/>
  <c r="B1524" i="17"/>
  <c r="I1523" i="17"/>
  <c r="C1523" i="17"/>
  <c r="B1523" i="17"/>
  <c r="I1522" i="17"/>
  <c r="C1522" i="17"/>
  <c r="B1522" i="17"/>
  <c r="I1521" i="17"/>
  <c r="C1521" i="17"/>
  <c r="B1521" i="17"/>
  <c r="I1520" i="17"/>
  <c r="C1520" i="17"/>
  <c r="B1520" i="17"/>
  <c r="I1519" i="17"/>
  <c r="C1519" i="17"/>
  <c r="B1519" i="17"/>
  <c r="I1518" i="17"/>
  <c r="C1518" i="17"/>
  <c r="B1518" i="17"/>
  <c r="I1517" i="17"/>
  <c r="C1517" i="17"/>
  <c r="B1517" i="17"/>
  <c r="I1516" i="17"/>
  <c r="C1516" i="17"/>
  <c r="B1516" i="17"/>
  <c r="I1515" i="17"/>
  <c r="C1515" i="17"/>
  <c r="B1515" i="17"/>
  <c r="I1514" i="17"/>
  <c r="C1514" i="17"/>
  <c r="B1514" i="17"/>
  <c r="I1513" i="17"/>
  <c r="C1513" i="17"/>
  <c r="B1513" i="17"/>
  <c r="I1512" i="17"/>
  <c r="C1512" i="17"/>
  <c r="B1512" i="17"/>
  <c r="I1511" i="17"/>
  <c r="C1511" i="17"/>
  <c r="B1511" i="17"/>
  <c r="I1510" i="17"/>
  <c r="C1510" i="17"/>
  <c r="B1510" i="17"/>
  <c r="I1509" i="17"/>
  <c r="C1509" i="17"/>
  <c r="B1509" i="17"/>
  <c r="I1508" i="17"/>
  <c r="C1508" i="17"/>
  <c r="B1508" i="17"/>
  <c r="I1507" i="17"/>
  <c r="C1507" i="17"/>
  <c r="B1507" i="17"/>
  <c r="I1506" i="17"/>
  <c r="C1506" i="17"/>
  <c r="B1506" i="17"/>
  <c r="I1505" i="17"/>
  <c r="C1505" i="17"/>
  <c r="B1505" i="17"/>
  <c r="I1504" i="17"/>
  <c r="C1504" i="17"/>
  <c r="B1504" i="17"/>
  <c r="I1503" i="17"/>
  <c r="C1503" i="17"/>
  <c r="B1503" i="17"/>
  <c r="I1502" i="17"/>
  <c r="C1502" i="17"/>
  <c r="B1502" i="17"/>
  <c r="I1501" i="17"/>
  <c r="C1501" i="17"/>
  <c r="B1501" i="17"/>
  <c r="I1500" i="17"/>
  <c r="C1500" i="17"/>
  <c r="B1500" i="17"/>
  <c r="I1499" i="17"/>
  <c r="C1499" i="17"/>
  <c r="B1499" i="17"/>
  <c r="I1498" i="17"/>
  <c r="C1498" i="17"/>
  <c r="B1498" i="17"/>
  <c r="I1497" i="17"/>
  <c r="C1497" i="17"/>
  <c r="B1497" i="17"/>
  <c r="I1496" i="17"/>
  <c r="C1496" i="17"/>
  <c r="B1496" i="17"/>
  <c r="I1495" i="17"/>
  <c r="C1495" i="17"/>
  <c r="B1495" i="17"/>
  <c r="I1494" i="17"/>
  <c r="C1494" i="17"/>
  <c r="B1494" i="17"/>
  <c r="I1493" i="17"/>
  <c r="C1493" i="17"/>
  <c r="B1493" i="17"/>
  <c r="I1492" i="17"/>
  <c r="C1492" i="17"/>
  <c r="B1492" i="17"/>
  <c r="I1491" i="17"/>
  <c r="C1491" i="17"/>
  <c r="B1491" i="17"/>
  <c r="I1490" i="17"/>
  <c r="C1490" i="17"/>
  <c r="B1490" i="17"/>
  <c r="I1489" i="17"/>
  <c r="C1489" i="17"/>
  <c r="B1489" i="17"/>
  <c r="I1488" i="17"/>
  <c r="C1488" i="17"/>
  <c r="B1488" i="17"/>
  <c r="I1487" i="17"/>
  <c r="C1487" i="17"/>
  <c r="B1487" i="17"/>
  <c r="I1486" i="17"/>
  <c r="C1486" i="17"/>
  <c r="B1486" i="17"/>
  <c r="I1485" i="17"/>
  <c r="C1485" i="17"/>
  <c r="B1485" i="17"/>
  <c r="I1484" i="17"/>
  <c r="C1484" i="17"/>
  <c r="B1484" i="17"/>
  <c r="I1483" i="17"/>
  <c r="C1483" i="17"/>
  <c r="B1483" i="17"/>
  <c r="I1482" i="17"/>
  <c r="C1482" i="17"/>
  <c r="B1482" i="17"/>
  <c r="I1481" i="17"/>
  <c r="C1481" i="17"/>
  <c r="B1481" i="17"/>
  <c r="I1480" i="17"/>
  <c r="C1480" i="17"/>
  <c r="B1480" i="17"/>
  <c r="I1479" i="17"/>
  <c r="C1479" i="17"/>
  <c r="B1479" i="17"/>
  <c r="I1478" i="17"/>
  <c r="C1478" i="17"/>
  <c r="B1478" i="17"/>
  <c r="I1477" i="17"/>
  <c r="C1477" i="17"/>
  <c r="B1477" i="17"/>
  <c r="I1476" i="17"/>
  <c r="C1476" i="17"/>
  <c r="B1476" i="17"/>
  <c r="I1475" i="17"/>
  <c r="C1475" i="17"/>
  <c r="B1475" i="17"/>
  <c r="I1474" i="17"/>
  <c r="C1474" i="17"/>
  <c r="B1474" i="17"/>
  <c r="I1473" i="17"/>
  <c r="C1473" i="17"/>
  <c r="B1473" i="17"/>
  <c r="I1472" i="17"/>
  <c r="C1472" i="17"/>
  <c r="B1472" i="17"/>
  <c r="I1471" i="17"/>
  <c r="C1471" i="17"/>
  <c r="B1471" i="17"/>
  <c r="I1470" i="17"/>
  <c r="C1470" i="17"/>
  <c r="B1470" i="17"/>
  <c r="I1469" i="17"/>
  <c r="C1469" i="17"/>
  <c r="B1469" i="17"/>
  <c r="I1468" i="17"/>
  <c r="C1468" i="17"/>
  <c r="B1468" i="17"/>
  <c r="I1467" i="17"/>
  <c r="C1467" i="17"/>
  <c r="B1467" i="17"/>
  <c r="I1466" i="17"/>
  <c r="C1466" i="17"/>
  <c r="B1466" i="17"/>
  <c r="I1465" i="17"/>
  <c r="C1465" i="17"/>
  <c r="B1465" i="17"/>
  <c r="I1464" i="17"/>
  <c r="C1464" i="17"/>
  <c r="B1464" i="17"/>
  <c r="I1463" i="17"/>
  <c r="C1463" i="17"/>
  <c r="B1463" i="17"/>
  <c r="I1462" i="17"/>
  <c r="C1462" i="17"/>
  <c r="B1462" i="17"/>
  <c r="I1461" i="17"/>
  <c r="C1461" i="17"/>
  <c r="B1461" i="17"/>
  <c r="I1460" i="17"/>
  <c r="C1460" i="17"/>
  <c r="B1460" i="17"/>
  <c r="I1459" i="17"/>
  <c r="C1459" i="17"/>
  <c r="B1459" i="17"/>
  <c r="I1458" i="17"/>
  <c r="C1458" i="17"/>
  <c r="B1458" i="17"/>
  <c r="I1457" i="17"/>
  <c r="C1457" i="17"/>
  <c r="B1457" i="17"/>
  <c r="I1456" i="17"/>
  <c r="C1456" i="17"/>
  <c r="B1456" i="17"/>
  <c r="I1455" i="17"/>
  <c r="C1455" i="17"/>
  <c r="B1455" i="17"/>
  <c r="I1454" i="17"/>
  <c r="C1454" i="17"/>
  <c r="B1454" i="17"/>
  <c r="I1453" i="17"/>
  <c r="C1453" i="17"/>
  <c r="B1453" i="17"/>
  <c r="I1452" i="17"/>
  <c r="C1452" i="17"/>
  <c r="B1452" i="17"/>
  <c r="I1451" i="17"/>
  <c r="C1451" i="17"/>
  <c r="B1451" i="17"/>
  <c r="I1450" i="17"/>
  <c r="C1450" i="17"/>
  <c r="B1450" i="17"/>
  <c r="I1449" i="17"/>
  <c r="C1449" i="17"/>
  <c r="B1449" i="17"/>
  <c r="I1448" i="17"/>
  <c r="C1448" i="17"/>
  <c r="B1448" i="17"/>
  <c r="I1447" i="17"/>
  <c r="C1447" i="17"/>
  <c r="B1447" i="17"/>
  <c r="I1446" i="17"/>
  <c r="C1446" i="17"/>
  <c r="B1446" i="17"/>
  <c r="I1445" i="17"/>
  <c r="C1445" i="17"/>
  <c r="B1445" i="17"/>
  <c r="I1444" i="17"/>
  <c r="C1444" i="17"/>
  <c r="B1444" i="17"/>
  <c r="I1443" i="17"/>
  <c r="C1443" i="17"/>
  <c r="B1443" i="17"/>
  <c r="I1442" i="17"/>
  <c r="C1442" i="17"/>
  <c r="B1442" i="17"/>
  <c r="I1441" i="17"/>
  <c r="C1441" i="17"/>
  <c r="B1441" i="17"/>
  <c r="I1440" i="17"/>
  <c r="C1440" i="17"/>
  <c r="B1440" i="17"/>
  <c r="I1439" i="17"/>
  <c r="C1439" i="17"/>
  <c r="B1439" i="17"/>
  <c r="I1438" i="17"/>
  <c r="C1438" i="17"/>
  <c r="B1438" i="17"/>
  <c r="I1437" i="17"/>
  <c r="C1437" i="17"/>
  <c r="B1437" i="17"/>
  <c r="I1436" i="17"/>
  <c r="C1436" i="17"/>
  <c r="B1436" i="17"/>
  <c r="I1435" i="17"/>
  <c r="C1435" i="17"/>
  <c r="B1435" i="17"/>
  <c r="I1434" i="17"/>
  <c r="C1434" i="17"/>
  <c r="B1434" i="17"/>
  <c r="I1433" i="17"/>
  <c r="C1433" i="17"/>
  <c r="B1433" i="17"/>
  <c r="I1432" i="17"/>
  <c r="C1432" i="17"/>
  <c r="B1432" i="17"/>
  <c r="I1431" i="17"/>
  <c r="C1431" i="17"/>
  <c r="B1431" i="17"/>
  <c r="I1430" i="17"/>
  <c r="C1430" i="17"/>
  <c r="B1430" i="17"/>
  <c r="I1429" i="17"/>
  <c r="C1429" i="17"/>
  <c r="B1429" i="17"/>
  <c r="I1428" i="17"/>
  <c r="C1428" i="17"/>
  <c r="B1428" i="17"/>
  <c r="I1427" i="17"/>
  <c r="C1427" i="17"/>
  <c r="B1427" i="17"/>
  <c r="I1426" i="17"/>
  <c r="C1426" i="17"/>
  <c r="B1426" i="17"/>
  <c r="I1425" i="17"/>
  <c r="C1425" i="17"/>
  <c r="B1425" i="17"/>
  <c r="I1424" i="17"/>
  <c r="C1424" i="17"/>
  <c r="B1424" i="17"/>
  <c r="I1423" i="17"/>
  <c r="C1423" i="17"/>
  <c r="B1423" i="17"/>
  <c r="I1422" i="17"/>
  <c r="C1422" i="17"/>
  <c r="B1422" i="17"/>
  <c r="I1421" i="17"/>
  <c r="C1421" i="17"/>
  <c r="B1421" i="17"/>
  <c r="I1420" i="17"/>
  <c r="C1420" i="17"/>
  <c r="B1420" i="17"/>
  <c r="I1419" i="17"/>
  <c r="C1419" i="17"/>
  <c r="B1419" i="17"/>
  <c r="I1418" i="17"/>
  <c r="C1418" i="17"/>
  <c r="B1418" i="17"/>
  <c r="I1417" i="17"/>
  <c r="C1417" i="17"/>
  <c r="B1417" i="17"/>
  <c r="I1416" i="17"/>
  <c r="C1416" i="17"/>
  <c r="B1416" i="17"/>
  <c r="I1415" i="17"/>
  <c r="C1415" i="17"/>
  <c r="B1415" i="17"/>
  <c r="I1414" i="17"/>
  <c r="C1414" i="17"/>
  <c r="B1414" i="17"/>
  <c r="I1413" i="17"/>
  <c r="C1413" i="17"/>
  <c r="B1413" i="17"/>
  <c r="I1412" i="17"/>
  <c r="C1412" i="17"/>
  <c r="B1412" i="17"/>
  <c r="I1411" i="17"/>
  <c r="C1411" i="17"/>
  <c r="B1411" i="17"/>
  <c r="I1410" i="17"/>
  <c r="C1410" i="17"/>
  <c r="B1410" i="17"/>
  <c r="I1409" i="17"/>
  <c r="C1409" i="17"/>
  <c r="B1409" i="17"/>
  <c r="I1408" i="17"/>
  <c r="C1408" i="17"/>
  <c r="B1408" i="17"/>
  <c r="I1407" i="17"/>
  <c r="C1407" i="17"/>
  <c r="B1407" i="17"/>
  <c r="I1406" i="17"/>
  <c r="C1406" i="17"/>
  <c r="B1406" i="17"/>
  <c r="I1405" i="17"/>
  <c r="C1405" i="17"/>
  <c r="B1405" i="17"/>
  <c r="I1404" i="17"/>
  <c r="C1404" i="17"/>
  <c r="B1404" i="17"/>
  <c r="I1403" i="17"/>
  <c r="C1403" i="17"/>
  <c r="B1403" i="17"/>
  <c r="I1402" i="17"/>
  <c r="C1402" i="17"/>
  <c r="B1402" i="17"/>
  <c r="I1401" i="17"/>
  <c r="C1401" i="17"/>
  <c r="B1401" i="17"/>
  <c r="I1400" i="17"/>
  <c r="C1400" i="17"/>
  <c r="B1400" i="17"/>
  <c r="I1399" i="17"/>
  <c r="C1399" i="17"/>
  <c r="B1399" i="17"/>
  <c r="I1398" i="17"/>
  <c r="C1398" i="17"/>
  <c r="B1398" i="17"/>
  <c r="I1397" i="17"/>
  <c r="C1397" i="17"/>
  <c r="B1397" i="17"/>
  <c r="I1396" i="17"/>
  <c r="C1396" i="17"/>
  <c r="B1396" i="17"/>
  <c r="I1395" i="17"/>
  <c r="C1395" i="17"/>
  <c r="B1395" i="17"/>
  <c r="I1394" i="17"/>
  <c r="C1394" i="17"/>
  <c r="B1394" i="17"/>
  <c r="I1393" i="17"/>
  <c r="C1393" i="17"/>
  <c r="B1393" i="17"/>
  <c r="I1392" i="17"/>
  <c r="C1392" i="17"/>
  <c r="B1392" i="17"/>
  <c r="I1391" i="17"/>
  <c r="C1391" i="17"/>
  <c r="B1391" i="17"/>
  <c r="I1390" i="17"/>
  <c r="C1390" i="17"/>
  <c r="B1390" i="17"/>
  <c r="I1389" i="17"/>
  <c r="C1389" i="17"/>
  <c r="B1389" i="17"/>
  <c r="I1388" i="17"/>
  <c r="C1388" i="17"/>
  <c r="B1388" i="17"/>
  <c r="I1387" i="17"/>
  <c r="C1387" i="17"/>
  <c r="B1387" i="17"/>
  <c r="I1386" i="17"/>
  <c r="C1386" i="17"/>
  <c r="B1386" i="17"/>
  <c r="I1385" i="17"/>
  <c r="C1385" i="17"/>
  <c r="B1385" i="17"/>
  <c r="I1384" i="17"/>
  <c r="C1384" i="17"/>
  <c r="B1384" i="17"/>
  <c r="I1383" i="17"/>
  <c r="C1383" i="17"/>
  <c r="B1383" i="17"/>
  <c r="I1382" i="17"/>
  <c r="C1382" i="17"/>
  <c r="B1382" i="17"/>
  <c r="I1381" i="17"/>
  <c r="C1381" i="17"/>
  <c r="B1381" i="17"/>
  <c r="I1380" i="17"/>
  <c r="C1380" i="17"/>
  <c r="B1380" i="17"/>
  <c r="I1379" i="17"/>
  <c r="C1379" i="17"/>
  <c r="B1379" i="17"/>
  <c r="I1378" i="17"/>
  <c r="C1378" i="17"/>
  <c r="B1378" i="17"/>
  <c r="I1377" i="17"/>
  <c r="C1377" i="17"/>
  <c r="B1377" i="17"/>
  <c r="I1376" i="17"/>
  <c r="C1376" i="17"/>
  <c r="B1376" i="17"/>
  <c r="I1375" i="17"/>
  <c r="C1375" i="17"/>
  <c r="B1375" i="17"/>
  <c r="I1374" i="17"/>
  <c r="C1374" i="17"/>
  <c r="B1374" i="17"/>
  <c r="I1373" i="17"/>
  <c r="C1373" i="17"/>
  <c r="B1373" i="17"/>
  <c r="I1372" i="17"/>
  <c r="C1372" i="17"/>
  <c r="B1372" i="17"/>
  <c r="I1371" i="17"/>
  <c r="C1371" i="17"/>
  <c r="B1371" i="17"/>
  <c r="I1370" i="17"/>
  <c r="C1370" i="17"/>
  <c r="B1370" i="17"/>
  <c r="I1369" i="17"/>
  <c r="C1369" i="17"/>
  <c r="B1369" i="17"/>
  <c r="I1368" i="17"/>
  <c r="C1368" i="17"/>
  <c r="B1368" i="17"/>
  <c r="I1367" i="17"/>
  <c r="C1367" i="17"/>
  <c r="B1367" i="17"/>
  <c r="I1366" i="17"/>
  <c r="C1366" i="17"/>
  <c r="B1366" i="17"/>
  <c r="I1365" i="17"/>
  <c r="C1365" i="17"/>
  <c r="B1365" i="17"/>
  <c r="I1364" i="17"/>
  <c r="C1364" i="17"/>
  <c r="B1364" i="17"/>
  <c r="I1363" i="17"/>
  <c r="C1363" i="17"/>
  <c r="B1363" i="17"/>
  <c r="I1362" i="17"/>
  <c r="C1362" i="17"/>
  <c r="B1362" i="17"/>
  <c r="I1361" i="17"/>
  <c r="C1361" i="17"/>
  <c r="B1361" i="17"/>
  <c r="I1360" i="17"/>
  <c r="C1360" i="17"/>
  <c r="B1360" i="17"/>
  <c r="I1359" i="17"/>
  <c r="C1359" i="17"/>
  <c r="B1359" i="17"/>
  <c r="I1358" i="17"/>
  <c r="C1358" i="17"/>
  <c r="B1358" i="17"/>
  <c r="I1357" i="17"/>
  <c r="C1357" i="17"/>
  <c r="B1357" i="17"/>
  <c r="I1356" i="17"/>
  <c r="C1356" i="17"/>
  <c r="B1356" i="17"/>
  <c r="I1355" i="17"/>
  <c r="C1355" i="17"/>
  <c r="B1355" i="17"/>
  <c r="I1354" i="17"/>
  <c r="C1354" i="17"/>
  <c r="B1354" i="17"/>
  <c r="I1353" i="17"/>
  <c r="C1353" i="17"/>
  <c r="B1353" i="17"/>
  <c r="I1352" i="17"/>
  <c r="C1352" i="17"/>
  <c r="B1352" i="17"/>
  <c r="I1351" i="17"/>
  <c r="C1351" i="17"/>
  <c r="B1351" i="17"/>
  <c r="I1350" i="17"/>
  <c r="C1350" i="17"/>
  <c r="B1350" i="17"/>
  <c r="I1349" i="17"/>
  <c r="C1349" i="17"/>
  <c r="B1349" i="17"/>
  <c r="I1348" i="17"/>
  <c r="C1348" i="17"/>
  <c r="B1348" i="17"/>
  <c r="I1347" i="17"/>
  <c r="C1347" i="17"/>
  <c r="B1347" i="17"/>
  <c r="I1346" i="17"/>
  <c r="C1346" i="17"/>
  <c r="B1346" i="17"/>
  <c r="I1345" i="17"/>
  <c r="C1345" i="17"/>
  <c r="B1345" i="17"/>
  <c r="I1344" i="17"/>
  <c r="C1344" i="17"/>
  <c r="B1344" i="17"/>
  <c r="I1343" i="17"/>
  <c r="C1343" i="17"/>
  <c r="B1343" i="17"/>
  <c r="I1342" i="17"/>
  <c r="C1342" i="17"/>
  <c r="B1342" i="17"/>
  <c r="I1341" i="17"/>
  <c r="C1341" i="17"/>
  <c r="B1341" i="17"/>
  <c r="I1340" i="17"/>
  <c r="C1340" i="17"/>
  <c r="B1340" i="17"/>
  <c r="I1339" i="17"/>
  <c r="C1339" i="17"/>
  <c r="B1339" i="17"/>
  <c r="I1338" i="17"/>
  <c r="C1338" i="17"/>
  <c r="B1338" i="17"/>
  <c r="I1337" i="17"/>
  <c r="C1337" i="17"/>
  <c r="B1337" i="17"/>
  <c r="I1336" i="17"/>
  <c r="C1336" i="17"/>
  <c r="B1336" i="17"/>
  <c r="I1335" i="17"/>
  <c r="C1335" i="17"/>
  <c r="B1335" i="17"/>
  <c r="I1334" i="17"/>
  <c r="C1334" i="17"/>
  <c r="B1334" i="17"/>
  <c r="I1333" i="17"/>
  <c r="C1333" i="17"/>
  <c r="B1333" i="17"/>
  <c r="I1332" i="17"/>
  <c r="C1332" i="17"/>
  <c r="B1332" i="17"/>
  <c r="I1331" i="17"/>
  <c r="C1331" i="17"/>
  <c r="B1331" i="17"/>
  <c r="I1330" i="17"/>
  <c r="C1330" i="17"/>
  <c r="B1330" i="17"/>
  <c r="I1329" i="17"/>
  <c r="C1329" i="17"/>
  <c r="B1329" i="17"/>
  <c r="I1328" i="17"/>
  <c r="C1328" i="17"/>
  <c r="B1328" i="17"/>
  <c r="I1327" i="17"/>
  <c r="C1327" i="17"/>
  <c r="B1327" i="17"/>
  <c r="I1326" i="17"/>
  <c r="C1326" i="17"/>
  <c r="B1326" i="17"/>
  <c r="I1325" i="17"/>
  <c r="C1325" i="17"/>
  <c r="B1325" i="17"/>
  <c r="I1324" i="17"/>
  <c r="C1324" i="17"/>
  <c r="B1324" i="17"/>
  <c r="I1323" i="17"/>
  <c r="C1323" i="17"/>
  <c r="B1323" i="17"/>
  <c r="I1322" i="17"/>
  <c r="C1322" i="17"/>
  <c r="B1322" i="17"/>
  <c r="I1321" i="17"/>
  <c r="C1321" i="17"/>
  <c r="B1321" i="17"/>
  <c r="I1320" i="17"/>
  <c r="C1320" i="17"/>
  <c r="B1320" i="17"/>
  <c r="I1319" i="17"/>
  <c r="C1319" i="17"/>
  <c r="B1319" i="17"/>
  <c r="I1318" i="17"/>
  <c r="C1318" i="17"/>
  <c r="B1318" i="17"/>
  <c r="I1317" i="17"/>
  <c r="C1317" i="17"/>
  <c r="B1317" i="17"/>
  <c r="I1316" i="17"/>
  <c r="C1316" i="17"/>
  <c r="B1316" i="17"/>
  <c r="I1315" i="17"/>
  <c r="C1315" i="17"/>
  <c r="B1315" i="17"/>
  <c r="I1314" i="17"/>
  <c r="C1314" i="17"/>
  <c r="B1314" i="17"/>
  <c r="I1313" i="17"/>
  <c r="C1313" i="17"/>
  <c r="B1313" i="17"/>
  <c r="I1312" i="17"/>
  <c r="C1312" i="17"/>
  <c r="B1312" i="17"/>
  <c r="I1311" i="17"/>
  <c r="C1311" i="17"/>
  <c r="B1311" i="17"/>
  <c r="I1310" i="17"/>
  <c r="C1310" i="17"/>
  <c r="B1310" i="17"/>
  <c r="I1309" i="17"/>
  <c r="C1309" i="17"/>
  <c r="B1309" i="17"/>
  <c r="I1308" i="17"/>
  <c r="C1308" i="17"/>
  <c r="B1308" i="17"/>
  <c r="I1307" i="17"/>
  <c r="C1307" i="17"/>
  <c r="B1307" i="17"/>
  <c r="I1306" i="17"/>
  <c r="C1306" i="17"/>
  <c r="B1306" i="17"/>
  <c r="I1305" i="17"/>
  <c r="C1305" i="17"/>
  <c r="B1305" i="17"/>
  <c r="I1304" i="17"/>
  <c r="C1304" i="17"/>
  <c r="B1304" i="17"/>
  <c r="I1303" i="17"/>
  <c r="C1303" i="17"/>
  <c r="B1303" i="17"/>
  <c r="I1302" i="17"/>
  <c r="C1302" i="17"/>
  <c r="B1302" i="17"/>
  <c r="I1301" i="17"/>
  <c r="C1301" i="17"/>
  <c r="B1301" i="17"/>
  <c r="I1300" i="17"/>
  <c r="C1300" i="17"/>
  <c r="B1300" i="17"/>
  <c r="I1299" i="17"/>
  <c r="C1299" i="17"/>
  <c r="B1299" i="17"/>
  <c r="I1298" i="17"/>
  <c r="C1298" i="17"/>
  <c r="B1298" i="17"/>
  <c r="I1297" i="17"/>
  <c r="C1297" i="17"/>
  <c r="B1297" i="17"/>
  <c r="I1296" i="17"/>
  <c r="C1296" i="17"/>
  <c r="B1296" i="17"/>
  <c r="I1295" i="17"/>
  <c r="C1295" i="17"/>
  <c r="B1295" i="17"/>
  <c r="I1294" i="17"/>
  <c r="C1294" i="17"/>
  <c r="B1294" i="17"/>
  <c r="I1293" i="17"/>
  <c r="C1293" i="17"/>
  <c r="B1293" i="17"/>
  <c r="I1292" i="17"/>
  <c r="C1292" i="17"/>
  <c r="B1292" i="17"/>
  <c r="I1291" i="17"/>
  <c r="C1291" i="17"/>
  <c r="B1291" i="17"/>
  <c r="I1290" i="17"/>
  <c r="C1290" i="17"/>
  <c r="B1290" i="17"/>
  <c r="I1289" i="17"/>
  <c r="C1289" i="17"/>
  <c r="B1289" i="17"/>
  <c r="I1288" i="17"/>
  <c r="C1288" i="17"/>
  <c r="B1288" i="17"/>
  <c r="I1287" i="17"/>
  <c r="C1287" i="17"/>
  <c r="B1287" i="17"/>
  <c r="I1286" i="17"/>
  <c r="C1286" i="17"/>
  <c r="B1286" i="17"/>
  <c r="I1285" i="17"/>
  <c r="C1285" i="17"/>
  <c r="B1285" i="17"/>
  <c r="I1284" i="17"/>
  <c r="C1284" i="17"/>
  <c r="B1284" i="17"/>
  <c r="I1283" i="17"/>
  <c r="C1283" i="17"/>
  <c r="B1283" i="17"/>
  <c r="I1282" i="17"/>
  <c r="C1282" i="17"/>
  <c r="B1282" i="17"/>
  <c r="I1281" i="17"/>
  <c r="C1281" i="17"/>
  <c r="B1281" i="17"/>
  <c r="I1280" i="17"/>
  <c r="C1280" i="17"/>
  <c r="B1280" i="17"/>
  <c r="I1279" i="17"/>
  <c r="C1279" i="17"/>
  <c r="B1279" i="17"/>
  <c r="I1278" i="17"/>
  <c r="C1278" i="17"/>
  <c r="B1278" i="17"/>
  <c r="I1277" i="17"/>
  <c r="C1277" i="17"/>
  <c r="B1277" i="17"/>
  <c r="I1276" i="17"/>
  <c r="C1276" i="17"/>
  <c r="B1276" i="17"/>
  <c r="I1275" i="17"/>
  <c r="C1275" i="17"/>
  <c r="B1275" i="17"/>
  <c r="I1274" i="17"/>
  <c r="C1274" i="17"/>
  <c r="B1274" i="17"/>
  <c r="I1273" i="17"/>
  <c r="C1273" i="17"/>
  <c r="B1273" i="17"/>
  <c r="I1272" i="17"/>
  <c r="C1272" i="17"/>
  <c r="B1272" i="17"/>
  <c r="I1271" i="17"/>
  <c r="C1271" i="17"/>
  <c r="B1271" i="17"/>
  <c r="I1270" i="17"/>
  <c r="C1270" i="17"/>
  <c r="B1270" i="17"/>
  <c r="I1269" i="17"/>
  <c r="C1269" i="17"/>
  <c r="B1269" i="17"/>
  <c r="I1268" i="17"/>
  <c r="C1268" i="17"/>
  <c r="B1268" i="17"/>
  <c r="I1267" i="17"/>
  <c r="C1267" i="17"/>
  <c r="B1267" i="17"/>
  <c r="I1266" i="17"/>
  <c r="C1266" i="17"/>
  <c r="B1266" i="17"/>
  <c r="I1265" i="17"/>
  <c r="C1265" i="17"/>
  <c r="B1265" i="17"/>
  <c r="I1264" i="17"/>
  <c r="C1264" i="17"/>
  <c r="B1264" i="17"/>
  <c r="I1263" i="17"/>
  <c r="C1263" i="17"/>
  <c r="B1263" i="17"/>
  <c r="I1262" i="17"/>
  <c r="C1262" i="17"/>
  <c r="B1262" i="17"/>
  <c r="I1261" i="17"/>
  <c r="C1261" i="17"/>
  <c r="B1261" i="17"/>
  <c r="I1260" i="17"/>
  <c r="C1260" i="17"/>
  <c r="B1260" i="17"/>
  <c r="I1259" i="17"/>
  <c r="C1259" i="17"/>
  <c r="B1259" i="17"/>
  <c r="I1258" i="17"/>
  <c r="C1258" i="17"/>
  <c r="B1258" i="17"/>
  <c r="I1257" i="17"/>
  <c r="C1257" i="17"/>
  <c r="B1257" i="17"/>
  <c r="I1256" i="17"/>
  <c r="C1256" i="17"/>
  <c r="B1256" i="17"/>
  <c r="I1255" i="17"/>
  <c r="C1255" i="17"/>
  <c r="B1255" i="17"/>
  <c r="I1254" i="17"/>
  <c r="C1254" i="17"/>
  <c r="B1254" i="17"/>
  <c r="I1253" i="17"/>
  <c r="C1253" i="17"/>
  <c r="B1253" i="17"/>
  <c r="I1252" i="17"/>
  <c r="C1252" i="17"/>
  <c r="B1252" i="17"/>
  <c r="I1251" i="17"/>
  <c r="C1251" i="17"/>
  <c r="B1251" i="17"/>
  <c r="I1250" i="17"/>
  <c r="C1250" i="17"/>
  <c r="B1250" i="17"/>
  <c r="I1249" i="17"/>
  <c r="C1249" i="17"/>
  <c r="B1249" i="17"/>
  <c r="I1248" i="17"/>
  <c r="C1248" i="17"/>
  <c r="B1248" i="17"/>
  <c r="I1247" i="17"/>
  <c r="C1247" i="17"/>
  <c r="B1247" i="17"/>
  <c r="I1246" i="17"/>
  <c r="C1246" i="17"/>
  <c r="B1246" i="17"/>
  <c r="I1245" i="17"/>
  <c r="C1245" i="17"/>
  <c r="B1245" i="17"/>
  <c r="I1244" i="17"/>
  <c r="C1244" i="17"/>
  <c r="B1244" i="17"/>
  <c r="I1243" i="17"/>
  <c r="C1243" i="17"/>
  <c r="B1243" i="17"/>
  <c r="I1242" i="17"/>
  <c r="C1242" i="17"/>
  <c r="B1242" i="17"/>
  <c r="I1241" i="17"/>
  <c r="C1241" i="17"/>
  <c r="B1241" i="17"/>
  <c r="I1240" i="17"/>
  <c r="C1240" i="17"/>
  <c r="B1240" i="17"/>
  <c r="I1239" i="17"/>
  <c r="C1239" i="17"/>
  <c r="B1239" i="17"/>
  <c r="I1238" i="17"/>
  <c r="C1238" i="17"/>
  <c r="B1238" i="17"/>
  <c r="I1237" i="17"/>
  <c r="C1237" i="17"/>
  <c r="B1237" i="17"/>
  <c r="I1236" i="17"/>
  <c r="C1236" i="17"/>
  <c r="B1236" i="17"/>
  <c r="I1235" i="17"/>
  <c r="C1235" i="17"/>
  <c r="B1235" i="17"/>
  <c r="I1234" i="17"/>
  <c r="C1234" i="17"/>
  <c r="B1234" i="17"/>
  <c r="I1233" i="17"/>
  <c r="C1233" i="17"/>
  <c r="B1233" i="17"/>
  <c r="I1232" i="17"/>
  <c r="C1232" i="17"/>
  <c r="B1232" i="17"/>
  <c r="I1231" i="17"/>
  <c r="C1231" i="17"/>
  <c r="B1231" i="17"/>
  <c r="I1230" i="17"/>
  <c r="C1230" i="17"/>
  <c r="B1230" i="17"/>
  <c r="I1229" i="17"/>
  <c r="C1229" i="17"/>
  <c r="B1229" i="17"/>
  <c r="I1228" i="17"/>
  <c r="C1228" i="17"/>
  <c r="B1228" i="17"/>
  <c r="I1227" i="17"/>
  <c r="C1227" i="17"/>
  <c r="B1227" i="17"/>
  <c r="I1226" i="17"/>
  <c r="C1226" i="17"/>
  <c r="B1226" i="17"/>
  <c r="I1225" i="17"/>
  <c r="C1225" i="17"/>
  <c r="B1225" i="17"/>
  <c r="I1224" i="17"/>
  <c r="C1224" i="17"/>
  <c r="B1224" i="17"/>
  <c r="I1223" i="17"/>
  <c r="C1223" i="17"/>
  <c r="B1223" i="17"/>
  <c r="I1222" i="17"/>
  <c r="C1222" i="17"/>
  <c r="B1222" i="17"/>
  <c r="I1221" i="17"/>
  <c r="C1221" i="17"/>
  <c r="B1221" i="17"/>
  <c r="I1220" i="17"/>
  <c r="C1220" i="17"/>
  <c r="B1220" i="17"/>
  <c r="I1219" i="17"/>
  <c r="C1219" i="17"/>
  <c r="B1219" i="17"/>
  <c r="I1218" i="17"/>
  <c r="C1218" i="17"/>
  <c r="B1218" i="17"/>
  <c r="I1217" i="17"/>
  <c r="C1217" i="17"/>
  <c r="B1217" i="17"/>
  <c r="I1216" i="17"/>
  <c r="C1216" i="17"/>
  <c r="B1216" i="17"/>
  <c r="I1215" i="17"/>
  <c r="C1215" i="17"/>
  <c r="B1215" i="17"/>
  <c r="I1214" i="17"/>
  <c r="C1214" i="17"/>
  <c r="B1214" i="17"/>
  <c r="I1213" i="17"/>
  <c r="C1213" i="17"/>
  <c r="B1213" i="17"/>
  <c r="I1212" i="17"/>
  <c r="C1212" i="17"/>
  <c r="B1212" i="17"/>
  <c r="I1211" i="17"/>
  <c r="C1211" i="17"/>
  <c r="B1211" i="17"/>
  <c r="I1210" i="17"/>
  <c r="C1210" i="17"/>
  <c r="B1210" i="17"/>
  <c r="I1209" i="17"/>
  <c r="C1209" i="17"/>
  <c r="B1209" i="17"/>
  <c r="I1208" i="17"/>
  <c r="C1208" i="17"/>
  <c r="B1208" i="17"/>
  <c r="I1207" i="17"/>
  <c r="C1207" i="17"/>
  <c r="B1207" i="17"/>
  <c r="I1206" i="17"/>
  <c r="C1206" i="17"/>
  <c r="B1206" i="17"/>
  <c r="I1205" i="17"/>
  <c r="C1205" i="17"/>
  <c r="B1205" i="17"/>
  <c r="I1204" i="17"/>
  <c r="C1204" i="17"/>
  <c r="B1204" i="17"/>
  <c r="I1203" i="17"/>
  <c r="C1203" i="17"/>
  <c r="B1203" i="17"/>
  <c r="I1202" i="17"/>
  <c r="C1202" i="17"/>
  <c r="B1202" i="17"/>
  <c r="I1201" i="17"/>
  <c r="C1201" i="17"/>
  <c r="B1201" i="17"/>
  <c r="I1200" i="17"/>
  <c r="C1200" i="17"/>
  <c r="B1200" i="17"/>
  <c r="I1199" i="17"/>
  <c r="C1199" i="17"/>
  <c r="B1199" i="17"/>
  <c r="I1198" i="17"/>
  <c r="C1198" i="17"/>
  <c r="B1198" i="17"/>
  <c r="I1197" i="17"/>
  <c r="C1197" i="17"/>
  <c r="B1197" i="17"/>
  <c r="I1196" i="17"/>
  <c r="C1196" i="17"/>
  <c r="B1196" i="17"/>
  <c r="I1195" i="17"/>
  <c r="C1195" i="17"/>
  <c r="B1195" i="17"/>
  <c r="I1194" i="17"/>
  <c r="C1194" i="17"/>
  <c r="B1194" i="17"/>
  <c r="I1193" i="17"/>
  <c r="C1193" i="17"/>
  <c r="B1193" i="17"/>
  <c r="I1192" i="17"/>
  <c r="C1192" i="17"/>
  <c r="B1192" i="17"/>
  <c r="I1191" i="17"/>
  <c r="C1191" i="17"/>
  <c r="B1191" i="17"/>
  <c r="I1190" i="17"/>
  <c r="C1190" i="17"/>
  <c r="B1190" i="17"/>
  <c r="I1189" i="17"/>
  <c r="C1189" i="17"/>
  <c r="B1189" i="17"/>
  <c r="I1188" i="17"/>
  <c r="C1188" i="17"/>
  <c r="B1188" i="17"/>
  <c r="I1187" i="17"/>
  <c r="C1187" i="17"/>
  <c r="B1187" i="17"/>
  <c r="I1186" i="17"/>
  <c r="C1186" i="17"/>
  <c r="B1186" i="17"/>
  <c r="I1185" i="17"/>
  <c r="C1185" i="17"/>
  <c r="B1185" i="17"/>
  <c r="I1184" i="17"/>
  <c r="C1184" i="17"/>
  <c r="B1184" i="17"/>
  <c r="I1183" i="17"/>
  <c r="C1183" i="17"/>
  <c r="B1183" i="17"/>
  <c r="I1182" i="17"/>
  <c r="C1182" i="17"/>
  <c r="B1182" i="17"/>
  <c r="I1181" i="17"/>
  <c r="C1181" i="17"/>
  <c r="B1181" i="17"/>
  <c r="I1180" i="17"/>
  <c r="C1180" i="17"/>
  <c r="B1180" i="17"/>
  <c r="I1179" i="17"/>
  <c r="C1179" i="17"/>
  <c r="B1179" i="17"/>
  <c r="I1178" i="17"/>
  <c r="C1178" i="17"/>
  <c r="B1178" i="17"/>
  <c r="I1177" i="17"/>
  <c r="C1177" i="17"/>
  <c r="B1177" i="17"/>
  <c r="I1176" i="17"/>
  <c r="C1176" i="17"/>
  <c r="B1176" i="17"/>
  <c r="I1175" i="17"/>
  <c r="C1175" i="17"/>
  <c r="B1175" i="17"/>
  <c r="I1174" i="17"/>
  <c r="C1174" i="17"/>
  <c r="B1174" i="17"/>
  <c r="I1173" i="17"/>
  <c r="C1173" i="17"/>
  <c r="B1173" i="17"/>
  <c r="I1172" i="17"/>
  <c r="C1172" i="17"/>
  <c r="B1172" i="17"/>
  <c r="I1171" i="17"/>
  <c r="C1171" i="17"/>
  <c r="B1171" i="17"/>
  <c r="I1170" i="17"/>
  <c r="C1170" i="17"/>
  <c r="B1170" i="17"/>
  <c r="I1169" i="17"/>
  <c r="C1169" i="17"/>
  <c r="B1169" i="17"/>
  <c r="I1168" i="17"/>
  <c r="C1168" i="17"/>
  <c r="B1168" i="17"/>
  <c r="I1167" i="17"/>
  <c r="C1167" i="17"/>
  <c r="B1167" i="17"/>
  <c r="I1166" i="17"/>
  <c r="C1166" i="17"/>
  <c r="B1166" i="17"/>
  <c r="I1165" i="17"/>
  <c r="C1165" i="17"/>
  <c r="B1165" i="17"/>
  <c r="I1164" i="17"/>
  <c r="C1164" i="17"/>
  <c r="B1164" i="17"/>
  <c r="I1163" i="17"/>
  <c r="C1163" i="17"/>
  <c r="B1163" i="17"/>
  <c r="I1162" i="17"/>
  <c r="C1162" i="17"/>
  <c r="B1162" i="17"/>
  <c r="I1161" i="17"/>
  <c r="C1161" i="17"/>
  <c r="B1161" i="17"/>
  <c r="I1160" i="17"/>
  <c r="C1160" i="17"/>
  <c r="B1160" i="17"/>
  <c r="I1159" i="17"/>
  <c r="C1159" i="17"/>
  <c r="B1159" i="17"/>
  <c r="I1158" i="17"/>
  <c r="C1158" i="17"/>
  <c r="B1158" i="17"/>
  <c r="I1157" i="17"/>
  <c r="C1157" i="17"/>
  <c r="B1157" i="17"/>
  <c r="I1156" i="17"/>
  <c r="C1156" i="17"/>
  <c r="B1156" i="17"/>
  <c r="I1155" i="17"/>
  <c r="C1155" i="17"/>
  <c r="B1155" i="17"/>
  <c r="I1154" i="17"/>
  <c r="C1154" i="17"/>
  <c r="B1154" i="17"/>
  <c r="I1153" i="17"/>
  <c r="C1153" i="17"/>
  <c r="B1153" i="17"/>
  <c r="I1152" i="17"/>
  <c r="C1152" i="17"/>
  <c r="B1152" i="17"/>
  <c r="I1151" i="17"/>
  <c r="C1151" i="17"/>
  <c r="B1151" i="17"/>
  <c r="I1150" i="17"/>
  <c r="C1150" i="17"/>
  <c r="B1150" i="17"/>
  <c r="I1149" i="17"/>
  <c r="C1149" i="17"/>
  <c r="B1149" i="17"/>
  <c r="I1148" i="17"/>
  <c r="C1148" i="17"/>
  <c r="B1148" i="17"/>
  <c r="I1147" i="17"/>
  <c r="C1147" i="17"/>
  <c r="B1147" i="17"/>
  <c r="I1146" i="17"/>
  <c r="C1146" i="17"/>
  <c r="B1146" i="17"/>
  <c r="I1145" i="17"/>
  <c r="C1145" i="17"/>
  <c r="B1145" i="17"/>
  <c r="I1144" i="17"/>
  <c r="C1144" i="17"/>
  <c r="B1144" i="17"/>
  <c r="I1143" i="17"/>
  <c r="C1143" i="17"/>
  <c r="B1143" i="17"/>
  <c r="I1142" i="17"/>
  <c r="C1142" i="17"/>
  <c r="B1142" i="17"/>
  <c r="I1141" i="17"/>
  <c r="C1141" i="17"/>
  <c r="B1141" i="17"/>
  <c r="I1140" i="17"/>
  <c r="C1140" i="17"/>
  <c r="B1140" i="17"/>
  <c r="I1139" i="17"/>
  <c r="C1139" i="17"/>
  <c r="B1139" i="17"/>
  <c r="I1138" i="17"/>
  <c r="C1138" i="17"/>
  <c r="B1138" i="17"/>
  <c r="I1137" i="17"/>
  <c r="C1137" i="17"/>
  <c r="B1137" i="17"/>
  <c r="I1136" i="17"/>
  <c r="C1136" i="17"/>
  <c r="B1136" i="17"/>
  <c r="I1135" i="17"/>
  <c r="C1135" i="17"/>
  <c r="B1135" i="17"/>
  <c r="I1134" i="17"/>
  <c r="C1134" i="17"/>
  <c r="B1134" i="17"/>
  <c r="I1133" i="17"/>
  <c r="C1133" i="17"/>
  <c r="B1133" i="17"/>
  <c r="I1132" i="17"/>
  <c r="C1132" i="17"/>
  <c r="B1132" i="17"/>
  <c r="I1131" i="17"/>
  <c r="C1131" i="17"/>
  <c r="B1131" i="17"/>
  <c r="I1130" i="17"/>
  <c r="C1130" i="17"/>
  <c r="B1130" i="17"/>
  <c r="I1129" i="17"/>
  <c r="C1129" i="17"/>
  <c r="B1129" i="17"/>
  <c r="I1128" i="17"/>
  <c r="C1128" i="17"/>
  <c r="B1128" i="17"/>
  <c r="I1127" i="17"/>
  <c r="C1127" i="17"/>
  <c r="B1127" i="17"/>
  <c r="I1126" i="17"/>
  <c r="C1126" i="17"/>
  <c r="B1126" i="17"/>
  <c r="I1125" i="17"/>
  <c r="C1125" i="17"/>
  <c r="B1125" i="17"/>
  <c r="I1124" i="17"/>
  <c r="C1124" i="17"/>
  <c r="B1124" i="17"/>
  <c r="I1123" i="17"/>
  <c r="C1123" i="17"/>
  <c r="B1123" i="17"/>
  <c r="I1122" i="17"/>
  <c r="C1122" i="17"/>
  <c r="B1122" i="17"/>
  <c r="I1121" i="17"/>
  <c r="C1121" i="17"/>
  <c r="B1121" i="17"/>
  <c r="I1120" i="17"/>
  <c r="C1120" i="17"/>
  <c r="B1120" i="17"/>
  <c r="I1119" i="17"/>
  <c r="C1119" i="17"/>
  <c r="B1119" i="17"/>
  <c r="I1118" i="17"/>
  <c r="C1118" i="17"/>
  <c r="B1118" i="17"/>
  <c r="I1117" i="17"/>
  <c r="C1117" i="17"/>
  <c r="B1117" i="17"/>
  <c r="I1116" i="17"/>
  <c r="C1116" i="17"/>
  <c r="B1116" i="17"/>
  <c r="I1115" i="17"/>
  <c r="C1115" i="17"/>
  <c r="B1115" i="17"/>
  <c r="I1114" i="17"/>
  <c r="C1114" i="17"/>
  <c r="B1114" i="17"/>
  <c r="I1113" i="17"/>
  <c r="C1113" i="17"/>
  <c r="B1113" i="17"/>
  <c r="I1112" i="17"/>
  <c r="C1112" i="17"/>
  <c r="B1112" i="17"/>
  <c r="I1111" i="17"/>
  <c r="C1111" i="17"/>
  <c r="B1111" i="17"/>
  <c r="I1110" i="17"/>
  <c r="C1110" i="17"/>
  <c r="B1110" i="17"/>
  <c r="I1109" i="17"/>
  <c r="C1109" i="17"/>
  <c r="B1109" i="17"/>
  <c r="I1108" i="17"/>
  <c r="C1108" i="17"/>
  <c r="B1108" i="17"/>
  <c r="I1107" i="17"/>
  <c r="C1107" i="17"/>
  <c r="B1107" i="17"/>
  <c r="I1106" i="17"/>
  <c r="C1106" i="17"/>
  <c r="B1106" i="17"/>
  <c r="I1105" i="17"/>
  <c r="C1105" i="17"/>
  <c r="B1105" i="17"/>
  <c r="I1104" i="17"/>
  <c r="C1104" i="17"/>
  <c r="B1104" i="17"/>
  <c r="I1103" i="17"/>
  <c r="C1103" i="17"/>
  <c r="B1103" i="17"/>
  <c r="I1102" i="17"/>
  <c r="C1102" i="17"/>
  <c r="B1102" i="17"/>
  <c r="I1101" i="17"/>
  <c r="C1101" i="17"/>
  <c r="B1101" i="17"/>
  <c r="I1100" i="17"/>
  <c r="C1100" i="17"/>
  <c r="B1100" i="17"/>
  <c r="I1099" i="17"/>
  <c r="C1099" i="17"/>
  <c r="B1099" i="17"/>
  <c r="I1098" i="17"/>
  <c r="C1098" i="17"/>
  <c r="B1098" i="17"/>
  <c r="I1097" i="17"/>
  <c r="C1097" i="17"/>
  <c r="B1097" i="17"/>
  <c r="I1096" i="17"/>
  <c r="C1096" i="17"/>
  <c r="B1096" i="17"/>
  <c r="I1095" i="17"/>
  <c r="C1095" i="17"/>
  <c r="B1095" i="17"/>
  <c r="I1094" i="17"/>
  <c r="C1094" i="17"/>
  <c r="B1094" i="17"/>
  <c r="I1093" i="17"/>
  <c r="C1093" i="17"/>
  <c r="B1093" i="17"/>
  <c r="I1092" i="17"/>
  <c r="C1092" i="17"/>
  <c r="B1092" i="17"/>
  <c r="I1091" i="17"/>
  <c r="C1091" i="17"/>
  <c r="B1091" i="17"/>
  <c r="I1090" i="17"/>
  <c r="C1090" i="17"/>
  <c r="B1090" i="17"/>
  <c r="I1089" i="17"/>
  <c r="C1089" i="17"/>
  <c r="B1089" i="17"/>
  <c r="I1088" i="17"/>
  <c r="C1088" i="17"/>
  <c r="B1088" i="17"/>
  <c r="I1087" i="17"/>
  <c r="C1087" i="17"/>
  <c r="B1087" i="17"/>
  <c r="I1086" i="17"/>
  <c r="C1086" i="17"/>
  <c r="B1086" i="17"/>
  <c r="I1085" i="17"/>
  <c r="C1085" i="17"/>
  <c r="B1085" i="17"/>
  <c r="I1084" i="17"/>
  <c r="C1084" i="17"/>
  <c r="B1084" i="17"/>
  <c r="I1083" i="17"/>
  <c r="C1083" i="17"/>
  <c r="B1083" i="17"/>
  <c r="I1082" i="17"/>
  <c r="C1082" i="17"/>
  <c r="B1082" i="17"/>
  <c r="I1081" i="17"/>
  <c r="C1081" i="17"/>
  <c r="B1081" i="17"/>
  <c r="I1080" i="17"/>
  <c r="C1080" i="17"/>
  <c r="B1080" i="17"/>
  <c r="I1079" i="17"/>
  <c r="C1079" i="17"/>
  <c r="B1079" i="17"/>
  <c r="I1078" i="17"/>
  <c r="C1078" i="17"/>
  <c r="B1078" i="17"/>
  <c r="I1077" i="17"/>
  <c r="C1077" i="17"/>
  <c r="B1077" i="17"/>
  <c r="I1076" i="17"/>
  <c r="C1076" i="17"/>
  <c r="B1076" i="17"/>
  <c r="I1075" i="17"/>
  <c r="C1075" i="17"/>
  <c r="B1075" i="17"/>
  <c r="I1074" i="17"/>
  <c r="C1074" i="17"/>
  <c r="B1074" i="17"/>
  <c r="I1073" i="17"/>
  <c r="C1073" i="17"/>
  <c r="B1073" i="17"/>
  <c r="I1072" i="17"/>
  <c r="C1072" i="17"/>
  <c r="B1072" i="17"/>
  <c r="I1071" i="17"/>
  <c r="C1071" i="17"/>
  <c r="B1071" i="17"/>
  <c r="I1070" i="17"/>
  <c r="C1070" i="17"/>
  <c r="B1070" i="17"/>
  <c r="I1069" i="17"/>
  <c r="C1069" i="17"/>
  <c r="B1069" i="17"/>
  <c r="I1068" i="17"/>
  <c r="C1068" i="17"/>
  <c r="B1068" i="17"/>
  <c r="I1067" i="17"/>
  <c r="C1067" i="17"/>
  <c r="B1067" i="17"/>
  <c r="I1066" i="17"/>
  <c r="C1066" i="17"/>
  <c r="B1066" i="17"/>
  <c r="I1065" i="17"/>
  <c r="C1065" i="17"/>
  <c r="B1065" i="17"/>
  <c r="I1064" i="17"/>
  <c r="C1064" i="17"/>
  <c r="B1064" i="17"/>
  <c r="I1063" i="17"/>
  <c r="C1063" i="17"/>
  <c r="B1063" i="17"/>
  <c r="I1062" i="17"/>
  <c r="C1062" i="17"/>
  <c r="B1062" i="17"/>
  <c r="I1061" i="17"/>
  <c r="C1061" i="17"/>
  <c r="B1061" i="17"/>
  <c r="I1060" i="17"/>
  <c r="C1060" i="17"/>
  <c r="B1060" i="17"/>
  <c r="I1059" i="17"/>
  <c r="C1059" i="17"/>
  <c r="B1059" i="17"/>
  <c r="I1058" i="17"/>
  <c r="C1058" i="17"/>
  <c r="B1058" i="17"/>
  <c r="I1057" i="17"/>
  <c r="C1057" i="17"/>
  <c r="B1057" i="17"/>
  <c r="I1056" i="17"/>
  <c r="C1056" i="17"/>
  <c r="B1056" i="17"/>
  <c r="I1055" i="17"/>
  <c r="C1055" i="17"/>
  <c r="B1055" i="17"/>
  <c r="I1054" i="17"/>
  <c r="C1054" i="17"/>
  <c r="B1054" i="17"/>
  <c r="I1053" i="17"/>
  <c r="C1053" i="17"/>
  <c r="B1053" i="17"/>
  <c r="I1052" i="17"/>
  <c r="C1052" i="17"/>
  <c r="B1052" i="17"/>
  <c r="I1051" i="17"/>
  <c r="C1051" i="17"/>
  <c r="B1051" i="17"/>
  <c r="I1050" i="17"/>
  <c r="C1050" i="17"/>
  <c r="B1050" i="17"/>
  <c r="I1049" i="17"/>
  <c r="C1049" i="17"/>
  <c r="B1049" i="17"/>
  <c r="I1048" i="17"/>
  <c r="C1048" i="17"/>
  <c r="B1048" i="17"/>
  <c r="I1047" i="17"/>
  <c r="C1047" i="17"/>
  <c r="B1047" i="17"/>
  <c r="I1046" i="17"/>
  <c r="C1046" i="17"/>
  <c r="B1046" i="17"/>
  <c r="I1045" i="17"/>
  <c r="C1045" i="17"/>
  <c r="B1045" i="17"/>
  <c r="I1044" i="17"/>
  <c r="C1044" i="17"/>
  <c r="B1044" i="17"/>
  <c r="I1043" i="17"/>
  <c r="C1043" i="17"/>
  <c r="B1043" i="17"/>
  <c r="I1042" i="17"/>
  <c r="C1042" i="17"/>
  <c r="B1042" i="17"/>
  <c r="I1041" i="17"/>
  <c r="C1041" i="17"/>
  <c r="B1041" i="17"/>
  <c r="I1040" i="17"/>
  <c r="C1040" i="17"/>
  <c r="B1040" i="17"/>
  <c r="I1039" i="17"/>
  <c r="C1039" i="17"/>
  <c r="B1039" i="17"/>
  <c r="I1038" i="17"/>
  <c r="C1038" i="17"/>
  <c r="B1038" i="17"/>
  <c r="I1037" i="17"/>
  <c r="C1037" i="17"/>
  <c r="B1037" i="17"/>
  <c r="I1036" i="17"/>
  <c r="C1036" i="17"/>
  <c r="B1036" i="17"/>
  <c r="I1035" i="17"/>
  <c r="C1035" i="17"/>
  <c r="B1035" i="17"/>
  <c r="I1034" i="17"/>
  <c r="C1034" i="17"/>
  <c r="B1034" i="17"/>
  <c r="I1033" i="17"/>
  <c r="C1033" i="17"/>
  <c r="B1033" i="17"/>
  <c r="I1032" i="17"/>
  <c r="C1032" i="17"/>
  <c r="B1032" i="17"/>
  <c r="I1031" i="17"/>
  <c r="C1031" i="17"/>
  <c r="B1031" i="17"/>
  <c r="I1030" i="17"/>
  <c r="C1030" i="17"/>
  <c r="B1030" i="17"/>
  <c r="I1029" i="17"/>
  <c r="C1029" i="17"/>
  <c r="B1029" i="17"/>
  <c r="I1028" i="17"/>
  <c r="C1028" i="17"/>
  <c r="B1028" i="17"/>
  <c r="I1027" i="17"/>
  <c r="C1027" i="17"/>
  <c r="B1027" i="17"/>
  <c r="I1026" i="17"/>
  <c r="C1026" i="17"/>
  <c r="B1026" i="17"/>
  <c r="I1025" i="17"/>
  <c r="C1025" i="17"/>
  <c r="B1025" i="17"/>
  <c r="I1024" i="17"/>
  <c r="C1024" i="17"/>
  <c r="B1024" i="17"/>
  <c r="I1023" i="17"/>
  <c r="C1023" i="17"/>
  <c r="B1023" i="17"/>
  <c r="I1022" i="17"/>
  <c r="C1022" i="17"/>
  <c r="B1022" i="17"/>
  <c r="I1021" i="17"/>
  <c r="C1021" i="17"/>
  <c r="B1021" i="17"/>
  <c r="I1020" i="17"/>
  <c r="C1020" i="17"/>
  <c r="B1020" i="17"/>
  <c r="I1019" i="17"/>
  <c r="C1019" i="17"/>
  <c r="B1019" i="17"/>
  <c r="I1018" i="17"/>
  <c r="C1018" i="17"/>
  <c r="B1018" i="17"/>
  <c r="I1017" i="17"/>
  <c r="C1017" i="17"/>
  <c r="B1017" i="17"/>
  <c r="I1016" i="17"/>
  <c r="C1016" i="17"/>
  <c r="B1016" i="17"/>
  <c r="I1015" i="17"/>
  <c r="C1015" i="17"/>
  <c r="B1015" i="17"/>
  <c r="I1014" i="17"/>
  <c r="C1014" i="17"/>
  <c r="B1014" i="17"/>
  <c r="I1013" i="17"/>
  <c r="C1013" i="17"/>
  <c r="B1013" i="17"/>
  <c r="I1012" i="17"/>
  <c r="C1012" i="17"/>
  <c r="B1012" i="17"/>
  <c r="I1011" i="17"/>
  <c r="C1011" i="17"/>
  <c r="B1011" i="17"/>
  <c r="I1010" i="17"/>
  <c r="C1010" i="17"/>
  <c r="B1010" i="17"/>
  <c r="I1009" i="17"/>
  <c r="C1009" i="17"/>
  <c r="B1009" i="17"/>
  <c r="I1008" i="17"/>
  <c r="C1008" i="17"/>
  <c r="B1008" i="17"/>
  <c r="I1007" i="17"/>
  <c r="C1007" i="17"/>
  <c r="B1007" i="17"/>
  <c r="I1006" i="17"/>
  <c r="C1006" i="17"/>
  <c r="B1006" i="17"/>
  <c r="I1005" i="17"/>
  <c r="C1005" i="17"/>
  <c r="B1005" i="17"/>
  <c r="I1004" i="17"/>
  <c r="C1004" i="17"/>
  <c r="B1004" i="17"/>
  <c r="I1003" i="17"/>
  <c r="C1003" i="17"/>
  <c r="B1003" i="17"/>
  <c r="I1002" i="17"/>
  <c r="C1002" i="17"/>
  <c r="B1002" i="17"/>
  <c r="I1001" i="17"/>
  <c r="C1001" i="17"/>
  <c r="B1001" i="17"/>
  <c r="I1000" i="17"/>
  <c r="C1000" i="17"/>
  <c r="B1000" i="17"/>
  <c r="I999" i="17"/>
  <c r="C999" i="17"/>
  <c r="B999" i="17"/>
  <c r="I998" i="17"/>
  <c r="C998" i="17"/>
  <c r="B998" i="17"/>
  <c r="I997" i="17"/>
  <c r="C997" i="17"/>
  <c r="B997" i="17"/>
  <c r="I996" i="17"/>
  <c r="C996" i="17"/>
  <c r="B996" i="17"/>
  <c r="I995" i="17"/>
  <c r="C995" i="17"/>
  <c r="B995" i="17"/>
  <c r="I994" i="17"/>
  <c r="C994" i="17"/>
  <c r="B994" i="17"/>
  <c r="I993" i="17"/>
  <c r="C993" i="17"/>
  <c r="B993" i="17"/>
  <c r="I992" i="17"/>
  <c r="C992" i="17"/>
  <c r="B992" i="17"/>
  <c r="I991" i="17"/>
  <c r="C991" i="17"/>
  <c r="B991" i="17"/>
  <c r="I990" i="17"/>
  <c r="C990" i="17"/>
  <c r="B990" i="17"/>
  <c r="I989" i="17"/>
  <c r="C989" i="17"/>
  <c r="B989" i="17"/>
  <c r="I988" i="17"/>
  <c r="C988" i="17"/>
  <c r="B988" i="17"/>
  <c r="I987" i="17"/>
  <c r="C987" i="17"/>
  <c r="B987" i="17"/>
  <c r="I986" i="17"/>
  <c r="C986" i="17"/>
  <c r="B986" i="17"/>
  <c r="I985" i="17"/>
  <c r="C985" i="17"/>
  <c r="B985" i="17"/>
  <c r="I984" i="17"/>
  <c r="C984" i="17"/>
  <c r="B984" i="17"/>
  <c r="I983" i="17"/>
  <c r="C983" i="17"/>
  <c r="B983" i="17"/>
  <c r="I982" i="17"/>
  <c r="C982" i="17"/>
  <c r="B982" i="17"/>
  <c r="I981" i="17"/>
  <c r="C981" i="17"/>
  <c r="B981" i="17"/>
  <c r="I980" i="17"/>
  <c r="C980" i="17"/>
  <c r="B980" i="17"/>
  <c r="I979" i="17"/>
  <c r="C979" i="17"/>
  <c r="B979" i="17"/>
  <c r="I978" i="17"/>
  <c r="C978" i="17"/>
  <c r="B978" i="17"/>
  <c r="I977" i="17"/>
  <c r="C977" i="17"/>
  <c r="B977" i="17"/>
  <c r="I976" i="17"/>
  <c r="C976" i="17"/>
  <c r="B976" i="17"/>
  <c r="I975" i="17"/>
  <c r="C975" i="17"/>
  <c r="B975" i="17"/>
  <c r="I974" i="17"/>
  <c r="C974" i="17"/>
  <c r="B974" i="17"/>
  <c r="I973" i="17"/>
  <c r="C973" i="17"/>
  <c r="B973" i="17"/>
  <c r="I972" i="17"/>
  <c r="C972" i="17"/>
  <c r="B972" i="17"/>
  <c r="I971" i="17"/>
  <c r="C971" i="17"/>
  <c r="B971" i="17"/>
  <c r="I970" i="17"/>
  <c r="C970" i="17"/>
  <c r="B970" i="17"/>
  <c r="I969" i="17"/>
  <c r="C969" i="17"/>
  <c r="B969" i="17"/>
  <c r="I968" i="17"/>
  <c r="C968" i="17"/>
  <c r="B968" i="17"/>
  <c r="I967" i="17"/>
  <c r="C967" i="17"/>
  <c r="B967" i="17"/>
  <c r="I966" i="17"/>
  <c r="C966" i="17"/>
  <c r="B966" i="17"/>
  <c r="I965" i="17"/>
  <c r="C965" i="17"/>
  <c r="B965" i="17"/>
  <c r="I964" i="17"/>
  <c r="C964" i="17"/>
  <c r="B964" i="17"/>
  <c r="I963" i="17"/>
  <c r="C963" i="17"/>
  <c r="B963" i="17"/>
  <c r="I962" i="17"/>
  <c r="C962" i="17"/>
  <c r="B962" i="17"/>
  <c r="I961" i="17"/>
  <c r="C961" i="17"/>
  <c r="B961" i="17"/>
  <c r="I960" i="17"/>
  <c r="C960" i="17"/>
  <c r="B960" i="17"/>
  <c r="I959" i="17"/>
  <c r="C959" i="17"/>
  <c r="B959" i="17"/>
  <c r="I958" i="17"/>
  <c r="C958" i="17"/>
  <c r="B958" i="17"/>
  <c r="I957" i="17"/>
  <c r="C957" i="17"/>
  <c r="B957" i="17"/>
  <c r="I956" i="17"/>
  <c r="C956" i="17"/>
  <c r="B956" i="17"/>
  <c r="I955" i="17"/>
  <c r="C955" i="17"/>
  <c r="B955" i="17"/>
  <c r="I954" i="17"/>
  <c r="C954" i="17"/>
  <c r="B954" i="17"/>
  <c r="I953" i="17"/>
  <c r="C953" i="17"/>
  <c r="B953" i="17"/>
  <c r="I952" i="17"/>
  <c r="C952" i="17"/>
  <c r="B952" i="17"/>
  <c r="I951" i="17"/>
  <c r="C951" i="17"/>
  <c r="B951" i="17"/>
  <c r="I950" i="17"/>
  <c r="C950" i="17"/>
  <c r="B950" i="17"/>
  <c r="I949" i="17"/>
  <c r="C949" i="17"/>
  <c r="B949" i="17"/>
  <c r="I948" i="17"/>
  <c r="C948" i="17"/>
  <c r="B948" i="17"/>
  <c r="I947" i="17"/>
  <c r="C947" i="17"/>
  <c r="B947" i="17"/>
  <c r="I946" i="17"/>
  <c r="C946" i="17"/>
  <c r="B946" i="17"/>
  <c r="I945" i="17"/>
  <c r="C945" i="17"/>
  <c r="B945" i="17"/>
  <c r="I944" i="17"/>
  <c r="C944" i="17"/>
  <c r="B944" i="17"/>
  <c r="I943" i="17"/>
  <c r="C943" i="17"/>
  <c r="B943" i="17"/>
  <c r="I942" i="17"/>
  <c r="C942" i="17"/>
  <c r="B942" i="17"/>
  <c r="I941" i="17"/>
  <c r="C941" i="17"/>
  <c r="B941" i="17"/>
  <c r="I940" i="17"/>
  <c r="C940" i="17"/>
  <c r="B940" i="17"/>
  <c r="I939" i="17"/>
  <c r="C939" i="17"/>
  <c r="B939" i="17"/>
  <c r="I938" i="17"/>
  <c r="C938" i="17"/>
  <c r="B938" i="17"/>
  <c r="I937" i="17"/>
  <c r="C937" i="17"/>
  <c r="B937" i="17"/>
  <c r="I936" i="17"/>
  <c r="C936" i="17"/>
  <c r="B936" i="17"/>
  <c r="I935" i="17"/>
  <c r="C935" i="17"/>
  <c r="B935" i="17"/>
  <c r="I934" i="17"/>
  <c r="C934" i="17"/>
  <c r="B934" i="17"/>
  <c r="I933" i="17"/>
  <c r="C933" i="17"/>
  <c r="B933" i="17"/>
  <c r="I932" i="17"/>
  <c r="C932" i="17"/>
  <c r="B932" i="17"/>
  <c r="I931" i="17"/>
  <c r="C931" i="17"/>
  <c r="B931" i="17"/>
  <c r="I930" i="17"/>
  <c r="C930" i="17"/>
  <c r="B930" i="17"/>
  <c r="I929" i="17"/>
  <c r="C929" i="17"/>
  <c r="B929" i="17"/>
  <c r="I928" i="17"/>
  <c r="C928" i="17"/>
  <c r="B928" i="17"/>
  <c r="I927" i="17"/>
  <c r="C927" i="17"/>
  <c r="B927" i="17"/>
  <c r="I926" i="17"/>
  <c r="C926" i="17"/>
  <c r="B926" i="17"/>
  <c r="I925" i="17"/>
  <c r="C925" i="17"/>
  <c r="B925" i="17"/>
  <c r="I924" i="17"/>
  <c r="C924" i="17"/>
  <c r="B924" i="17"/>
  <c r="I923" i="17"/>
  <c r="C923" i="17"/>
  <c r="B923" i="17"/>
  <c r="I922" i="17"/>
  <c r="C922" i="17"/>
  <c r="B922" i="17"/>
  <c r="I921" i="17"/>
  <c r="C921" i="17"/>
  <c r="B921" i="17"/>
  <c r="I920" i="17"/>
  <c r="C920" i="17"/>
  <c r="B920" i="17"/>
  <c r="I919" i="17"/>
  <c r="C919" i="17"/>
  <c r="B919" i="17"/>
  <c r="I918" i="17"/>
  <c r="C918" i="17"/>
  <c r="B918" i="17"/>
  <c r="I917" i="17"/>
  <c r="C917" i="17"/>
  <c r="B917" i="17"/>
  <c r="I916" i="17"/>
  <c r="C916" i="17"/>
  <c r="B916" i="17"/>
  <c r="I915" i="17"/>
  <c r="C915" i="17"/>
  <c r="B915" i="17"/>
  <c r="I914" i="17"/>
  <c r="C914" i="17"/>
  <c r="B914" i="17"/>
  <c r="I913" i="17"/>
  <c r="C913" i="17"/>
  <c r="B913" i="17"/>
  <c r="I912" i="17"/>
  <c r="C912" i="17"/>
  <c r="B912" i="17"/>
  <c r="I911" i="17"/>
  <c r="C911" i="17"/>
  <c r="B911" i="17"/>
  <c r="I910" i="17"/>
  <c r="C910" i="17"/>
  <c r="B910" i="17"/>
  <c r="I909" i="17"/>
  <c r="C909" i="17"/>
  <c r="B909" i="17"/>
  <c r="I908" i="17"/>
  <c r="C908" i="17"/>
  <c r="B908" i="17"/>
  <c r="I907" i="17"/>
  <c r="C907" i="17"/>
  <c r="B907" i="17"/>
  <c r="I906" i="17"/>
  <c r="C906" i="17"/>
  <c r="B906" i="17"/>
  <c r="I905" i="17"/>
  <c r="C905" i="17"/>
  <c r="B905" i="17"/>
  <c r="I904" i="17"/>
  <c r="C904" i="17"/>
  <c r="B904" i="17"/>
  <c r="I903" i="17"/>
  <c r="C903" i="17"/>
  <c r="B903" i="17"/>
  <c r="I902" i="17"/>
  <c r="C902" i="17"/>
  <c r="B902" i="17"/>
  <c r="I901" i="17"/>
  <c r="C901" i="17"/>
  <c r="B901" i="17"/>
  <c r="I900" i="17"/>
  <c r="C900" i="17"/>
  <c r="B900" i="17"/>
  <c r="I899" i="17"/>
  <c r="C899" i="17"/>
  <c r="B899" i="17"/>
  <c r="I898" i="17"/>
  <c r="C898" i="17"/>
  <c r="B898" i="17"/>
  <c r="I897" i="17"/>
  <c r="C897" i="17"/>
  <c r="B897" i="17"/>
  <c r="I896" i="17"/>
  <c r="C896" i="17"/>
  <c r="B896" i="17"/>
  <c r="I895" i="17"/>
  <c r="C895" i="17"/>
  <c r="B895" i="17"/>
  <c r="I894" i="17"/>
  <c r="C894" i="17"/>
  <c r="B894" i="17"/>
  <c r="I893" i="17"/>
  <c r="C893" i="17"/>
  <c r="B893" i="17"/>
  <c r="I892" i="17"/>
  <c r="C892" i="17"/>
  <c r="B892" i="17"/>
  <c r="I891" i="17"/>
  <c r="C891" i="17"/>
  <c r="B891" i="17"/>
  <c r="I890" i="17"/>
  <c r="C890" i="17"/>
  <c r="B890" i="17"/>
  <c r="I889" i="17"/>
  <c r="C889" i="17"/>
  <c r="B889" i="17"/>
  <c r="I888" i="17"/>
  <c r="C888" i="17"/>
  <c r="B888" i="17"/>
  <c r="I887" i="17"/>
  <c r="C887" i="17"/>
  <c r="B887" i="17"/>
  <c r="I886" i="17"/>
  <c r="C886" i="17"/>
  <c r="B886" i="17"/>
  <c r="I885" i="17"/>
  <c r="C885" i="17"/>
  <c r="B885" i="17"/>
  <c r="I884" i="17"/>
  <c r="C884" i="17"/>
  <c r="B884" i="17"/>
  <c r="I883" i="17"/>
  <c r="C883" i="17"/>
  <c r="B883" i="17"/>
  <c r="I882" i="17"/>
  <c r="C882" i="17"/>
  <c r="B882" i="17"/>
  <c r="I881" i="17"/>
  <c r="C881" i="17"/>
  <c r="B881" i="17"/>
  <c r="I880" i="17"/>
  <c r="C880" i="17"/>
  <c r="B880" i="17"/>
  <c r="I879" i="17"/>
  <c r="C879" i="17"/>
  <c r="B879" i="17"/>
  <c r="I878" i="17"/>
  <c r="C878" i="17"/>
  <c r="B878" i="17"/>
  <c r="I877" i="17"/>
  <c r="C877" i="17"/>
  <c r="B877" i="17"/>
  <c r="I876" i="17"/>
  <c r="C876" i="17"/>
  <c r="B876" i="17"/>
  <c r="I875" i="17"/>
  <c r="C875" i="17"/>
  <c r="B875" i="17"/>
  <c r="I874" i="17"/>
  <c r="C874" i="17"/>
  <c r="B874" i="17"/>
  <c r="I873" i="17"/>
  <c r="C873" i="17"/>
  <c r="B873" i="17"/>
  <c r="I872" i="17"/>
  <c r="C872" i="17"/>
  <c r="B872" i="17"/>
  <c r="I871" i="17"/>
  <c r="C871" i="17"/>
  <c r="B871" i="17"/>
  <c r="I870" i="17"/>
  <c r="C870" i="17"/>
  <c r="B870" i="17"/>
  <c r="I869" i="17"/>
  <c r="C869" i="17"/>
  <c r="B869" i="17"/>
  <c r="I868" i="17"/>
  <c r="C868" i="17"/>
  <c r="B868" i="17"/>
  <c r="I867" i="17"/>
  <c r="C867" i="17"/>
  <c r="B867" i="17"/>
  <c r="I866" i="17"/>
  <c r="C866" i="17"/>
  <c r="B866" i="17"/>
  <c r="I865" i="17"/>
  <c r="C865" i="17"/>
  <c r="B865" i="17"/>
  <c r="I864" i="17"/>
  <c r="C864" i="17"/>
  <c r="B864" i="17"/>
  <c r="I863" i="17"/>
  <c r="C863" i="17"/>
  <c r="B863" i="17"/>
  <c r="I862" i="17"/>
  <c r="C862" i="17"/>
  <c r="B862" i="17"/>
  <c r="I861" i="17"/>
  <c r="C861" i="17"/>
  <c r="B861" i="17"/>
  <c r="I860" i="17"/>
  <c r="C860" i="17"/>
  <c r="B860" i="17"/>
  <c r="I859" i="17"/>
  <c r="C859" i="17"/>
  <c r="B859" i="17"/>
  <c r="I858" i="17"/>
  <c r="C858" i="17"/>
  <c r="B858" i="17"/>
  <c r="I857" i="17"/>
  <c r="C857" i="17"/>
  <c r="B857" i="17"/>
  <c r="I856" i="17"/>
  <c r="C856" i="17"/>
  <c r="B856" i="17"/>
  <c r="I855" i="17"/>
  <c r="C855" i="17"/>
  <c r="B855" i="17"/>
  <c r="I854" i="17"/>
  <c r="C854" i="17"/>
  <c r="B854" i="17"/>
  <c r="I853" i="17"/>
  <c r="C853" i="17"/>
  <c r="B853" i="17"/>
  <c r="I852" i="17"/>
  <c r="C852" i="17"/>
  <c r="B852" i="17"/>
  <c r="I851" i="17"/>
  <c r="C851" i="17"/>
  <c r="B851" i="17"/>
  <c r="I850" i="17"/>
  <c r="C850" i="17"/>
  <c r="B850" i="17"/>
  <c r="I849" i="17"/>
  <c r="C849" i="17"/>
  <c r="B849" i="17"/>
  <c r="I848" i="17"/>
  <c r="C848" i="17"/>
  <c r="B848" i="17"/>
  <c r="I847" i="17"/>
  <c r="C847" i="17"/>
  <c r="B847" i="17"/>
  <c r="I846" i="17"/>
  <c r="C846" i="17"/>
  <c r="B846" i="17"/>
  <c r="I845" i="17"/>
  <c r="C845" i="17"/>
  <c r="B845" i="17"/>
  <c r="I844" i="17"/>
  <c r="C844" i="17"/>
  <c r="B844" i="17"/>
  <c r="I843" i="17"/>
  <c r="C843" i="17"/>
  <c r="B843" i="17"/>
  <c r="I842" i="17"/>
  <c r="C842" i="17"/>
  <c r="B842" i="17"/>
  <c r="I841" i="17"/>
  <c r="C841" i="17"/>
  <c r="B841" i="17"/>
  <c r="I840" i="17"/>
  <c r="C840" i="17"/>
  <c r="B840" i="17"/>
  <c r="I839" i="17"/>
  <c r="C839" i="17"/>
  <c r="B839" i="17"/>
  <c r="I838" i="17"/>
  <c r="C838" i="17"/>
  <c r="B838" i="17"/>
  <c r="I837" i="17"/>
  <c r="C837" i="17"/>
  <c r="B837" i="17"/>
  <c r="I836" i="17"/>
  <c r="C836" i="17"/>
  <c r="B836" i="17"/>
  <c r="I835" i="17"/>
  <c r="C835" i="17"/>
  <c r="B835" i="17"/>
  <c r="I834" i="17"/>
  <c r="C834" i="17"/>
  <c r="B834" i="17"/>
  <c r="I833" i="17"/>
  <c r="C833" i="17"/>
  <c r="B833" i="17"/>
  <c r="I832" i="17"/>
  <c r="C832" i="17"/>
  <c r="B832" i="17"/>
  <c r="I831" i="17"/>
  <c r="C831" i="17"/>
  <c r="B831" i="17"/>
  <c r="I830" i="17"/>
  <c r="C830" i="17"/>
  <c r="B830" i="17"/>
  <c r="I829" i="17"/>
  <c r="C829" i="17"/>
  <c r="B829" i="17"/>
  <c r="I828" i="17"/>
  <c r="C828" i="17"/>
  <c r="B828" i="17"/>
  <c r="I827" i="17"/>
  <c r="C827" i="17"/>
  <c r="B827" i="17"/>
  <c r="I826" i="17"/>
  <c r="C826" i="17"/>
  <c r="B826" i="17"/>
  <c r="I825" i="17"/>
  <c r="C825" i="17"/>
  <c r="B825" i="17"/>
  <c r="I824" i="17"/>
  <c r="C824" i="17"/>
  <c r="B824" i="17"/>
  <c r="I823" i="17"/>
  <c r="C823" i="17"/>
  <c r="B823" i="17"/>
  <c r="I822" i="17"/>
  <c r="C822" i="17"/>
  <c r="B822" i="17"/>
  <c r="I821" i="17"/>
  <c r="C821" i="17"/>
  <c r="B821" i="17"/>
  <c r="I820" i="17"/>
  <c r="C820" i="17"/>
  <c r="B820" i="17"/>
  <c r="I819" i="17"/>
  <c r="C819" i="17"/>
  <c r="B819" i="17"/>
  <c r="I818" i="17"/>
  <c r="C818" i="17"/>
  <c r="B818" i="17"/>
  <c r="I817" i="17"/>
  <c r="C817" i="17"/>
  <c r="B817" i="17"/>
  <c r="I816" i="17"/>
  <c r="C816" i="17"/>
  <c r="B816" i="17"/>
  <c r="I815" i="17"/>
  <c r="C815" i="17"/>
  <c r="B815" i="17"/>
  <c r="I814" i="17"/>
  <c r="C814" i="17"/>
  <c r="B814" i="17"/>
  <c r="I813" i="17"/>
  <c r="C813" i="17"/>
  <c r="B813" i="17"/>
  <c r="I812" i="17"/>
  <c r="C812" i="17"/>
  <c r="B812" i="17"/>
  <c r="I811" i="17"/>
  <c r="C811" i="17"/>
  <c r="B811" i="17"/>
  <c r="I810" i="17"/>
  <c r="C810" i="17"/>
  <c r="B810" i="17"/>
  <c r="I809" i="17"/>
  <c r="C809" i="17"/>
  <c r="B809" i="17"/>
  <c r="I808" i="17"/>
  <c r="C808" i="17"/>
  <c r="B808" i="17"/>
  <c r="I807" i="17"/>
  <c r="C807" i="17"/>
  <c r="B807" i="17"/>
  <c r="I806" i="17"/>
  <c r="C806" i="17"/>
  <c r="B806" i="17"/>
  <c r="I805" i="17"/>
  <c r="C805" i="17"/>
  <c r="B805" i="17"/>
  <c r="I804" i="17"/>
  <c r="C804" i="17"/>
  <c r="B804" i="17"/>
  <c r="I803" i="17"/>
  <c r="C803" i="17"/>
  <c r="B803" i="17"/>
  <c r="I802" i="17"/>
  <c r="C802" i="17"/>
  <c r="B802" i="17"/>
  <c r="I801" i="17"/>
  <c r="C801" i="17"/>
  <c r="B801" i="17"/>
  <c r="I800" i="17"/>
  <c r="C800" i="17"/>
  <c r="B800" i="17"/>
  <c r="I799" i="17"/>
  <c r="C799" i="17"/>
  <c r="B799" i="17"/>
  <c r="I798" i="17"/>
  <c r="C798" i="17"/>
  <c r="B798" i="17"/>
  <c r="I797" i="17"/>
  <c r="C797" i="17"/>
  <c r="B797" i="17"/>
  <c r="I796" i="17"/>
  <c r="C796" i="17"/>
  <c r="B796" i="17"/>
  <c r="I795" i="17"/>
  <c r="C795" i="17"/>
  <c r="B795" i="17"/>
  <c r="I794" i="17"/>
  <c r="C794" i="17"/>
  <c r="B794" i="17"/>
  <c r="I793" i="17"/>
  <c r="C793" i="17"/>
  <c r="B793" i="17"/>
  <c r="I792" i="17"/>
  <c r="C792" i="17"/>
  <c r="B792" i="17"/>
  <c r="I791" i="17"/>
  <c r="C791" i="17"/>
  <c r="B791" i="17"/>
  <c r="I790" i="17"/>
  <c r="C790" i="17"/>
  <c r="B790" i="17"/>
  <c r="I789" i="17"/>
  <c r="C789" i="17"/>
  <c r="B789" i="17"/>
  <c r="I788" i="17"/>
  <c r="C788" i="17"/>
  <c r="B788" i="17"/>
  <c r="I787" i="17"/>
  <c r="C787" i="17"/>
  <c r="B787" i="17"/>
  <c r="I786" i="17"/>
  <c r="C786" i="17"/>
  <c r="B786" i="17"/>
  <c r="I785" i="17"/>
  <c r="C785" i="17"/>
  <c r="B785" i="17"/>
  <c r="I784" i="17"/>
  <c r="C784" i="17"/>
  <c r="B784" i="17"/>
  <c r="I783" i="17"/>
  <c r="C783" i="17"/>
  <c r="B783" i="17"/>
  <c r="I782" i="17"/>
  <c r="C782" i="17"/>
  <c r="B782" i="17"/>
  <c r="I781" i="17"/>
  <c r="C781" i="17"/>
  <c r="B781" i="17"/>
  <c r="I780" i="17"/>
  <c r="C780" i="17"/>
  <c r="B780" i="17"/>
  <c r="I779" i="17"/>
  <c r="C779" i="17"/>
  <c r="B779" i="17"/>
  <c r="I778" i="17"/>
  <c r="C778" i="17"/>
  <c r="B778" i="17"/>
  <c r="I777" i="17"/>
  <c r="C777" i="17"/>
  <c r="B777" i="17"/>
  <c r="I776" i="17"/>
  <c r="C776" i="17"/>
  <c r="B776" i="17"/>
  <c r="I775" i="17"/>
  <c r="C775" i="17"/>
  <c r="B775" i="17"/>
  <c r="I774" i="17"/>
  <c r="C774" i="17"/>
  <c r="B774" i="17"/>
  <c r="I773" i="17"/>
  <c r="C773" i="17"/>
  <c r="B773" i="17"/>
  <c r="I772" i="17"/>
  <c r="C772" i="17"/>
  <c r="B772" i="17"/>
  <c r="I771" i="17"/>
  <c r="C771" i="17"/>
  <c r="B771" i="17"/>
  <c r="I770" i="17"/>
  <c r="C770" i="17"/>
  <c r="B770" i="17"/>
  <c r="I769" i="17"/>
  <c r="C769" i="17"/>
  <c r="B769" i="17"/>
  <c r="I768" i="17"/>
  <c r="C768" i="17"/>
  <c r="B768" i="17"/>
  <c r="I767" i="17"/>
  <c r="C767" i="17"/>
  <c r="B767" i="17"/>
  <c r="I766" i="17"/>
  <c r="C766" i="17"/>
  <c r="B766" i="17"/>
  <c r="I765" i="17"/>
  <c r="C765" i="17"/>
  <c r="B765" i="17"/>
  <c r="I764" i="17"/>
  <c r="C764" i="17"/>
  <c r="B764" i="17"/>
  <c r="I763" i="17"/>
  <c r="C763" i="17"/>
  <c r="B763" i="17"/>
  <c r="I762" i="17"/>
  <c r="C762" i="17"/>
  <c r="B762" i="17"/>
  <c r="I761" i="17"/>
  <c r="C761" i="17"/>
  <c r="B761" i="17"/>
  <c r="I760" i="17"/>
  <c r="C760" i="17"/>
  <c r="B760" i="17"/>
  <c r="I759" i="17"/>
  <c r="C759" i="17"/>
  <c r="B759" i="17"/>
  <c r="I758" i="17"/>
  <c r="C758" i="17"/>
  <c r="B758" i="17"/>
  <c r="I757" i="17"/>
  <c r="C757" i="17"/>
  <c r="B757" i="17"/>
  <c r="I756" i="17"/>
  <c r="C756" i="17"/>
  <c r="B756" i="17"/>
  <c r="I755" i="17"/>
  <c r="C755" i="17"/>
  <c r="B755" i="17"/>
  <c r="I754" i="17"/>
  <c r="C754" i="17"/>
  <c r="B754" i="17"/>
  <c r="I753" i="17"/>
  <c r="C753" i="17"/>
  <c r="B753" i="17"/>
  <c r="I752" i="17"/>
  <c r="C752" i="17"/>
  <c r="B752" i="17"/>
  <c r="I751" i="17"/>
  <c r="C751" i="17"/>
  <c r="B751" i="17"/>
  <c r="I750" i="17"/>
  <c r="C750" i="17"/>
  <c r="B750" i="17"/>
  <c r="I749" i="17"/>
  <c r="C749" i="17"/>
  <c r="B749" i="17"/>
  <c r="I748" i="17"/>
  <c r="C748" i="17"/>
  <c r="B748" i="17"/>
  <c r="I747" i="17"/>
  <c r="C747" i="17"/>
  <c r="B747" i="17"/>
  <c r="I746" i="17"/>
  <c r="C746" i="17"/>
  <c r="B746" i="17"/>
  <c r="I745" i="17"/>
  <c r="C745" i="17"/>
  <c r="B745" i="17"/>
  <c r="I744" i="17"/>
  <c r="C744" i="17"/>
  <c r="B744" i="17"/>
  <c r="I743" i="17"/>
  <c r="C743" i="17"/>
  <c r="B743" i="17"/>
  <c r="I742" i="17"/>
  <c r="C742" i="17"/>
  <c r="B742" i="17"/>
  <c r="I741" i="17"/>
  <c r="C741" i="17"/>
  <c r="B741" i="17"/>
  <c r="I740" i="17"/>
  <c r="C740" i="17"/>
  <c r="B740" i="17"/>
  <c r="I739" i="17"/>
  <c r="C739" i="17"/>
  <c r="B739" i="17"/>
  <c r="I738" i="17"/>
  <c r="C738" i="17"/>
  <c r="B738" i="17"/>
  <c r="I737" i="17"/>
  <c r="C737" i="17"/>
  <c r="B737" i="17"/>
  <c r="I736" i="17"/>
  <c r="C736" i="17"/>
  <c r="B736" i="17"/>
  <c r="I735" i="17"/>
  <c r="C735" i="17"/>
  <c r="B735" i="17"/>
  <c r="I734" i="17"/>
  <c r="C734" i="17"/>
  <c r="B734" i="17"/>
  <c r="I733" i="17"/>
  <c r="C733" i="17"/>
  <c r="B733" i="17"/>
  <c r="I732" i="17"/>
  <c r="C732" i="17"/>
  <c r="B732" i="17"/>
  <c r="I731" i="17"/>
  <c r="C731" i="17"/>
  <c r="B731" i="17"/>
  <c r="I730" i="17"/>
  <c r="C730" i="17"/>
  <c r="B730" i="17"/>
  <c r="I729" i="17"/>
  <c r="C729" i="17"/>
  <c r="B729" i="17"/>
  <c r="I728" i="17"/>
  <c r="C728" i="17"/>
  <c r="B728" i="17"/>
  <c r="I727" i="17"/>
  <c r="C727" i="17"/>
  <c r="B727" i="17"/>
  <c r="I726" i="17"/>
  <c r="C726" i="17"/>
  <c r="B726" i="17"/>
  <c r="I725" i="17"/>
  <c r="C725" i="17"/>
  <c r="B725" i="17"/>
  <c r="I724" i="17"/>
  <c r="C724" i="17"/>
  <c r="B724" i="17"/>
  <c r="I723" i="17"/>
  <c r="C723" i="17"/>
  <c r="B723" i="17"/>
  <c r="I722" i="17"/>
  <c r="C722" i="17"/>
  <c r="B722" i="17"/>
  <c r="I721" i="17"/>
  <c r="C721" i="17"/>
  <c r="B721" i="17"/>
  <c r="I720" i="17"/>
  <c r="C720" i="17"/>
  <c r="B720" i="17"/>
  <c r="I719" i="17"/>
  <c r="C719" i="17"/>
  <c r="B719" i="17"/>
  <c r="I718" i="17"/>
  <c r="C718" i="17"/>
  <c r="B718" i="17"/>
  <c r="I717" i="17"/>
  <c r="C717" i="17"/>
  <c r="B717" i="17"/>
  <c r="I716" i="17"/>
  <c r="C716" i="17"/>
  <c r="B716" i="17"/>
  <c r="I715" i="17"/>
  <c r="C715" i="17"/>
  <c r="B715" i="17"/>
  <c r="I714" i="17"/>
  <c r="C714" i="17"/>
  <c r="B714" i="17"/>
  <c r="I713" i="17"/>
  <c r="C713" i="17"/>
  <c r="B713" i="17"/>
  <c r="I712" i="17"/>
  <c r="C712" i="17"/>
  <c r="B712" i="17"/>
  <c r="I711" i="17"/>
  <c r="C711" i="17"/>
  <c r="B711" i="17"/>
  <c r="I710" i="17"/>
  <c r="C710" i="17"/>
  <c r="B710" i="17"/>
  <c r="I709" i="17"/>
  <c r="C709" i="17"/>
  <c r="B709" i="17"/>
  <c r="I708" i="17"/>
  <c r="C708" i="17"/>
  <c r="B708" i="17"/>
  <c r="I707" i="17"/>
  <c r="C707" i="17"/>
  <c r="B707" i="17"/>
  <c r="I706" i="17"/>
  <c r="C706" i="17"/>
  <c r="B706" i="17"/>
  <c r="I705" i="17"/>
  <c r="C705" i="17"/>
  <c r="B705" i="17"/>
  <c r="I704" i="17"/>
  <c r="C704" i="17"/>
  <c r="B704" i="17"/>
  <c r="I703" i="17"/>
  <c r="C703" i="17"/>
  <c r="B703" i="17"/>
  <c r="I702" i="17"/>
  <c r="C702" i="17"/>
  <c r="B702" i="17"/>
  <c r="I701" i="17"/>
  <c r="C701" i="17"/>
  <c r="B701" i="17"/>
  <c r="I700" i="17"/>
  <c r="C700" i="17"/>
  <c r="B700" i="17"/>
  <c r="I699" i="17"/>
  <c r="C699" i="17"/>
  <c r="B699" i="17"/>
  <c r="I698" i="17"/>
  <c r="C698" i="17"/>
  <c r="B698" i="17"/>
  <c r="I697" i="17"/>
  <c r="C697" i="17"/>
  <c r="B697" i="17"/>
  <c r="I696" i="17"/>
  <c r="C696" i="17"/>
  <c r="B696" i="17"/>
  <c r="I695" i="17"/>
  <c r="C695" i="17"/>
  <c r="B695" i="17"/>
  <c r="I694" i="17"/>
  <c r="C694" i="17"/>
  <c r="B694" i="17"/>
  <c r="I693" i="17"/>
  <c r="C693" i="17"/>
  <c r="B693" i="17"/>
  <c r="I692" i="17"/>
  <c r="C692" i="17"/>
  <c r="B692" i="17"/>
  <c r="I691" i="17"/>
  <c r="C691" i="17"/>
  <c r="B691" i="17"/>
  <c r="I690" i="17"/>
  <c r="C690" i="17"/>
  <c r="B690" i="17"/>
  <c r="I689" i="17"/>
  <c r="C689" i="17"/>
  <c r="B689" i="17"/>
  <c r="I688" i="17"/>
  <c r="C688" i="17"/>
  <c r="B688" i="17"/>
  <c r="I687" i="17"/>
  <c r="C687" i="17"/>
  <c r="B687" i="17"/>
  <c r="I686" i="17"/>
  <c r="C686" i="17"/>
  <c r="B686" i="17"/>
  <c r="I685" i="17"/>
  <c r="C685" i="17"/>
  <c r="B685" i="17"/>
  <c r="I684" i="17"/>
  <c r="C684" i="17"/>
  <c r="B684" i="17"/>
  <c r="I683" i="17"/>
  <c r="C683" i="17"/>
  <c r="B683" i="17"/>
  <c r="I682" i="17"/>
  <c r="C682" i="17"/>
  <c r="B682" i="17"/>
  <c r="I681" i="17"/>
  <c r="C681" i="17"/>
  <c r="B681" i="17"/>
  <c r="I680" i="17"/>
  <c r="C680" i="17"/>
  <c r="B680" i="17"/>
  <c r="I679" i="17"/>
  <c r="C679" i="17"/>
  <c r="B679" i="17"/>
  <c r="I678" i="17"/>
  <c r="C678" i="17"/>
  <c r="B678" i="17"/>
  <c r="I677" i="17"/>
  <c r="C677" i="17"/>
  <c r="B677" i="17"/>
  <c r="I676" i="17"/>
  <c r="C676" i="17"/>
  <c r="B676" i="17"/>
  <c r="I675" i="17"/>
  <c r="C675" i="17"/>
  <c r="B675" i="17"/>
  <c r="I674" i="17"/>
  <c r="C674" i="17"/>
  <c r="B674" i="17"/>
  <c r="I673" i="17"/>
  <c r="C673" i="17"/>
  <c r="B673" i="17"/>
  <c r="I672" i="17"/>
  <c r="C672" i="17"/>
  <c r="B672" i="17"/>
  <c r="I671" i="17"/>
  <c r="C671" i="17"/>
  <c r="B671" i="17"/>
  <c r="I670" i="17"/>
  <c r="C670" i="17"/>
  <c r="B670" i="17"/>
  <c r="I669" i="17"/>
  <c r="C669" i="17"/>
  <c r="B669" i="17"/>
  <c r="I668" i="17"/>
  <c r="C668" i="17"/>
  <c r="B668" i="17"/>
  <c r="I667" i="17"/>
  <c r="C667" i="17"/>
  <c r="B667" i="17"/>
  <c r="I666" i="17"/>
  <c r="C666" i="17"/>
  <c r="B666" i="17"/>
  <c r="I665" i="17"/>
  <c r="C665" i="17"/>
  <c r="B665" i="17"/>
  <c r="I664" i="17"/>
  <c r="C664" i="17"/>
  <c r="B664" i="17"/>
  <c r="I663" i="17"/>
  <c r="C663" i="17"/>
  <c r="B663" i="17"/>
  <c r="I662" i="17"/>
  <c r="C662" i="17"/>
  <c r="B662" i="17"/>
  <c r="I661" i="17"/>
  <c r="C661" i="17"/>
  <c r="B661" i="17"/>
  <c r="I660" i="17"/>
  <c r="C660" i="17"/>
  <c r="B660" i="17"/>
  <c r="I659" i="17"/>
  <c r="C659" i="17"/>
  <c r="B659" i="17"/>
  <c r="I658" i="17"/>
  <c r="C658" i="17"/>
  <c r="B658" i="17"/>
  <c r="I657" i="17"/>
  <c r="C657" i="17"/>
  <c r="B657" i="17"/>
  <c r="I656" i="17"/>
  <c r="C656" i="17"/>
  <c r="B656" i="17"/>
  <c r="I655" i="17"/>
  <c r="C655" i="17"/>
  <c r="B655" i="17"/>
  <c r="I654" i="17"/>
  <c r="C654" i="17"/>
  <c r="B654" i="17"/>
  <c r="I653" i="17"/>
  <c r="C653" i="17"/>
  <c r="B653" i="17"/>
  <c r="I652" i="17"/>
  <c r="C652" i="17"/>
  <c r="B652" i="17"/>
  <c r="I651" i="17"/>
  <c r="C651" i="17"/>
  <c r="B651" i="17"/>
  <c r="I650" i="17"/>
  <c r="C650" i="17"/>
  <c r="B650" i="17"/>
  <c r="I649" i="17"/>
  <c r="C649" i="17"/>
  <c r="B649" i="17"/>
  <c r="I648" i="17"/>
  <c r="C648" i="17"/>
  <c r="B648" i="17"/>
  <c r="I647" i="17"/>
  <c r="C647" i="17"/>
  <c r="B647" i="17"/>
  <c r="I646" i="17"/>
  <c r="C646" i="17"/>
  <c r="B646" i="17"/>
  <c r="I645" i="17"/>
  <c r="C645" i="17"/>
  <c r="B645" i="17"/>
  <c r="I644" i="17"/>
  <c r="C644" i="17"/>
  <c r="B644" i="17"/>
  <c r="I643" i="17"/>
  <c r="C643" i="17"/>
  <c r="B643" i="17"/>
  <c r="I642" i="17"/>
  <c r="C642" i="17"/>
  <c r="B642" i="17"/>
  <c r="I641" i="17"/>
  <c r="C641" i="17"/>
  <c r="B641" i="17"/>
  <c r="I640" i="17"/>
  <c r="C640" i="17"/>
  <c r="B640" i="17"/>
  <c r="I639" i="17"/>
  <c r="C639" i="17"/>
  <c r="B639" i="17"/>
  <c r="I638" i="17"/>
  <c r="C638" i="17"/>
  <c r="B638" i="17"/>
  <c r="I637" i="17"/>
  <c r="C637" i="17"/>
  <c r="B637" i="17"/>
  <c r="I636" i="17"/>
  <c r="C636" i="17"/>
  <c r="B636" i="17"/>
  <c r="I635" i="17"/>
  <c r="C635" i="17"/>
  <c r="B635" i="17"/>
  <c r="I634" i="17"/>
  <c r="C634" i="17"/>
  <c r="B634" i="17"/>
  <c r="I633" i="17"/>
  <c r="C633" i="17"/>
  <c r="B633" i="17"/>
  <c r="I632" i="17"/>
  <c r="C632" i="17"/>
  <c r="B632" i="17"/>
  <c r="I631" i="17"/>
  <c r="C631" i="17"/>
  <c r="B631" i="17"/>
  <c r="I630" i="17"/>
  <c r="C630" i="17"/>
  <c r="B630" i="17"/>
  <c r="I629" i="17"/>
  <c r="C629" i="17"/>
  <c r="B629" i="17"/>
  <c r="I628" i="17"/>
  <c r="C628" i="17"/>
  <c r="B628" i="17"/>
  <c r="I627" i="17"/>
  <c r="C627" i="17"/>
  <c r="B627" i="17"/>
  <c r="I626" i="17"/>
  <c r="C626" i="17"/>
  <c r="B626" i="17"/>
  <c r="I625" i="17"/>
  <c r="C625" i="17"/>
  <c r="B625" i="17"/>
  <c r="I624" i="17"/>
  <c r="C624" i="17"/>
  <c r="B624" i="17"/>
  <c r="I623" i="17"/>
  <c r="C623" i="17"/>
  <c r="B623" i="17"/>
  <c r="I622" i="17"/>
  <c r="C622" i="17"/>
  <c r="B622" i="17"/>
  <c r="I621" i="17"/>
  <c r="C621" i="17"/>
  <c r="B621" i="17"/>
  <c r="I620" i="17"/>
  <c r="C620" i="17"/>
  <c r="B620" i="17"/>
  <c r="I619" i="17"/>
  <c r="C619" i="17"/>
  <c r="B619" i="17"/>
  <c r="I618" i="17"/>
  <c r="C618" i="17"/>
  <c r="B618" i="17"/>
  <c r="I617" i="17"/>
  <c r="C617" i="17"/>
  <c r="B617" i="17"/>
  <c r="I616" i="17"/>
  <c r="C616" i="17"/>
  <c r="B616" i="17"/>
  <c r="I615" i="17"/>
  <c r="C615" i="17"/>
  <c r="B615" i="17"/>
  <c r="I614" i="17"/>
  <c r="C614" i="17"/>
  <c r="B614" i="17"/>
  <c r="I613" i="17"/>
  <c r="C613" i="17"/>
  <c r="B613" i="17"/>
  <c r="I612" i="17"/>
  <c r="C612" i="17"/>
  <c r="B612" i="17"/>
  <c r="I611" i="17"/>
  <c r="C611" i="17"/>
  <c r="B611" i="17"/>
  <c r="I610" i="17"/>
  <c r="C610" i="17"/>
  <c r="B610" i="17"/>
  <c r="I609" i="17"/>
  <c r="C609" i="17"/>
  <c r="B609" i="17"/>
  <c r="I608" i="17"/>
  <c r="C608" i="17"/>
  <c r="B608" i="17"/>
  <c r="I607" i="17"/>
  <c r="C607" i="17"/>
  <c r="B607" i="17"/>
  <c r="I606" i="17"/>
  <c r="C606" i="17"/>
  <c r="B606" i="17"/>
  <c r="I605" i="17"/>
  <c r="C605" i="17"/>
  <c r="B605" i="17"/>
  <c r="I604" i="17"/>
  <c r="C604" i="17"/>
  <c r="B604" i="17"/>
  <c r="I603" i="17"/>
  <c r="C603" i="17"/>
  <c r="B603" i="17"/>
  <c r="I602" i="17"/>
  <c r="C602" i="17"/>
  <c r="B602" i="17"/>
  <c r="I601" i="17"/>
  <c r="C601" i="17"/>
  <c r="B601" i="17"/>
  <c r="I600" i="17"/>
  <c r="C600" i="17"/>
  <c r="B600" i="17"/>
  <c r="I599" i="17"/>
  <c r="C599" i="17"/>
  <c r="B599" i="17"/>
  <c r="I598" i="17"/>
  <c r="C598" i="17"/>
  <c r="B598" i="17"/>
  <c r="I597" i="17"/>
  <c r="C597" i="17"/>
  <c r="B597" i="17"/>
  <c r="I596" i="17"/>
  <c r="C596" i="17"/>
  <c r="B596" i="17"/>
  <c r="I595" i="17"/>
  <c r="C595" i="17"/>
  <c r="B595" i="17"/>
  <c r="I594" i="17"/>
  <c r="C594" i="17"/>
  <c r="B594" i="17"/>
  <c r="I593" i="17"/>
  <c r="C593" i="17"/>
  <c r="B593" i="17"/>
  <c r="I592" i="17"/>
  <c r="C592" i="17"/>
  <c r="B592" i="17"/>
  <c r="I591" i="17"/>
  <c r="C591" i="17"/>
  <c r="B591" i="17"/>
  <c r="I590" i="17"/>
  <c r="C590" i="17"/>
  <c r="B590" i="17"/>
  <c r="I589" i="17"/>
  <c r="C589" i="17"/>
  <c r="B589" i="17"/>
  <c r="I588" i="17"/>
  <c r="C588" i="17"/>
  <c r="B588" i="17"/>
  <c r="I587" i="17"/>
  <c r="C587" i="17"/>
  <c r="B587" i="17"/>
  <c r="I586" i="17"/>
  <c r="C586" i="17"/>
  <c r="B586" i="17"/>
  <c r="I585" i="17"/>
  <c r="C585" i="17"/>
  <c r="B585" i="17"/>
  <c r="I584" i="17"/>
  <c r="C584" i="17"/>
  <c r="B584" i="17"/>
  <c r="I583" i="17"/>
  <c r="C583" i="17"/>
  <c r="B583" i="17"/>
  <c r="I582" i="17"/>
  <c r="C582" i="17"/>
  <c r="B582" i="17"/>
  <c r="I581" i="17"/>
  <c r="C581" i="17"/>
  <c r="B581" i="17"/>
  <c r="I580" i="17"/>
  <c r="C580" i="17"/>
  <c r="B580" i="17"/>
  <c r="I579" i="17"/>
  <c r="C579" i="17"/>
  <c r="B579" i="17"/>
  <c r="I578" i="17"/>
  <c r="C578" i="17"/>
  <c r="B578" i="17"/>
  <c r="I577" i="17"/>
  <c r="C577" i="17"/>
  <c r="B577" i="17"/>
  <c r="I576" i="17"/>
  <c r="C576" i="17"/>
  <c r="B576" i="17"/>
  <c r="I575" i="17"/>
  <c r="C575" i="17"/>
  <c r="B575" i="17"/>
  <c r="I574" i="17"/>
  <c r="C574" i="17"/>
  <c r="B574" i="17"/>
  <c r="I573" i="17"/>
  <c r="C573" i="17"/>
  <c r="B573" i="17"/>
  <c r="I572" i="17"/>
  <c r="C572" i="17"/>
  <c r="B572" i="17"/>
  <c r="I571" i="17"/>
  <c r="C571" i="17"/>
  <c r="B571" i="17"/>
  <c r="I570" i="17"/>
  <c r="C570" i="17"/>
  <c r="B570" i="17"/>
  <c r="I569" i="17"/>
  <c r="C569" i="17"/>
  <c r="B569" i="17"/>
  <c r="I568" i="17"/>
  <c r="C568" i="17"/>
  <c r="B568" i="17"/>
  <c r="I567" i="17"/>
  <c r="C567" i="17"/>
  <c r="B567" i="17"/>
  <c r="I566" i="17"/>
  <c r="C566" i="17"/>
  <c r="B566" i="17"/>
  <c r="I565" i="17"/>
  <c r="C565" i="17"/>
  <c r="B565" i="17"/>
  <c r="I564" i="17"/>
  <c r="C564" i="17"/>
  <c r="B564" i="17"/>
  <c r="I563" i="17"/>
  <c r="C563" i="17"/>
  <c r="B563" i="17"/>
  <c r="I562" i="17"/>
  <c r="C562" i="17"/>
  <c r="B562" i="17"/>
  <c r="I561" i="17"/>
  <c r="C561" i="17"/>
  <c r="B561" i="17"/>
  <c r="I560" i="17"/>
  <c r="C560" i="17"/>
  <c r="B560" i="17"/>
  <c r="I559" i="17"/>
  <c r="C559" i="17"/>
  <c r="B559" i="17"/>
  <c r="I558" i="17"/>
  <c r="C558" i="17"/>
  <c r="B558" i="17"/>
  <c r="I557" i="17"/>
  <c r="C557" i="17"/>
  <c r="B557" i="17"/>
  <c r="I556" i="17"/>
  <c r="C556" i="17"/>
  <c r="B556" i="17"/>
  <c r="I555" i="17"/>
  <c r="C555" i="17"/>
  <c r="B555" i="17"/>
  <c r="I554" i="17"/>
  <c r="C554" i="17"/>
  <c r="B554" i="17"/>
  <c r="I553" i="17"/>
  <c r="C553" i="17"/>
  <c r="B553" i="17"/>
  <c r="I552" i="17"/>
  <c r="C552" i="17"/>
  <c r="B552" i="17"/>
  <c r="I551" i="17"/>
  <c r="C551" i="17"/>
  <c r="B551" i="17"/>
  <c r="I550" i="17"/>
  <c r="C550" i="17"/>
  <c r="B550" i="17"/>
  <c r="I549" i="17"/>
  <c r="C549" i="17"/>
  <c r="B549" i="17"/>
  <c r="I548" i="17"/>
  <c r="C548" i="17"/>
  <c r="B548" i="17"/>
  <c r="I547" i="17"/>
  <c r="C547" i="17"/>
  <c r="B547" i="17"/>
  <c r="I546" i="17"/>
  <c r="C546" i="17"/>
  <c r="B546" i="17"/>
  <c r="I545" i="17"/>
  <c r="C545" i="17"/>
  <c r="B545" i="17"/>
  <c r="I544" i="17"/>
  <c r="C544" i="17"/>
  <c r="B544" i="17"/>
  <c r="I543" i="17"/>
  <c r="C543" i="17"/>
  <c r="B543" i="17"/>
  <c r="I542" i="17"/>
  <c r="C542" i="17"/>
  <c r="B542" i="17"/>
  <c r="I541" i="17"/>
  <c r="C541" i="17"/>
  <c r="B541" i="17"/>
  <c r="I540" i="17"/>
  <c r="C540" i="17"/>
  <c r="B540" i="17"/>
  <c r="I539" i="17"/>
  <c r="C539" i="17"/>
  <c r="B539" i="17"/>
  <c r="I538" i="17"/>
  <c r="C538" i="17"/>
  <c r="B538" i="17"/>
  <c r="I537" i="17"/>
  <c r="C537" i="17"/>
  <c r="B537" i="17"/>
  <c r="I536" i="17"/>
  <c r="C536" i="17"/>
  <c r="B536" i="17"/>
  <c r="I535" i="17"/>
  <c r="C535" i="17"/>
  <c r="B535" i="17"/>
  <c r="I534" i="17"/>
  <c r="C534" i="17"/>
  <c r="B534" i="17"/>
  <c r="I533" i="17"/>
  <c r="C533" i="17"/>
  <c r="B533" i="17"/>
  <c r="I532" i="17"/>
  <c r="C532" i="17"/>
  <c r="B532" i="17"/>
  <c r="I531" i="17"/>
  <c r="C531" i="17"/>
  <c r="B531" i="17"/>
  <c r="I530" i="17"/>
  <c r="C530" i="17"/>
  <c r="B530" i="17"/>
  <c r="I529" i="17"/>
  <c r="C529" i="17"/>
  <c r="B529" i="17"/>
  <c r="I528" i="17"/>
  <c r="C528" i="17"/>
  <c r="B528" i="17"/>
  <c r="I527" i="17"/>
  <c r="C527" i="17"/>
  <c r="B527" i="17"/>
  <c r="I526" i="17"/>
  <c r="C526" i="17"/>
  <c r="B526" i="17"/>
  <c r="I525" i="17"/>
  <c r="C525" i="17"/>
  <c r="B525" i="17"/>
  <c r="I524" i="17"/>
  <c r="C524" i="17"/>
  <c r="B524" i="17"/>
  <c r="I523" i="17"/>
  <c r="C523" i="17"/>
  <c r="B523" i="17"/>
  <c r="I522" i="17"/>
  <c r="C522" i="17"/>
  <c r="B522" i="17"/>
  <c r="I521" i="17"/>
  <c r="C521" i="17"/>
  <c r="B521" i="17"/>
  <c r="I520" i="17"/>
  <c r="C520" i="17"/>
  <c r="B520" i="17"/>
  <c r="I519" i="17"/>
  <c r="C519" i="17"/>
  <c r="B519" i="17"/>
  <c r="I518" i="17"/>
  <c r="C518" i="17"/>
  <c r="B518" i="17"/>
  <c r="I517" i="17"/>
  <c r="C517" i="17"/>
  <c r="B517" i="17"/>
  <c r="I516" i="17"/>
  <c r="C516" i="17"/>
  <c r="B516" i="17"/>
  <c r="I515" i="17"/>
  <c r="C515" i="17"/>
  <c r="B515" i="17"/>
  <c r="I514" i="17"/>
  <c r="C514" i="17"/>
  <c r="B514" i="17"/>
  <c r="I513" i="17"/>
  <c r="C513" i="17"/>
  <c r="B513" i="17"/>
  <c r="I512" i="17"/>
  <c r="C512" i="17"/>
  <c r="B512" i="17"/>
  <c r="I511" i="17"/>
  <c r="C511" i="17"/>
  <c r="B511" i="17"/>
  <c r="I510" i="17"/>
  <c r="C510" i="17"/>
  <c r="B510" i="17"/>
  <c r="I509" i="17"/>
  <c r="C509" i="17"/>
  <c r="B509" i="17"/>
  <c r="I508" i="17"/>
  <c r="C508" i="17"/>
  <c r="B508" i="17"/>
  <c r="I507" i="17"/>
  <c r="C507" i="17"/>
  <c r="B507" i="17"/>
  <c r="I506" i="17"/>
  <c r="C506" i="17"/>
  <c r="B506" i="17"/>
  <c r="I505" i="17"/>
  <c r="C505" i="17"/>
  <c r="B505" i="17"/>
  <c r="I504" i="17"/>
  <c r="C504" i="17"/>
  <c r="B504" i="17"/>
  <c r="I503" i="17"/>
  <c r="C503" i="17"/>
  <c r="B503" i="17"/>
  <c r="I502" i="17"/>
  <c r="C502" i="17"/>
  <c r="B502" i="17"/>
  <c r="I501" i="17"/>
  <c r="C501" i="17"/>
  <c r="B501" i="17"/>
  <c r="I500" i="17"/>
  <c r="C500" i="17"/>
  <c r="B500" i="17"/>
  <c r="I499" i="17"/>
  <c r="C499" i="17"/>
  <c r="B499" i="17"/>
  <c r="I498" i="17"/>
  <c r="C498" i="17"/>
  <c r="B498" i="17"/>
  <c r="I497" i="17"/>
  <c r="C497" i="17"/>
  <c r="B497" i="17"/>
  <c r="I496" i="17"/>
  <c r="C496" i="17"/>
  <c r="B496" i="17"/>
  <c r="I495" i="17"/>
  <c r="C495" i="17"/>
  <c r="B495" i="17"/>
  <c r="I494" i="17"/>
  <c r="C494" i="17"/>
  <c r="B494" i="17"/>
  <c r="I493" i="17"/>
  <c r="C493" i="17"/>
  <c r="B493" i="17"/>
  <c r="I492" i="17"/>
  <c r="C492" i="17"/>
  <c r="B492" i="17"/>
  <c r="I491" i="17"/>
  <c r="C491" i="17"/>
  <c r="B491" i="17"/>
  <c r="I490" i="17"/>
  <c r="C490" i="17"/>
  <c r="B490" i="17"/>
  <c r="I489" i="17"/>
  <c r="C489" i="17"/>
  <c r="B489" i="17"/>
  <c r="I488" i="17"/>
  <c r="C488" i="17"/>
  <c r="B488" i="17"/>
  <c r="I487" i="17"/>
  <c r="C487" i="17"/>
  <c r="B487" i="17"/>
  <c r="I486" i="17"/>
  <c r="C486" i="17"/>
  <c r="B486" i="17"/>
  <c r="I485" i="17"/>
  <c r="C485" i="17"/>
  <c r="B485" i="17"/>
  <c r="I484" i="17"/>
  <c r="C484" i="17"/>
  <c r="B484" i="17"/>
  <c r="I483" i="17"/>
  <c r="C483" i="17"/>
  <c r="B483" i="17"/>
  <c r="I482" i="17"/>
  <c r="C482" i="17"/>
  <c r="B482" i="17"/>
  <c r="I481" i="17"/>
  <c r="C481" i="17"/>
  <c r="B481" i="17"/>
  <c r="I480" i="17"/>
  <c r="C480" i="17"/>
  <c r="B480" i="17"/>
  <c r="I479" i="17"/>
  <c r="C479" i="17"/>
  <c r="B479" i="17"/>
  <c r="I478" i="17"/>
  <c r="C478" i="17"/>
  <c r="B478" i="17"/>
  <c r="I477" i="17"/>
  <c r="C477" i="17"/>
  <c r="B477" i="17"/>
  <c r="I476" i="17"/>
  <c r="C476" i="17"/>
  <c r="B476" i="17"/>
  <c r="I475" i="17"/>
  <c r="C475" i="17"/>
  <c r="B475" i="17"/>
  <c r="I474" i="17"/>
  <c r="C474" i="17"/>
  <c r="B474" i="17"/>
  <c r="I473" i="17"/>
  <c r="C473" i="17"/>
  <c r="B473" i="17"/>
  <c r="I472" i="17"/>
  <c r="C472" i="17"/>
  <c r="B472" i="17"/>
  <c r="I471" i="17"/>
  <c r="C471" i="17"/>
  <c r="B471" i="17"/>
  <c r="I470" i="17"/>
  <c r="C470" i="17"/>
  <c r="B470" i="17"/>
  <c r="I469" i="17"/>
  <c r="C469" i="17"/>
  <c r="B469" i="17"/>
  <c r="I468" i="17"/>
  <c r="C468" i="17"/>
  <c r="B468" i="17"/>
  <c r="I467" i="17"/>
  <c r="C467" i="17"/>
  <c r="B467" i="17"/>
  <c r="I466" i="17"/>
  <c r="C466" i="17"/>
  <c r="B466" i="17"/>
  <c r="I465" i="17"/>
  <c r="C465" i="17"/>
  <c r="B465" i="17"/>
  <c r="I464" i="17"/>
  <c r="C464" i="17"/>
  <c r="B464" i="17"/>
  <c r="I463" i="17"/>
  <c r="C463" i="17"/>
  <c r="B463" i="17"/>
  <c r="I462" i="17"/>
  <c r="C462" i="17"/>
  <c r="B462" i="17"/>
  <c r="I461" i="17"/>
  <c r="C461" i="17"/>
  <c r="B461" i="17"/>
  <c r="I460" i="17"/>
  <c r="C460" i="17"/>
  <c r="B460" i="17"/>
  <c r="I459" i="17"/>
  <c r="C459" i="17"/>
  <c r="B459" i="17"/>
  <c r="I458" i="17"/>
  <c r="C458" i="17"/>
  <c r="B458" i="17"/>
  <c r="I457" i="17"/>
  <c r="C457" i="17"/>
  <c r="B457" i="17"/>
  <c r="I456" i="17"/>
  <c r="C456" i="17"/>
  <c r="B456" i="17"/>
  <c r="I455" i="17"/>
  <c r="C455" i="17"/>
  <c r="B455" i="17"/>
  <c r="I454" i="17"/>
  <c r="C454" i="17"/>
  <c r="B454" i="17"/>
  <c r="I453" i="17"/>
  <c r="C453" i="17"/>
  <c r="B453" i="17"/>
  <c r="I452" i="17"/>
  <c r="C452" i="17"/>
  <c r="B452" i="17"/>
  <c r="I451" i="17"/>
  <c r="C451" i="17"/>
  <c r="B451" i="17"/>
  <c r="I450" i="17"/>
  <c r="C450" i="17"/>
  <c r="B450" i="17"/>
  <c r="I449" i="17"/>
  <c r="C449" i="17"/>
  <c r="B449" i="17"/>
  <c r="I448" i="17"/>
  <c r="C448" i="17"/>
  <c r="B448" i="17"/>
  <c r="I447" i="17"/>
  <c r="C447" i="17"/>
  <c r="B447" i="17"/>
  <c r="I446" i="17"/>
  <c r="C446" i="17"/>
  <c r="B446" i="17"/>
  <c r="I445" i="17"/>
  <c r="C445" i="17"/>
  <c r="B445" i="17"/>
  <c r="I444" i="17"/>
  <c r="C444" i="17"/>
  <c r="B444" i="17"/>
  <c r="I443" i="17"/>
  <c r="C443" i="17"/>
  <c r="B443" i="17"/>
  <c r="I442" i="17"/>
  <c r="C442" i="17"/>
  <c r="B442" i="17"/>
  <c r="I441" i="17"/>
  <c r="C441" i="17"/>
  <c r="B441" i="17"/>
  <c r="I440" i="17"/>
  <c r="C440" i="17"/>
  <c r="B440" i="17"/>
  <c r="I439" i="17"/>
  <c r="C439" i="17"/>
  <c r="B439" i="17"/>
  <c r="I438" i="17"/>
  <c r="C438" i="17"/>
  <c r="B438" i="17"/>
  <c r="I437" i="17"/>
  <c r="C437" i="17"/>
  <c r="B437" i="17"/>
  <c r="I436" i="17"/>
  <c r="C436" i="17"/>
  <c r="B436" i="17"/>
  <c r="I435" i="17"/>
  <c r="C435" i="17"/>
  <c r="B435" i="17"/>
  <c r="I434" i="17"/>
  <c r="C434" i="17"/>
  <c r="B434" i="17"/>
  <c r="I433" i="17"/>
  <c r="C433" i="17"/>
  <c r="B433" i="17"/>
  <c r="I432" i="17"/>
  <c r="C432" i="17"/>
  <c r="B432" i="17"/>
  <c r="I431" i="17"/>
  <c r="C431" i="17"/>
  <c r="B431" i="17"/>
  <c r="I430" i="17"/>
  <c r="C430" i="17"/>
  <c r="B430" i="17"/>
  <c r="I429" i="17"/>
  <c r="C429" i="17"/>
  <c r="B429" i="17"/>
  <c r="I428" i="17"/>
  <c r="C428" i="17"/>
  <c r="B428" i="17"/>
  <c r="I427" i="17"/>
  <c r="C427" i="17"/>
  <c r="B427" i="17"/>
  <c r="I426" i="17"/>
  <c r="C426" i="17"/>
  <c r="B426" i="17"/>
  <c r="I425" i="17"/>
  <c r="C425" i="17"/>
  <c r="B425" i="17"/>
  <c r="I424" i="17"/>
  <c r="C424" i="17"/>
  <c r="B424" i="17"/>
  <c r="I423" i="17"/>
  <c r="C423" i="17"/>
  <c r="B423" i="17"/>
  <c r="I422" i="17"/>
  <c r="C422" i="17"/>
  <c r="B422" i="17"/>
  <c r="I421" i="17"/>
  <c r="C421" i="17"/>
  <c r="B421" i="17"/>
  <c r="I420" i="17"/>
  <c r="C420" i="17"/>
  <c r="B420" i="17"/>
  <c r="I419" i="17"/>
  <c r="C419" i="17"/>
  <c r="B419" i="17"/>
  <c r="I418" i="17"/>
  <c r="C418" i="17"/>
  <c r="B418" i="17"/>
  <c r="I417" i="17"/>
  <c r="C417" i="17"/>
  <c r="B417" i="17"/>
  <c r="I416" i="17"/>
  <c r="C416" i="17"/>
  <c r="B416" i="17"/>
  <c r="I415" i="17"/>
  <c r="C415" i="17"/>
  <c r="B415" i="17"/>
  <c r="I414" i="17"/>
  <c r="C414" i="17"/>
  <c r="B414" i="17"/>
  <c r="I413" i="17"/>
  <c r="C413" i="17"/>
  <c r="B413" i="17"/>
  <c r="I412" i="17"/>
  <c r="C412" i="17"/>
  <c r="B412" i="17"/>
  <c r="I411" i="17"/>
  <c r="C411" i="17"/>
  <c r="B411" i="17"/>
  <c r="I410" i="17"/>
  <c r="C410" i="17"/>
  <c r="B410" i="17"/>
  <c r="I409" i="17"/>
  <c r="C409" i="17"/>
  <c r="B409" i="17"/>
  <c r="I408" i="17"/>
  <c r="C408" i="17"/>
  <c r="B408" i="17"/>
  <c r="I407" i="17"/>
  <c r="C407" i="17"/>
  <c r="B407" i="17"/>
  <c r="I406" i="17"/>
  <c r="C406" i="17"/>
  <c r="B406" i="17"/>
  <c r="I405" i="17"/>
  <c r="C405" i="17"/>
  <c r="B405" i="17"/>
  <c r="I404" i="17"/>
  <c r="C404" i="17"/>
  <c r="B404" i="17"/>
  <c r="I403" i="17"/>
  <c r="C403" i="17"/>
  <c r="B403" i="17"/>
  <c r="I402" i="17"/>
  <c r="C402" i="17"/>
  <c r="B402" i="17"/>
  <c r="I401" i="17"/>
  <c r="C401" i="17"/>
  <c r="B401" i="17"/>
  <c r="I400" i="17"/>
  <c r="C400" i="17"/>
  <c r="B400" i="17"/>
  <c r="I399" i="17"/>
  <c r="C399" i="17"/>
  <c r="B399" i="17"/>
  <c r="I398" i="17"/>
  <c r="C398" i="17"/>
  <c r="B398" i="17"/>
  <c r="I397" i="17"/>
  <c r="C397" i="17"/>
  <c r="B397" i="17"/>
  <c r="I396" i="17"/>
  <c r="C396" i="17"/>
  <c r="B396" i="17"/>
  <c r="I395" i="17"/>
  <c r="C395" i="17"/>
  <c r="B395" i="17"/>
  <c r="I394" i="17"/>
  <c r="C394" i="17"/>
  <c r="B394" i="17"/>
  <c r="I393" i="17"/>
  <c r="C393" i="17"/>
  <c r="B393" i="17"/>
  <c r="I392" i="17"/>
  <c r="C392" i="17"/>
  <c r="B392" i="17"/>
  <c r="I391" i="17"/>
  <c r="C391" i="17"/>
  <c r="B391" i="17"/>
  <c r="I390" i="17"/>
  <c r="C390" i="17"/>
  <c r="B390" i="17"/>
  <c r="I389" i="17"/>
  <c r="C389" i="17"/>
  <c r="B389" i="17"/>
  <c r="I388" i="17"/>
  <c r="C388" i="17"/>
  <c r="B388" i="17"/>
  <c r="I387" i="17"/>
  <c r="C387" i="17"/>
  <c r="B387" i="17"/>
  <c r="I386" i="17"/>
  <c r="C386" i="17"/>
  <c r="B386" i="17"/>
  <c r="I385" i="17"/>
  <c r="C385" i="17"/>
  <c r="B385" i="17"/>
  <c r="I384" i="17"/>
  <c r="C384" i="17"/>
  <c r="B384" i="17"/>
  <c r="I383" i="17"/>
  <c r="C383" i="17"/>
  <c r="B383" i="17"/>
  <c r="I382" i="17"/>
  <c r="C382" i="17"/>
  <c r="B382" i="17"/>
  <c r="I381" i="17"/>
  <c r="C381" i="17"/>
  <c r="B381" i="17"/>
  <c r="I380" i="17"/>
  <c r="C380" i="17"/>
  <c r="B380" i="17"/>
  <c r="I379" i="17"/>
  <c r="C379" i="17"/>
  <c r="B379" i="17"/>
  <c r="I378" i="17"/>
  <c r="C378" i="17"/>
  <c r="B378" i="17"/>
  <c r="I377" i="17"/>
  <c r="C377" i="17"/>
  <c r="B377" i="17"/>
  <c r="I376" i="17"/>
  <c r="C376" i="17"/>
  <c r="B376" i="17"/>
  <c r="I375" i="17"/>
  <c r="C375" i="17"/>
  <c r="B375" i="17"/>
  <c r="I374" i="17"/>
  <c r="C374" i="17"/>
  <c r="B374" i="17"/>
  <c r="I373" i="17"/>
  <c r="C373" i="17"/>
  <c r="B373" i="17"/>
  <c r="I372" i="17"/>
  <c r="C372" i="17"/>
  <c r="B372" i="17"/>
  <c r="I371" i="17"/>
  <c r="C371" i="17"/>
  <c r="B371" i="17"/>
  <c r="I370" i="17"/>
  <c r="C370" i="17"/>
  <c r="B370" i="17"/>
  <c r="I369" i="17"/>
  <c r="C369" i="17"/>
  <c r="B369" i="17"/>
  <c r="I368" i="17"/>
  <c r="C368" i="17"/>
  <c r="B368" i="17"/>
  <c r="I367" i="17"/>
  <c r="C367" i="17"/>
  <c r="B367" i="17"/>
  <c r="I366" i="17"/>
  <c r="C366" i="17"/>
  <c r="B366" i="17"/>
  <c r="I365" i="17"/>
  <c r="C365" i="17"/>
  <c r="B365" i="17"/>
  <c r="I364" i="17"/>
  <c r="C364" i="17"/>
  <c r="B364" i="17"/>
  <c r="I363" i="17"/>
  <c r="C363" i="17"/>
  <c r="B363" i="17"/>
  <c r="I362" i="17"/>
  <c r="C362" i="17"/>
  <c r="B362" i="17"/>
  <c r="I361" i="17"/>
  <c r="C361" i="17"/>
  <c r="B361" i="17"/>
  <c r="I360" i="17"/>
  <c r="C360" i="17"/>
  <c r="B360" i="17"/>
  <c r="I359" i="17"/>
  <c r="C359" i="17"/>
  <c r="B359" i="17"/>
  <c r="I358" i="17"/>
  <c r="C358" i="17"/>
  <c r="B358" i="17"/>
  <c r="I357" i="17"/>
  <c r="C357" i="17"/>
  <c r="B357" i="17"/>
  <c r="I356" i="17"/>
  <c r="C356" i="17"/>
  <c r="B356" i="17"/>
  <c r="I355" i="17"/>
  <c r="C355" i="17"/>
  <c r="B355" i="17"/>
  <c r="I354" i="17"/>
  <c r="C354" i="17"/>
  <c r="B354" i="17"/>
  <c r="I353" i="17"/>
  <c r="C353" i="17"/>
  <c r="B353" i="17"/>
  <c r="I352" i="17"/>
  <c r="C352" i="17"/>
  <c r="B352" i="17"/>
  <c r="I351" i="17"/>
  <c r="C351" i="17"/>
  <c r="B351" i="17"/>
  <c r="I350" i="17"/>
  <c r="C350" i="17"/>
  <c r="B350" i="17"/>
  <c r="I349" i="17"/>
  <c r="C349" i="17"/>
  <c r="B349" i="17"/>
  <c r="I348" i="17"/>
  <c r="C348" i="17"/>
  <c r="B348" i="17"/>
  <c r="I347" i="17"/>
  <c r="C347" i="17"/>
  <c r="B347" i="17"/>
  <c r="I346" i="17"/>
  <c r="C346" i="17"/>
  <c r="B346" i="17"/>
  <c r="I345" i="17"/>
  <c r="C345" i="17"/>
  <c r="B345" i="17"/>
  <c r="I344" i="17"/>
  <c r="C344" i="17"/>
  <c r="B344" i="17"/>
  <c r="I343" i="17"/>
  <c r="C343" i="17"/>
  <c r="B343" i="17"/>
  <c r="I342" i="17"/>
  <c r="C342" i="17"/>
  <c r="B342" i="17"/>
  <c r="I341" i="17"/>
  <c r="C341" i="17"/>
  <c r="B341" i="17"/>
  <c r="I340" i="17"/>
  <c r="C340" i="17"/>
  <c r="B340" i="17"/>
  <c r="I339" i="17"/>
  <c r="C339" i="17"/>
  <c r="B339" i="17"/>
  <c r="I338" i="17"/>
  <c r="C338" i="17"/>
  <c r="B338" i="17"/>
  <c r="I337" i="17"/>
  <c r="C337" i="17"/>
  <c r="B337" i="17"/>
  <c r="I336" i="17"/>
  <c r="C336" i="17"/>
  <c r="B336" i="17"/>
  <c r="I335" i="17"/>
  <c r="C335" i="17"/>
  <c r="B335" i="17"/>
  <c r="I334" i="17"/>
  <c r="C334" i="17"/>
  <c r="B334" i="17"/>
  <c r="I333" i="17"/>
  <c r="C333" i="17"/>
  <c r="B333" i="17"/>
  <c r="I332" i="17"/>
  <c r="C332" i="17"/>
  <c r="B332" i="17"/>
  <c r="I331" i="17"/>
  <c r="C331" i="17"/>
  <c r="B331" i="17"/>
  <c r="I330" i="17"/>
  <c r="C330" i="17"/>
  <c r="B330" i="17"/>
  <c r="I329" i="17"/>
  <c r="C329" i="17"/>
  <c r="B329" i="17"/>
  <c r="I328" i="17"/>
  <c r="C328" i="17"/>
  <c r="B328" i="17"/>
  <c r="I327" i="17"/>
  <c r="C327" i="17"/>
  <c r="B327" i="17"/>
  <c r="I326" i="17"/>
  <c r="C326" i="17"/>
  <c r="B326" i="17"/>
  <c r="I325" i="17"/>
  <c r="C325" i="17"/>
  <c r="B325" i="17"/>
  <c r="I324" i="17"/>
  <c r="C324" i="17"/>
  <c r="B324" i="17"/>
  <c r="I323" i="17"/>
  <c r="C323" i="17"/>
  <c r="B323" i="17"/>
  <c r="I322" i="17"/>
  <c r="C322" i="17"/>
  <c r="B322" i="17"/>
  <c r="I321" i="17"/>
  <c r="C321" i="17"/>
  <c r="B321" i="17"/>
  <c r="I320" i="17"/>
  <c r="C320" i="17"/>
  <c r="B320" i="17"/>
  <c r="I319" i="17"/>
  <c r="C319" i="17"/>
  <c r="B319" i="17"/>
  <c r="I318" i="17"/>
  <c r="C318" i="17"/>
  <c r="B318" i="17"/>
  <c r="I317" i="17"/>
  <c r="C317" i="17"/>
  <c r="B317" i="17"/>
  <c r="I316" i="17"/>
  <c r="C316" i="17"/>
  <c r="B316" i="17"/>
  <c r="I315" i="17"/>
  <c r="C315" i="17"/>
  <c r="B315" i="17"/>
  <c r="I314" i="17"/>
  <c r="C314" i="17"/>
  <c r="B314" i="17"/>
  <c r="I313" i="17"/>
  <c r="C313" i="17"/>
  <c r="B313" i="17"/>
  <c r="I312" i="17"/>
  <c r="C312" i="17"/>
  <c r="B312" i="17"/>
  <c r="I311" i="17"/>
  <c r="C311" i="17"/>
  <c r="B311" i="17"/>
  <c r="I310" i="17"/>
  <c r="C310" i="17"/>
  <c r="B310" i="17"/>
  <c r="I309" i="17"/>
  <c r="C309" i="17"/>
  <c r="B309" i="17"/>
  <c r="I308" i="17"/>
  <c r="C308" i="17"/>
  <c r="B308" i="17"/>
  <c r="I307" i="17"/>
  <c r="C307" i="17"/>
  <c r="B307" i="17"/>
  <c r="I306" i="17"/>
  <c r="C306" i="17"/>
  <c r="B306" i="17"/>
  <c r="I305" i="17"/>
  <c r="C305" i="17"/>
  <c r="B305" i="17"/>
  <c r="I304" i="17"/>
  <c r="C304" i="17"/>
  <c r="B304" i="17"/>
  <c r="I303" i="17"/>
  <c r="C303" i="17"/>
  <c r="B303" i="17"/>
  <c r="I302" i="17"/>
  <c r="C302" i="17"/>
  <c r="B302" i="17"/>
  <c r="I301" i="17"/>
  <c r="C301" i="17"/>
  <c r="B301" i="17"/>
  <c r="I300" i="17"/>
  <c r="C300" i="17"/>
  <c r="B300" i="17"/>
  <c r="I299" i="17"/>
  <c r="C299" i="17"/>
  <c r="B299" i="17"/>
  <c r="I298" i="17"/>
  <c r="C298" i="17"/>
  <c r="B298" i="17"/>
  <c r="I297" i="17"/>
  <c r="C297" i="17"/>
  <c r="B297" i="17"/>
  <c r="I296" i="17"/>
  <c r="C296" i="17"/>
  <c r="B296" i="17"/>
  <c r="I295" i="17"/>
  <c r="C295" i="17"/>
  <c r="B295" i="17"/>
  <c r="I294" i="17"/>
  <c r="C294" i="17"/>
  <c r="B294" i="17"/>
  <c r="I293" i="17"/>
  <c r="C293" i="17"/>
  <c r="B293" i="17"/>
  <c r="I292" i="17"/>
  <c r="C292" i="17"/>
  <c r="B292" i="17"/>
  <c r="I291" i="17"/>
  <c r="C291" i="17"/>
  <c r="B291" i="17"/>
  <c r="I290" i="17"/>
  <c r="C290" i="17"/>
  <c r="B290" i="17"/>
  <c r="I289" i="17"/>
  <c r="C289" i="17"/>
  <c r="B289" i="17"/>
  <c r="I288" i="17"/>
  <c r="C288" i="17"/>
  <c r="B288" i="17"/>
  <c r="I287" i="17"/>
  <c r="C287" i="17"/>
  <c r="B287" i="17"/>
  <c r="I286" i="17"/>
  <c r="C286" i="17"/>
  <c r="B286" i="17"/>
  <c r="I285" i="17"/>
  <c r="C285" i="17"/>
  <c r="B285" i="17"/>
  <c r="I284" i="17"/>
  <c r="C284" i="17"/>
  <c r="B284" i="17"/>
  <c r="I283" i="17"/>
  <c r="C283" i="17"/>
  <c r="B283" i="17"/>
  <c r="I282" i="17"/>
  <c r="C282" i="17"/>
  <c r="B282" i="17"/>
  <c r="I281" i="17"/>
  <c r="C281" i="17"/>
  <c r="B281" i="17"/>
  <c r="I280" i="17"/>
  <c r="C280" i="17"/>
  <c r="B280" i="17"/>
  <c r="I279" i="17"/>
  <c r="C279" i="17"/>
  <c r="B279" i="17"/>
  <c r="I278" i="17"/>
  <c r="C278" i="17"/>
  <c r="B278" i="17"/>
  <c r="I277" i="17"/>
  <c r="C277" i="17"/>
  <c r="B277" i="17"/>
  <c r="I276" i="17"/>
  <c r="C276" i="17"/>
  <c r="B276" i="17"/>
  <c r="I275" i="17"/>
  <c r="C275" i="17"/>
  <c r="B275" i="17"/>
  <c r="I274" i="17"/>
  <c r="C274" i="17"/>
  <c r="B274" i="17"/>
  <c r="I273" i="17"/>
  <c r="C273" i="17"/>
  <c r="B273" i="17"/>
  <c r="I272" i="17"/>
  <c r="C272" i="17"/>
  <c r="B272" i="17"/>
  <c r="I271" i="17"/>
  <c r="C271" i="17"/>
  <c r="B271" i="17"/>
  <c r="I270" i="17"/>
  <c r="C270" i="17"/>
  <c r="B270" i="17"/>
  <c r="I269" i="17"/>
  <c r="C269" i="17"/>
  <c r="B269" i="17"/>
  <c r="I268" i="17"/>
  <c r="C268" i="17"/>
  <c r="B268" i="17"/>
  <c r="I267" i="17"/>
  <c r="C267" i="17"/>
  <c r="B267" i="17"/>
  <c r="I266" i="17"/>
  <c r="C266" i="17"/>
  <c r="B266" i="17"/>
  <c r="I265" i="17"/>
  <c r="C265" i="17"/>
  <c r="B265" i="17"/>
  <c r="I264" i="17"/>
  <c r="C264" i="17"/>
  <c r="B264" i="17"/>
  <c r="I263" i="17"/>
  <c r="C263" i="17"/>
  <c r="B263" i="17"/>
  <c r="I262" i="17"/>
  <c r="C262" i="17"/>
  <c r="B262" i="17"/>
  <c r="I261" i="17"/>
  <c r="C261" i="17"/>
  <c r="B261" i="17"/>
  <c r="I260" i="17"/>
  <c r="C260" i="17"/>
  <c r="B260" i="17"/>
  <c r="I259" i="17"/>
  <c r="C259" i="17"/>
  <c r="B259" i="17"/>
  <c r="I258" i="17"/>
  <c r="C258" i="17"/>
  <c r="B258" i="17"/>
  <c r="I257" i="17"/>
  <c r="C257" i="17"/>
  <c r="B257" i="17"/>
  <c r="I256" i="17"/>
  <c r="C256" i="17"/>
  <c r="B256" i="17"/>
  <c r="I255" i="17"/>
  <c r="C255" i="17"/>
  <c r="B255" i="17"/>
  <c r="I254" i="17"/>
  <c r="C254" i="17"/>
  <c r="B254" i="17"/>
  <c r="I253" i="17"/>
  <c r="C253" i="17"/>
  <c r="B253" i="17"/>
  <c r="I252" i="17"/>
  <c r="C252" i="17"/>
  <c r="B252" i="17"/>
  <c r="I251" i="17"/>
  <c r="C251" i="17"/>
  <c r="B251" i="17"/>
  <c r="I250" i="17"/>
  <c r="C250" i="17"/>
  <c r="B250" i="17"/>
  <c r="I249" i="17"/>
  <c r="C249" i="17"/>
  <c r="B249" i="17"/>
  <c r="I248" i="17"/>
  <c r="C248" i="17"/>
  <c r="B248" i="17"/>
  <c r="I247" i="17"/>
  <c r="C247" i="17"/>
  <c r="B247" i="17"/>
  <c r="I246" i="17"/>
  <c r="C246" i="17"/>
  <c r="B246" i="17"/>
  <c r="I245" i="17"/>
  <c r="C245" i="17"/>
  <c r="B245" i="17"/>
  <c r="I244" i="17"/>
  <c r="C244" i="17"/>
  <c r="B244" i="17"/>
  <c r="I243" i="17"/>
  <c r="C243" i="17"/>
  <c r="B243" i="17"/>
  <c r="I242" i="17"/>
  <c r="C242" i="17"/>
  <c r="B242" i="17"/>
  <c r="I241" i="17"/>
  <c r="C241" i="17"/>
  <c r="B241" i="17"/>
  <c r="I240" i="17"/>
  <c r="C240" i="17"/>
  <c r="B240" i="17"/>
  <c r="I239" i="17"/>
  <c r="C239" i="17"/>
  <c r="B239" i="17"/>
  <c r="I238" i="17"/>
  <c r="C238" i="17"/>
  <c r="B238" i="17"/>
  <c r="I237" i="17"/>
  <c r="C237" i="17"/>
  <c r="B237" i="17"/>
  <c r="I236" i="17"/>
  <c r="C236" i="17"/>
  <c r="B236" i="17"/>
  <c r="I235" i="17"/>
  <c r="C235" i="17"/>
  <c r="B235" i="17"/>
  <c r="I234" i="17"/>
  <c r="C234" i="17"/>
  <c r="B234" i="17"/>
  <c r="I233" i="17"/>
  <c r="C233" i="17"/>
  <c r="B233" i="17"/>
  <c r="I232" i="17"/>
  <c r="C232" i="17"/>
  <c r="B232" i="17"/>
  <c r="I231" i="17"/>
  <c r="C231" i="17"/>
  <c r="B231" i="17"/>
  <c r="I230" i="17"/>
  <c r="C230" i="17"/>
  <c r="B230" i="17"/>
  <c r="I229" i="17"/>
  <c r="C229" i="17"/>
  <c r="B229" i="17"/>
  <c r="I228" i="17"/>
  <c r="C228" i="17"/>
  <c r="B228" i="17"/>
  <c r="I227" i="17"/>
  <c r="C227" i="17"/>
  <c r="B227" i="17"/>
  <c r="I226" i="17"/>
  <c r="C226" i="17"/>
  <c r="B226" i="17"/>
  <c r="I225" i="17"/>
  <c r="C225" i="17"/>
  <c r="B225" i="17"/>
  <c r="I224" i="17"/>
  <c r="C224" i="17"/>
  <c r="B224" i="17"/>
  <c r="I223" i="17"/>
  <c r="C223" i="17"/>
  <c r="B223" i="17"/>
  <c r="I222" i="17"/>
  <c r="C222" i="17"/>
  <c r="B222" i="17"/>
  <c r="I221" i="17"/>
  <c r="C221" i="17"/>
  <c r="B221" i="17"/>
  <c r="I220" i="17"/>
  <c r="C220" i="17"/>
  <c r="B220" i="17"/>
  <c r="I219" i="17"/>
  <c r="C219" i="17"/>
  <c r="B219" i="17"/>
  <c r="I218" i="17"/>
  <c r="C218" i="17"/>
  <c r="B218" i="17"/>
  <c r="I217" i="17"/>
  <c r="C217" i="17"/>
  <c r="B217" i="17"/>
  <c r="I216" i="17"/>
  <c r="C216" i="17"/>
  <c r="B216" i="17"/>
  <c r="I215" i="17"/>
  <c r="C215" i="17"/>
  <c r="B215" i="17"/>
  <c r="I214" i="17"/>
  <c r="C214" i="17"/>
  <c r="B214" i="17"/>
  <c r="I213" i="17"/>
  <c r="C213" i="17"/>
  <c r="B213" i="17"/>
  <c r="I212" i="17"/>
  <c r="C212" i="17"/>
  <c r="B212" i="17"/>
  <c r="I211" i="17"/>
  <c r="C211" i="17"/>
  <c r="B211" i="17"/>
  <c r="I210" i="17"/>
  <c r="C210" i="17"/>
  <c r="B210" i="17"/>
  <c r="I209" i="17"/>
  <c r="C209" i="17"/>
  <c r="B209" i="17"/>
  <c r="I208" i="17"/>
  <c r="C208" i="17"/>
  <c r="B208" i="17"/>
  <c r="I207" i="17"/>
  <c r="C207" i="17"/>
  <c r="B207" i="17"/>
  <c r="I206" i="17"/>
  <c r="C206" i="17"/>
  <c r="B206" i="17"/>
  <c r="I205" i="17"/>
  <c r="C205" i="17"/>
  <c r="B205" i="17"/>
  <c r="I204" i="17"/>
  <c r="C204" i="17"/>
  <c r="B204" i="17"/>
  <c r="I203" i="17"/>
  <c r="C203" i="17"/>
  <c r="B203" i="17"/>
  <c r="I202" i="17"/>
  <c r="C202" i="17"/>
  <c r="B202" i="17"/>
  <c r="I201" i="17"/>
  <c r="C201" i="17"/>
  <c r="B201" i="17"/>
  <c r="I200" i="17"/>
  <c r="C200" i="17"/>
  <c r="B200" i="17"/>
  <c r="I199" i="17"/>
  <c r="C199" i="17"/>
  <c r="B199" i="17"/>
  <c r="I198" i="17"/>
  <c r="C198" i="17"/>
  <c r="B198" i="17"/>
  <c r="I197" i="17"/>
  <c r="C197" i="17"/>
  <c r="B197" i="17"/>
  <c r="I196" i="17"/>
  <c r="C196" i="17"/>
  <c r="B196" i="17"/>
  <c r="I195" i="17"/>
  <c r="C195" i="17"/>
  <c r="B195" i="17"/>
  <c r="I194" i="17"/>
  <c r="C194" i="17"/>
  <c r="B194" i="17"/>
  <c r="I193" i="17"/>
  <c r="C193" i="17"/>
  <c r="B193" i="17"/>
  <c r="I192" i="17"/>
  <c r="C192" i="17"/>
  <c r="B192" i="17"/>
  <c r="I191" i="17"/>
  <c r="C191" i="17"/>
  <c r="B191" i="17"/>
  <c r="I190" i="17"/>
  <c r="C190" i="17"/>
  <c r="B190" i="17"/>
  <c r="I189" i="17"/>
  <c r="C189" i="17"/>
  <c r="B189" i="17"/>
  <c r="I188" i="17"/>
  <c r="C188" i="17"/>
  <c r="B188" i="17"/>
  <c r="I187" i="17"/>
  <c r="C187" i="17"/>
  <c r="B187" i="17"/>
  <c r="I186" i="17"/>
  <c r="C186" i="17"/>
  <c r="B186" i="17"/>
  <c r="I185" i="17"/>
  <c r="C185" i="17"/>
  <c r="B185" i="17"/>
  <c r="I184" i="17"/>
  <c r="C184" i="17"/>
  <c r="B184" i="17"/>
  <c r="I183" i="17"/>
  <c r="C183" i="17"/>
  <c r="B183" i="17"/>
  <c r="I182" i="17"/>
  <c r="C182" i="17"/>
  <c r="B182" i="17"/>
  <c r="I181" i="17"/>
  <c r="C181" i="17"/>
  <c r="B181" i="17"/>
  <c r="I180" i="17"/>
  <c r="C180" i="17"/>
  <c r="B180" i="17"/>
  <c r="I179" i="17"/>
  <c r="C179" i="17"/>
  <c r="B179" i="17"/>
  <c r="I178" i="17"/>
  <c r="C178" i="17"/>
  <c r="B178" i="17"/>
  <c r="I177" i="17"/>
  <c r="C177" i="17"/>
  <c r="B177" i="17"/>
  <c r="I176" i="17"/>
  <c r="C176" i="17"/>
  <c r="B176" i="17"/>
  <c r="I175" i="17"/>
  <c r="C175" i="17"/>
  <c r="B175" i="17"/>
  <c r="I174" i="17"/>
  <c r="C174" i="17"/>
  <c r="B174" i="17"/>
  <c r="I173" i="17"/>
  <c r="C173" i="17"/>
  <c r="B173" i="17"/>
  <c r="I172" i="17"/>
  <c r="C172" i="17"/>
  <c r="B172" i="17"/>
  <c r="I171" i="17"/>
  <c r="C171" i="17"/>
  <c r="B171" i="17"/>
  <c r="I170" i="17"/>
  <c r="C170" i="17"/>
  <c r="B170" i="17"/>
  <c r="I169" i="17"/>
  <c r="C169" i="17"/>
  <c r="B169" i="17"/>
  <c r="I168" i="17"/>
  <c r="C168" i="17"/>
  <c r="B168" i="17"/>
  <c r="I167" i="17"/>
  <c r="C167" i="17"/>
  <c r="B167" i="17"/>
  <c r="I166" i="17"/>
  <c r="C166" i="17"/>
  <c r="B166" i="17"/>
  <c r="I165" i="17"/>
  <c r="C165" i="17"/>
  <c r="B165" i="17"/>
  <c r="I164" i="17"/>
  <c r="C164" i="17"/>
  <c r="B164" i="17"/>
  <c r="I163" i="17"/>
  <c r="C163" i="17"/>
  <c r="B163" i="17"/>
  <c r="I162" i="17"/>
  <c r="C162" i="17"/>
  <c r="B162" i="17"/>
  <c r="I161" i="17"/>
  <c r="C161" i="17"/>
  <c r="B161" i="17"/>
  <c r="I160" i="17"/>
  <c r="C160" i="17"/>
  <c r="B160" i="17"/>
  <c r="I159" i="17"/>
  <c r="C159" i="17"/>
  <c r="B159" i="17"/>
  <c r="I158" i="17"/>
  <c r="C158" i="17"/>
  <c r="B158" i="17"/>
  <c r="I157" i="17"/>
  <c r="C157" i="17"/>
  <c r="B157" i="17"/>
  <c r="I156" i="17"/>
  <c r="C156" i="17"/>
  <c r="B156" i="17"/>
  <c r="I155" i="17"/>
  <c r="C155" i="17"/>
  <c r="B155" i="17"/>
  <c r="I154" i="17"/>
  <c r="C154" i="17"/>
  <c r="B154" i="17"/>
  <c r="I153" i="17"/>
  <c r="C153" i="17"/>
  <c r="B153" i="17"/>
  <c r="I152" i="17"/>
  <c r="C152" i="17"/>
  <c r="B152" i="17"/>
  <c r="I151" i="17"/>
  <c r="C151" i="17"/>
  <c r="B151" i="17"/>
  <c r="I150" i="17"/>
  <c r="C150" i="17"/>
  <c r="B150" i="17"/>
  <c r="I149" i="17"/>
  <c r="C149" i="17"/>
  <c r="B149" i="17"/>
  <c r="I148" i="17"/>
  <c r="C148" i="17"/>
  <c r="B148" i="17"/>
  <c r="I147" i="17"/>
  <c r="C147" i="17"/>
  <c r="B147" i="17"/>
  <c r="I146" i="17"/>
  <c r="C146" i="17"/>
  <c r="B146" i="17"/>
  <c r="I145" i="17"/>
  <c r="C145" i="17"/>
  <c r="B145" i="17"/>
  <c r="I144" i="17"/>
  <c r="C144" i="17"/>
  <c r="B144" i="17"/>
  <c r="I143" i="17"/>
  <c r="C143" i="17"/>
  <c r="B143" i="17"/>
  <c r="I142" i="17"/>
  <c r="C142" i="17"/>
  <c r="B142" i="17"/>
  <c r="I141" i="17"/>
  <c r="C141" i="17"/>
  <c r="B141" i="17"/>
  <c r="I140" i="17"/>
  <c r="C140" i="17"/>
  <c r="B140" i="17"/>
  <c r="I139" i="17"/>
  <c r="C139" i="17"/>
  <c r="B139" i="17"/>
  <c r="I138" i="17"/>
  <c r="C138" i="17"/>
  <c r="B138" i="17"/>
  <c r="I137" i="17"/>
  <c r="C137" i="17"/>
  <c r="B137" i="17"/>
  <c r="I136" i="17"/>
  <c r="C136" i="17"/>
  <c r="B136" i="17"/>
  <c r="I135" i="17"/>
  <c r="C135" i="17"/>
  <c r="B135" i="17"/>
  <c r="I134" i="17"/>
  <c r="C134" i="17"/>
  <c r="B134" i="17"/>
  <c r="I133" i="17"/>
  <c r="C133" i="17"/>
  <c r="B133" i="17"/>
  <c r="I132" i="17"/>
  <c r="C132" i="17"/>
  <c r="B132" i="17"/>
  <c r="I131" i="17"/>
  <c r="C131" i="17"/>
  <c r="B131" i="17"/>
  <c r="I130" i="17"/>
  <c r="C130" i="17"/>
  <c r="B130" i="17"/>
  <c r="I129" i="17"/>
  <c r="C129" i="17"/>
  <c r="B129" i="17"/>
  <c r="I128" i="17"/>
  <c r="C128" i="17"/>
  <c r="B128" i="17"/>
  <c r="I127" i="17"/>
  <c r="C127" i="17"/>
  <c r="B127" i="17"/>
  <c r="I126" i="17"/>
  <c r="C126" i="17"/>
  <c r="B126" i="17"/>
  <c r="I125" i="17"/>
  <c r="C125" i="17"/>
  <c r="B125" i="17"/>
  <c r="I124" i="17"/>
  <c r="C124" i="17"/>
  <c r="B124" i="17"/>
  <c r="I123" i="17"/>
  <c r="C123" i="17"/>
  <c r="B123" i="17"/>
  <c r="I122" i="17"/>
  <c r="C122" i="17"/>
  <c r="B122" i="17"/>
  <c r="I121" i="17"/>
  <c r="C121" i="17"/>
  <c r="B121" i="17"/>
  <c r="I120" i="17"/>
  <c r="C120" i="17"/>
  <c r="B120" i="17"/>
  <c r="I119" i="17"/>
  <c r="C119" i="17"/>
  <c r="B119" i="17"/>
  <c r="I118" i="17"/>
  <c r="C118" i="17"/>
  <c r="B118" i="17"/>
  <c r="I117" i="17"/>
  <c r="C117" i="17"/>
  <c r="B117" i="17"/>
  <c r="I116" i="17"/>
  <c r="C116" i="17"/>
  <c r="B116" i="17"/>
  <c r="I115" i="17"/>
  <c r="C115" i="17"/>
  <c r="B115" i="17"/>
  <c r="I114" i="17"/>
  <c r="C114" i="17"/>
  <c r="B114" i="17"/>
  <c r="I113" i="17"/>
  <c r="C113" i="17"/>
  <c r="B113" i="17"/>
  <c r="I112" i="17"/>
  <c r="C112" i="17"/>
  <c r="B112" i="17"/>
  <c r="I111" i="17"/>
  <c r="C111" i="17"/>
  <c r="B111" i="17"/>
  <c r="I110" i="17"/>
  <c r="C110" i="17"/>
  <c r="B110" i="17"/>
  <c r="I109" i="17"/>
  <c r="C109" i="17"/>
  <c r="B109" i="17"/>
  <c r="I108" i="17"/>
  <c r="C108" i="17"/>
  <c r="B108" i="17"/>
  <c r="I107" i="17"/>
  <c r="C107" i="17"/>
  <c r="B107" i="17"/>
  <c r="I106" i="17"/>
  <c r="C106" i="17"/>
  <c r="B106" i="17"/>
  <c r="I105" i="17"/>
  <c r="C105" i="17"/>
  <c r="B105" i="17"/>
  <c r="I104" i="17"/>
  <c r="C104" i="17"/>
  <c r="B104" i="17"/>
  <c r="I103" i="17"/>
  <c r="C103" i="17"/>
  <c r="B103" i="17"/>
  <c r="I102" i="17"/>
  <c r="C102" i="17"/>
  <c r="B102" i="17"/>
  <c r="I101" i="17"/>
  <c r="C101" i="17"/>
  <c r="B101" i="17"/>
  <c r="I100" i="17"/>
  <c r="C100" i="17"/>
  <c r="B100" i="17"/>
  <c r="I99" i="17"/>
  <c r="C99" i="17"/>
  <c r="B99" i="17"/>
  <c r="I98" i="17"/>
  <c r="C98" i="17"/>
  <c r="B98" i="17"/>
  <c r="I97" i="17"/>
  <c r="C97" i="17"/>
  <c r="B97" i="17"/>
  <c r="I96" i="17"/>
  <c r="C96" i="17"/>
  <c r="B96" i="17"/>
  <c r="I95" i="17"/>
  <c r="C95" i="17"/>
  <c r="B95" i="17"/>
  <c r="I94" i="17"/>
  <c r="C94" i="17"/>
  <c r="B94" i="17"/>
  <c r="I93" i="17"/>
  <c r="C93" i="17"/>
  <c r="B93" i="17"/>
  <c r="I92" i="17"/>
  <c r="C92" i="17"/>
  <c r="B92" i="17"/>
  <c r="I91" i="17"/>
  <c r="C91" i="17"/>
  <c r="B91" i="17"/>
  <c r="I90" i="17"/>
  <c r="C90" i="17"/>
  <c r="B90" i="17"/>
  <c r="I89" i="17"/>
  <c r="C89" i="17"/>
  <c r="B89" i="17"/>
  <c r="I88" i="17"/>
  <c r="C88" i="17"/>
  <c r="B88" i="17"/>
  <c r="I87" i="17"/>
  <c r="C87" i="17"/>
  <c r="B87" i="17"/>
  <c r="I86" i="17"/>
  <c r="C86" i="17"/>
  <c r="B86" i="17"/>
  <c r="I85" i="17"/>
  <c r="C85" i="17"/>
  <c r="B85" i="17"/>
  <c r="I84" i="17"/>
  <c r="C84" i="17"/>
  <c r="B84" i="17"/>
  <c r="I83" i="17"/>
  <c r="C83" i="17"/>
  <c r="B83" i="17"/>
  <c r="I82" i="17"/>
  <c r="C82" i="17"/>
  <c r="B82" i="17"/>
  <c r="I81" i="17"/>
  <c r="C81" i="17"/>
  <c r="B81" i="17"/>
  <c r="I80" i="17"/>
  <c r="C80" i="17"/>
  <c r="B80" i="17"/>
  <c r="I79" i="17"/>
  <c r="C79" i="17"/>
  <c r="B79" i="17"/>
  <c r="I78" i="17"/>
  <c r="C78" i="17"/>
  <c r="B78" i="17"/>
  <c r="I77" i="17"/>
  <c r="C77" i="17"/>
  <c r="B77" i="17"/>
  <c r="I76" i="17"/>
  <c r="C76" i="17"/>
  <c r="B76" i="17"/>
  <c r="I75" i="17"/>
  <c r="C75" i="17"/>
  <c r="B75" i="17"/>
  <c r="I74" i="17"/>
  <c r="C74" i="17"/>
  <c r="B74" i="17"/>
  <c r="I73" i="17"/>
  <c r="C73" i="17"/>
  <c r="B73" i="17"/>
  <c r="I72" i="17"/>
  <c r="C72" i="17"/>
  <c r="B72" i="17"/>
  <c r="I71" i="17"/>
  <c r="C71" i="17"/>
  <c r="B71" i="17"/>
  <c r="I70" i="17"/>
  <c r="C70" i="17"/>
  <c r="B70" i="17"/>
  <c r="I69" i="17"/>
  <c r="C69" i="17"/>
  <c r="B69" i="17"/>
  <c r="I68" i="17"/>
  <c r="C68" i="17"/>
  <c r="B68" i="17"/>
  <c r="I67" i="17"/>
  <c r="C67" i="17"/>
  <c r="B67" i="17"/>
  <c r="I66" i="17"/>
  <c r="C66" i="17"/>
  <c r="B66" i="17"/>
  <c r="I65" i="17"/>
  <c r="C65" i="17"/>
  <c r="B65" i="17"/>
  <c r="I64" i="17"/>
  <c r="C64" i="17"/>
  <c r="B64" i="17"/>
  <c r="I63" i="17"/>
  <c r="C63" i="17"/>
  <c r="B63" i="17"/>
  <c r="I62" i="17"/>
  <c r="C62" i="17"/>
  <c r="B62" i="17"/>
  <c r="I61" i="17"/>
  <c r="C61" i="17"/>
  <c r="B61" i="17"/>
  <c r="I60" i="17"/>
  <c r="C60" i="17"/>
  <c r="B60" i="17"/>
  <c r="I59" i="17"/>
  <c r="C59" i="17"/>
  <c r="B59" i="17"/>
  <c r="I58" i="17"/>
  <c r="C58" i="17"/>
  <c r="B58" i="17"/>
  <c r="I57" i="17"/>
  <c r="C57" i="17"/>
  <c r="B57" i="17"/>
  <c r="I56" i="17"/>
  <c r="C56" i="17"/>
  <c r="B56" i="17"/>
  <c r="I55" i="17"/>
  <c r="C55" i="17"/>
  <c r="B55" i="17"/>
  <c r="I54" i="17"/>
  <c r="C54" i="17"/>
  <c r="B54" i="17"/>
  <c r="I53" i="17"/>
  <c r="C53" i="17"/>
  <c r="B53" i="17"/>
  <c r="I52" i="17"/>
  <c r="C52" i="17"/>
  <c r="B52" i="17"/>
  <c r="I51" i="17"/>
  <c r="C51" i="17"/>
  <c r="B51" i="17"/>
  <c r="I50" i="17"/>
  <c r="C50" i="17"/>
  <c r="B50" i="17"/>
  <c r="I49" i="17"/>
  <c r="C49" i="17"/>
  <c r="B49" i="17"/>
  <c r="I48" i="17"/>
  <c r="C48" i="17"/>
  <c r="B48" i="17"/>
  <c r="I47" i="17"/>
  <c r="C47" i="17"/>
  <c r="B47" i="17"/>
  <c r="I46" i="17"/>
  <c r="C46" i="17"/>
  <c r="B46" i="17"/>
  <c r="I45" i="17"/>
  <c r="C45" i="17"/>
  <c r="B45" i="17"/>
  <c r="I44" i="17"/>
  <c r="C44" i="17"/>
  <c r="B44" i="17"/>
  <c r="I43" i="17"/>
  <c r="C43" i="17"/>
  <c r="B43" i="17"/>
  <c r="I42" i="17"/>
  <c r="C42" i="17"/>
  <c r="B42" i="17"/>
  <c r="I41" i="17"/>
  <c r="C41" i="17"/>
  <c r="B41" i="17"/>
  <c r="I40" i="17"/>
  <c r="C40" i="17"/>
  <c r="B40" i="17"/>
  <c r="I39" i="17"/>
  <c r="C39" i="17"/>
  <c r="B39" i="17"/>
  <c r="I38" i="17"/>
  <c r="C38" i="17"/>
  <c r="B38" i="17"/>
  <c r="I37" i="17"/>
  <c r="C37" i="17"/>
  <c r="B37" i="17"/>
  <c r="I36" i="17"/>
  <c r="C36" i="17"/>
  <c r="B36" i="17"/>
  <c r="I35" i="17"/>
  <c r="C35" i="17"/>
  <c r="B35" i="17"/>
  <c r="I34" i="17"/>
  <c r="C34" i="17"/>
  <c r="B34" i="17"/>
  <c r="I33" i="17"/>
  <c r="C33" i="17"/>
  <c r="B33" i="17"/>
  <c r="I32" i="17"/>
  <c r="C32" i="17"/>
  <c r="B32" i="17"/>
  <c r="I31" i="17"/>
  <c r="C31" i="17"/>
  <c r="B31" i="17"/>
  <c r="I30" i="17"/>
  <c r="C30" i="17"/>
  <c r="B30" i="17"/>
  <c r="I29" i="17"/>
  <c r="C29" i="17"/>
  <c r="B29" i="17"/>
  <c r="I28" i="17"/>
  <c r="C28" i="17"/>
  <c r="B28" i="17"/>
  <c r="I27" i="17"/>
  <c r="C27" i="17"/>
  <c r="B27" i="17"/>
  <c r="I26" i="17"/>
  <c r="C26" i="17"/>
  <c r="B26" i="17"/>
  <c r="I25" i="17"/>
  <c r="C25" i="17"/>
  <c r="B25" i="17"/>
  <c r="I24" i="17"/>
  <c r="C24" i="17"/>
  <c r="B24" i="17"/>
  <c r="I23" i="17"/>
  <c r="C23" i="17"/>
  <c r="B23" i="17"/>
  <c r="I22" i="17"/>
  <c r="C22" i="17"/>
  <c r="B22" i="17"/>
  <c r="I21" i="17"/>
  <c r="C21" i="17"/>
  <c r="B21" i="17"/>
  <c r="I20" i="17"/>
  <c r="C20" i="17"/>
  <c r="B20" i="17"/>
  <c r="I19" i="17"/>
  <c r="C19" i="17"/>
  <c r="B19" i="17"/>
  <c r="I18" i="17"/>
  <c r="C18" i="17"/>
  <c r="B18" i="17"/>
  <c r="I17" i="17"/>
  <c r="C17" i="17"/>
  <c r="B17" i="17"/>
  <c r="I16" i="17"/>
  <c r="C16" i="17"/>
  <c r="B16" i="17"/>
  <c r="I15" i="17"/>
  <c r="C15" i="17"/>
  <c r="B15" i="17"/>
  <c r="I14" i="17"/>
  <c r="C14" i="17"/>
  <c r="B14" i="17"/>
  <c r="I13" i="17"/>
  <c r="C13" i="17"/>
  <c r="B13" i="17"/>
  <c r="I12" i="17"/>
  <c r="C12" i="17"/>
  <c r="B12" i="17"/>
  <c r="I11" i="17"/>
  <c r="C11" i="17"/>
  <c r="B11" i="17"/>
  <c r="I10" i="17"/>
  <c r="B10" i="17"/>
  <c r="I9" i="17"/>
  <c r="C9" i="17"/>
  <c r="B9" i="17"/>
  <c r="I8" i="17"/>
  <c r="C8" i="17"/>
  <c r="B8" i="17"/>
  <c r="I7" i="17"/>
  <c r="C7" i="17"/>
  <c r="B7" i="17"/>
  <c r="I6" i="17"/>
  <c r="C6" i="17"/>
  <c r="B6" i="17"/>
  <c r="I5" i="17"/>
  <c r="C5" i="17"/>
  <c r="B5" i="17"/>
  <c r="I4" i="17"/>
  <c r="C4" i="17"/>
  <c r="I3" i="17"/>
  <c r="C3" i="17"/>
  <c r="B3" i="17"/>
  <c r="M1" i="15"/>
  <c r="O1" i="11"/>
  <c r="G2976" i="15"/>
  <c r="D2976" i="15"/>
  <c r="C2976" i="15"/>
  <c r="G2975" i="15"/>
  <c r="D2975" i="15"/>
  <c r="C2975" i="15"/>
  <c r="G2974" i="15"/>
  <c r="D2974" i="15"/>
  <c r="C2974" i="15"/>
  <c r="G2973" i="15"/>
  <c r="D2973" i="15"/>
  <c r="C2973" i="15"/>
  <c r="G2972" i="15"/>
  <c r="D2972" i="15"/>
  <c r="C2972" i="15"/>
  <c r="G2971" i="15"/>
  <c r="D2971" i="15"/>
  <c r="C2971" i="15"/>
  <c r="G2970" i="15"/>
  <c r="D2970" i="15"/>
  <c r="C2970" i="15"/>
  <c r="G2969" i="15"/>
  <c r="D2969" i="15"/>
  <c r="C2969" i="15"/>
  <c r="G2968" i="15"/>
  <c r="D2968" i="15"/>
  <c r="C2968" i="15"/>
  <c r="G2967" i="15"/>
  <c r="D2967" i="15"/>
  <c r="C2967" i="15"/>
  <c r="G2966" i="15"/>
  <c r="D2966" i="15"/>
  <c r="C2966" i="15"/>
  <c r="G2965" i="15"/>
  <c r="D2965" i="15"/>
  <c r="C2965" i="15"/>
  <c r="G2964" i="15"/>
  <c r="D2964" i="15"/>
  <c r="C2964" i="15"/>
  <c r="G2963" i="15"/>
  <c r="D2963" i="15"/>
  <c r="C2963" i="15"/>
  <c r="G2962" i="15"/>
  <c r="D2962" i="15"/>
  <c r="C2962" i="15"/>
  <c r="G2961" i="15"/>
  <c r="D2961" i="15"/>
  <c r="C2961" i="15"/>
  <c r="G2960" i="15"/>
  <c r="D2960" i="15"/>
  <c r="C2960" i="15"/>
  <c r="G2959" i="15"/>
  <c r="D2959" i="15"/>
  <c r="C2959" i="15"/>
  <c r="G2958" i="15"/>
  <c r="D2958" i="15"/>
  <c r="C2958" i="15"/>
  <c r="G2957" i="15"/>
  <c r="D2957" i="15"/>
  <c r="C2957" i="15"/>
  <c r="G2956" i="15"/>
  <c r="D2956" i="15"/>
  <c r="C2956" i="15"/>
  <c r="G2955" i="15"/>
  <c r="D2955" i="15"/>
  <c r="C2955" i="15"/>
  <c r="G2954" i="15"/>
  <c r="D2954" i="15"/>
  <c r="C2954" i="15"/>
  <c r="G2953" i="15"/>
  <c r="D2953" i="15"/>
  <c r="C2953" i="15"/>
  <c r="G2952" i="15"/>
  <c r="D2952" i="15"/>
  <c r="C2952" i="15"/>
  <c r="G2951" i="15"/>
  <c r="D2951" i="15"/>
  <c r="C2951" i="15"/>
  <c r="G2950" i="15"/>
  <c r="D2950" i="15"/>
  <c r="C2950" i="15"/>
  <c r="G2949" i="15"/>
  <c r="D2949" i="15"/>
  <c r="C2949" i="15"/>
  <c r="G2948" i="15"/>
  <c r="D2948" i="15"/>
  <c r="C2948" i="15"/>
  <c r="G2947" i="15"/>
  <c r="D2947" i="15"/>
  <c r="C2947" i="15"/>
  <c r="G2946" i="15"/>
  <c r="D2946" i="15"/>
  <c r="C2946" i="15"/>
  <c r="G2945" i="15"/>
  <c r="D2945" i="15"/>
  <c r="C2945" i="15"/>
  <c r="G2944" i="15"/>
  <c r="D2944" i="15"/>
  <c r="C2944" i="15"/>
  <c r="G2943" i="15"/>
  <c r="D2943" i="15"/>
  <c r="C2943" i="15"/>
  <c r="G2942" i="15"/>
  <c r="D2942" i="15"/>
  <c r="C2942" i="15"/>
  <c r="G2941" i="15"/>
  <c r="D2941" i="15"/>
  <c r="C2941" i="15"/>
  <c r="G2940" i="15"/>
  <c r="D2940" i="15"/>
  <c r="C2940" i="15"/>
  <c r="G2939" i="15"/>
  <c r="D2939" i="15"/>
  <c r="C2939" i="15"/>
  <c r="G2938" i="15"/>
  <c r="D2938" i="15"/>
  <c r="C2938" i="15"/>
  <c r="G2937" i="15"/>
  <c r="D2937" i="15"/>
  <c r="C2937" i="15"/>
  <c r="G2936" i="15"/>
  <c r="D2936" i="15"/>
  <c r="C2936" i="15"/>
  <c r="G2935" i="15"/>
  <c r="D2935" i="15"/>
  <c r="C2935" i="15"/>
  <c r="G2934" i="15"/>
  <c r="D2934" i="15"/>
  <c r="C2934" i="15"/>
  <c r="G2933" i="15"/>
  <c r="D2933" i="15"/>
  <c r="C2933" i="15"/>
  <c r="G2932" i="15"/>
  <c r="D2932" i="15"/>
  <c r="C2932" i="15"/>
  <c r="G2931" i="15"/>
  <c r="D2931" i="15"/>
  <c r="C2931" i="15"/>
  <c r="G2930" i="15"/>
  <c r="D2930" i="15"/>
  <c r="C2930" i="15"/>
  <c r="G2929" i="15"/>
  <c r="D2929" i="15"/>
  <c r="C2929" i="15"/>
  <c r="G2928" i="15"/>
  <c r="D2928" i="15"/>
  <c r="C2928" i="15"/>
  <c r="G2927" i="15"/>
  <c r="D2927" i="15"/>
  <c r="C2927" i="15"/>
  <c r="G2926" i="15"/>
  <c r="D2926" i="15"/>
  <c r="C2926" i="15"/>
  <c r="G2925" i="15"/>
  <c r="D2925" i="15"/>
  <c r="C2925" i="15"/>
  <c r="G2924" i="15"/>
  <c r="D2924" i="15"/>
  <c r="C2924" i="15"/>
  <c r="G2923" i="15"/>
  <c r="D2923" i="15"/>
  <c r="C2923" i="15"/>
  <c r="G2922" i="15"/>
  <c r="D2922" i="15"/>
  <c r="C2922" i="15"/>
  <c r="G2921" i="15"/>
  <c r="D2921" i="15"/>
  <c r="C2921" i="15"/>
  <c r="G2920" i="15"/>
  <c r="D2920" i="15"/>
  <c r="C2920" i="15"/>
  <c r="G2919" i="15"/>
  <c r="D2919" i="15"/>
  <c r="C2919" i="15"/>
  <c r="G2918" i="15"/>
  <c r="D2918" i="15"/>
  <c r="C2918" i="15"/>
  <c r="G2917" i="15"/>
  <c r="D2917" i="15"/>
  <c r="C2917" i="15"/>
  <c r="G2916" i="15"/>
  <c r="D2916" i="15"/>
  <c r="C2916" i="15"/>
  <c r="G2915" i="15"/>
  <c r="D2915" i="15"/>
  <c r="C2915" i="15"/>
  <c r="G2914" i="15"/>
  <c r="D2914" i="15"/>
  <c r="C2914" i="15"/>
  <c r="G2913" i="15"/>
  <c r="D2913" i="15"/>
  <c r="C2913" i="15"/>
  <c r="G2912" i="15"/>
  <c r="D2912" i="15"/>
  <c r="C2912" i="15"/>
  <c r="G2911" i="15"/>
  <c r="D2911" i="15"/>
  <c r="C2911" i="15"/>
  <c r="G2910" i="15"/>
  <c r="D2910" i="15"/>
  <c r="C2910" i="15"/>
  <c r="G2909" i="15"/>
  <c r="D2909" i="15"/>
  <c r="C2909" i="15"/>
  <c r="G2908" i="15"/>
  <c r="D2908" i="15"/>
  <c r="C2908" i="15"/>
  <c r="G2907" i="15"/>
  <c r="D2907" i="15"/>
  <c r="C2907" i="15"/>
  <c r="G2906" i="15"/>
  <c r="D2906" i="15"/>
  <c r="C2906" i="15"/>
  <c r="G2905" i="15"/>
  <c r="D2905" i="15"/>
  <c r="C2905" i="15"/>
  <c r="G2904" i="15"/>
  <c r="D2904" i="15"/>
  <c r="C2904" i="15"/>
  <c r="G2903" i="15"/>
  <c r="D2903" i="15"/>
  <c r="C2903" i="15"/>
  <c r="G2902" i="15"/>
  <c r="D2902" i="15"/>
  <c r="C2902" i="15"/>
  <c r="G2901" i="15"/>
  <c r="D2901" i="15"/>
  <c r="C2901" i="15"/>
  <c r="G2900" i="15"/>
  <c r="D2900" i="15"/>
  <c r="C2900" i="15"/>
  <c r="G2899" i="15"/>
  <c r="D2899" i="15"/>
  <c r="C2899" i="15"/>
  <c r="G2898" i="15"/>
  <c r="D2898" i="15"/>
  <c r="C2898" i="15"/>
  <c r="G2897" i="15"/>
  <c r="D2897" i="15"/>
  <c r="C2897" i="15"/>
  <c r="G2896" i="15"/>
  <c r="D2896" i="15"/>
  <c r="C2896" i="15"/>
  <c r="G2895" i="15"/>
  <c r="D2895" i="15"/>
  <c r="C2895" i="15"/>
  <c r="G2894" i="15"/>
  <c r="D2894" i="15"/>
  <c r="C2894" i="15"/>
  <c r="G2893" i="15"/>
  <c r="D2893" i="15"/>
  <c r="C2893" i="15"/>
  <c r="G2892" i="15"/>
  <c r="D2892" i="15"/>
  <c r="C2892" i="15"/>
  <c r="G2891" i="15"/>
  <c r="D2891" i="15"/>
  <c r="C2891" i="15"/>
  <c r="G2890" i="15"/>
  <c r="D2890" i="15"/>
  <c r="C2890" i="15"/>
  <c r="G2889" i="15"/>
  <c r="D2889" i="15"/>
  <c r="C2889" i="15"/>
  <c r="G2888" i="15"/>
  <c r="D2888" i="15"/>
  <c r="C2888" i="15"/>
  <c r="G2887" i="15"/>
  <c r="D2887" i="15"/>
  <c r="C2887" i="15"/>
  <c r="G2886" i="15"/>
  <c r="D2886" i="15"/>
  <c r="C2886" i="15"/>
  <c r="G2885" i="15"/>
  <c r="D2885" i="15"/>
  <c r="C2885" i="15"/>
  <c r="G2884" i="15"/>
  <c r="D2884" i="15"/>
  <c r="C2884" i="15"/>
  <c r="G2883" i="15"/>
  <c r="D2883" i="15"/>
  <c r="C2883" i="15"/>
  <c r="G2882" i="15"/>
  <c r="D2882" i="15"/>
  <c r="C2882" i="15"/>
  <c r="G2881" i="15"/>
  <c r="D2881" i="15"/>
  <c r="C2881" i="15"/>
  <c r="G2880" i="15"/>
  <c r="D2880" i="15"/>
  <c r="C2880" i="15"/>
  <c r="G2879" i="15"/>
  <c r="D2879" i="15"/>
  <c r="C2879" i="15"/>
  <c r="G2878" i="15"/>
  <c r="D2878" i="15"/>
  <c r="C2878" i="15"/>
  <c r="G2877" i="15"/>
  <c r="D2877" i="15"/>
  <c r="C2877" i="15"/>
  <c r="G2876" i="15"/>
  <c r="D2876" i="15"/>
  <c r="C2876" i="15"/>
  <c r="G2875" i="15"/>
  <c r="D2875" i="15"/>
  <c r="C2875" i="15"/>
  <c r="G2874" i="15"/>
  <c r="D2874" i="15"/>
  <c r="C2874" i="15"/>
  <c r="G2873" i="15"/>
  <c r="D2873" i="15"/>
  <c r="C2873" i="15"/>
  <c r="G2872" i="15"/>
  <c r="D2872" i="15"/>
  <c r="C2872" i="15"/>
  <c r="G2871" i="15"/>
  <c r="D2871" i="15"/>
  <c r="C2871" i="15"/>
  <c r="G2870" i="15"/>
  <c r="D2870" i="15"/>
  <c r="C2870" i="15"/>
  <c r="G2869" i="15"/>
  <c r="D2869" i="15"/>
  <c r="C2869" i="15"/>
  <c r="G2868" i="15"/>
  <c r="D2868" i="15"/>
  <c r="C2868" i="15"/>
  <c r="G2867" i="15"/>
  <c r="D2867" i="15"/>
  <c r="C2867" i="15"/>
  <c r="G2866" i="15"/>
  <c r="D2866" i="15"/>
  <c r="C2866" i="15"/>
  <c r="G2865" i="15"/>
  <c r="D2865" i="15"/>
  <c r="C2865" i="15"/>
  <c r="G2864" i="15"/>
  <c r="D2864" i="15"/>
  <c r="C2864" i="15"/>
  <c r="G2863" i="15"/>
  <c r="D2863" i="15"/>
  <c r="C2863" i="15"/>
  <c r="G2862" i="15"/>
  <c r="D2862" i="15"/>
  <c r="C2862" i="15"/>
  <c r="G2861" i="15"/>
  <c r="D2861" i="15"/>
  <c r="C2861" i="15"/>
  <c r="G2860" i="15"/>
  <c r="D2860" i="15"/>
  <c r="C2860" i="15"/>
  <c r="G2859" i="15"/>
  <c r="D2859" i="15"/>
  <c r="C2859" i="15"/>
  <c r="G2858" i="15"/>
  <c r="D2858" i="15"/>
  <c r="C2858" i="15"/>
  <c r="G2857" i="15"/>
  <c r="D2857" i="15"/>
  <c r="C2857" i="15"/>
  <c r="G2856" i="15"/>
  <c r="D2856" i="15"/>
  <c r="C2856" i="15"/>
  <c r="G2855" i="15"/>
  <c r="D2855" i="15"/>
  <c r="C2855" i="15"/>
  <c r="G2854" i="15"/>
  <c r="D2854" i="15"/>
  <c r="C2854" i="15"/>
  <c r="G2853" i="15"/>
  <c r="D2853" i="15"/>
  <c r="C2853" i="15"/>
  <c r="G2852" i="15"/>
  <c r="D2852" i="15"/>
  <c r="C2852" i="15"/>
  <c r="G2851" i="15"/>
  <c r="D2851" i="15"/>
  <c r="C2851" i="15"/>
  <c r="G2850" i="15"/>
  <c r="D2850" i="15"/>
  <c r="C2850" i="15"/>
  <c r="G2849" i="15"/>
  <c r="D2849" i="15"/>
  <c r="C2849" i="15"/>
  <c r="G2848" i="15"/>
  <c r="D2848" i="15"/>
  <c r="C2848" i="15"/>
  <c r="G2847" i="15"/>
  <c r="D2847" i="15"/>
  <c r="C2847" i="15"/>
  <c r="G2846" i="15"/>
  <c r="D2846" i="15"/>
  <c r="C2846" i="15"/>
  <c r="G2845" i="15"/>
  <c r="D2845" i="15"/>
  <c r="C2845" i="15"/>
  <c r="G2844" i="15"/>
  <c r="D2844" i="15"/>
  <c r="C2844" i="15"/>
  <c r="G2843" i="15"/>
  <c r="D2843" i="15"/>
  <c r="C2843" i="15"/>
  <c r="G2842" i="15"/>
  <c r="D2842" i="15"/>
  <c r="C2842" i="15"/>
  <c r="G2841" i="15"/>
  <c r="D2841" i="15"/>
  <c r="C2841" i="15"/>
  <c r="G2840" i="15"/>
  <c r="D2840" i="15"/>
  <c r="C2840" i="15"/>
  <c r="G2839" i="15"/>
  <c r="D2839" i="15"/>
  <c r="C2839" i="15"/>
  <c r="G2838" i="15"/>
  <c r="D2838" i="15"/>
  <c r="C2838" i="15"/>
  <c r="G2837" i="15"/>
  <c r="D2837" i="15"/>
  <c r="C2837" i="15"/>
  <c r="G2836" i="15"/>
  <c r="D2836" i="15"/>
  <c r="C2836" i="15"/>
  <c r="G2835" i="15"/>
  <c r="D2835" i="15"/>
  <c r="C2835" i="15"/>
  <c r="G2834" i="15"/>
  <c r="D2834" i="15"/>
  <c r="C2834" i="15"/>
  <c r="G2833" i="15"/>
  <c r="D2833" i="15"/>
  <c r="C2833" i="15"/>
  <c r="G2832" i="15"/>
  <c r="D2832" i="15"/>
  <c r="C2832" i="15"/>
  <c r="G2831" i="15"/>
  <c r="D2831" i="15"/>
  <c r="C2831" i="15"/>
  <c r="G2830" i="15"/>
  <c r="D2830" i="15"/>
  <c r="C2830" i="15"/>
  <c r="G2829" i="15"/>
  <c r="D2829" i="15"/>
  <c r="C2829" i="15"/>
  <c r="G2828" i="15"/>
  <c r="D2828" i="15"/>
  <c r="C2828" i="15"/>
  <c r="G2827" i="15"/>
  <c r="D2827" i="15"/>
  <c r="C2827" i="15"/>
  <c r="G2826" i="15"/>
  <c r="D2826" i="15"/>
  <c r="C2826" i="15"/>
  <c r="G2825" i="15"/>
  <c r="D2825" i="15"/>
  <c r="C2825" i="15"/>
  <c r="G2824" i="15"/>
  <c r="D2824" i="15"/>
  <c r="C2824" i="15"/>
  <c r="G2823" i="15"/>
  <c r="D2823" i="15"/>
  <c r="C2823" i="15"/>
  <c r="G2822" i="15"/>
  <c r="D2822" i="15"/>
  <c r="C2822" i="15"/>
  <c r="G2821" i="15"/>
  <c r="D2821" i="15"/>
  <c r="C2821" i="15"/>
  <c r="G2820" i="15"/>
  <c r="D2820" i="15"/>
  <c r="C2820" i="15"/>
  <c r="G2819" i="15"/>
  <c r="D2819" i="15"/>
  <c r="C2819" i="15"/>
  <c r="G2818" i="15"/>
  <c r="D2818" i="15"/>
  <c r="C2818" i="15"/>
  <c r="G2817" i="15"/>
  <c r="D2817" i="15"/>
  <c r="C2817" i="15"/>
  <c r="G2816" i="15"/>
  <c r="D2816" i="15"/>
  <c r="C2816" i="15"/>
  <c r="G2815" i="15"/>
  <c r="D2815" i="15"/>
  <c r="C2815" i="15"/>
  <c r="G2814" i="15"/>
  <c r="D2814" i="15"/>
  <c r="C2814" i="15"/>
  <c r="G2813" i="15"/>
  <c r="D2813" i="15"/>
  <c r="C2813" i="15"/>
  <c r="G2812" i="15"/>
  <c r="D2812" i="15"/>
  <c r="C2812" i="15"/>
  <c r="G2811" i="15"/>
  <c r="D2811" i="15"/>
  <c r="C2811" i="15"/>
  <c r="G2810" i="15"/>
  <c r="D2810" i="15"/>
  <c r="C2810" i="15"/>
  <c r="G2809" i="15"/>
  <c r="D2809" i="15"/>
  <c r="C2809" i="15"/>
  <c r="G2808" i="15"/>
  <c r="D2808" i="15"/>
  <c r="C2808" i="15"/>
  <c r="G2807" i="15"/>
  <c r="D2807" i="15"/>
  <c r="C2807" i="15"/>
  <c r="G2806" i="15"/>
  <c r="D2806" i="15"/>
  <c r="C2806" i="15"/>
  <c r="G2805" i="15"/>
  <c r="D2805" i="15"/>
  <c r="C2805" i="15"/>
  <c r="G2804" i="15"/>
  <c r="D2804" i="15"/>
  <c r="C2804" i="15"/>
  <c r="G2803" i="15"/>
  <c r="D2803" i="15"/>
  <c r="C2803" i="15"/>
  <c r="G2802" i="15"/>
  <c r="D2802" i="15"/>
  <c r="C2802" i="15"/>
  <c r="G2801" i="15"/>
  <c r="D2801" i="15"/>
  <c r="C2801" i="15"/>
  <c r="G2800" i="15"/>
  <c r="D2800" i="15"/>
  <c r="C2800" i="15"/>
  <c r="G2799" i="15"/>
  <c r="D2799" i="15"/>
  <c r="C2799" i="15"/>
  <c r="G2798" i="15"/>
  <c r="D2798" i="15"/>
  <c r="C2798" i="15"/>
  <c r="G2797" i="15"/>
  <c r="D2797" i="15"/>
  <c r="C2797" i="15"/>
  <c r="G2796" i="15"/>
  <c r="D2796" i="15"/>
  <c r="C2796" i="15"/>
  <c r="G2795" i="15"/>
  <c r="D2795" i="15"/>
  <c r="C2795" i="15"/>
  <c r="G2794" i="15"/>
  <c r="D2794" i="15"/>
  <c r="C2794" i="15"/>
  <c r="G2793" i="15"/>
  <c r="D2793" i="15"/>
  <c r="C2793" i="15"/>
  <c r="G2792" i="15"/>
  <c r="D2792" i="15"/>
  <c r="C2792" i="15"/>
  <c r="G2791" i="15"/>
  <c r="D2791" i="15"/>
  <c r="C2791" i="15"/>
  <c r="G2790" i="15"/>
  <c r="D2790" i="15"/>
  <c r="C2790" i="15"/>
  <c r="G2789" i="15"/>
  <c r="D2789" i="15"/>
  <c r="C2789" i="15"/>
  <c r="G2788" i="15"/>
  <c r="D2788" i="15"/>
  <c r="C2788" i="15"/>
  <c r="G2787" i="15"/>
  <c r="D2787" i="15"/>
  <c r="C2787" i="15"/>
  <c r="G2786" i="15"/>
  <c r="D2786" i="15"/>
  <c r="C2786" i="15"/>
  <c r="G2785" i="15"/>
  <c r="D2785" i="15"/>
  <c r="C2785" i="15"/>
  <c r="G2784" i="15"/>
  <c r="D2784" i="15"/>
  <c r="C2784" i="15"/>
  <c r="G2783" i="15"/>
  <c r="D2783" i="15"/>
  <c r="C2783" i="15"/>
  <c r="G2782" i="15"/>
  <c r="D2782" i="15"/>
  <c r="C2782" i="15"/>
  <c r="G2781" i="15"/>
  <c r="D2781" i="15"/>
  <c r="C2781" i="15"/>
  <c r="G2780" i="15"/>
  <c r="D2780" i="15"/>
  <c r="C2780" i="15"/>
  <c r="G2779" i="15"/>
  <c r="D2779" i="15"/>
  <c r="C2779" i="15"/>
  <c r="G2778" i="15"/>
  <c r="D2778" i="15"/>
  <c r="C2778" i="15"/>
  <c r="G2777" i="15"/>
  <c r="D2777" i="15"/>
  <c r="C2777" i="15"/>
  <c r="G2776" i="15"/>
  <c r="D2776" i="15"/>
  <c r="C2776" i="15"/>
  <c r="G2775" i="15"/>
  <c r="D2775" i="15"/>
  <c r="C2775" i="15"/>
  <c r="G2774" i="15"/>
  <c r="D2774" i="15"/>
  <c r="C2774" i="15"/>
  <c r="G2773" i="15"/>
  <c r="D2773" i="15"/>
  <c r="C2773" i="15"/>
  <c r="G2772" i="15"/>
  <c r="D2772" i="15"/>
  <c r="C2772" i="15"/>
  <c r="G2771" i="15"/>
  <c r="D2771" i="15"/>
  <c r="C2771" i="15"/>
  <c r="G2770" i="15"/>
  <c r="D2770" i="15"/>
  <c r="C2770" i="15"/>
  <c r="G2769" i="15"/>
  <c r="D2769" i="15"/>
  <c r="C2769" i="15"/>
  <c r="G2768" i="15"/>
  <c r="D2768" i="15"/>
  <c r="C2768" i="15"/>
  <c r="G2767" i="15"/>
  <c r="D2767" i="15"/>
  <c r="C2767" i="15"/>
  <c r="G2766" i="15"/>
  <c r="D2766" i="15"/>
  <c r="C2766" i="15"/>
  <c r="G2765" i="15"/>
  <c r="D2765" i="15"/>
  <c r="C2765" i="15"/>
  <c r="G2764" i="15"/>
  <c r="D2764" i="15"/>
  <c r="C2764" i="15"/>
  <c r="G2763" i="15"/>
  <c r="D2763" i="15"/>
  <c r="C2763" i="15"/>
  <c r="G2762" i="15"/>
  <c r="D2762" i="15"/>
  <c r="C2762" i="15"/>
  <c r="G2761" i="15"/>
  <c r="D2761" i="15"/>
  <c r="C2761" i="15"/>
  <c r="G2760" i="15"/>
  <c r="D2760" i="15"/>
  <c r="C2760" i="15"/>
  <c r="G2759" i="15"/>
  <c r="D2759" i="15"/>
  <c r="C2759" i="15"/>
  <c r="G2758" i="15"/>
  <c r="D2758" i="15"/>
  <c r="C2758" i="15"/>
  <c r="G2757" i="15"/>
  <c r="D2757" i="15"/>
  <c r="C2757" i="15"/>
  <c r="G2756" i="15"/>
  <c r="D2756" i="15"/>
  <c r="C2756" i="15"/>
  <c r="G2755" i="15"/>
  <c r="D2755" i="15"/>
  <c r="C2755" i="15"/>
  <c r="G2754" i="15"/>
  <c r="D2754" i="15"/>
  <c r="C2754" i="15"/>
  <c r="G2753" i="15"/>
  <c r="D2753" i="15"/>
  <c r="C2753" i="15"/>
  <c r="G2752" i="15"/>
  <c r="D2752" i="15"/>
  <c r="C2752" i="15"/>
  <c r="G2751" i="15"/>
  <c r="D2751" i="15"/>
  <c r="C2751" i="15"/>
  <c r="G2750" i="15"/>
  <c r="D2750" i="15"/>
  <c r="C2750" i="15"/>
  <c r="G2749" i="15"/>
  <c r="D2749" i="15"/>
  <c r="C2749" i="15"/>
  <c r="G2748" i="15"/>
  <c r="D2748" i="15"/>
  <c r="C2748" i="15"/>
  <c r="G2747" i="15"/>
  <c r="D2747" i="15"/>
  <c r="C2747" i="15"/>
  <c r="G2746" i="15"/>
  <c r="D2746" i="15"/>
  <c r="C2746" i="15"/>
  <c r="G2745" i="15"/>
  <c r="D2745" i="15"/>
  <c r="C2745" i="15"/>
  <c r="G2744" i="15"/>
  <c r="D2744" i="15"/>
  <c r="C2744" i="15"/>
  <c r="G2743" i="15"/>
  <c r="D2743" i="15"/>
  <c r="C2743" i="15"/>
  <c r="G2742" i="15"/>
  <c r="D2742" i="15"/>
  <c r="C2742" i="15"/>
  <c r="G2741" i="15"/>
  <c r="D2741" i="15"/>
  <c r="C2741" i="15"/>
  <c r="G2740" i="15"/>
  <c r="D2740" i="15"/>
  <c r="C2740" i="15"/>
  <c r="G2739" i="15"/>
  <c r="D2739" i="15"/>
  <c r="C2739" i="15"/>
  <c r="G2738" i="15"/>
  <c r="D2738" i="15"/>
  <c r="C2738" i="15"/>
  <c r="G2737" i="15"/>
  <c r="D2737" i="15"/>
  <c r="C2737" i="15"/>
  <c r="G2736" i="15"/>
  <c r="D2736" i="15"/>
  <c r="C2736" i="15"/>
  <c r="G2735" i="15"/>
  <c r="D2735" i="15"/>
  <c r="C2735" i="15"/>
  <c r="G2734" i="15"/>
  <c r="D2734" i="15"/>
  <c r="C2734" i="15"/>
  <c r="G2733" i="15"/>
  <c r="D2733" i="15"/>
  <c r="C2733" i="15"/>
  <c r="G2732" i="15"/>
  <c r="D2732" i="15"/>
  <c r="C2732" i="15"/>
  <c r="G2731" i="15"/>
  <c r="D2731" i="15"/>
  <c r="C2731" i="15"/>
  <c r="G2730" i="15"/>
  <c r="D2730" i="15"/>
  <c r="C2730" i="15"/>
  <c r="G2729" i="15"/>
  <c r="D2729" i="15"/>
  <c r="C2729" i="15"/>
  <c r="G2728" i="15"/>
  <c r="D2728" i="15"/>
  <c r="C2728" i="15"/>
  <c r="G2727" i="15"/>
  <c r="D2727" i="15"/>
  <c r="C2727" i="15"/>
  <c r="G2726" i="15"/>
  <c r="D2726" i="15"/>
  <c r="C2726" i="15"/>
  <c r="G2725" i="15"/>
  <c r="D2725" i="15"/>
  <c r="C2725" i="15"/>
  <c r="G2724" i="15"/>
  <c r="D2724" i="15"/>
  <c r="C2724" i="15"/>
  <c r="G2723" i="15"/>
  <c r="D2723" i="15"/>
  <c r="C2723" i="15"/>
  <c r="G2722" i="15"/>
  <c r="D2722" i="15"/>
  <c r="C2722" i="15"/>
  <c r="G2721" i="15"/>
  <c r="D2721" i="15"/>
  <c r="C2721" i="15"/>
  <c r="G2720" i="15"/>
  <c r="D2720" i="15"/>
  <c r="C2720" i="15"/>
  <c r="G2719" i="15"/>
  <c r="D2719" i="15"/>
  <c r="C2719" i="15"/>
  <c r="G2718" i="15"/>
  <c r="D2718" i="15"/>
  <c r="C2718" i="15"/>
  <c r="G2717" i="15"/>
  <c r="D2717" i="15"/>
  <c r="C2717" i="15"/>
  <c r="G2716" i="15"/>
  <c r="D2716" i="15"/>
  <c r="C2716" i="15"/>
  <c r="G2715" i="15"/>
  <c r="D2715" i="15"/>
  <c r="C2715" i="15"/>
  <c r="G2714" i="15"/>
  <c r="D2714" i="15"/>
  <c r="C2714" i="15"/>
  <c r="G2713" i="15"/>
  <c r="D2713" i="15"/>
  <c r="C2713" i="15"/>
  <c r="G2712" i="15"/>
  <c r="D2712" i="15"/>
  <c r="C2712" i="15"/>
  <c r="G2711" i="15"/>
  <c r="D2711" i="15"/>
  <c r="C2711" i="15"/>
  <c r="G2710" i="15"/>
  <c r="D2710" i="15"/>
  <c r="C2710" i="15"/>
  <c r="G2709" i="15"/>
  <c r="D2709" i="15"/>
  <c r="C2709" i="15"/>
  <c r="G2708" i="15"/>
  <c r="D2708" i="15"/>
  <c r="C2708" i="15"/>
  <c r="G2707" i="15"/>
  <c r="D2707" i="15"/>
  <c r="C2707" i="15"/>
  <c r="G2706" i="15"/>
  <c r="D2706" i="15"/>
  <c r="C2706" i="15"/>
  <c r="G2705" i="15"/>
  <c r="D2705" i="15"/>
  <c r="C2705" i="15"/>
  <c r="G2704" i="15"/>
  <c r="D2704" i="15"/>
  <c r="C2704" i="15"/>
  <c r="G2703" i="15"/>
  <c r="D2703" i="15"/>
  <c r="C2703" i="15"/>
  <c r="G2702" i="15"/>
  <c r="D2702" i="15"/>
  <c r="C2702" i="15"/>
  <c r="G2701" i="15"/>
  <c r="D2701" i="15"/>
  <c r="C2701" i="15"/>
  <c r="G2700" i="15"/>
  <c r="D2700" i="15"/>
  <c r="C2700" i="15"/>
  <c r="G2699" i="15"/>
  <c r="D2699" i="15"/>
  <c r="C2699" i="15"/>
  <c r="G2698" i="15"/>
  <c r="D2698" i="15"/>
  <c r="C2698" i="15"/>
  <c r="G2697" i="15"/>
  <c r="D2697" i="15"/>
  <c r="C2697" i="15"/>
  <c r="G2696" i="15"/>
  <c r="D2696" i="15"/>
  <c r="C2696" i="15"/>
  <c r="G2695" i="15"/>
  <c r="D2695" i="15"/>
  <c r="C2695" i="15"/>
  <c r="G2694" i="15"/>
  <c r="D2694" i="15"/>
  <c r="C2694" i="15"/>
  <c r="G2693" i="15"/>
  <c r="D2693" i="15"/>
  <c r="C2693" i="15"/>
  <c r="G2692" i="15"/>
  <c r="D2692" i="15"/>
  <c r="C2692" i="15"/>
  <c r="G2691" i="15"/>
  <c r="D2691" i="15"/>
  <c r="C2691" i="15"/>
  <c r="G2690" i="15"/>
  <c r="D2690" i="15"/>
  <c r="C2690" i="15"/>
  <c r="G2689" i="15"/>
  <c r="D2689" i="15"/>
  <c r="C2689" i="15"/>
  <c r="G2688" i="15"/>
  <c r="D2688" i="15"/>
  <c r="C2688" i="15"/>
  <c r="G2687" i="15"/>
  <c r="D2687" i="15"/>
  <c r="C2687" i="15"/>
  <c r="G2686" i="15"/>
  <c r="D2686" i="15"/>
  <c r="C2686" i="15"/>
  <c r="G2685" i="15"/>
  <c r="D2685" i="15"/>
  <c r="C2685" i="15"/>
  <c r="G2684" i="15"/>
  <c r="D2684" i="15"/>
  <c r="C2684" i="15"/>
  <c r="G2683" i="15"/>
  <c r="D2683" i="15"/>
  <c r="C2683" i="15"/>
  <c r="G2682" i="15"/>
  <c r="D2682" i="15"/>
  <c r="C2682" i="15"/>
  <c r="G2681" i="15"/>
  <c r="D2681" i="15"/>
  <c r="C2681" i="15"/>
  <c r="G2680" i="15"/>
  <c r="D2680" i="15"/>
  <c r="C2680" i="15"/>
  <c r="G2679" i="15"/>
  <c r="D2679" i="15"/>
  <c r="C2679" i="15"/>
  <c r="G2678" i="15"/>
  <c r="D2678" i="15"/>
  <c r="C2678" i="15"/>
  <c r="G2677" i="15"/>
  <c r="D2677" i="15"/>
  <c r="C2677" i="15"/>
  <c r="G2676" i="15"/>
  <c r="D2676" i="15"/>
  <c r="C2676" i="15"/>
  <c r="G2675" i="15"/>
  <c r="D2675" i="15"/>
  <c r="C2675" i="15"/>
  <c r="G2674" i="15"/>
  <c r="D2674" i="15"/>
  <c r="C2674" i="15"/>
  <c r="G2673" i="15"/>
  <c r="D2673" i="15"/>
  <c r="C2673" i="15"/>
  <c r="G2672" i="15"/>
  <c r="D2672" i="15"/>
  <c r="C2672" i="15"/>
  <c r="G2671" i="15"/>
  <c r="D2671" i="15"/>
  <c r="C2671" i="15"/>
  <c r="G2670" i="15"/>
  <c r="D2670" i="15"/>
  <c r="C2670" i="15"/>
  <c r="G2669" i="15"/>
  <c r="D2669" i="15"/>
  <c r="C2669" i="15"/>
  <c r="G2668" i="15"/>
  <c r="D2668" i="15"/>
  <c r="C2668" i="15"/>
  <c r="G2667" i="15"/>
  <c r="D2667" i="15"/>
  <c r="C2667" i="15"/>
  <c r="G2666" i="15"/>
  <c r="D2666" i="15"/>
  <c r="C2666" i="15"/>
  <c r="G2665" i="15"/>
  <c r="D2665" i="15"/>
  <c r="C2665" i="15"/>
  <c r="G2664" i="15"/>
  <c r="D2664" i="15"/>
  <c r="C2664" i="15"/>
  <c r="G2663" i="15"/>
  <c r="D2663" i="15"/>
  <c r="C2663" i="15"/>
  <c r="G2662" i="15"/>
  <c r="D2662" i="15"/>
  <c r="C2662" i="15"/>
  <c r="G2661" i="15"/>
  <c r="D2661" i="15"/>
  <c r="C2661" i="15"/>
  <c r="G2660" i="15"/>
  <c r="D2660" i="15"/>
  <c r="C2660" i="15"/>
  <c r="G2659" i="15"/>
  <c r="D2659" i="15"/>
  <c r="C2659" i="15"/>
  <c r="G2658" i="15"/>
  <c r="D2658" i="15"/>
  <c r="C2658" i="15"/>
  <c r="G2657" i="15"/>
  <c r="D2657" i="15"/>
  <c r="C2657" i="15"/>
  <c r="G2656" i="15"/>
  <c r="D2656" i="15"/>
  <c r="C2656" i="15"/>
  <c r="G2655" i="15"/>
  <c r="D2655" i="15"/>
  <c r="C2655" i="15"/>
  <c r="G2654" i="15"/>
  <c r="D2654" i="15"/>
  <c r="C2654" i="15"/>
  <c r="G2653" i="15"/>
  <c r="D2653" i="15"/>
  <c r="C2653" i="15"/>
  <c r="G2652" i="15"/>
  <c r="D2652" i="15"/>
  <c r="C2652" i="15"/>
  <c r="G2651" i="15"/>
  <c r="D2651" i="15"/>
  <c r="C2651" i="15"/>
  <c r="G2650" i="15"/>
  <c r="D2650" i="15"/>
  <c r="C2650" i="15"/>
  <c r="G2649" i="15"/>
  <c r="D2649" i="15"/>
  <c r="C2649" i="15"/>
  <c r="G2648" i="15"/>
  <c r="D2648" i="15"/>
  <c r="C2648" i="15"/>
  <c r="G2647" i="15"/>
  <c r="D2647" i="15"/>
  <c r="C2647" i="15"/>
  <c r="G2646" i="15"/>
  <c r="D2646" i="15"/>
  <c r="C2646" i="15"/>
  <c r="G2645" i="15"/>
  <c r="D2645" i="15"/>
  <c r="C2645" i="15"/>
  <c r="G2644" i="15"/>
  <c r="D2644" i="15"/>
  <c r="C2644" i="15"/>
  <c r="G2643" i="15"/>
  <c r="D2643" i="15"/>
  <c r="C2643" i="15"/>
  <c r="G2642" i="15"/>
  <c r="D2642" i="15"/>
  <c r="C2642" i="15"/>
  <c r="G2641" i="15"/>
  <c r="D2641" i="15"/>
  <c r="C2641" i="15"/>
  <c r="G2640" i="15"/>
  <c r="D2640" i="15"/>
  <c r="C2640" i="15"/>
  <c r="G2639" i="15"/>
  <c r="D2639" i="15"/>
  <c r="C2639" i="15"/>
  <c r="G2638" i="15"/>
  <c r="D2638" i="15"/>
  <c r="C2638" i="15"/>
  <c r="G2637" i="15"/>
  <c r="D2637" i="15"/>
  <c r="C2637" i="15"/>
  <c r="G2636" i="15"/>
  <c r="D2636" i="15"/>
  <c r="C2636" i="15"/>
  <c r="G2635" i="15"/>
  <c r="D2635" i="15"/>
  <c r="C2635" i="15"/>
  <c r="G2634" i="15"/>
  <c r="D2634" i="15"/>
  <c r="C2634" i="15"/>
  <c r="G2633" i="15"/>
  <c r="D2633" i="15"/>
  <c r="C2633" i="15"/>
  <c r="G2632" i="15"/>
  <c r="D2632" i="15"/>
  <c r="C2632" i="15"/>
  <c r="G2631" i="15"/>
  <c r="D2631" i="15"/>
  <c r="C2631" i="15"/>
  <c r="G2630" i="15"/>
  <c r="D2630" i="15"/>
  <c r="C2630" i="15"/>
  <c r="G2629" i="15"/>
  <c r="D2629" i="15"/>
  <c r="C2629" i="15"/>
  <c r="G2628" i="15"/>
  <c r="D2628" i="15"/>
  <c r="C2628" i="15"/>
  <c r="G2627" i="15"/>
  <c r="D2627" i="15"/>
  <c r="C2627" i="15"/>
  <c r="G2626" i="15"/>
  <c r="D2626" i="15"/>
  <c r="C2626" i="15"/>
  <c r="G2625" i="15"/>
  <c r="D2625" i="15"/>
  <c r="C2625" i="15"/>
  <c r="G2624" i="15"/>
  <c r="D2624" i="15"/>
  <c r="C2624" i="15"/>
  <c r="G2623" i="15"/>
  <c r="D2623" i="15"/>
  <c r="C2623" i="15"/>
  <c r="G2622" i="15"/>
  <c r="D2622" i="15"/>
  <c r="C2622" i="15"/>
  <c r="G2621" i="15"/>
  <c r="D2621" i="15"/>
  <c r="C2621" i="15"/>
  <c r="G2620" i="15"/>
  <c r="D2620" i="15"/>
  <c r="C2620" i="15"/>
  <c r="G2619" i="15"/>
  <c r="D2619" i="15"/>
  <c r="C2619" i="15"/>
  <c r="G2618" i="15"/>
  <c r="D2618" i="15"/>
  <c r="C2618" i="15"/>
  <c r="G2617" i="15"/>
  <c r="D2617" i="15"/>
  <c r="C2617" i="15"/>
  <c r="G2616" i="15"/>
  <c r="D2616" i="15"/>
  <c r="C2616" i="15"/>
  <c r="G2615" i="15"/>
  <c r="D2615" i="15"/>
  <c r="C2615" i="15"/>
  <c r="G2614" i="15"/>
  <c r="D2614" i="15"/>
  <c r="C2614" i="15"/>
  <c r="G2613" i="15"/>
  <c r="D2613" i="15"/>
  <c r="C2613" i="15"/>
  <c r="G2612" i="15"/>
  <c r="D2612" i="15"/>
  <c r="C2612" i="15"/>
  <c r="G2611" i="15"/>
  <c r="D2611" i="15"/>
  <c r="C2611" i="15"/>
  <c r="G2610" i="15"/>
  <c r="D2610" i="15"/>
  <c r="C2610" i="15"/>
  <c r="G2609" i="15"/>
  <c r="D2609" i="15"/>
  <c r="C2609" i="15"/>
  <c r="G2608" i="15"/>
  <c r="D2608" i="15"/>
  <c r="C2608" i="15"/>
  <c r="G2607" i="15"/>
  <c r="D2607" i="15"/>
  <c r="C2607" i="15"/>
  <c r="G2606" i="15"/>
  <c r="D2606" i="15"/>
  <c r="C2606" i="15"/>
  <c r="G2605" i="15"/>
  <c r="D2605" i="15"/>
  <c r="C2605" i="15"/>
  <c r="G2604" i="15"/>
  <c r="D2604" i="15"/>
  <c r="C2604" i="15"/>
  <c r="G2603" i="15"/>
  <c r="D2603" i="15"/>
  <c r="C2603" i="15"/>
  <c r="G2602" i="15"/>
  <c r="D2602" i="15"/>
  <c r="C2602" i="15"/>
  <c r="G2601" i="15"/>
  <c r="D2601" i="15"/>
  <c r="C2601" i="15"/>
  <c r="G2600" i="15"/>
  <c r="D2600" i="15"/>
  <c r="C2600" i="15"/>
  <c r="G2599" i="15"/>
  <c r="D2599" i="15"/>
  <c r="C2599" i="15"/>
  <c r="G2598" i="15"/>
  <c r="D2598" i="15"/>
  <c r="C2598" i="15"/>
  <c r="G2597" i="15"/>
  <c r="D2597" i="15"/>
  <c r="C2597" i="15"/>
  <c r="G2596" i="15"/>
  <c r="D2596" i="15"/>
  <c r="C2596" i="15"/>
  <c r="G2595" i="15"/>
  <c r="D2595" i="15"/>
  <c r="C2595" i="15"/>
  <c r="G2594" i="15"/>
  <c r="D2594" i="15"/>
  <c r="C2594" i="15"/>
  <c r="G2593" i="15"/>
  <c r="D2593" i="15"/>
  <c r="C2593" i="15"/>
  <c r="G2592" i="15"/>
  <c r="D2592" i="15"/>
  <c r="C2592" i="15"/>
  <c r="G2591" i="15"/>
  <c r="D2591" i="15"/>
  <c r="C2591" i="15"/>
  <c r="G2590" i="15"/>
  <c r="D2590" i="15"/>
  <c r="C2590" i="15"/>
  <c r="G2589" i="15"/>
  <c r="D2589" i="15"/>
  <c r="C2589" i="15"/>
  <c r="G2588" i="15"/>
  <c r="D2588" i="15"/>
  <c r="C2588" i="15"/>
  <c r="G2587" i="15"/>
  <c r="D2587" i="15"/>
  <c r="C2587" i="15"/>
  <c r="G2586" i="15"/>
  <c r="D2586" i="15"/>
  <c r="C2586" i="15"/>
  <c r="G2585" i="15"/>
  <c r="D2585" i="15"/>
  <c r="C2585" i="15"/>
  <c r="G2584" i="15"/>
  <c r="D2584" i="15"/>
  <c r="C2584" i="15"/>
  <c r="G2583" i="15"/>
  <c r="D2583" i="15"/>
  <c r="C2583" i="15"/>
  <c r="G2582" i="15"/>
  <c r="D2582" i="15"/>
  <c r="C2582" i="15"/>
  <c r="G2581" i="15"/>
  <c r="D2581" i="15"/>
  <c r="C2581" i="15"/>
  <c r="G2580" i="15"/>
  <c r="D2580" i="15"/>
  <c r="C2580" i="15"/>
  <c r="G2579" i="15"/>
  <c r="D2579" i="15"/>
  <c r="C2579" i="15"/>
  <c r="G2578" i="15"/>
  <c r="D2578" i="15"/>
  <c r="C2578" i="15"/>
  <c r="G2577" i="15"/>
  <c r="D2577" i="15"/>
  <c r="C2577" i="15"/>
  <c r="G2576" i="15"/>
  <c r="D2576" i="15"/>
  <c r="C2576" i="15"/>
  <c r="G2575" i="15"/>
  <c r="D2575" i="15"/>
  <c r="C2575" i="15"/>
  <c r="G2574" i="15"/>
  <c r="D2574" i="15"/>
  <c r="C2574" i="15"/>
  <c r="G2573" i="15"/>
  <c r="D2573" i="15"/>
  <c r="C2573" i="15"/>
  <c r="G2572" i="15"/>
  <c r="D2572" i="15"/>
  <c r="C2572" i="15"/>
  <c r="G2571" i="15"/>
  <c r="D2571" i="15"/>
  <c r="C2571" i="15"/>
  <c r="G2570" i="15"/>
  <c r="D2570" i="15"/>
  <c r="C2570" i="15"/>
  <c r="G2569" i="15"/>
  <c r="D2569" i="15"/>
  <c r="C2569" i="15"/>
  <c r="G2568" i="15"/>
  <c r="D2568" i="15"/>
  <c r="C2568" i="15"/>
  <c r="G2567" i="15"/>
  <c r="D2567" i="15"/>
  <c r="C2567" i="15"/>
  <c r="G2566" i="15"/>
  <c r="D2566" i="15"/>
  <c r="C2566" i="15"/>
  <c r="G2565" i="15"/>
  <c r="D2565" i="15"/>
  <c r="C2565" i="15"/>
  <c r="G2564" i="15"/>
  <c r="D2564" i="15"/>
  <c r="C2564" i="15"/>
  <c r="G2563" i="15"/>
  <c r="D2563" i="15"/>
  <c r="C2563" i="15"/>
  <c r="G2562" i="15"/>
  <c r="D2562" i="15"/>
  <c r="C2562" i="15"/>
  <c r="G2561" i="15"/>
  <c r="D2561" i="15"/>
  <c r="C2561" i="15"/>
  <c r="G2560" i="15"/>
  <c r="D2560" i="15"/>
  <c r="C2560" i="15"/>
  <c r="G2559" i="15"/>
  <c r="D2559" i="15"/>
  <c r="C2559" i="15"/>
  <c r="G2558" i="15"/>
  <c r="D2558" i="15"/>
  <c r="C2558" i="15"/>
  <c r="G2557" i="15"/>
  <c r="D2557" i="15"/>
  <c r="C2557" i="15"/>
  <c r="G2556" i="15"/>
  <c r="D2556" i="15"/>
  <c r="C2556" i="15"/>
  <c r="G2555" i="15"/>
  <c r="D2555" i="15"/>
  <c r="C2555" i="15"/>
  <c r="G2554" i="15"/>
  <c r="D2554" i="15"/>
  <c r="C2554" i="15"/>
  <c r="G2553" i="15"/>
  <c r="D2553" i="15"/>
  <c r="C2553" i="15"/>
  <c r="G2552" i="15"/>
  <c r="D2552" i="15"/>
  <c r="C2552" i="15"/>
  <c r="G2551" i="15"/>
  <c r="D2551" i="15"/>
  <c r="C2551" i="15"/>
  <c r="G2550" i="15"/>
  <c r="D2550" i="15"/>
  <c r="C2550" i="15"/>
  <c r="G2549" i="15"/>
  <c r="D2549" i="15"/>
  <c r="C2549" i="15"/>
  <c r="G2548" i="15"/>
  <c r="D2548" i="15"/>
  <c r="C2548" i="15"/>
  <c r="G2547" i="15"/>
  <c r="D2547" i="15"/>
  <c r="C2547" i="15"/>
  <c r="G2546" i="15"/>
  <c r="D2546" i="15"/>
  <c r="C2546" i="15"/>
  <c r="G2545" i="15"/>
  <c r="D2545" i="15"/>
  <c r="C2545" i="15"/>
  <c r="G2544" i="15"/>
  <c r="D2544" i="15"/>
  <c r="C2544" i="15"/>
  <c r="G2543" i="15"/>
  <c r="D2543" i="15"/>
  <c r="C2543" i="15"/>
  <c r="G2542" i="15"/>
  <c r="D2542" i="15"/>
  <c r="C2542" i="15"/>
  <c r="G2541" i="15"/>
  <c r="D2541" i="15"/>
  <c r="C2541" i="15"/>
  <c r="G2540" i="15"/>
  <c r="D2540" i="15"/>
  <c r="C2540" i="15"/>
  <c r="G2539" i="15"/>
  <c r="D2539" i="15"/>
  <c r="C2539" i="15"/>
  <c r="G2538" i="15"/>
  <c r="D2538" i="15"/>
  <c r="C2538" i="15"/>
  <c r="G2537" i="15"/>
  <c r="D2537" i="15"/>
  <c r="C2537" i="15"/>
  <c r="G2536" i="15"/>
  <c r="D2536" i="15"/>
  <c r="C2536" i="15"/>
  <c r="G2535" i="15"/>
  <c r="D2535" i="15"/>
  <c r="C2535" i="15"/>
  <c r="G2534" i="15"/>
  <c r="D2534" i="15"/>
  <c r="C2534" i="15"/>
  <c r="G2533" i="15"/>
  <c r="D2533" i="15"/>
  <c r="C2533" i="15"/>
  <c r="G2532" i="15"/>
  <c r="D2532" i="15"/>
  <c r="C2532" i="15"/>
  <c r="G2531" i="15"/>
  <c r="D2531" i="15"/>
  <c r="C2531" i="15"/>
  <c r="G2530" i="15"/>
  <c r="D2530" i="15"/>
  <c r="C2530" i="15"/>
  <c r="G2529" i="15"/>
  <c r="D2529" i="15"/>
  <c r="C2529" i="15"/>
  <c r="G2528" i="15"/>
  <c r="D2528" i="15"/>
  <c r="C2528" i="15"/>
  <c r="G2527" i="15"/>
  <c r="D2527" i="15"/>
  <c r="C2527" i="15"/>
  <c r="G2526" i="15"/>
  <c r="D2526" i="15"/>
  <c r="C2526" i="15"/>
  <c r="G2525" i="15"/>
  <c r="D2525" i="15"/>
  <c r="C2525" i="15"/>
  <c r="G2524" i="15"/>
  <c r="D2524" i="15"/>
  <c r="C2524" i="15"/>
  <c r="G2523" i="15"/>
  <c r="D2523" i="15"/>
  <c r="C2523" i="15"/>
  <c r="G2522" i="15"/>
  <c r="D2522" i="15"/>
  <c r="C2522" i="15"/>
  <c r="G2521" i="15"/>
  <c r="D2521" i="15"/>
  <c r="C2521" i="15"/>
  <c r="G2520" i="15"/>
  <c r="D2520" i="15"/>
  <c r="C2520" i="15"/>
  <c r="G2519" i="15"/>
  <c r="D2519" i="15"/>
  <c r="C2519" i="15"/>
  <c r="G2518" i="15"/>
  <c r="D2518" i="15"/>
  <c r="C2518" i="15"/>
  <c r="G2517" i="15"/>
  <c r="D2517" i="15"/>
  <c r="C2517" i="15"/>
  <c r="G2516" i="15"/>
  <c r="D2516" i="15"/>
  <c r="C2516" i="15"/>
  <c r="G2515" i="15"/>
  <c r="D2515" i="15"/>
  <c r="C2515" i="15"/>
  <c r="G2514" i="15"/>
  <c r="D2514" i="15"/>
  <c r="C2514" i="15"/>
  <c r="G2513" i="15"/>
  <c r="D2513" i="15"/>
  <c r="C2513" i="15"/>
  <c r="G2512" i="15"/>
  <c r="D2512" i="15"/>
  <c r="C2512" i="15"/>
  <c r="G2511" i="15"/>
  <c r="D2511" i="15"/>
  <c r="C2511" i="15"/>
  <c r="G2510" i="15"/>
  <c r="D2510" i="15"/>
  <c r="C2510" i="15"/>
  <c r="G2509" i="15"/>
  <c r="D2509" i="15"/>
  <c r="C2509" i="15"/>
  <c r="G2508" i="15"/>
  <c r="D2508" i="15"/>
  <c r="C2508" i="15"/>
  <c r="G2507" i="15"/>
  <c r="D2507" i="15"/>
  <c r="C2507" i="15"/>
  <c r="G2506" i="15"/>
  <c r="D2506" i="15"/>
  <c r="C2506" i="15"/>
  <c r="G2505" i="15"/>
  <c r="D2505" i="15"/>
  <c r="C2505" i="15"/>
  <c r="G2504" i="15"/>
  <c r="D2504" i="15"/>
  <c r="C2504" i="15"/>
  <c r="G2503" i="15"/>
  <c r="D2503" i="15"/>
  <c r="C2503" i="15"/>
  <c r="G2502" i="15"/>
  <c r="D2502" i="15"/>
  <c r="C2502" i="15"/>
  <c r="G2501" i="15"/>
  <c r="D2501" i="15"/>
  <c r="C2501" i="15"/>
  <c r="G2500" i="15"/>
  <c r="D2500" i="15"/>
  <c r="C2500" i="15"/>
  <c r="G2499" i="15"/>
  <c r="D2499" i="15"/>
  <c r="C2499" i="15"/>
  <c r="G2498" i="15"/>
  <c r="D2498" i="15"/>
  <c r="C2498" i="15"/>
  <c r="G2497" i="15"/>
  <c r="D2497" i="15"/>
  <c r="C2497" i="15"/>
  <c r="G2496" i="15"/>
  <c r="D2496" i="15"/>
  <c r="C2496" i="15"/>
  <c r="G2495" i="15"/>
  <c r="D2495" i="15"/>
  <c r="C2495" i="15"/>
  <c r="G2494" i="15"/>
  <c r="D2494" i="15"/>
  <c r="C2494" i="15"/>
  <c r="G2493" i="15"/>
  <c r="D2493" i="15"/>
  <c r="C2493" i="15"/>
  <c r="G2492" i="15"/>
  <c r="D2492" i="15"/>
  <c r="C2492" i="15"/>
  <c r="G2491" i="15"/>
  <c r="D2491" i="15"/>
  <c r="C2491" i="15"/>
  <c r="G2490" i="15"/>
  <c r="D2490" i="15"/>
  <c r="C2490" i="15"/>
  <c r="G2489" i="15"/>
  <c r="D2489" i="15"/>
  <c r="C2489" i="15"/>
  <c r="G2488" i="15"/>
  <c r="D2488" i="15"/>
  <c r="C2488" i="15"/>
  <c r="G2487" i="15"/>
  <c r="D2487" i="15"/>
  <c r="C2487" i="15"/>
  <c r="G2486" i="15"/>
  <c r="D2486" i="15"/>
  <c r="C2486" i="15"/>
  <c r="G2485" i="15"/>
  <c r="D2485" i="15"/>
  <c r="C2485" i="15"/>
  <c r="G2484" i="15"/>
  <c r="D2484" i="15"/>
  <c r="C2484" i="15"/>
  <c r="G2483" i="15"/>
  <c r="D2483" i="15"/>
  <c r="C2483" i="15"/>
  <c r="G2482" i="15"/>
  <c r="D2482" i="15"/>
  <c r="C2482" i="15"/>
  <c r="G2481" i="15"/>
  <c r="D2481" i="15"/>
  <c r="C2481" i="15"/>
  <c r="G2480" i="15"/>
  <c r="D2480" i="15"/>
  <c r="C2480" i="15"/>
  <c r="G2479" i="15"/>
  <c r="D2479" i="15"/>
  <c r="C2479" i="15"/>
  <c r="G2478" i="15"/>
  <c r="D2478" i="15"/>
  <c r="C2478" i="15"/>
  <c r="G2477" i="15"/>
  <c r="D2477" i="15"/>
  <c r="C2477" i="15"/>
  <c r="G2476" i="15"/>
  <c r="D2476" i="15"/>
  <c r="C2476" i="15"/>
  <c r="G2475" i="15"/>
  <c r="D2475" i="15"/>
  <c r="C2475" i="15"/>
  <c r="G2474" i="15"/>
  <c r="D2474" i="15"/>
  <c r="C2474" i="15"/>
  <c r="G2473" i="15"/>
  <c r="D2473" i="15"/>
  <c r="C2473" i="15"/>
  <c r="G2472" i="15"/>
  <c r="D2472" i="15"/>
  <c r="C2472" i="15"/>
  <c r="G2471" i="15"/>
  <c r="D2471" i="15"/>
  <c r="C2471" i="15"/>
  <c r="G2470" i="15"/>
  <c r="D2470" i="15"/>
  <c r="C2470" i="15"/>
  <c r="G2469" i="15"/>
  <c r="D2469" i="15"/>
  <c r="C2469" i="15"/>
  <c r="G2468" i="15"/>
  <c r="D2468" i="15"/>
  <c r="C2468" i="15"/>
  <c r="G2467" i="15"/>
  <c r="D2467" i="15"/>
  <c r="C2467" i="15"/>
  <c r="G2466" i="15"/>
  <c r="D2466" i="15"/>
  <c r="C2466" i="15"/>
  <c r="G2465" i="15"/>
  <c r="D2465" i="15"/>
  <c r="C2465" i="15"/>
  <c r="G2464" i="15"/>
  <c r="D2464" i="15"/>
  <c r="C2464" i="15"/>
  <c r="G2463" i="15"/>
  <c r="D2463" i="15"/>
  <c r="C2463" i="15"/>
  <c r="G2462" i="15"/>
  <c r="D2462" i="15"/>
  <c r="C2462" i="15"/>
  <c r="G2461" i="15"/>
  <c r="D2461" i="15"/>
  <c r="C2461" i="15"/>
  <c r="G2460" i="15"/>
  <c r="D2460" i="15"/>
  <c r="C2460" i="15"/>
  <c r="G2459" i="15"/>
  <c r="D2459" i="15"/>
  <c r="C2459" i="15"/>
  <c r="G2458" i="15"/>
  <c r="D2458" i="15"/>
  <c r="C2458" i="15"/>
  <c r="G2457" i="15"/>
  <c r="D2457" i="15"/>
  <c r="C2457" i="15"/>
  <c r="G2456" i="15"/>
  <c r="D2456" i="15"/>
  <c r="C2456" i="15"/>
  <c r="G2455" i="15"/>
  <c r="D2455" i="15"/>
  <c r="C2455" i="15"/>
  <c r="G2454" i="15"/>
  <c r="D2454" i="15"/>
  <c r="C2454" i="15"/>
  <c r="G2453" i="15"/>
  <c r="D2453" i="15"/>
  <c r="C2453" i="15"/>
  <c r="G2452" i="15"/>
  <c r="D2452" i="15"/>
  <c r="C2452" i="15"/>
  <c r="G2451" i="15"/>
  <c r="D2451" i="15"/>
  <c r="C2451" i="15"/>
  <c r="G2450" i="15"/>
  <c r="D2450" i="15"/>
  <c r="C2450" i="15"/>
  <c r="G2449" i="15"/>
  <c r="D2449" i="15"/>
  <c r="C2449" i="15"/>
  <c r="G2448" i="15"/>
  <c r="D2448" i="15"/>
  <c r="C2448" i="15"/>
  <c r="G2447" i="15"/>
  <c r="D2447" i="15"/>
  <c r="C2447" i="15"/>
  <c r="G2446" i="15"/>
  <c r="D2446" i="15"/>
  <c r="C2446" i="15"/>
  <c r="G2445" i="15"/>
  <c r="D2445" i="15"/>
  <c r="C2445" i="15"/>
  <c r="G2444" i="15"/>
  <c r="D2444" i="15"/>
  <c r="C2444" i="15"/>
  <c r="G2443" i="15"/>
  <c r="D2443" i="15"/>
  <c r="C2443" i="15"/>
  <c r="G2442" i="15"/>
  <c r="D2442" i="15"/>
  <c r="C2442" i="15"/>
  <c r="G2441" i="15"/>
  <c r="D2441" i="15"/>
  <c r="C2441" i="15"/>
  <c r="G2440" i="15"/>
  <c r="D2440" i="15"/>
  <c r="C2440" i="15"/>
  <c r="G2439" i="15"/>
  <c r="D2439" i="15"/>
  <c r="C2439" i="15"/>
  <c r="G2438" i="15"/>
  <c r="D2438" i="15"/>
  <c r="C2438" i="15"/>
  <c r="G2437" i="15"/>
  <c r="D2437" i="15"/>
  <c r="C2437" i="15"/>
  <c r="G2436" i="15"/>
  <c r="D2436" i="15"/>
  <c r="C2436" i="15"/>
  <c r="G2435" i="15"/>
  <c r="D2435" i="15"/>
  <c r="C2435" i="15"/>
  <c r="G2434" i="15"/>
  <c r="D2434" i="15"/>
  <c r="C2434" i="15"/>
  <c r="G2433" i="15"/>
  <c r="D2433" i="15"/>
  <c r="C2433" i="15"/>
  <c r="G2432" i="15"/>
  <c r="D2432" i="15"/>
  <c r="C2432" i="15"/>
  <c r="G2431" i="15"/>
  <c r="D2431" i="15"/>
  <c r="C2431" i="15"/>
  <c r="G2430" i="15"/>
  <c r="D2430" i="15"/>
  <c r="C2430" i="15"/>
  <c r="G2429" i="15"/>
  <c r="D2429" i="15"/>
  <c r="C2429" i="15"/>
  <c r="G2428" i="15"/>
  <c r="D2428" i="15"/>
  <c r="C2428" i="15"/>
  <c r="G2427" i="15"/>
  <c r="D2427" i="15"/>
  <c r="C2427" i="15"/>
  <c r="G2426" i="15"/>
  <c r="D2426" i="15"/>
  <c r="C2426" i="15"/>
  <c r="G2425" i="15"/>
  <c r="D2425" i="15"/>
  <c r="C2425" i="15"/>
  <c r="G2424" i="15"/>
  <c r="D2424" i="15"/>
  <c r="C2424" i="15"/>
  <c r="G2423" i="15"/>
  <c r="D2423" i="15"/>
  <c r="C2423" i="15"/>
  <c r="G2422" i="15"/>
  <c r="D2422" i="15"/>
  <c r="C2422" i="15"/>
  <c r="G2421" i="15"/>
  <c r="D2421" i="15"/>
  <c r="C2421" i="15"/>
  <c r="G2420" i="15"/>
  <c r="D2420" i="15"/>
  <c r="C2420" i="15"/>
  <c r="G2419" i="15"/>
  <c r="D2419" i="15"/>
  <c r="C2419" i="15"/>
  <c r="G2418" i="15"/>
  <c r="D2418" i="15"/>
  <c r="C2418" i="15"/>
  <c r="G2417" i="15"/>
  <c r="D2417" i="15"/>
  <c r="C2417" i="15"/>
  <c r="G2416" i="15"/>
  <c r="D2416" i="15"/>
  <c r="C2416" i="15"/>
  <c r="G2415" i="15"/>
  <c r="D2415" i="15"/>
  <c r="C2415" i="15"/>
  <c r="G2414" i="15"/>
  <c r="D2414" i="15"/>
  <c r="C2414" i="15"/>
  <c r="G2413" i="15"/>
  <c r="D2413" i="15"/>
  <c r="C2413" i="15"/>
  <c r="G2412" i="15"/>
  <c r="D2412" i="15"/>
  <c r="C2412" i="15"/>
  <c r="G2411" i="15"/>
  <c r="D2411" i="15"/>
  <c r="C2411" i="15"/>
  <c r="G2410" i="15"/>
  <c r="D2410" i="15"/>
  <c r="C2410" i="15"/>
  <c r="G2409" i="15"/>
  <c r="D2409" i="15"/>
  <c r="C2409" i="15"/>
  <c r="G2408" i="15"/>
  <c r="D2408" i="15"/>
  <c r="C2408" i="15"/>
  <c r="G2407" i="15"/>
  <c r="D2407" i="15"/>
  <c r="C2407" i="15"/>
  <c r="G2406" i="15"/>
  <c r="D2406" i="15"/>
  <c r="C2406" i="15"/>
  <c r="G2405" i="15"/>
  <c r="D2405" i="15"/>
  <c r="C2405" i="15"/>
  <c r="G2404" i="15"/>
  <c r="D2404" i="15"/>
  <c r="C2404" i="15"/>
  <c r="G2403" i="15"/>
  <c r="D2403" i="15"/>
  <c r="C2403" i="15"/>
  <c r="G2402" i="15"/>
  <c r="D2402" i="15"/>
  <c r="C2402" i="15"/>
  <c r="G2401" i="15"/>
  <c r="D2401" i="15"/>
  <c r="C2401" i="15"/>
  <c r="G2400" i="15"/>
  <c r="D2400" i="15"/>
  <c r="C2400" i="15"/>
  <c r="G2399" i="15"/>
  <c r="D2399" i="15"/>
  <c r="C2399" i="15"/>
  <c r="G2398" i="15"/>
  <c r="D2398" i="15"/>
  <c r="C2398" i="15"/>
  <c r="G2397" i="15"/>
  <c r="D2397" i="15"/>
  <c r="C2397" i="15"/>
  <c r="G2396" i="15"/>
  <c r="D2396" i="15"/>
  <c r="C2396" i="15"/>
  <c r="G2395" i="15"/>
  <c r="D2395" i="15"/>
  <c r="C2395" i="15"/>
  <c r="G2394" i="15"/>
  <c r="D2394" i="15"/>
  <c r="C2394" i="15"/>
  <c r="G2393" i="15"/>
  <c r="D2393" i="15"/>
  <c r="C2393" i="15"/>
  <c r="G2392" i="15"/>
  <c r="D2392" i="15"/>
  <c r="C2392" i="15"/>
  <c r="G2391" i="15"/>
  <c r="D2391" i="15"/>
  <c r="C2391" i="15"/>
  <c r="G2390" i="15"/>
  <c r="D2390" i="15"/>
  <c r="C2390" i="15"/>
  <c r="G2389" i="15"/>
  <c r="D2389" i="15"/>
  <c r="C2389" i="15"/>
  <c r="G2388" i="15"/>
  <c r="D2388" i="15"/>
  <c r="C2388" i="15"/>
  <c r="G2387" i="15"/>
  <c r="D2387" i="15"/>
  <c r="C2387" i="15"/>
  <c r="G2386" i="15"/>
  <c r="D2386" i="15"/>
  <c r="C2386" i="15"/>
  <c r="G2385" i="15"/>
  <c r="D2385" i="15"/>
  <c r="C2385" i="15"/>
  <c r="G2384" i="15"/>
  <c r="D2384" i="15"/>
  <c r="C2384" i="15"/>
  <c r="G2383" i="15"/>
  <c r="D2383" i="15"/>
  <c r="C2383" i="15"/>
  <c r="G2382" i="15"/>
  <c r="D2382" i="15"/>
  <c r="C2382" i="15"/>
  <c r="G2381" i="15"/>
  <c r="D2381" i="15"/>
  <c r="C2381" i="15"/>
  <c r="G2380" i="15"/>
  <c r="D2380" i="15"/>
  <c r="C2380" i="15"/>
  <c r="G2379" i="15"/>
  <c r="D2379" i="15"/>
  <c r="C2379" i="15"/>
  <c r="G2378" i="15"/>
  <c r="D2378" i="15"/>
  <c r="C2378" i="15"/>
  <c r="G2377" i="15"/>
  <c r="D2377" i="15"/>
  <c r="C2377" i="15"/>
  <c r="G2376" i="15"/>
  <c r="D2376" i="15"/>
  <c r="C2376" i="15"/>
  <c r="G2375" i="15"/>
  <c r="D2375" i="15"/>
  <c r="C2375" i="15"/>
  <c r="G2374" i="15"/>
  <c r="D2374" i="15"/>
  <c r="C2374" i="15"/>
  <c r="G2373" i="15"/>
  <c r="D2373" i="15"/>
  <c r="C2373" i="15"/>
  <c r="G2372" i="15"/>
  <c r="D2372" i="15"/>
  <c r="C2372" i="15"/>
  <c r="G2371" i="15"/>
  <c r="D2371" i="15"/>
  <c r="C2371" i="15"/>
  <c r="G2370" i="15"/>
  <c r="D2370" i="15"/>
  <c r="C2370" i="15"/>
  <c r="G2369" i="15"/>
  <c r="D2369" i="15"/>
  <c r="C2369" i="15"/>
  <c r="G2368" i="15"/>
  <c r="D2368" i="15"/>
  <c r="C2368" i="15"/>
  <c r="G2367" i="15"/>
  <c r="D2367" i="15"/>
  <c r="C2367" i="15"/>
  <c r="G2366" i="15"/>
  <c r="D2366" i="15"/>
  <c r="C2366" i="15"/>
  <c r="G2365" i="15"/>
  <c r="D2365" i="15"/>
  <c r="C2365" i="15"/>
  <c r="G2364" i="15"/>
  <c r="D2364" i="15"/>
  <c r="C2364" i="15"/>
  <c r="G2363" i="15"/>
  <c r="D2363" i="15"/>
  <c r="C2363" i="15"/>
  <c r="G2362" i="15"/>
  <c r="D2362" i="15"/>
  <c r="C2362" i="15"/>
  <c r="G2361" i="15"/>
  <c r="D2361" i="15"/>
  <c r="C2361" i="15"/>
  <c r="G2360" i="15"/>
  <c r="D2360" i="15"/>
  <c r="C2360" i="15"/>
  <c r="G2359" i="15"/>
  <c r="D2359" i="15"/>
  <c r="C2359" i="15"/>
  <c r="G2358" i="15"/>
  <c r="D2358" i="15"/>
  <c r="C2358" i="15"/>
  <c r="G2357" i="15"/>
  <c r="D2357" i="15"/>
  <c r="C2357" i="15"/>
  <c r="G2356" i="15"/>
  <c r="D2356" i="15"/>
  <c r="C2356" i="15"/>
  <c r="G2355" i="15"/>
  <c r="D2355" i="15"/>
  <c r="C2355" i="15"/>
  <c r="G2354" i="15"/>
  <c r="D2354" i="15"/>
  <c r="C2354" i="15"/>
  <c r="G2353" i="15"/>
  <c r="D2353" i="15"/>
  <c r="C2353" i="15"/>
  <c r="G2352" i="15"/>
  <c r="D2352" i="15"/>
  <c r="C2352" i="15"/>
  <c r="G2351" i="15"/>
  <c r="D2351" i="15"/>
  <c r="C2351" i="15"/>
  <c r="G2350" i="15"/>
  <c r="D2350" i="15"/>
  <c r="C2350" i="15"/>
  <c r="G2349" i="15"/>
  <c r="D2349" i="15"/>
  <c r="C2349" i="15"/>
  <c r="G2348" i="15"/>
  <c r="D2348" i="15"/>
  <c r="C2348" i="15"/>
  <c r="G2347" i="15"/>
  <c r="D2347" i="15"/>
  <c r="C2347" i="15"/>
  <c r="G2346" i="15"/>
  <c r="D2346" i="15"/>
  <c r="C2346" i="15"/>
  <c r="G2345" i="15"/>
  <c r="D2345" i="15"/>
  <c r="C2345" i="15"/>
  <c r="G2344" i="15"/>
  <c r="D2344" i="15"/>
  <c r="C2344" i="15"/>
  <c r="G2343" i="15"/>
  <c r="D2343" i="15"/>
  <c r="C2343" i="15"/>
  <c r="G2342" i="15"/>
  <c r="D2342" i="15"/>
  <c r="C2342" i="15"/>
  <c r="G2341" i="15"/>
  <c r="D2341" i="15"/>
  <c r="C2341" i="15"/>
  <c r="G2340" i="15"/>
  <c r="D2340" i="15"/>
  <c r="C2340" i="15"/>
  <c r="G2339" i="15"/>
  <c r="D2339" i="15"/>
  <c r="C2339" i="15"/>
  <c r="G2338" i="15"/>
  <c r="D2338" i="15"/>
  <c r="C2338" i="15"/>
  <c r="G2337" i="15"/>
  <c r="D2337" i="15"/>
  <c r="C2337" i="15"/>
  <c r="G2336" i="15"/>
  <c r="D2336" i="15"/>
  <c r="C2336" i="15"/>
  <c r="G2335" i="15"/>
  <c r="D2335" i="15"/>
  <c r="C2335" i="15"/>
  <c r="G2334" i="15"/>
  <c r="D2334" i="15"/>
  <c r="C2334" i="15"/>
  <c r="G2333" i="15"/>
  <c r="D2333" i="15"/>
  <c r="C2333" i="15"/>
  <c r="G2332" i="15"/>
  <c r="D2332" i="15"/>
  <c r="C2332" i="15"/>
  <c r="G2331" i="15"/>
  <c r="D2331" i="15"/>
  <c r="C2331" i="15"/>
  <c r="G2330" i="15"/>
  <c r="D2330" i="15"/>
  <c r="C2330" i="15"/>
  <c r="G2329" i="15"/>
  <c r="D2329" i="15"/>
  <c r="C2329" i="15"/>
  <c r="G2328" i="15"/>
  <c r="D2328" i="15"/>
  <c r="C2328" i="15"/>
  <c r="G2327" i="15"/>
  <c r="D2327" i="15"/>
  <c r="C2327" i="15"/>
  <c r="G2326" i="15"/>
  <c r="D2326" i="15"/>
  <c r="C2326" i="15"/>
  <c r="G2325" i="15"/>
  <c r="D2325" i="15"/>
  <c r="C2325" i="15"/>
  <c r="G2324" i="15"/>
  <c r="D2324" i="15"/>
  <c r="C2324" i="15"/>
  <c r="G2323" i="15"/>
  <c r="D2323" i="15"/>
  <c r="C2323" i="15"/>
  <c r="G2322" i="15"/>
  <c r="D2322" i="15"/>
  <c r="C2322" i="15"/>
  <c r="G2321" i="15"/>
  <c r="D2321" i="15"/>
  <c r="C2321" i="15"/>
  <c r="G2320" i="15"/>
  <c r="D2320" i="15"/>
  <c r="C2320" i="15"/>
  <c r="G2319" i="15"/>
  <c r="D2319" i="15"/>
  <c r="C2319" i="15"/>
  <c r="G2318" i="15"/>
  <c r="D2318" i="15"/>
  <c r="C2318" i="15"/>
  <c r="G2317" i="15"/>
  <c r="D2317" i="15"/>
  <c r="C2317" i="15"/>
  <c r="G2316" i="15"/>
  <c r="D2316" i="15"/>
  <c r="C2316" i="15"/>
  <c r="G2315" i="15"/>
  <c r="D2315" i="15"/>
  <c r="C2315" i="15"/>
  <c r="G2314" i="15"/>
  <c r="D2314" i="15"/>
  <c r="C2314" i="15"/>
  <c r="G2313" i="15"/>
  <c r="D2313" i="15"/>
  <c r="C2313" i="15"/>
  <c r="G2312" i="15"/>
  <c r="D2312" i="15"/>
  <c r="C2312" i="15"/>
  <c r="G2311" i="15"/>
  <c r="D2311" i="15"/>
  <c r="C2311" i="15"/>
  <c r="G2310" i="15"/>
  <c r="D2310" i="15"/>
  <c r="C2310" i="15"/>
  <c r="G2309" i="15"/>
  <c r="D2309" i="15"/>
  <c r="C2309" i="15"/>
  <c r="G2308" i="15"/>
  <c r="D2308" i="15"/>
  <c r="C2308" i="15"/>
  <c r="G2307" i="15"/>
  <c r="D2307" i="15"/>
  <c r="C2307" i="15"/>
  <c r="G2306" i="15"/>
  <c r="D2306" i="15"/>
  <c r="C2306" i="15"/>
  <c r="G2305" i="15"/>
  <c r="D2305" i="15"/>
  <c r="C2305" i="15"/>
  <c r="G2304" i="15"/>
  <c r="D2304" i="15"/>
  <c r="C2304" i="15"/>
  <c r="G2303" i="15"/>
  <c r="D2303" i="15"/>
  <c r="C2303" i="15"/>
  <c r="G2302" i="15"/>
  <c r="D2302" i="15"/>
  <c r="C2302" i="15"/>
  <c r="G2301" i="15"/>
  <c r="D2301" i="15"/>
  <c r="C2301" i="15"/>
  <c r="G2300" i="15"/>
  <c r="D2300" i="15"/>
  <c r="C2300" i="15"/>
  <c r="G2299" i="15"/>
  <c r="D2299" i="15"/>
  <c r="C2299" i="15"/>
  <c r="G2298" i="15"/>
  <c r="D2298" i="15"/>
  <c r="C2298" i="15"/>
  <c r="G2297" i="15"/>
  <c r="D2297" i="15"/>
  <c r="C2297" i="15"/>
  <c r="G2296" i="15"/>
  <c r="D2296" i="15"/>
  <c r="C2296" i="15"/>
  <c r="G2295" i="15"/>
  <c r="D2295" i="15"/>
  <c r="C2295" i="15"/>
  <c r="G2294" i="15"/>
  <c r="D2294" i="15"/>
  <c r="C2294" i="15"/>
  <c r="G2293" i="15"/>
  <c r="D2293" i="15"/>
  <c r="C2293" i="15"/>
  <c r="G2292" i="15"/>
  <c r="D2292" i="15"/>
  <c r="C2292" i="15"/>
  <c r="G2291" i="15"/>
  <c r="D2291" i="15"/>
  <c r="C2291" i="15"/>
  <c r="G2290" i="15"/>
  <c r="D2290" i="15"/>
  <c r="C2290" i="15"/>
  <c r="G2289" i="15"/>
  <c r="D2289" i="15"/>
  <c r="C2289" i="15"/>
  <c r="G2288" i="15"/>
  <c r="D2288" i="15"/>
  <c r="C2288" i="15"/>
  <c r="G2287" i="15"/>
  <c r="D2287" i="15"/>
  <c r="C2287" i="15"/>
  <c r="G2286" i="15"/>
  <c r="D2286" i="15"/>
  <c r="C2286" i="15"/>
  <c r="G2285" i="15"/>
  <c r="D2285" i="15"/>
  <c r="C2285" i="15"/>
  <c r="G2284" i="15"/>
  <c r="D2284" i="15"/>
  <c r="C2284" i="15"/>
  <c r="G2283" i="15"/>
  <c r="D2283" i="15"/>
  <c r="C2283" i="15"/>
  <c r="G2282" i="15"/>
  <c r="D2282" i="15"/>
  <c r="C2282" i="15"/>
  <c r="G2281" i="15"/>
  <c r="D2281" i="15"/>
  <c r="C2281" i="15"/>
  <c r="G2280" i="15"/>
  <c r="D2280" i="15"/>
  <c r="C2280" i="15"/>
  <c r="G2279" i="15"/>
  <c r="D2279" i="15"/>
  <c r="C2279" i="15"/>
  <c r="G2278" i="15"/>
  <c r="D2278" i="15"/>
  <c r="C2278" i="15"/>
  <c r="G2277" i="15"/>
  <c r="D2277" i="15"/>
  <c r="C2277" i="15"/>
  <c r="G2276" i="15"/>
  <c r="D2276" i="15"/>
  <c r="C2276" i="15"/>
  <c r="G2275" i="15"/>
  <c r="D2275" i="15"/>
  <c r="C2275" i="15"/>
  <c r="G2274" i="15"/>
  <c r="D2274" i="15"/>
  <c r="C2274" i="15"/>
  <c r="G2273" i="15"/>
  <c r="D2273" i="15"/>
  <c r="C2273" i="15"/>
  <c r="G2272" i="15"/>
  <c r="D2272" i="15"/>
  <c r="C2272" i="15"/>
  <c r="G2271" i="15"/>
  <c r="D2271" i="15"/>
  <c r="C2271" i="15"/>
  <c r="G2270" i="15"/>
  <c r="D2270" i="15"/>
  <c r="C2270" i="15"/>
  <c r="G2269" i="15"/>
  <c r="D2269" i="15"/>
  <c r="C2269" i="15"/>
  <c r="G2268" i="15"/>
  <c r="D2268" i="15"/>
  <c r="C2268" i="15"/>
  <c r="G2267" i="15"/>
  <c r="D2267" i="15"/>
  <c r="C2267" i="15"/>
  <c r="G2266" i="15"/>
  <c r="D2266" i="15"/>
  <c r="C2266" i="15"/>
  <c r="G2265" i="15"/>
  <c r="D2265" i="15"/>
  <c r="C2265" i="15"/>
  <c r="G2264" i="15"/>
  <c r="D2264" i="15"/>
  <c r="C2264" i="15"/>
  <c r="G2263" i="15"/>
  <c r="D2263" i="15"/>
  <c r="C2263" i="15"/>
  <c r="G2262" i="15"/>
  <c r="D2262" i="15"/>
  <c r="C2262" i="15"/>
  <c r="G2261" i="15"/>
  <c r="D2261" i="15"/>
  <c r="C2261" i="15"/>
  <c r="G2260" i="15"/>
  <c r="D2260" i="15"/>
  <c r="C2260" i="15"/>
  <c r="G2259" i="15"/>
  <c r="D2259" i="15"/>
  <c r="C2259" i="15"/>
  <c r="G2258" i="15"/>
  <c r="D2258" i="15"/>
  <c r="C2258" i="15"/>
  <c r="G2257" i="15"/>
  <c r="D2257" i="15"/>
  <c r="C2257" i="15"/>
  <c r="G2256" i="15"/>
  <c r="D2256" i="15"/>
  <c r="C2256" i="15"/>
  <c r="G2255" i="15"/>
  <c r="D2255" i="15"/>
  <c r="C2255" i="15"/>
  <c r="G2254" i="15"/>
  <c r="D2254" i="15"/>
  <c r="C2254" i="15"/>
  <c r="G2253" i="15"/>
  <c r="D2253" i="15"/>
  <c r="C2253" i="15"/>
  <c r="G2252" i="15"/>
  <c r="D2252" i="15"/>
  <c r="C2252" i="15"/>
  <c r="G2251" i="15"/>
  <c r="D2251" i="15"/>
  <c r="C2251" i="15"/>
  <c r="G2250" i="15"/>
  <c r="D2250" i="15"/>
  <c r="C2250" i="15"/>
  <c r="G2249" i="15"/>
  <c r="D2249" i="15"/>
  <c r="C2249" i="15"/>
  <c r="G2248" i="15"/>
  <c r="D2248" i="15"/>
  <c r="C2248" i="15"/>
  <c r="G2247" i="15"/>
  <c r="D2247" i="15"/>
  <c r="C2247" i="15"/>
  <c r="G2246" i="15"/>
  <c r="D2246" i="15"/>
  <c r="C2246" i="15"/>
  <c r="G2245" i="15"/>
  <c r="D2245" i="15"/>
  <c r="C2245" i="15"/>
  <c r="G2244" i="15"/>
  <c r="D2244" i="15"/>
  <c r="C2244" i="15"/>
  <c r="G2243" i="15"/>
  <c r="D2243" i="15"/>
  <c r="C2243" i="15"/>
  <c r="G2242" i="15"/>
  <c r="D2242" i="15"/>
  <c r="C2242" i="15"/>
  <c r="G2241" i="15"/>
  <c r="D2241" i="15"/>
  <c r="C2241" i="15"/>
  <c r="G2240" i="15"/>
  <c r="D2240" i="15"/>
  <c r="C2240" i="15"/>
  <c r="G2239" i="15"/>
  <c r="D2239" i="15"/>
  <c r="C2239" i="15"/>
  <c r="G2238" i="15"/>
  <c r="D2238" i="15"/>
  <c r="C2238" i="15"/>
  <c r="G2237" i="15"/>
  <c r="D2237" i="15"/>
  <c r="C2237" i="15"/>
  <c r="G2236" i="15"/>
  <c r="D2236" i="15"/>
  <c r="C2236" i="15"/>
  <c r="G2235" i="15"/>
  <c r="D2235" i="15"/>
  <c r="C2235" i="15"/>
  <c r="G2234" i="15"/>
  <c r="D2234" i="15"/>
  <c r="C2234" i="15"/>
  <c r="G2233" i="15"/>
  <c r="D2233" i="15"/>
  <c r="C2233" i="15"/>
  <c r="G2232" i="15"/>
  <c r="D2232" i="15"/>
  <c r="C2232" i="15"/>
  <c r="G2231" i="15"/>
  <c r="D2231" i="15"/>
  <c r="C2231" i="15"/>
  <c r="G2230" i="15"/>
  <c r="D2230" i="15"/>
  <c r="C2230" i="15"/>
  <c r="G2229" i="15"/>
  <c r="D2229" i="15"/>
  <c r="C2229" i="15"/>
  <c r="G2228" i="15"/>
  <c r="D2228" i="15"/>
  <c r="C2228" i="15"/>
  <c r="G2227" i="15"/>
  <c r="D2227" i="15"/>
  <c r="C2227" i="15"/>
  <c r="G2226" i="15"/>
  <c r="D2226" i="15"/>
  <c r="C2226" i="15"/>
  <c r="G2225" i="15"/>
  <c r="D2225" i="15"/>
  <c r="C2225" i="15"/>
  <c r="G2224" i="15"/>
  <c r="D2224" i="15"/>
  <c r="C2224" i="15"/>
  <c r="G2223" i="15"/>
  <c r="D2223" i="15"/>
  <c r="C2223" i="15"/>
  <c r="G2222" i="15"/>
  <c r="D2222" i="15"/>
  <c r="C2222" i="15"/>
  <c r="G2221" i="15"/>
  <c r="D2221" i="15"/>
  <c r="C2221" i="15"/>
  <c r="G2220" i="15"/>
  <c r="D2220" i="15"/>
  <c r="C2220" i="15"/>
  <c r="G2219" i="15"/>
  <c r="D2219" i="15"/>
  <c r="C2219" i="15"/>
  <c r="G2218" i="15"/>
  <c r="D2218" i="15"/>
  <c r="C2218" i="15"/>
  <c r="G2217" i="15"/>
  <c r="D2217" i="15"/>
  <c r="C2217" i="15"/>
  <c r="G2216" i="15"/>
  <c r="D2216" i="15"/>
  <c r="C2216" i="15"/>
  <c r="G2215" i="15"/>
  <c r="D2215" i="15"/>
  <c r="C2215" i="15"/>
  <c r="G2214" i="15"/>
  <c r="D2214" i="15"/>
  <c r="C2214" i="15"/>
  <c r="G2213" i="15"/>
  <c r="D2213" i="15"/>
  <c r="C2213" i="15"/>
  <c r="G2212" i="15"/>
  <c r="D2212" i="15"/>
  <c r="C2212" i="15"/>
  <c r="G2211" i="15"/>
  <c r="D2211" i="15"/>
  <c r="C2211" i="15"/>
  <c r="G2210" i="15"/>
  <c r="D2210" i="15"/>
  <c r="C2210" i="15"/>
  <c r="G2209" i="15"/>
  <c r="D2209" i="15"/>
  <c r="C2209" i="15"/>
  <c r="G2208" i="15"/>
  <c r="D2208" i="15"/>
  <c r="C2208" i="15"/>
  <c r="G2207" i="15"/>
  <c r="D2207" i="15"/>
  <c r="C2207" i="15"/>
  <c r="G2206" i="15"/>
  <c r="D2206" i="15"/>
  <c r="C2206" i="15"/>
  <c r="G2205" i="15"/>
  <c r="D2205" i="15"/>
  <c r="C2205" i="15"/>
  <c r="G2204" i="15"/>
  <c r="D2204" i="15"/>
  <c r="C2204" i="15"/>
  <c r="G2203" i="15"/>
  <c r="D2203" i="15"/>
  <c r="C2203" i="15"/>
  <c r="G2202" i="15"/>
  <c r="D2202" i="15"/>
  <c r="C2202" i="15"/>
  <c r="G2201" i="15"/>
  <c r="D2201" i="15"/>
  <c r="C2201" i="15"/>
  <c r="G2200" i="15"/>
  <c r="D2200" i="15"/>
  <c r="C2200" i="15"/>
  <c r="G2199" i="15"/>
  <c r="D2199" i="15"/>
  <c r="C2199" i="15"/>
  <c r="G2198" i="15"/>
  <c r="D2198" i="15"/>
  <c r="C2198" i="15"/>
  <c r="G2197" i="15"/>
  <c r="D2197" i="15"/>
  <c r="C2197" i="15"/>
  <c r="G2196" i="15"/>
  <c r="D2196" i="15"/>
  <c r="C2196" i="15"/>
  <c r="G2195" i="15"/>
  <c r="D2195" i="15"/>
  <c r="C2195" i="15"/>
  <c r="G2194" i="15"/>
  <c r="D2194" i="15"/>
  <c r="C2194" i="15"/>
  <c r="G2193" i="15"/>
  <c r="D2193" i="15"/>
  <c r="C2193" i="15"/>
  <c r="G2192" i="15"/>
  <c r="D2192" i="15"/>
  <c r="C2192" i="15"/>
  <c r="G2191" i="15"/>
  <c r="D2191" i="15"/>
  <c r="C2191" i="15"/>
  <c r="G2190" i="15"/>
  <c r="D2190" i="15"/>
  <c r="C2190" i="15"/>
  <c r="G2189" i="15"/>
  <c r="D2189" i="15"/>
  <c r="C2189" i="15"/>
  <c r="G2188" i="15"/>
  <c r="D2188" i="15"/>
  <c r="C2188" i="15"/>
  <c r="G2187" i="15"/>
  <c r="D2187" i="15"/>
  <c r="C2187" i="15"/>
  <c r="G2186" i="15"/>
  <c r="D2186" i="15"/>
  <c r="C2186" i="15"/>
  <c r="G2185" i="15"/>
  <c r="D2185" i="15"/>
  <c r="C2185" i="15"/>
  <c r="G2184" i="15"/>
  <c r="D2184" i="15"/>
  <c r="C2184" i="15"/>
  <c r="G2183" i="15"/>
  <c r="D2183" i="15"/>
  <c r="C2183" i="15"/>
  <c r="G2182" i="15"/>
  <c r="D2182" i="15"/>
  <c r="C2182" i="15"/>
  <c r="G2181" i="15"/>
  <c r="D2181" i="15"/>
  <c r="C2181" i="15"/>
  <c r="G2180" i="15"/>
  <c r="D2180" i="15"/>
  <c r="C2180" i="15"/>
  <c r="G2179" i="15"/>
  <c r="D2179" i="15"/>
  <c r="C2179" i="15"/>
  <c r="G2178" i="15"/>
  <c r="D2178" i="15"/>
  <c r="C2178" i="15"/>
  <c r="G2177" i="15"/>
  <c r="D2177" i="15"/>
  <c r="C2177" i="15"/>
  <c r="G2176" i="15"/>
  <c r="D2176" i="15"/>
  <c r="C2176" i="15"/>
  <c r="G2175" i="15"/>
  <c r="D2175" i="15"/>
  <c r="C2175" i="15"/>
  <c r="G2174" i="15"/>
  <c r="D2174" i="15"/>
  <c r="C2174" i="15"/>
  <c r="G2173" i="15"/>
  <c r="D2173" i="15"/>
  <c r="C2173" i="15"/>
  <c r="G2172" i="15"/>
  <c r="D2172" i="15"/>
  <c r="C2172" i="15"/>
  <c r="G2171" i="15"/>
  <c r="D2171" i="15"/>
  <c r="C2171" i="15"/>
  <c r="G2170" i="15"/>
  <c r="D2170" i="15"/>
  <c r="C2170" i="15"/>
  <c r="G2169" i="15"/>
  <c r="D2169" i="15"/>
  <c r="C2169" i="15"/>
  <c r="G2168" i="15"/>
  <c r="D2168" i="15"/>
  <c r="C2168" i="15"/>
  <c r="G2167" i="15"/>
  <c r="D2167" i="15"/>
  <c r="C2167" i="15"/>
  <c r="G2166" i="15"/>
  <c r="D2166" i="15"/>
  <c r="C2166" i="15"/>
  <c r="G2165" i="15"/>
  <c r="D2165" i="15"/>
  <c r="C2165" i="15"/>
  <c r="G2164" i="15"/>
  <c r="D2164" i="15"/>
  <c r="C2164" i="15"/>
  <c r="G2163" i="15"/>
  <c r="D2163" i="15"/>
  <c r="C2163" i="15"/>
  <c r="G2162" i="15"/>
  <c r="D2162" i="15"/>
  <c r="C2162" i="15"/>
  <c r="G2161" i="15"/>
  <c r="D2161" i="15"/>
  <c r="C2161" i="15"/>
  <c r="G2160" i="15"/>
  <c r="D2160" i="15"/>
  <c r="C2160" i="15"/>
  <c r="G2159" i="15"/>
  <c r="D2159" i="15"/>
  <c r="C2159" i="15"/>
  <c r="G2158" i="15"/>
  <c r="D2158" i="15"/>
  <c r="C2158" i="15"/>
  <c r="G2157" i="15"/>
  <c r="D2157" i="15"/>
  <c r="C2157" i="15"/>
  <c r="G2156" i="15"/>
  <c r="D2156" i="15"/>
  <c r="C2156" i="15"/>
  <c r="G2155" i="15"/>
  <c r="D2155" i="15"/>
  <c r="C2155" i="15"/>
  <c r="G2154" i="15"/>
  <c r="D2154" i="15"/>
  <c r="C2154" i="15"/>
  <c r="G2153" i="15"/>
  <c r="D2153" i="15"/>
  <c r="C2153" i="15"/>
  <c r="G2152" i="15"/>
  <c r="D2152" i="15"/>
  <c r="C2152" i="15"/>
  <c r="G2151" i="15"/>
  <c r="D2151" i="15"/>
  <c r="C2151" i="15"/>
  <c r="G2150" i="15"/>
  <c r="D2150" i="15"/>
  <c r="C2150" i="15"/>
  <c r="G2149" i="15"/>
  <c r="D2149" i="15"/>
  <c r="C2149" i="15"/>
  <c r="G2148" i="15"/>
  <c r="D2148" i="15"/>
  <c r="C2148" i="15"/>
  <c r="G2147" i="15"/>
  <c r="D2147" i="15"/>
  <c r="C2147" i="15"/>
  <c r="G2146" i="15"/>
  <c r="D2146" i="15"/>
  <c r="C2146" i="15"/>
  <c r="G2145" i="15"/>
  <c r="D2145" i="15"/>
  <c r="C2145" i="15"/>
  <c r="G2144" i="15"/>
  <c r="D2144" i="15"/>
  <c r="C2144" i="15"/>
  <c r="G2143" i="15"/>
  <c r="D2143" i="15"/>
  <c r="C2143" i="15"/>
  <c r="G2142" i="15"/>
  <c r="D2142" i="15"/>
  <c r="C2142" i="15"/>
  <c r="G2141" i="15"/>
  <c r="D2141" i="15"/>
  <c r="C2141" i="15"/>
  <c r="G2140" i="15"/>
  <c r="D2140" i="15"/>
  <c r="C2140" i="15"/>
  <c r="G2139" i="15"/>
  <c r="D2139" i="15"/>
  <c r="C2139" i="15"/>
  <c r="G2138" i="15"/>
  <c r="D2138" i="15"/>
  <c r="C2138" i="15"/>
  <c r="G2137" i="15"/>
  <c r="D2137" i="15"/>
  <c r="C2137" i="15"/>
  <c r="G2136" i="15"/>
  <c r="D2136" i="15"/>
  <c r="C2136" i="15"/>
  <c r="G2135" i="15"/>
  <c r="D2135" i="15"/>
  <c r="C2135" i="15"/>
  <c r="G2134" i="15"/>
  <c r="D2134" i="15"/>
  <c r="C2134" i="15"/>
  <c r="G2133" i="15"/>
  <c r="D2133" i="15"/>
  <c r="C2133" i="15"/>
  <c r="G2132" i="15"/>
  <c r="D2132" i="15"/>
  <c r="C2132" i="15"/>
  <c r="G2131" i="15"/>
  <c r="D2131" i="15"/>
  <c r="C2131" i="15"/>
  <c r="G2130" i="15"/>
  <c r="D2130" i="15"/>
  <c r="C2130" i="15"/>
  <c r="G2129" i="15"/>
  <c r="D2129" i="15"/>
  <c r="C2129" i="15"/>
  <c r="G2128" i="15"/>
  <c r="D2128" i="15"/>
  <c r="C2128" i="15"/>
  <c r="G2127" i="15"/>
  <c r="D2127" i="15"/>
  <c r="C2127" i="15"/>
  <c r="G2126" i="15"/>
  <c r="D2126" i="15"/>
  <c r="C2126" i="15"/>
  <c r="G2125" i="15"/>
  <c r="D2125" i="15"/>
  <c r="C2125" i="15"/>
  <c r="G2124" i="15"/>
  <c r="D2124" i="15"/>
  <c r="C2124" i="15"/>
  <c r="G2123" i="15"/>
  <c r="D2123" i="15"/>
  <c r="C2123" i="15"/>
  <c r="G2122" i="15"/>
  <c r="D2122" i="15"/>
  <c r="C2122" i="15"/>
  <c r="G2121" i="15"/>
  <c r="D2121" i="15"/>
  <c r="C2121" i="15"/>
  <c r="G2120" i="15"/>
  <c r="D2120" i="15"/>
  <c r="C2120" i="15"/>
  <c r="G2119" i="15"/>
  <c r="D2119" i="15"/>
  <c r="C2119" i="15"/>
  <c r="G2118" i="15"/>
  <c r="D2118" i="15"/>
  <c r="C2118" i="15"/>
  <c r="G2117" i="15"/>
  <c r="D2117" i="15"/>
  <c r="C2117" i="15"/>
  <c r="G2116" i="15"/>
  <c r="D2116" i="15"/>
  <c r="C2116" i="15"/>
  <c r="G2115" i="15"/>
  <c r="D2115" i="15"/>
  <c r="C2115" i="15"/>
  <c r="G2114" i="15"/>
  <c r="D2114" i="15"/>
  <c r="C2114" i="15"/>
  <c r="G2113" i="15"/>
  <c r="D2113" i="15"/>
  <c r="C2113" i="15"/>
  <c r="G2112" i="15"/>
  <c r="D2112" i="15"/>
  <c r="C2112" i="15"/>
  <c r="G2111" i="15"/>
  <c r="D2111" i="15"/>
  <c r="C2111" i="15"/>
  <c r="G2110" i="15"/>
  <c r="D2110" i="15"/>
  <c r="C2110" i="15"/>
  <c r="G2109" i="15"/>
  <c r="D2109" i="15"/>
  <c r="C2109" i="15"/>
  <c r="G2108" i="15"/>
  <c r="D2108" i="15"/>
  <c r="C2108" i="15"/>
  <c r="G2107" i="15"/>
  <c r="D2107" i="15"/>
  <c r="C2107" i="15"/>
  <c r="G2106" i="15"/>
  <c r="D2106" i="15"/>
  <c r="C2106" i="15"/>
  <c r="G2105" i="15"/>
  <c r="D2105" i="15"/>
  <c r="C2105" i="15"/>
  <c r="G2104" i="15"/>
  <c r="D2104" i="15"/>
  <c r="C2104" i="15"/>
  <c r="G2103" i="15"/>
  <c r="D2103" i="15"/>
  <c r="C2103" i="15"/>
  <c r="G2102" i="15"/>
  <c r="D2102" i="15"/>
  <c r="C2102" i="15"/>
  <c r="G2101" i="15"/>
  <c r="D2101" i="15"/>
  <c r="C2101" i="15"/>
  <c r="G2100" i="15"/>
  <c r="D2100" i="15"/>
  <c r="C2100" i="15"/>
  <c r="G2099" i="15"/>
  <c r="D2099" i="15"/>
  <c r="C2099" i="15"/>
  <c r="G2098" i="15"/>
  <c r="D2098" i="15"/>
  <c r="C2098" i="15"/>
  <c r="G2097" i="15"/>
  <c r="D2097" i="15"/>
  <c r="C2097" i="15"/>
  <c r="G2096" i="15"/>
  <c r="D2096" i="15"/>
  <c r="C2096" i="15"/>
  <c r="G2095" i="15"/>
  <c r="D2095" i="15"/>
  <c r="C2095" i="15"/>
  <c r="G2094" i="15"/>
  <c r="D2094" i="15"/>
  <c r="C2094" i="15"/>
  <c r="G2093" i="15"/>
  <c r="D2093" i="15"/>
  <c r="C2093" i="15"/>
  <c r="G2092" i="15"/>
  <c r="D2092" i="15"/>
  <c r="C2092" i="15"/>
  <c r="G2091" i="15"/>
  <c r="D2091" i="15"/>
  <c r="C2091" i="15"/>
  <c r="G2090" i="15"/>
  <c r="D2090" i="15"/>
  <c r="C2090" i="15"/>
  <c r="G2089" i="15"/>
  <c r="D2089" i="15"/>
  <c r="C2089" i="15"/>
  <c r="G2088" i="15"/>
  <c r="D2088" i="15"/>
  <c r="C2088" i="15"/>
  <c r="G2087" i="15"/>
  <c r="D2087" i="15"/>
  <c r="C2087" i="15"/>
  <c r="G2086" i="15"/>
  <c r="D2086" i="15"/>
  <c r="C2086" i="15"/>
  <c r="G2085" i="15"/>
  <c r="D2085" i="15"/>
  <c r="C2085" i="15"/>
  <c r="G2084" i="15"/>
  <c r="D2084" i="15"/>
  <c r="C2084" i="15"/>
  <c r="G2083" i="15"/>
  <c r="D2083" i="15"/>
  <c r="C2083" i="15"/>
  <c r="G2082" i="15"/>
  <c r="D2082" i="15"/>
  <c r="C2082" i="15"/>
  <c r="G2081" i="15"/>
  <c r="D2081" i="15"/>
  <c r="C2081" i="15"/>
  <c r="G2080" i="15"/>
  <c r="D2080" i="15"/>
  <c r="C2080" i="15"/>
  <c r="G2079" i="15"/>
  <c r="D2079" i="15"/>
  <c r="C2079" i="15"/>
  <c r="G2078" i="15"/>
  <c r="D2078" i="15"/>
  <c r="C2078" i="15"/>
  <c r="G2077" i="15"/>
  <c r="D2077" i="15"/>
  <c r="C2077" i="15"/>
  <c r="G2076" i="15"/>
  <c r="D2076" i="15"/>
  <c r="C2076" i="15"/>
  <c r="G2075" i="15"/>
  <c r="D2075" i="15"/>
  <c r="C2075" i="15"/>
  <c r="G2074" i="15"/>
  <c r="D2074" i="15"/>
  <c r="C2074" i="15"/>
  <c r="G2073" i="15"/>
  <c r="D2073" i="15"/>
  <c r="C2073" i="15"/>
  <c r="G2072" i="15"/>
  <c r="D2072" i="15"/>
  <c r="C2072" i="15"/>
  <c r="G2071" i="15"/>
  <c r="D2071" i="15"/>
  <c r="C2071" i="15"/>
  <c r="G2070" i="15"/>
  <c r="D2070" i="15"/>
  <c r="C2070" i="15"/>
  <c r="G2069" i="15"/>
  <c r="D2069" i="15"/>
  <c r="C2069" i="15"/>
  <c r="G2068" i="15"/>
  <c r="D2068" i="15"/>
  <c r="C2068" i="15"/>
  <c r="G2067" i="15"/>
  <c r="D2067" i="15"/>
  <c r="C2067" i="15"/>
  <c r="G2066" i="15"/>
  <c r="D2066" i="15"/>
  <c r="C2066" i="15"/>
  <c r="G2065" i="15"/>
  <c r="D2065" i="15"/>
  <c r="C2065" i="15"/>
  <c r="G2064" i="15"/>
  <c r="D2064" i="15"/>
  <c r="C2064" i="15"/>
  <c r="G2063" i="15"/>
  <c r="D2063" i="15"/>
  <c r="C2063" i="15"/>
  <c r="G2062" i="15"/>
  <c r="D2062" i="15"/>
  <c r="C2062" i="15"/>
  <c r="G2061" i="15"/>
  <c r="D2061" i="15"/>
  <c r="C2061" i="15"/>
  <c r="G2060" i="15"/>
  <c r="D2060" i="15"/>
  <c r="C2060" i="15"/>
  <c r="G2059" i="15"/>
  <c r="D2059" i="15"/>
  <c r="C2059" i="15"/>
  <c r="G2058" i="15"/>
  <c r="D2058" i="15"/>
  <c r="C2058" i="15"/>
  <c r="G2057" i="15"/>
  <c r="D2057" i="15"/>
  <c r="C2057" i="15"/>
  <c r="G2056" i="15"/>
  <c r="D2056" i="15"/>
  <c r="C2056" i="15"/>
  <c r="G2055" i="15"/>
  <c r="D2055" i="15"/>
  <c r="C2055" i="15"/>
  <c r="G2054" i="15"/>
  <c r="D2054" i="15"/>
  <c r="C2054" i="15"/>
  <c r="G2053" i="15"/>
  <c r="D2053" i="15"/>
  <c r="C2053" i="15"/>
  <c r="G2052" i="15"/>
  <c r="D2052" i="15"/>
  <c r="C2052" i="15"/>
  <c r="G2051" i="15"/>
  <c r="D2051" i="15"/>
  <c r="C2051" i="15"/>
  <c r="G2050" i="15"/>
  <c r="D2050" i="15"/>
  <c r="C2050" i="15"/>
  <c r="G2049" i="15"/>
  <c r="D2049" i="15"/>
  <c r="C2049" i="15"/>
  <c r="G2048" i="15"/>
  <c r="D2048" i="15"/>
  <c r="C2048" i="15"/>
  <c r="G2047" i="15"/>
  <c r="D2047" i="15"/>
  <c r="C2047" i="15"/>
  <c r="G2046" i="15"/>
  <c r="D2046" i="15"/>
  <c r="C2046" i="15"/>
  <c r="G2045" i="15"/>
  <c r="D2045" i="15"/>
  <c r="C2045" i="15"/>
  <c r="G2044" i="15"/>
  <c r="D2044" i="15"/>
  <c r="C2044" i="15"/>
  <c r="G2043" i="15"/>
  <c r="D2043" i="15"/>
  <c r="C2043" i="15"/>
  <c r="G2042" i="15"/>
  <c r="D2042" i="15"/>
  <c r="C2042" i="15"/>
  <c r="G2041" i="15"/>
  <c r="D2041" i="15"/>
  <c r="C2041" i="15"/>
  <c r="G2040" i="15"/>
  <c r="D2040" i="15"/>
  <c r="C2040" i="15"/>
  <c r="G2039" i="15"/>
  <c r="D2039" i="15"/>
  <c r="C2039" i="15"/>
  <c r="G2038" i="15"/>
  <c r="D2038" i="15"/>
  <c r="C2038" i="15"/>
  <c r="G2037" i="15"/>
  <c r="D2037" i="15"/>
  <c r="C2037" i="15"/>
  <c r="G2036" i="15"/>
  <c r="D2036" i="15"/>
  <c r="C2036" i="15"/>
  <c r="G2035" i="15"/>
  <c r="D2035" i="15"/>
  <c r="C2035" i="15"/>
  <c r="G2034" i="15"/>
  <c r="D2034" i="15"/>
  <c r="C2034" i="15"/>
  <c r="G2033" i="15"/>
  <c r="D2033" i="15"/>
  <c r="C2033" i="15"/>
  <c r="G2032" i="15"/>
  <c r="D2032" i="15"/>
  <c r="C2032" i="15"/>
  <c r="G2031" i="15"/>
  <c r="D2031" i="15"/>
  <c r="C2031" i="15"/>
  <c r="G2030" i="15"/>
  <c r="D2030" i="15"/>
  <c r="C2030" i="15"/>
  <c r="G2029" i="15"/>
  <c r="D2029" i="15"/>
  <c r="C2029" i="15"/>
  <c r="G2028" i="15"/>
  <c r="D2028" i="15"/>
  <c r="C2028" i="15"/>
  <c r="G2027" i="15"/>
  <c r="D2027" i="15"/>
  <c r="C2027" i="15"/>
  <c r="G2026" i="15"/>
  <c r="D2026" i="15"/>
  <c r="C2026" i="15"/>
  <c r="G2025" i="15"/>
  <c r="D2025" i="15"/>
  <c r="C2025" i="15"/>
  <c r="G2024" i="15"/>
  <c r="D2024" i="15"/>
  <c r="C2024" i="15"/>
  <c r="G2023" i="15"/>
  <c r="D2023" i="15"/>
  <c r="C2023" i="15"/>
  <c r="G2022" i="15"/>
  <c r="D2022" i="15"/>
  <c r="C2022" i="15"/>
  <c r="G2021" i="15"/>
  <c r="D2021" i="15"/>
  <c r="C2021" i="15"/>
  <c r="G2020" i="15"/>
  <c r="D2020" i="15"/>
  <c r="C2020" i="15"/>
  <c r="G2019" i="15"/>
  <c r="D2019" i="15"/>
  <c r="C2019" i="15"/>
  <c r="G2018" i="15"/>
  <c r="D2018" i="15"/>
  <c r="C2018" i="15"/>
  <c r="G2017" i="15"/>
  <c r="D2017" i="15"/>
  <c r="C2017" i="15"/>
  <c r="G2016" i="15"/>
  <c r="D2016" i="15"/>
  <c r="C2016" i="15"/>
  <c r="G2015" i="15"/>
  <c r="D2015" i="15"/>
  <c r="C2015" i="15"/>
  <c r="G2014" i="15"/>
  <c r="D2014" i="15"/>
  <c r="C2014" i="15"/>
  <c r="G2013" i="15"/>
  <c r="D2013" i="15"/>
  <c r="C2013" i="15"/>
  <c r="G2012" i="15"/>
  <c r="D2012" i="15"/>
  <c r="C2012" i="15"/>
  <c r="G2011" i="15"/>
  <c r="D2011" i="15"/>
  <c r="C2011" i="15"/>
  <c r="G2010" i="15"/>
  <c r="D2010" i="15"/>
  <c r="C2010" i="15"/>
  <c r="G2009" i="15"/>
  <c r="D2009" i="15"/>
  <c r="C2009" i="15"/>
  <c r="G2008" i="15"/>
  <c r="D2008" i="15"/>
  <c r="C2008" i="15"/>
  <c r="G2007" i="15"/>
  <c r="D2007" i="15"/>
  <c r="C2007" i="15"/>
  <c r="G2006" i="15"/>
  <c r="D2006" i="15"/>
  <c r="C2006" i="15"/>
  <c r="G2005" i="15"/>
  <c r="D2005" i="15"/>
  <c r="C2005" i="15"/>
  <c r="G2004" i="15"/>
  <c r="D2004" i="15"/>
  <c r="C2004" i="15"/>
  <c r="G2003" i="15"/>
  <c r="D2003" i="15"/>
  <c r="C2003" i="15"/>
  <c r="G2002" i="15"/>
  <c r="D2002" i="15"/>
  <c r="C2002" i="15"/>
  <c r="G2001" i="15"/>
  <c r="D2001" i="15"/>
  <c r="C2001" i="15"/>
  <c r="G2000" i="15"/>
  <c r="D2000" i="15"/>
  <c r="C2000" i="15"/>
  <c r="G1999" i="15"/>
  <c r="D1999" i="15"/>
  <c r="C1999" i="15"/>
  <c r="G1998" i="15"/>
  <c r="D1998" i="15"/>
  <c r="C1998" i="15"/>
  <c r="G1997" i="15"/>
  <c r="D1997" i="15"/>
  <c r="C1997" i="15"/>
  <c r="G1996" i="15"/>
  <c r="D1996" i="15"/>
  <c r="C1996" i="15"/>
  <c r="G1995" i="15"/>
  <c r="D1995" i="15"/>
  <c r="C1995" i="15"/>
  <c r="G1994" i="15"/>
  <c r="D1994" i="15"/>
  <c r="C1994" i="15"/>
  <c r="G1993" i="15"/>
  <c r="D1993" i="15"/>
  <c r="C1993" i="15"/>
  <c r="G1992" i="15"/>
  <c r="D1992" i="15"/>
  <c r="C1992" i="15"/>
  <c r="G1991" i="15"/>
  <c r="D1991" i="15"/>
  <c r="C1991" i="15"/>
  <c r="G1990" i="15"/>
  <c r="D1990" i="15"/>
  <c r="C1990" i="15"/>
  <c r="G1989" i="15"/>
  <c r="D1989" i="15"/>
  <c r="C1989" i="15"/>
  <c r="G1988" i="15"/>
  <c r="D1988" i="15"/>
  <c r="C1988" i="15"/>
  <c r="G1987" i="15"/>
  <c r="D1987" i="15"/>
  <c r="C1987" i="15"/>
  <c r="G1986" i="15"/>
  <c r="D1986" i="15"/>
  <c r="C1986" i="15"/>
  <c r="G1985" i="15"/>
  <c r="D1985" i="15"/>
  <c r="C1985" i="15"/>
  <c r="G1984" i="15"/>
  <c r="D1984" i="15"/>
  <c r="C1984" i="15"/>
  <c r="G1983" i="15"/>
  <c r="D1983" i="15"/>
  <c r="C1983" i="15"/>
  <c r="G1982" i="15"/>
  <c r="D1982" i="15"/>
  <c r="C1982" i="15"/>
  <c r="G1981" i="15"/>
  <c r="D1981" i="15"/>
  <c r="C1981" i="15"/>
  <c r="G1980" i="15"/>
  <c r="D1980" i="15"/>
  <c r="C1980" i="15"/>
  <c r="G1979" i="15"/>
  <c r="D1979" i="15"/>
  <c r="C1979" i="15"/>
  <c r="G1978" i="15"/>
  <c r="D1978" i="15"/>
  <c r="C1978" i="15"/>
  <c r="G1977" i="15"/>
  <c r="D1977" i="15"/>
  <c r="C1977" i="15"/>
  <c r="G1976" i="15"/>
  <c r="D1976" i="15"/>
  <c r="C1976" i="15"/>
  <c r="G1975" i="15"/>
  <c r="D1975" i="15"/>
  <c r="C1975" i="15"/>
  <c r="G1974" i="15"/>
  <c r="D1974" i="15"/>
  <c r="C1974" i="15"/>
  <c r="G1973" i="15"/>
  <c r="D1973" i="15"/>
  <c r="C1973" i="15"/>
  <c r="G1972" i="15"/>
  <c r="D1972" i="15"/>
  <c r="C1972" i="15"/>
  <c r="G1971" i="15"/>
  <c r="D1971" i="15"/>
  <c r="C1971" i="15"/>
  <c r="G1970" i="15"/>
  <c r="D1970" i="15"/>
  <c r="C1970" i="15"/>
  <c r="G1969" i="15"/>
  <c r="D1969" i="15"/>
  <c r="C1969" i="15"/>
  <c r="G1968" i="15"/>
  <c r="D1968" i="15"/>
  <c r="C1968" i="15"/>
  <c r="G1967" i="15"/>
  <c r="D1967" i="15"/>
  <c r="C1967" i="15"/>
  <c r="G1966" i="15"/>
  <c r="D1966" i="15"/>
  <c r="C1966" i="15"/>
  <c r="G1965" i="15"/>
  <c r="D1965" i="15"/>
  <c r="C1965" i="15"/>
  <c r="G1964" i="15"/>
  <c r="D1964" i="15"/>
  <c r="C1964" i="15"/>
  <c r="G1963" i="15"/>
  <c r="D1963" i="15"/>
  <c r="C1963" i="15"/>
  <c r="G1962" i="15"/>
  <c r="D1962" i="15"/>
  <c r="C1962" i="15"/>
  <c r="G1961" i="15"/>
  <c r="D1961" i="15"/>
  <c r="C1961" i="15"/>
  <c r="G1960" i="15"/>
  <c r="D1960" i="15"/>
  <c r="C1960" i="15"/>
  <c r="G1959" i="15"/>
  <c r="D1959" i="15"/>
  <c r="C1959" i="15"/>
  <c r="G1958" i="15"/>
  <c r="D1958" i="15"/>
  <c r="C1958" i="15"/>
  <c r="G1957" i="15"/>
  <c r="D1957" i="15"/>
  <c r="C1957" i="15"/>
  <c r="G1956" i="15"/>
  <c r="D1956" i="15"/>
  <c r="C1956" i="15"/>
  <c r="G1955" i="15"/>
  <c r="D1955" i="15"/>
  <c r="C1955" i="15"/>
  <c r="G1954" i="15"/>
  <c r="D1954" i="15"/>
  <c r="C1954" i="15"/>
  <c r="G1953" i="15"/>
  <c r="D1953" i="15"/>
  <c r="C1953" i="15"/>
  <c r="G1952" i="15"/>
  <c r="D1952" i="15"/>
  <c r="C1952" i="15"/>
  <c r="G1951" i="15"/>
  <c r="D1951" i="15"/>
  <c r="C1951" i="15"/>
  <c r="G1950" i="15"/>
  <c r="D1950" i="15"/>
  <c r="C1950" i="15"/>
  <c r="G1949" i="15"/>
  <c r="D1949" i="15"/>
  <c r="C1949" i="15"/>
  <c r="G1948" i="15"/>
  <c r="D1948" i="15"/>
  <c r="C1948" i="15"/>
  <c r="G1947" i="15"/>
  <c r="D1947" i="15"/>
  <c r="C1947" i="15"/>
  <c r="G1946" i="15"/>
  <c r="D1946" i="15"/>
  <c r="C1946" i="15"/>
  <c r="G1945" i="15"/>
  <c r="D1945" i="15"/>
  <c r="C1945" i="15"/>
  <c r="G1944" i="15"/>
  <c r="D1944" i="15"/>
  <c r="C1944" i="15"/>
  <c r="G1943" i="15"/>
  <c r="D1943" i="15"/>
  <c r="C1943" i="15"/>
  <c r="G1942" i="15"/>
  <c r="D1942" i="15"/>
  <c r="C1942" i="15"/>
  <c r="G1941" i="15"/>
  <c r="D1941" i="15"/>
  <c r="C1941" i="15"/>
  <c r="G1940" i="15"/>
  <c r="D1940" i="15"/>
  <c r="C1940" i="15"/>
  <c r="G1939" i="15"/>
  <c r="D1939" i="15"/>
  <c r="C1939" i="15"/>
  <c r="G1938" i="15"/>
  <c r="D1938" i="15"/>
  <c r="C1938" i="15"/>
  <c r="G1937" i="15"/>
  <c r="D1937" i="15"/>
  <c r="C1937" i="15"/>
  <c r="G1936" i="15"/>
  <c r="D1936" i="15"/>
  <c r="C1936" i="15"/>
  <c r="G1935" i="15"/>
  <c r="D1935" i="15"/>
  <c r="C1935" i="15"/>
  <c r="G1934" i="15"/>
  <c r="D1934" i="15"/>
  <c r="C1934" i="15"/>
  <c r="G1933" i="15"/>
  <c r="D1933" i="15"/>
  <c r="C1933" i="15"/>
  <c r="G1932" i="15"/>
  <c r="D1932" i="15"/>
  <c r="C1932" i="15"/>
  <c r="G1931" i="15"/>
  <c r="D1931" i="15"/>
  <c r="C1931" i="15"/>
  <c r="G1930" i="15"/>
  <c r="D1930" i="15"/>
  <c r="C1930" i="15"/>
  <c r="G1929" i="15"/>
  <c r="D1929" i="15"/>
  <c r="C1929" i="15"/>
  <c r="G1928" i="15"/>
  <c r="D1928" i="15"/>
  <c r="C1928" i="15"/>
  <c r="G1927" i="15"/>
  <c r="D1927" i="15"/>
  <c r="C1927" i="15"/>
  <c r="G1926" i="15"/>
  <c r="D1926" i="15"/>
  <c r="C1926" i="15"/>
  <c r="G1925" i="15"/>
  <c r="D1925" i="15"/>
  <c r="C1925" i="15"/>
  <c r="G1924" i="15"/>
  <c r="D1924" i="15"/>
  <c r="C1924" i="15"/>
  <c r="G1923" i="15"/>
  <c r="D1923" i="15"/>
  <c r="C1923" i="15"/>
  <c r="G1922" i="15"/>
  <c r="D1922" i="15"/>
  <c r="C1922" i="15"/>
  <c r="G1921" i="15"/>
  <c r="D1921" i="15"/>
  <c r="C1921" i="15"/>
  <c r="G1920" i="15"/>
  <c r="D1920" i="15"/>
  <c r="C1920" i="15"/>
  <c r="G1919" i="15"/>
  <c r="D1919" i="15"/>
  <c r="C1919" i="15"/>
  <c r="G1918" i="15"/>
  <c r="D1918" i="15"/>
  <c r="C1918" i="15"/>
  <c r="G1917" i="15"/>
  <c r="D1917" i="15"/>
  <c r="C1917" i="15"/>
  <c r="G1916" i="15"/>
  <c r="D1916" i="15"/>
  <c r="C1916" i="15"/>
  <c r="G1915" i="15"/>
  <c r="D1915" i="15"/>
  <c r="C1915" i="15"/>
  <c r="G1914" i="15"/>
  <c r="D1914" i="15"/>
  <c r="C1914" i="15"/>
  <c r="G1913" i="15"/>
  <c r="D1913" i="15"/>
  <c r="C1913" i="15"/>
  <c r="G1912" i="15"/>
  <c r="D1912" i="15"/>
  <c r="C1912" i="15"/>
  <c r="G1911" i="15"/>
  <c r="D1911" i="15"/>
  <c r="C1911" i="15"/>
  <c r="G1910" i="15"/>
  <c r="D1910" i="15"/>
  <c r="C1910" i="15"/>
  <c r="G1909" i="15"/>
  <c r="D1909" i="15"/>
  <c r="C1909" i="15"/>
  <c r="G1908" i="15"/>
  <c r="D1908" i="15"/>
  <c r="C1908" i="15"/>
  <c r="G1907" i="15"/>
  <c r="D1907" i="15"/>
  <c r="C1907" i="15"/>
  <c r="G1906" i="15"/>
  <c r="D1906" i="15"/>
  <c r="C1906" i="15"/>
  <c r="G1905" i="15"/>
  <c r="D1905" i="15"/>
  <c r="C1905" i="15"/>
  <c r="G1904" i="15"/>
  <c r="D1904" i="15"/>
  <c r="C1904" i="15"/>
  <c r="G1903" i="15"/>
  <c r="D1903" i="15"/>
  <c r="C1903" i="15"/>
  <c r="G1902" i="15"/>
  <c r="D1902" i="15"/>
  <c r="C1902" i="15"/>
  <c r="G1901" i="15"/>
  <c r="D1901" i="15"/>
  <c r="C1901" i="15"/>
  <c r="G1900" i="15"/>
  <c r="D1900" i="15"/>
  <c r="C1900" i="15"/>
  <c r="G1899" i="15"/>
  <c r="D1899" i="15"/>
  <c r="C1899" i="15"/>
  <c r="G1898" i="15"/>
  <c r="D1898" i="15"/>
  <c r="C1898" i="15"/>
  <c r="G1897" i="15"/>
  <c r="D1897" i="15"/>
  <c r="C1897" i="15"/>
  <c r="G1896" i="15"/>
  <c r="D1896" i="15"/>
  <c r="C1896" i="15"/>
  <c r="G1895" i="15"/>
  <c r="D1895" i="15"/>
  <c r="C1895" i="15"/>
  <c r="G1894" i="15"/>
  <c r="D1894" i="15"/>
  <c r="C1894" i="15"/>
  <c r="G1893" i="15"/>
  <c r="D1893" i="15"/>
  <c r="C1893" i="15"/>
  <c r="G1892" i="15"/>
  <c r="D1892" i="15"/>
  <c r="C1892" i="15"/>
  <c r="G1891" i="15"/>
  <c r="D1891" i="15"/>
  <c r="C1891" i="15"/>
  <c r="G1890" i="15"/>
  <c r="D1890" i="15"/>
  <c r="C1890" i="15"/>
  <c r="G1889" i="15"/>
  <c r="D1889" i="15"/>
  <c r="C1889" i="15"/>
  <c r="G1888" i="15"/>
  <c r="D1888" i="15"/>
  <c r="C1888" i="15"/>
  <c r="G1887" i="15"/>
  <c r="D1887" i="15"/>
  <c r="C1887" i="15"/>
  <c r="G1886" i="15"/>
  <c r="D1886" i="15"/>
  <c r="C1886" i="15"/>
  <c r="G1885" i="15"/>
  <c r="D1885" i="15"/>
  <c r="C1885" i="15"/>
  <c r="G1884" i="15"/>
  <c r="D1884" i="15"/>
  <c r="C1884" i="15"/>
  <c r="G1883" i="15"/>
  <c r="D1883" i="15"/>
  <c r="C1883" i="15"/>
  <c r="G1882" i="15"/>
  <c r="D1882" i="15"/>
  <c r="C1882" i="15"/>
  <c r="G1881" i="15"/>
  <c r="D1881" i="15"/>
  <c r="C1881" i="15"/>
  <c r="G1880" i="15"/>
  <c r="D1880" i="15"/>
  <c r="C1880" i="15"/>
  <c r="G1879" i="15"/>
  <c r="D1879" i="15"/>
  <c r="C1879" i="15"/>
  <c r="G1878" i="15"/>
  <c r="D1878" i="15"/>
  <c r="C1878" i="15"/>
  <c r="G1877" i="15"/>
  <c r="D1877" i="15"/>
  <c r="C1877" i="15"/>
  <c r="G1876" i="15"/>
  <c r="D1876" i="15"/>
  <c r="C1876" i="15"/>
  <c r="G1875" i="15"/>
  <c r="D1875" i="15"/>
  <c r="C1875" i="15"/>
  <c r="G1874" i="15"/>
  <c r="D1874" i="15"/>
  <c r="C1874" i="15"/>
  <c r="G1873" i="15"/>
  <c r="D1873" i="15"/>
  <c r="C1873" i="15"/>
  <c r="G1872" i="15"/>
  <c r="D1872" i="15"/>
  <c r="C1872" i="15"/>
  <c r="G1871" i="15"/>
  <c r="D1871" i="15"/>
  <c r="C1871" i="15"/>
  <c r="G1870" i="15"/>
  <c r="D1870" i="15"/>
  <c r="C1870" i="15"/>
  <c r="G1869" i="15"/>
  <c r="D1869" i="15"/>
  <c r="C1869" i="15"/>
  <c r="G1868" i="15"/>
  <c r="D1868" i="15"/>
  <c r="C1868" i="15"/>
  <c r="G1867" i="15"/>
  <c r="D1867" i="15"/>
  <c r="C1867" i="15"/>
  <c r="G1866" i="15"/>
  <c r="D1866" i="15"/>
  <c r="C1866" i="15"/>
  <c r="G1865" i="15"/>
  <c r="D1865" i="15"/>
  <c r="C1865" i="15"/>
  <c r="G1864" i="15"/>
  <c r="D1864" i="15"/>
  <c r="C1864" i="15"/>
  <c r="G1863" i="15"/>
  <c r="D1863" i="15"/>
  <c r="C1863" i="15"/>
  <c r="G1862" i="15"/>
  <c r="D1862" i="15"/>
  <c r="C1862" i="15"/>
  <c r="G1861" i="15"/>
  <c r="D1861" i="15"/>
  <c r="C1861" i="15"/>
  <c r="G1860" i="15"/>
  <c r="D1860" i="15"/>
  <c r="C1860" i="15"/>
  <c r="G1859" i="15"/>
  <c r="D1859" i="15"/>
  <c r="C1859" i="15"/>
  <c r="G1858" i="15"/>
  <c r="D1858" i="15"/>
  <c r="C1858" i="15"/>
  <c r="G1857" i="15"/>
  <c r="D1857" i="15"/>
  <c r="C1857" i="15"/>
  <c r="G1856" i="15"/>
  <c r="D1856" i="15"/>
  <c r="C1856" i="15"/>
  <c r="G1855" i="15"/>
  <c r="D1855" i="15"/>
  <c r="C1855" i="15"/>
  <c r="G1854" i="15"/>
  <c r="D1854" i="15"/>
  <c r="C1854" i="15"/>
  <c r="G1853" i="15"/>
  <c r="D1853" i="15"/>
  <c r="C1853" i="15"/>
  <c r="G1852" i="15"/>
  <c r="D1852" i="15"/>
  <c r="C1852" i="15"/>
  <c r="G1851" i="15"/>
  <c r="D1851" i="15"/>
  <c r="C1851" i="15"/>
  <c r="G1850" i="15"/>
  <c r="D1850" i="15"/>
  <c r="C1850" i="15"/>
  <c r="G1849" i="15"/>
  <c r="D1849" i="15"/>
  <c r="C1849" i="15"/>
  <c r="G1848" i="15"/>
  <c r="D1848" i="15"/>
  <c r="C1848" i="15"/>
  <c r="G1847" i="15"/>
  <c r="D1847" i="15"/>
  <c r="C1847" i="15"/>
  <c r="G1846" i="15"/>
  <c r="D1846" i="15"/>
  <c r="C1846" i="15"/>
  <c r="G1845" i="15"/>
  <c r="D1845" i="15"/>
  <c r="C1845" i="15"/>
  <c r="G1844" i="15"/>
  <c r="D1844" i="15"/>
  <c r="C1844" i="15"/>
  <c r="G1843" i="15"/>
  <c r="D1843" i="15"/>
  <c r="C1843" i="15"/>
  <c r="G1842" i="15"/>
  <c r="D1842" i="15"/>
  <c r="C1842" i="15"/>
  <c r="G1841" i="15"/>
  <c r="D1841" i="15"/>
  <c r="C1841" i="15"/>
  <c r="G1840" i="15"/>
  <c r="D1840" i="15"/>
  <c r="C1840" i="15"/>
  <c r="G1839" i="15"/>
  <c r="D1839" i="15"/>
  <c r="C1839" i="15"/>
  <c r="G1838" i="15"/>
  <c r="D1838" i="15"/>
  <c r="C1838" i="15"/>
  <c r="G1837" i="15"/>
  <c r="D1837" i="15"/>
  <c r="C1837" i="15"/>
  <c r="G1836" i="15"/>
  <c r="D1836" i="15"/>
  <c r="C1836" i="15"/>
  <c r="G1835" i="15"/>
  <c r="D1835" i="15"/>
  <c r="C1835" i="15"/>
  <c r="G1834" i="15"/>
  <c r="D1834" i="15"/>
  <c r="C1834" i="15"/>
  <c r="G1833" i="15"/>
  <c r="D1833" i="15"/>
  <c r="C1833" i="15"/>
  <c r="G1832" i="15"/>
  <c r="D1832" i="15"/>
  <c r="C1832" i="15"/>
  <c r="G1831" i="15"/>
  <c r="D1831" i="15"/>
  <c r="C1831" i="15"/>
  <c r="G1830" i="15"/>
  <c r="D1830" i="15"/>
  <c r="C1830" i="15"/>
  <c r="G1829" i="15"/>
  <c r="D1829" i="15"/>
  <c r="C1829" i="15"/>
  <c r="G1828" i="15"/>
  <c r="D1828" i="15"/>
  <c r="C1828" i="15"/>
  <c r="G1827" i="15"/>
  <c r="D1827" i="15"/>
  <c r="C1827" i="15"/>
  <c r="G1826" i="15"/>
  <c r="D1826" i="15"/>
  <c r="C1826" i="15"/>
  <c r="G1825" i="15"/>
  <c r="D1825" i="15"/>
  <c r="C1825" i="15"/>
  <c r="G1824" i="15"/>
  <c r="D1824" i="15"/>
  <c r="C1824" i="15"/>
  <c r="G1823" i="15"/>
  <c r="D1823" i="15"/>
  <c r="C1823" i="15"/>
  <c r="G1822" i="15"/>
  <c r="D1822" i="15"/>
  <c r="C1822" i="15"/>
  <c r="G1821" i="15"/>
  <c r="D1821" i="15"/>
  <c r="C1821" i="15"/>
  <c r="G1820" i="15"/>
  <c r="D1820" i="15"/>
  <c r="C1820" i="15"/>
  <c r="G1819" i="15"/>
  <c r="D1819" i="15"/>
  <c r="C1819" i="15"/>
  <c r="G1818" i="15"/>
  <c r="D1818" i="15"/>
  <c r="C1818" i="15"/>
  <c r="G1817" i="15"/>
  <c r="D1817" i="15"/>
  <c r="C1817" i="15"/>
  <c r="G1816" i="15"/>
  <c r="D1816" i="15"/>
  <c r="C1816" i="15"/>
  <c r="G1815" i="15"/>
  <c r="D1815" i="15"/>
  <c r="C1815" i="15"/>
  <c r="G1814" i="15"/>
  <c r="D1814" i="15"/>
  <c r="C1814" i="15"/>
  <c r="G1813" i="15"/>
  <c r="D1813" i="15"/>
  <c r="C1813" i="15"/>
  <c r="G1812" i="15"/>
  <c r="D1812" i="15"/>
  <c r="C1812" i="15"/>
  <c r="G1811" i="15"/>
  <c r="D1811" i="15"/>
  <c r="C1811" i="15"/>
  <c r="G1810" i="15"/>
  <c r="D1810" i="15"/>
  <c r="C1810" i="15"/>
  <c r="G1809" i="15"/>
  <c r="D1809" i="15"/>
  <c r="C1809" i="15"/>
  <c r="G1808" i="15"/>
  <c r="D1808" i="15"/>
  <c r="C1808" i="15"/>
  <c r="G1807" i="15"/>
  <c r="D1807" i="15"/>
  <c r="C1807" i="15"/>
  <c r="G1806" i="15"/>
  <c r="D1806" i="15"/>
  <c r="C1806" i="15"/>
  <c r="G1805" i="15"/>
  <c r="D1805" i="15"/>
  <c r="C1805" i="15"/>
  <c r="G1804" i="15"/>
  <c r="D1804" i="15"/>
  <c r="C1804" i="15"/>
  <c r="G1803" i="15"/>
  <c r="D1803" i="15"/>
  <c r="C1803" i="15"/>
  <c r="G1802" i="15"/>
  <c r="D1802" i="15"/>
  <c r="C1802" i="15"/>
  <c r="G1801" i="15"/>
  <c r="D1801" i="15"/>
  <c r="C1801" i="15"/>
  <c r="G1800" i="15"/>
  <c r="D1800" i="15"/>
  <c r="C1800" i="15"/>
  <c r="G1799" i="15"/>
  <c r="D1799" i="15"/>
  <c r="C1799" i="15"/>
  <c r="G1798" i="15"/>
  <c r="D1798" i="15"/>
  <c r="C1798" i="15"/>
  <c r="G1797" i="15"/>
  <c r="D1797" i="15"/>
  <c r="C1797" i="15"/>
  <c r="G1796" i="15"/>
  <c r="D1796" i="15"/>
  <c r="C1796" i="15"/>
  <c r="G1795" i="15"/>
  <c r="D1795" i="15"/>
  <c r="C1795" i="15"/>
  <c r="G1794" i="15"/>
  <c r="D1794" i="15"/>
  <c r="C1794" i="15"/>
  <c r="G1793" i="15"/>
  <c r="D1793" i="15"/>
  <c r="C1793" i="15"/>
  <c r="G1792" i="15"/>
  <c r="D1792" i="15"/>
  <c r="C1792" i="15"/>
  <c r="G1791" i="15"/>
  <c r="D1791" i="15"/>
  <c r="C1791" i="15"/>
  <c r="G1790" i="15"/>
  <c r="D1790" i="15"/>
  <c r="C1790" i="15"/>
  <c r="G1789" i="15"/>
  <c r="D1789" i="15"/>
  <c r="C1789" i="15"/>
  <c r="G1788" i="15"/>
  <c r="D1788" i="15"/>
  <c r="C1788" i="15"/>
  <c r="G1787" i="15"/>
  <c r="D1787" i="15"/>
  <c r="C1787" i="15"/>
  <c r="G1786" i="15"/>
  <c r="D1786" i="15"/>
  <c r="C1786" i="15"/>
  <c r="G1785" i="15"/>
  <c r="D1785" i="15"/>
  <c r="C1785" i="15"/>
  <c r="G1784" i="15"/>
  <c r="D1784" i="15"/>
  <c r="C1784" i="15"/>
  <c r="G1783" i="15"/>
  <c r="D1783" i="15"/>
  <c r="C1783" i="15"/>
  <c r="G1782" i="15"/>
  <c r="D1782" i="15"/>
  <c r="C1782" i="15"/>
  <c r="G1781" i="15"/>
  <c r="D1781" i="15"/>
  <c r="C1781" i="15"/>
  <c r="G1780" i="15"/>
  <c r="D1780" i="15"/>
  <c r="C1780" i="15"/>
  <c r="G1779" i="15"/>
  <c r="D1779" i="15"/>
  <c r="C1779" i="15"/>
  <c r="G1778" i="15"/>
  <c r="D1778" i="15"/>
  <c r="C1778" i="15"/>
  <c r="G1777" i="15"/>
  <c r="D1777" i="15"/>
  <c r="C1777" i="15"/>
  <c r="G1776" i="15"/>
  <c r="D1776" i="15"/>
  <c r="C1776" i="15"/>
  <c r="G1775" i="15"/>
  <c r="D1775" i="15"/>
  <c r="C1775" i="15"/>
  <c r="G1774" i="15"/>
  <c r="D1774" i="15"/>
  <c r="C1774" i="15"/>
  <c r="G1773" i="15"/>
  <c r="D1773" i="15"/>
  <c r="C1773" i="15"/>
  <c r="G1772" i="15"/>
  <c r="D1772" i="15"/>
  <c r="C1772" i="15"/>
  <c r="G1771" i="15"/>
  <c r="D1771" i="15"/>
  <c r="C1771" i="15"/>
  <c r="G1770" i="15"/>
  <c r="D1770" i="15"/>
  <c r="C1770" i="15"/>
  <c r="G1769" i="15"/>
  <c r="D1769" i="15"/>
  <c r="C1769" i="15"/>
  <c r="G1768" i="15"/>
  <c r="D1768" i="15"/>
  <c r="C1768" i="15"/>
  <c r="G1767" i="15"/>
  <c r="D1767" i="15"/>
  <c r="C1767" i="15"/>
  <c r="G1766" i="15"/>
  <c r="D1766" i="15"/>
  <c r="C1766" i="15"/>
  <c r="G1765" i="15"/>
  <c r="D1765" i="15"/>
  <c r="C1765" i="15"/>
  <c r="G1764" i="15"/>
  <c r="D1764" i="15"/>
  <c r="C1764" i="15"/>
  <c r="G1763" i="15"/>
  <c r="D1763" i="15"/>
  <c r="C1763" i="15"/>
  <c r="G1762" i="15"/>
  <c r="D1762" i="15"/>
  <c r="C1762" i="15"/>
  <c r="G1761" i="15"/>
  <c r="D1761" i="15"/>
  <c r="C1761" i="15"/>
  <c r="G1760" i="15"/>
  <c r="D1760" i="15"/>
  <c r="C1760" i="15"/>
  <c r="G1759" i="15"/>
  <c r="D1759" i="15"/>
  <c r="C1759" i="15"/>
  <c r="G1758" i="15"/>
  <c r="D1758" i="15"/>
  <c r="C1758" i="15"/>
  <c r="G1757" i="15"/>
  <c r="D1757" i="15"/>
  <c r="C1757" i="15"/>
  <c r="G1756" i="15"/>
  <c r="D1756" i="15"/>
  <c r="C1756" i="15"/>
  <c r="G1755" i="15"/>
  <c r="D1755" i="15"/>
  <c r="C1755" i="15"/>
  <c r="G1754" i="15"/>
  <c r="D1754" i="15"/>
  <c r="C1754" i="15"/>
  <c r="G1753" i="15"/>
  <c r="D1753" i="15"/>
  <c r="C1753" i="15"/>
  <c r="G1752" i="15"/>
  <c r="D1752" i="15"/>
  <c r="C1752" i="15"/>
  <c r="G1751" i="15"/>
  <c r="D1751" i="15"/>
  <c r="C1751" i="15"/>
  <c r="G1750" i="15"/>
  <c r="D1750" i="15"/>
  <c r="C1750" i="15"/>
  <c r="G1749" i="15"/>
  <c r="D1749" i="15"/>
  <c r="C1749" i="15"/>
  <c r="G1748" i="15"/>
  <c r="D1748" i="15"/>
  <c r="C1748" i="15"/>
  <c r="G1747" i="15"/>
  <c r="D1747" i="15"/>
  <c r="C1747" i="15"/>
  <c r="G1746" i="15"/>
  <c r="D1746" i="15"/>
  <c r="C1746" i="15"/>
  <c r="G1745" i="15"/>
  <c r="D1745" i="15"/>
  <c r="C1745" i="15"/>
  <c r="G1744" i="15"/>
  <c r="D1744" i="15"/>
  <c r="C1744" i="15"/>
  <c r="G1743" i="15"/>
  <c r="D1743" i="15"/>
  <c r="C1743" i="15"/>
  <c r="G1742" i="15"/>
  <c r="D1742" i="15"/>
  <c r="C1742" i="15"/>
  <c r="G1741" i="15"/>
  <c r="D1741" i="15"/>
  <c r="C1741" i="15"/>
  <c r="G1740" i="15"/>
  <c r="D1740" i="15"/>
  <c r="C1740" i="15"/>
  <c r="G1739" i="15"/>
  <c r="D1739" i="15"/>
  <c r="C1739" i="15"/>
  <c r="G1738" i="15"/>
  <c r="D1738" i="15"/>
  <c r="C1738" i="15"/>
  <c r="G1737" i="15"/>
  <c r="D1737" i="15"/>
  <c r="C1737" i="15"/>
  <c r="G1736" i="15"/>
  <c r="D1736" i="15"/>
  <c r="C1736" i="15"/>
  <c r="G1735" i="15"/>
  <c r="D1735" i="15"/>
  <c r="C1735" i="15"/>
  <c r="G1734" i="15"/>
  <c r="D1734" i="15"/>
  <c r="C1734" i="15"/>
  <c r="G1733" i="15"/>
  <c r="D1733" i="15"/>
  <c r="C1733" i="15"/>
  <c r="G1732" i="15"/>
  <c r="D1732" i="15"/>
  <c r="C1732" i="15"/>
  <c r="G1731" i="15"/>
  <c r="D1731" i="15"/>
  <c r="C1731" i="15"/>
  <c r="G1730" i="15"/>
  <c r="D1730" i="15"/>
  <c r="C1730" i="15"/>
  <c r="G1729" i="15"/>
  <c r="D1729" i="15"/>
  <c r="C1729" i="15"/>
  <c r="G1728" i="15"/>
  <c r="D1728" i="15"/>
  <c r="C1728" i="15"/>
  <c r="G1727" i="15"/>
  <c r="D1727" i="15"/>
  <c r="C1727" i="15"/>
  <c r="G1726" i="15"/>
  <c r="D1726" i="15"/>
  <c r="C1726" i="15"/>
  <c r="G1725" i="15"/>
  <c r="D1725" i="15"/>
  <c r="C1725" i="15"/>
  <c r="G1724" i="15"/>
  <c r="D1724" i="15"/>
  <c r="C1724" i="15"/>
  <c r="G1723" i="15"/>
  <c r="D1723" i="15"/>
  <c r="C1723" i="15"/>
  <c r="G1722" i="15"/>
  <c r="D1722" i="15"/>
  <c r="C1722" i="15"/>
  <c r="G1721" i="15"/>
  <c r="D1721" i="15"/>
  <c r="C1721" i="15"/>
  <c r="G1720" i="15"/>
  <c r="D1720" i="15"/>
  <c r="C1720" i="15"/>
  <c r="G1719" i="15"/>
  <c r="D1719" i="15"/>
  <c r="C1719" i="15"/>
  <c r="G1718" i="15"/>
  <c r="D1718" i="15"/>
  <c r="C1718" i="15"/>
  <c r="G1717" i="15"/>
  <c r="D1717" i="15"/>
  <c r="C1717" i="15"/>
  <c r="G1716" i="15"/>
  <c r="D1716" i="15"/>
  <c r="C1716" i="15"/>
  <c r="G1715" i="15"/>
  <c r="D1715" i="15"/>
  <c r="C1715" i="15"/>
  <c r="G1714" i="15"/>
  <c r="D1714" i="15"/>
  <c r="C1714" i="15"/>
  <c r="G1713" i="15"/>
  <c r="D1713" i="15"/>
  <c r="C1713" i="15"/>
  <c r="G1712" i="15"/>
  <c r="D1712" i="15"/>
  <c r="C1712" i="15"/>
  <c r="G1711" i="15"/>
  <c r="D1711" i="15"/>
  <c r="C1711" i="15"/>
  <c r="G1710" i="15"/>
  <c r="D1710" i="15"/>
  <c r="C1710" i="15"/>
  <c r="G1709" i="15"/>
  <c r="D1709" i="15"/>
  <c r="C1709" i="15"/>
  <c r="G1708" i="15"/>
  <c r="D1708" i="15"/>
  <c r="C1708" i="15"/>
  <c r="G1707" i="15"/>
  <c r="D1707" i="15"/>
  <c r="C1707" i="15"/>
  <c r="G1706" i="15"/>
  <c r="D1706" i="15"/>
  <c r="C1706" i="15"/>
  <c r="G1705" i="15"/>
  <c r="D1705" i="15"/>
  <c r="C1705" i="15"/>
  <c r="G1704" i="15"/>
  <c r="D1704" i="15"/>
  <c r="C1704" i="15"/>
  <c r="G1703" i="15"/>
  <c r="D1703" i="15"/>
  <c r="C1703" i="15"/>
  <c r="G1702" i="15"/>
  <c r="D1702" i="15"/>
  <c r="C1702" i="15"/>
  <c r="G1701" i="15"/>
  <c r="D1701" i="15"/>
  <c r="C1701" i="15"/>
  <c r="G1700" i="15"/>
  <c r="D1700" i="15"/>
  <c r="C1700" i="15"/>
  <c r="G1699" i="15"/>
  <c r="D1699" i="15"/>
  <c r="C1699" i="15"/>
  <c r="G1698" i="15"/>
  <c r="D1698" i="15"/>
  <c r="C1698" i="15"/>
  <c r="G1697" i="15"/>
  <c r="D1697" i="15"/>
  <c r="C1697" i="15"/>
  <c r="G1696" i="15"/>
  <c r="D1696" i="15"/>
  <c r="C1696" i="15"/>
  <c r="G1695" i="15"/>
  <c r="D1695" i="15"/>
  <c r="C1695" i="15"/>
  <c r="G1694" i="15"/>
  <c r="D1694" i="15"/>
  <c r="C1694" i="15"/>
  <c r="G1693" i="15"/>
  <c r="D1693" i="15"/>
  <c r="C1693" i="15"/>
  <c r="G1692" i="15"/>
  <c r="D1692" i="15"/>
  <c r="C1692" i="15"/>
  <c r="G1691" i="15"/>
  <c r="D1691" i="15"/>
  <c r="C1691" i="15"/>
  <c r="G1690" i="15"/>
  <c r="D1690" i="15"/>
  <c r="C1690" i="15"/>
  <c r="G1689" i="15"/>
  <c r="D1689" i="15"/>
  <c r="C1689" i="15"/>
  <c r="G1688" i="15"/>
  <c r="D1688" i="15"/>
  <c r="C1688" i="15"/>
  <c r="G1687" i="15"/>
  <c r="D1687" i="15"/>
  <c r="C1687" i="15"/>
  <c r="G1686" i="15"/>
  <c r="D1686" i="15"/>
  <c r="C1686" i="15"/>
  <c r="G1685" i="15"/>
  <c r="D1685" i="15"/>
  <c r="C1685" i="15"/>
  <c r="G1684" i="15"/>
  <c r="D1684" i="15"/>
  <c r="C1684" i="15"/>
  <c r="G1683" i="15"/>
  <c r="D1683" i="15"/>
  <c r="C1683" i="15"/>
  <c r="G1682" i="15"/>
  <c r="D1682" i="15"/>
  <c r="C1682" i="15"/>
  <c r="G1681" i="15"/>
  <c r="D1681" i="15"/>
  <c r="C1681" i="15"/>
  <c r="G1680" i="15"/>
  <c r="D1680" i="15"/>
  <c r="C1680" i="15"/>
  <c r="G1679" i="15"/>
  <c r="D1679" i="15"/>
  <c r="C1679" i="15"/>
  <c r="G1678" i="15"/>
  <c r="D1678" i="15"/>
  <c r="C1678" i="15"/>
  <c r="G1677" i="15"/>
  <c r="D1677" i="15"/>
  <c r="C1677" i="15"/>
  <c r="G1676" i="15"/>
  <c r="D1676" i="15"/>
  <c r="C1676" i="15"/>
  <c r="G1675" i="15"/>
  <c r="D1675" i="15"/>
  <c r="C1675" i="15"/>
  <c r="G1674" i="15"/>
  <c r="D1674" i="15"/>
  <c r="C1674" i="15"/>
  <c r="G1673" i="15"/>
  <c r="D1673" i="15"/>
  <c r="C1673" i="15"/>
  <c r="G1672" i="15"/>
  <c r="D1672" i="15"/>
  <c r="C1672" i="15"/>
  <c r="G1671" i="15"/>
  <c r="D1671" i="15"/>
  <c r="C1671" i="15"/>
  <c r="G1670" i="15"/>
  <c r="D1670" i="15"/>
  <c r="C1670" i="15"/>
  <c r="G1669" i="15"/>
  <c r="D1669" i="15"/>
  <c r="C1669" i="15"/>
  <c r="G1668" i="15"/>
  <c r="D1668" i="15"/>
  <c r="C1668" i="15"/>
  <c r="G1667" i="15"/>
  <c r="D1667" i="15"/>
  <c r="C1667" i="15"/>
  <c r="G1666" i="15"/>
  <c r="D1666" i="15"/>
  <c r="C1666" i="15"/>
  <c r="G1665" i="15"/>
  <c r="D1665" i="15"/>
  <c r="C1665" i="15"/>
  <c r="G1664" i="15"/>
  <c r="D1664" i="15"/>
  <c r="C1664" i="15"/>
  <c r="G1663" i="15"/>
  <c r="D1663" i="15"/>
  <c r="C1663" i="15"/>
  <c r="G1662" i="15"/>
  <c r="D1662" i="15"/>
  <c r="C1662" i="15"/>
  <c r="G1661" i="15"/>
  <c r="D1661" i="15"/>
  <c r="C1661" i="15"/>
  <c r="G1660" i="15"/>
  <c r="D1660" i="15"/>
  <c r="C1660" i="15"/>
  <c r="G1659" i="15"/>
  <c r="D1659" i="15"/>
  <c r="C1659" i="15"/>
  <c r="G1658" i="15"/>
  <c r="D1658" i="15"/>
  <c r="C1658" i="15"/>
  <c r="G1657" i="15"/>
  <c r="D1657" i="15"/>
  <c r="C1657" i="15"/>
  <c r="G1656" i="15"/>
  <c r="D1656" i="15"/>
  <c r="C1656" i="15"/>
  <c r="G1655" i="15"/>
  <c r="D1655" i="15"/>
  <c r="C1655" i="15"/>
  <c r="G1654" i="15"/>
  <c r="D1654" i="15"/>
  <c r="C1654" i="15"/>
  <c r="G1653" i="15"/>
  <c r="D1653" i="15"/>
  <c r="C1653" i="15"/>
  <c r="G1652" i="15"/>
  <c r="D1652" i="15"/>
  <c r="C1652" i="15"/>
  <c r="G1651" i="15"/>
  <c r="D1651" i="15"/>
  <c r="C1651" i="15"/>
  <c r="G1650" i="15"/>
  <c r="D1650" i="15"/>
  <c r="C1650" i="15"/>
  <c r="G1649" i="15"/>
  <c r="D1649" i="15"/>
  <c r="C1649" i="15"/>
  <c r="G1648" i="15"/>
  <c r="D1648" i="15"/>
  <c r="C1648" i="15"/>
  <c r="G1647" i="15"/>
  <c r="D1647" i="15"/>
  <c r="C1647" i="15"/>
  <c r="G1646" i="15"/>
  <c r="D1646" i="15"/>
  <c r="C1646" i="15"/>
  <c r="G1645" i="15"/>
  <c r="D1645" i="15"/>
  <c r="C1645" i="15"/>
  <c r="G1644" i="15"/>
  <c r="D1644" i="15"/>
  <c r="C1644" i="15"/>
  <c r="G1643" i="15"/>
  <c r="D1643" i="15"/>
  <c r="C1643" i="15"/>
  <c r="G1642" i="15"/>
  <c r="D1642" i="15"/>
  <c r="C1642" i="15"/>
  <c r="G1641" i="15"/>
  <c r="D1641" i="15"/>
  <c r="C1641" i="15"/>
  <c r="G1640" i="15"/>
  <c r="D1640" i="15"/>
  <c r="C1640" i="15"/>
  <c r="G1639" i="15"/>
  <c r="D1639" i="15"/>
  <c r="C1639" i="15"/>
  <c r="G1638" i="15"/>
  <c r="D1638" i="15"/>
  <c r="C1638" i="15"/>
  <c r="G1637" i="15"/>
  <c r="D1637" i="15"/>
  <c r="C1637" i="15"/>
  <c r="G1636" i="15"/>
  <c r="D1636" i="15"/>
  <c r="C1636" i="15"/>
  <c r="G1635" i="15"/>
  <c r="D1635" i="15"/>
  <c r="C1635" i="15"/>
  <c r="G1634" i="15"/>
  <c r="D1634" i="15"/>
  <c r="C1634" i="15"/>
  <c r="G1633" i="15"/>
  <c r="D1633" i="15"/>
  <c r="C1633" i="15"/>
  <c r="G1632" i="15"/>
  <c r="D1632" i="15"/>
  <c r="C1632" i="15"/>
  <c r="G1631" i="15"/>
  <c r="D1631" i="15"/>
  <c r="C1631" i="15"/>
  <c r="G1630" i="15"/>
  <c r="D1630" i="15"/>
  <c r="C1630" i="15"/>
  <c r="G1629" i="15"/>
  <c r="D1629" i="15"/>
  <c r="C1629" i="15"/>
  <c r="G1628" i="15"/>
  <c r="D1628" i="15"/>
  <c r="C1628" i="15"/>
  <c r="G1627" i="15"/>
  <c r="D1627" i="15"/>
  <c r="C1627" i="15"/>
  <c r="G1626" i="15"/>
  <c r="D1626" i="15"/>
  <c r="C1626" i="15"/>
  <c r="G1625" i="15"/>
  <c r="D1625" i="15"/>
  <c r="C1625" i="15"/>
  <c r="G1624" i="15"/>
  <c r="D1624" i="15"/>
  <c r="C1624" i="15"/>
  <c r="G1623" i="15"/>
  <c r="D1623" i="15"/>
  <c r="C1623" i="15"/>
  <c r="G1622" i="15"/>
  <c r="D1622" i="15"/>
  <c r="C1622" i="15"/>
  <c r="G1621" i="15"/>
  <c r="D1621" i="15"/>
  <c r="C1621" i="15"/>
  <c r="G1620" i="15"/>
  <c r="D1620" i="15"/>
  <c r="C1620" i="15"/>
  <c r="G1619" i="15"/>
  <c r="D1619" i="15"/>
  <c r="C1619" i="15"/>
  <c r="G1618" i="15"/>
  <c r="D1618" i="15"/>
  <c r="C1618" i="15"/>
  <c r="G1617" i="15"/>
  <c r="D1617" i="15"/>
  <c r="C1617" i="15"/>
  <c r="G1616" i="15"/>
  <c r="D1616" i="15"/>
  <c r="C1616" i="15"/>
  <c r="G1615" i="15"/>
  <c r="D1615" i="15"/>
  <c r="C1615" i="15"/>
  <c r="G1614" i="15"/>
  <c r="D1614" i="15"/>
  <c r="C1614" i="15"/>
  <c r="G1613" i="15"/>
  <c r="D1613" i="15"/>
  <c r="C1613" i="15"/>
  <c r="G1612" i="15"/>
  <c r="D1612" i="15"/>
  <c r="C1612" i="15"/>
  <c r="G1611" i="15"/>
  <c r="D1611" i="15"/>
  <c r="C1611" i="15"/>
  <c r="G1610" i="15"/>
  <c r="D1610" i="15"/>
  <c r="C1610" i="15"/>
  <c r="G1609" i="15"/>
  <c r="D1609" i="15"/>
  <c r="C1609" i="15"/>
  <c r="G1608" i="15"/>
  <c r="D1608" i="15"/>
  <c r="C1608" i="15"/>
  <c r="G1607" i="15"/>
  <c r="D1607" i="15"/>
  <c r="C1607" i="15"/>
  <c r="G1606" i="15"/>
  <c r="D1606" i="15"/>
  <c r="C1606" i="15"/>
  <c r="G1605" i="15"/>
  <c r="D1605" i="15"/>
  <c r="C1605" i="15"/>
  <c r="G1604" i="15"/>
  <c r="D1604" i="15"/>
  <c r="C1604" i="15"/>
  <c r="G1603" i="15"/>
  <c r="D1603" i="15"/>
  <c r="C1603" i="15"/>
  <c r="G1602" i="15"/>
  <c r="D1602" i="15"/>
  <c r="C1602" i="15"/>
  <c r="G1601" i="15"/>
  <c r="D1601" i="15"/>
  <c r="C1601" i="15"/>
  <c r="G1600" i="15"/>
  <c r="D1600" i="15"/>
  <c r="C1600" i="15"/>
  <c r="G1599" i="15"/>
  <c r="D1599" i="15"/>
  <c r="C1599" i="15"/>
  <c r="G1598" i="15"/>
  <c r="D1598" i="15"/>
  <c r="C1598" i="15"/>
  <c r="G1597" i="15"/>
  <c r="D1597" i="15"/>
  <c r="C1597" i="15"/>
  <c r="G1596" i="15"/>
  <c r="D1596" i="15"/>
  <c r="C1596" i="15"/>
  <c r="G1595" i="15"/>
  <c r="D1595" i="15"/>
  <c r="C1595" i="15"/>
  <c r="G1594" i="15"/>
  <c r="D1594" i="15"/>
  <c r="C1594" i="15"/>
  <c r="G1593" i="15"/>
  <c r="D1593" i="15"/>
  <c r="C1593" i="15"/>
  <c r="G1592" i="15"/>
  <c r="D1592" i="15"/>
  <c r="C1592" i="15"/>
  <c r="G1591" i="15"/>
  <c r="D1591" i="15"/>
  <c r="C1591" i="15"/>
  <c r="G1590" i="15"/>
  <c r="D1590" i="15"/>
  <c r="C1590" i="15"/>
  <c r="G1589" i="15"/>
  <c r="D1589" i="15"/>
  <c r="C1589" i="15"/>
  <c r="G1588" i="15"/>
  <c r="D1588" i="15"/>
  <c r="C1588" i="15"/>
  <c r="G1587" i="15"/>
  <c r="D1587" i="15"/>
  <c r="C1587" i="15"/>
  <c r="G1586" i="15"/>
  <c r="D1586" i="15"/>
  <c r="C1586" i="15"/>
  <c r="G1585" i="15"/>
  <c r="D1585" i="15"/>
  <c r="C1585" i="15"/>
  <c r="G1584" i="15"/>
  <c r="D1584" i="15"/>
  <c r="C1584" i="15"/>
  <c r="G1583" i="15"/>
  <c r="D1583" i="15"/>
  <c r="C1583" i="15"/>
  <c r="G1582" i="15"/>
  <c r="D1582" i="15"/>
  <c r="C1582" i="15"/>
  <c r="G1581" i="15"/>
  <c r="D1581" i="15"/>
  <c r="C1581" i="15"/>
  <c r="G1580" i="15"/>
  <c r="D1580" i="15"/>
  <c r="C1580" i="15"/>
  <c r="G1579" i="15"/>
  <c r="D1579" i="15"/>
  <c r="C1579" i="15"/>
  <c r="G1578" i="15"/>
  <c r="D1578" i="15"/>
  <c r="C1578" i="15"/>
  <c r="G1577" i="15"/>
  <c r="D1577" i="15"/>
  <c r="C1577" i="15"/>
  <c r="G1576" i="15"/>
  <c r="D1576" i="15"/>
  <c r="C1576" i="15"/>
  <c r="G1575" i="15"/>
  <c r="D1575" i="15"/>
  <c r="C1575" i="15"/>
  <c r="G1574" i="15"/>
  <c r="D1574" i="15"/>
  <c r="C1574" i="15"/>
  <c r="G1573" i="15"/>
  <c r="D1573" i="15"/>
  <c r="C1573" i="15"/>
  <c r="G1572" i="15"/>
  <c r="D1572" i="15"/>
  <c r="C1572" i="15"/>
  <c r="G1571" i="15"/>
  <c r="D1571" i="15"/>
  <c r="C1571" i="15"/>
  <c r="G1570" i="15"/>
  <c r="D1570" i="15"/>
  <c r="C1570" i="15"/>
  <c r="G1569" i="15"/>
  <c r="D1569" i="15"/>
  <c r="C1569" i="15"/>
  <c r="G1568" i="15"/>
  <c r="D1568" i="15"/>
  <c r="C1568" i="15"/>
  <c r="G1567" i="15"/>
  <c r="D1567" i="15"/>
  <c r="C1567" i="15"/>
  <c r="G1566" i="15"/>
  <c r="D1566" i="15"/>
  <c r="C1566" i="15"/>
  <c r="G1565" i="15"/>
  <c r="D1565" i="15"/>
  <c r="C1565" i="15"/>
  <c r="G1564" i="15"/>
  <c r="D1564" i="15"/>
  <c r="C1564" i="15"/>
  <c r="G1563" i="15"/>
  <c r="D1563" i="15"/>
  <c r="C1563" i="15"/>
  <c r="G1562" i="15"/>
  <c r="D1562" i="15"/>
  <c r="C1562" i="15"/>
  <c r="G1561" i="15"/>
  <c r="D1561" i="15"/>
  <c r="C1561" i="15"/>
  <c r="G1560" i="15"/>
  <c r="D1560" i="15"/>
  <c r="C1560" i="15"/>
  <c r="G1559" i="15"/>
  <c r="D1559" i="15"/>
  <c r="C1559" i="15"/>
  <c r="G1558" i="15"/>
  <c r="D1558" i="15"/>
  <c r="C1558" i="15"/>
  <c r="G1557" i="15"/>
  <c r="D1557" i="15"/>
  <c r="C1557" i="15"/>
  <c r="G1556" i="15"/>
  <c r="D1556" i="15"/>
  <c r="C1556" i="15"/>
  <c r="G1555" i="15"/>
  <c r="D1555" i="15"/>
  <c r="C1555" i="15"/>
  <c r="G1554" i="15"/>
  <c r="D1554" i="15"/>
  <c r="C1554" i="15"/>
  <c r="G1553" i="15"/>
  <c r="D1553" i="15"/>
  <c r="C1553" i="15"/>
  <c r="G1552" i="15"/>
  <c r="D1552" i="15"/>
  <c r="C1552" i="15"/>
  <c r="G1551" i="15"/>
  <c r="D1551" i="15"/>
  <c r="C1551" i="15"/>
  <c r="G1550" i="15"/>
  <c r="D1550" i="15"/>
  <c r="C1550" i="15"/>
  <c r="G1549" i="15"/>
  <c r="D1549" i="15"/>
  <c r="C1549" i="15"/>
  <c r="G1548" i="15"/>
  <c r="D1548" i="15"/>
  <c r="C1548" i="15"/>
  <c r="G1547" i="15"/>
  <c r="D1547" i="15"/>
  <c r="C1547" i="15"/>
  <c r="G1546" i="15"/>
  <c r="D1546" i="15"/>
  <c r="C1546" i="15"/>
  <c r="G1545" i="15"/>
  <c r="D1545" i="15"/>
  <c r="C1545" i="15"/>
  <c r="G1544" i="15"/>
  <c r="D1544" i="15"/>
  <c r="C1544" i="15"/>
  <c r="G1543" i="15"/>
  <c r="D1543" i="15"/>
  <c r="C1543" i="15"/>
  <c r="G1542" i="15"/>
  <c r="D1542" i="15"/>
  <c r="C1542" i="15"/>
  <c r="G1541" i="15"/>
  <c r="D1541" i="15"/>
  <c r="C1541" i="15"/>
  <c r="G1540" i="15"/>
  <c r="D1540" i="15"/>
  <c r="C1540" i="15"/>
  <c r="G1539" i="15"/>
  <c r="D1539" i="15"/>
  <c r="C1539" i="15"/>
  <c r="G1538" i="15"/>
  <c r="D1538" i="15"/>
  <c r="C1538" i="15"/>
  <c r="G1537" i="15"/>
  <c r="D1537" i="15"/>
  <c r="C1537" i="15"/>
  <c r="G1536" i="15"/>
  <c r="D1536" i="15"/>
  <c r="C1536" i="15"/>
  <c r="G1535" i="15"/>
  <c r="D1535" i="15"/>
  <c r="C1535" i="15"/>
  <c r="G1534" i="15"/>
  <c r="D1534" i="15"/>
  <c r="C1534" i="15"/>
  <c r="G1533" i="15"/>
  <c r="D1533" i="15"/>
  <c r="C1533" i="15"/>
  <c r="G1532" i="15"/>
  <c r="D1532" i="15"/>
  <c r="C1532" i="15"/>
  <c r="G1531" i="15"/>
  <c r="D1531" i="15"/>
  <c r="C1531" i="15"/>
  <c r="G1530" i="15"/>
  <c r="D1530" i="15"/>
  <c r="C1530" i="15"/>
  <c r="G1529" i="15"/>
  <c r="D1529" i="15"/>
  <c r="C1529" i="15"/>
  <c r="G1528" i="15"/>
  <c r="D1528" i="15"/>
  <c r="C1528" i="15"/>
  <c r="G1527" i="15"/>
  <c r="D1527" i="15"/>
  <c r="C1527" i="15"/>
  <c r="G1526" i="15"/>
  <c r="D1526" i="15"/>
  <c r="C1526" i="15"/>
  <c r="G1525" i="15"/>
  <c r="D1525" i="15"/>
  <c r="C1525" i="15"/>
  <c r="G1524" i="15"/>
  <c r="D1524" i="15"/>
  <c r="C1524" i="15"/>
  <c r="G1523" i="15"/>
  <c r="D1523" i="15"/>
  <c r="C1523" i="15"/>
  <c r="G1522" i="15"/>
  <c r="D1522" i="15"/>
  <c r="C1522" i="15"/>
  <c r="G1521" i="15"/>
  <c r="D1521" i="15"/>
  <c r="C1521" i="15"/>
  <c r="G1520" i="15"/>
  <c r="D1520" i="15"/>
  <c r="C1520" i="15"/>
  <c r="G1519" i="15"/>
  <c r="D1519" i="15"/>
  <c r="C1519" i="15"/>
  <c r="G1518" i="15"/>
  <c r="D1518" i="15"/>
  <c r="C1518" i="15"/>
  <c r="G1517" i="15"/>
  <c r="D1517" i="15"/>
  <c r="C1517" i="15"/>
  <c r="G1516" i="15"/>
  <c r="D1516" i="15"/>
  <c r="C1516" i="15"/>
  <c r="G1515" i="15"/>
  <c r="D1515" i="15"/>
  <c r="C1515" i="15"/>
  <c r="G1514" i="15"/>
  <c r="D1514" i="15"/>
  <c r="C1514" i="15"/>
  <c r="G1513" i="15"/>
  <c r="D1513" i="15"/>
  <c r="C1513" i="15"/>
  <c r="G1512" i="15"/>
  <c r="D1512" i="15"/>
  <c r="C1512" i="15"/>
  <c r="G1511" i="15"/>
  <c r="D1511" i="15"/>
  <c r="C1511" i="15"/>
  <c r="G1510" i="15"/>
  <c r="D1510" i="15"/>
  <c r="C1510" i="15"/>
  <c r="G1509" i="15"/>
  <c r="D1509" i="15"/>
  <c r="C1509" i="15"/>
  <c r="G1508" i="15"/>
  <c r="D1508" i="15"/>
  <c r="C1508" i="15"/>
  <c r="G1507" i="15"/>
  <c r="D1507" i="15"/>
  <c r="C1507" i="15"/>
  <c r="G1506" i="15"/>
  <c r="D1506" i="15"/>
  <c r="C1506" i="15"/>
  <c r="G1505" i="15"/>
  <c r="D1505" i="15"/>
  <c r="C1505" i="15"/>
  <c r="G1504" i="15"/>
  <c r="D1504" i="15"/>
  <c r="C1504" i="15"/>
  <c r="G1503" i="15"/>
  <c r="D1503" i="15"/>
  <c r="C1503" i="15"/>
  <c r="G1502" i="15"/>
  <c r="D1502" i="15"/>
  <c r="C1502" i="15"/>
  <c r="G1501" i="15"/>
  <c r="D1501" i="15"/>
  <c r="C1501" i="15"/>
  <c r="G1500" i="15"/>
  <c r="D1500" i="15"/>
  <c r="C1500" i="15"/>
  <c r="G1499" i="15"/>
  <c r="D1499" i="15"/>
  <c r="C1499" i="15"/>
  <c r="G1498" i="15"/>
  <c r="D1498" i="15"/>
  <c r="C1498" i="15"/>
  <c r="G1497" i="15"/>
  <c r="D1497" i="15"/>
  <c r="C1497" i="15"/>
  <c r="G1496" i="15"/>
  <c r="D1496" i="15"/>
  <c r="C1496" i="15"/>
  <c r="G1495" i="15"/>
  <c r="D1495" i="15"/>
  <c r="C1495" i="15"/>
  <c r="G1494" i="15"/>
  <c r="D1494" i="15"/>
  <c r="C1494" i="15"/>
  <c r="G1493" i="15"/>
  <c r="D1493" i="15"/>
  <c r="C1493" i="15"/>
  <c r="G1492" i="15"/>
  <c r="D1492" i="15"/>
  <c r="C1492" i="15"/>
  <c r="G1491" i="15"/>
  <c r="D1491" i="15"/>
  <c r="C1491" i="15"/>
  <c r="G1490" i="15"/>
  <c r="D1490" i="15"/>
  <c r="C1490" i="15"/>
  <c r="G1489" i="15"/>
  <c r="D1489" i="15"/>
  <c r="C1489" i="15"/>
  <c r="G1488" i="15"/>
  <c r="D1488" i="15"/>
  <c r="C1488" i="15"/>
  <c r="G1487" i="15"/>
  <c r="D1487" i="15"/>
  <c r="C1487" i="15"/>
  <c r="G1486" i="15"/>
  <c r="D1486" i="15"/>
  <c r="C1486" i="15"/>
  <c r="G1485" i="15"/>
  <c r="D1485" i="15"/>
  <c r="C1485" i="15"/>
  <c r="G1484" i="15"/>
  <c r="D1484" i="15"/>
  <c r="C1484" i="15"/>
  <c r="G1483" i="15"/>
  <c r="D1483" i="15"/>
  <c r="C1483" i="15"/>
  <c r="G1482" i="15"/>
  <c r="D1482" i="15"/>
  <c r="C1482" i="15"/>
  <c r="G1481" i="15"/>
  <c r="D1481" i="15"/>
  <c r="C1481" i="15"/>
  <c r="G1480" i="15"/>
  <c r="D1480" i="15"/>
  <c r="C1480" i="15"/>
  <c r="G1479" i="15"/>
  <c r="D1479" i="15"/>
  <c r="C1479" i="15"/>
  <c r="G1478" i="15"/>
  <c r="D1478" i="15"/>
  <c r="C1478" i="15"/>
  <c r="G1477" i="15"/>
  <c r="D1477" i="15"/>
  <c r="C1477" i="15"/>
  <c r="G1476" i="15"/>
  <c r="D1476" i="15"/>
  <c r="C1476" i="15"/>
  <c r="G1475" i="15"/>
  <c r="D1475" i="15"/>
  <c r="C1475" i="15"/>
  <c r="G1474" i="15"/>
  <c r="D1474" i="15"/>
  <c r="C1474" i="15"/>
  <c r="G1473" i="15"/>
  <c r="D1473" i="15"/>
  <c r="C1473" i="15"/>
  <c r="G1472" i="15"/>
  <c r="D1472" i="15"/>
  <c r="C1472" i="15"/>
  <c r="G1471" i="15"/>
  <c r="D1471" i="15"/>
  <c r="C1471" i="15"/>
  <c r="G1470" i="15"/>
  <c r="D1470" i="15"/>
  <c r="C1470" i="15"/>
  <c r="G1469" i="15"/>
  <c r="D1469" i="15"/>
  <c r="C1469" i="15"/>
  <c r="G1468" i="15"/>
  <c r="D1468" i="15"/>
  <c r="C1468" i="15"/>
  <c r="G1467" i="15"/>
  <c r="D1467" i="15"/>
  <c r="C1467" i="15"/>
  <c r="G1466" i="15"/>
  <c r="D1466" i="15"/>
  <c r="C1466" i="15"/>
  <c r="G1465" i="15"/>
  <c r="D1465" i="15"/>
  <c r="C1465" i="15"/>
  <c r="G1464" i="15"/>
  <c r="D1464" i="15"/>
  <c r="C1464" i="15"/>
  <c r="G1463" i="15"/>
  <c r="D1463" i="15"/>
  <c r="C1463" i="15"/>
  <c r="G1462" i="15"/>
  <c r="D1462" i="15"/>
  <c r="C1462" i="15"/>
  <c r="G1461" i="15"/>
  <c r="D1461" i="15"/>
  <c r="C1461" i="15"/>
  <c r="G1460" i="15"/>
  <c r="D1460" i="15"/>
  <c r="C1460" i="15"/>
  <c r="G1459" i="15"/>
  <c r="D1459" i="15"/>
  <c r="C1459" i="15"/>
  <c r="G1458" i="15"/>
  <c r="D1458" i="15"/>
  <c r="C1458" i="15"/>
  <c r="G1457" i="15"/>
  <c r="D1457" i="15"/>
  <c r="C1457" i="15"/>
  <c r="G1456" i="15"/>
  <c r="D1456" i="15"/>
  <c r="C1456" i="15"/>
  <c r="G1455" i="15"/>
  <c r="D1455" i="15"/>
  <c r="C1455" i="15"/>
  <c r="G1454" i="15"/>
  <c r="D1454" i="15"/>
  <c r="C1454" i="15"/>
  <c r="G1453" i="15"/>
  <c r="D1453" i="15"/>
  <c r="C1453" i="15"/>
  <c r="G1452" i="15"/>
  <c r="D1452" i="15"/>
  <c r="C1452" i="15"/>
  <c r="G1451" i="15"/>
  <c r="D1451" i="15"/>
  <c r="C1451" i="15"/>
  <c r="G1450" i="15"/>
  <c r="D1450" i="15"/>
  <c r="C1450" i="15"/>
  <c r="G1449" i="15"/>
  <c r="D1449" i="15"/>
  <c r="C1449" i="15"/>
  <c r="G1448" i="15"/>
  <c r="D1448" i="15"/>
  <c r="C1448" i="15"/>
  <c r="G1447" i="15"/>
  <c r="D1447" i="15"/>
  <c r="C1447" i="15"/>
  <c r="G1446" i="15"/>
  <c r="D1446" i="15"/>
  <c r="C1446" i="15"/>
  <c r="G1445" i="15"/>
  <c r="D1445" i="15"/>
  <c r="C1445" i="15"/>
  <c r="G1444" i="15"/>
  <c r="D1444" i="15"/>
  <c r="C1444" i="15"/>
  <c r="G1443" i="15"/>
  <c r="D1443" i="15"/>
  <c r="C1443" i="15"/>
  <c r="G1442" i="15"/>
  <c r="D1442" i="15"/>
  <c r="C1442" i="15"/>
  <c r="G1441" i="15"/>
  <c r="D1441" i="15"/>
  <c r="C1441" i="15"/>
  <c r="G1440" i="15"/>
  <c r="D1440" i="15"/>
  <c r="C1440" i="15"/>
  <c r="G1439" i="15"/>
  <c r="D1439" i="15"/>
  <c r="C1439" i="15"/>
  <c r="G1438" i="15"/>
  <c r="D1438" i="15"/>
  <c r="C1438" i="15"/>
  <c r="G1437" i="15"/>
  <c r="D1437" i="15"/>
  <c r="C1437" i="15"/>
  <c r="G1436" i="15"/>
  <c r="D1436" i="15"/>
  <c r="C1436" i="15"/>
  <c r="G1435" i="15"/>
  <c r="D1435" i="15"/>
  <c r="C1435" i="15"/>
  <c r="G1434" i="15"/>
  <c r="D1434" i="15"/>
  <c r="C1434" i="15"/>
  <c r="G1433" i="15"/>
  <c r="D1433" i="15"/>
  <c r="C1433" i="15"/>
  <c r="G1432" i="15"/>
  <c r="D1432" i="15"/>
  <c r="C1432" i="15"/>
  <c r="G1431" i="15"/>
  <c r="D1431" i="15"/>
  <c r="C1431" i="15"/>
  <c r="G1430" i="15"/>
  <c r="D1430" i="15"/>
  <c r="C1430" i="15"/>
  <c r="G1429" i="15"/>
  <c r="D1429" i="15"/>
  <c r="C1429" i="15"/>
  <c r="G1428" i="15"/>
  <c r="D1428" i="15"/>
  <c r="C1428" i="15"/>
  <c r="G1427" i="15"/>
  <c r="D1427" i="15"/>
  <c r="C1427" i="15"/>
  <c r="G1426" i="15"/>
  <c r="D1426" i="15"/>
  <c r="C1426" i="15"/>
  <c r="G1425" i="15"/>
  <c r="D1425" i="15"/>
  <c r="C1425" i="15"/>
  <c r="G1424" i="15"/>
  <c r="D1424" i="15"/>
  <c r="C1424" i="15"/>
  <c r="G1423" i="15"/>
  <c r="D1423" i="15"/>
  <c r="C1423" i="15"/>
  <c r="G1422" i="15"/>
  <c r="D1422" i="15"/>
  <c r="C1422" i="15"/>
  <c r="G1421" i="15"/>
  <c r="D1421" i="15"/>
  <c r="C1421" i="15"/>
  <c r="G1420" i="15"/>
  <c r="D1420" i="15"/>
  <c r="C1420" i="15"/>
  <c r="G1419" i="15"/>
  <c r="D1419" i="15"/>
  <c r="C1419" i="15"/>
  <c r="G1418" i="15"/>
  <c r="D1418" i="15"/>
  <c r="C1418" i="15"/>
  <c r="G1417" i="15"/>
  <c r="D1417" i="15"/>
  <c r="C1417" i="15"/>
  <c r="G1416" i="15"/>
  <c r="D1416" i="15"/>
  <c r="C1416" i="15"/>
  <c r="G1415" i="15"/>
  <c r="D1415" i="15"/>
  <c r="C1415" i="15"/>
  <c r="G1414" i="15"/>
  <c r="D1414" i="15"/>
  <c r="C1414" i="15"/>
  <c r="G1413" i="15"/>
  <c r="D1413" i="15"/>
  <c r="C1413" i="15"/>
  <c r="G1412" i="15"/>
  <c r="D1412" i="15"/>
  <c r="C1412" i="15"/>
  <c r="G1411" i="15"/>
  <c r="D1411" i="15"/>
  <c r="C1411" i="15"/>
  <c r="G1410" i="15"/>
  <c r="D1410" i="15"/>
  <c r="C1410" i="15"/>
  <c r="G1409" i="15"/>
  <c r="D1409" i="15"/>
  <c r="C1409" i="15"/>
  <c r="G1408" i="15"/>
  <c r="D1408" i="15"/>
  <c r="C1408" i="15"/>
  <c r="G1407" i="15"/>
  <c r="D1407" i="15"/>
  <c r="C1407" i="15"/>
  <c r="G1406" i="15"/>
  <c r="D1406" i="15"/>
  <c r="C1406" i="15"/>
  <c r="G1405" i="15"/>
  <c r="D1405" i="15"/>
  <c r="C1405" i="15"/>
  <c r="G1404" i="15"/>
  <c r="D1404" i="15"/>
  <c r="C1404" i="15"/>
  <c r="G1403" i="15"/>
  <c r="D1403" i="15"/>
  <c r="C1403" i="15"/>
  <c r="G1402" i="15"/>
  <c r="D1402" i="15"/>
  <c r="C1402" i="15"/>
  <c r="G1401" i="15"/>
  <c r="D1401" i="15"/>
  <c r="C1401" i="15"/>
  <c r="G1400" i="15"/>
  <c r="D1400" i="15"/>
  <c r="C1400" i="15"/>
  <c r="G1399" i="15"/>
  <c r="D1399" i="15"/>
  <c r="C1399" i="15"/>
  <c r="G1398" i="15"/>
  <c r="D1398" i="15"/>
  <c r="C1398" i="15"/>
  <c r="G1397" i="15"/>
  <c r="D1397" i="15"/>
  <c r="C1397" i="15"/>
  <c r="G1396" i="15"/>
  <c r="D1396" i="15"/>
  <c r="C1396" i="15"/>
  <c r="G1395" i="15"/>
  <c r="D1395" i="15"/>
  <c r="C1395" i="15"/>
  <c r="G1394" i="15"/>
  <c r="D1394" i="15"/>
  <c r="C1394" i="15"/>
  <c r="G1393" i="15"/>
  <c r="D1393" i="15"/>
  <c r="C1393" i="15"/>
  <c r="G1392" i="15"/>
  <c r="D1392" i="15"/>
  <c r="C1392" i="15"/>
  <c r="G1391" i="15"/>
  <c r="D1391" i="15"/>
  <c r="C1391" i="15"/>
  <c r="G1390" i="15"/>
  <c r="D1390" i="15"/>
  <c r="C1390" i="15"/>
  <c r="G1389" i="15"/>
  <c r="D1389" i="15"/>
  <c r="C1389" i="15"/>
  <c r="G1388" i="15"/>
  <c r="D1388" i="15"/>
  <c r="C1388" i="15"/>
  <c r="G1387" i="15"/>
  <c r="D1387" i="15"/>
  <c r="C1387" i="15"/>
  <c r="G1386" i="15"/>
  <c r="D1386" i="15"/>
  <c r="C1386" i="15"/>
  <c r="G1385" i="15"/>
  <c r="D1385" i="15"/>
  <c r="C1385" i="15"/>
  <c r="G1384" i="15"/>
  <c r="D1384" i="15"/>
  <c r="C1384" i="15"/>
  <c r="G1383" i="15"/>
  <c r="D1383" i="15"/>
  <c r="C1383" i="15"/>
  <c r="G1382" i="15"/>
  <c r="D1382" i="15"/>
  <c r="C1382" i="15"/>
  <c r="G1381" i="15"/>
  <c r="D1381" i="15"/>
  <c r="C1381" i="15"/>
  <c r="G1380" i="15"/>
  <c r="D1380" i="15"/>
  <c r="C1380" i="15"/>
  <c r="G1379" i="15"/>
  <c r="D1379" i="15"/>
  <c r="C1379" i="15"/>
  <c r="G1378" i="15"/>
  <c r="D1378" i="15"/>
  <c r="C1378" i="15"/>
  <c r="G1377" i="15"/>
  <c r="D1377" i="15"/>
  <c r="C1377" i="15"/>
  <c r="G1376" i="15"/>
  <c r="D1376" i="15"/>
  <c r="C1376" i="15"/>
  <c r="G1375" i="15"/>
  <c r="D1375" i="15"/>
  <c r="C1375" i="15"/>
  <c r="G1374" i="15"/>
  <c r="D1374" i="15"/>
  <c r="C1374" i="15"/>
  <c r="G1373" i="15"/>
  <c r="D1373" i="15"/>
  <c r="C1373" i="15"/>
  <c r="G1372" i="15"/>
  <c r="D1372" i="15"/>
  <c r="C1372" i="15"/>
  <c r="G1371" i="15"/>
  <c r="D1371" i="15"/>
  <c r="C1371" i="15"/>
  <c r="G1370" i="15"/>
  <c r="D1370" i="15"/>
  <c r="C1370" i="15"/>
  <c r="G1369" i="15"/>
  <c r="D1369" i="15"/>
  <c r="C1369" i="15"/>
  <c r="G1368" i="15"/>
  <c r="D1368" i="15"/>
  <c r="C1368" i="15"/>
  <c r="G1367" i="15"/>
  <c r="D1367" i="15"/>
  <c r="C1367" i="15"/>
  <c r="G1366" i="15"/>
  <c r="D1366" i="15"/>
  <c r="C1366" i="15"/>
  <c r="G1365" i="15"/>
  <c r="D1365" i="15"/>
  <c r="C1365" i="15"/>
  <c r="G1364" i="15"/>
  <c r="D1364" i="15"/>
  <c r="C1364" i="15"/>
  <c r="G1363" i="15"/>
  <c r="D1363" i="15"/>
  <c r="C1363" i="15"/>
  <c r="G1362" i="15"/>
  <c r="D1362" i="15"/>
  <c r="C1362" i="15"/>
  <c r="G1361" i="15"/>
  <c r="D1361" i="15"/>
  <c r="C1361" i="15"/>
  <c r="G1360" i="15"/>
  <c r="D1360" i="15"/>
  <c r="C1360" i="15"/>
  <c r="G1359" i="15"/>
  <c r="D1359" i="15"/>
  <c r="C1359" i="15"/>
  <c r="G1358" i="15"/>
  <c r="D1358" i="15"/>
  <c r="C1358" i="15"/>
  <c r="G1357" i="15"/>
  <c r="D1357" i="15"/>
  <c r="C1357" i="15"/>
  <c r="G1356" i="15"/>
  <c r="D1356" i="15"/>
  <c r="C1356" i="15"/>
  <c r="G1355" i="15"/>
  <c r="D1355" i="15"/>
  <c r="C1355" i="15"/>
  <c r="G1354" i="15"/>
  <c r="D1354" i="15"/>
  <c r="C1354" i="15"/>
  <c r="G1353" i="15"/>
  <c r="D1353" i="15"/>
  <c r="C1353" i="15"/>
  <c r="G1352" i="15"/>
  <c r="D1352" i="15"/>
  <c r="C1352" i="15"/>
  <c r="G1351" i="15"/>
  <c r="D1351" i="15"/>
  <c r="C1351" i="15"/>
  <c r="G1350" i="15"/>
  <c r="D1350" i="15"/>
  <c r="C1350" i="15"/>
  <c r="G1349" i="15"/>
  <c r="D1349" i="15"/>
  <c r="C1349" i="15"/>
  <c r="G1348" i="15"/>
  <c r="D1348" i="15"/>
  <c r="C1348" i="15"/>
  <c r="G1347" i="15"/>
  <c r="D1347" i="15"/>
  <c r="C1347" i="15"/>
  <c r="G1346" i="15"/>
  <c r="D1346" i="15"/>
  <c r="C1346" i="15"/>
  <c r="G1345" i="15"/>
  <c r="D1345" i="15"/>
  <c r="C1345" i="15"/>
  <c r="G1344" i="15"/>
  <c r="D1344" i="15"/>
  <c r="C1344" i="15"/>
  <c r="G1343" i="15"/>
  <c r="D1343" i="15"/>
  <c r="C1343" i="15"/>
  <c r="G1342" i="15"/>
  <c r="D1342" i="15"/>
  <c r="C1342" i="15"/>
  <c r="G1341" i="15"/>
  <c r="D1341" i="15"/>
  <c r="C1341" i="15"/>
  <c r="G1340" i="15"/>
  <c r="D1340" i="15"/>
  <c r="C1340" i="15"/>
  <c r="G1339" i="15"/>
  <c r="D1339" i="15"/>
  <c r="C1339" i="15"/>
  <c r="G1338" i="15"/>
  <c r="D1338" i="15"/>
  <c r="C1338" i="15"/>
  <c r="G1337" i="15"/>
  <c r="D1337" i="15"/>
  <c r="C1337" i="15"/>
  <c r="G1336" i="15"/>
  <c r="D1336" i="15"/>
  <c r="C1336" i="15"/>
  <c r="G1335" i="15"/>
  <c r="D1335" i="15"/>
  <c r="C1335" i="15"/>
  <c r="G1334" i="15"/>
  <c r="D1334" i="15"/>
  <c r="C1334" i="15"/>
  <c r="G1333" i="15"/>
  <c r="D1333" i="15"/>
  <c r="C1333" i="15"/>
  <c r="G1332" i="15"/>
  <c r="D1332" i="15"/>
  <c r="C1332" i="15"/>
  <c r="G1331" i="15"/>
  <c r="D1331" i="15"/>
  <c r="C1331" i="15"/>
  <c r="G1330" i="15"/>
  <c r="D1330" i="15"/>
  <c r="C1330" i="15"/>
  <c r="G1329" i="15"/>
  <c r="D1329" i="15"/>
  <c r="C1329" i="15"/>
  <c r="G1328" i="15"/>
  <c r="D1328" i="15"/>
  <c r="C1328" i="15"/>
  <c r="G1327" i="15"/>
  <c r="D1327" i="15"/>
  <c r="C1327" i="15"/>
  <c r="G1326" i="15"/>
  <c r="D1326" i="15"/>
  <c r="C1326" i="15"/>
  <c r="G1325" i="15"/>
  <c r="D1325" i="15"/>
  <c r="C1325" i="15"/>
  <c r="G1324" i="15"/>
  <c r="D1324" i="15"/>
  <c r="C1324" i="15"/>
  <c r="G1323" i="15"/>
  <c r="D1323" i="15"/>
  <c r="C1323" i="15"/>
  <c r="G1322" i="15"/>
  <c r="D1322" i="15"/>
  <c r="C1322" i="15"/>
  <c r="G1321" i="15"/>
  <c r="D1321" i="15"/>
  <c r="C1321" i="15"/>
  <c r="G1320" i="15"/>
  <c r="D1320" i="15"/>
  <c r="C1320" i="15"/>
  <c r="G1319" i="15"/>
  <c r="D1319" i="15"/>
  <c r="C1319" i="15"/>
  <c r="G1318" i="15"/>
  <c r="D1318" i="15"/>
  <c r="C1318" i="15"/>
  <c r="G1317" i="15"/>
  <c r="D1317" i="15"/>
  <c r="C1317" i="15"/>
  <c r="G1316" i="15"/>
  <c r="D1316" i="15"/>
  <c r="C1316" i="15"/>
  <c r="G1315" i="15"/>
  <c r="D1315" i="15"/>
  <c r="C1315" i="15"/>
  <c r="G1314" i="15"/>
  <c r="D1314" i="15"/>
  <c r="C1314" i="15"/>
  <c r="G1313" i="15"/>
  <c r="D1313" i="15"/>
  <c r="C1313" i="15"/>
  <c r="G1312" i="15"/>
  <c r="D1312" i="15"/>
  <c r="C1312" i="15"/>
  <c r="G1311" i="15"/>
  <c r="D1311" i="15"/>
  <c r="C1311" i="15"/>
  <c r="G1310" i="15"/>
  <c r="D1310" i="15"/>
  <c r="C1310" i="15"/>
  <c r="G1309" i="15"/>
  <c r="D1309" i="15"/>
  <c r="C1309" i="15"/>
  <c r="G1308" i="15"/>
  <c r="D1308" i="15"/>
  <c r="C1308" i="15"/>
  <c r="G1307" i="15"/>
  <c r="D1307" i="15"/>
  <c r="C1307" i="15"/>
  <c r="G1306" i="15"/>
  <c r="D1306" i="15"/>
  <c r="C1306" i="15"/>
  <c r="G1305" i="15"/>
  <c r="D1305" i="15"/>
  <c r="C1305" i="15"/>
  <c r="G1304" i="15"/>
  <c r="D1304" i="15"/>
  <c r="C1304" i="15"/>
  <c r="G1303" i="15"/>
  <c r="D1303" i="15"/>
  <c r="C1303" i="15"/>
  <c r="G1302" i="15"/>
  <c r="D1302" i="15"/>
  <c r="C1302" i="15"/>
  <c r="G1301" i="15"/>
  <c r="D1301" i="15"/>
  <c r="C1301" i="15"/>
  <c r="G1300" i="15"/>
  <c r="D1300" i="15"/>
  <c r="C1300" i="15"/>
  <c r="G1299" i="15"/>
  <c r="D1299" i="15"/>
  <c r="C1299" i="15"/>
  <c r="G1298" i="15"/>
  <c r="D1298" i="15"/>
  <c r="C1298" i="15"/>
  <c r="G1297" i="15"/>
  <c r="D1297" i="15"/>
  <c r="C1297" i="15"/>
  <c r="G1296" i="15"/>
  <c r="D1296" i="15"/>
  <c r="C1296" i="15"/>
  <c r="G1295" i="15"/>
  <c r="D1295" i="15"/>
  <c r="C1295" i="15"/>
  <c r="G1294" i="15"/>
  <c r="D1294" i="15"/>
  <c r="C1294" i="15"/>
  <c r="G1293" i="15"/>
  <c r="D1293" i="15"/>
  <c r="C1293" i="15"/>
  <c r="G1292" i="15"/>
  <c r="D1292" i="15"/>
  <c r="C1292" i="15"/>
  <c r="G1291" i="15"/>
  <c r="D1291" i="15"/>
  <c r="C1291" i="15"/>
  <c r="G1290" i="15"/>
  <c r="D1290" i="15"/>
  <c r="C1290" i="15"/>
  <c r="G1289" i="15"/>
  <c r="D1289" i="15"/>
  <c r="C1289" i="15"/>
  <c r="G1288" i="15"/>
  <c r="D1288" i="15"/>
  <c r="C1288" i="15"/>
  <c r="G1287" i="15"/>
  <c r="D1287" i="15"/>
  <c r="C1287" i="15"/>
  <c r="G1286" i="15"/>
  <c r="D1286" i="15"/>
  <c r="C1286" i="15"/>
  <c r="G1285" i="15"/>
  <c r="D1285" i="15"/>
  <c r="C1285" i="15"/>
  <c r="G1284" i="15"/>
  <c r="D1284" i="15"/>
  <c r="C1284" i="15"/>
  <c r="G1283" i="15"/>
  <c r="D1283" i="15"/>
  <c r="C1283" i="15"/>
  <c r="G1282" i="15"/>
  <c r="D1282" i="15"/>
  <c r="C1282" i="15"/>
  <c r="G1281" i="15"/>
  <c r="D1281" i="15"/>
  <c r="C1281" i="15"/>
  <c r="G1280" i="15"/>
  <c r="D1280" i="15"/>
  <c r="C1280" i="15"/>
  <c r="G1279" i="15"/>
  <c r="D1279" i="15"/>
  <c r="C1279" i="15"/>
  <c r="G1278" i="15"/>
  <c r="D1278" i="15"/>
  <c r="C1278" i="15"/>
  <c r="G1277" i="15"/>
  <c r="D1277" i="15"/>
  <c r="C1277" i="15"/>
  <c r="G1276" i="15"/>
  <c r="D1276" i="15"/>
  <c r="C1276" i="15"/>
  <c r="G1275" i="15"/>
  <c r="D1275" i="15"/>
  <c r="C1275" i="15"/>
  <c r="G1274" i="15"/>
  <c r="D1274" i="15"/>
  <c r="C1274" i="15"/>
  <c r="G1273" i="15"/>
  <c r="D1273" i="15"/>
  <c r="C1273" i="15"/>
  <c r="G1272" i="15"/>
  <c r="D1272" i="15"/>
  <c r="C1272" i="15"/>
  <c r="G1271" i="15"/>
  <c r="D1271" i="15"/>
  <c r="C1271" i="15"/>
  <c r="G1270" i="15"/>
  <c r="D1270" i="15"/>
  <c r="C1270" i="15"/>
  <c r="G1269" i="15"/>
  <c r="D1269" i="15"/>
  <c r="C1269" i="15"/>
  <c r="G1268" i="15"/>
  <c r="D1268" i="15"/>
  <c r="C1268" i="15"/>
  <c r="G1267" i="15"/>
  <c r="D1267" i="15"/>
  <c r="C1267" i="15"/>
  <c r="G1266" i="15"/>
  <c r="D1266" i="15"/>
  <c r="C1266" i="15"/>
  <c r="G1265" i="15"/>
  <c r="D1265" i="15"/>
  <c r="C1265" i="15"/>
  <c r="G1264" i="15"/>
  <c r="D1264" i="15"/>
  <c r="C1264" i="15"/>
  <c r="G1263" i="15"/>
  <c r="D1263" i="15"/>
  <c r="C1263" i="15"/>
  <c r="G1262" i="15"/>
  <c r="D1262" i="15"/>
  <c r="C1262" i="15"/>
  <c r="G1261" i="15"/>
  <c r="D1261" i="15"/>
  <c r="C1261" i="15"/>
  <c r="G1260" i="15"/>
  <c r="D1260" i="15"/>
  <c r="C1260" i="15"/>
  <c r="G1259" i="15"/>
  <c r="D1259" i="15"/>
  <c r="C1259" i="15"/>
  <c r="G1258" i="15"/>
  <c r="D1258" i="15"/>
  <c r="C1258" i="15"/>
  <c r="G1257" i="15"/>
  <c r="D1257" i="15"/>
  <c r="C1257" i="15"/>
  <c r="G1256" i="15"/>
  <c r="D1256" i="15"/>
  <c r="C1256" i="15"/>
  <c r="G1255" i="15"/>
  <c r="D1255" i="15"/>
  <c r="C1255" i="15"/>
  <c r="G1254" i="15"/>
  <c r="D1254" i="15"/>
  <c r="C1254" i="15"/>
  <c r="G1253" i="15"/>
  <c r="D1253" i="15"/>
  <c r="C1253" i="15"/>
  <c r="G1252" i="15"/>
  <c r="D1252" i="15"/>
  <c r="C1252" i="15"/>
  <c r="G1251" i="15"/>
  <c r="D1251" i="15"/>
  <c r="C1251" i="15"/>
  <c r="G1250" i="15"/>
  <c r="D1250" i="15"/>
  <c r="C1250" i="15"/>
  <c r="G1249" i="15"/>
  <c r="D1249" i="15"/>
  <c r="C1249" i="15"/>
  <c r="G1248" i="15"/>
  <c r="D1248" i="15"/>
  <c r="C1248" i="15"/>
  <c r="G1247" i="15"/>
  <c r="D1247" i="15"/>
  <c r="C1247" i="15"/>
  <c r="G1246" i="15"/>
  <c r="D1246" i="15"/>
  <c r="C1246" i="15"/>
  <c r="G1245" i="15"/>
  <c r="D1245" i="15"/>
  <c r="C1245" i="15"/>
  <c r="G1244" i="15"/>
  <c r="D1244" i="15"/>
  <c r="C1244" i="15"/>
  <c r="G1243" i="15"/>
  <c r="D1243" i="15"/>
  <c r="C1243" i="15"/>
  <c r="G1242" i="15"/>
  <c r="D1242" i="15"/>
  <c r="C1242" i="15"/>
  <c r="G1241" i="15"/>
  <c r="D1241" i="15"/>
  <c r="C1241" i="15"/>
  <c r="G1240" i="15"/>
  <c r="D1240" i="15"/>
  <c r="C1240" i="15"/>
  <c r="G1239" i="15"/>
  <c r="D1239" i="15"/>
  <c r="C1239" i="15"/>
  <c r="G1238" i="15"/>
  <c r="D1238" i="15"/>
  <c r="C1238" i="15"/>
  <c r="G1237" i="15"/>
  <c r="D1237" i="15"/>
  <c r="C1237" i="15"/>
  <c r="G1236" i="15"/>
  <c r="D1236" i="15"/>
  <c r="C1236" i="15"/>
  <c r="G1235" i="15"/>
  <c r="D1235" i="15"/>
  <c r="C1235" i="15"/>
  <c r="G1234" i="15"/>
  <c r="D1234" i="15"/>
  <c r="C1234" i="15"/>
  <c r="G1233" i="15"/>
  <c r="D1233" i="15"/>
  <c r="C1233" i="15"/>
  <c r="G1232" i="15"/>
  <c r="D1232" i="15"/>
  <c r="C1232" i="15"/>
  <c r="G1231" i="15"/>
  <c r="D1231" i="15"/>
  <c r="C1231" i="15"/>
  <c r="G1230" i="15"/>
  <c r="D1230" i="15"/>
  <c r="C1230" i="15"/>
  <c r="G1229" i="15"/>
  <c r="D1229" i="15"/>
  <c r="C1229" i="15"/>
  <c r="G1228" i="15"/>
  <c r="D1228" i="15"/>
  <c r="C1228" i="15"/>
  <c r="G1227" i="15"/>
  <c r="D1227" i="15"/>
  <c r="C1227" i="15"/>
  <c r="G1226" i="15"/>
  <c r="D1226" i="15"/>
  <c r="C1226" i="15"/>
  <c r="G1225" i="15"/>
  <c r="D1225" i="15"/>
  <c r="C1225" i="15"/>
  <c r="G1224" i="15"/>
  <c r="D1224" i="15"/>
  <c r="C1224" i="15"/>
  <c r="G1223" i="15"/>
  <c r="D1223" i="15"/>
  <c r="C1223" i="15"/>
  <c r="G1222" i="15"/>
  <c r="D1222" i="15"/>
  <c r="C1222" i="15"/>
  <c r="G1221" i="15"/>
  <c r="D1221" i="15"/>
  <c r="C1221" i="15"/>
  <c r="G1220" i="15"/>
  <c r="D1220" i="15"/>
  <c r="C1220" i="15"/>
  <c r="G1219" i="15"/>
  <c r="D1219" i="15"/>
  <c r="C1219" i="15"/>
  <c r="G1218" i="15"/>
  <c r="D1218" i="15"/>
  <c r="C1218" i="15"/>
  <c r="G1217" i="15"/>
  <c r="D1217" i="15"/>
  <c r="C1217" i="15"/>
  <c r="G1216" i="15"/>
  <c r="D1216" i="15"/>
  <c r="C1216" i="15"/>
  <c r="G1215" i="15"/>
  <c r="D1215" i="15"/>
  <c r="C1215" i="15"/>
  <c r="G1214" i="15"/>
  <c r="D1214" i="15"/>
  <c r="C1214" i="15"/>
  <c r="G1213" i="15"/>
  <c r="D1213" i="15"/>
  <c r="C1213" i="15"/>
  <c r="G1212" i="15"/>
  <c r="D1212" i="15"/>
  <c r="C1212" i="15"/>
  <c r="G1211" i="15"/>
  <c r="D1211" i="15"/>
  <c r="C1211" i="15"/>
  <c r="G1210" i="15"/>
  <c r="D1210" i="15"/>
  <c r="C1210" i="15"/>
  <c r="G1209" i="15"/>
  <c r="D1209" i="15"/>
  <c r="C1209" i="15"/>
  <c r="G1208" i="15"/>
  <c r="D1208" i="15"/>
  <c r="C1208" i="15"/>
  <c r="G1207" i="15"/>
  <c r="D1207" i="15"/>
  <c r="C1207" i="15"/>
  <c r="G1206" i="15"/>
  <c r="D1206" i="15"/>
  <c r="C1206" i="15"/>
  <c r="G1205" i="15"/>
  <c r="D1205" i="15"/>
  <c r="C1205" i="15"/>
  <c r="G1204" i="15"/>
  <c r="D1204" i="15"/>
  <c r="C1204" i="15"/>
  <c r="G1203" i="15"/>
  <c r="D1203" i="15"/>
  <c r="C1203" i="15"/>
  <c r="G1202" i="15"/>
  <c r="D1202" i="15"/>
  <c r="C1202" i="15"/>
  <c r="G1201" i="15"/>
  <c r="D1201" i="15"/>
  <c r="C1201" i="15"/>
  <c r="G1200" i="15"/>
  <c r="D1200" i="15"/>
  <c r="C1200" i="15"/>
  <c r="G1199" i="15"/>
  <c r="D1199" i="15"/>
  <c r="C1199" i="15"/>
  <c r="G1198" i="15"/>
  <c r="D1198" i="15"/>
  <c r="C1198" i="15"/>
  <c r="G1197" i="15"/>
  <c r="D1197" i="15"/>
  <c r="C1197" i="15"/>
  <c r="G1196" i="15"/>
  <c r="D1196" i="15"/>
  <c r="C1196" i="15"/>
  <c r="G1195" i="15"/>
  <c r="D1195" i="15"/>
  <c r="C1195" i="15"/>
  <c r="G1194" i="15"/>
  <c r="D1194" i="15"/>
  <c r="C1194" i="15"/>
  <c r="G1193" i="15"/>
  <c r="D1193" i="15"/>
  <c r="C1193" i="15"/>
  <c r="G1192" i="15"/>
  <c r="D1192" i="15"/>
  <c r="C1192" i="15"/>
  <c r="G1191" i="15"/>
  <c r="D1191" i="15"/>
  <c r="C1191" i="15"/>
  <c r="G1190" i="15"/>
  <c r="D1190" i="15"/>
  <c r="C1190" i="15"/>
  <c r="G1189" i="15"/>
  <c r="D1189" i="15"/>
  <c r="C1189" i="15"/>
  <c r="G1188" i="15"/>
  <c r="D1188" i="15"/>
  <c r="C1188" i="15"/>
  <c r="G1187" i="15"/>
  <c r="D1187" i="15"/>
  <c r="C1187" i="15"/>
  <c r="G1186" i="15"/>
  <c r="D1186" i="15"/>
  <c r="C1186" i="15"/>
  <c r="G1185" i="15"/>
  <c r="D1185" i="15"/>
  <c r="C1185" i="15"/>
  <c r="G1184" i="15"/>
  <c r="D1184" i="15"/>
  <c r="C1184" i="15"/>
  <c r="G1183" i="15"/>
  <c r="D1183" i="15"/>
  <c r="C1183" i="15"/>
  <c r="G1182" i="15"/>
  <c r="D1182" i="15"/>
  <c r="C1182" i="15"/>
  <c r="G1181" i="15"/>
  <c r="D1181" i="15"/>
  <c r="C1181" i="15"/>
  <c r="G1180" i="15"/>
  <c r="D1180" i="15"/>
  <c r="C1180" i="15"/>
  <c r="G1179" i="15"/>
  <c r="D1179" i="15"/>
  <c r="C1179" i="15"/>
  <c r="G1178" i="15"/>
  <c r="D1178" i="15"/>
  <c r="C1178" i="15"/>
  <c r="G1177" i="15"/>
  <c r="D1177" i="15"/>
  <c r="C1177" i="15"/>
  <c r="G1176" i="15"/>
  <c r="D1176" i="15"/>
  <c r="C1176" i="15"/>
  <c r="G1175" i="15"/>
  <c r="D1175" i="15"/>
  <c r="C1175" i="15"/>
  <c r="G1174" i="15"/>
  <c r="D1174" i="15"/>
  <c r="C1174" i="15"/>
  <c r="G1173" i="15"/>
  <c r="D1173" i="15"/>
  <c r="C1173" i="15"/>
  <c r="G1172" i="15"/>
  <c r="D1172" i="15"/>
  <c r="C1172" i="15"/>
  <c r="G1171" i="15"/>
  <c r="D1171" i="15"/>
  <c r="C1171" i="15"/>
  <c r="G1170" i="15"/>
  <c r="D1170" i="15"/>
  <c r="C1170" i="15"/>
  <c r="G1169" i="15"/>
  <c r="D1169" i="15"/>
  <c r="C1169" i="15"/>
  <c r="G1168" i="15"/>
  <c r="D1168" i="15"/>
  <c r="C1168" i="15"/>
  <c r="G1167" i="15"/>
  <c r="D1167" i="15"/>
  <c r="C1167" i="15"/>
  <c r="G1166" i="15"/>
  <c r="D1166" i="15"/>
  <c r="C1166" i="15"/>
  <c r="G1165" i="15"/>
  <c r="D1165" i="15"/>
  <c r="C1165" i="15"/>
  <c r="G1164" i="15"/>
  <c r="D1164" i="15"/>
  <c r="C1164" i="15"/>
  <c r="G1163" i="15"/>
  <c r="D1163" i="15"/>
  <c r="C1163" i="15"/>
  <c r="G1162" i="15"/>
  <c r="D1162" i="15"/>
  <c r="C1162" i="15"/>
  <c r="G1161" i="15"/>
  <c r="D1161" i="15"/>
  <c r="C1161" i="15"/>
  <c r="G1160" i="15"/>
  <c r="D1160" i="15"/>
  <c r="C1160" i="15"/>
  <c r="G1159" i="15"/>
  <c r="D1159" i="15"/>
  <c r="C1159" i="15"/>
  <c r="G1158" i="15"/>
  <c r="D1158" i="15"/>
  <c r="C1158" i="15"/>
  <c r="G1157" i="15"/>
  <c r="D1157" i="15"/>
  <c r="C1157" i="15"/>
  <c r="G1156" i="15"/>
  <c r="D1156" i="15"/>
  <c r="C1156" i="15"/>
  <c r="G1155" i="15"/>
  <c r="D1155" i="15"/>
  <c r="C1155" i="15"/>
  <c r="G1154" i="15"/>
  <c r="D1154" i="15"/>
  <c r="C1154" i="15"/>
  <c r="G1153" i="15"/>
  <c r="D1153" i="15"/>
  <c r="C1153" i="15"/>
  <c r="G1152" i="15"/>
  <c r="D1152" i="15"/>
  <c r="C1152" i="15"/>
  <c r="G1151" i="15"/>
  <c r="D1151" i="15"/>
  <c r="C1151" i="15"/>
  <c r="G1150" i="15"/>
  <c r="D1150" i="15"/>
  <c r="C1150" i="15"/>
  <c r="G1149" i="15"/>
  <c r="D1149" i="15"/>
  <c r="C1149" i="15"/>
  <c r="G1148" i="15"/>
  <c r="D1148" i="15"/>
  <c r="C1148" i="15"/>
  <c r="G1147" i="15"/>
  <c r="D1147" i="15"/>
  <c r="C1147" i="15"/>
  <c r="G1146" i="15"/>
  <c r="D1146" i="15"/>
  <c r="C1146" i="15"/>
  <c r="G1145" i="15"/>
  <c r="D1145" i="15"/>
  <c r="C1145" i="15"/>
  <c r="G1144" i="15"/>
  <c r="D1144" i="15"/>
  <c r="C1144" i="15"/>
  <c r="G1143" i="15"/>
  <c r="D1143" i="15"/>
  <c r="C1143" i="15"/>
  <c r="G1142" i="15"/>
  <c r="D1142" i="15"/>
  <c r="C1142" i="15"/>
  <c r="G1141" i="15"/>
  <c r="D1141" i="15"/>
  <c r="C1141" i="15"/>
  <c r="G1140" i="15"/>
  <c r="D1140" i="15"/>
  <c r="C1140" i="15"/>
  <c r="G1139" i="15"/>
  <c r="D1139" i="15"/>
  <c r="C1139" i="15"/>
  <c r="G1138" i="15"/>
  <c r="D1138" i="15"/>
  <c r="C1138" i="15"/>
  <c r="G1137" i="15"/>
  <c r="D1137" i="15"/>
  <c r="C1137" i="15"/>
  <c r="G1136" i="15"/>
  <c r="D1136" i="15"/>
  <c r="C1136" i="15"/>
  <c r="G1135" i="15"/>
  <c r="D1135" i="15"/>
  <c r="C1135" i="15"/>
  <c r="G1134" i="15"/>
  <c r="D1134" i="15"/>
  <c r="C1134" i="15"/>
  <c r="G1133" i="15"/>
  <c r="D1133" i="15"/>
  <c r="C1133" i="15"/>
  <c r="G1132" i="15"/>
  <c r="D1132" i="15"/>
  <c r="C1132" i="15"/>
  <c r="G1131" i="15"/>
  <c r="D1131" i="15"/>
  <c r="C1131" i="15"/>
  <c r="G1130" i="15"/>
  <c r="D1130" i="15"/>
  <c r="C1130" i="15"/>
  <c r="G1129" i="15"/>
  <c r="D1129" i="15"/>
  <c r="C1129" i="15"/>
  <c r="G1128" i="15"/>
  <c r="D1128" i="15"/>
  <c r="C1128" i="15"/>
  <c r="G1127" i="15"/>
  <c r="D1127" i="15"/>
  <c r="C1127" i="15"/>
  <c r="G1126" i="15"/>
  <c r="D1126" i="15"/>
  <c r="C1126" i="15"/>
  <c r="G1125" i="15"/>
  <c r="D1125" i="15"/>
  <c r="C1125" i="15"/>
  <c r="G1124" i="15"/>
  <c r="D1124" i="15"/>
  <c r="C1124" i="15"/>
  <c r="G1123" i="15"/>
  <c r="D1123" i="15"/>
  <c r="C1123" i="15"/>
  <c r="G1122" i="15"/>
  <c r="D1122" i="15"/>
  <c r="C1122" i="15"/>
  <c r="G1121" i="15"/>
  <c r="D1121" i="15"/>
  <c r="C1121" i="15"/>
  <c r="G1120" i="15"/>
  <c r="D1120" i="15"/>
  <c r="C1120" i="15"/>
  <c r="G1119" i="15"/>
  <c r="D1119" i="15"/>
  <c r="C1119" i="15"/>
  <c r="G1118" i="15"/>
  <c r="D1118" i="15"/>
  <c r="C1118" i="15"/>
  <c r="G1117" i="15"/>
  <c r="D1117" i="15"/>
  <c r="C1117" i="15"/>
  <c r="G1116" i="15"/>
  <c r="D1116" i="15"/>
  <c r="C1116" i="15"/>
  <c r="G1115" i="15"/>
  <c r="D1115" i="15"/>
  <c r="C1115" i="15"/>
  <c r="G1114" i="15"/>
  <c r="D1114" i="15"/>
  <c r="C1114" i="15"/>
  <c r="G1113" i="15"/>
  <c r="D1113" i="15"/>
  <c r="C1113" i="15"/>
  <c r="G1112" i="15"/>
  <c r="D1112" i="15"/>
  <c r="C1112" i="15"/>
  <c r="G1111" i="15"/>
  <c r="D1111" i="15"/>
  <c r="C1111" i="15"/>
  <c r="G1110" i="15"/>
  <c r="D1110" i="15"/>
  <c r="C1110" i="15"/>
  <c r="G1109" i="15"/>
  <c r="D1109" i="15"/>
  <c r="C1109" i="15"/>
  <c r="G1108" i="15"/>
  <c r="D1108" i="15"/>
  <c r="C1108" i="15"/>
  <c r="G1107" i="15"/>
  <c r="D1107" i="15"/>
  <c r="C1107" i="15"/>
  <c r="G1106" i="15"/>
  <c r="D1106" i="15"/>
  <c r="C1106" i="15"/>
  <c r="G1105" i="15"/>
  <c r="D1105" i="15"/>
  <c r="C1105" i="15"/>
  <c r="G1104" i="15"/>
  <c r="D1104" i="15"/>
  <c r="C1104" i="15"/>
  <c r="G1103" i="15"/>
  <c r="D1103" i="15"/>
  <c r="C1103" i="15"/>
  <c r="G1102" i="15"/>
  <c r="D1102" i="15"/>
  <c r="C1102" i="15"/>
  <c r="G1101" i="15"/>
  <c r="D1101" i="15"/>
  <c r="C1101" i="15"/>
  <c r="G1100" i="15"/>
  <c r="D1100" i="15"/>
  <c r="C1100" i="15"/>
  <c r="G1099" i="15"/>
  <c r="D1099" i="15"/>
  <c r="C1099" i="15"/>
  <c r="G1098" i="15"/>
  <c r="D1098" i="15"/>
  <c r="C1098" i="15"/>
  <c r="G1097" i="15"/>
  <c r="D1097" i="15"/>
  <c r="C1097" i="15"/>
  <c r="G1096" i="15"/>
  <c r="D1096" i="15"/>
  <c r="C1096" i="15"/>
  <c r="G1095" i="15"/>
  <c r="D1095" i="15"/>
  <c r="C1095" i="15"/>
  <c r="G1094" i="15"/>
  <c r="D1094" i="15"/>
  <c r="C1094" i="15"/>
  <c r="G1093" i="15"/>
  <c r="D1093" i="15"/>
  <c r="C1093" i="15"/>
  <c r="G1092" i="15"/>
  <c r="D1092" i="15"/>
  <c r="C1092" i="15"/>
  <c r="G1091" i="15"/>
  <c r="D1091" i="15"/>
  <c r="C1091" i="15"/>
  <c r="G1090" i="15"/>
  <c r="D1090" i="15"/>
  <c r="C1090" i="15"/>
  <c r="G1089" i="15"/>
  <c r="D1089" i="15"/>
  <c r="C1089" i="15"/>
  <c r="G1088" i="15"/>
  <c r="D1088" i="15"/>
  <c r="C1088" i="15"/>
  <c r="G1087" i="15"/>
  <c r="D1087" i="15"/>
  <c r="C1087" i="15"/>
  <c r="G1086" i="15"/>
  <c r="D1086" i="15"/>
  <c r="C1086" i="15"/>
  <c r="G1085" i="15"/>
  <c r="D1085" i="15"/>
  <c r="C1085" i="15"/>
  <c r="G1084" i="15"/>
  <c r="D1084" i="15"/>
  <c r="C1084" i="15"/>
  <c r="G1083" i="15"/>
  <c r="D1083" i="15"/>
  <c r="C1083" i="15"/>
  <c r="G1082" i="15"/>
  <c r="D1082" i="15"/>
  <c r="C1082" i="15"/>
  <c r="G1081" i="15"/>
  <c r="D1081" i="15"/>
  <c r="C1081" i="15"/>
  <c r="G1080" i="15"/>
  <c r="D1080" i="15"/>
  <c r="C1080" i="15"/>
  <c r="G1079" i="15"/>
  <c r="D1079" i="15"/>
  <c r="C1079" i="15"/>
  <c r="G1078" i="15"/>
  <c r="D1078" i="15"/>
  <c r="C1078" i="15"/>
  <c r="G1077" i="15"/>
  <c r="D1077" i="15"/>
  <c r="C1077" i="15"/>
  <c r="G1076" i="15"/>
  <c r="D1076" i="15"/>
  <c r="C1076" i="15"/>
  <c r="G1075" i="15"/>
  <c r="D1075" i="15"/>
  <c r="C1075" i="15"/>
  <c r="G1074" i="15"/>
  <c r="D1074" i="15"/>
  <c r="C1074" i="15"/>
  <c r="G1073" i="15"/>
  <c r="D1073" i="15"/>
  <c r="C1073" i="15"/>
  <c r="G1072" i="15"/>
  <c r="D1072" i="15"/>
  <c r="C1072" i="15"/>
  <c r="G1071" i="15"/>
  <c r="D1071" i="15"/>
  <c r="C1071" i="15"/>
  <c r="G1070" i="15"/>
  <c r="D1070" i="15"/>
  <c r="C1070" i="15"/>
  <c r="G1069" i="15"/>
  <c r="D1069" i="15"/>
  <c r="C1069" i="15"/>
  <c r="G1068" i="15"/>
  <c r="D1068" i="15"/>
  <c r="C1068" i="15"/>
  <c r="G1067" i="15"/>
  <c r="D1067" i="15"/>
  <c r="C1067" i="15"/>
  <c r="G1066" i="15"/>
  <c r="D1066" i="15"/>
  <c r="C1066" i="15"/>
  <c r="G1065" i="15"/>
  <c r="D1065" i="15"/>
  <c r="C1065" i="15"/>
  <c r="G1064" i="15"/>
  <c r="D1064" i="15"/>
  <c r="C1064" i="15"/>
  <c r="G1063" i="15"/>
  <c r="D1063" i="15"/>
  <c r="C1063" i="15"/>
  <c r="G1062" i="15"/>
  <c r="D1062" i="15"/>
  <c r="C1062" i="15"/>
  <c r="G1061" i="15"/>
  <c r="D1061" i="15"/>
  <c r="C1061" i="15"/>
  <c r="G1060" i="15"/>
  <c r="D1060" i="15"/>
  <c r="C1060" i="15"/>
  <c r="G1059" i="15"/>
  <c r="D1059" i="15"/>
  <c r="C1059" i="15"/>
  <c r="G1058" i="15"/>
  <c r="D1058" i="15"/>
  <c r="C1058" i="15"/>
  <c r="G1057" i="15"/>
  <c r="D1057" i="15"/>
  <c r="C1057" i="15"/>
  <c r="G1056" i="15"/>
  <c r="D1056" i="15"/>
  <c r="C1056" i="15"/>
  <c r="G1055" i="15"/>
  <c r="D1055" i="15"/>
  <c r="C1055" i="15"/>
  <c r="G1054" i="15"/>
  <c r="D1054" i="15"/>
  <c r="C1054" i="15"/>
  <c r="G1053" i="15"/>
  <c r="D1053" i="15"/>
  <c r="C1053" i="15"/>
  <c r="G1052" i="15"/>
  <c r="D1052" i="15"/>
  <c r="C1052" i="15"/>
  <c r="G1051" i="15"/>
  <c r="D1051" i="15"/>
  <c r="C1051" i="15"/>
  <c r="G1050" i="15"/>
  <c r="D1050" i="15"/>
  <c r="C1050" i="15"/>
  <c r="G1049" i="15"/>
  <c r="D1049" i="15"/>
  <c r="C1049" i="15"/>
  <c r="G1048" i="15"/>
  <c r="D1048" i="15"/>
  <c r="C1048" i="15"/>
  <c r="G1047" i="15"/>
  <c r="D1047" i="15"/>
  <c r="C1047" i="15"/>
  <c r="G1046" i="15"/>
  <c r="D1046" i="15"/>
  <c r="C1046" i="15"/>
  <c r="G1045" i="15"/>
  <c r="D1045" i="15"/>
  <c r="C1045" i="15"/>
  <c r="G1044" i="15"/>
  <c r="D1044" i="15"/>
  <c r="C1044" i="15"/>
  <c r="G1043" i="15"/>
  <c r="D1043" i="15"/>
  <c r="C1043" i="15"/>
  <c r="G1042" i="15"/>
  <c r="D1042" i="15"/>
  <c r="C1042" i="15"/>
  <c r="G1041" i="15"/>
  <c r="D1041" i="15"/>
  <c r="C1041" i="15"/>
  <c r="G1040" i="15"/>
  <c r="D1040" i="15"/>
  <c r="C1040" i="15"/>
  <c r="G1039" i="15"/>
  <c r="D1039" i="15"/>
  <c r="C1039" i="15"/>
  <c r="G1038" i="15"/>
  <c r="D1038" i="15"/>
  <c r="C1038" i="15"/>
  <c r="G1037" i="15"/>
  <c r="D1037" i="15"/>
  <c r="C1037" i="15"/>
  <c r="G1036" i="15"/>
  <c r="D1036" i="15"/>
  <c r="C1036" i="15"/>
  <c r="G1035" i="15"/>
  <c r="D1035" i="15"/>
  <c r="C1035" i="15"/>
  <c r="G1034" i="15"/>
  <c r="D1034" i="15"/>
  <c r="C1034" i="15"/>
  <c r="G1033" i="15"/>
  <c r="D1033" i="15"/>
  <c r="C1033" i="15"/>
  <c r="G1032" i="15"/>
  <c r="D1032" i="15"/>
  <c r="C1032" i="15"/>
  <c r="G1031" i="15"/>
  <c r="D1031" i="15"/>
  <c r="C1031" i="15"/>
  <c r="G1030" i="15"/>
  <c r="D1030" i="15"/>
  <c r="C1030" i="15"/>
  <c r="G1029" i="15"/>
  <c r="D1029" i="15"/>
  <c r="C1029" i="15"/>
  <c r="G1028" i="15"/>
  <c r="D1028" i="15"/>
  <c r="C1028" i="15"/>
  <c r="G1027" i="15"/>
  <c r="D1027" i="15"/>
  <c r="C1027" i="15"/>
  <c r="G1026" i="15"/>
  <c r="D1026" i="15"/>
  <c r="C1026" i="15"/>
  <c r="G1025" i="15"/>
  <c r="D1025" i="15"/>
  <c r="C1025" i="15"/>
  <c r="G1024" i="15"/>
  <c r="D1024" i="15"/>
  <c r="C1024" i="15"/>
  <c r="G1023" i="15"/>
  <c r="D1023" i="15"/>
  <c r="C1023" i="15"/>
  <c r="G1022" i="15"/>
  <c r="D1022" i="15"/>
  <c r="C1022" i="15"/>
  <c r="G1021" i="15"/>
  <c r="D1021" i="15"/>
  <c r="C1021" i="15"/>
  <c r="G1020" i="15"/>
  <c r="D1020" i="15"/>
  <c r="C1020" i="15"/>
  <c r="G1019" i="15"/>
  <c r="D1019" i="15"/>
  <c r="C1019" i="15"/>
  <c r="G1018" i="15"/>
  <c r="D1018" i="15"/>
  <c r="C1018" i="15"/>
  <c r="G1017" i="15"/>
  <c r="D1017" i="15"/>
  <c r="C1017" i="15"/>
  <c r="G1016" i="15"/>
  <c r="D1016" i="15"/>
  <c r="C1016" i="15"/>
  <c r="G1015" i="15"/>
  <c r="D1015" i="15"/>
  <c r="C1015" i="15"/>
  <c r="G1014" i="15"/>
  <c r="D1014" i="15"/>
  <c r="C1014" i="15"/>
  <c r="G1013" i="15"/>
  <c r="D1013" i="15"/>
  <c r="C1013" i="15"/>
  <c r="G1012" i="15"/>
  <c r="D1012" i="15"/>
  <c r="C1012" i="15"/>
  <c r="G1011" i="15"/>
  <c r="D1011" i="15"/>
  <c r="C1011" i="15"/>
  <c r="G1010" i="15"/>
  <c r="D1010" i="15"/>
  <c r="C1010" i="15"/>
  <c r="G1009" i="15"/>
  <c r="D1009" i="15"/>
  <c r="C1009" i="15"/>
  <c r="G1008" i="15"/>
  <c r="D1008" i="15"/>
  <c r="C1008" i="15"/>
  <c r="G1007" i="15"/>
  <c r="D1007" i="15"/>
  <c r="C1007" i="15"/>
  <c r="G1006" i="15"/>
  <c r="D1006" i="15"/>
  <c r="C1006" i="15"/>
  <c r="G1005" i="15"/>
  <c r="D1005" i="15"/>
  <c r="C1005" i="15"/>
  <c r="G1004" i="15"/>
  <c r="D1004" i="15"/>
  <c r="C1004" i="15"/>
  <c r="G1003" i="15"/>
  <c r="D1003" i="15"/>
  <c r="C1003" i="15"/>
  <c r="G1002" i="15"/>
  <c r="D1002" i="15"/>
  <c r="C1002" i="15"/>
  <c r="G1001" i="15"/>
  <c r="D1001" i="15"/>
  <c r="C1001" i="15"/>
  <c r="G1000" i="15"/>
  <c r="D1000" i="15"/>
  <c r="C1000" i="15"/>
  <c r="G999" i="15"/>
  <c r="D999" i="15"/>
  <c r="C999" i="15"/>
  <c r="G998" i="15"/>
  <c r="D998" i="15"/>
  <c r="C998" i="15"/>
  <c r="G997" i="15"/>
  <c r="D997" i="15"/>
  <c r="C997" i="15"/>
  <c r="G996" i="15"/>
  <c r="D996" i="15"/>
  <c r="C996" i="15"/>
  <c r="G995" i="15"/>
  <c r="D995" i="15"/>
  <c r="C995" i="15"/>
  <c r="G994" i="15"/>
  <c r="D994" i="15"/>
  <c r="C994" i="15"/>
  <c r="G993" i="15"/>
  <c r="D993" i="15"/>
  <c r="C993" i="15"/>
  <c r="G992" i="15"/>
  <c r="D992" i="15"/>
  <c r="C992" i="15"/>
  <c r="G991" i="15"/>
  <c r="D991" i="15"/>
  <c r="C991" i="15"/>
  <c r="G990" i="15"/>
  <c r="D990" i="15"/>
  <c r="C990" i="15"/>
  <c r="G989" i="15"/>
  <c r="D989" i="15"/>
  <c r="C989" i="15"/>
  <c r="G988" i="15"/>
  <c r="D988" i="15"/>
  <c r="C988" i="15"/>
  <c r="G987" i="15"/>
  <c r="D987" i="15"/>
  <c r="C987" i="15"/>
  <c r="G986" i="15"/>
  <c r="D986" i="15"/>
  <c r="C986" i="15"/>
  <c r="G985" i="15"/>
  <c r="D985" i="15"/>
  <c r="C985" i="15"/>
  <c r="G984" i="15"/>
  <c r="D984" i="15"/>
  <c r="C984" i="15"/>
  <c r="G983" i="15"/>
  <c r="D983" i="15"/>
  <c r="C983" i="15"/>
  <c r="G982" i="15"/>
  <c r="D982" i="15"/>
  <c r="C982" i="15"/>
  <c r="G981" i="15"/>
  <c r="D981" i="15"/>
  <c r="C981" i="15"/>
  <c r="G980" i="15"/>
  <c r="D980" i="15"/>
  <c r="C980" i="15"/>
  <c r="G979" i="15"/>
  <c r="D979" i="15"/>
  <c r="C979" i="15"/>
  <c r="G978" i="15"/>
  <c r="D978" i="15"/>
  <c r="C978" i="15"/>
  <c r="G977" i="15"/>
  <c r="D977" i="15"/>
  <c r="C977" i="15"/>
  <c r="G976" i="15"/>
  <c r="D976" i="15"/>
  <c r="C976" i="15"/>
  <c r="G975" i="15"/>
  <c r="D975" i="15"/>
  <c r="C975" i="15"/>
  <c r="G974" i="15"/>
  <c r="D974" i="15"/>
  <c r="C974" i="15"/>
  <c r="G973" i="15"/>
  <c r="D973" i="15"/>
  <c r="C973" i="15"/>
  <c r="G972" i="15"/>
  <c r="D972" i="15"/>
  <c r="C972" i="15"/>
  <c r="G971" i="15"/>
  <c r="D971" i="15"/>
  <c r="C971" i="15"/>
  <c r="G970" i="15"/>
  <c r="D970" i="15"/>
  <c r="C970" i="15"/>
  <c r="G969" i="15"/>
  <c r="D969" i="15"/>
  <c r="C969" i="15"/>
  <c r="G968" i="15"/>
  <c r="D968" i="15"/>
  <c r="C968" i="15"/>
  <c r="G967" i="15"/>
  <c r="D967" i="15"/>
  <c r="C967" i="15"/>
  <c r="G966" i="15"/>
  <c r="D966" i="15"/>
  <c r="C966" i="15"/>
  <c r="G965" i="15"/>
  <c r="D965" i="15"/>
  <c r="C965" i="15"/>
  <c r="G964" i="15"/>
  <c r="D964" i="15"/>
  <c r="C964" i="15"/>
  <c r="G963" i="15"/>
  <c r="D963" i="15"/>
  <c r="C963" i="15"/>
  <c r="G962" i="15"/>
  <c r="D962" i="15"/>
  <c r="C962" i="15"/>
  <c r="G961" i="15"/>
  <c r="D961" i="15"/>
  <c r="C961" i="15"/>
  <c r="G960" i="15"/>
  <c r="D960" i="15"/>
  <c r="C960" i="15"/>
  <c r="G959" i="15"/>
  <c r="D959" i="15"/>
  <c r="C959" i="15"/>
  <c r="G958" i="15"/>
  <c r="D958" i="15"/>
  <c r="C958" i="15"/>
  <c r="G957" i="15"/>
  <c r="D957" i="15"/>
  <c r="C957" i="15"/>
  <c r="G956" i="15"/>
  <c r="D956" i="15"/>
  <c r="C956" i="15"/>
  <c r="G955" i="15"/>
  <c r="D955" i="15"/>
  <c r="C955" i="15"/>
  <c r="G954" i="15"/>
  <c r="D954" i="15"/>
  <c r="C954" i="15"/>
  <c r="G953" i="15"/>
  <c r="D953" i="15"/>
  <c r="C953" i="15"/>
  <c r="G952" i="15"/>
  <c r="D952" i="15"/>
  <c r="C952" i="15"/>
  <c r="G951" i="15"/>
  <c r="D951" i="15"/>
  <c r="C951" i="15"/>
  <c r="G950" i="15"/>
  <c r="D950" i="15"/>
  <c r="C950" i="15"/>
  <c r="G949" i="15"/>
  <c r="D949" i="15"/>
  <c r="C949" i="15"/>
  <c r="G948" i="15"/>
  <c r="D948" i="15"/>
  <c r="C948" i="15"/>
  <c r="G947" i="15"/>
  <c r="D947" i="15"/>
  <c r="C947" i="15"/>
  <c r="G946" i="15"/>
  <c r="D946" i="15"/>
  <c r="C946" i="15"/>
  <c r="G945" i="15"/>
  <c r="D945" i="15"/>
  <c r="C945" i="15"/>
  <c r="G944" i="15"/>
  <c r="D944" i="15"/>
  <c r="C944" i="15"/>
  <c r="G943" i="15"/>
  <c r="D943" i="15"/>
  <c r="C943" i="15"/>
  <c r="G942" i="15"/>
  <c r="D942" i="15"/>
  <c r="C942" i="15"/>
  <c r="G941" i="15"/>
  <c r="D941" i="15"/>
  <c r="C941" i="15"/>
  <c r="G940" i="15"/>
  <c r="D940" i="15"/>
  <c r="C940" i="15"/>
  <c r="G939" i="15"/>
  <c r="D939" i="15"/>
  <c r="C939" i="15"/>
  <c r="G938" i="15"/>
  <c r="D938" i="15"/>
  <c r="C938" i="15"/>
  <c r="G937" i="15"/>
  <c r="D937" i="15"/>
  <c r="C937" i="15"/>
  <c r="G936" i="15"/>
  <c r="D936" i="15"/>
  <c r="C936" i="15"/>
  <c r="G935" i="15"/>
  <c r="D935" i="15"/>
  <c r="C935" i="15"/>
  <c r="G934" i="15"/>
  <c r="D934" i="15"/>
  <c r="C934" i="15"/>
  <c r="G933" i="15"/>
  <c r="D933" i="15"/>
  <c r="C933" i="15"/>
  <c r="G932" i="15"/>
  <c r="D932" i="15"/>
  <c r="C932" i="15"/>
  <c r="G931" i="15"/>
  <c r="D931" i="15"/>
  <c r="C931" i="15"/>
  <c r="G930" i="15"/>
  <c r="D930" i="15"/>
  <c r="C930" i="15"/>
  <c r="G929" i="15"/>
  <c r="D929" i="15"/>
  <c r="C929" i="15"/>
  <c r="G928" i="15"/>
  <c r="D928" i="15"/>
  <c r="C928" i="15"/>
  <c r="G927" i="15"/>
  <c r="D927" i="15"/>
  <c r="C927" i="15"/>
  <c r="G926" i="15"/>
  <c r="D926" i="15"/>
  <c r="C926" i="15"/>
  <c r="G925" i="15"/>
  <c r="D925" i="15"/>
  <c r="C925" i="15"/>
  <c r="G924" i="15"/>
  <c r="D924" i="15"/>
  <c r="C924" i="15"/>
  <c r="G923" i="15"/>
  <c r="D923" i="15"/>
  <c r="C923" i="15"/>
  <c r="G922" i="15"/>
  <c r="D922" i="15"/>
  <c r="C922" i="15"/>
  <c r="G921" i="15"/>
  <c r="D921" i="15"/>
  <c r="C921" i="15"/>
  <c r="G920" i="15"/>
  <c r="D920" i="15"/>
  <c r="C920" i="15"/>
  <c r="G919" i="15"/>
  <c r="D919" i="15"/>
  <c r="C919" i="15"/>
  <c r="G918" i="15"/>
  <c r="D918" i="15"/>
  <c r="C918" i="15"/>
  <c r="G917" i="15"/>
  <c r="D917" i="15"/>
  <c r="C917" i="15"/>
  <c r="G916" i="15"/>
  <c r="D916" i="15"/>
  <c r="C916" i="15"/>
  <c r="G915" i="15"/>
  <c r="D915" i="15"/>
  <c r="C915" i="15"/>
  <c r="G914" i="15"/>
  <c r="D914" i="15"/>
  <c r="C914" i="15"/>
  <c r="G913" i="15"/>
  <c r="D913" i="15"/>
  <c r="C913" i="15"/>
  <c r="G912" i="15"/>
  <c r="D912" i="15"/>
  <c r="C912" i="15"/>
  <c r="G911" i="15"/>
  <c r="D911" i="15"/>
  <c r="C911" i="15"/>
  <c r="G910" i="15"/>
  <c r="D910" i="15"/>
  <c r="C910" i="15"/>
  <c r="G909" i="15"/>
  <c r="D909" i="15"/>
  <c r="C909" i="15"/>
  <c r="G908" i="15"/>
  <c r="D908" i="15"/>
  <c r="C908" i="15"/>
  <c r="G907" i="15"/>
  <c r="D907" i="15"/>
  <c r="C907" i="15"/>
  <c r="G906" i="15"/>
  <c r="D906" i="15"/>
  <c r="C906" i="15"/>
  <c r="G905" i="15"/>
  <c r="D905" i="15"/>
  <c r="C905" i="15"/>
  <c r="G904" i="15"/>
  <c r="D904" i="15"/>
  <c r="C904" i="15"/>
  <c r="G903" i="15"/>
  <c r="D903" i="15"/>
  <c r="C903" i="15"/>
  <c r="G902" i="15"/>
  <c r="D902" i="15"/>
  <c r="C902" i="15"/>
  <c r="G901" i="15"/>
  <c r="D901" i="15"/>
  <c r="C901" i="15"/>
  <c r="G900" i="15"/>
  <c r="D900" i="15"/>
  <c r="C900" i="15"/>
  <c r="G899" i="15"/>
  <c r="D899" i="15"/>
  <c r="C899" i="15"/>
  <c r="G898" i="15"/>
  <c r="D898" i="15"/>
  <c r="C898" i="15"/>
  <c r="G897" i="15"/>
  <c r="D897" i="15"/>
  <c r="C897" i="15"/>
  <c r="G896" i="15"/>
  <c r="D896" i="15"/>
  <c r="C896" i="15"/>
  <c r="G895" i="15"/>
  <c r="D895" i="15"/>
  <c r="C895" i="15"/>
  <c r="G894" i="15"/>
  <c r="D894" i="15"/>
  <c r="C894" i="15"/>
  <c r="G893" i="15"/>
  <c r="D893" i="15"/>
  <c r="C893" i="15"/>
  <c r="G892" i="15"/>
  <c r="D892" i="15"/>
  <c r="C892" i="15"/>
  <c r="G891" i="15"/>
  <c r="D891" i="15"/>
  <c r="C891" i="15"/>
  <c r="G890" i="15"/>
  <c r="D890" i="15"/>
  <c r="C890" i="15"/>
  <c r="G889" i="15"/>
  <c r="D889" i="15"/>
  <c r="C889" i="15"/>
  <c r="G888" i="15"/>
  <c r="D888" i="15"/>
  <c r="C888" i="15"/>
  <c r="G887" i="15"/>
  <c r="D887" i="15"/>
  <c r="C887" i="15"/>
  <c r="G886" i="15"/>
  <c r="D886" i="15"/>
  <c r="C886" i="15"/>
  <c r="G885" i="15"/>
  <c r="D885" i="15"/>
  <c r="C885" i="15"/>
  <c r="G884" i="15"/>
  <c r="D884" i="15"/>
  <c r="C884" i="15"/>
  <c r="G883" i="15"/>
  <c r="D883" i="15"/>
  <c r="C883" i="15"/>
  <c r="G882" i="15"/>
  <c r="D882" i="15"/>
  <c r="C882" i="15"/>
  <c r="G881" i="15"/>
  <c r="D881" i="15"/>
  <c r="C881" i="15"/>
  <c r="G880" i="15"/>
  <c r="D880" i="15"/>
  <c r="C880" i="15"/>
  <c r="G879" i="15"/>
  <c r="D879" i="15"/>
  <c r="C879" i="15"/>
  <c r="G878" i="15"/>
  <c r="D878" i="15"/>
  <c r="C878" i="15"/>
  <c r="G877" i="15"/>
  <c r="D877" i="15"/>
  <c r="C877" i="15"/>
  <c r="G876" i="15"/>
  <c r="D876" i="15"/>
  <c r="C876" i="15"/>
  <c r="G875" i="15"/>
  <c r="D875" i="15"/>
  <c r="C875" i="15"/>
  <c r="G874" i="15"/>
  <c r="D874" i="15"/>
  <c r="C874" i="15"/>
  <c r="G873" i="15"/>
  <c r="D873" i="15"/>
  <c r="C873" i="15"/>
  <c r="G872" i="15"/>
  <c r="D872" i="15"/>
  <c r="C872" i="15"/>
  <c r="G871" i="15"/>
  <c r="D871" i="15"/>
  <c r="C871" i="15"/>
  <c r="G870" i="15"/>
  <c r="D870" i="15"/>
  <c r="C870" i="15"/>
  <c r="G869" i="15"/>
  <c r="D869" i="15"/>
  <c r="C869" i="15"/>
  <c r="G868" i="15"/>
  <c r="D868" i="15"/>
  <c r="C868" i="15"/>
  <c r="G867" i="15"/>
  <c r="D867" i="15"/>
  <c r="C867" i="15"/>
  <c r="G866" i="15"/>
  <c r="D866" i="15"/>
  <c r="C866" i="15"/>
  <c r="G865" i="15"/>
  <c r="D865" i="15"/>
  <c r="C865" i="15"/>
  <c r="G864" i="15"/>
  <c r="D864" i="15"/>
  <c r="C864" i="15"/>
  <c r="G863" i="15"/>
  <c r="D863" i="15"/>
  <c r="C863" i="15"/>
  <c r="G862" i="15"/>
  <c r="D862" i="15"/>
  <c r="C862" i="15"/>
  <c r="G861" i="15"/>
  <c r="D861" i="15"/>
  <c r="C861" i="15"/>
  <c r="G860" i="15"/>
  <c r="D860" i="15"/>
  <c r="C860" i="15"/>
  <c r="G859" i="15"/>
  <c r="D859" i="15"/>
  <c r="C859" i="15"/>
  <c r="G858" i="15"/>
  <c r="D858" i="15"/>
  <c r="C858" i="15"/>
  <c r="G857" i="15"/>
  <c r="D857" i="15"/>
  <c r="C857" i="15"/>
  <c r="G856" i="15"/>
  <c r="D856" i="15"/>
  <c r="C856" i="15"/>
  <c r="G855" i="15"/>
  <c r="D855" i="15"/>
  <c r="C855" i="15"/>
  <c r="G854" i="15"/>
  <c r="D854" i="15"/>
  <c r="C854" i="15"/>
  <c r="G853" i="15"/>
  <c r="D853" i="15"/>
  <c r="C853" i="15"/>
  <c r="G852" i="15"/>
  <c r="D852" i="15"/>
  <c r="C852" i="15"/>
  <c r="G851" i="15"/>
  <c r="D851" i="15"/>
  <c r="C851" i="15"/>
  <c r="G850" i="15"/>
  <c r="D850" i="15"/>
  <c r="C850" i="15"/>
  <c r="G849" i="15"/>
  <c r="D849" i="15"/>
  <c r="C849" i="15"/>
  <c r="G848" i="15"/>
  <c r="D848" i="15"/>
  <c r="C848" i="15"/>
  <c r="G847" i="15"/>
  <c r="D847" i="15"/>
  <c r="C847" i="15"/>
  <c r="G846" i="15"/>
  <c r="D846" i="15"/>
  <c r="C846" i="15"/>
  <c r="G845" i="15"/>
  <c r="D845" i="15"/>
  <c r="C845" i="15"/>
  <c r="G844" i="15"/>
  <c r="D844" i="15"/>
  <c r="C844" i="15"/>
  <c r="G843" i="15"/>
  <c r="D843" i="15"/>
  <c r="C843" i="15"/>
  <c r="G842" i="15"/>
  <c r="D842" i="15"/>
  <c r="C842" i="15"/>
  <c r="G841" i="15"/>
  <c r="D841" i="15"/>
  <c r="C841" i="15"/>
  <c r="G840" i="15"/>
  <c r="D840" i="15"/>
  <c r="C840" i="15"/>
  <c r="G839" i="15"/>
  <c r="D839" i="15"/>
  <c r="C839" i="15"/>
  <c r="G838" i="15"/>
  <c r="D838" i="15"/>
  <c r="C838" i="15"/>
  <c r="G837" i="15"/>
  <c r="D837" i="15"/>
  <c r="C837" i="15"/>
  <c r="G836" i="15"/>
  <c r="D836" i="15"/>
  <c r="C836" i="15"/>
  <c r="G835" i="15"/>
  <c r="D835" i="15"/>
  <c r="C835" i="15"/>
  <c r="G834" i="15"/>
  <c r="D834" i="15"/>
  <c r="C834" i="15"/>
  <c r="G833" i="15"/>
  <c r="D833" i="15"/>
  <c r="C833" i="15"/>
  <c r="G832" i="15"/>
  <c r="D832" i="15"/>
  <c r="C832" i="15"/>
  <c r="G831" i="15"/>
  <c r="D831" i="15"/>
  <c r="C831" i="15"/>
  <c r="G830" i="15"/>
  <c r="D830" i="15"/>
  <c r="C830" i="15"/>
  <c r="G829" i="15"/>
  <c r="D829" i="15"/>
  <c r="C829" i="15"/>
  <c r="G828" i="15"/>
  <c r="D828" i="15"/>
  <c r="C828" i="15"/>
  <c r="G827" i="15"/>
  <c r="D827" i="15"/>
  <c r="C827" i="15"/>
  <c r="G826" i="15"/>
  <c r="D826" i="15"/>
  <c r="C826" i="15"/>
  <c r="G825" i="15"/>
  <c r="D825" i="15"/>
  <c r="C825" i="15"/>
  <c r="G824" i="15"/>
  <c r="D824" i="15"/>
  <c r="C824" i="15"/>
  <c r="G823" i="15"/>
  <c r="D823" i="15"/>
  <c r="C823" i="15"/>
  <c r="G822" i="15"/>
  <c r="D822" i="15"/>
  <c r="C822" i="15"/>
  <c r="G821" i="15"/>
  <c r="D821" i="15"/>
  <c r="C821" i="15"/>
  <c r="G820" i="15"/>
  <c r="D820" i="15"/>
  <c r="C820" i="15"/>
  <c r="G819" i="15"/>
  <c r="D819" i="15"/>
  <c r="C819" i="15"/>
  <c r="G818" i="15"/>
  <c r="D818" i="15"/>
  <c r="C818" i="15"/>
  <c r="G817" i="15"/>
  <c r="D817" i="15"/>
  <c r="C817" i="15"/>
  <c r="G816" i="15"/>
  <c r="D816" i="15"/>
  <c r="C816" i="15"/>
  <c r="G815" i="15"/>
  <c r="D815" i="15"/>
  <c r="C815" i="15"/>
  <c r="G814" i="15"/>
  <c r="D814" i="15"/>
  <c r="C814" i="15"/>
  <c r="G813" i="15"/>
  <c r="D813" i="15"/>
  <c r="C813" i="15"/>
  <c r="G812" i="15"/>
  <c r="D812" i="15"/>
  <c r="C812" i="15"/>
  <c r="G811" i="15"/>
  <c r="D811" i="15"/>
  <c r="C811" i="15"/>
  <c r="G810" i="15"/>
  <c r="D810" i="15"/>
  <c r="C810" i="15"/>
  <c r="G809" i="15"/>
  <c r="D809" i="15"/>
  <c r="C809" i="15"/>
  <c r="G808" i="15"/>
  <c r="D808" i="15"/>
  <c r="C808" i="15"/>
  <c r="G807" i="15"/>
  <c r="D807" i="15"/>
  <c r="C807" i="15"/>
  <c r="G806" i="15"/>
  <c r="D806" i="15"/>
  <c r="C806" i="15"/>
  <c r="G805" i="15"/>
  <c r="D805" i="15"/>
  <c r="C805" i="15"/>
  <c r="G804" i="15"/>
  <c r="D804" i="15"/>
  <c r="C804" i="15"/>
  <c r="G803" i="15"/>
  <c r="D803" i="15"/>
  <c r="C803" i="15"/>
  <c r="G802" i="15"/>
  <c r="D802" i="15"/>
  <c r="C802" i="15"/>
  <c r="G801" i="15"/>
  <c r="D801" i="15"/>
  <c r="C801" i="15"/>
  <c r="G800" i="15"/>
  <c r="D800" i="15"/>
  <c r="C800" i="15"/>
  <c r="G799" i="15"/>
  <c r="D799" i="15"/>
  <c r="C799" i="15"/>
  <c r="G798" i="15"/>
  <c r="D798" i="15"/>
  <c r="C798" i="15"/>
  <c r="G797" i="15"/>
  <c r="D797" i="15"/>
  <c r="C797" i="15"/>
  <c r="G796" i="15"/>
  <c r="D796" i="15"/>
  <c r="C796" i="15"/>
  <c r="G795" i="15"/>
  <c r="D795" i="15"/>
  <c r="C795" i="15"/>
  <c r="G794" i="15"/>
  <c r="D794" i="15"/>
  <c r="C794" i="15"/>
  <c r="G793" i="15"/>
  <c r="D793" i="15"/>
  <c r="C793" i="15"/>
  <c r="G792" i="15"/>
  <c r="D792" i="15"/>
  <c r="C792" i="15"/>
  <c r="G791" i="15"/>
  <c r="D791" i="15"/>
  <c r="C791" i="15"/>
  <c r="G790" i="15"/>
  <c r="D790" i="15"/>
  <c r="C790" i="15"/>
  <c r="G789" i="15"/>
  <c r="D789" i="15"/>
  <c r="C789" i="15"/>
  <c r="G788" i="15"/>
  <c r="D788" i="15"/>
  <c r="C788" i="15"/>
  <c r="G787" i="15"/>
  <c r="D787" i="15"/>
  <c r="C787" i="15"/>
  <c r="G786" i="15"/>
  <c r="D786" i="15"/>
  <c r="C786" i="15"/>
  <c r="G785" i="15"/>
  <c r="D785" i="15"/>
  <c r="C785" i="15"/>
  <c r="G784" i="15"/>
  <c r="D784" i="15"/>
  <c r="C784" i="15"/>
  <c r="G783" i="15"/>
  <c r="D783" i="15"/>
  <c r="C783" i="15"/>
  <c r="G782" i="15"/>
  <c r="D782" i="15"/>
  <c r="C782" i="15"/>
  <c r="G781" i="15"/>
  <c r="D781" i="15"/>
  <c r="C781" i="15"/>
  <c r="G780" i="15"/>
  <c r="D780" i="15"/>
  <c r="C780" i="15"/>
  <c r="G779" i="15"/>
  <c r="D779" i="15"/>
  <c r="C779" i="15"/>
  <c r="G778" i="15"/>
  <c r="D778" i="15"/>
  <c r="C778" i="15"/>
  <c r="G777" i="15"/>
  <c r="D777" i="15"/>
  <c r="C777" i="15"/>
  <c r="G776" i="15"/>
  <c r="D776" i="15"/>
  <c r="C776" i="15"/>
  <c r="G775" i="15"/>
  <c r="D775" i="15"/>
  <c r="C775" i="15"/>
  <c r="G774" i="15"/>
  <c r="D774" i="15"/>
  <c r="C774" i="15"/>
  <c r="G773" i="15"/>
  <c r="D773" i="15"/>
  <c r="C773" i="15"/>
  <c r="G772" i="15"/>
  <c r="D772" i="15"/>
  <c r="C772" i="15"/>
  <c r="G771" i="15"/>
  <c r="D771" i="15"/>
  <c r="C771" i="15"/>
  <c r="G770" i="15"/>
  <c r="D770" i="15"/>
  <c r="C770" i="15"/>
  <c r="G769" i="15"/>
  <c r="D769" i="15"/>
  <c r="C769" i="15"/>
  <c r="G768" i="15"/>
  <c r="D768" i="15"/>
  <c r="C768" i="15"/>
  <c r="G767" i="15"/>
  <c r="D767" i="15"/>
  <c r="C767" i="15"/>
  <c r="G766" i="15"/>
  <c r="D766" i="15"/>
  <c r="C766" i="15"/>
  <c r="G765" i="15"/>
  <c r="D765" i="15"/>
  <c r="C765" i="15"/>
  <c r="G764" i="15"/>
  <c r="D764" i="15"/>
  <c r="C764" i="15"/>
  <c r="G763" i="15"/>
  <c r="D763" i="15"/>
  <c r="C763" i="15"/>
  <c r="G762" i="15"/>
  <c r="D762" i="15"/>
  <c r="C762" i="15"/>
  <c r="G761" i="15"/>
  <c r="D761" i="15"/>
  <c r="C761" i="15"/>
  <c r="G760" i="15"/>
  <c r="D760" i="15"/>
  <c r="C760" i="15"/>
  <c r="G759" i="15"/>
  <c r="D759" i="15"/>
  <c r="C759" i="15"/>
  <c r="G758" i="15"/>
  <c r="D758" i="15"/>
  <c r="C758" i="15"/>
  <c r="G757" i="15"/>
  <c r="D757" i="15"/>
  <c r="C757" i="15"/>
  <c r="G756" i="15"/>
  <c r="D756" i="15"/>
  <c r="C756" i="15"/>
  <c r="G755" i="15"/>
  <c r="D755" i="15"/>
  <c r="C755" i="15"/>
  <c r="G754" i="15"/>
  <c r="D754" i="15"/>
  <c r="C754" i="15"/>
  <c r="G753" i="15"/>
  <c r="D753" i="15"/>
  <c r="C753" i="15"/>
  <c r="G752" i="15"/>
  <c r="D752" i="15"/>
  <c r="C752" i="15"/>
  <c r="G751" i="15"/>
  <c r="D751" i="15"/>
  <c r="C751" i="15"/>
  <c r="G750" i="15"/>
  <c r="D750" i="15"/>
  <c r="C750" i="15"/>
  <c r="G749" i="15"/>
  <c r="D749" i="15"/>
  <c r="C749" i="15"/>
  <c r="G748" i="15"/>
  <c r="D748" i="15"/>
  <c r="C748" i="15"/>
  <c r="G747" i="15"/>
  <c r="D747" i="15"/>
  <c r="C747" i="15"/>
  <c r="G746" i="15"/>
  <c r="D746" i="15"/>
  <c r="C746" i="15"/>
  <c r="G745" i="15"/>
  <c r="D745" i="15"/>
  <c r="C745" i="15"/>
  <c r="G744" i="15"/>
  <c r="D744" i="15"/>
  <c r="C744" i="15"/>
  <c r="G743" i="15"/>
  <c r="D743" i="15"/>
  <c r="C743" i="15"/>
  <c r="G742" i="15"/>
  <c r="D742" i="15"/>
  <c r="C742" i="15"/>
  <c r="G741" i="15"/>
  <c r="D741" i="15"/>
  <c r="C741" i="15"/>
  <c r="G740" i="15"/>
  <c r="D740" i="15"/>
  <c r="C740" i="15"/>
  <c r="G739" i="15"/>
  <c r="D739" i="15"/>
  <c r="C739" i="15"/>
  <c r="G738" i="15"/>
  <c r="D738" i="15"/>
  <c r="C738" i="15"/>
  <c r="G737" i="15"/>
  <c r="D737" i="15"/>
  <c r="C737" i="15"/>
  <c r="G736" i="15"/>
  <c r="D736" i="15"/>
  <c r="C736" i="15"/>
  <c r="G735" i="15"/>
  <c r="D735" i="15"/>
  <c r="C735" i="15"/>
  <c r="G734" i="15"/>
  <c r="D734" i="15"/>
  <c r="C734" i="15"/>
  <c r="G733" i="15"/>
  <c r="D733" i="15"/>
  <c r="C733" i="15"/>
  <c r="G732" i="15"/>
  <c r="D732" i="15"/>
  <c r="C732" i="15"/>
  <c r="G731" i="15"/>
  <c r="D731" i="15"/>
  <c r="C731" i="15"/>
  <c r="G730" i="15"/>
  <c r="D730" i="15"/>
  <c r="C730" i="15"/>
  <c r="G729" i="15"/>
  <c r="D729" i="15"/>
  <c r="C729" i="15"/>
  <c r="G728" i="15"/>
  <c r="D728" i="15"/>
  <c r="C728" i="15"/>
  <c r="G727" i="15"/>
  <c r="D727" i="15"/>
  <c r="C727" i="15"/>
  <c r="G726" i="15"/>
  <c r="D726" i="15"/>
  <c r="C726" i="15"/>
  <c r="G725" i="15"/>
  <c r="D725" i="15"/>
  <c r="C725" i="15"/>
  <c r="G724" i="15"/>
  <c r="D724" i="15"/>
  <c r="C724" i="15"/>
  <c r="G723" i="15"/>
  <c r="D723" i="15"/>
  <c r="C723" i="15"/>
  <c r="G722" i="15"/>
  <c r="D722" i="15"/>
  <c r="C722" i="15"/>
  <c r="G721" i="15"/>
  <c r="D721" i="15"/>
  <c r="C721" i="15"/>
  <c r="G720" i="15"/>
  <c r="D720" i="15"/>
  <c r="C720" i="15"/>
  <c r="G719" i="15"/>
  <c r="D719" i="15"/>
  <c r="C719" i="15"/>
  <c r="G718" i="15"/>
  <c r="D718" i="15"/>
  <c r="C718" i="15"/>
  <c r="G717" i="15"/>
  <c r="D717" i="15"/>
  <c r="C717" i="15"/>
  <c r="G716" i="15"/>
  <c r="D716" i="15"/>
  <c r="C716" i="15"/>
  <c r="G715" i="15"/>
  <c r="D715" i="15"/>
  <c r="C715" i="15"/>
  <c r="G714" i="15"/>
  <c r="D714" i="15"/>
  <c r="C714" i="15"/>
  <c r="G713" i="15"/>
  <c r="D713" i="15"/>
  <c r="C713" i="15"/>
  <c r="G712" i="15"/>
  <c r="D712" i="15"/>
  <c r="C712" i="15"/>
  <c r="G711" i="15"/>
  <c r="D711" i="15"/>
  <c r="C711" i="15"/>
  <c r="G710" i="15"/>
  <c r="D710" i="15"/>
  <c r="C710" i="15"/>
  <c r="G709" i="15"/>
  <c r="D709" i="15"/>
  <c r="C709" i="15"/>
  <c r="G708" i="15"/>
  <c r="D708" i="15"/>
  <c r="C708" i="15"/>
  <c r="G707" i="15"/>
  <c r="D707" i="15"/>
  <c r="C707" i="15"/>
  <c r="G706" i="15"/>
  <c r="D706" i="15"/>
  <c r="C706" i="15"/>
  <c r="G705" i="15"/>
  <c r="D705" i="15"/>
  <c r="C705" i="15"/>
  <c r="G704" i="15"/>
  <c r="D704" i="15"/>
  <c r="C704" i="15"/>
  <c r="G703" i="15"/>
  <c r="D703" i="15"/>
  <c r="C703" i="15"/>
  <c r="G702" i="15"/>
  <c r="D702" i="15"/>
  <c r="C702" i="15"/>
  <c r="G701" i="15"/>
  <c r="D701" i="15"/>
  <c r="C701" i="15"/>
  <c r="G700" i="15"/>
  <c r="D700" i="15"/>
  <c r="C700" i="15"/>
  <c r="G699" i="15"/>
  <c r="D699" i="15"/>
  <c r="C699" i="15"/>
  <c r="G698" i="15"/>
  <c r="D698" i="15"/>
  <c r="C698" i="15"/>
  <c r="G697" i="15"/>
  <c r="D697" i="15"/>
  <c r="C697" i="15"/>
  <c r="G696" i="15"/>
  <c r="D696" i="15"/>
  <c r="C696" i="15"/>
  <c r="G695" i="15"/>
  <c r="D695" i="15"/>
  <c r="C695" i="15"/>
  <c r="G694" i="15"/>
  <c r="D694" i="15"/>
  <c r="C694" i="15"/>
  <c r="G693" i="15"/>
  <c r="D693" i="15"/>
  <c r="C693" i="15"/>
  <c r="G692" i="15"/>
  <c r="D692" i="15"/>
  <c r="C692" i="15"/>
  <c r="G691" i="15"/>
  <c r="D691" i="15"/>
  <c r="C691" i="15"/>
  <c r="G690" i="15"/>
  <c r="D690" i="15"/>
  <c r="C690" i="15"/>
  <c r="G689" i="15"/>
  <c r="D689" i="15"/>
  <c r="C689" i="15"/>
  <c r="G688" i="15"/>
  <c r="D688" i="15"/>
  <c r="C688" i="15"/>
  <c r="G687" i="15"/>
  <c r="D687" i="15"/>
  <c r="C687" i="15"/>
  <c r="G686" i="15"/>
  <c r="D686" i="15"/>
  <c r="C686" i="15"/>
  <c r="G685" i="15"/>
  <c r="D685" i="15"/>
  <c r="C685" i="15"/>
  <c r="G684" i="15"/>
  <c r="D684" i="15"/>
  <c r="C684" i="15"/>
  <c r="G683" i="15"/>
  <c r="D683" i="15"/>
  <c r="C683" i="15"/>
  <c r="G682" i="15"/>
  <c r="D682" i="15"/>
  <c r="C682" i="15"/>
  <c r="G681" i="15"/>
  <c r="D681" i="15"/>
  <c r="C681" i="15"/>
  <c r="G680" i="15"/>
  <c r="D680" i="15"/>
  <c r="C680" i="15"/>
  <c r="G679" i="15"/>
  <c r="D679" i="15"/>
  <c r="C679" i="15"/>
  <c r="G678" i="15"/>
  <c r="D678" i="15"/>
  <c r="C678" i="15"/>
  <c r="G677" i="15"/>
  <c r="D677" i="15"/>
  <c r="C677" i="15"/>
  <c r="G676" i="15"/>
  <c r="D676" i="15"/>
  <c r="C676" i="15"/>
  <c r="G675" i="15"/>
  <c r="D675" i="15"/>
  <c r="C675" i="15"/>
  <c r="G674" i="15"/>
  <c r="D674" i="15"/>
  <c r="C674" i="15"/>
  <c r="G673" i="15"/>
  <c r="D673" i="15"/>
  <c r="C673" i="15"/>
  <c r="G672" i="15"/>
  <c r="D672" i="15"/>
  <c r="C672" i="15"/>
  <c r="G671" i="15"/>
  <c r="D671" i="15"/>
  <c r="C671" i="15"/>
  <c r="G670" i="15"/>
  <c r="D670" i="15"/>
  <c r="C670" i="15"/>
  <c r="G669" i="15"/>
  <c r="D669" i="15"/>
  <c r="C669" i="15"/>
  <c r="G668" i="15"/>
  <c r="D668" i="15"/>
  <c r="C668" i="15"/>
  <c r="G667" i="15"/>
  <c r="D667" i="15"/>
  <c r="C667" i="15"/>
  <c r="G666" i="15"/>
  <c r="D666" i="15"/>
  <c r="C666" i="15"/>
  <c r="G665" i="15"/>
  <c r="D665" i="15"/>
  <c r="C665" i="15"/>
  <c r="G664" i="15"/>
  <c r="D664" i="15"/>
  <c r="C664" i="15"/>
  <c r="G663" i="15"/>
  <c r="D663" i="15"/>
  <c r="C663" i="15"/>
  <c r="G662" i="15"/>
  <c r="D662" i="15"/>
  <c r="C662" i="15"/>
  <c r="G661" i="15"/>
  <c r="D661" i="15"/>
  <c r="C661" i="15"/>
  <c r="G660" i="15"/>
  <c r="D660" i="15"/>
  <c r="C660" i="15"/>
  <c r="G659" i="15"/>
  <c r="D659" i="15"/>
  <c r="C659" i="15"/>
  <c r="G658" i="15"/>
  <c r="D658" i="15"/>
  <c r="C658" i="15"/>
  <c r="G657" i="15"/>
  <c r="D657" i="15"/>
  <c r="C657" i="15"/>
  <c r="G656" i="15"/>
  <c r="D656" i="15"/>
  <c r="C656" i="15"/>
  <c r="G655" i="15"/>
  <c r="D655" i="15"/>
  <c r="C655" i="15"/>
  <c r="G654" i="15"/>
  <c r="D654" i="15"/>
  <c r="C654" i="15"/>
  <c r="G653" i="15"/>
  <c r="D653" i="15"/>
  <c r="C653" i="15"/>
  <c r="G652" i="15"/>
  <c r="D652" i="15"/>
  <c r="C652" i="15"/>
  <c r="G651" i="15"/>
  <c r="D651" i="15"/>
  <c r="C651" i="15"/>
  <c r="G650" i="15"/>
  <c r="D650" i="15"/>
  <c r="C650" i="15"/>
  <c r="G649" i="15"/>
  <c r="D649" i="15"/>
  <c r="C649" i="15"/>
  <c r="G648" i="15"/>
  <c r="D648" i="15"/>
  <c r="C648" i="15"/>
  <c r="G647" i="15"/>
  <c r="D647" i="15"/>
  <c r="C647" i="15"/>
  <c r="G646" i="15"/>
  <c r="D646" i="15"/>
  <c r="C646" i="15"/>
  <c r="G645" i="15"/>
  <c r="D645" i="15"/>
  <c r="C645" i="15"/>
  <c r="G644" i="15"/>
  <c r="D644" i="15"/>
  <c r="C644" i="15"/>
  <c r="G643" i="15"/>
  <c r="D643" i="15"/>
  <c r="C643" i="15"/>
  <c r="G642" i="15"/>
  <c r="D642" i="15"/>
  <c r="C642" i="15"/>
  <c r="G641" i="15"/>
  <c r="D641" i="15"/>
  <c r="C641" i="15"/>
  <c r="G640" i="15"/>
  <c r="D640" i="15"/>
  <c r="C640" i="15"/>
  <c r="G639" i="15"/>
  <c r="D639" i="15"/>
  <c r="C639" i="15"/>
  <c r="G638" i="15"/>
  <c r="D638" i="15"/>
  <c r="C638" i="15"/>
  <c r="G637" i="15"/>
  <c r="D637" i="15"/>
  <c r="C637" i="15"/>
  <c r="G636" i="15"/>
  <c r="D636" i="15"/>
  <c r="C636" i="15"/>
  <c r="G635" i="15"/>
  <c r="D635" i="15"/>
  <c r="C635" i="15"/>
  <c r="G634" i="15"/>
  <c r="D634" i="15"/>
  <c r="C634" i="15"/>
  <c r="G633" i="15"/>
  <c r="D633" i="15"/>
  <c r="C633" i="15"/>
  <c r="G632" i="15"/>
  <c r="D632" i="15"/>
  <c r="C632" i="15"/>
  <c r="G631" i="15"/>
  <c r="D631" i="15"/>
  <c r="C631" i="15"/>
  <c r="G630" i="15"/>
  <c r="D630" i="15"/>
  <c r="C630" i="15"/>
  <c r="G629" i="15"/>
  <c r="D629" i="15"/>
  <c r="C629" i="15"/>
  <c r="G628" i="15"/>
  <c r="D628" i="15"/>
  <c r="C628" i="15"/>
  <c r="G627" i="15"/>
  <c r="D627" i="15"/>
  <c r="C627" i="15"/>
  <c r="G626" i="15"/>
  <c r="D626" i="15"/>
  <c r="C626" i="15"/>
  <c r="G625" i="15"/>
  <c r="D625" i="15"/>
  <c r="C625" i="15"/>
  <c r="G624" i="15"/>
  <c r="D624" i="15"/>
  <c r="C624" i="15"/>
  <c r="G623" i="15"/>
  <c r="D623" i="15"/>
  <c r="C623" i="15"/>
  <c r="G622" i="15"/>
  <c r="D622" i="15"/>
  <c r="C622" i="15"/>
  <c r="G621" i="15"/>
  <c r="D621" i="15"/>
  <c r="C621" i="15"/>
  <c r="G620" i="15"/>
  <c r="D620" i="15"/>
  <c r="C620" i="15"/>
  <c r="G619" i="15"/>
  <c r="D619" i="15"/>
  <c r="C619" i="15"/>
  <c r="G618" i="15"/>
  <c r="D618" i="15"/>
  <c r="C618" i="15"/>
  <c r="G617" i="15"/>
  <c r="D617" i="15"/>
  <c r="C617" i="15"/>
  <c r="G616" i="15"/>
  <c r="D616" i="15"/>
  <c r="C616" i="15"/>
  <c r="G615" i="15"/>
  <c r="D615" i="15"/>
  <c r="C615" i="15"/>
  <c r="G614" i="15"/>
  <c r="D614" i="15"/>
  <c r="C614" i="15"/>
  <c r="G613" i="15"/>
  <c r="D613" i="15"/>
  <c r="C613" i="15"/>
  <c r="G612" i="15"/>
  <c r="D612" i="15"/>
  <c r="C612" i="15"/>
  <c r="G611" i="15"/>
  <c r="D611" i="15"/>
  <c r="C611" i="15"/>
  <c r="G610" i="15"/>
  <c r="D610" i="15"/>
  <c r="C610" i="15"/>
  <c r="G609" i="15"/>
  <c r="D609" i="15"/>
  <c r="C609" i="15"/>
  <c r="G608" i="15"/>
  <c r="D608" i="15"/>
  <c r="C608" i="15"/>
  <c r="G607" i="15"/>
  <c r="D607" i="15"/>
  <c r="C607" i="15"/>
  <c r="G606" i="15"/>
  <c r="D606" i="15"/>
  <c r="C606" i="15"/>
  <c r="G605" i="15"/>
  <c r="D605" i="15"/>
  <c r="C605" i="15"/>
  <c r="G604" i="15"/>
  <c r="D604" i="15"/>
  <c r="C604" i="15"/>
  <c r="G603" i="15"/>
  <c r="D603" i="15"/>
  <c r="C603" i="15"/>
  <c r="G602" i="15"/>
  <c r="D602" i="15"/>
  <c r="C602" i="15"/>
  <c r="G601" i="15"/>
  <c r="D601" i="15"/>
  <c r="C601" i="15"/>
  <c r="G600" i="15"/>
  <c r="D600" i="15"/>
  <c r="C600" i="15"/>
  <c r="G599" i="15"/>
  <c r="D599" i="15"/>
  <c r="C599" i="15"/>
  <c r="G598" i="15"/>
  <c r="D598" i="15"/>
  <c r="C598" i="15"/>
  <c r="G597" i="15"/>
  <c r="D597" i="15"/>
  <c r="C597" i="15"/>
  <c r="G596" i="15"/>
  <c r="D596" i="15"/>
  <c r="C596" i="15"/>
  <c r="G595" i="15"/>
  <c r="D595" i="15"/>
  <c r="C595" i="15"/>
  <c r="G594" i="15"/>
  <c r="D594" i="15"/>
  <c r="C594" i="15"/>
  <c r="G593" i="15"/>
  <c r="D593" i="15"/>
  <c r="C593" i="15"/>
  <c r="G592" i="15"/>
  <c r="D592" i="15"/>
  <c r="C592" i="15"/>
  <c r="G591" i="15"/>
  <c r="D591" i="15"/>
  <c r="C591" i="15"/>
  <c r="G590" i="15"/>
  <c r="D590" i="15"/>
  <c r="C590" i="15"/>
  <c r="G589" i="15"/>
  <c r="D589" i="15"/>
  <c r="C589" i="15"/>
  <c r="G588" i="15"/>
  <c r="D588" i="15"/>
  <c r="C588" i="15"/>
  <c r="G587" i="15"/>
  <c r="D587" i="15"/>
  <c r="C587" i="15"/>
  <c r="G586" i="15"/>
  <c r="D586" i="15"/>
  <c r="C586" i="15"/>
  <c r="G585" i="15"/>
  <c r="D585" i="15"/>
  <c r="C585" i="15"/>
  <c r="G584" i="15"/>
  <c r="D584" i="15"/>
  <c r="C584" i="15"/>
  <c r="G583" i="15"/>
  <c r="D583" i="15"/>
  <c r="C583" i="15"/>
  <c r="G582" i="15"/>
  <c r="D582" i="15"/>
  <c r="C582" i="15"/>
  <c r="G581" i="15"/>
  <c r="D581" i="15"/>
  <c r="C581" i="15"/>
  <c r="G580" i="15"/>
  <c r="D580" i="15"/>
  <c r="C580" i="15"/>
  <c r="G579" i="15"/>
  <c r="D579" i="15"/>
  <c r="C579" i="15"/>
  <c r="G578" i="15"/>
  <c r="D578" i="15"/>
  <c r="C578" i="15"/>
  <c r="G577" i="15"/>
  <c r="D577" i="15"/>
  <c r="C577" i="15"/>
  <c r="G576" i="15"/>
  <c r="D576" i="15"/>
  <c r="C576" i="15"/>
  <c r="G575" i="15"/>
  <c r="D575" i="15"/>
  <c r="C575" i="15"/>
  <c r="G574" i="15"/>
  <c r="D574" i="15"/>
  <c r="C574" i="15"/>
  <c r="G573" i="15"/>
  <c r="D573" i="15"/>
  <c r="C573" i="15"/>
  <c r="G572" i="15"/>
  <c r="D572" i="15"/>
  <c r="C572" i="15"/>
  <c r="G571" i="15"/>
  <c r="D571" i="15"/>
  <c r="C571" i="15"/>
  <c r="G570" i="15"/>
  <c r="D570" i="15"/>
  <c r="C570" i="15"/>
  <c r="G569" i="15"/>
  <c r="D569" i="15"/>
  <c r="C569" i="15"/>
  <c r="G568" i="15"/>
  <c r="D568" i="15"/>
  <c r="C568" i="15"/>
  <c r="G567" i="15"/>
  <c r="D567" i="15"/>
  <c r="C567" i="15"/>
  <c r="G566" i="15"/>
  <c r="D566" i="15"/>
  <c r="C566" i="15"/>
  <c r="G565" i="15"/>
  <c r="D565" i="15"/>
  <c r="C565" i="15"/>
  <c r="G564" i="15"/>
  <c r="D564" i="15"/>
  <c r="C564" i="15"/>
  <c r="G563" i="15"/>
  <c r="D563" i="15"/>
  <c r="C563" i="15"/>
  <c r="G562" i="15"/>
  <c r="D562" i="15"/>
  <c r="C562" i="15"/>
  <c r="G561" i="15"/>
  <c r="D561" i="15"/>
  <c r="C561" i="15"/>
  <c r="G560" i="15"/>
  <c r="D560" i="15"/>
  <c r="C560" i="15"/>
  <c r="G559" i="15"/>
  <c r="D559" i="15"/>
  <c r="C559" i="15"/>
  <c r="G558" i="15"/>
  <c r="D558" i="15"/>
  <c r="C558" i="15"/>
  <c r="G557" i="15"/>
  <c r="D557" i="15"/>
  <c r="C557" i="15"/>
  <c r="G556" i="15"/>
  <c r="D556" i="15"/>
  <c r="C556" i="15"/>
  <c r="G555" i="15"/>
  <c r="D555" i="15"/>
  <c r="C555" i="15"/>
  <c r="G554" i="15"/>
  <c r="D554" i="15"/>
  <c r="C554" i="15"/>
  <c r="G553" i="15"/>
  <c r="D553" i="15"/>
  <c r="C553" i="15"/>
  <c r="G552" i="15"/>
  <c r="D552" i="15"/>
  <c r="C552" i="15"/>
  <c r="G551" i="15"/>
  <c r="D551" i="15"/>
  <c r="C551" i="15"/>
  <c r="G550" i="15"/>
  <c r="D550" i="15"/>
  <c r="C550" i="15"/>
  <c r="G549" i="15"/>
  <c r="D549" i="15"/>
  <c r="C549" i="15"/>
  <c r="G548" i="15"/>
  <c r="D548" i="15"/>
  <c r="C548" i="15"/>
  <c r="G547" i="15"/>
  <c r="D547" i="15"/>
  <c r="C547" i="15"/>
  <c r="G546" i="15"/>
  <c r="D546" i="15"/>
  <c r="C546" i="15"/>
  <c r="G545" i="15"/>
  <c r="D545" i="15"/>
  <c r="C545" i="15"/>
  <c r="G544" i="15"/>
  <c r="D544" i="15"/>
  <c r="C544" i="15"/>
  <c r="G543" i="15"/>
  <c r="D543" i="15"/>
  <c r="C543" i="15"/>
  <c r="G542" i="15"/>
  <c r="D542" i="15"/>
  <c r="C542" i="15"/>
  <c r="G541" i="15"/>
  <c r="D541" i="15"/>
  <c r="C541" i="15"/>
  <c r="G540" i="15"/>
  <c r="D540" i="15"/>
  <c r="C540" i="15"/>
  <c r="G539" i="15"/>
  <c r="D539" i="15"/>
  <c r="C539" i="15"/>
  <c r="G538" i="15"/>
  <c r="D538" i="15"/>
  <c r="C538" i="15"/>
  <c r="G537" i="15"/>
  <c r="D537" i="15"/>
  <c r="C537" i="15"/>
  <c r="G536" i="15"/>
  <c r="D536" i="15"/>
  <c r="C536" i="15"/>
  <c r="G535" i="15"/>
  <c r="D535" i="15"/>
  <c r="C535" i="15"/>
  <c r="G534" i="15"/>
  <c r="D534" i="15"/>
  <c r="C534" i="15"/>
  <c r="G533" i="15"/>
  <c r="D533" i="15"/>
  <c r="C533" i="15"/>
  <c r="G532" i="15"/>
  <c r="D532" i="15"/>
  <c r="C532" i="15"/>
  <c r="G531" i="15"/>
  <c r="D531" i="15"/>
  <c r="C531" i="15"/>
  <c r="G530" i="15"/>
  <c r="D530" i="15"/>
  <c r="C530" i="15"/>
  <c r="G529" i="15"/>
  <c r="D529" i="15"/>
  <c r="C529" i="15"/>
  <c r="G528" i="15"/>
  <c r="D528" i="15"/>
  <c r="C528" i="15"/>
  <c r="G527" i="15"/>
  <c r="D527" i="15"/>
  <c r="C527" i="15"/>
  <c r="G526" i="15"/>
  <c r="D526" i="15"/>
  <c r="C526" i="15"/>
  <c r="G525" i="15"/>
  <c r="D525" i="15"/>
  <c r="C525" i="15"/>
  <c r="G524" i="15"/>
  <c r="D524" i="15"/>
  <c r="C524" i="15"/>
  <c r="G523" i="15"/>
  <c r="D523" i="15"/>
  <c r="C523" i="15"/>
  <c r="G522" i="15"/>
  <c r="D522" i="15"/>
  <c r="C522" i="15"/>
  <c r="G521" i="15"/>
  <c r="D521" i="15"/>
  <c r="C521" i="15"/>
  <c r="G520" i="15"/>
  <c r="D520" i="15"/>
  <c r="C520" i="15"/>
  <c r="G519" i="15"/>
  <c r="D519" i="15"/>
  <c r="C519" i="15"/>
  <c r="G518" i="15"/>
  <c r="D518" i="15"/>
  <c r="C518" i="15"/>
  <c r="G517" i="15"/>
  <c r="D517" i="15"/>
  <c r="C517" i="15"/>
  <c r="G516" i="15"/>
  <c r="D516" i="15"/>
  <c r="C516" i="15"/>
  <c r="G515" i="15"/>
  <c r="D515" i="15"/>
  <c r="C515" i="15"/>
  <c r="G514" i="15"/>
  <c r="D514" i="15"/>
  <c r="C514" i="15"/>
  <c r="G513" i="15"/>
  <c r="D513" i="15"/>
  <c r="C513" i="15"/>
  <c r="G512" i="15"/>
  <c r="D512" i="15"/>
  <c r="C512" i="15"/>
  <c r="G511" i="15"/>
  <c r="D511" i="15"/>
  <c r="C511" i="15"/>
  <c r="G510" i="15"/>
  <c r="D510" i="15"/>
  <c r="C510" i="15"/>
  <c r="G509" i="15"/>
  <c r="D509" i="15"/>
  <c r="C509" i="15"/>
  <c r="G508" i="15"/>
  <c r="D508" i="15"/>
  <c r="C508" i="15"/>
  <c r="G507" i="15"/>
  <c r="D507" i="15"/>
  <c r="C507" i="15"/>
  <c r="G506" i="15"/>
  <c r="D506" i="15"/>
  <c r="C506" i="15"/>
  <c r="G505" i="15"/>
  <c r="D505" i="15"/>
  <c r="C505" i="15"/>
  <c r="G504" i="15"/>
  <c r="D504" i="15"/>
  <c r="C504" i="15"/>
  <c r="G503" i="15"/>
  <c r="D503" i="15"/>
  <c r="C503" i="15"/>
  <c r="G502" i="15"/>
  <c r="D502" i="15"/>
  <c r="C502" i="15"/>
  <c r="G501" i="15"/>
  <c r="D501" i="15"/>
  <c r="C501" i="15"/>
  <c r="G500" i="15"/>
  <c r="D500" i="15"/>
  <c r="C500" i="15"/>
  <c r="G499" i="15"/>
  <c r="D499" i="15"/>
  <c r="C499" i="15"/>
  <c r="G498" i="15"/>
  <c r="D498" i="15"/>
  <c r="C498" i="15"/>
  <c r="G497" i="15"/>
  <c r="D497" i="15"/>
  <c r="C497" i="15"/>
  <c r="G496" i="15"/>
  <c r="D496" i="15"/>
  <c r="C496" i="15"/>
  <c r="G495" i="15"/>
  <c r="D495" i="15"/>
  <c r="C495" i="15"/>
  <c r="G494" i="15"/>
  <c r="D494" i="15"/>
  <c r="C494" i="15"/>
  <c r="G493" i="15"/>
  <c r="D493" i="15"/>
  <c r="C493" i="15"/>
  <c r="G492" i="15"/>
  <c r="D492" i="15"/>
  <c r="C492" i="15"/>
  <c r="G491" i="15"/>
  <c r="D491" i="15"/>
  <c r="C491" i="15"/>
  <c r="G490" i="15"/>
  <c r="D490" i="15"/>
  <c r="C490" i="15"/>
  <c r="G489" i="15"/>
  <c r="D489" i="15"/>
  <c r="C489" i="15"/>
  <c r="G488" i="15"/>
  <c r="D488" i="15"/>
  <c r="C488" i="15"/>
  <c r="G487" i="15"/>
  <c r="D487" i="15"/>
  <c r="C487" i="15"/>
  <c r="G486" i="15"/>
  <c r="D486" i="15"/>
  <c r="C486" i="15"/>
  <c r="G485" i="15"/>
  <c r="D485" i="15"/>
  <c r="C485" i="15"/>
  <c r="G484" i="15"/>
  <c r="D484" i="15"/>
  <c r="C484" i="15"/>
  <c r="G483" i="15"/>
  <c r="D483" i="15"/>
  <c r="C483" i="15"/>
  <c r="G482" i="15"/>
  <c r="D482" i="15"/>
  <c r="C482" i="15"/>
  <c r="G481" i="15"/>
  <c r="D481" i="15"/>
  <c r="C481" i="15"/>
  <c r="G480" i="15"/>
  <c r="D480" i="15"/>
  <c r="C480" i="15"/>
  <c r="G479" i="15"/>
  <c r="D479" i="15"/>
  <c r="C479" i="15"/>
  <c r="G478" i="15"/>
  <c r="D478" i="15"/>
  <c r="C478" i="15"/>
  <c r="G477" i="15"/>
  <c r="D477" i="15"/>
  <c r="C477" i="15"/>
  <c r="G476" i="15"/>
  <c r="D476" i="15"/>
  <c r="C476" i="15"/>
  <c r="G475" i="15"/>
  <c r="D475" i="15"/>
  <c r="C475" i="15"/>
  <c r="G474" i="15"/>
  <c r="D474" i="15"/>
  <c r="C474" i="15"/>
  <c r="G473" i="15"/>
  <c r="D473" i="15"/>
  <c r="C473" i="15"/>
  <c r="G472" i="15"/>
  <c r="D472" i="15"/>
  <c r="C472" i="15"/>
  <c r="G471" i="15"/>
  <c r="D471" i="15"/>
  <c r="C471" i="15"/>
  <c r="G470" i="15"/>
  <c r="D470" i="15"/>
  <c r="C470" i="15"/>
  <c r="G469" i="15"/>
  <c r="D469" i="15"/>
  <c r="C469" i="15"/>
  <c r="G468" i="15"/>
  <c r="D468" i="15"/>
  <c r="C468" i="15"/>
  <c r="G467" i="15"/>
  <c r="D467" i="15"/>
  <c r="C467" i="15"/>
  <c r="G466" i="15"/>
  <c r="D466" i="15"/>
  <c r="C466" i="15"/>
  <c r="G465" i="15"/>
  <c r="D465" i="15"/>
  <c r="C465" i="15"/>
  <c r="G464" i="15"/>
  <c r="D464" i="15"/>
  <c r="C464" i="15"/>
  <c r="G463" i="15"/>
  <c r="D463" i="15"/>
  <c r="C463" i="15"/>
  <c r="G462" i="15"/>
  <c r="D462" i="15"/>
  <c r="C462" i="15"/>
  <c r="G461" i="15"/>
  <c r="D461" i="15"/>
  <c r="C461" i="15"/>
  <c r="G460" i="15"/>
  <c r="D460" i="15"/>
  <c r="C460" i="15"/>
  <c r="G459" i="15"/>
  <c r="D459" i="15"/>
  <c r="C459" i="15"/>
  <c r="G458" i="15"/>
  <c r="D458" i="15"/>
  <c r="C458" i="15"/>
  <c r="G457" i="15"/>
  <c r="D457" i="15"/>
  <c r="C457" i="15"/>
  <c r="G456" i="15"/>
  <c r="D456" i="15"/>
  <c r="C456" i="15"/>
  <c r="G455" i="15"/>
  <c r="D455" i="15"/>
  <c r="C455" i="15"/>
  <c r="G454" i="15"/>
  <c r="D454" i="15"/>
  <c r="C454" i="15"/>
  <c r="G453" i="15"/>
  <c r="D453" i="15"/>
  <c r="C453" i="15"/>
  <c r="G452" i="15"/>
  <c r="D452" i="15"/>
  <c r="C452" i="15"/>
  <c r="G451" i="15"/>
  <c r="D451" i="15"/>
  <c r="C451" i="15"/>
  <c r="G450" i="15"/>
  <c r="D450" i="15"/>
  <c r="C450" i="15"/>
  <c r="G449" i="15"/>
  <c r="D449" i="15"/>
  <c r="C449" i="15"/>
  <c r="G448" i="15"/>
  <c r="D448" i="15"/>
  <c r="C448" i="15"/>
  <c r="G447" i="15"/>
  <c r="D447" i="15"/>
  <c r="C447" i="15"/>
  <c r="G446" i="15"/>
  <c r="D446" i="15"/>
  <c r="C446" i="15"/>
  <c r="G445" i="15"/>
  <c r="D445" i="15"/>
  <c r="C445" i="15"/>
  <c r="G444" i="15"/>
  <c r="D444" i="15"/>
  <c r="C444" i="15"/>
  <c r="G443" i="15"/>
  <c r="D443" i="15"/>
  <c r="C443" i="15"/>
  <c r="G442" i="15"/>
  <c r="D442" i="15"/>
  <c r="C442" i="15"/>
  <c r="G441" i="15"/>
  <c r="D441" i="15"/>
  <c r="C441" i="15"/>
  <c r="G440" i="15"/>
  <c r="D440" i="15"/>
  <c r="C440" i="15"/>
  <c r="G439" i="15"/>
  <c r="D439" i="15"/>
  <c r="C439" i="15"/>
  <c r="G438" i="15"/>
  <c r="D438" i="15"/>
  <c r="C438" i="15"/>
  <c r="G437" i="15"/>
  <c r="D437" i="15"/>
  <c r="C437" i="15"/>
  <c r="G436" i="15"/>
  <c r="D436" i="15"/>
  <c r="C436" i="15"/>
  <c r="G435" i="15"/>
  <c r="D435" i="15"/>
  <c r="C435" i="15"/>
  <c r="G434" i="15"/>
  <c r="D434" i="15"/>
  <c r="C434" i="15"/>
  <c r="G433" i="15"/>
  <c r="D433" i="15"/>
  <c r="C433" i="15"/>
  <c r="G432" i="15"/>
  <c r="D432" i="15"/>
  <c r="C432" i="15"/>
  <c r="G431" i="15"/>
  <c r="D431" i="15"/>
  <c r="C431" i="15"/>
  <c r="G430" i="15"/>
  <c r="D430" i="15"/>
  <c r="C430" i="15"/>
  <c r="G429" i="15"/>
  <c r="D429" i="15"/>
  <c r="C429" i="15"/>
  <c r="G428" i="15"/>
  <c r="D428" i="15"/>
  <c r="C428" i="15"/>
  <c r="G427" i="15"/>
  <c r="D427" i="15"/>
  <c r="C427" i="15"/>
  <c r="G426" i="15"/>
  <c r="D426" i="15"/>
  <c r="C426" i="15"/>
  <c r="G425" i="15"/>
  <c r="D425" i="15"/>
  <c r="C425" i="15"/>
  <c r="G424" i="15"/>
  <c r="D424" i="15"/>
  <c r="C424" i="15"/>
  <c r="G423" i="15"/>
  <c r="D423" i="15"/>
  <c r="C423" i="15"/>
  <c r="G422" i="15"/>
  <c r="D422" i="15"/>
  <c r="C422" i="15"/>
  <c r="G421" i="15"/>
  <c r="D421" i="15"/>
  <c r="C421" i="15"/>
  <c r="G420" i="15"/>
  <c r="D420" i="15"/>
  <c r="C420" i="15"/>
  <c r="G419" i="15"/>
  <c r="D419" i="15"/>
  <c r="C419" i="15"/>
  <c r="G418" i="15"/>
  <c r="D418" i="15"/>
  <c r="C418" i="15"/>
  <c r="G417" i="15"/>
  <c r="D417" i="15"/>
  <c r="C417" i="15"/>
  <c r="G416" i="15"/>
  <c r="D416" i="15"/>
  <c r="C416" i="15"/>
  <c r="G415" i="15"/>
  <c r="D415" i="15"/>
  <c r="C415" i="15"/>
  <c r="G414" i="15"/>
  <c r="D414" i="15"/>
  <c r="C414" i="15"/>
  <c r="G413" i="15"/>
  <c r="D413" i="15"/>
  <c r="C413" i="15"/>
  <c r="G412" i="15"/>
  <c r="D412" i="15"/>
  <c r="C412" i="15"/>
  <c r="G411" i="15"/>
  <c r="D411" i="15"/>
  <c r="C411" i="15"/>
  <c r="G410" i="15"/>
  <c r="D410" i="15"/>
  <c r="C410" i="15"/>
  <c r="G409" i="15"/>
  <c r="D409" i="15"/>
  <c r="C409" i="15"/>
  <c r="G408" i="15"/>
  <c r="D408" i="15"/>
  <c r="C408" i="15"/>
  <c r="G407" i="15"/>
  <c r="D407" i="15"/>
  <c r="C407" i="15"/>
  <c r="G406" i="15"/>
  <c r="D406" i="15"/>
  <c r="C406" i="15"/>
  <c r="G405" i="15"/>
  <c r="D405" i="15"/>
  <c r="C405" i="15"/>
  <c r="G404" i="15"/>
  <c r="D404" i="15"/>
  <c r="C404" i="15"/>
  <c r="G403" i="15"/>
  <c r="D403" i="15"/>
  <c r="C403" i="15"/>
  <c r="G402" i="15"/>
  <c r="D402" i="15"/>
  <c r="C402" i="15"/>
  <c r="G401" i="15"/>
  <c r="D401" i="15"/>
  <c r="C401" i="15"/>
  <c r="G400" i="15"/>
  <c r="D400" i="15"/>
  <c r="C400" i="15"/>
  <c r="G399" i="15"/>
  <c r="D399" i="15"/>
  <c r="C399" i="15"/>
  <c r="G398" i="15"/>
  <c r="D398" i="15"/>
  <c r="C398" i="15"/>
  <c r="G397" i="15"/>
  <c r="D397" i="15"/>
  <c r="C397" i="15"/>
  <c r="G396" i="15"/>
  <c r="D396" i="15"/>
  <c r="C396" i="15"/>
  <c r="G395" i="15"/>
  <c r="D395" i="15"/>
  <c r="C395" i="15"/>
  <c r="G394" i="15"/>
  <c r="D394" i="15"/>
  <c r="C394" i="15"/>
  <c r="G393" i="15"/>
  <c r="D393" i="15"/>
  <c r="C393" i="15"/>
  <c r="G392" i="15"/>
  <c r="D392" i="15"/>
  <c r="C392" i="15"/>
  <c r="G391" i="15"/>
  <c r="D391" i="15"/>
  <c r="C391" i="15"/>
  <c r="G390" i="15"/>
  <c r="D390" i="15"/>
  <c r="C390" i="15"/>
  <c r="G389" i="15"/>
  <c r="D389" i="15"/>
  <c r="C389" i="15"/>
  <c r="G388" i="15"/>
  <c r="D388" i="15"/>
  <c r="C388" i="15"/>
  <c r="G387" i="15"/>
  <c r="D387" i="15"/>
  <c r="C387" i="15"/>
  <c r="G386" i="15"/>
  <c r="D386" i="15"/>
  <c r="C386" i="15"/>
  <c r="G385" i="15"/>
  <c r="D385" i="15"/>
  <c r="C385" i="15"/>
  <c r="G384" i="15"/>
  <c r="D384" i="15"/>
  <c r="C384" i="15"/>
  <c r="G383" i="15"/>
  <c r="D383" i="15"/>
  <c r="C383" i="15"/>
  <c r="G382" i="15"/>
  <c r="D382" i="15"/>
  <c r="C382" i="15"/>
  <c r="G381" i="15"/>
  <c r="D381" i="15"/>
  <c r="C381" i="15"/>
  <c r="G380" i="15"/>
  <c r="D380" i="15"/>
  <c r="C380" i="15"/>
  <c r="G379" i="15"/>
  <c r="D379" i="15"/>
  <c r="C379" i="15"/>
  <c r="G378" i="15"/>
  <c r="D378" i="15"/>
  <c r="C378" i="15"/>
  <c r="G377" i="15"/>
  <c r="D377" i="15"/>
  <c r="C377" i="15"/>
  <c r="G376" i="15"/>
  <c r="D376" i="15"/>
  <c r="C376" i="15"/>
  <c r="G375" i="15"/>
  <c r="D375" i="15"/>
  <c r="C375" i="15"/>
  <c r="G374" i="15"/>
  <c r="D374" i="15"/>
  <c r="C374" i="15"/>
  <c r="G373" i="15"/>
  <c r="D373" i="15"/>
  <c r="C373" i="15"/>
  <c r="G372" i="15"/>
  <c r="D372" i="15"/>
  <c r="C372" i="15"/>
  <c r="G371" i="15"/>
  <c r="D371" i="15"/>
  <c r="C371" i="15"/>
  <c r="G370" i="15"/>
  <c r="D370" i="15"/>
  <c r="C370" i="15"/>
  <c r="G369" i="15"/>
  <c r="D369" i="15"/>
  <c r="C369" i="15"/>
  <c r="G368" i="15"/>
  <c r="D368" i="15"/>
  <c r="C368" i="15"/>
  <c r="G367" i="15"/>
  <c r="D367" i="15"/>
  <c r="C367" i="15"/>
  <c r="G366" i="15"/>
  <c r="D366" i="15"/>
  <c r="C366" i="15"/>
  <c r="G365" i="15"/>
  <c r="D365" i="15"/>
  <c r="C365" i="15"/>
  <c r="G364" i="15"/>
  <c r="D364" i="15"/>
  <c r="C364" i="15"/>
  <c r="G363" i="15"/>
  <c r="D363" i="15"/>
  <c r="C363" i="15"/>
  <c r="G362" i="15"/>
  <c r="D362" i="15"/>
  <c r="C362" i="15"/>
  <c r="G361" i="15"/>
  <c r="D361" i="15"/>
  <c r="C361" i="15"/>
  <c r="G360" i="15"/>
  <c r="D360" i="15"/>
  <c r="C360" i="15"/>
  <c r="G359" i="15"/>
  <c r="D359" i="15"/>
  <c r="C359" i="15"/>
  <c r="G358" i="15"/>
  <c r="D358" i="15"/>
  <c r="C358" i="15"/>
  <c r="G357" i="15"/>
  <c r="D357" i="15"/>
  <c r="C357" i="15"/>
  <c r="G356" i="15"/>
  <c r="D356" i="15"/>
  <c r="C356" i="15"/>
  <c r="G355" i="15"/>
  <c r="D355" i="15"/>
  <c r="C355" i="15"/>
  <c r="G354" i="15"/>
  <c r="D354" i="15"/>
  <c r="C354" i="15"/>
  <c r="G353" i="15"/>
  <c r="D353" i="15"/>
  <c r="C353" i="15"/>
  <c r="G352" i="15"/>
  <c r="D352" i="15"/>
  <c r="C352" i="15"/>
  <c r="G351" i="15"/>
  <c r="D351" i="15"/>
  <c r="C351" i="15"/>
  <c r="G350" i="15"/>
  <c r="D350" i="15"/>
  <c r="C350" i="15"/>
  <c r="G349" i="15"/>
  <c r="D349" i="15"/>
  <c r="C349" i="15"/>
  <c r="G348" i="15"/>
  <c r="D348" i="15"/>
  <c r="C348" i="15"/>
  <c r="G347" i="15"/>
  <c r="D347" i="15"/>
  <c r="C347" i="15"/>
  <c r="G346" i="15"/>
  <c r="D346" i="15"/>
  <c r="C346" i="15"/>
  <c r="G345" i="15"/>
  <c r="D345" i="15"/>
  <c r="C345" i="15"/>
  <c r="G344" i="15"/>
  <c r="D344" i="15"/>
  <c r="C344" i="15"/>
  <c r="G343" i="15"/>
  <c r="D343" i="15"/>
  <c r="C343" i="15"/>
  <c r="G342" i="15"/>
  <c r="D342" i="15"/>
  <c r="C342" i="15"/>
  <c r="G341" i="15"/>
  <c r="D341" i="15"/>
  <c r="C341" i="15"/>
  <c r="G340" i="15"/>
  <c r="D340" i="15"/>
  <c r="C340" i="15"/>
  <c r="G339" i="15"/>
  <c r="D339" i="15"/>
  <c r="C339" i="15"/>
  <c r="G338" i="15"/>
  <c r="D338" i="15"/>
  <c r="C338" i="15"/>
  <c r="G337" i="15"/>
  <c r="D337" i="15"/>
  <c r="C337" i="15"/>
  <c r="G336" i="15"/>
  <c r="D336" i="15"/>
  <c r="C336" i="15"/>
  <c r="G335" i="15"/>
  <c r="D335" i="15"/>
  <c r="C335" i="15"/>
  <c r="G334" i="15"/>
  <c r="D334" i="15"/>
  <c r="C334" i="15"/>
  <c r="G333" i="15"/>
  <c r="D333" i="15"/>
  <c r="C333" i="15"/>
  <c r="G332" i="15"/>
  <c r="D332" i="15"/>
  <c r="C332" i="15"/>
  <c r="G331" i="15"/>
  <c r="D331" i="15"/>
  <c r="C331" i="15"/>
  <c r="G330" i="15"/>
  <c r="D330" i="15"/>
  <c r="C330" i="15"/>
  <c r="G329" i="15"/>
  <c r="D329" i="15"/>
  <c r="C329" i="15"/>
  <c r="G328" i="15"/>
  <c r="D328" i="15"/>
  <c r="C328" i="15"/>
  <c r="G327" i="15"/>
  <c r="D327" i="15"/>
  <c r="C327" i="15"/>
  <c r="G326" i="15"/>
  <c r="D326" i="15"/>
  <c r="C326" i="15"/>
  <c r="G325" i="15"/>
  <c r="D325" i="15"/>
  <c r="C325" i="15"/>
  <c r="G324" i="15"/>
  <c r="D324" i="15"/>
  <c r="C324" i="15"/>
  <c r="G323" i="15"/>
  <c r="D323" i="15"/>
  <c r="C323" i="15"/>
  <c r="G322" i="15"/>
  <c r="D322" i="15"/>
  <c r="C322" i="15"/>
  <c r="G321" i="15"/>
  <c r="D321" i="15"/>
  <c r="C321" i="15"/>
  <c r="G320" i="15"/>
  <c r="D320" i="15"/>
  <c r="C320" i="15"/>
  <c r="G319" i="15"/>
  <c r="D319" i="15"/>
  <c r="C319" i="15"/>
  <c r="G318" i="15"/>
  <c r="D318" i="15"/>
  <c r="C318" i="15"/>
  <c r="G317" i="15"/>
  <c r="D317" i="15"/>
  <c r="C317" i="15"/>
  <c r="G316" i="15"/>
  <c r="D316" i="15"/>
  <c r="C316" i="15"/>
  <c r="G315" i="15"/>
  <c r="D315" i="15"/>
  <c r="C315" i="15"/>
  <c r="G314" i="15"/>
  <c r="D314" i="15"/>
  <c r="C314" i="15"/>
  <c r="G313" i="15"/>
  <c r="D313" i="15"/>
  <c r="C313" i="15"/>
  <c r="G312" i="15"/>
  <c r="D312" i="15"/>
  <c r="C312" i="15"/>
  <c r="G311" i="15"/>
  <c r="D311" i="15"/>
  <c r="C311" i="15"/>
  <c r="G310" i="15"/>
  <c r="D310" i="15"/>
  <c r="C310" i="15"/>
  <c r="G309" i="15"/>
  <c r="D309" i="15"/>
  <c r="C309" i="15"/>
  <c r="G308" i="15"/>
  <c r="D308" i="15"/>
  <c r="C308" i="15"/>
  <c r="G307" i="15"/>
  <c r="D307" i="15"/>
  <c r="C307" i="15"/>
  <c r="G306" i="15"/>
  <c r="D306" i="15"/>
  <c r="C306" i="15"/>
  <c r="G305" i="15"/>
  <c r="D305" i="15"/>
  <c r="C305" i="15"/>
  <c r="G304" i="15"/>
  <c r="D304" i="15"/>
  <c r="C304" i="15"/>
  <c r="G303" i="15"/>
  <c r="D303" i="15"/>
  <c r="C303" i="15"/>
  <c r="G302" i="15"/>
  <c r="D302" i="15"/>
  <c r="C302" i="15"/>
  <c r="G301" i="15"/>
  <c r="D301" i="15"/>
  <c r="C301" i="15"/>
  <c r="G300" i="15"/>
  <c r="D300" i="15"/>
  <c r="C300" i="15"/>
  <c r="G299" i="15"/>
  <c r="D299" i="15"/>
  <c r="C299" i="15"/>
  <c r="G298" i="15"/>
  <c r="D298" i="15"/>
  <c r="C298" i="15"/>
  <c r="G297" i="15"/>
  <c r="D297" i="15"/>
  <c r="C297" i="15"/>
  <c r="G296" i="15"/>
  <c r="D296" i="15"/>
  <c r="C296" i="15"/>
  <c r="G295" i="15"/>
  <c r="D295" i="15"/>
  <c r="C295" i="15"/>
  <c r="G294" i="15"/>
  <c r="D294" i="15"/>
  <c r="C294" i="15"/>
  <c r="G293" i="15"/>
  <c r="D293" i="15"/>
  <c r="C293" i="15"/>
  <c r="G292" i="15"/>
  <c r="D292" i="15"/>
  <c r="C292" i="15"/>
  <c r="G291" i="15"/>
  <c r="D291" i="15"/>
  <c r="C291" i="15"/>
  <c r="G290" i="15"/>
  <c r="D290" i="15"/>
  <c r="C290" i="15"/>
  <c r="G289" i="15"/>
  <c r="D289" i="15"/>
  <c r="C289" i="15"/>
  <c r="G288" i="15"/>
  <c r="D288" i="15"/>
  <c r="C288" i="15"/>
  <c r="G287" i="15"/>
  <c r="D287" i="15"/>
  <c r="C287" i="15"/>
  <c r="G286" i="15"/>
  <c r="D286" i="15"/>
  <c r="C286" i="15"/>
  <c r="G285" i="15"/>
  <c r="D285" i="15"/>
  <c r="C285" i="15"/>
  <c r="G284" i="15"/>
  <c r="D284" i="15"/>
  <c r="C284" i="15"/>
  <c r="G283" i="15"/>
  <c r="D283" i="15"/>
  <c r="C283" i="15"/>
  <c r="G282" i="15"/>
  <c r="D282" i="15"/>
  <c r="C282" i="15"/>
  <c r="G281" i="15"/>
  <c r="D281" i="15"/>
  <c r="C281" i="15"/>
  <c r="G280" i="15"/>
  <c r="D280" i="15"/>
  <c r="C280" i="15"/>
  <c r="G279" i="15"/>
  <c r="D279" i="15"/>
  <c r="C279" i="15"/>
  <c r="G278" i="15"/>
  <c r="D278" i="15"/>
  <c r="C278" i="15"/>
  <c r="G277" i="15"/>
  <c r="D277" i="15"/>
  <c r="C277" i="15"/>
  <c r="G276" i="15"/>
  <c r="D276" i="15"/>
  <c r="C276" i="15"/>
  <c r="G275" i="15"/>
  <c r="D275" i="15"/>
  <c r="C275" i="15"/>
  <c r="G274" i="15"/>
  <c r="D274" i="15"/>
  <c r="C274" i="15"/>
  <c r="G273" i="15"/>
  <c r="D273" i="15"/>
  <c r="C273" i="15"/>
  <c r="G272" i="15"/>
  <c r="D272" i="15"/>
  <c r="C272" i="15"/>
  <c r="G271" i="15"/>
  <c r="D271" i="15"/>
  <c r="C271" i="15"/>
  <c r="G270" i="15"/>
  <c r="D270" i="15"/>
  <c r="C270" i="15"/>
  <c r="G269" i="15"/>
  <c r="D269" i="15"/>
  <c r="C269" i="15"/>
  <c r="G268" i="15"/>
  <c r="D268" i="15"/>
  <c r="C268" i="15"/>
  <c r="G267" i="15"/>
  <c r="D267" i="15"/>
  <c r="C267" i="15"/>
  <c r="G266" i="15"/>
  <c r="D266" i="15"/>
  <c r="C266" i="15"/>
  <c r="G265" i="15"/>
  <c r="D265" i="15"/>
  <c r="C265" i="15"/>
  <c r="G264" i="15"/>
  <c r="D264" i="15"/>
  <c r="C264" i="15"/>
  <c r="G263" i="15"/>
  <c r="D263" i="15"/>
  <c r="C263" i="15"/>
  <c r="G262" i="15"/>
  <c r="D262" i="15"/>
  <c r="C262" i="15"/>
  <c r="G261" i="15"/>
  <c r="D261" i="15"/>
  <c r="C261" i="15"/>
  <c r="G260" i="15"/>
  <c r="D260" i="15"/>
  <c r="C260" i="15"/>
  <c r="G259" i="15"/>
  <c r="D259" i="15"/>
  <c r="C259" i="15"/>
  <c r="G258" i="15"/>
  <c r="D258" i="15"/>
  <c r="C258" i="15"/>
  <c r="G257" i="15"/>
  <c r="D257" i="15"/>
  <c r="C257" i="15"/>
  <c r="G256" i="15"/>
  <c r="D256" i="15"/>
  <c r="C256" i="15"/>
  <c r="G255" i="15"/>
  <c r="D255" i="15"/>
  <c r="C255" i="15"/>
  <c r="G254" i="15"/>
  <c r="D254" i="15"/>
  <c r="C254" i="15"/>
  <c r="G253" i="15"/>
  <c r="D253" i="15"/>
  <c r="C253" i="15"/>
  <c r="G252" i="15"/>
  <c r="D252" i="15"/>
  <c r="C252" i="15"/>
  <c r="G251" i="15"/>
  <c r="D251" i="15"/>
  <c r="C251" i="15"/>
  <c r="G250" i="15"/>
  <c r="D250" i="15"/>
  <c r="C250" i="15"/>
  <c r="G249" i="15"/>
  <c r="D249" i="15"/>
  <c r="C249" i="15"/>
  <c r="G248" i="15"/>
  <c r="D248" i="15"/>
  <c r="C248" i="15"/>
  <c r="G247" i="15"/>
  <c r="D247" i="15"/>
  <c r="C247" i="15"/>
  <c r="G246" i="15"/>
  <c r="D246" i="15"/>
  <c r="C246" i="15"/>
  <c r="G245" i="15"/>
  <c r="D245" i="15"/>
  <c r="C245" i="15"/>
  <c r="G244" i="15"/>
  <c r="D244" i="15"/>
  <c r="C244" i="15"/>
  <c r="G243" i="15"/>
  <c r="D243" i="15"/>
  <c r="C243" i="15"/>
  <c r="G242" i="15"/>
  <c r="D242" i="15"/>
  <c r="C242" i="15"/>
  <c r="G241" i="15"/>
  <c r="D241" i="15"/>
  <c r="C241" i="15"/>
  <c r="G240" i="15"/>
  <c r="D240" i="15"/>
  <c r="C240" i="15"/>
  <c r="G239" i="15"/>
  <c r="D239" i="15"/>
  <c r="C239" i="15"/>
  <c r="G238" i="15"/>
  <c r="D238" i="15"/>
  <c r="C238" i="15"/>
  <c r="G237" i="15"/>
  <c r="D237" i="15"/>
  <c r="C237" i="15"/>
  <c r="G236" i="15"/>
  <c r="D236" i="15"/>
  <c r="C236" i="15"/>
  <c r="G235" i="15"/>
  <c r="D235" i="15"/>
  <c r="C235" i="15"/>
  <c r="G234" i="15"/>
  <c r="D234" i="15"/>
  <c r="C234" i="15"/>
  <c r="G233" i="15"/>
  <c r="D233" i="15"/>
  <c r="C233" i="15"/>
  <c r="G232" i="15"/>
  <c r="D232" i="15"/>
  <c r="C232" i="15"/>
  <c r="G231" i="15"/>
  <c r="D231" i="15"/>
  <c r="C231" i="15"/>
  <c r="G230" i="15"/>
  <c r="D230" i="15"/>
  <c r="C230" i="15"/>
  <c r="G229" i="15"/>
  <c r="D229" i="15"/>
  <c r="C229" i="15"/>
  <c r="G228" i="15"/>
  <c r="D228" i="15"/>
  <c r="C228" i="15"/>
  <c r="G227" i="15"/>
  <c r="D227" i="15"/>
  <c r="C227" i="15"/>
  <c r="G226" i="15"/>
  <c r="D226" i="15"/>
  <c r="C226" i="15"/>
  <c r="G225" i="15"/>
  <c r="D225" i="15"/>
  <c r="C225" i="15"/>
  <c r="G224" i="15"/>
  <c r="D224" i="15"/>
  <c r="C224" i="15"/>
  <c r="G223" i="15"/>
  <c r="D223" i="15"/>
  <c r="C223" i="15"/>
  <c r="G222" i="15"/>
  <c r="D222" i="15"/>
  <c r="C222" i="15"/>
  <c r="G221" i="15"/>
  <c r="D221" i="15"/>
  <c r="C221" i="15"/>
  <c r="G220" i="15"/>
  <c r="D220" i="15"/>
  <c r="C220" i="15"/>
  <c r="G219" i="15"/>
  <c r="D219" i="15"/>
  <c r="C219" i="15"/>
  <c r="G218" i="15"/>
  <c r="D218" i="15"/>
  <c r="C218" i="15"/>
  <c r="G217" i="15"/>
  <c r="D217" i="15"/>
  <c r="C217" i="15"/>
  <c r="G216" i="15"/>
  <c r="D216" i="15"/>
  <c r="C216" i="15"/>
  <c r="G215" i="15"/>
  <c r="D215" i="15"/>
  <c r="C215" i="15"/>
  <c r="G214" i="15"/>
  <c r="D214" i="15"/>
  <c r="C214" i="15"/>
  <c r="G213" i="15"/>
  <c r="D213" i="15"/>
  <c r="C213" i="15"/>
  <c r="G212" i="15"/>
  <c r="D212" i="15"/>
  <c r="C212" i="15"/>
  <c r="G211" i="15"/>
  <c r="D211" i="15"/>
  <c r="C211" i="15"/>
  <c r="G210" i="15"/>
  <c r="D210" i="15"/>
  <c r="C210" i="15"/>
  <c r="G209" i="15"/>
  <c r="D209" i="15"/>
  <c r="C209" i="15"/>
  <c r="G208" i="15"/>
  <c r="D208" i="15"/>
  <c r="C208" i="15"/>
  <c r="G207" i="15"/>
  <c r="D207" i="15"/>
  <c r="C207" i="15"/>
  <c r="G206" i="15"/>
  <c r="D206" i="15"/>
  <c r="C206" i="15"/>
  <c r="G205" i="15"/>
  <c r="D205" i="15"/>
  <c r="C205" i="15"/>
  <c r="G204" i="15"/>
  <c r="D204" i="15"/>
  <c r="C204" i="15"/>
  <c r="G203" i="15"/>
  <c r="D203" i="15"/>
  <c r="C203" i="15"/>
  <c r="G202" i="15"/>
  <c r="D202" i="15"/>
  <c r="C202" i="15"/>
  <c r="G201" i="15"/>
  <c r="D201" i="15"/>
  <c r="C201" i="15"/>
  <c r="G200" i="15"/>
  <c r="D200" i="15"/>
  <c r="C200" i="15"/>
  <c r="G199" i="15"/>
  <c r="D199" i="15"/>
  <c r="C199" i="15"/>
  <c r="G198" i="15"/>
  <c r="D198" i="15"/>
  <c r="C198" i="15"/>
  <c r="G197" i="15"/>
  <c r="D197" i="15"/>
  <c r="C197" i="15"/>
  <c r="G196" i="15"/>
  <c r="D196" i="15"/>
  <c r="C196" i="15"/>
  <c r="G195" i="15"/>
  <c r="D195" i="15"/>
  <c r="C195" i="15"/>
  <c r="G194" i="15"/>
  <c r="D194" i="15"/>
  <c r="C194" i="15"/>
  <c r="G193" i="15"/>
  <c r="D193" i="15"/>
  <c r="C193" i="15"/>
  <c r="G192" i="15"/>
  <c r="D192" i="15"/>
  <c r="C192" i="15"/>
  <c r="G191" i="15"/>
  <c r="D191" i="15"/>
  <c r="C191" i="15"/>
  <c r="G190" i="15"/>
  <c r="D190" i="15"/>
  <c r="C190" i="15"/>
  <c r="G189" i="15"/>
  <c r="D189" i="15"/>
  <c r="C189" i="15"/>
  <c r="G188" i="15"/>
  <c r="D188" i="15"/>
  <c r="C188" i="15"/>
  <c r="G187" i="15"/>
  <c r="D187" i="15"/>
  <c r="C187" i="15"/>
  <c r="G186" i="15"/>
  <c r="D186" i="15"/>
  <c r="C186" i="15"/>
  <c r="G185" i="15"/>
  <c r="D185" i="15"/>
  <c r="C185" i="15"/>
  <c r="G184" i="15"/>
  <c r="D184" i="15"/>
  <c r="C184" i="15"/>
  <c r="G183" i="15"/>
  <c r="D183" i="15"/>
  <c r="C183" i="15"/>
  <c r="G182" i="15"/>
  <c r="D182" i="15"/>
  <c r="C182" i="15"/>
  <c r="G181" i="15"/>
  <c r="D181" i="15"/>
  <c r="C181" i="15"/>
  <c r="G180" i="15"/>
  <c r="D180" i="15"/>
  <c r="C180" i="15"/>
  <c r="G179" i="15"/>
  <c r="D179" i="15"/>
  <c r="C179" i="15"/>
  <c r="G178" i="15"/>
  <c r="D178" i="15"/>
  <c r="C178" i="15"/>
  <c r="G177" i="15"/>
  <c r="D177" i="15"/>
  <c r="C177" i="15"/>
  <c r="G176" i="15"/>
  <c r="D176" i="15"/>
  <c r="C176" i="15"/>
  <c r="G175" i="15"/>
  <c r="D175" i="15"/>
  <c r="C175" i="15"/>
  <c r="G174" i="15"/>
  <c r="D174" i="15"/>
  <c r="C174" i="15"/>
  <c r="G173" i="15"/>
  <c r="D173" i="15"/>
  <c r="C173" i="15"/>
  <c r="G172" i="15"/>
  <c r="D172" i="15"/>
  <c r="C172" i="15"/>
  <c r="G171" i="15"/>
  <c r="D171" i="15"/>
  <c r="C171" i="15"/>
  <c r="G170" i="15"/>
  <c r="D170" i="15"/>
  <c r="C170" i="15"/>
  <c r="G169" i="15"/>
  <c r="D169" i="15"/>
  <c r="C169" i="15"/>
  <c r="G168" i="15"/>
  <c r="D168" i="15"/>
  <c r="C168" i="15"/>
  <c r="G167" i="15"/>
  <c r="D167" i="15"/>
  <c r="C167" i="15"/>
  <c r="G166" i="15"/>
  <c r="D166" i="15"/>
  <c r="C166" i="15"/>
  <c r="G165" i="15"/>
  <c r="D165" i="15"/>
  <c r="C165" i="15"/>
  <c r="G164" i="15"/>
  <c r="D164" i="15"/>
  <c r="C164" i="15"/>
  <c r="G163" i="15"/>
  <c r="D163" i="15"/>
  <c r="C163" i="15"/>
  <c r="G162" i="15"/>
  <c r="D162" i="15"/>
  <c r="C162" i="15"/>
  <c r="G161" i="15"/>
  <c r="D161" i="15"/>
  <c r="C161" i="15"/>
  <c r="G160" i="15"/>
  <c r="D160" i="15"/>
  <c r="C160" i="15"/>
  <c r="G159" i="15"/>
  <c r="D159" i="15"/>
  <c r="C159" i="15"/>
  <c r="G158" i="15"/>
  <c r="D158" i="15"/>
  <c r="C158" i="15"/>
  <c r="G157" i="15"/>
  <c r="D157" i="15"/>
  <c r="C157" i="15"/>
  <c r="G156" i="15"/>
  <c r="D156" i="15"/>
  <c r="C156" i="15"/>
  <c r="G155" i="15"/>
  <c r="D155" i="15"/>
  <c r="C155" i="15"/>
  <c r="G154" i="15"/>
  <c r="D154" i="15"/>
  <c r="C154" i="15"/>
  <c r="G153" i="15"/>
  <c r="D153" i="15"/>
  <c r="C153" i="15"/>
  <c r="G152" i="15"/>
  <c r="D152" i="15"/>
  <c r="C152" i="15"/>
  <c r="G151" i="15"/>
  <c r="D151" i="15"/>
  <c r="C151" i="15"/>
  <c r="G150" i="15"/>
  <c r="D150" i="15"/>
  <c r="C150" i="15"/>
  <c r="G149" i="15"/>
  <c r="D149" i="15"/>
  <c r="C149" i="15"/>
  <c r="G148" i="15"/>
  <c r="D148" i="15"/>
  <c r="C148" i="15"/>
  <c r="G147" i="15"/>
  <c r="D147" i="15"/>
  <c r="C147" i="15"/>
  <c r="G146" i="15"/>
  <c r="D146" i="15"/>
  <c r="C146" i="15"/>
  <c r="G145" i="15"/>
  <c r="D145" i="15"/>
  <c r="C145" i="15"/>
  <c r="G144" i="15"/>
  <c r="D144" i="15"/>
  <c r="C144" i="15"/>
  <c r="G143" i="15"/>
  <c r="D143" i="15"/>
  <c r="C143" i="15"/>
  <c r="G142" i="15"/>
  <c r="D142" i="15"/>
  <c r="C142" i="15"/>
  <c r="G141" i="15"/>
  <c r="D141" i="15"/>
  <c r="C141" i="15"/>
  <c r="G140" i="15"/>
  <c r="D140" i="15"/>
  <c r="C140" i="15"/>
  <c r="G139" i="15"/>
  <c r="D139" i="15"/>
  <c r="C139" i="15"/>
  <c r="G138" i="15"/>
  <c r="D138" i="15"/>
  <c r="C138" i="15"/>
  <c r="G137" i="15"/>
  <c r="D137" i="15"/>
  <c r="C137" i="15"/>
  <c r="G136" i="15"/>
  <c r="D136" i="15"/>
  <c r="C136" i="15"/>
  <c r="G135" i="15"/>
  <c r="D135" i="15"/>
  <c r="C135" i="15"/>
  <c r="G134" i="15"/>
  <c r="D134" i="15"/>
  <c r="C134" i="15"/>
  <c r="G133" i="15"/>
  <c r="D133" i="15"/>
  <c r="C133" i="15"/>
  <c r="G132" i="15"/>
  <c r="D132" i="15"/>
  <c r="C132" i="15"/>
  <c r="G131" i="15"/>
  <c r="D131" i="15"/>
  <c r="C131" i="15"/>
  <c r="G130" i="15"/>
  <c r="D130" i="15"/>
  <c r="C130" i="15"/>
  <c r="G129" i="15"/>
  <c r="D129" i="15"/>
  <c r="C129" i="15"/>
  <c r="G128" i="15"/>
  <c r="D128" i="15"/>
  <c r="C128" i="15"/>
  <c r="G127" i="15"/>
  <c r="D127" i="15"/>
  <c r="C127" i="15"/>
  <c r="G126" i="15"/>
  <c r="D126" i="15"/>
  <c r="C126" i="15"/>
  <c r="G125" i="15"/>
  <c r="D125" i="15"/>
  <c r="C125" i="15"/>
  <c r="G124" i="15"/>
  <c r="D124" i="15"/>
  <c r="C124" i="15"/>
  <c r="G123" i="15"/>
  <c r="D123" i="15"/>
  <c r="C123" i="15"/>
  <c r="G122" i="15"/>
  <c r="D122" i="15"/>
  <c r="C122" i="15"/>
  <c r="G121" i="15"/>
  <c r="D121" i="15"/>
  <c r="C121" i="15"/>
  <c r="G120" i="15"/>
  <c r="D120" i="15"/>
  <c r="C120" i="15"/>
  <c r="G119" i="15"/>
  <c r="D119" i="15"/>
  <c r="C119" i="15"/>
  <c r="G118" i="15"/>
  <c r="D118" i="15"/>
  <c r="C118" i="15"/>
  <c r="G117" i="15"/>
  <c r="D117" i="15"/>
  <c r="C117" i="15"/>
  <c r="G116" i="15"/>
  <c r="D116" i="15"/>
  <c r="C116" i="15"/>
  <c r="G115" i="15"/>
  <c r="D115" i="15"/>
  <c r="C115" i="15"/>
  <c r="G114" i="15"/>
  <c r="D114" i="15"/>
  <c r="C114" i="15"/>
  <c r="G113" i="15"/>
  <c r="D113" i="15"/>
  <c r="C113" i="15"/>
  <c r="G112" i="15"/>
  <c r="D112" i="15"/>
  <c r="C112" i="15"/>
  <c r="G111" i="15"/>
  <c r="D111" i="15"/>
  <c r="C111" i="15"/>
  <c r="G110" i="15"/>
  <c r="D110" i="15"/>
  <c r="C110" i="15"/>
  <c r="G109" i="15"/>
  <c r="D109" i="15"/>
  <c r="C109" i="15"/>
  <c r="G108" i="15"/>
  <c r="D108" i="15"/>
  <c r="C108" i="15"/>
  <c r="G107" i="15"/>
  <c r="D107" i="15"/>
  <c r="C107" i="15"/>
  <c r="G106" i="15"/>
  <c r="D106" i="15"/>
  <c r="C106" i="15"/>
  <c r="G105" i="15"/>
  <c r="D105" i="15"/>
  <c r="C105" i="15"/>
  <c r="G104" i="15"/>
  <c r="D104" i="15"/>
  <c r="C104" i="15"/>
  <c r="G103" i="15"/>
  <c r="D103" i="15"/>
  <c r="C103" i="15"/>
  <c r="G102" i="15"/>
  <c r="D102" i="15"/>
  <c r="C102" i="15"/>
  <c r="G101" i="15"/>
  <c r="D101" i="15"/>
  <c r="C101" i="15"/>
  <c r="G100" i="15"/>
  <c r="D100" i="15"/>
  <c r="C100" i="15"/>
  <c r="G99" i="15"/>
  <c r="D99" i="15"/>
  <c r="C99" i="15"/>
  <c r="G98" i="15"/>
  <c r="D98" i="15"/>
  <c r="C98" i="15"/>
  <c r="G97" i="15"/>
  <c r="D97" i="15"/>
  <c r="C97" i="15"/>
  <c r="G96" i="15"/>
  <c r="D96" i="15"/>
  <c r="C96" i="15"/>
  <c r="G95" i="15"/>
  <c r="D95" i="15"/>
  <c r="C95" i="15"/>
  <c r="G94" i="15"/>
  <c r="D94" i="15"/>
  <c r="C94" i="15"/>
  <c r="G93" i="15"/>
  <c r="D93" i="15"/>
  <c r="C93" i="15"/>
  <c r="G92" i="15"/>
  <c r="D92" i="15"/>
  <c r="C92" i="15"/>
  <c r="G91" i="15"/>
  <c r="D91" i="15"/>
  <c r="C91" i="15"/>
  <c r="G90" i="15"/>
  <c r="D90" i="15"/>
  <c r="C90" i="15"/>
  <c r="G89" i="15"/>
  <c r="D89" i="15"/>
  <c r="C89" i="15"/>
  <c r="G88" i="15"/>
  <c r="D88" i="15"/>
  <c r="C88" i="15"/>
  <c r="G87" i="15"/>
  <c r="D87" i="15"/>
  <c r="C87" i="15"/>
  <c r="G86" i="15"/>
  <c r="D86" i="15"/>
  <c r="C86" i="15"/>
  <c r="G85" i="15"/>
  <c r="D85" i="15"/>
  <c r="C85" i="15"/>
  <c r="G84" i="15"/>
  <c r="D84" i="15"/>
  <c r="C84" i="15"/>
  <c r="G83" i="15"/>
  <c r="D83" i="15"/>
  <c r="C83" i="15"/>
  <c r="G82" i="15"/>
  <c r="D82" i="15"/>
  <c r="C82" i="15"/>
  <c r="G81" i="15"/>
  <c r="D81" i="15"/>
  <c r="C81" i="15"/>
  <c r="G80" i="15"/>
  <c r="D80" i="15"/>
  <c r="C80" i="15"/>
  <c r="G79" i="15"/>
  <c r="D79" i="15"/>
  <c r="C79" i="15"/>
  <c r="G78" i="15"/>
  <c r="D78" i="15"/>
  <c r="C78" i="15"/>
  <c r="G77" i="15"/>
  <c r="D77" i="15"/>
  <c r="C77" i="15"/>
  <c r="G76" i="15"/>
  <c r="D76" i="15"/>
  <c r="C76" i="15"/>
  <c r="G75" i="15"/>
  <c r="D75" i="15"/>
  <c r="C75" i="15"/>
  <c r="G74" i="15"/>
  <c r="D74" i="15"/>
  <c r="C74" i="15"/>
  <c r="G73" i="15"/>
  <c r="D73" i="15"/>
  <c r="C73" i="15"/>
  <c r="G72" i="15"/>
  <c r="D72" i="15"/>
  <c r="C72" i="15"/>
  <c r="G71" i="15"/>
  <c r="D71" i="15"/>
  <c r="C71" i="15"/>
  <c r="G70" i="15"/>
  <c r="D70" i="15"/>
  <c r="C70" i="15"/>
  <c r="G69" i="15"/>
  <c r="D69" i="15"/>
  <c r="C69" i="15"/>
  <c r="G68" i="15"/>
  <c r="D68" i="15"/>
  <c r="C68" i="15"/>
  <c r="G67" i="15"/>
  <c r="D67" i="15"/>
  <c r="C67" i="15"/>
  <c r="G66" i="15"/>
  <c r="D66" i="15"/>
  <c r="C66" i="15"/>
  <c r="G65" i="15"/>
  <c r="D65" i="15"/>
  <c r="C65" i="15"/>
  <c r="G64" i="15"/>
  <c r="D64" i="15"/>
  <c r="C64" i="15"/>
  <c r="G63" i="15"/>
  <c r="D63" i="15"/>
  <c r="C63" i="15"/>
  <c r="G62" i="15"/>
  <c r="D62" i="15"/>
  <c r="C62" i="15"/>
  <c r="G61" i="15"/>
  <c r="D61" i="15"/>
  <c r="C61" i="15"/>
  <c r="G60" i="15"/>
  <c r="D60" i="15"/>
  <c r="C60" i="15"/>
  <c r="G59" i="15"/>
  <c r="D59" i="15"/>
  <c r="C59" i="15"/>
  <c r="G58" i="15"/>
  <c r="D58" i="15"/>
  <c r="C58" i="15"/>
  <c r="G57" i="15"/>
  <c r="D57" i="15"/>
  <c r="C57" i="15"/>
  <c r="G56" i="15"/>
  <c r="D56" i="15"/>
  <c r="C56" i="15"/>
  <c r="G55" i="15"/>
  <c r="D55" i="15"/>
  <c r="C55" i="15"/>
  <c r="G54" i="15"/>
  <c r="D54" i="15"/>
  <c r="C54" i="15"/>
  <c r="G53" i="15"/>
  <c r="D53" i="15"/>
  <c r="C53" i="15"/>
  <c r="G52" i="15"/>
  <c r="D52" i="15"/>
  <c r="C52" i="15"/>
  <c r="G51" i="15"/>
  <c r="D51" i="15"/>
  <c r="C51" i="15"/>
  <c r="G50" i="15"/>
  <c r="D50" i="15"/>
  <c r="C50" i="15"/>
  <c r="G49" i="15"/>
  <c r="D49" i="15"/>
  <c r="C49" i="15"/>
  <c r="G48" i="15"/>
  <c r="D48" i="15"/>
  <c r="C48" i="15"/>
  <c r="G47" i="15"/>
  <c r="D47" i="15"/>
  <c r="C47" i="15"/>
  <c r="G46" i="15"/>
  <c r="D46" i="15"/>
  <c r="C46" i="15"/>
  <c r="G45" i="15"/>
  <c r="D45" i="15"/>
  <c r="C45" i="15"/>
  <c r="G44" i="15"/>
  <c r="D44" i="15"/>
  <c r="C44" i="15"/>
  <c r="G43" i="15"/>
  <c r="D43" i="15"/>
  <c r="C43" i="15"/>
  <c r="G42" i="15"/>
  <c r="D42" i="15"/>
  <c r="C42" i="15"/>
  <c r="G41" i="15"/>
  <c r="D41" i="15"/>
  <c r="C41" i="15"/>
  <c r="G40" i="15"/>
  <c r="D40" i="15"/>
  <c r="C40" i="15"/>
  <c r="G39" i="15"/>
  <c r="D39" i="15"/>
  <c r="C39" i="15"/>
  <c r="G38" i="15"/>
  <c r="D38" i="15"/>
  <c r="C38" i="15"/>
  <c r="G37" i="15"/>
  <c r="D37" i="15"/>
  <c r="C37" i="15"/>
  <c r="G36" i="15"/>
  <c r="D36" i="15"/>
  <c r="C36" i="15"/>
  <c r="G35" i="15"/>
  <c r="D35" i="15"/>
  <c r="C35" i="15"/>
  <c r="G34" i="15"/>
  <c r="D34" i="15"/>
  <c r="C34" i="15"/>
  <c r="G33" i="15"/>
  <c r="D33" i="15"/>
  <c r="C33" i="15"/>
  <c r="G32" i="15"/>
  <c r="D32" i="15"/>
  <c r="C32" i="15"/>
  <c r="G31" i="15"/>
  <c r="D31" i="15"/>
  <c r="C31" i="15"/>
  <c r="G30" i="15"/>
  <c r="D30" i="15"/>
  <c r="C30" i="15"/>
  <c r="G29" i="15"/>
  <c r="D29" i="15"/>
  <c r="C29" i="15"/>
  <c r="G28" i="15"/>
  <c r="D28" i="15"/>
  <c r="C28" i="15"/>
  <c r="G27" i="15"/>
  <c r="D27" i="15"/>
  <c r="C27" i="15"/>
  <c r="G26" i="15"/>
  <c r="D26" i="15"/>
  <c r="C26" i="15"/>
  <c r="G25" i="15"/>
  <c r="D25" i="15"/>
  <c r="C25" i="15"/>
  <c r="G24" i="15"/>
  <c r="D24" i="15"/>
  <c r="C24" i="15"/>
  <c r="G23" i="15"/>
  <c r="D23" i="15"/>
  <c r="C23" i="15"/>
  <c r="G22" i="15"/>
  <c r="D22" i="15"/>
  <c r="C22" i="15"/>
  <c r="G21" i="15"/>
  <c r="D21" i="15"/>
  <c r="C21" i="15"/>
  <c r="G20" i="15"/>
  <c r="D20" i="15"/>
  <c r="C20" i="15"/>
  <c r="G19" i="15"/>
  <c r="D19" i="15"/>
  <c r="C19" i="15"/>
  <c r="G18" i="15"/>
  <c r="D18" i="15"/>
  <c r="C18" i="15"/>
  <c r="G17" i="15"/>
  <c r="D17" i="15"/>
  <c r="C17" i="15"/>
  <c r="G16" i="15"/>
  <c r="D16" i="15"/>
  <c r="C16" i="15"/>
  <c r="G15" i="15"/>
  <c r="D15" i="15"/>
  <c r="C15" i="15"/>
  <c r="G14" i="15"/>
  <c r="D14" i="15"/>
  <c r="C14" i="15"/>
  <c r="G13" i="15"/>
  <c r="D13" i="15"/>
  <c r="C13" i="15"/>
  <c r="G12" i="15"/>
  <c r="D12" i="15"/>
  <c r="C12" i="15"/>
  <c r="G11" i="15"/>
  <c r="D11" i="15"/>
  <c r="C11" i="15"/>
  <c r="P1" i="13"/>
  <c r="M1" i="13"/>
  <c r="U2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U37" i="11"/>
  <c r="U38" i="11"/>
  <c r="U39" i="11"/>
  <c r="U40" i="11"/>
  <c r="U41" i="11"/>
  <c r="U42" i="11"/>
  <c r="U43" i="11"/>
  <c r="U44" i="11"/>
  <c r="U45" i="11"/>
  <c r="U46" i="11"/>
  <c r="U47" i="11"/>
  <c r="U48" i="11"/>
  <c r="U49" i="11"/>
  <c r="U50" i="11"/>
  <c r="U51" i="11"/>
  <c r="U52" i="11"/>
  <c r="U53" i="11"/>
  <c r="U54" i="11"/>
  <c r="U55" i="11"/>
  <c r="U56" i="11"/>
  <c r="U57" i="11"/>
  <c r="U58" i="11"/>
  <c r="U59" i="11"/>
  <c r="U60" i="11"/>
  <c r="U61" i="11"/>
  <c r="U62" i="11"/>
  <c r="U63" i="11"/>
  <c r="U64" i="11"/>
  <c r="U65" i="11"/>
  <c r="U66" i="11"/>
  <c r="U67" i="11"/>
  <c r="U68" i="11"/>
  <c r="U69" i="11"/>
  <c r="U70" i="11"/>
  <c r="U71" i="11"/>
  <c r="U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88" i="11"/>
  <c r="U89" i="11"/>
  <c r="U90" i="11"/>
  <c r="U91" i="11"/>
  <c r="U92" i="11"/>
  <c r="U93" i="11"/>
  <c r="U94" i="11"/>
  <c r="U95" i="11"/>
  <c r="U96" i="11"/>
  <c r="U97" i="11"/>
  <c r="W1" i="11"/>
  <c r="D2994" i="10"/>
  <c r="C2994" i="10"/>
  <c r="D2993" i="10"/>
  <c r="C2993" i="10"/>
  <c r="D2992" i="10"/>
  <c r="C2992" i="10"/>
  <c r="D2991" i="10"/>
  <c r="C2991" i="10"/>
  <c r="D2990" i="10"/>
  <c r="C2990" i="10"/>
  <c r="D2989" i="10"/>
  <c r="C2989" i="10"/>
  <c r="D2988" i="10"/>
  <c r="C2988" i="10"/>
  <c r="D2987" i="10"/>
  <c r="C2987" i="10"/>
  <c r="D2986" i="10"/>
  <c r="C2986" i="10"/>
  <c r="D2985" i="10"/>
  <c r="C2985" i="10"/>
  <c r="D2984" i="10"/>
  <c r="C2984" i="10"/>
  <c r="D2983" i="10"/>
  <c r="C2983" i="10"/>
  <c r="D2982" i="10"/>
  <c r="C2982" i="10"/>
  <c r="D2981" i="10"/>
  <c r="C2981" i="10"/>
  <c r="D2980" i="10"/>
  <c r="C2980" i="10"/>
  <c r="D2979" i="10"/>
  <c r="C2979" i="10"/>
  <c r="D2978" i="10"/>
  <c r="C2978" i="10"/>
  <c r="D2977" i="10"/>
  <c r="C2977" i="10"/>
  <c r="D2976" i="10"/>
  <c r="C2976" i="10"/>
  <c r="D2975" i="10"/>
  <c r="C2975" i="10"/>
  <c r="D2974" i="10"/>
  <c r="C2974" i="10"/>
  <c r="D2973" i="10"/>
  <c r="C2973" i="10"/>
  <c r="D2972" i="10"/>
  <c r="C2972" i="10"/>
  <c r="D2971" i="10"/>
  <c r="C2971" i="10"/>
  <c r="D2970" i="10"/>
  <c r="C2970" i="10"/>
  <c r="D2969" i="10"/>
  <c r="C2969" i="10"/>
  <c r="D2968" i="10"/>
  <c r="C2968" i="10"/>
  <c r="D2967" i="10"/>
  <c r="C2967" i="10"/>
  <c r="D2966" i="10"/>
  <c r="C2966" i="10"/>
  <c r="D2965" i="10"/>
  <c r="C2965" i="10"/>
  <c r="D2964" i="10"/>
  <c r="C2964" i="10"/>
  <c r="D2963" i="10"/>
  <c r="C2963" i="10"/>
  <c r="D2962" i="10"/>
  <c r="C2962" i="10"/>
  <c r="D2961" i="10"/>
  <c r="C2961" i="10"/>
  <c r="D2960" i="10"/>
  <c r="C2960" i="10"/>
  <c r="D2959" i="10"/>
  <c r="C2959" i="10"/>
  <c r="D2958" i="10"/>
  <c r="C2958" i="10"/>
  <c r="D2957" i="10"/>
  <c r="C2957" i="10"/>
  <c r="D2956" i="10"/>
  <c r="C2956" i="10"/>
  <c r="D2955" i="10"/>
  <c r="C2955" i="10"/>
  <c r="D2954" i="10"/>
  <c r="C2954" i="10"/>
  <c r="D2953" i="10"/>
  <c r="C2953" i="10"/>
  <c r="D2952" i="10"/>
  <c r="C2952" i="10"/>
  <c r="D2951" i="10"/>
  <c r="C2951" i="10"/>
  <c r="D2950" i="10"/>
  <c r="C2950" i="10"/>
  <c r="D2949" i="10"/>
  <c r="C2949" i="10"/>
  <c r="D2948" i="10"/>
  <c r="C2948" i="10"/>
  <c r="D2947" i="10"/>
  <c r="C2947" i="10"/>
  <c r="D2946" i="10"/>
  <c r="C2946" i="10"/>
  <c r="D2945" i="10"/>
  <c r="C2945" i="10"/>
  <c r="D2944" i="10"/>
  <c r="C2944" i="10"/>
  <c r="D2943" i="10"/>
  <c r="C2943" i="10"/>
  <c r="D2942" i="10"/>
  <c r="C2942" i="10"/>
  <c r="D2941" i="10"/>
  <c r="C2941" i="10"/>
  <c r="D2940" i="10"/>
  <c r="C2940" i="10"/>
  <c r="D2939" i="10"/>
  <c r="C2939" i="10"/>
  <c r="D2938" i="10"/>
  <c r="C2938" i="10"/>
  <c r="D2937" i="10"/>
  <c r="C2937" i="10"/>
  <c r="D2936" i="10"/>
  <c r="C2936" i="10"/>
  <c r="D2935" i="10"/>
  <c r="C2935" i="10"/>
  <c r="D2934" i="10"/>
  <c r="C2934" i="10"/>
  <c r="D2933" i="10"/>
  <c r="C2933" i="10"/>
  <c r="D2932" i="10"/>
  <c r="C2932" i="10"/>
  <c r="D2931" i="10"/>
  <c r="C2931" i="10"/>
  <c r="D2930" i="10"/>
  <c r="C2930" i="10"/>
  <c r="D2929" i="10"/>
  <c r="C2929" i="10"/>
  <c r="D2928" i="10"/>
  <c r="C2928" i="10"/>
  <c r="D2927" i="10"/>
  <c r="C2927" i="10"/>
  <c r="D2926" i="10"/>
  <c r="C2926" i="10"/>
  <c r="D2925" i="10"/>
  <c r="C2925" i="10"/>
  <c r="D2924" i="10"/>
  <c r="C2924" i="10"/>
  <c r="D2923" i="10"/>
  <c r="C2923" i="10"/>
  <c r="D2922" i="10"/>
  <c r="C2922" i="10"/>
  <c r="D2921" i="10"/>
  <c r="C2921" i="10"/>
  <c r="D2920" i="10"/>
  <c r="C2920" i="10"/>
  <c r="D2919" i="10"/>
  <c r="C2919" i="10"/>
  <c r="D2918" i="10"/>
  <c r="C2918" i="10"/>
  <c r="D2917" i="10"/>
  <c r="C2917" i="10"/>
  <c r="D2916" i="10"/>
  <c r="C2916" i="10"/>
  <c r="D2915" i="10"/>
  <c r="C2915" i="10"/>
  <c r="D2914" i="10"/>
  <c r="C2914" i="10"/>
  <c r="D2913" i="10"/>
  <c r="C2913" i="10"/>
  <c r="D2912" i="10"/>
  <c r="C2912" i="10"/>
  <c r="D2911" i="10"/>
  <c r="C2911" i="10"/>
  <c r="D2910" i="10"/>
  <c r="C2910" i="10"/>
  <c r="D2909" i="10"/>
  <c r="C2909" i="10"/>
  <c r="D2908" i="10"/>
  <c r="C2908" i="10"/>
  <c r="D2907" i="10"/>
  <c r="C2907" i="10"/>
  <c r="D2906" i="10"/>
  <c r="C2906" i="10"/>
  <c r="D2905" i="10"/>
  <c r="C2905" i="10"/>
  <c r="D2904" i="10"/>
  <c r="C2904" i="10"/>
  <c r="D2903" i="10"/>
  <c r="C2903" i="10"/>
  <c r="D2902" i="10"/>
  <c r="C2902" i="10"/>
  <c r="D2901" i="10"/>
  <c r="C2901" i="10"/>
  <c r="D2900" i="10"/>
  <c r="C2900" i="10"/>
  <c r="D2899" i="10"/>
  <c r="C2899" i="10"/>
  <c r="D2898" i="10"/>
  <c r="C2898" i="10"/>
  <c r="D2897" i="10"/>
  <c r="C2897" i="10"/>
  <c r="D2896" i="10"/>
  <c r="C2896" i="10"/>
  <c r="D2895" i="10"/>
  <c r="C2895" i="10"/>
  <c r="D2894" i="10"/>
  <c r="C2894" i="10"/>
  <c r="D2893" i="10"/>
  <c r="C2893" i="10"/>
  <c r="D2892" i="10"/>
  <c r="C2892" i="10"/>
  <c r="D2891" i="10"/>
  <c r="C2891" i="10"/>
  <c r="D2890" i="10"/>
  <c r="C2890" i="10"/>
  <c r="D2889" i="10"/>
  <c r="C2889" i="10"/>
  <c r="D2888" i="10"/>
  <c r="C2888" i="10"/>
  <c r="D2887" i="10"/>
  <c r="C2887" i="10"/>
  <c r="D2886" i="10"/>
  <c r="C2886" i="10"/>
  <c r="D2885" i="10"/>
  <c r="C2885" i="10"/>
  <c r="D2884" i="10"/>
  <c r="C2884" i="10"/>
  <c r="D2883" i="10"/>
  <c r="C2883" i="10"/>
  <c r="D2882" i="10"/>
  <c r="C2882" i="10"/>
  <c r="D2881" i="10"/>
  <c r="C2881" i="10"/>
  <c r="D2880" i="10"/>
  <c r="C2880" i="10"/>
  <c r="D2879" i="10"/>
  <c r="C2879" i="10"/>
  <c r="D2878" i="10"/>
  <c r="C2878" i="10"/>
  <c r="D2877" i="10"/>
  <c r="C2877" i="10"/>
  <c r="D2876" i="10"/>
  <c r="C2876" i="10"/>
  <c r="D2875" i="10"/>
  <c r="C2875" i="10"/>
  <c r="D2874" i="10"/>
  <c r="C2874" i="10"/>
  <c r="D2873" i="10"/>
  <c r="C2873" i="10"/>
  <c r="D2872" i="10"/>
  <c r="C2872" i="10"/>
  <c r="D2871" i="10"/>
  <c r="C2871" i="10"/>
  <c r="D2870" i="10"/>
  <c r="C2870" i="10"/>
  <c r="D2869" i="10"/>
  <c r="C2869" i="10"/>
  <c r="D2868" i="10"/>
  <c r="C2868" i="10"/>
  <c r="D2867" i="10"/>
  <c r="C2867" i="10"/>
  <c r="D2866" i="10"/>
  <c r="C2866" i="10"/>
  <c r="D2865" i="10"/>
  <c r="C2865" i="10"/>
  <c r="D2864" i="10"/>
  <c r="C2864" i="10"/>
  <c r="D2863" i="10"/>
  <c r="C2863" i="10"/>
  <c r="D2862" i="10"/>
  <c r="C2862" i="10"/>
  <c r="D2861" i="10"/>
  <c r="C2861" i="10"/>
  <c r="D2860" i="10"/>
  <c r="C2860" i="10"/>
  <c r="D2859" i="10"/>
  <c r="C2859" i="10"/>
  <c r="D2858" i="10"/>
  <c r="C2858" i="10"/>
  <c r="D2857" i="10"/>
  <c r="C2857" i="10"/>
  <c r="D2856" i="10"/>
  <c r="C2856" i="10"/>
  <c r="D2855" i="10"/>
  <c r="C2855" i="10"/>
  <c r="D2854" i="10"/>
  <c r="C2854" i="10"/>
  <c r="D2853" i="10"/>
  <c r="C2853" i="10"/>
  <c r="D2852" i="10"/>
  <c r="C2852" i="10"/>
  <c r="D2851" i="10"/>
  <c r="C2851" i="10"/>
  <c r="D2850" i="10"/>
  <c r="C2850" i="10"/>
  <c r="D2849" i="10"/>
  <c r="C2849" i="10"/>
  <c r="D2848" i="10"/>
  <c r="C2848" i="10"/>
  <c r="D2847" i="10"/>
  <c r="C2847" i="10"/>
  <c r="D2846" i="10"/>
  <c r="C2846" i="10"/>
  <c r="D2845" i="10"/>
  <c r="C2845" i="10"/>
  <c r="D2844" i="10"/>
  <c r="C2844" i="10"/>
  <c r="D2843" i="10"/>
  <c r="C2843" i="10"/>
  <c r="D2842" i="10"/>
  <c r="C2842" i="10"/>
  <c r="D2841" i="10"/>
  <c r="C2841" i="10"/>
  <c r="D2840" i="10"/>
  <c r="C2840" i="10"/>
  <c r="D2839" i="10"/>
  <c r="C2839" i="10"/>
  <c r="D2838" i="10"/>
  <c r="C2838" i="10"/>
  <c r="D2837" i="10"/>
  <c r="C2837" i="10"/>
  <c r="D2836" i="10"/>
  <c r="C2836" i="10"/>
  <c r="D2835" i="10"/>
  <c r="C2835" i="10"/>
  <c r="D2834" i="10"/>
  <c r="C2834" i="10"/>
  <c r="D2833" i="10"/>
  <c r="C2833" i="10"/>
  <c r="D2832" i="10"/>
  <c r="C2832" i="10"/>
  <c r="D2831" i="10"/>
  <c r="C2831" i="10"/>
  <c r="D2830" i="10"/>
  <c r="C2830" i="10"/>
  <c r="D2829" i="10"/>
  <c r="C2829" i="10"/>
  <c r="D2828" i="10"/>
  <c r="C2828" i="10"/>
  <c r="D2827" i="10"/>
  <c r="C2827" i="10"/>
  <c r="D2826" i="10"/>
  <c r="C2826" i="10"/>
  <c r="D2825" i="10"/>
  <c r="C2825" i="10"/>
  <c r="D2824" i="10"/>
  <c r="C2824" i="10"/>
  <c r="D2823" i="10"/>
  <c r="C2823" i="10"/>
  <c r="D2822" i="10"/>
  <c r="C2822" i="10"/>
  <c r="D2821" i="10"/>
  <c r="C2821" i="10"/>
  <c r="D2820" i="10"/>
  <c r="C2820" i="10"/>
  <c r="D2819" i="10"/>
  <c r="C2819" i="10"/>
  <c r="D2818" i="10"/>
  <c r="C2818" i="10"/>
  <c r="D2817" i="10"/>
  <c r="C2817" i="10"/>
  <c r="D2816" i="10"/>
  <c r="C2816" i="10"/>
  <c r="D2815" i="10"/>
  <c r="C2815" i="10"/>
  <c r="D2814" i="10"/>
  <c r="C2814" i="10"/>
  <c r="D2813" i="10"/>
  <c r="C2813" i="10"/>
  <c r="D2812" i="10"/>
  <c r="C2812" i="10"/>
  <c r="D2811" i="10"/>
  <c r="C2811" i="10"/>
  <c r="D2810" i="10"/>
  <c r="C2810" i="10"/>
  <c r="D2809" i="10"/>
  <c r="C2809" i="10"/>
  <c r="D2808" i="10"/>
  <c r="C2808" i="10"/>
  <c r="D2807" i="10"/>
  <c r="C2807" i="10"/>
  <c r="D2806" i="10"/>
  <c r="C2806" i="10"/>
  <c r="D2805" i="10"/>
  <c r="C2805" i="10"/>
  <c r="D2804" i="10"/>
  <c r="C2804" i="10"/>
  <c r="D2803" i="10"/>
  <c r="C2803" i="10"/>
  <c r="D2802" i="10"/>
  <c r="C2802" i="10"/>
  <c r="D2801" i="10"/>
  <c r="C2801" i="10"/>
  <c r="D2800" i="10"/>
  <c r="C2800" i="10"/>
  <c r="D2799" i="10"/>
  <c r="C2799" i="10"/>
  <c r="D2798" i="10"/>
  <c r="C2798" i="10"/>
  <c r="D2797" i="10"/>
  <c r="C2797" i="10"/>
  <c r="D2796" i="10"/>
  <c r="C2796" i="10"/>
  <c r="D2795" i="10"/>
  <c r="C2795" i="10"/>
  <c r="D2794" i="10"/>
  <c r="C2794" i="10"/>
  <c r="D2793" i="10"/>
  <c r="C2793" i="10"/>
  <c r="D2792" i="10"/>
  <c r="C2792" i="10"/>
  <c r="D2791" i="10"/>
  <c r="C2791" i="10"/>
  <c r="D2790" i="10"/>
  <c r="C2790" i="10"/>
  <c r="D2789" i="10"/>
  <c r="C2789" i="10"/>
  <c r="D2788" i="10"/>
  <c r="C2788" i="10"/>
  <c r="D2787" i="10"/>
  <c r="C2787" i="10"/>
  <c r="D2786" i="10"/>
  <c r="C2786" i="10"/>
  <c r="D2785" i="10"/>
  <c r="C2785" i="10"/>
  <c r="D2784" i="10"/>
  <c r="C2784" i="10"/>
  <c r="D2783" i="10"/>
  <c r="C2783" i="10"/>
  <c r="D2782" i="10"/>
  <c r="C2782" i="10"/>
  <c r="D2781" i="10"/>
  <c r="C2781" i="10"/>
  <c r="D2780" i="10"/>
  <c r="C2780" i="10"/>
  <c r="D2779" i="10"/>
  <c r="C2779" i="10"/>
  <c r="D2778" i="10"/>
  <c r="C2778" i="10"/>
  <c r="D2777" i="10"/>
  <c r="C2777" i="10"/>
  <c r="D2776" i="10"/>
  <c r="C2776" i="10"/>
  <c r="D2775" i="10"/>
  <c r="C2775" i="10"/>
  <c r="D2774" i="10"/>
  <c r="C2774" i="10"/>
  <c r="D2773" i="10"/>
  <c r="C2773" i="10"/>
  <c r="D2772" i="10"/>
  <c r="C2772" i="10"/>
  <c r="D2771" i="10"/>
  <c r="C2771" i="10"/>
  <c r="D2770" i="10"/>
  <c r="C2770" i="10"/>
  <c r="D2769" i="10"/>
  <c r="C2769" i="10"/>
  <c r="D2768" i="10"/>
  <c r="C2768" i="10"/>
  <c r="D2767" i="10"/>
  <c r="C2767" i="10"/>
  <c r="D2766" i="10"/>
  <c r="C2766" i="10"/>
  <c r="D2765" i="10"/>
  <c r="C2765" i="10"/>
  <c r="D2764" i="10"/>
  <c r="C2764" i="10"/>
  <c r="D2763" i="10"/>
  <c r="C2763" i="10"/>
  <c r="D2762" i="10"/>
  <c r="C2762" i="10"/>
  <c r="D2761" i="10"/>
  <c r="C2761" i="10"/>
  <c r="D2760" i="10"/>
  <c r="C2760" i="10"/>
  <c r="D2759" i="10"/>
  <c r="C2759" i="10"/>
  <c r="D2758" i="10"/>
  <c r="C2758" i="10"/>
  <c r="D2757" i="10"/>
  <c r="C2757" i="10"/>
  <c r="D2756" i="10"/>
  <c r="C2756" i="10"/>
  <c r="D2755" i="10"/>
  <c r="C2755" i="10"/>
  <c r="D2754" i="10"/>
  <c r="C2754" i="10"/>
  <c r="D2753" i="10"/>
  <c r="C2753" i="10"/>
  <c r="D2752" i="10"/>
  <c r="C2752" i="10"/>
  <c r="D2751" i="10"/>
  <c r="C2751" i="10"/>
  <c r="D2750" i="10"/>
  <c r="C2750" i="10"/>
  <c r="D2749" i="10"/>
  <c r="C2749" i="10"/>
  <c r="D2748" i="10"/>
  <c r="C2748" i="10"/>
  <c r="D2747" i="10"/>
  <c r="C2747" i="10"/>
  <c r="D2746" i="10"/>
  <c r="C2746" i="10"/>
  <c r="D2745" i="10"/>
  <c r="C2745" i="10"/>
  <c r="D2744" i="10"/>
  <c r="C2744" i="10"/>
  <c r="D2743" i="10"/>
  <c r="C2743" i="10"/>
  <c r="D2742" i="10"/>
  <c r="C2742" i="10"/>
  <c r="D2741" i="10"/>
  <c r="C2741" i="10"/>
  <c r="D2740" i="10"/>
  <c r="C2740" i="10"/>
  <c r="D2739" i="10"/>
  <c r="C2739" i="10"/>
  <c r="D2738" i="10"/>
  <c r="C2738" i="10"/>
  <c r="D2737" i="10"/>
  <c r="C2737" i="10"/>
  <c r="D2736" i="10"/>
  <c r="C2736" i="10"/>
  <c r="D2735" i="10"/>
  <c r="C2735" i="10"/>
  <c r="D2734" i="10"/>
  <c r="C2734" i="10"/>
  <c r="D2733" i="10"/>
  <c r="C2733" i="10"/>
  <c r="D2732" i="10"/>
  <c r="C2732" i="10"/>
  <c r="D2731" i="10"/>
  <c r="C2731" i="10"/>
  <c r="D2730" i="10"/>
  <c r="C2730" i="10"/>
  <c r="D2729" i="10"/>
  <c r="C2729" i="10"/>
  <c r="D2728" i="10"/>
  <c r="C2728" i="10"/>
  <c r="D2727" i="10"/>
  <c r="C2727" i="10"/>
  <c r="D2726" i="10"/>
  <c r="C2726" i="10"/>
  <c r="D2725" i="10"/>
  <c r="C2725" i="10"/>
  <c r="D2724" i="10"/>
  <c r="C2724" i="10"/>
  <c r="D2723" i="10"/>
  <c r="C2723" i="10"/>
  <c r="D2722" i="10"/>
  <c r="C2722" i="10"/>
  <c r="D2721" i="10"/>
  <c r="C2721" i="10"/>
  <c r="D2720" i="10"/>
  <c r="C2720" i="10"/>
  <c r="D2719" i="10"/>
  <c r="C2719" i="10"/>
  <c r="D2718" i="10"/>
  <c r="C2718" i="10"/>
  <c r="D2717" i="10"/>
  <c r="C2717" i="10"/>
  <c r="D2716" i="10"/>
  <c r="C2716" i="10"/>
  <c r="D2715" i="10"/>
  <c r="C2715" i="10"/>
  <c r="D2714" i="10"/>
  <c r="C2714" i="10"/>
  <c r="D2713" i="10"/>
  <c r="C2713" i="10"/>
  <c r="D2712" i="10"/>
  <c r="C2712" i="10"/>
  <c r="D2711" i="10"/>
  <c r="C2711" i="10"/>
  <c r="D2710" i="10"/>
  <c r="C2710" i="10"/>
  <c r="D2709" i="10"/>
  <c r="C2709" i="10"/>
  <c r="D2708" i="10"/>
  <c r="C2708" i="10"/>
  <c r="D2707" i="10"/>
  <c r="C2707" i="10"/>
  <c r="D2706" i="10"/>
  <c r="C2706" i="10"/>
  <c r="D2705" i="10"/>
  <c r="C2705" i="10"/>
  <c r="D2704" i="10"/>
  <c r="C2704" i="10"/>
  <c r="D2703" i="10"/>
  <c r="C2703" i="10"/>
  <c r="D2702" i="10"/>
  <c r="C2702" i="10"/>
  <c r="D2701" i="10"/>
  <c r="C2701" i="10"/>
  <c r="D2700" i="10"/>
  <c r="C2700" i="10"/>
  <c r="D2699" i="10"/>
  <c r="C2699" i="10"/>
  <c r="D2698" i="10"/>
  <c r="C2698" i="10"/>
  <c r="D2697" i="10"/>
  <c r="C2697" i="10"/>
  <c r="D2696" i="10"/>
  <c r="C2696" i="10"/>
  <c r="D2695" i="10"/>
  <c r="C2695" i="10"/>
  <c r="D2694" i="10"/>
  <c r="C2694" i="10"/>
  <c r="D2693" i="10"/>
  <c r="C2693" i="10"/>
  <c r="D2692" i="10"/>
  <c r="C2692" i="10"/>
  <c r="D2691" i="10"/>
  <c r="C2691" i="10"/>
  <c r="D2690" i="10"/>
  <c r="C2690" i="10"/>
  <c r="D2689" i="10"/>
  <c r="C2689" i="10"/>
  <c r="D2688" i="10"/>
  <c r="C2688" i="10"/>
  <c r="D2687" i="10"/>
  <c r="C2687" i="10"/>
  <c r="D2686" i="10"/>
  <c r="C2686" i="10"/>
  <c r="D2685" i="10"/>
  <c r="C2685" i="10"/>
  <c r="D2684" i="10"/>
  <c r="C2684" i="10"/>
  <c r="D2683" i="10"/>
  <c r="C2683" i="10"/>
  <c r="D2682" i="10"/>
  <c r="C2682" i="10"/>
  <c r="D2681" i="10"/>
  <c r="C2681" i="10"/>
  <c r="D2680" i="10"/>
  <c r="C2680" i="10"/>
  <c r="D2679" i="10"/>
  <c r="C2679" i="10"/>
  <c r="D2678" i="10"/>
  <c r="C2678" i="10"/>
  <c r="D2677" i="10"/>
  <c r="C2677" i="10"/>
  <c r="D2676" i="10"/>
  <c r="C2676" i="10"/>
  <c r="D2675" i="10"/>
  <c r="C2675" i="10"/>
  <c r="D2674" i="10"/>
  <c r="C2674" i="10"/>
  <c r="D2673" i="10"/>
  <c r="C2673" i="10"/>
  <c r="D2672" i="10"/>
  <c r="C2672" i="10"/>
  <c r="D2671" i="10"/>
  <c r="C2671" i="10"/>
  <c r="D2670" i="10"/>
  <c r="C2670" i="10"/>
  <c r="D2669" i="10"/>
  <c r="C2669" i="10"/>
  <c r="D2668" i="10"/>
  <c r="C2668" i="10"/>
  <c r="D2667" i="10"/>
  <c r="C2667" i="10"/>
  <c r="D2666" i="10"/>
  <c r="C2666" i="10"/>
  <c r="D2665" i="10"/>
  <c r="C2665" i="10"/>
  <c r="D2664" i="10"/>
  <c r="C2664" i="10"/>
  <c r="D2663" i="10"/>
  <c r="C2663" i="10"/>
  <c r="D2662" i="10"/>
  <c r="C2662" i="10"/>
  <c r="D2661" i="10"/>
  <c r="C2661" i="10"/>
  <c r="D2660" i="10"/>
  <c r="C2660" i="10"/>
  <c r="D2659" i="10"/>
  <c r="C2659" i="10"/>
  <c r="D2658" i="10"/>
  <c r="C2658" i="10"/>
  <c r="D2657" i="10"/>
  <c r="C2657" i="10"/>
  <c r="D2656" i="10"/>
  <c r="C2656" i="10"/>
  <c r="D2655" i="10"/>
  <c r="C2655" i="10"/>
  <c r="D2654" i="10"/>
  <c r="C2654" i="10"/>
  <c r="D2653" i="10"/>
  <c r="C2653" i="10"/>
  <c r="D2652" i="10"/>
  <c r="C2652" i="10"/>
  <c r="D2651" i="10"/>
  <c r="C2651" i="10"/>
  <c r="D2650" i="10"/>
  <c r="C2650" i="10"/>
  <c r="D2649" i="10"/>
  <c r="C2649" i="10"/>
  <c r="D2648" i="10"/>
  <c r="C2648" i="10"/>
  <c r="D2647" i="10"/>
  <c r="C2647" i="10"/>
  <c r="D2646" i="10"/>
  <c r="C2646" i="10"/>
  <c r="D2645" i="10"/>
  <c r="C2645" i="10"/>
  <c r="D2644" i="10"/>
  <c r="C2644" i="10"/>
  <c r="D2643" i="10"/>
  <c r="C2643" i="10"/>
  <c r="D2642" i="10"/>
  <c r="C2642" i="10"/>
  <c r="D2641" i="10"/>
  <c r="C2641" i="10"/>
  <c r="D2640" i="10"/>
  <c r="C2640" i="10"/>
  <c r="D2639" i="10"/>
  <c r="C2639" i="10"/>
  <c r="D2638" i="10"/>
  <c r="C2638" i="10"/>
  <c r="D2637" i="10"/>
  <c r="C2637" i="10"/>
  <c r="D2636" i="10"/>
  <c r="C2636" i="10"/>
  <c r="D2635" i="10"/>
  <c r="C2635" i="10"/>
  <c r="D2634" i="10"/>
  <c r="C2634" i="10"/>
  <c r="D2633" i="10"/>
  <c r="C2633" i="10"/>
  <c r="D2632" i="10"/>
  <c r="C2632" i="10"/>
  <c r="D2631" i="10"/>
  <c r="C2631" i="10"/>
  <c r="D2630" i="10"/>
  <c r="C2630" i="10"/>
  <c r="D2629" i="10"/>
  <c r="C2629" i="10"/>
  <c r="D2628" i="10"/>
  <c r="C2628" i="10"/>
  <c r="D2627" i="10"/>
  <c r="C2627" i="10"/>
  <c r="D2626" i="10"/>
  <c r="C2626" i="10"/>
  <c r="D2625" i="10"/>
  <c r="C2625" i="10"/>
  <c r="D2624" i="10"/>
  <c r="C2624" i="10"/>
  <c r="D2623" i="10"/>
  <c r="C2623" i="10"/>
  <c r="D2622" i="10"/>
  <c r="C2622" i="10"/>
  <c r="D2621" i="10"/>
  <c r="C2621" i="10"/>
  <c r="D2620" i="10"/>
  <c r="C2620" i="10"/>
  <c r="D2619" i="10"/>
  <c r="C2619" i="10"/>
  <c r="D2618" i="10"/>
  <c r="C2618" i="10"/>
  <c r="D2617" i="10"/>
  <c r="C2617" i="10"/>
  <c r="D2616" i="10"/>
  <c r="C2616" i="10"/>
  <c r="D2615" i="10"/>
  <c r="C2615" i="10"/>
  <c r="D2614" i="10"/>
  <c r="C2614" i="10"/>
  <c r="D2613" i="10"/>
  <c r="C2613" i="10"/>
  <c r="D2612" i="10"/>
  <c r="C2612" i="10"/>
  <c r="D2611" i="10"/>
  <c r="C2611" i="10"/>
  <c r="D2610" i="10"/>
  <c r="C2610" i="10"/>
  <c r="D2609" i="10"/>
  <c r="C2609" i="10"/>
  <c r="D2608" i="10"/>
  <c r="C2608" i="10"/>
  <c r="D2607" i="10"/>
  <c r="C2607" i="10"/>
  <c r="D2606" i="10"/>
  <c r="C2606" i="10"/>
  <c r="D2605" i="10"/>
  <c r="C2605" i="10"/>
  <c r="D2604" i="10"/>
  <c r="C2604" i="10"/>
  <c r="D2603" i="10"/>
  <c r="C2603" i="10"/>
  <c r="D2602" i="10"/>
  <c r="C2602" i="10"/>
  <c r="D2601" i="10"/>
  <c r="C2601" i="10"/>
  <c r="D2600" i="10"/>
  <c r="C2600" i="10"/>
  <c r="D2599" i="10"/>
  <c r="C2599" i="10"/>
  <c r="D2598" i="10"/>
  <c r="C2598" i="10"/>
  <c r="D2597" i="10"/>
  <c r="C2597" i="10"/>
  <c r="D2596" i="10"/>
  <c r="C2596" i="10"/>
  <c r="D2595" i="10"/>
  <c r="C2595" i="10"/>
  <c r="D2594" i="10"/>
  <c r="C2594" i="10"/>
  <c r="D2593" i="10"/>
  <c r="C2593" i="10"/>
  <c r="D2592" i="10"/>
  <c r="C2592" i="10"/>
  <c r="D2591" i="10"/>
  <c r="C2591" i="10"/>
  <c r="D2590" i="10"/>
  <c r="C2590" i="10"/>
  <c r="D2589" i="10"/>
  <c r="C2589" i="10"/>
  <c r="D2588" i="10"/>
  <c r="C2588" i="10"/>
  <c r="D2587" i="10"/>
  <c r="C2587" i="10"/>
  <c r="D2586" i="10"/>
  <c r="C2586" i="10"/>
  <c r="D2585" i="10"/>
  <c r="C2585" i="10"/>
  <c r="D2584" i="10"/>
  <c r="C2584" i="10"/>
  <c r="D2583" i="10"/>
  <c r="C2583" i="10"/>
  <c r="D2582" i="10"/>
  <c r="C2582" i="10"/>
  <c r="D2581" i="10"/>
  <c r="C2581" i="10"/>
  <c r="D2580" i="10"/>
  <c r="C2580" i="10"/>
  <c r="D2579" i="10"/>
  <c r="C2579" i="10"/>
  <c r="D2578" i="10"/>
  <c r="C2578" i="10"/>
  <c r="D2577" i="10"/>
  <c r="C2577" i="10"/>
  <c r="D2576" i="10"/>
  <c r="C2576" i="10"/>
  <c r="D2575" i="10"/>
  <c r="C2575" i="10"/>
  <c r="D2574" i="10"/>
  <c r="C2574" i="10"/>
  <c r="D2573" i="10"/>
  <c r="C2573" i="10"/>
  <c r="D2572" i="10"/>
  <c r="C2572" i="10"/>
  <c r="D2571" i="10"/>
  <c r="C2571" i="10"/>
  <c r="D2570" i="10"/>
  <c r="C2570" i="10"/>
  <c r="D2569" i="10"/>
  <c r="C2569" i="10"/>
  <c r="D2568" i="10"/>
  <c r="C2568" i="10"/>
  <c r="D2567" i="10"/>
  <c r="C2567" i="10"/>
  <c r="D2566" i="10"/>
  <c r="C2566" i="10"/>
  <c r="D2565" i="10"/>
  <c r="C2565" i="10"/>
  <c r="D2564" i="10"/>
  <c r="C2564" i="10"/>
  <c r="D2563" i="10"/>
  <c r="C2563" i="10"/>
  <c r="D2562" i="10"/>
  <c r="C2562" i="10"/>
  <c r="D2561" i="10"/>
  <c r="C2561" i="10"/>
  <c r="D2560" i="10"/>
  <c r="C2560" i="10"/>
  <c r="D2559" i="10"/>
  <c r="C2559" i="10"/>
  <c r="D2558" i="10"/>
  <c r="C2558" i="10"/>
  <c r="D2557" i="10"/>
  <c r="C2557" i="10"/>
  <c r="D2556" i="10"/>
  <c r="C2556" i="10"/>
  <c r="D2555" i="10"/>
  <c r="C2555" i="10"/>
  <c r="D2554" i="10"/>
  <c r="C2554" i="10"/>
  <c r="D2553" i="10"/>
  <c r="C2553" i="10"/>
  <c r="D2552" i="10"/>
  <c r="C2552" i="10"/>
  <c r="D2551" i="10"/>
  <c r="C2551" i="10"/>
  <c r="D2550" i="10"/>
  <c r="C2550" i="10"/>
  <c r="D2549" i="10"/>
  <c r="C2549" i="10"/>
  <c r="D2548" i="10"/>
  <c r="C2548" i="10"/>
  <c r="D2547" i="10"/>
  <c r="C2547" i="10"/>
  <c r="D2546" i="10"/>
  <c r="C2546" i="10"/>
  <c r="D2545" i="10"/>
  <c r="C2545" i="10"/>
  <c r="D2544" i="10"/>
  <c r="C2544" i="10"/>
  <c r="D2543" i="10"/>
  <c r="C2543" i="10"/>
  <c r="D2542" i="10"/>
  <c r="C2542" i="10"/>
  <c r="D2541" i="10"/>
  <c r="C2541" i="10"/>
  <c r="D2540" i="10"/>
  <c r="C2540" i="10"/>
  <c r="D2539" i="10"/>
  <c r="C2539" i="10"/>
  <c r="D2538" i="10"/>
  <c r="C2538" i="10"/>
  <c r="D2537" i="10"/>
  <c r="C2537" i="10"/>
  <c r="D2536" i="10"/>
  <c r="C2536" i="10"/>
  <c r="D2535" i="10"/>
  <c r="C2535" i="10"/>
  <c r="D2534" i="10"/>
  <c r="C2534" i="10"/>
  <c r="D2533" i="10"/>
  <c r="C2533" i="10"/>
  <c r="D2532" i="10"/>
  <c r="C2532" i="10"/>
  <c r="D2531" i="10"/>
  <c r="C2531" i="10"/>
  <c r="D2530" i="10"/>
  <c r="C2530" i="10"/>
  <c r="D2529" i="10"/>
  <c r="C2529" i="10"/>
  <c r="D2528" i="10"/>
  <c r="C2528" i="10"/>
  <c r="D2527" i="10"/>
  <c r="C2527" i="10"/>
  <c r="D2526" i="10"/>
  <c r="C2526" i="10"/>
  <c r="D2525" i="10"/>
  <c r="C2525" i="10"/>
  <c r="D2524" i="10"/>
  <c r="C2524" i="10"/>
  <c r="D2523" i="10"/>
  <c r="C2523" i="10"/>
  <c r="D2522" i="10"/>
  <c r="C2522" i="10"/>
  <c r="D2521" i="10"/>
  <c r="C2521" i="10"/>
  <c r="D2520" i="10"/>
  <c r="C2520" i="10"/>
  <c r="D2519" i="10"/>
  <c r="C2519" i="10"/>
  <c r="D2518" i="10"/>
  <c r="C2518" i="10"/>
  <c r="D2517" i="10"/>
  <c r="C2517" i="10"/>
  <c r="D2516" i="10"/>
  <c r="C2516" i="10"/>
  <c r="D2515" i="10"/>
  <c r="C2515" i="10"/>
  <c r="D2514" i="10"/>
  <c r="C2514" i="10"/>
  <c r="D2513" i="10"/>
  <c r="C2513" i="10"/>
  <c r="D2512" i="10"/>
  <c r="C2512" i="10"/>
  <c r="D2511" i="10"/>
  <c r="C2511" i="10"/>
  <c r="D2510" i="10"/>
  <c r="C2510" i="10"/>
  <c r="D2509" i="10"/>
  <c r="C2509" i="10"/>
  <c r="D2508" i="10"/>
  <c r="C2508" i="10"/>
  <c r="D2507" i="10"/>
  <c r="C2507" i="10"/>
  <c r="D2506" i="10"/>
  <c r="C2506" i="10"/>
  <c r="D2505" i="10"/>
  <c r="C2505" i="10"/>
  <c r="D2504" i="10"/>
  <c r="C2504" i="10"/>
  <c r="D2503" i="10"/>
  <c r="C2503" i="10"/>
  <c r="D2502" i="10"/>
  <c r="C2502" i="10"/>
  <c r="D2501" i="10"/>
  <c r="C2501" i="10"/>
  <c r="D2500" i="10"/>
  <c r="C2500" i="10"/>
  <c r="D2499" i="10"/>
  <c r="C2499" i="10"/>
  <c r="D2498" i="10"/>
  <c r="C2498" i="10"/>
  <c r="D2497" i="10"/>
  <c r="C2497" i="10"/>
  <c r="D2496" i="10"/>
  <c r="C2496" i="10"/>
  <c r="D2495" i="10"/>
  <c r="C2495" i="10"/>
  <c r="D2494" i="10"/>
  <c r="C2494" i="10"/>
  <c r="D2493" i="10"/>
  <c r="C2493" i="10"/>
  <c r="D2492" i="10"/>
  <c r="C2492" i="10"/>
  <c r="D2491" i="10"/>
  <c r="C2491" i="10"/>
  <c r="D2490" i="10"/>
  <c r="C2490" i="10"/>
  <c r="D2489" i="10"/>
  <c r="C2489" i="10"/>
  <c r="D2488" i="10"/>
  <c r="C2488" i="10"/>
  <c r="D2487" i="10"/>
  <c r="C2487" i="10"/>
  <c r="D2486" i="10"/>
  <c r="C2486" i="10"/>
  <c r="D2485" i="10"/>
  <c r="C2485" i="10"/>
  <c r="D2484" i="10"/>
  <c r="C2484" i="10"/>
  <c r="D2483" i="10"/>
  <c r="C2483" i="10"/>
  <c r="D2482" i="10"/>
  <c r="C2482" i="10"/>
  <c r="D2481" i="10"/>
  <c r="C2481" i="10"/>
  <c r="D2480" i="10"/>
  <c r="C2480" i="10"/>
  <c r="D2479" i="10"/>
  <c r="C2479" i="10"/>
  <c r="D2478" i="10"/>
  <c r="C2478" i="10"/>
  <c r="D2477" i="10"/>
  <c r="C2477" i="10"/>
  <c r="D2476" i="10"/>
  <c r="C2476" i="10"/>
  <c r="D2475" i="10"/>
  <c r="C2475" i="10"/>
  <c r="D2474" i="10"/>
  <c r="C2474" i="10"/>
  <c r="D2473" i="10"/>
  <c r="C2473" i="10"/>
  <c r="D2472" i="10"/>
  <c r="C2472" i="10"/>
  <c r="D2471" i="10"/>
  <c r="C2471" i="10"/>
  <c r="D2470" i="10"/>
  <c r="C2470" i="10"/>
  <c r="D2469" i="10"/>
  <c r="C2469" i="10"/>
  <c r="D2468" i="10"/>
  <c r="C2468" i="10"/>
  <c r="D2467" i="10"/>
  <c r="C2467" i="10"/>
  <c r="D2466" i="10"/>
  <c r="C2466" i="10"/>
  <c r="D2465" i="10"/>
  <c r="C2465" i="10"/>
  <c r="D2464" i="10"/>
  <c r="C2464" i="10"/>
  <c r="D2463" i="10"/>
  <c r="C2463" i="10"/>
  <c r="D2462" i="10"/>
  <c r="C2462" i="10"/>
  <c r="D2461" i="10"/>
  <c r="C2461" i="10"/>
  <c r="D2460" i="10"/>
  <c r="C2460" i="10"/>
  <c r="D2459" i="10"/>
  <c r="C2459" i="10"/>
  <c r="D2458" i="10"/>
  <c r="C2458" i="10"/>
  <c r="D2457" i="10"/>
  <c r="C2457" i="10"/>
  <c r="D2456" i="10"/>
  <c r="C2456" i="10"/>
  <c r="D2455" i="10"/>
  <c r="C2455" i="10"/>
  <c r="D2454" i="10"/>
  <c r="C2454" i="10"/>
  <c r="D2453" i="10"/>
  <c r="C2453" i="10"/>
  <c r="D2452" i="10"/>
  <c r="C2452" i="10"/>
  <c r="D2451" i="10"/>
  <c r="C2451" i="10"/>
  <c r="D2450" i="10"/>
  <c r="C2450" i="10"/>
  <c r="D2449" i="10"/>
  <c r="C2449" i="10"/>
  <c r="D2448" i="10"/>
  <c r="C2448" i="10"/>
  <c r="D2447" i="10"/>
  <c r="C2447" i="10"/>
  <c r="D2446" i="10"/>
  <c r="C2446" i="10"/>
  <c r="D2445" i="10"/>
  <c r="C2445" i="10"/>
  <c r="D2444" i="10"/>
  <c r="C2444" i="10"/>
  <c r="D2443" i="10"/>
  <c r="C2443" i="10"/>
  <c r="D2442" i="10"/>
  <c r="C2442" i="10"/>
  <c r="D2441" i="10"/>
  <c r="C2441" i="10"/>
  <c r="D2440" i="10"/>
  <c r="C2440" i="10"/>
  <c r="D2439" i="10"/>
  <c r="C2439" i="10"/>
  <c r="D2438" i="10"/>
  <c r="C2438" i="10"/>
  <c r="D2437" i="10"/>
  <c r="C2437" i="10"/>
  <c r="D2436" i="10"/>
  <c r="C2436" i="10"/>
  <c r="D2435" i="10"/>
  <c r="C2435" i="10"/>
  <c r="D2434" i="10"/>
  <c r="C2434" i="10"/>
  <c r="D2433" i="10"/>
  <c r="C2433" i="10"/>
  <c r="D2432" i="10"/>
  <c r="C2432" i="10"/>
  <c r="D2431" i="10"/>
  <c r="C2431" i="10"/>
  <c r="D2430" i="10"/>
  <c r="C2430" i="10"/>
  <c r="D2429" i="10"/>
  <c r="C2429" i="10"/>
  <c r="D2428" i="10"/>
  <c r="C2428" i="10"/>
  <c r="D2427" i="10"/>
  <c r="C2427" i="10"/>
  <c r="D2426" i="10"/>
  <c r="C2426" i="10"/>
  <c r="D2425" i="10"/>
  <c r="C2425" i="10"/>
  <c r="D2424" i="10"/>
  <c r="C2424" i="10"/>
  <c r="D2423" i="10"/>
  <c r="C2423" i="10"/>
  <c r="D2422" i="10"/>
  <c r="C2422" i="10"/>
  <c r="D2421" i="10"/>
  <c r="C2421" i="10"/>
  <c r="D2420" i="10"/>
  <c r="C2420" i="10"/>
  <c r="D2419" i="10"/>
  <c r="C2419" i="10"/>
  <c r="D2418" i="10"/>
  <c r="C2418" i="10"/>
  <c r="D2417" i="10"/>
  <c r="C2417" i="10"/>
  <c r="D2416" i="10"/>
  <c r="C2416" i="10"/>
  <c r="D2415" i="10"/>
  <c r="C2415" i="10"/>
  <c r="D2414" i="10"/>
  <c r="C2414" i="10"/>
  <c r="D2413" i="10"/>
  <c r="C2413" i="10"/>
  <c r="D2412" i="10"/>
  <c r="C2412" i="10"/>
  <c r="D2411" i="10"/>
  <c r="C2411" i="10"/>
  <c r="D2410" i="10"/>
  <c r="C2410" i="10"/>
  <c r="D2409" i="10"/>
  <c r="C2409" i="10"/>
  <c r="D2408" i="10"/>
  <c r="C2408" i="10"/>
  <c r="D2407" i="10"/>
  <c r="C2407" i="10"/>
  <c r="D2406" i="10"/>
  <c r="C2406" i="10"/>
  <c r="D2405" i="10"/>
  <c r="C2405" i="10"/>
  <c r="D2404" i="10"/>
  <c r="C2404" i="10"/>
  <c r="D2403" i="10"/>
  <c r="C2403" i="10"/>
  <c r="D2402" i="10"/>
  <c r="C2402" i="10"/>
  <c r="D2401" i="10"/>
  <c r="C2401" i="10"/>
  <c r="D2400" i="10"/>
  <c r="C2400" i="10"/>
  <c r="D2399" i="10"/>
  <c r="C2399" i="10"/>
  <c r="D2398" i="10"/>
  <c r="C2398" i="10"/>
  <c r="D2397" i="10"/>
  <c r="C2397" i="10"/>
  <c r="D2396" i="10"/>
  <c r="C2396" i="10"/>
  <c r="D2395" i="10"/>
  <c r="C2395" i="10"/>
  <c r="D2394" i="10"/>
  <c r="C2394" i="10"/>
  <c r="D2393" i="10"/>
  <c r="C2393" i="10"/>
  <c r="D2392" i="10"/>
  <c r="C2392" i="10"/>
  <c r="D2391" i="10"/>
  <c r="C2391" i="10"/>
  <c r="D2390" i="10"/>
  <c r="C2390" i="10"/>
  <c r="D2389" i="10"/>
  <c r="C2389" i="10"/>
  <c r="D2388" i="10"/>
  <c r="C2388" i="10"/>
  <c r="D2387" i="10"/>
  <c r="C2387" i="10"/>
  <c r="D2386" i="10"/>
  <c r="C2386" i="10"/>
  <c r="D2385" i="10"/>
  <c r="C2385" i="10"/>
  <c r="D2384" i="10"/>
  <c r="C2384" i="10"/>
  <c r="D2383" i="10"/>
  <c r="C2383" i="10"/>
  <c r="D2382" i="10"/>
  <c r="C2382" i="10"/>
  <c r="D2381" i="10"/>
  <c r="C2381" i="10"/>
  <c r="D2380" i="10"/>
  <c r="C2380" i="10"/>
  <c r="D2379" i="10"/>
  <c r="C2379" i="10"/>
  <c r="D2378" i="10"/>
  <c r="C2378" i="10"/>
  <c r="D2377" i="10"/>
  <c r="C2377" i="10"/>
  <c r="D2376" i="10"/>
  <c r="C2376" i="10"/>
  <c r="D2375" i="10"/>
  <c r="C2375" i="10"/>
  <c r="D2374" i="10"/>
  <c r="C2374" i="10"/>
  <c r="D2373" i="10"/>
  <c r="C2373" i="10"/>
  <c r="D2372" i="10"/>
  <c r="C2372" i="10"/>
  <c r="D2371" i="10"/>
  <c r="C2371" i="10"/>
  <c r="D2370" i="10"/>
  <c r="C2370" i="10"/>
  <c r="D2369" i="10"/>
  <c r="C2369" i="10"/>
  <c r="D2368" i="10"/>
  <c r="C2368" i="10"/>
  <c r="D2367" i="10"/>
  <c r="C2367" i="10"/>
  <c r="D2366" i="10"/>
  <c r="C2366" i="10"/>
  <c r="D2365" i="10"/>
  <c r="C2365" i="10"/>
  <c r="D2364" i="10"/>
  <c r="C2364" i="10"/>
  <c r="D2363" i="10"/>
  <c r="C2363" i="10"/>
  <c r="D2362" i="10"/>
  <c r="C2362" i="10"/>
  <c r="D2361" i="10"/>
  <c r="C2361" i="10"/>
  <c r="D2360" i="10"/>
  <c r="C2360" i="10"/>
  <c r="D2359" i="10"/>
  <c r="C2359" i="10"/>
  <c r="D2358" i="10"/>
  <c r="C2358" i="10"/>
  <c r="D2357" i="10"/>
  <c r="C2357" i="10"/>
  <c r="D2356" i="10"/>
  <c r="C2356" i="10"/>
  <c r="D2355" i="10"/>
  <c r="C2355" i="10"/>
  <c r="D2354" i="10"/>
  <c r="C2354" i="10"/>
  <c r="D2353" i="10"/>
  <c r="C2353" i="10"/>
  <c r="D2352" i="10"/>
  <c r="C2352" i="10"/>
  <c r="D2351" i="10"/>
  <c r="C2351" i="10"/>
  <c r="D2350" i="10"/>
  <c r="C2350" i="10"/>
  <c r="D2349" i="10"/>
  <c r="C2349" i="10"/>
  <c r="D2348" i="10"/>
  <c r="C2348" i="10"/>
  <c r="D2347" i="10"/>
  <c r="C2347" i="10"/>
  <c r="D2346" i="10"/>
  <c r="C2346" i="10"/>
  <c r="D2345" i="10"/>
  <c r="C2345" i="10"/>
  <c r="D2344" i="10"/>
  <c r="C2344" i="10"/>
  <c r="D2343" i="10"/>
  <c r="C2343" i="10"/>
  <c r="D2342" i="10"/>
  <c r="C2342" i="10"/>
  <c r="D2341" i="10"/>
  <c r="C2341" i="10"/>
  <c r="D2340" i="10"/>
  <c r="C2340" i="10"/>
  <c r="D2339" i="10"/>
  <c r="C2339" i="10"/>
  <c r="D2338" i="10"/>
  <c r="C2338" i="10"/>
  <c r="D2337" i="10"/>
  <c r="C2337" i="10"/>
  <c r="D2336" i="10"/>
  <c r="C2336" i="10"/>
  <c r="D2335" i="10"/>
  <c r="C2335" i="10"/>
  <c r="D2334" i="10"/>
  <c r="C2334" i="10"/>
  <c r="D2333" i="10"/>
  <c r="C2333" i="10"/>
  <c r="D2332" i="10"/>
  <c r="C2332" i="10"/>
  <c r="D2331" i="10"/>
  <c r="C2331" i="10"/>
  <c r="D2330" i="10"/>
  <c r="C2330" i="10"/>
  <c r="D2329" i="10"/>
  <c r="C2329" i="10"/>
  <c r="D2328" i="10"/>
  <c r="C2328" i="10"/>
  <c r="D2327" i="10"/>
  <c r="C2327" i="10"/>
  <c r="D2326" i="10"/>
  <c r="C2326" i="10"/>
  <c r="D2325" i="10"/>
  <c r="C2325" i="10"/>
  <c r="D2324" i="10"/>
  <c r="C2324" i="10"/>
  <c r="D2323" i="10"/>
  <c r="C2323" i="10"/>
  <c r="D2322" i="10"/>
  <c r="C2322" i="10"/>
  <c r="D2321" i="10"/>
  <c r="C2321" i="10"/>
  <c r="D2320" i="10"/>
  <c r="C2320" i="10"/>
  <c r="D2319" i="10"/>
  <c r="C2319" i="10"/>
  <c r="D2318" i="10"/>
  <c r="C2318" i="10"/>
  <c r="D2317" i="10"/>
  <c r="C2317" i="10"/>
  <c r="D2316" i="10"/>
  <c r="C2316" i="10"/>
  <c r="D2315" i="10"/>
  <c r="C2315" i="10"/>
  <c r="D2314" i="10"/>
  <c r="C2314" i="10"/>
  <c r="D2313" i="10"/>
  <c r="C2313" i="10"/>
  <c r="D2312" i="10"/>
  <c r="C2312" i="10"/>
  <c r="D2311" i="10"/>
  <c r="C2311" i="10"/>
  <c r="D2310" i="10"/>
  <c r="C2310" i="10"/>
  <c r="D2309" i="10"/>
  <c r="C2309" i="10"/>
  <c r="D2308" i="10"/>
  <c r="C2308" i="10"/>
  <c r="D2307" i="10"/>
  <c r="C2307" i="10"/>
  <c r="D2306" i="10"/>
  <c r="C2306" i="10"/>
  <c r="D2305" i="10"/>
  <c r="C2305" i="10"/>
  <c r="D2304" i="10"/>
  <c r="C2304" i="10"/>
  <c r="D2303" i="10"/>
  <c r="C2303" i="10"/>
  <c r="D2302" i="10"/>
  <c r="C2302" i="10"/>
  <c r="D2301" i="10"/>
  <c r="C2301" i="10"/>
  <c r="D2300" i="10"/>
  <c r="C2300" i="10"/>
  <c r="D2299" i="10"/>
  <c r="C2299" i="10"/>
  <c r="D2298" i="10"/>
  <c r="C2298" i="10"/>
  <c r="D2297" i="10"/>
  <c r="C2297" i="10"/>
  <c r="D2296" i="10"/>
  <c r="C2296" i="10"/>
  <c r="D2295" i="10"/>
  <c r="C2295" i="10"/>
  <c r="D2294" i="10"/>
  <c r="C2294" i="10"/>
  <c r="D2293" i="10"/>
  <c r="C2293" i="10"/>
  <c r="D2292" i="10"/>
  <c r="C2292" i="10"/>
  <c r="D2291" i="10"/>
  <c r="C2291" i="10"/>
  <c r="D2290" i="10"/>
  <c r="C2290" i="10"/>
  <c r="D2289" i="10"/>
  <c r="C2289" i="10"/>
  <c r="D2288" i="10"/>
  <c r="C2288" i="10"/>
  <c r="D2287" i="10"/>
  <c r="C2287" i="10"/>
  <c r="D2286" i="10"/>
  <c r="C2286" i="10"/>
  <c r="D2285" i="10"/>
  <c r="C2285" i="10"/>
  <c r="D2284" i="10"/>
  <c r="C2284" i="10"/>
  <c r="D2283" i="10"/>
  <c r="C2283" i="10"/>
  <c r="D2282" i="10"/>
  <c r="C2282" i="10"/>
  <c r="D2281" i="10"/>
  <c r="C2281" i="10"/>
  <c r="D2280" i="10"/>
  <c r="C2280" i="10"/>
  <c r="D2279" i="10"/>
  <c r="C2279" i="10"/>
  <c r="D2278" i="10"/>
  <c r="C2278" i="10"/>
  <c r="D2277" i="10"/>
  <c r="C2277" i="10"/>
  <c r="D2276" i="10"/>
  <c r="C2276" i="10"/>
  <c r="D2275" i="10"/>
  <c r="C2275" i="10"/>
  <c r="D2274" i="10"/>
  <c r="C2274" i="10"/>
  <c r="D2273" i="10"/>
  <c r="C2273" i="10"/>
  <c r="D2272" i="10"/>
  <c r="C2272" i="10"/>
  <c r="D2271" i="10"/>
  <c r="C2271" i="10"/>
  <c r="D2270" i="10"/>
  <c r="C2270" i="10"/>
  <c r="D2269" i="10"/>
  <c r="C2269" i="10"/>
  <c r="D2268" i="10"/>
  <c r="C2268" i="10"/>
  <c r="D2267" i="10"/>
  <c r="C2267" i="10"/>
  <c r="D2266" i="10"/>
  <c r="C2266" i="10"/>
  <c r="D2265" i="10"/>
  <c r="C2265" i="10"/>
  <c r="D2264" i="10"/>
  <c r="C2264" i="10"/>
  <c r="D2263" i="10"/>
  <c r="C2263" i="10"/>
  <c r="D2262" i="10"/>
  <c r="C2262" i="10"/>
  <c r="D2261" i="10"/>
  <c r="C2261" i="10"/>
  <c r="D2260" i="10"/>
  <c r="C2260" i="10"/>
  <c r="D2259" i="10"/>
  <c r="C2259" i="10"/>
  <c r="D2258" i="10"/>
  <c r="C2258" i="10"/>
  <c r="D2257" i="10"/>
  <c r="C2257" i="10"/>
  <c r="D2256" i="10"/>
  <c r="C2256" i="10"/>
  <c r="D2255" i="10"/>
  <c r="C2255" i="10"/>
  <c r="D2254" i="10"/>
  <c r="C2254" i="10"/>
  <c r="D2253" i="10"/>
  <c r="C2253" i="10"/>
  <c r="D2252" i="10"/>
  <c r="C2252" i="10"/>
  <c r="D2251" i="10"/>
  <c r="C2251" i="10"/>
  <c r="D2250" i="10"/>
  <c r="C2250" i="10"/>
  <c r="D2249" i="10"/>
  <c r="C2249" i="10"/>
  <c r="D2248" i="10"/>
  <c r="C2248" i="10"/>
  <c r="D2247" i="10"/>
  <c r="C2247" i="10"/>
  <c r="D2246" i="10"/>
  <c r="C2246" i="10"/>
  <c r="D2245" i="10"/>
  <c r="C2245" i="10"/>
  <c r="D2244" i="10"/>
  <c r="C2244" i="10"/>
  <c r="D2243" i="10"/>
  <c r="C2243" i="10"/>
  <c r="D2242" i="10"/>
  <c r="C2242" i="10"/>
  <c r="D2241" i="10"/>
  <c r="C2241" i="10"/>
  <c r="D2240" i="10"/>
  <c r="C2240" i="10"/>
  <c r="D2239" i="10"/>
  <c r="C2239" i="10"/>
  <c r="D2238" i="10"/>
  <c r="C2238" i="10"/>
  <c r="D2237" i="10"/>
  <c r="C2237" i="10"/>
  <c r="D2236" i="10"/>
  <c r="C2236" i="10"/>
  <c r="D2235" i="10"/>
  <c r="C2235" i="10"/>
  <c r="D2234" i="10"/>
  <c r="C2234" i="10"/>
  <c r="D2233" i="10"/>
  <c r="C2233" i="10"/>
  <c r="D2232" i="10"/>
  <c r="C2232" i="10"/>
  <c r="D2231" i="10"/>
  <c r="C2231" i="10"/>
  <c r="D2230" i="10"/>
  <c r="C2230" i="10"/>
  <c r="D2229" i="10"/>
  <c r="C2229" i="10"/>
  <c r="D2228" i="10"/>
  <c r="C2228" i="10"/>
  <c r="D2227" i="10"/>
  <c r="C2227" i="10"/>
  <c r="D2226" i="10"/>
  <c r="C2226" i="10"/>
  <c r="D2225" i="10"/>
  <c r="C2225" i="10"/>
  <c r="D2224" i="10"/>
  <c r="C2224" i="10"/>
  <c r="D2223" i="10"/>
  <c r="C2223" i="10"/>
  <c r="D2222" i="10"/>
  <c r="C2222" i="10"/>
  <c r="D2221" i="10"/>
  <c r="C2221" i="10"/>
  <c r="D2220" i="10"/>
  <c r="C2220" i="10"/>
  <c r="D2219" i="10"/>
  <c r="C2219" i="10"/>
  <c r="D2218" i="10"/>
  <c r="C2218" i="10"/>
  <c r="D2217" i="10"/>
  <c r="C2217" i="10"/>
  <c r="D2216" i="10"/>
  <c r="C2216" i="10"/>
  <c r="D2215" i="10"/>
  <c r="C2215" i="10"/>
  <c r="D2214" i="10"/>
  <c r="C2214" i="10"/>
  <c r="D2213" i="10"/>
  <c r="C2213" i="10"/>
  <c r="D2212" i="10"/>
  <c r="C2212" i="10"/>
  <c r="D2211" i="10"/>
  <c r="C2211" i="10"/>
  <c r="D2210" i="10"/>
  <c r="C2210" i="10"/>
  <c r="D2209" i="10"/>
  <c r="C2209" i="10"/>
  <c r="D2208" i="10"/>
  <c r="C2208" i="10"/>
  <c r="D2207" i="10"/>
  <c r="C2207" i="10"/>
  <c r="D2206" i="10"/>
  <c r="C2206" i="10"/>
  <c r="D2205" i="10"/>
  <c r="C2205" i="10"/>
  <c r="D2204" i="10"/>
  <c r="C2204" i="10"/>
  <c r="D2203" i="10"/>
  <c r="C2203" i="10"/>
  <c r="D2202" i="10"/>
  <c r="C2202" i="10"/>
  <c r="D2201" i="10"/>
  <c r="C2201" i="10"/>
  <c r="D2200" i="10"/>
  <c r="C2200" i="10"/>
  <c r="D2199" i="10"/>
  <c r="C2199" i="10"/>
  <c r="D2198" i="10"/>
  <c r="C2198" i="10"/>
  <c r="D2197" i="10"/>
  <c r="C2197" i="10"/>
  <c r="D2196" i="10"/>
  <c r="C2196" i="10"/>
  <c r="D2195" i="10"/>
  <c r="C2195" i="10"/>
  <c r="D2194" i="10"/>
  <c r="C2194" i="10"/>
  <c r="D2193" i="10"/>
  <c r="C2193" i="10"/>
  <c r="D2192" i="10"/>
  <c r="C2192" i="10"/>
  <c r="D2191" i="10"/>
  <c r="C2191" i="10"/>
  <c r="D2190" i="10"/>
  <c r="C2190" i="10"/>
  <c r="D2189" i="10"/>
  <c r="C2189" i="10"/>
  <c r="D2188" i="10"/>
  <c r="C2188" i="10"/>
  <c r="D2187" i="10"/>
  <c r="C2187" i="10"/>
  <c r="D2186" i="10"/>
  <c r="C2186" i="10"/>
  <c r="D2185" i="10"/>
  <c r="C2185" i="10"/>
  <c r="D2184" i="10"/>
  <c r="C2184" i="10"/>
  <c r="D2183" i="10"/>
  <c r="C2183" i="10"/>
  <c r="D2182" i="10"/>
  <c r="C2182" i="10"/>
  <c r="D2181" i="10"/>
  <c r="C2181" i="10"/>
  <c r="D2180" i="10"/>
  <c r="C2180" i="10"/>
  <c r="D2179" i="10"/>
  <c r="C2179" i="10"/>
  <c r="D2178" i="10"/>
  <c r="C2178" i="10"/>
  <c r="D2177" i="10"/>
  <c r="C2177" i="10"/>
  <c r="D2176" i="10"/>
  <c r="C2176" i="10"/>
  <c r="D2175" i="10"/>
  <c r="C2175" i="10"/>
  <c r="D2174" i="10"/>
  <c r="C2174" i="10"/>
  <c r="D2173" i="10"/>
  <c r="C2173" i="10"/>
  <c r="D2172" i="10"/>
  <c r="C2172" i="10"/>
  <c r="D2171" i="10"/>
  <c r="C2171" i="10"/>
  <c r="D2170" i="10"/>
  <c r="C2170" i="10"/>
  <c r="D2169" i="10"/>
  <c r="C2169" i="10"/>
  <c r="D2168" i="10"/>
  <c r="C2168" i="10"/>
  <c r="D2167" i="10"/>
  <c r="C2167" i="10"/>
  <c r="D2166" i="10"/>
  <c r="C2166" i="10"/>
  <c r="D2165" i="10"/>
  <c r="C2165" i="10"/>
  <c r="D2164" i="10"/>
  <c r="C2164" i="10"/>
  <c r="D2163" i="10"/>
  <c r="C2163" i="10"/>
  <c r="D2162" i="10"/>
  <c r="C2162" i="10"/>
  <c r="D2161" i="10"/>
  <c r="C2161" i="10"/>
  <c r="D2160" i="10"/>
  <c r="C2160" i="10"/>
  <c r="D2159" i="10"/>
  <c r="C2159" i="10"/>
  <c r="D2158" i="10"/>
  <c r="C2158" i="10"/>
  <c r="D2157" i="10"/>
  <c r="C2157" i="10"/>
  <c r="D2156" i="10"/>
  <c r="C2156" i="10"/>
  <c r="D2155" i="10"/>
  <c r="C2155" i="10"/>
  <c r="D2154" i="10"/>
  <c r="C2154" i="10"/>
  <c r="D2153" i="10"/>
  <c r="C2153" i="10"/>
  <c r="D2152" i="10"/>
  <c r="C2152" i="10"/>
  <c r="D2151" i="10"/>
  <c r="C2151" i="10"/>
  <c r="D2150" i="10"/>
  <c r="C2150" i="10"/>
  <c r="D2149" i="10"/>
  <c r="C2149" i="10"/>
  <c r="D2148" i="10"/>
  <c r="C2148" i="10"/>
  <c r="D2147" i="10"/>
  <c r="C2147" i="10"/>
  <c r="D2146" i="10"/>
  <c r="C2146" i="10"/>
  <c r="D2145" i="10"/>
  <c r="C2145" i="10"/>
  <c r="D2144" i="10"/>
  <c r="C2144" i="10"/>
  <c r="D2143" i="10"/>
  <c r="C2143" i="10"/>
  <c r="D2142" i="10"/>
  <c r="C2142" i="10"/>
  <c r="D2141" i="10"/>
  <c r="C2141" i="10"/>
  <c r="D2140" i="10"/>
  <c r="C2140" i="10"/>
  <c r="D2139" i="10"/>
  <c r="C2139" i="10"/>
  <c r="D2138" i="10"/>
  <c r="C2138" i="10"/>
  <c r="D2137" i="10"/>
  <c r="C2137" i="10"/>
  <c r="D2136" i="10"/>
  <c r="C2136" i="10"/>
  <c r="D2135" i="10"/>
  <c r="C2135" i="10"/>
  <c r="D2134" i="10"/>
  <c r="C2134" i="10"/>
  <c r="D2133" i="10"/>
  <c r="C2133" i="10"/>
  <c r="D2132" i="10"/>
  <c r="C2132" i="10"/>
  <c r="D2131" i="10"/>
  <c r="C2131" i="10"/>
  <c r="D2130" i="10"/>
  <c r="C2130" i="10"/>
  <c r="D2129" i="10"/>
  <c r="C2129" i="10"/>
  <c r="D2128" i="10"/>
  <c r="C2128" i="10"/>
  <c r="D2127" i="10"/>
  <c r="C2127" i="10"/>
  <c r="D2126" i="10"/>
  <c r="C2126" i="10"/>
  <c r="D2125" i="10"/>
  <c r="C2125" i="10"/>
  <c r="D2124" i="10"/>
  <c r="C2124" i="10"/>
  <c r="D2123" i="10"/>
  <c r="C2123" i="10"/>
  <c r="D2122" i="10"/>
  <c r="C2122" i="10"/>
  <c r="D2121" i="10"/>
  <c r="C2121" i="10"/>
  <c r="D2120" i="10"/>
  <c r="C2120" i="10"/>
  <c r="D2119" i="10"/>
  <c r="C2119" i="10"/>
  <c r="D2118" i="10"/>
  <c r="C2118" i="10"/>
  <c r="D2117" i="10"/>
  <c r="C2117" i="10"/>
  <c r="D2116" i="10"/>
  <c r="C2116" i="10"/>
  <c r="D2115" i="10"/>
  <c r="C2115" i="10"/>
  <c r="D2114" i="10"/>
  <c r="C2114" i="10"/>
  <c r="D2113" i="10"/>
  <c r="C2113" i="10"/>
  <c r="D2112" i="10"/>
  <c r="C2112" i="10"/>
  <c r="D2111" i="10"/>
  <c r="C2111" i="10"/>
  <c r="D2110" i="10"/>
  <c r="C2110" i="10"/>
  <c r="D2109" i="10"/>
  <c r="C2109" i="10"/>
  <c r="D2108" i="10"/>
  <c r="C2108" i="10"/>
  <c r="D2107" i="10"/>
  <c r="C2107" i="10"/>
  <c r="D2106" i="10"/>
  <c r="C2106" i="10"/>
  <c r="D2105" i="10"/>
  <c r="C2105" i="10"/>
  <c r="D2104" i="10"/>
  <c r="C2104" i="10"/>
  <c r="D2103" i="10"/>
  <c r="C2103" i="10"/>
  <c r="D2102" i="10"/>
  <c r="C2102" i="10"/>
  <c r="D2101" i="10"/>
  <c r="C2101" i="10"/>
  <c r="D2100" i="10"/>
  <c r="C2100" i="10"/>
  <c r="D2099" i="10"/>
  <c r="C2099" i="10"/>
  <c r="D2098" i="10"/>
  <c r="C2098" i="10"/>
  <c r="D2097" i="10"/>
  <c r="C2097" i="10"/>
  <c r="D2096" i="10"/>
  <c r="C2096" i="10"/>
  <c r="D2095" i="10"/>
  <c r="C2095" i="10"/>
  <c r="D2094" i="10"/>
  <c r="C2094" i="10"/>
  <c r="D2093" i="10"/>
  <c r="C2093" i="10"/>
  <c r="D2092" i="10"/>
  <c r="C2092" i="10"/>
  <c r="D2091" i="10"/>
  <c r="C2091" i="10"/>
  <c r="D2090" i="10"/>
  <c r="C2090" i="10"/>
  <c r="D2089" i="10"/>
  <c r="C2089" i="10"/>
  <c r="D2088" i="10"/>
  <c r="C2088" i="10"/>
  <c r="D2087" i="10"/>
  <c r="C2087" i="10"/>
  <c r="D2086" i="10"/>
  <c r="C2086" i="10"/>
  <c r="D2085" i="10"/>
  <c r="C2085" i="10"/>
  <c r="D2084" i="10"/>
  <c r="C2084" i="10"/>
  <c r="D2083" i="10"/>
  <c r="C2083" i="10"/>
  <c r="D2082" i="10"/>
  <c r="C2082" i="10"/>
  <c r="D2081" i="10"/>
  <c r="C2081" i="10"/>
  <c r="D2080" i="10"/>
  <c r="C2080" i="10"/>
  <c r="D2079" i="10"/>
  <c r="C2079" i="10"/>
  <c r="D2078" i="10"/>
  <c r="C2078" i="10"/>
  <c r="D2077" i="10"/>
  <c r="C2077" i="10"/>
  <c r="D2076" i="10"/>
  <c r="C2076" i="10"/>
  <c r="D2075" i="10"/>
  <c r="C2075" i="10"/>
  <c r="D2074" i="10"/>
  <c r="C2074" i="10"/>
  <c r="D2073" i="10"/>
  <c r="C2073" i="10"/>
  <c r="D2072" i="10"/>
  <c r="C2072" i="10"/>
  <c r="D2071" i="10"/>
  <c r="C2071" i="10"/>
  <c r="D2070" i="10"/>
  <c r="C2070" i="10"/>
  <c r="D2069" i="10"/>
  <c r="C2069" i="10"/>
  <c r="D2068" i="10"/>
  <c r="C2068" i="10"/>
  <c r="D2067" i="10"/>
  <c r="C2067" i="10"/>
  <c r="D2066" i="10"/>
  <c r="C2066" i="10"/>
  <c r="D2065" i="10"/>
  <c r="C2065" i="10"/>
  <c r="D2064" i="10"/>
  <c r="C2064" i="10"/>
  <c r="D2063" i="10"/>
  <c r="C2063" i="10"/>
  <c r="D2062" i="10"/>
  <c r="C2062" i="10"/>
  <c r="D2061" i="10"/>
  <c r="C2061" i="10"/>
  <c r="D2060" i="10"/>
  <c r="C2060" i="10"/>
  <c r="D2059" i="10"/>
  <c r="C2059" i="10"/>
  <c r="D2058" i="10"/>
  <c r="C2058" i="10"/>
  <c r="D2057" i="10"/>
  <c r="C2057" i="10"/>
  <c r="D2056" i="10"/>
  <c r="C2056" i="10"/>
  <c r="D2055" i="10"/>
  <c r="C2055" i="10"/>
  <c r="D2054" i="10"/>
  <c r="C2054" i="10"/>
  <c r="D2053" i="10"/>
  <c r="C2053" i="10"/>
  <c r="D2052" i="10"/>
  <c r="C2052" i="10"/>
  <c r="D2051" i="10"/>
  <c r="C2051" i="10"/>
  <c r="D2050" i="10"/>
  <c r="C2050" i="10"/>
  <c r="D2049" i="10"/>
  <c r="C2049" i="10"/>
  <c r="D2048" i="10"/>
  <c r="C2048" i="10"/>
  <c r="D2047" i="10"/>
  <c r="C2047" i="10"/>
  <c r="D2046" i="10"/>
  <c r="C2046" i="10"/>
  <c r="D2045" i="10"/>
  <c r="C2045" i="10"/>
  <c r="D2044" i="10"/>
  <c r="C2044" i="10"/>
  <c r="D2043" i="10"/>
  <c r="C2043" i="10"/>
  <c r="D2042" i="10"/>
  <c r="C2042" i="10"/>
  <c r="D2041" i="10"/>
  <c r="C2041" i="10"/>
  <c r="D2040" i="10"/>
  <c r="C2040" i="10"/>
  <c r="D2039" i="10"/>
  <c r="C2039" i="10"/>
  <c r="D2038" i="10"/>
  <c r="C2038" i="10"/>
  <c r="D2037" i="10"/>
  <c r="C2037" i="10"/>
  <c r="D2036" i="10"/>
  <c r="C2036" i="10"/>
  <c r="D2035" i="10"/>
  <c r="C2035" i="10"/>
  <c r="D2034" i="10"/>
  <c r="C2034" i="10"/>
  <c r="D2033" i="10"/>
  <c r="C2033" i="10"/>
  <c r="D2032" i="10"/>
  <c r="C2032" i="10"/>
  <c r="D2031" i="10"/>
  <c r="C2031" i="10"/>
  <c r="D2030" i="10"/>
  <c r="C2030" i="10"/>
  <c r="D2029" i="10"/>
  <c r="C2029" i="10"/>
  <c r="D2028" i="10"/>
  <c r="C2028" i="10"/>
  <c r="D2027" i="10"/>
  <c r="C2027" i="10"/>
  <c r="D2026" i="10"/>
  <c r="C2026" i="10"/>
  <c r="D2025" i="10"/>
  <c r="C2025" i="10"/>
  <c r="D2024" i="10"/>
  <c r="C2024" i="10"/>
  <c r="D2023" i="10"/>
  <c r="C2023" i="10"/>
  <c r="D2022" i="10"/>
  <c r="C2022" i="10"/>
  <c r="D2021" i="10"/>
  <c r="C2021" i="10"/>
  <c r="D2020" i="10"/>
  <c r="C2020" i="10"/>
  <c r="D2019" i="10"/>
  <c r="C2019" i="10"/>
  <c r="D2018" i="10"/>
  <c r="C2018" i="10"/>
  <c r="D2017" i="10"/>
  <c r="C2017" i="10"/>
  <c r="D2016" i="10"/>
  <c r="C2016" i="10"/>
  <c r="D2015" i="10"/>
  <c r="C2015" i="10"/>
  <c r="D2014" i="10"/>
  <c r="C2014" i="10"/>
  <c r="D2013" i="10"/>
  <c r="C2013" i="10"/>
  <c r="D2012" i="10"/>
  <c r="C2012" i="10"/>
  <c r="D2011" i="10"/>
  <c r="C2011" i="10"/>
  <c r="D2010" i="10"/>
  <c r="C2010" i="10"/>
  <c r="D2009" i="10"/>
  <c r="C2009" i="10"/>
  <c r="D2008" i="10"/>
  <c r="C2008" i="10"/>
  <c r="D2007" i="10"/>
  <c r="C2007" i="10"/>
  <c r="D2006" i="10"/>
  <c r="C2006" i="10"/>
  <c r="D2005" i="10"/>
  <c r="C2005" i="10"/>
  <c r="D2004" i="10"/>
  <c r="C2004" i="10"/>
  <c r="D2003" i="10"/>
  <c r="C2003" i="10"/>
  <c r="D2002" i="10"/>
  <c r="C2002" i="10"/>
  <c r="D2001" i="10"/>
  <c r="C2001" i="10"/>
  <c r="D2000" i="10"/>
  <c r="C2000" i="10"/>
  <c r="D1999" i="10"/>
  <c r="C1999" i="10"/>
  <c r="D1998" i="10"/>
  <c r="C1998" i="10"/>
  <c r="D1997" i="10"/>
  <c r="C1997" i="10"/>
  <c r="D1996" i="10"/>
  <c r="C1996" i="10"/>
  <c r="D1995" i="10"/>
  <c r="C1995" i="10"/>
  <c r="D1994" i="10"/>
  <c r="C1994" i="10"/>
  <c r="D1993" i="10"/>
  <c r="C1993" i="10"/>
  <c r="D1992" i="10"/>
  <c r="C1992" i="10"/>
  <c r="D1991" i="10"/>
  <c r="C1991" i="10"/>
  <c r="D1990" i="10"/>
  <c r="C1990" i="10"/>
  <c r="D1989" i="10"/>
  <c r="C1989" i="10"/>
  <c r="D1988" i="10"/>
  <c r="C1988" i="10"/>
  <c r="D1987" i="10"/>
  <c r="C1987" i="10"/>
  <c r="D1986" i="10"/>
  <c r="C1986" i="10"/>
  <c r="D1985" i="10"/>
  <c r="C1985" i="10"/>
  <c r="D1984" i="10"/>
  <c r="C1984" i="10"/>
  <c r="D1983" i="10"/>
  <c r="C1983" i="10"/>
  <c r="D1982" i="10"/>
  <c r="C1982" i="10"/>
  <c r="D1981" i="10"/>
  <c r="C1981" i="10"/>
  <c r="D1980" i="10"/>
  <c r="C1980" i="10"/>
  <c r="D1979" i="10"/>
  <c r="C1979" i="10"/>
  <c r="D1978" i="10"/>
  <c r="C1978" i="10"/>
  <c r="D1977" i="10"/>
  <c r="C1977" i="10"/>
  <c r="D1976" i="10"/>
  <c r="C1976" i="10"/>
  <c r="D1975" i="10"/>
  <c r="C1975" i="10"/>
  <c r="D1974" i="10"/>
  <c r="C1974" i="10"/>
  <c r="D1973" i="10"/>
  <c r="C1973" i="10"/>
  <c r="D1972" i="10"/>
  <c r="C1972" i="10"/>
  <c r="D1971" i="10"/>
  <c r="C1971" i="10"/>
  <c r="D1970" i="10"/>
  <c r="C1970" i="10"/>
  <c r="D1969" i="10"/>
  <c r="C1969" i="10"/>
  <c r="D1968" i="10"/>
  <c r="C1968" i="10"/>
  <c r="D1967" i="10"/>
  <c r="C1967" i="10"/>
  <c r="D1966" i="10"/>
  <c r="C1966" i="10"/>
  <c r="D1965" i="10"/>
  <c r="C1965" i="10"/>
  <c r="D1964" i="10"/>
  <c r="C1964" i="10"/>
  <c r="D1963" i="10"/>
  <c r="C1963" i="10"/>
  <c r="D1962" i="10"/>
  <c r="C1962" i="10"/>
  <c r="D1961" i="10"/>
  <c r="C1961" i="10"/>
  <c r="D1960" i="10"/>
  <c r="C1960" i="10"/>
  <c r="D1959" i="10"/>
  <c r="C1959" i="10"/>
  <c r="D1958" i="10"/>
  <c r="C1958" i="10"/>
  <c r="D1957" i="10"/>
  <c r="C1957" i="10"/>
  <c r="D1956" i="10"/>
  <c r="C1956" i="10"/>
  <c r="D1955" i="10"/>
  <c r="C1955" i="10"/>
  <c r="D1954" i="10"/>
  <c r="C1954" i="10"/>
  <c r="D1953" i="10"/>
  <c r="C1953" i="10"/>
  <c r="D1952" i="10"/>
  <c r="C1952" i="10"/>
  <c r="D1951" i="10"/>
  <c r="C1951" i="10"/>
  <c r="D1950" i="10"/>
  <c r="C1950" i="10"/>
  <c r="D1949" i="10"/>
  <c r="C1949" i="10"/>
  <c r="D1948" i="10"/>
  <c r="C1948" i="10"/>
  <c r="D1947" i="10"/>
  <c r="C1947" i="10"/>
  <c r="D1946" i="10"/>
  <c r="C1946" i="10"/>
  <c r="D1945" i="10"/>
  <c r="C1945" i="10"/>
  <c r="D1944" i="10"/>
  <c r="C1944" i="10"/>
  <c r="D1943" i="10"/>
  <c r="C1943" i="10"/>
  <c r="D1942" i="10"/>
  <c r="C1942" i="10"/>
  <c r="D1941" i="10"/>
  <c r="C1941" i="10"/>
  <c r="D1940" i="10"/>
  <c r="C1940" i="10"/>
  <c r="D1939" i="10"/>
  <c r="C1939" i="10"/>
  <c r="D1938" i="10"/>
  <c r="C1938" i="10"/>
  <c r="D1937" i="10"/>
  <c r="C1937" i="10"/>
  <c r="D1936" i="10"/>
  <c r="C1936" i="10"/>
  <c r="D1935" i="10"/>
  <c r="C1935" i="10"/>
  <c r="D1934" i="10"/>
  <c r="C1934" i="10"/>
  <c r="D1933" i="10"/>
  <c r="C1933" i="10"/>
  <c r="D1932" i="10"/>
  <c r="C1932" i="10"/>
  <c r="D1931" i="10"/>
  <c r="C1931" i="10"/>
  <c r="D1930" i="10"/>
  <c r="C1930" i="10"/>
  <c r="D1929" i="10"/>
  <c r="C1929" i="10"/>
  <c r="D1928" i="10"/>
  <c r="C1928" i="10"/>
  <c r="D1927" i="10"/>
  <c r="C1927" i="10"/>
  <c r="D1926" i="10"/>
  <c r="C1926" i="10"/>
  <c r="D1925" i="10"/>
  <c r="C1925" i="10"/>
  <c r="D1924" i="10"/>
  <c r="C1924" i="10"/>
  <c r="D1923" i="10"/>
  <c r="C1923" i="10"/>
  <c r="D1922" i="10"/>
  <c r="C1922" i="10"/>
  <c r="D1921" i="10"/>
  <c r="C1921" i="10"/>
  <c r="D1920" i="10"/>
  <c r="C1920" i="10"/>
  <c r="D1919" i="10"/>
  <c r="C1919" i="10"/>
  <c r="D1918" i="10"/>
  <c r="C1918" i="10"/>
  <c r="D1917" i="10"/>
  <c r="C1917" i="10"/>
  <c r="D1916" i="10"/>
  <c r="C1916" i="10"/>
  <c r="D1915" i="10"/>
  <c r="C1915" i="10"/>
  <c r="D1914" i="10"/>
  <c r="C1914" i="10"/>
  <c r="D1913" i="10"/>
  <c r="C1913" i="10"/>
  <c r="D1912" i="10"/>
  <c r="C1912" i="10"/>
  <c r="D1911" i="10"/>
  <c r="C1911" i="10"/>
  <c r="D1910" i="10"/>
  <c r="C1910" i="10"/>
  <c r="D1909" i="10"/>
  <c r="C1909" i="10"/>
  <c r="D1908" i="10"/>
  <c r="C1908" i="10"/>
  <c r="D1907" i="10"/>
  <c r="C1907" i="10"/>
  <c r="D1906" i="10"/>
  <c r="C1906" i="10"/>
  <c r="D1905" i="10"/>
  <c r="C1905" i="10"/>
  <c r="D1904" i="10"/>
  <c r="C1904" i="10"/>
  <c r="D1903" i="10"/>
  <c r="C1903" i="10"/>
  <c r="D1902" i="10"/>
  <c r="C1902" i="10"/>
  <c r="D1901" i="10"/>
  <c r="C1901" i="10"/>
  <c r="D1900" i="10"/>
  <c r="C1900" i="10"/>
  <c r="D1899" i="10"/>
  <c r="C1899" i="10"/>
  <c r="D1898" i="10"/>
  <c r="C1898" i="10"/>
  <c r="D1897" i="10"/>
  <c r="C1897" i="10"/>
  <c r="D1896" i="10"/>
  <c r="C1896" i="10"/>
  <c r="D1895" i="10"/>
  <c r="C1895" i="10"/>
  <c r="D1894" i="10"/>
  <c r="C1894" i="10"/>
  <c r="D1893" i="10"/>
  <c r="C1893" i="10"/>
  <c r="D1892" i="10"/>
  <c r="C1892" i="10"/>
  <c r="D1891" i="10"/>
  <c r="C1891" i="10"/>
  <c r="D1890" i="10"/>
  <c r="C1890" i="10"/>
  <c r="D1889" i="10"/>
  <c r="C1889" i="10"/>
  <c r="D1888" i="10"/>
  <c r="C1888" i="10"/>
  <c r="D1887" i="10"/>
  <c r="C1887" i="10"/>
  <c r="D1886" i="10"/>
  <c r="C1886" i="10"/>
  <c r="D1885" i="10"/>
  <c r="C1885" i="10"/>
  <c r="D1884" i="10"/>
  <c r="C1884" i="10"/>
  <c r="D1883" i="10"/>
  <c r="C1883" i="10"/>
  <c r="D1882" i="10"/>
  <c r="C1882" i="10"/>
  <c r="D1881" i="10"/>
  <c r="C1881" i="10"/>
  <c r="D1880" i="10"/>
  <c r="C1880" i="10"/>
  <c r="D1879" i="10"/>
  <c r="C1879" i="10"/>
  <c r="D1878" i="10"/>
  <c r="C1878" i="10"/>
  <c r="D1877" i="10"/>
  <c r="C1877" i="10"/>
  <c r="D1876" i="10"/>
  <c r="C1876" i="10"/>
  <c r="D1875" i="10"/>
  <c r="C1875" i="10"/>
  <c r="D1874" i="10"/>
  <c r="C1874" i="10"/>
  <c r="D1873" i="10"/>
  <c r="C1873" i="10"/>
  <c r="D1872" i="10"/>
  <c r="C1872" i="10"/>
  <c r="D1871" i="10"/>
  <c r="C1871" i="10"/>
  <c r="D1870" i="10"/>
  <c r="C1870" i="10"/>
  <c r="D1869" i="10"/>
  <c r="C1869" i="10"/>
  <c r="D1868" i="10"/>
  <c r="C1868" i="10"/>
  <c r="D1867" i="10"/>
  <c r="C1867" i="10"/>
  <c r="D1866" i="10"/>
  <c r="C1866" i="10"/>
  <c r="D1865" i="10"/>
  <c r="C1865" i="10"/>
  <c r="D1864" i="10"/>
  <c r="C1864" i="10"/>
  <c r="D1863" i="10"/>
  <c r="C1863" i="10"/>
  <c r="D1862" i="10"/>
  <c r="C1862" i="10"/>
  <c r="D1861" i="10"/>
  <c r="C1861" i="10"/>
  <c r="D1860" i="10"/>
  <c r="C1860" i="10"/>
  <c r="D1859" i="10"/>
  <c r="C1859" i="10"/>
  <c r="D1858" i="10"/>
  <c r="C1858" i="10"/>
  <c r="D1857" i="10"/>
  <c r="C1857" i="10"/>
  <c r="D1856" i="10"/>
  <c r="C1856" i="10"/>
  <c r="D1855" i="10"/>
  <c r="C1855" i="10"/>
  <c r="D1854" i="10"/>
  <c r="C1854" i="10"/>
  <c r="D1853" i="10"/>
  <c r="C1853" i="10"/>
  <c r="D1852" i="10"/>
  <c r="C1852" i="10"/>
  <c r="D1851" i="10"/>
  <c r="C1851" i="10"/>
  <c r="D1850" i="10"/>
  <c r="C1850" i="10"/>
  <c r="D1849" i="10"/>
  <c r="C1849" i="10"/>
  <c r="D1848" i="10"/>
  <c r="C1848" i="10"/>
  <c r="D1847" i="10"/>
  <c r="C1847" i="10"/>
  <c r="D1846" i="10"/>
  <c r="C1846" i="10"/>
  <c r="D1845" i="10"/>
  <c r="C1845" i="10"/>
  <c r="D1844" i="10"/>
  <c r="C1844" i="10"/>
  <c r="D1843" i="10"/>
  <c r="C1843" i="10"/>
  <c r="D1842" i="10"/>
  <c r="C1842" i="10"/>
  <c r="D1841" i="10"/>
  <c r="C1841" i="10"/>
  <c r="D1840" i="10"/>
  <c r="C1840" i="10"/>
  <c r="D1839" i="10"/>
  <c r="C1839" i="10"/>
  <c r="D1838" i="10"/>
  <c r="C1838" i="10"/>
  <c r="D1837" i="10"/>
  <c r="C1837" i="10"/>
  <c r="D1836" i="10"/>
  <c r="C1836" i="10"/>
  <c r="D1835" i="10"/>
  <c r="C1835" i="10"/>
  <c r="D1834" i="10"/>
  <c r="C1834" i="10"/>
  <c r="D1833" i="10"/>
  <c r="C1833" i="10"/>
  <c r="D1832" i="10"/>
  <c r="C1832" i="10"/>
  <c r="D1831" i="10"/>
  <c r="C1831" i="10"/>
  <c r="D1830" i="10"/>
  <c r="C1830" i="10"/>
  <c r="D1829" i="10"/>
  <c r="C1829" i="10"/>
  <c r="D1828" i="10"/>
  <c r="C1828" i="10"/>
  <c r="D1827" i="10"/>
  <c r="C1827" i="10"/>
  <c r="D1826" i="10"/>
  <c r="C1826" i="10"/>
  <c r="D1825" i="10"/>
  <c r="C1825" i="10"/>
  <c r="D1824" i="10"/>
  <c r="C1824" i="10"/>
  <c r="D1823" i="10"/>
  <c r="C1823" i="10"/>
  <c r="D1822" i="10"/>
  <c r="C1822" i="10"/>
  <c r="D1821" i="10"/>
  <c r="C1821" i="10"/>
  <c r="D1820" i="10"/>
  <c r="C1820" i="10"/>
  <c r="D1819" i="10"/>
  <c r="C1819" i="10"/>
  <c r="D1818" i="10"/>
  <c r="C1818" i="10"/>
  <c r="D1817" i="10"/>
  <c r="C1817" i="10"/>
  <c r="D1816" i="10"/>
  <c r="C1816" i="10"/>
  <c r="D1815" i="10"/>
  <c r="C1815" i="10"/>
  <c r="D1814" i="10"/>
  <c r="C1814" i="10"/>
  <c r="D1813" i="10"/>
  <c r="C1813" i="10"/>
  <c r="D1812" i="10"/>
  <c r="C1812" i="10"/>
  <c r="D1811" i="10"/>
  <c r="C1811" i="10"/>
  <c r="D1810" i="10"/>
  <c r="C1810" i="10"/>
  <c r="D1809" i="10"/>
  <c r="C1809" i="10"/>
  <c r="D1808" i="10"/>
  <c r="C1808" i="10"/>
  <c r="D1807" i="10"/>
  <c r="C1807" i="10"/>
  <c r="D1806" i="10"/>
  <c r="C1806" i="10"/>
  <c r="D1805" i="10"/>
  <c r="C1805" i="10"/>
  <c r="D1804" i="10"/>
  <c r="C1804" i="10"/>
  <c r="D1803" i="10"/>
  <c r="C1803" i="10"/>
  <c r="D1802" i="10"/>
  <c r="C1802" i="10"/>
  <c r="D1801" i="10"/>
  <c r="C1801" i="10"/>
  <c r="D1800" i="10"/>
  <c r="C1800" i="10"/>
  <c r="D1799" i="10"/>
  <c r="C1799" i="10"/>
  <c r="D1798" i="10"/>
  <c r="C1798" i="10"/>
  <c r="D1797" i="10"/>
  <c r="C1797" i="10"/>
  <c r="D1796" i="10"/>
  <c r="C1796" i="10"/>
  <c r="D1795" i="10"/>
  <c r="C1795" i="10"/>
  <c r="D1794" i="10"/>
  <c r="C1794" i="10"/>
  <c r="D1793" i="10"/>
  <c r="C1793" i="10"/>
  <c r="D1792" i="10"/>
  <c r="C1792" i="10"/>
  <c r="D1791" i="10"/>
  <c r="C1791" i="10"/>
  <c r="D1790" i="10"/>
  <c r="C1790" i="10"/>
  <c r="D1789" i="10"/>
  <c r="C1789" i="10"/>
  <c r="D1788" i="10"/>
  <c r="C1788" i="10"/>
  <c r="D1787" i="10"/>
  <c r="C1787" i="10"/>
  <c r="D1786" i="10"/>
  <c r="C1786" i="10"/>
  <c r="D1785" i="10"/>
  <c r="C1785" i="10"/>
  <c r="D1784" i="10"/>
  <c r="C1784" i="10"/>
  <c r="D1783" i="10"/>
  <c r="C1783" i="10"/>
  <c r="D1782" i="10"/>
  <c r="C1782" i="10"/>
  <c r="D1781" i="10"/>
  <c r="C1781" i="10"/>
  <c r="D1780" i="10"/>
  <c r="C1780" i="10"/>
  <c r="D1779" i="10"/>
  <c r="C1779" i="10"/>
  <c r="D1778" i="10"/>
  <c r="C1778" i="10"/>
  <c r="D1777" i="10"/>
  <c r="C1777" i="10"/>
  <c r="D1776" i="10"/>
  <c r="C1776" i="10"/>
  <c r="D1775" i="10"/>
  <c r="C1775" i="10"/>
  <c r="D1774" i="10"/>
  <c r="C1774" i="10"/>
  <c r="D1773" i="10"/>
  <c r="C1773" i="10"/>
  <c r="D1772" i="10"/>
  <c r="C1772" i="10"/>
  <c r="D1771" i="10"/>
  <c r="C1771" i="10"/>
  <c r="D1770" i="10"/>
  <c r="C1770" i="10"/>
  <c r="D1769" i="10"/>
  <c r="C1769" i="10"/>
  <c r="D1768" i="10"/>
  <c r="C1768" i="10"/>
  <c r="D1767" i="10"/>
  <c r="C1767" i="10"/>
  <c r="D1766" i="10"/>
  <c r="C1766" i="10"/>
  <c r="D1765" i="10"/>
  <c r="C1765" i="10"/>
  <c r="D1764" i="10"/>
  <c r="C1764" i="10"/>
  <c r="D1763" i="10"/>
  <c r="C1763" i="10"/>
  <c r="D1762" i="10"/>
  <c r="C1762" i="10"/>
  <c r="D1761" i="10"/>
  <c r="C1761" i="10"/>
  <c r="D1760" i="10"/>
  <c r="C1760" i="10"/>
  <c r="D1759" i="10"/>
  <c r="C1759" i="10"/>
  <c r="D1758" i="10"/>
  <c r="C1758" i="10"/>
  <c r="D1757" i="10"/>
  <c r="C1757" i="10"/>
  <c r="D1756" i="10"/>
  <c r="C1756" i="10"/>
  <c r="D1755" i="10"/>
  <c r="C1755" i="10"/>
  <c r="D1754" i="10"/>
  <c r="C1754" i="10"/>
  <c r="D1753" i="10"/>
  <c r="C1753" i="10"/>
  <c r="D1752" i="10"/>
  <c r="C1752" i="10"/>
  <c r="D1751" i="10"/>
  <c r="C1751" i="10"/>
  <c r="D1750" i="10"/>
  <c r="C1750" i="10"/>
  <c r="D1749" i="10"/>
  <c r="C1749" i="10"/>
  <c r="D1748" i="10"/>
  <c r="C1748" i="10"/>
  <c r="D1747" i="10"/>
  <c r="C1747" i="10"/>
  <c r="D1746" i="10"/>
  <c r="C1746" i="10"/>
  <c r="D1745" i="10"/>
  <c r="C1745" i="10"/>
  <c r="D1744" i="10"/>
  <c r="C1744" i="10"/>
  <c r="D1743" i="10"/>
  <c r="C1743" i="10"/>
  <c r="D1742" i="10"/>
  <c r="C1742" i="10"/>
  <c r="D1741" i="10"/>
  <c r="C1741" i="10"/>
  <c r="D1740" i="10"/>
  <c r="C1740" i="10"/>
  <c r="D1739" i="10"/>
  <c r="C1739" i="10"/>
  <c r="D1738" i="10"/>
  <c r="C1738" i="10"/>
  <c r="D1737" i="10"/>
  <c r="C1737" i="10"/>
  <c r="D1736" i="10"/>
  <c r="C1736" i="10"/>
  <c r="D1735" i="10"/>
  <c r="C1735" i="10"/>
  <c r="D1734" i="10"/>
  <c r="C1734" i="10"/>
  <c r="D1733" i="10"/>
  <c r="C1733" i="10"/>
  <c r="D1732" i="10"/>
  <c r="C1732" i="10"/>
  <c r="D1731" i="10"/>
  <c r="C1731" i="10"/>
  <c r="D1730" i="10"/>
  <c r="C1730" i="10"/>
  <c r="D1729" i="10"/>
  <c r="C1729" i="10"/>
  <c r="D1728" i="10"/>
  <c r="C1728" i="10"/>
  <c r="D1727" i="10"/>
  <c r="C1727" i="10"/>
  <c r="D1726" i="10"/>
  <c r="C1726" i="10"/>
  <c r="D1725" i="10"/>
  <c r="C1725" i="10"/>
  <c r="D1724" i="10"/>
  <c r="C1724" i="10"/>
  <c r="D1723" i="10"/>
  <c r="C1723" i="10"/>
  <c r="D1722" i="10"/>
  <c r="C1722" i="10"/>
  <c r="D1721" i="10"/>
  <c r="C1721" i="10"/>
  <c r="D1720" i="10"/>
  <c r="C1720" i="10"/>
  <c r="D1719" i="10"/>
  <c r="C1719" i="10"/>
  <c r="D1718" i="10"/>
  <c r="C1718" i="10"/>
  <c r="D1717" i="10"/>
  <c r="C1717" i="10"/>
  <c r="D1716" i="10"/>
  <c r="C1716" i="10"/>
  <c r="D1715" i="10"/>
  <c r="C1715" i="10"/>
  <c r="D1714" i="10"/>
  <c r="C1714" i="10"/>
  <c r="D1713" i="10"/>
  <c r="C1713" i="10"/>
  <c r="D1712" i="10"/>
  <c r="C1712" i="10"/>
  <c r="D1711" i="10"/>
  <c r="C1711" i="10"/>
  <c r="D1710" i="10"/>
  <c r="C1710" i="10"/>
  <c r="D1709" i="10"/>
  <c r="C1709" i="10"/>
  <c r="D1708" i="10"/>
  <c r="C1708" i="10"/>
  <c r="D1707" i="10"/>
  <c r="C1707" i="10"/>
  <c r="D1706" i="10"/>
  <c r="C1706" i="10"/>
  <c r="D1705" i="10"/>
  <c r="C1705" i="10"/>
  <c r="D1704" i="10"/>
  <c r="C1704" i="10"/>
  <c r="D1703" i="10"/>
  <c r="C1703" i="10"/>
  <c r="D1702" i="10"/>
  <c r="C1702" i="10"/>
  <c r="D1701" i="10"/>
  <c r="C1701" i="10"/>
  <c r="D1700" i="10"/>
  <c r="C1700" i="10"/>
  <c r="D1699" i="10"/>
  <c r="C1699" i="10"/>
  <c r="D1698" i="10"/>
  <c r="C1698" i="10"/>
  <c r="D1697" i="10"/>
  <c r="C1697" i="10"/>
  <c r="D1696" i="10"/>
  <c r="C1696" i="10"/>
  <c r="D1695" i="10"/>
  <c r="C1695" i="10"/>
  <c r="D1694" i="10"/>
  <c r="C1694" i="10"/>
  <c r="D1693" i="10"/>
  <c r="C1693" i="10"/>
  <c r="D1692" i="10"/>
  <c r="C1692" i="10"/>
  <c r="D1691" i="10"/>
  <c r="C1691" i="10"/>
  <c r="D1690" i="10"/>
  <c r="C1690" i="10"/>
  <c r="D1689" i="10"/>
  <c r="C1689" i="10"/>
  <c r="D1688" i="10"/>
  <c r="C1688" i="10"/>
  <c r="D1687" i="10"/>
  <c r="C1687" i="10"/>
  <c r="D1686" i="10"/>
  <c r="C1686" i="10"/>
  <c r="D1685" i="10"/>
  <c r="C1685" i="10"/>
  <c r="D1684" i="10"/>
  <c r="C1684" i="10"/>
  <c r="D1683" i="10"/>
  <c r="C1683" i="10"/>
  <c r="D1682" i="10"/>
  <c r="C1682" i="10"/>
  <c r="D1681" i="10"/>
  <c r="C1681" i="10"/>
  <c r="D1680" i="10"/>
  <c r="C1680" i="10"/>
  <c r="D1679" i="10"/>
  <c r="C1679" i="10"/>
  <c r="D1678" i="10"/>
  <c r="C1678" i="10"/>
  <c r="D1677" i="10"/>
  <c r="C1677" i="10"/>
  <c r="D1676" i="10"/>
  <c r="C1676" i="10"/>
  <c r="D1675" i="10"/>
  <c r="C1675" i="10"/>
  <c r="D1674" i="10"/>
  <c r="C1674" i="10"/>
  <c r="D1673" i="10"/>
  <c r="C1673" i="10"/>
  <c r="D1672" i="10"/>
  <c r="C1672" i="10"/>
  <c r="D1671" i="10"/>
  <c r="C1671" i="10"/>
  <c r="D1670" i="10"/>
  <c r="C1670" i="10"/>
  <c r="D1669" i="10"/>
  <c r="C1669" i="10"/>
  <c r="D1668" i="10"/>
  <c r="C1668" i="10"/>
  <c r="D1667" i="10"/>
  <c r="C1667" i="10"/>
  <c r="D1666" i="10"/>
  <c r="C1666" i="10"/>
  <c r="D1665" i="10"/>
  <c r="C1665" i="10"/>
  <c r="D1664" i="10"/>
  <c r="C1664" i="10"/>
  <c r="D1663" i="10"/>
  <c r="C1663" i="10"/>
  <c r="D1662" i="10"/>
  <c r="C1662" i="10"/>
  <c r="D1661" i="10"/>
  <c r="C1661" i="10"/>
  <c r="D1660" i="10"/>
  <c r="C1660" i="10"/>
  <c r="D1659" i="10"/>
  <c r="C1659" i="10"/>
  <c r="D1658" i="10"/>
  <c r="C1658" i="10"/>
  <c r="D1657" i="10"/>
  <c r="C1657" i="10"/>
  <c r="D1656" i="10"/>
  <c r="C1656" i="10"/>
  <c r="D1655" i="10"/>
  <c r="C1655" i="10"/>
  <c r="D1654" i="10"/>
  <c r="C1654" i="10"/>
  <c r="D1653" i="10"/>
  <c r="C1653" i="10"/>
  <c r="D1652" i="10"/>
  <c r="C1652" i="10"/>
  <c r="D1651" i="10"/>
  <c r="C1651" i="10"/>
  <c r="D1650" i="10"/>
  <c r="C1650" i="10"/>
  <c r="D1649" i="10"/>
  <c r="C1649" i="10"/>
  <c r="D1648" i="10"/>
  <c r="C1648" i="10"/>
  <c r="D1647" i="10"/>
  <c r="C1647" i="10"/>
  <c r="D1646" i="10"/>
  <c r="C1646" i="10"/>
  <c r="D1645" i="10"/>
  <c r="C1645" i="10"/>
  <c r="D1644" i="10"/>
  <c r="C1644" i="10"/>
  <c r="D1643" i="10"/>
  <c r="C1643" i="10"/>
  <c r="D1642" i="10"/>
  <c r="C1642" i="10"/>
  <c r="D1641" i="10"/>
  <c r="C1641" i="10"/>
  <c r="D1640" i="10"/>
  <c r="C1640" i="10"/>
  <c r="D1639" i="10"/>
  <c r="C1639" i="10"/>
  <c r="D1638" i="10"/>
  <c r="C1638" i="10"/>
  <c r="D1637" i="10"/>
  <c r="C1637" i="10"/>
  <c r="D1636" i="10"/>
  <c r="C1636" i="10"/>
  <c r="D1635" i="10"/>
  <c r="C1635" i="10"/>
  <c r="D1634" i="10"/>
  <c r="C1634" i="10"/>
  <c r="D1633" i="10"/>
  <c r="C1633" i="10"/>
  <c r="D1632" i="10"/>
  <c r="C1632" i="10"/>
  <c r="D1631" i="10"/>
  <c r="C1631" i="10"/>
  <c r="D1630" i="10"/>
  <c r="C1630" i="10"/>
  <c r="D1629" i="10"/>
  <c r="C1629" i="10"/>
  <c r="D1628" i="10"/>
  <c r="C1628" i="10"/>
  <c r="D1627" i="10"/>
  <c r="C1627" i="10"/>
  <c r="D1626" i="10"/>
  <c r="C1626" i="10"/>
  <c r="D1625" i="10"/>
  <c r="C1625" i="10"/>
  <c r="D1624" i="10"/>
  <c r="C1624" i="10"/>
  <c r="D1623" i="10"/>
  <c r="C1623" i="10"/>
  <c r="D1622" i="10"/>
  <c r="C1622" i="10"/>
  <c r="D1621" i="10"/>
  <c r="C1621" i="10"/>
  <c r="D1620" i="10"/>
  <c r="C1620" i="10"/>
  <c r="D1619" i="10"/>
  <c r="C1619" i="10"/>
  <c r="D1618" i="10"/>
  <c r="C1618" i="10"/>
  <c r="D1617" i="10"/>
  <c r="C1617" i="10"/>
  <c r="D1616" i="10"/>
  <c r="C1616" i="10"/>
  <c r="D1615" i="10"/>
  <c r="C1615" i="10"/>
  <c r="D1614" i="10"/>
  <c r="C1614" i="10"/>
  <c r="D1613" i="10"/>
  <c r="C1613" i="10"/>
  <c r="D1612" i="10"/>
  <c r="C1612" i="10"/>
  <c r="D1611" i="10"/>
  <c r="C1611" i="10"/>
  <c r="D1610" i="10"/>
  <c r="C1610" i="10"/>
  <c r="D1609" i="10"/>
  <c r="C1609" i="10"/>
  <c r="D1608" i="10"/>
  <c r="C1608" i="10"/>
  <c r="D1607" i="10"/>
  <c r="C1607" i="10"/>
  <c r="D1606" i="10"/>
  <c r="C1606" i="10"/>
  <c r="D1605" i="10"/>
  <c r="C1605" i="10"/>
  <c r="D1604" i="10"/>
  <c r="C1604" i="10"/>
  <c r="D1603" i="10"/>
  <c r="C1603" i="10"/>
  <c r="D1602" i="10"/>
  <c r="C1602" i="10"/>
  <c r="D1601" i="10"/>
  <c r="C1601" i="10"/>
  <c r="D1600" i="10"/>
  <c r="C1600" i="10"/>
  <c r="D1599" i="10"/>
  <c r="C1599" i="10"/>
  <c r="D1598" i="10"/>
  <c r="C1598" i="10"/>
  <c r="D1597" i="10"/>
  <c r="C1597" i="10"/>
  <c r="D1596" i="10"/>
  <c r="C1596" i="10"/>
  <c r="D1595" i="10"/>
  <c r="C1595" i="10"/>
  <c r="D1594" i="10"/>
  <c r="C1594" i="10"/>
  <c r="D1593" i="10"/>
  <c r="C1593" i="10"/>
  <c r="D1592" i="10"/>
  <c r="C1592" i="10"/>
  <c r="D1591" i="10"/>
  <c r="C1591" i="10"/>
  <c r="D1590" i="10"/>
  <c r="C1590" i="10"/>
  <c r="D1589" i="10"/>
  <c r="C1589" i="10"/>
  <c r="D1588" i="10"/>
  <c r="C1588" i="10"/>
  <c r="D1587" i="10"/>
  <c r="C1587" i="10"/>
  <c r="D1586" i="10"/>
  <c r="C1586" i="10"/>
  <c r="D1585" i="10"/>
  <c r="C1585" i="10"/>
  <c r="D1584" i="10"/>
  <c r="C1584" i="10"/>
  <c r="D1583" i="10"/>
  <c r="C1583" i="10"/>
  <c r="D1582" i="10"/>
  <c r="C1582" i="10"/>
  <c r="D1581" i="10"/>
  <c r="C1581" i="10"/>
  <c r="D1580" i="10"/>
  <c r="C1580" i="10"/>
  <c r="D1579" i="10"/>
  <c r="C1579" i="10"/>
  <c r="D1578" i="10"/>
  <c r="C1578" i="10"/>
  <c r="D1577" i="10"/>
  <c r="C1577" i="10"/>
  <c r="D1576" i="10"/>
  <c r="C1576" i="10"/>
  <c r="D1575" i="10"/>
  <c r="C1575" i="10"/>
  <c r="D1574" i="10"/>
  <c r="C1574" i="10"/>
  <c r="D1573" i="10"/>
  <c r="C1573" i="10"/>
  <c r="D1572" i="10"/>
  <c r="C1572" i="10"/>
  <c r="D1571" i="10"/>
  <c r="C1571" i="10"/>
  <c r="D1570" i="10"/>
  <c r="C1570" i="10"/>
  <c r="D1569" i="10"/>
  <c r="C1569" i="10"/>
  <c r="D1568" i="10"/>
  <c r="C1568" i="10"/>
  <c r="D1567" i="10"/>
  <c r="C1567" i="10"/>
  <c r="D1566" i="10"/>
  <c r="C1566" i="10"/>
  <c r="D1565" i="10"/>
  <c r="C1565" i="10"/>
  <c r="D1564" i="10"/>
  <c r="C1564" i="10"/>
  <c r="D1563" i="10"/>
  <c r="C1563" i="10"/>
  <c r="D1562" i="10"/>
  <c r="C1562" i="10"/>
  <c r="D1561" i="10"/>
  <c r="C1561" i="10"/>
  <c r="D1560" i="10"/>
  <c r="C1560" i="10"/>
  <c r="D1559" i="10"/>
  <c r="C1559" i="10"/>
  <c r="D1558" i="10"/>
  <c r="C1558" i="10"/>
  <c r="D1557" i="10"/>
  <c r="C1557" i="10"/>
  <c r="D1556" i="10"/>
  <c r="C1556" i="10"/>
  <c r="D1555" i="10"/>
  <c r="C1555" i="10"/>
  <c r="D1554" i="10"/>
  <c r="C1554" i="10"/>
  <c r="D1553" i="10"/>
  <c r="C1553" i="10"/>
  <c r="D1552" i="10"/>
  <c r="C1552" i="10"/>
  <c r="D1551" i="10"/>
  <c r="C1551" i="10"/>
  <c r="D1550" i="10"/>
  <c r="C1550" i="10"/>
  <c r="D1549" i="10"/>
  <c r="C1549" i="10"/>
  <c r="D1548" i="10"/>
  <c r="C1548" i="10"/>
  <c r="D1547" i="10"/>
  <c r="C1547" i="10"/>
  <c r="D1546" i="10"/>
  <c r="C1546" i="10"/>
  <c r="D1545" i="10"/>
  <c r="C1545" i="10"/>
  <c r="D1544" i="10"/>
  <c r="C1544" i="10"/>
  <c r="D1543" i="10"/>
  <c r="C1543" i="10"/>
  <c r="D1542" i="10"/>
  <c r="C1542" i="10"/>
  <c r="D1541" i="10"/>
  <c r="C1541" i="10"/>
  <c r="D1540" i="10"/>
  <c r="C1540" i="10"/>
  <c r="D1539" i="10"/>
  <c r="C1539" i="10"/>
  <c r="D1538" i="10"/>
  <c r="C1538" i="10"/>
  <c r="D1537" i="10"/>
  <c r="C1537" i="10"/>
  <c r="D1536" i="10"/>
  <c r="C1536" i="10"/>
  <c r="D1535" i="10"/>
  <c r="C1535" i="10"/>
  <c r="D1534" i="10"/>
  <c r="C1534" i="10"/>
  <c r="D1533" i="10"/>
  <c r="C1533" i="10"/>
  <c r="D1532" i="10"/>
  <c r="C1532" i="10"/>
  <c r="D1531" i="10"/>
  <c r="C1531" i="10"/>
  <c r="D1530" i="10"/>
  <c r="C1530" i="10"/>
  <c r="D1529" i="10"/>
  <c r="C1529" i="10"/>
  <c r="D1528" i="10"/>
  <c r="C1528" i="10"/>
  <c r="D1527" i="10"/>
  <c r="C1527" i="10"/>
  <c r="D1526" i="10"/>
  <c r="C1526" i="10"/>
  <c r="D1525" i="10"/>
  <c r="C1525" i="10"/>
  <c r="D1524" i="10"/>
  <c r="C1524" i="10"/>
  <c r="D1523" i="10"/>
  <c r="C1523" i="10"/>
  <c r="D1522" i="10"/>
  <c r="C1522" i="10"/>
  <c r="D1521" i="10"/>
  <c r="C1521" i="10"/>
  <c r="D1520" i="10"/>
  <c r="C1520" i="10"/>
  <c r="D1519" i="10"/>
  <c r="C1519" i="10"/>
  <c r="D1518" i="10"/>
  <c r="C1518" i="10"/>
  <c r="D1517" i="10"/>
  <c r="C1517" i="10"/>
  <c r="D1516" i="10"/>
  <c r="C1516" i="10"/>
  <c r="D1515" i="10"/>
  <c r="C1515" i="10"/>
  <c r="D1514" i="10"/>
  <c r="C1514" i="10"/>
  <c r="D1513" i="10"/>
  <c r="C1513" i="10"/>
  <c r="D1512" i="10"/>
  <c r="C1512" i="10"/>
  <c r="D1511" i="10"/>
  <c r="C1511" i="10"/>
  <c r="D1510" i="10"/>
  <c r="C1510" i="10"/>
  <c r="D1509" i="10"/>
  <c r="C1509" i="10"/>
  <c r="D1508" i="10"/>
  <c r="C1508" i="10"/>
  <c r="D1507" i="10"/>
  <c r="C1507" i="10"/>
  <c r="D1506" i="10"/>
  <c r="C1506" i="10"/>
  <c r="D1505" i="10"/>
  <c r="C1505" i="10"/>
  <c r="D1504" i="10"/>
  <c r="C1504" i="10"/>
  <c r="D1503" i="10"/>
  <c r="C1503" i="10"/>
  <c r="D1502" i="10"/>
  <c r="C1502" i="10"/>
  <c r="D1501" i="10"/>
  <c r="C1501" i="10"/>
  <c r="D1500" i="10"/>
  <c r="C1500" i="10"/>
  <c r="D1499" i="10"/>
  <c r="C1499" i="10"/>
  <c r="D1498" i="10"/>
  <c r="C1498" i="10"/>
  <c r="D1497" i="10"/>
  <c r="C1497" i="10"/>
  <c r="D1496" i="10"/>
  <c r="C1496" i="10"/>
  <c r="D1495" i="10"/>
  <c r="C1495" i="10"/>
  <c r="D1494" i="10"/>
  <c r="C1494" i="10"/>
  <c r="D1493" i="10"/>
  <c r="C1493" i="10"/>
  <c r="D1492" i="10"/>
  <c r="C1492" i="10"/>
  <c r="D1491" i="10"/>
  <c r="C1491" i="10"/>
  <c r="D1490" i="10"/>
  <c r="C1490" i="10"/>
  <c r="D1489" i="10"/>
  <c r="C1489" i="10"/>
  <c r="D1488" i="10"/>
  <c r="C1488" i="10"/>
  <c r="D1487" i="10"/>
  <c r="C1487" i="10"/>
  <c r="D1486" i="10"/>
  <c r="C1486" i="10"/>
  <c r="D1485" i="10"/>
  <c r="C1485" i="10"/>
  <c r="D1484" i="10"/>
  <c r="C1484" i="10"/>
  <c r="D1483" i="10"/>
  <c r="C1483" i="10"/>
  <c r="D1482" i="10"/>
  <c r="C1482" i="10"/>
  <c r="D1481" i="10"/>
  <c r="C1481" i="10"/>
  <c r="D1480" i="10"/>
  <c r="C1480" i="10"/>
  <c r="D1479" i="10"/>
  <c r="C1479" i="10"/>
  <c r="D1478" i="10"/>
  <c r="C1478" i="10"/>
  <c r="D1477" i="10"/>
  <c r="C1477" i="10"/>
  <c r="D1476" i="10"/>
  <c r="C1476" i="10"/>
  <c r="D1475" i="10"/>
  <c r="C1475" i="10"/>
  <c r="D1474" i="10"/>
  <c r="C1474" i="10"/>
  <c r="D1473" i="10"/>
  <c r="C1473" i="10"/>
  <c r="D1472" i="10"/>
  <c r="C1472" i="10"/>
  <c r="D1471" i="10"/>
  <c r="C1471" i="10"/>
  <c r="D1470" i="10"/>
  <c r="C1470" i="10"/>
  <c r="D1469" i="10"/>
  <c r="C1469" i="10"/>
  <c r="D1468" i="10"/>
  <c r="C1468" i="10"/>
  <c r="D1467" i="10"/>
  <c r="C1467" i="10"/>
  <c r="D1466" i="10"/>
  <c r="C1466" i="10"/>
  <c r="D1465" i="10"/>
  <c r="C1465" i="10"/>
  <c r="D1464" i="10"/>
  <c r="C1464" i="10"/>
  <c r="D1463" i="10"/>
  <c r="C1463" i="10"/>
  <c r="D1462" i="10"/>
  <c r="C1462" i="10"/>
  <c r="D1461" i="10"/>
  <c r="C1461" i="10"/>
  <c r="D1460" i="10"/>
  <c r="C1460" i="10"/>
  <c r="D1459" i="10"/>
  <c r="C1459" i="10"/>
  <c r="D1458" i="10"/>
  <c r="C1458" i="10"/>
  <c r="D1457" i="10"/>
  <c r="C1457" i="10"/>
  <c r="D1456" i="10"/>
  <c r="C1456" i="10"/>
  <c r="D1455" i="10"/>
  <c r="C1455" i="10"/>
  <c r="D1454" i="10"/>
  <c r="C1454" i="10"/>
  <c r="D1453" i="10"/>
  <c r="C1453" i="10"/>
  <c r="D1452" i="10"/>
  <c r="C1452" i="10"/>
  <c r="D1451" i="10"/>
  <c r="C1451" i="10"/>
  <c r="D1450" i="10"/>
  <c r="C1450" i="10"/>
  <c r="D1449" i="10"/>
  <c r="C1449" i="10"/>
  <c r="D1448" i="10"/>
  <c r="C1448" i="10"/>
  <c r="D1447" i="10"/>
  <c r="C1447" i="10"/>
  <c r="D1446" i="10"/>
  <c r="C1446" i="10"/>
  <c r="D1445" i="10"/>
  <c r="C1445" i="10"/>
  <c r="D1444" i="10"/>
  <c r="C1444" i="10"/>
  <c r="D1443" i="10"/>
  <c r="C1443" i="10"/>
  <c r="D1442" i="10"/>
  <c r="C1442" i="10"/>
  <c r="D1441" i="10"/>
  <c r="C1441" i="10"/>
  <c r="D1440" i="10"/>
  <c r="C1440" i="10"/>
  <c r="D1439" i="10"/>
  <c r="C1439" i="10"/>
  <c r="D1438" i="10"/>
  <c r="C1438" i="10"/>
  <c r="D1437" i="10"/>
  <c r="C1437" i="10"/>
  <c r="D1436" i="10"/>
  <c r="C1436" i="10"/>
  <c r="D1435" i="10"/>
  <c r="C1435" i="10"/>
  <c r="D1434" i="10"/>
  <c r="C1434" i="10"/>
  <c r="D1433" i="10"/>
  <c r="C1433" i="10"/>
  <c r="D1432" i="10"/>
  <c r="C1432" i="10"/>
  <c r="D1431" i="10"/>
  <c r="C1431" i="10"/>
  <c r="D1430" i="10"/>
  <c r="C1430" i="10"/>
  <c r="D1429" i="10"/>
  <c r="C1429" i="10"/>
  <c r="D1428" i="10"/>
  <c r="C1428" i="10"/>
  <c r="D1427" i="10"/>
  <c r="C1427" i="10"/>
  <c r="D1426" i="10"/>
  <c r="C1426" i="10"/>
  <c r="D1425" i="10"/>
  <c r="C1425" i="10"/>
  <c r="D1424" i="10"/>
  <c r="C1424" i="10"/>
  <c r="D1423" i="10"/>
  <c r="C1423" i="10"/>
  <c r="D1422" i="10"/>
  <c r="C1422" i="10"/>
  <c r="D1421" i="10"/>
  <c r="C1421" i="10"/>
  <c r="D1420" i="10"/>
  <c r="C1420" i="10"/>
  <c r="D1419" i="10"/>
  <c r="C1419" i="10"/>
  <c r="D1418" i="10"/>
  <c r="C1418" i="10"/>
  <c r="D1417" i="10"/>
  <c r="C1417" i="10"/>
  <c r="D1416" i="10"/>
  <c r="C1416" i="10"/>
  <c r="D1415" i="10"/>
  <c r="C1415" i="10"/>
  <c r="D1414" i="10"/>
  <c r="C1414" i="10"/>
  <c r="D1413" i="10"/>
  <c r="C1413" i="10"/>
  <c r="D1412" i="10"/>
  <c r="C1412" i="10"/>
  <c r="D1411" i="10"/>
  <c r="C1411" i="10"/>
  <c r="D1410" i="10"/>
  <c r="C1410" i="10"/>
  <c r="D1409" i="10"/>
  <c r="C1409" i="10"/>
  <c r="D1408" i="10"/>
  <c r="C1408" i="10"/>
  <c r="D1407" i="10"/>
  <c r="C1407" i="10"/>
  <c r="D1406" i="10"/>
  <c r="C1406" i="10"/>
  <c r="D1405" i="10"/>
  <c r="C1405" i="10"/>
  <c r="D1404" i="10"/>
  <c r="C1404" i="10"/>
  <c r="D1403" i="10"/>
  <c r="C1403" i="10"/>
  <c r="D1402" i="10"/>
  <c r="C1402" i="10"/>
  <c r="D1401" i="10"/>
  <c r="C1401" i="10"/>
  <c r="D1400" i="10"/>
  <c r="C1400" i="10"/>
  <c r="D1399" i="10"/>
  <c r="C1399" i="10"/>
  <c r="D1398" i="10"/>
  <c r="C1398" i="10"/>
  <c r="D1397" i="10"/>
  <c r="C1397" i="10"/>
  <c r="D1396" i="10"/>
  <c r="C1396" i="10"/>
  <c r="D1395" i="10"/>
  <c r="C1395" i="10"/>
  <c r="D1394" i="10"/>
  <c r="C1394" i="10"/>
  <c r="D1393" i="10"/>
  <c r="C1393" i="10"/>
  <c r="D1392" i="10"/>
  <c r="C1392" i="10"/>
  <c r="D1391" i="10"/>
  <c r="C1391" i="10"/>
  <c r="D1390" i="10"/>
  <c r="C1390" i="10"/>
  <c r="D1389" i="10"/>
  <c r="C1389" i="10"/>
  <c r="D1388" i="10"/>
  <c r="C1388" i="10"/>
  <c r="D1387" i="10"/>
  <c r="C1387" i="10"/>
  <c r="D1386" i="10"/>
  <c r="C1386" i="10"/>
  <c r="D1385" i="10"/>
  <c r="C1385" i="10"/>
  <c r="D1384" i="10"/>
  <c r="C1384" i="10"/>
  <c r="D1383" i="10"/>
  <c r="C1383" i="10"/>
  <c r="D1382" i="10"/>
  <c r="C1382" i="10"/>
  <c r="D1381" i="10"/>
  <c r="C1381" i="10"/>
  <c r="D1380" i="10"/>
  <c r="C1380" i="10"/>
  <c r="D1379" i="10"/>
  <c r="C1379" i="10"/>
  <c r="D1378" i="10"/>
  <c r="C1378" i="10"/>
  <c r="D1377" i="10"/>
  <c r="C1377" i="10"/>
  <c r="D1376" i="10"/>
  <c r="C1376" i="10"/>
  <c r="D1375" i="10"/>
  <c r="C1375" i="10"/>
  <c r="D1374" i="10"/>
  <c r="C1374" i="10"/>
  <c r="D1373" i="10"/>
  <c r="C1373" i="10"/>
  <c r="D1372" i="10"/>
  <c r="C1372" i="10"/>
  <c r="D1371" i="10"/>
  <c r="C1371" i="10"/>
  <c r="D1370" i="10"/>
  <c r="C1370" i="10"/>
  <c r="D1369" i="10"/>
  <c r="C1369" i="10"/>
  <c r="D1368" i="10"/>
  <c r="C1368" i="10"/>
  <c r="D1367" i="10"/>
  <c r="C1367" i="10"/>
  <c r="D1366" i="10"/>
  <c r="C1366" i="10"/>
  <c r="D1365" i="10"/>
  <c r="C1365" i="10"/>
  <c r="D1364" i="10"/>
  <c r="C1364" i="10"/>
  <c r="D1363" i="10"/>
  <c r="C1363" i="10"/>
  <c r="D1362" i="10"/>
  <c r="C1362" i="10"/>
  <c r="D1361" i="10"/>
  <c r="C1361" i="10"/>
  <c r="D1360" i="10"/>
  <c r="C1360" i="10"/>
  <c r="D1359" i="10"/>
  <c r="C1359" i="10"/>
  <c r="D1358" i="10"/>
  <c r="C1358" i="10"/>
  <c r="D1357" i="10"/>
  <c r="C1357" i="10"/>
  <c r="D1356" i="10"/>
  <c r="C1356" i="10"/>
  <c r="D1355" i="10"/>
  <c r="C1355" i="10"/>
  <c r="D1354" i="10"/>
  <c r="C1354" i="10"/>
  <c r="D1353" i="10"/>
  <c r="C1353" i="10"/>
  <c r="D1352" i="10"/>
  <c r="C1352" i="10"/>
  <c r="D1351" i="10"/>
  <c r="C1351" i="10"/>
  <c r="D1350" i="10"/>
  <c r="C1350" i="10"/>
  <c r="D1349" i="10"/>
  <c r="C1349" i="10"/>
  <c r="D1348" i="10"/>
  <c r="C1348" i="10"/>
  <c r="D1347" i="10"/>
  <c r="C1347" i="10"/>
  <c r="D1346" i="10"/>
  <c r="C1346" i="10"/>
  <c r="D1345" i="10"/>
  <c r="C1345" i="10"/>
  <c r="D1344" i="10"/>
  <c r="C1344" i="10"/>
  <c r="D1343" i="10"/>
  <c r="C1343" i="10"/>
  <c r="D1342" i="10"/>
  <c r="C1342" i="10"/>
  <c r="D1341" i="10"/>
  <c r="C1341" i="10"/>
  <c r="D1340" i="10"/>
  <c r="C1340" i="10"/>
  <c r="D1339" i="10"/>
  <c r="C1339" i="10"/>
  <c r="D1338" i="10"/>
  <c r="C1338" i="10"/>
  <c r="D1337" i="10"/>
  <c r="C1337" i="10"/>
  <c r="D1336" i="10"/>
  <c r="C1336" i="10"/>
  <c r="D1335" i="10"/>
  <c r="C1335" i="10"/>
  <c r="D1334" i="10"/>
  <c r="C1334" i="10"/>
  <c r="D1333" i="10"/>
  <c r="C1333" i="10"/>
  <c r="D1332" i="10"/>
  <c r="C1332" i="10"/>
  <c r="D1331" i="10"/>
  <c r="C1331" i="10"/>
  <c r="D1330" i="10"/>
  <c r="C1330" i="10"/>
  <c r="D1329" i="10"/>
  <c r="C1329" i="10"/>
  <c r="D1328" i="10"/>
  <c r="C1328" i="10"/>
  <c r="D1327" i="10"/>
  <c r="C1327" i="10"/>
  <c r="D1326" i="10"/>
  <c r="C1326" i="10"/>
  <c r="D1325" i="10"/>
  <c r="C1325" i="10"/>
  <c r="D1324" i="10"/>
  <c r="C1324" i="10"/>
  <c r="D1323" i="10"/>
  <c r="C1323" i="10"/>
  <c r="D1322" i="10"/>
  <c r="C1322" i="10"/>
  <c r="D1321" i="10"/>
  <c r="C1321" i="10"/>
  <c r="D1320" i="10"/>
  <c r="C1320" i="10"/>
  <c r="D1319" i="10"/>
  <c r="C1319" i="10"/>
  <c r="D1318" i="10"/>
  <c r="C1318" i="10"/>
  <c r="D1317" i="10"/>
  <c r="C1317" i="10"/>
  <c r="D1316" i="10"/>
  <c r="C1316" i="10"/>
  <c r="D1315" i="10"/>
  <c r="C1315" i="10"/>
  <c r="D1314" i="10"/>
  <c r="C1314" i="10"/>
  <c r="D1313" i="10"/>
  <c r="C1313" i="10"/>
  <c r="D1312" i="10"/>
  <c r="C1312" i="10"/>
  <c r="D1311" i="10"/>
  <c r="C1311" i="10"/>
  <c r="D1310" i="10"/>
  <c r="C1310" i="10"/>
  <c r="D1309" i="10"/>
  <c r="C1309" i="10"/>
  <c r="D1308" i="10"/>
  <c r="C1308" i="10"/>
  <c r="D1307" i="10"/>
  <c r="C1307" i="10"/>
  <c r="D1306" i="10"/>
  <c r="C1306" i="10"/>
  <c r="D1305" i="10"/>
  <c r="C1305" i="10"/>
  <c r="D1304" i="10"/>
  <c r="C1304" i="10"/>
  <c r="D1303" i="10"/>
  <c r="C1303" i="10"/>
  <c r="D1302" i="10"/>
  <c r="C1302" i="10"/>
  <c r="D1301" i="10"/>
  <c r="C1301" i="10"/>
  <c r="D1300" i="10"/>
  <c r="C1300" i="10"/>
  <c r="D1299" i="10"/>
  <c r="C1299" i="10"/>
  <c r="D1298" i="10"/>
  <c r="C1298" i="10"/>
  <c r="D1297" i="10"/>
  <c r="C1297" i="10"/>
  <c r="D1296" i="10"/>
  <c r="C1296" i="10"/>
  <c r="D1295" i="10"/>
  <c r="C1295" i="10"/>
  <c r="D1294" i="10"/>
  <c r="C1294" i="10"/>
  <c r="D1293" i="10"/>
  <c r="C1293" i="10"/>
  <c r="D1292" i="10"/>
  <c r="C1292" i="10"/>
  <c r="D1291" i="10"/>
  <c r="C1291" i="10"/>
  <c r="D1290" i="10"/>
  <c r="C1290" i="10"/>
  <c r="D1289" i="10"/>
  <c r="C1289" i="10"/>
  <c r="D1288" i="10"/>
  <c r="C1288" i="10"/>
  <c r="D1287" i="10"/>
  <c r="C1287" i="10"/>
  <c r="D1286" i="10"/>
  <c r="C1286" i="10"/>
  <c r="D1285" i="10"/>
  <c r="C1285" i="10"/>
  <c r="D1284" i="10"/>
  <c r="C1284" i="10"/>
  <c r="D1283" i="10"/>
  <c r="C1283" i="10"/>
  <c r="D1282" i="10"/>
  <c r="C1282" i="10"/>
  <c r="D1281" i="10"/>
  <c r="C1281" i="10"/>
  <c r="D1280" i="10"/>
  <c r="C1280" i="10"/>
  <c r="D1279" i="10"/>
  <c r="C1279" i="10"/>
  <c r="D1278" i="10"/>
  <c r="C1278" i="10"/>
  <c r="D1277" i="10"/>
  <c r="C1277" i="10"/>
  <c r="D1276" i="10"/>
  <c r="C1276" i="10"/>
  <c r="D1275" i="10"/>
  <c r="C1275" i="10"/>
  <c r="D1274" i="10"/>
  <c r="C1274" i="10"/>
  <c r="D1273" i="10"/>
  <c r="C1273" i="10"/>
  <c r="D1272" i="10"/>
  <c r="C1272" i="10"/>
  <c r="D1271" i="10"/>
  <c r="C1271" i="10"/>
  <c r="D1270" i="10"/>
  <c r="C1270" i="10"/>
  <c r="D1269" i="10"/>
  <c r="C1269" i="10"/>
  <c r="D1268" i="10"/>
  <c r="C1268" i="10"/>
  <c r="D1267" i="10"/>
  <c r="C1267" i="10"/>
  <c r="D1266" i="10"/>
  <c r="C1266" i="10"/>
  <c r="D1265" i="10"/>
  <c r="C1265" i="10"/>
  <c r="D1264" i="10"/>
  <c r="C1264" i="10"/>
  <c r="D1263" i="10"/>
  <c r="C1263" i="10"/>
  <c r="D1262" i="10"/>
  <c r="C1262" i="10"/>
  <c r="D1261" i="10"/>
  <c r="C1261" i="10"/>
  <c r="D1260" i="10"/>
  <c r="C1260" i="10"/>
  <c r="D1259" i="10"/>
  <c r="C1259" i="10"/>
  <c r="D1258" i="10"/>
  <c r="C1258" i="10"/>
  <c r="D1257" i="10"/>
  <c r="C1257" i="10"/>
  <c r="D1256" i="10"/>
  <c r="C1256" i="10"/>
  <c r="D1255" i="10"/>
  <c r="C1255" i="10"/>
  <c r="D1254" i="10"/>
  <c r="C1254" i="10"/>
  <c r="D1253" i="10"/>
  <c r="C1253" i="10"/>
  <c r="D1252" i="10"/>
  <c r="C1252" i="10"/>
  <c r="D1251" i="10"/>
  <c r="C1251" i="10"/>
  <c r="D1250" i="10"/>
  <c r="C1250" i="10"/>
  <c r="D1249" i="10"/>
  <c r="C1249" i="10"/>
  <c r="D1248" i="10"/>
  <c r="C1248" i="10"/>
  <c r="D1247" i="10"/>
  <c r="C1247" i="10"/>
  <c r="D1246" i="10"/>
  <c r="C1246" i="10"/>
  <c r="D1245" i="10"/>
  <c r="C1245" i="10"/>
  <c r="D1244" i="10"/>
  <c r="C1244" i="10"/>
  <c r="D1243" i="10"/>
  <c r="C1243" i="10"/>
  <c r="D1242" i="10"/>
  <c r="C1242" i="10"/>
  <c r="D1241" i="10"/>
  <c r="C1241" i="10"/>
  <c r="D1240" i="10"/>
  <c r="C1240" i="10"/>
  <c r="D1239" i="10"/>
  <c r="C1239" i="10"/>
  <c r="D1238" i="10"/>
  <c r="C1238" i="10"/>
  <c r="D1237" i="10"/>
  <c r="C1237" i="10"/>
  <c r="D1236" i="10"/>
  <c r="C1236" i="10"/>
  <c r="D1235" i="10"/>
  <c r="C1235" i="10"/>
  <c r="D1234" i="10"/>
  <c r="C1234" i="10"/>
  <c r="D1233" i="10"/>
  <c r="C1233" i="10"/>
  <c r="D1232" i="10"/>
  <c r="C1232" i="10"/>
  <c r="D1231" i="10"/>
  <c r="C1231" i="10"/>
  <c r="D1230" i="10"/>
  <c r="C1230" i="10"/>
  <c r="D1229" i="10"/>
  <c r="C1229" i="10"/>
  <c r="D1228" i="10"/>
  <c r="C1228" i="10"/>
  <c r="D1227" i="10"/>
  <c r="C1227" i="10"/>
  <c r="D1226" i="10"/>
  <c r="C1226" i="10"/>
  <c r="D1225" i="10"/>
  <c r="C1225" i="10"/>
  <c r="D1224" i="10"/>
  <c r="C1224" i="10"/>
  <c r="D1223" i="10"/>
  <c r="C1223" i="10"/>
  <c r="D1222" i="10"/>
  <c r="C1222" i="10"/>
  <c r="D1221" i="10"/>
  <c r="C1221" i="10"/>
  <c r="D1220" i="10"/>
  <c r="C1220" i="10"/>
  <c r="D1219" i="10"/>
  <c r="C1219" i="10"/>
  <c r="D1218" i="10"/>
  <c r="C1218" i="10"/>
  <c r="D1217" i="10"/>
  <c r="C1217" i="10"/>
  <c r="D1216" i="10"/>
  <c r="C1216" i="10"/>
  <c r="D1215" i="10"/>
  <c r="C1215" i="10"/>
  <c r="D1214" i="10"/>
  <c r="C1214" i="10"/>
  <c r="D1213" i="10"/>
  <c r="C1213" i="10"/>
  <c r="D1212" i="10"/>
  <c r="C1212" i="10"/>
  <c r="D1211" i="10"/>
  <c r="C1211" i="10"/>
  <c r="D1210" i="10"/>
  <c r="C1210" i="10"/>
  <c r="D1209" i="10"/>
  <c r="C1209" i="10"/>
  <c r="D1208" i="10"/>
  <c r="C1208" i="10"/>
  <c r="D1207" i="10"/>
  <c r="C1207" i="10"/>
  <c r="D1206" i="10"/>
  <c r="C1206" i="10"/>
  <c r="D1205" i="10"/>
  <c r="C1205" i="10"/>
  <c r="D1204" i="10"/>
  <c r="C1204" i="10"/>
  <c r="D1203" i="10"/>
  <c r="C1203" i="10"/>
  <c r="D1202" i="10"/>
  <c r="C1202" i="10"/>
  <c r="D1201" i="10"/>
  <c r="C1201" i="10"/>
  <c r="D1200" i="10"/>
  <c r="C1200" i="10"/>
  <c r="D1199" i="10"/>
  <c r="C1199" i="10"/>
  <c r="D1198" i="10"/>
  <c r="C1198" i="10"/>
  <c r="D1197" i="10"/>
  <c r="C1197" i="10"/>
  <c r="D1196" i="10"/>
  <c r="C1196" i="10"/>
  <c r="D1195" i="10"/>
  <c r="C1195" i="10"/>
  <c r="D1194" i="10"/>
  <c r="C1194" i="10"/>
  <c r="D1193" i="10"/>
  <c r="C1193" i="10"/>
  <c r="D1192" i="10"/>
  <c r="C1192" i="10"/>
  <c r="D1191" i="10"/>
  <c r="C1191" i="10"/>
  <c r="D1190" i="10"/>
  <c r="C1190" i="10"/>
  <c r="D1189" i="10"/>
  <c r="C1189" i="10"/>
  <c r="D1188" i="10"/>
  <c r="C1188" i="10"/>
  <c r="D1187" i="10"/>
  <c r="C1187" i="10"/>
  <c r="D1186" i="10"/>
  <c r="C1186" i="10"/>
  <c r="D1185" i="10"/>
  <c r="C1185" i="10"/>
  <c r="D1184" i="10"/>
  <c r="C1184" i="10"/>
  <c r="D1183" i="10"/>
  <c r="C1183" i="10"/>
  <c r="D1182" i="10"/>
  <c r="C1182" i="10"/>
  <c r="D1181" i="10"/>
  <c r="C1181" i="10"/>
  <c r="D1180" i="10"/>
  <c r="C1180" i="10"/>
  <c r="D1179" i="10"/>
  <c r="C1179" i="10"/>
  <c r="D1178" i="10"/>
  <c r="C1178" i="10"/>
  <c r="D1177" i="10"/>
  <c r="C1177" i="10"/>
  <c r="D1176" i="10"/>
  <c r="C1176" i="10"/>
  <c r="D1175" i="10"/>
  <c r="C1175" i="10"/>
  <c r="D1174" i="10"/>
  <c r="C1174" i="10"/>
  <c r="D1173" i="10"/>
  <c r="C1173" i="10"/>
  <c r="D1172" i="10"/>
  <c r="C1172" i="10"/>
  <c r="D1171" i="10"/>
  <c r="C1171" i="10"/>
  <c r="D1170" i="10"/>
  <c r="C1170" i="10"/>
  <c r="D1169" i="10"/>
  <c r="C1169" i="10"/>
  <c r="D1168" i="10"/>
  <c r="C1168" i="10"/>
  <c r="D1167" i="10"/>
  <c r="C1167" i="10"/>
  <c r="D1166" i="10"/>
  <c r="C1166" i="10"/>
  <c r="D1165" i="10"/>
  <c r="C1165" i="10"/>
  <c r="D1164" i="10"/>
  <c r="C1164" i="10"/>
  <c r="D1163" i="10"/>
  <c r="C1163" i="10"/>
  <c r="D1162" i="10"/>
  <c r="C1162" i="10"/>
  <c r="D1161" i="10"/>
  <c r="C1161" i="10"/>
  <c r="D1160" i="10"/>
  <c r="C1160" i="10"/>
  <c r="D1159" i="10"/>
  <c r="C1159" i="10"/>
  <c r="D1158" i="10"/>
  <c r="C1158" i="10"/>
  <c r="D1157" i="10"/>
  <c r="C1157" i="10"/>
  <c r="D1156" i="10"/>
  <c r="C1156" i="10"/>
  <c r="D1155" i="10"/>
  <c r="C1155" i="10"/>
  <c r="D1154" i="10"/>
  <c r="C1154" i="10"/>
  <c r="D1153" i="10"/>
  <c r="C1153" i="10"/>
  <c r="D1152" i="10"/>
  <c r="C1152" i="10"/>
  <c r="D1151" i="10"/>
  <c r="C1151" i="10"/>
  <c r="D1150" i="10"/>
  <c r="C1150" i="10"/>
  <c r="D1149" i="10"/>
  <c r="C1149" i="10"/>
  <c r="D1148" i="10"/>
  <c r="C1148" i="10"/>
  <c r="D1147" i="10"/>
  <c r="C1147" i="10"/>
  <c r="D1146" i="10"/>
  <c r="C1146" i="10"/>
  <c r="D1145" i="10"/>
  <c r="C1145" i="10"/>
  <c r="D1144" i="10"/>
  <c r="C1144" i="10"/>
  <c r="D1143" i="10"/>
  <c r="C1143" i="10"/>
  <c r="D1142" i="10"/>
  <c r="C1142" i="10"/>
  <c r="D1141" i="10"/>
  <c r="C1141" i="10"/>
  <c r="D1140" i="10"/>
  <c r="C1140" i="10"/>
  <c r="D1139" i="10"/>
  <c r="C1139" i="10"/>
  <c r="D1138" i="10"/>
  <c r="C1138" i="10"/>
  <c r="D1137" i="10"/>
  <c r="C1137" i="10"/>
  <c r="D1136" i="10"/>
  <c r="C1136" i="10"/>
  <c r="D1135" i="10"/>
  <c r="C1135" i="10"/>
  <c r="D1134" i="10"/>
  <c r="C1134" i="10"/>
  <c r="D1133" i="10"/>
  <c r="C1133" i="10"/>
  <c r="D1132" i="10"/>
  <c r="C1132" i="10"/>
  <c r="D1131" i="10"/>
  <c r="C1131" i="10"/>
  <c r="D1130" i="10"/>
  <c r="C1130" i="10"/>
  <c r="D1129" i="10"/>
  <c r="C1129" i="10"/>
  <c r="D1128" i="10"/>
  <c r="C1128" i="10"/>
  <c r="D1127" i="10"/>
  <c r="C1127" i="10"/>
  <c r="D1126" i="10"/>
  <c r="C1126" i="10"/>
  <c r="D1125" i="10"/>
  <c r="C1125" i="10"/>
  <c r="D1124" i="10"/>
  <c r="C1124" i="10"/>
  <c r="D1123" i="10"/>
  <c r="C1123" i="10"/>
  <c r="D1122" i="10"/>
  <c r="C1122" i="10"/>
  <c r="D1121" i="10"/>
  <c r="C1121" i="10"/>
  <c r="D1120" i="10"/>
  <c r="C1120" i="10"/>
  <c r="D1119" i="10"/>
  <c r="C1119" i="10"/>
  <c r="D1118" i="10"/>
  <c r="C1118" i="10"/>
  <c r="D1117" i="10"/>
  <c r="C1117" i="10"/>
  <c r="D1116" i="10"/>
  <c r="C1116" i="10"/>
  <c r="D1115" i="10"/>
  <c r="C1115" i="10"/>
  <c r="D1114" i="10"/>
  <c r="C1114" i="10"/>
  <c r="D1113" i="10"/>
  <c r="C1113" i="10"/>
  <c r="D1112" i="10"/>
  <c r="C1112" i="10"/>
  <c r="D1111" i="10"/>
  <c r="C1111" i="10"/>
  <c r="D1110" i="10"/>
  <c r="C1110" i="10"/>
  <c r="D1109" i="10"/>
  <c r="C1109" i="10"/>
  <c r="D1108" i="10"/>
  <c r="C1108" i="10"/>
  <c r="D1107" i="10"/>
  <c r="C1107" i="10"/>
  <c r="D1106" i="10"/>
  <c r="C1106" i="10"/>
  <c r="D1105" i="10"/>
  <c r="C1105" i="10"/>
  <c r="D1104" i="10"/>
  <c r="C1104" i="10"/>
  <c r="D1103" i="10"/>
  <c r="C1103" i="10"/>
  <c r="D1102" i="10"/>
  <c r="C1102" i="10"/>
  <c r="D1101" i="10"/>
  <c r="C1101" i="10"/>
  <c r="D1100" i="10"/>
  <c r="C1100" i="10"/>
  <c r="D1099" i="10"/>
  <c r="C1099" i="10"/>
  <c r="D1098" i="10"/>
  <c r="C1098" i="10"/>
  <c r="D1097" i="10"/>
  <c r="C1097" i="10"/>
  <c r="D1096" i="10"/>
  <c r="C1096" i="10"/>
  <c r="D1095" i="10"/>
  <c r="C1095" i="10"/>
  <c r="D1094" i="10"/>
  <c r="C1094" i="10"/>
  <c r="D1093" i="10"/>
  <c r="C1093" i="10"/>
  <c r="D1092" i="10"/>
  <c r="C1092" i="10"/>
  <c r="D1091" i="10"/>
  <c r="C1091" i="10"/>
  <c r="D1090" i="10"/>
  <c r="C1090" i="10"/>
  <c r="D1089" i="10"/>
  <c r="C1089" i="10"/>
  <c r="D1088" i="10"/>
  <c r="C1088" i="10"/>
  <c r="D1087" i="10"/>
  <c r="C1087" i="10"/>
  <c r="D1086" i="10"/>
  <c r="C1086" i="10"/>
  <c r="D1085" i="10"/>
  <c r="C1085" i="10"/>
  <c r="D1084" i="10"/>
  <c r="C1084" i="10"/>
  <c r="D1083" i="10"/>
  <c r="C1083" i="10"/>
  <c r="D1082" i="10"/>
  <c r="C1082" i="10"/>
  <c r="D1081" i="10"/>
  <c r="C1081" i="10"/>
  <c r="D1080" i="10"/>
  <c r="C1080" i="10"/>
  <c r="D1079" i="10"/>
  <c r="C1079" i="10"/>
  <c r="D1078" i="10"/>
  <c r="C1078" i="10"/>
  <c r="D1077" i="10"/>
  <c r="C1077" i="10"/>
  <c r="D1076" i="10"/>
  <c r="C1076" i="10"/>
  <c r="D1075" i="10"/>
  <c r="C1075" i="10"/>
  <c r="D1074" i="10"/>
  <c r="C1074" i="10"/>
  <c r="D1073" i="10"/>
  <c r="C1073" i="10"/>
  <c r="D1072" i="10"/>
  <c r="C1072" i="10"/>
  <c r="D1071" i="10"/>
  <c r="C1071" i="10"/>
  <c r="D1070" i="10"/>
  <c r="C1070" i="10"/>
  <c r="D1069" i="10"/>
  <c r="C1069" i="10"/>
  <c r="D1068" i="10"/>
  <c r="C1068" i="10"/>
  <c r="D1067" i="10"/>
  <c r="C1067" i="10"/>
  <c r="D1066" i="10"/>
  <c r="C1066" i="10"/>
  <c r="D1065" i="10"/>
  <c r="C1065" i="10"/>
  <c r="D1064" i="10"/>
  <c r="C1064" i="10"/>
  <c r="D1063" i="10"/>
  <c r="C1063" i="10"/>
  <c r="D1062" i="10"/>
  <c r="C1062" i="10"/>
  <c r="D1061" i="10"/>
  <c r="C1061" i="10"/>
  <c r="D1060" i="10"/>
  <c r="C1060" i="10"/>
  <c r="D1059" i="10"/>
  <c r="C1059" i="10"/>
  <c r="D1058" i="10"/>
  <c r="C1058" i="10"/>
  <c r="D1057" i="10"/>
  <c r="C1057" i="10"/>
  <c r="D1056" i="10"/>
  <c r="C1056" i="10"/>
  <c r="D1055" i="10"/>
  <c r="C1055" i="10"/>
  <c r="D1054" i="10"/>
  <c r="C1054" i="10"/>
  <c r="D1053" i="10"/>
  <c r="C1053" i="10"/>
  <c r="D1052" i="10"/>
  <c r="C1052" i="10"/>
  <c r="D1051" i="10"/>
  <c r="C1051" i="10"/>
  <c r="D1050" i="10"/>
  <c r="C1050" i="10"/>
  <c r="D1049" i="10"/>
  <c r="C1049" i="10"/>
  <c r="D1048" i="10"/>
  <c r="C1048" i="10"/>
  <c r="D1047" i="10"/>
  <c r="C1047" i="10"/>
  <c r="D1046" i="10"/>
  <c r="C1046" i="10"/>
  <c r="D1045" i="10"/>
  <c r="C1045" i="10"/>
  <c r="D1044" i="10"/>
  <c r="C1044" i="10"/>
  <c r="D1043" i="10"/>
  <c r="C1043" i="10"/>
  <c r="D1042" i="10"/>
  <c r="C1042" i="10"/>
  <c r="D1041" i="10"/>
  <c r="C1041" i="10"/>
  <c r="D1040" i="10"/>
  <c r="C1040" i="10"/>
  <c r="D1039" i="10"/>
  <c r="C1039" i="10"/>
  <c r="D1038" i="10"/>
  <c r="C1038" i="10"/>
  <c r="D1037" i="10"/>
  <c r="C1037" i="10"/>
  <c r="D1036" i="10"/>
  <c r="C1036" i="10"/>
  <c r="D1035" i="10"/>
  <c r="C1035" i="10"/>
  <c r="D1034" i="10"/>
  <c r="C1034" i="10"/>
  <c r="D1033" i="10"/>
  <c r="C1033" i="10"/>
  <c r="D1032" i="10"/>
  <c r="C1032" i="10"/>
  <c r="D1031" i="10"/>
  <c r="C1031" i="10"/>
  <c r="D1030" i="10"/>
  <c r="C1030" i="10"/>
  <c r="D1029" i="10"/>
  <c r="C1029" i="10"/>
  <c r="D1028" i="10"/>
  <c r="C1028" i="10"/>
  <c r="D1027" i="10"/>
  <c r="C1027" i="10"/>
  <c r="D1026" i="10"/>
  <c r="C1026" i="10"/>
  <c r="D1025" i="10"/>
  <c r="C1025" i="10"/>
  <c r="D1024" i="10"/>
  <c r="C1024" i="10"/>
  <c r="D1023" i="10"/>
  <c r="C1023" i="10"/>
  <c r="D1022" i="10"/>
  <c r="C1022" i="10"/>
  <c r="D1021" i="10"/>
  <c r="C1021" i="10"/>
  <c r="D1020" i="10"/>
  <c r="C1020" i="10"/>
  <c r="D1019" i="10"/>
  <c r="C1019" i="10"/>
  <c r="D1018" i="10"/>
  <c r="C1018" i="10"/>
  <c r="D1017" i="10"/>
  <c r="C1017" i="10"/>
  <c r="D1016" i="10"/>
  <c r="C1016" i="10"/>
  <c r="D1015" i="10"/>
  <c r="C1015" i="10"/>
  <c r="D1014" i="10"/>
  <c r="C1014" i="10"/>
  <c r="D1013" i="10"/>
  <c r="C1013" i="10"/>
  <c r="D1012" i="10"/>
  <c r="C1012" i="10"/>
  <c r="D1011" i="10"/>
  <c r="C1011" i="10"/>
  <c r="D1010" i="10"/>
  <c r="C1010" i="10"/>
  <c r="D1009" i="10"/>
  <c r="C1009" i="10"/>
  <c r="D1008" i="10"/>
  <c r="C1008" i="10"/>
  <c r="D1007" i="10"/>
  <c r="C1007" i="10"/>
  <c r="D1006" i="10"/>
  <c r="C1006" i="10"/>
  <c r="D1005" i="10"/>
  <c r="C1005" i="10"/>
  <c r="D1004" i="10"/>
  <c r="C1004" i="10"/>
  <c r="D1003" i="10"/>
  <c r="C1003" i="10"/>
  <c r="D1002" i="10"/>
  <c r="C1002" i="10"/>
  <c r="D1001" i="10"/>
  <c r="C1001" i="10"/>
  <c r="D1000" i="10"/>
  <c r="C1000" i="10"/>
  <c r="D999" i="10"/>
  <c r="C999" i="10"/>
  <c r="D998" i="10"/>
  <c r="C998" i="10"/>
  <c r="D997" i="10"/>
  <c r="C997" i="10"/>
  <c r="D996" i="10"/>
  <c r="C996" i="10"/>
  <c r="D995" i="10"/>
  <c r="C995" i="10"/>
  <c r="D994" i="10"/>
  <c r="C994" i="10"/>
  <c r="D993" i="10"/>
  <c r="C993" i="10"/>
  <c r="D992" i="10"/>
  <c r="C992" i="10"/>
  <c r="D991" i="10"/>
  <c r="C991" i="10"/>
  <c r="D990" i="10"/>
  <c r="C990" i="10"/>
  <c r="D989" i="10"/>
  <c r="C989" i="10"/>
  <c r="D988" i="10"/>
  <c r="C988" i="10"/>
  <c r="D987" i="10"/>
  <c r="C987" i="10"/>
  <c r="D986" i="10"/>
  <c r="C986" i="10"/>
  <c r="D985" i="10"/>
  <c r="C985" i="10"/>
  <c r="D984" i="10"/>
  <c r="C984" i="10"/>
  <c r="D983" i="10"/>
  <c r="C983" i="10"/>
  <c r="D982" i="10"/>
  <c r="C982" i="10"/>
  <c r="D981" i="10"/>
  <c r="C981" i="10"/>
  <c r="D980" i="10"/>
  <c r="C980" i="10"/>
  <c r="D979" i="10"/>
  <c r="C979" i="10"/>
  <c r="D978" i="10"/>
  <c r="C978" i="10"/>
  <c r="D977" i="10"/>
  <c r="C977" i="10"/>
  <c r="D976" i="10"/>
  <c r="C976" i="10"/>
  <c r="D975" i="10"/>
  <c r="C975" i="10"/>
  <c r="D974" i="10"/>
  <c r="C974" i="10"/>
  <c r="D973" i="10"/>
  <c r="C973" i="10"/>
  <c r="D972" i="10"/>
  <c r="C972" i="10"/>
  <c r="D971" i="10"/>
  <c r="C971" i="10"/>
  <c r="D970" i="10"/>
  <c r="C970" i="10"/>
  <c r="D969" i="10"/>
  <c r="C969" i="10"/>
  <c r="D968" i="10"/>
  <c r="C968" i="10"/>
  <c r="D967" i="10"/>
  <c r="C967" i="10"/>
  <c r="D966" i="10"/>
  <c r="C966" i="10"/>
  <c r="D965" i="10"/>
  <c r="C965" i="10"/>
  <c r="D964" i="10"/>
  <c r="C964" i="10"/>
  <c r="D963" i="10"/>
  <c r="C963" i="10"/>
  <c r="D962" i="10"/>
  <c r="C962" i="10"/>
  <c r="D961" i="10"/>
  <c r="C961" i="10"/>
  <c r="D960" i="10"/>
  <c r="C960" i="10"/>
  <c r="D959" i="10"/>
  <c r="C959" i="10"/>
  <c r="D958" i="10"/>
  <c r="C958" i="10"/>
  <c r="D957" i="10"/>
  <c r="C957" i="10"/>
  <c r="D956" i="10"/>
  <c r="C956" i="10"/>
  <c r="D955" i="10"/>
  <c r="C955" i="10"/>
  <c r="D954" i="10"/>
  <c r="C954" i="10"/>
  <c r="D953" i="10"/>
  <c r="C953" i="10"/>
  <c r="D952" i="10"/>
  <c r="C952" i="10"/>
  <c r="D951" i="10"/>
  <c r="C951" i="10"/>
  <c r="D950" i="10"/>
  <c r="C950" i="10"/>
  <c r="D949" i="10"/>
  <c r="C949" i="10"/>
  <c r="D948" i="10"/>
  <c r="C948" i="10"/>
  <c r="D947" i="10"/>
  <c r="C947" i="10"/>
  <c r="D946" i="10"/>
  <c r="C946" i="10"/>
  <c r="D945" i="10"/>
  <c r="C945" i="10"/>
  <c r="D944" i="10"/>
  <c r="C944" i="10"/>
  <c r="D943" i="10"/>
  <c r="C943" i="10"/>
  <c r="D942" i="10"/>
  <c r="C942" i="10"/>
  <c r="D941" i="10"/>
  <c r="C941" i="10"/>
  <c r="D940" i="10"/>
  <c r="C940" i="10"/>
  <c r="D939" i="10"/>
  <c r="C939" i="10"/>
  <c r="D938" i="10"/>
  <c r="C938" i="10"/>
  <c r="D937" i="10"/>
  <c r="C937" i="10"/>
  <c r="D936" i="10"/>
  <c r="C936" i="10"/>
  <c r="D935" i="10"/>
  <c r="C935" i="10"/>
  <c r="D934" i="10"/>
  <c r="C934" i="10"/>
  <c r="D933" i="10"/>
  <c r="C933" i="10"/>
  <c r="D932" i="10"/>
  <c r="C932" i="10"/>
  <c r="D931" i="10"/>
  <c r="C931" i="10"/>
  <c r="D930" i="10"/>
  <c r="C930" i="10"/>
  <c r="D929" i="10"/>
  <c r="C929" i="10"/>
  <c r="D928" i="10"/>
  <c r="C928" i="10"/>
  <c r="D927" i="10"/>
  <c r="C927" i="10"/>
  <c r="D926" i="10"/>
  <c r="C926" i="10"/>
  <c r="D925" i="10"/>
  <c r="C925" i="10"/>
  <c r="D924" i="10"/>
  <c r="C924" i="10"/>
  <c r="D923" i="10"/>
  <c r="C923" i="10"/>
  <c r="D922" i="10"/>
  <c r="C922" i="10"/>
  <c r="D921" i="10"/>
  <c r="C921" i="10"/>
  <c r="D920" i="10"/>
  <c r="C920" i="10"/>
  <c r="D919" i="10"/>
  <c r="C919" i="10"/>
  <c r="D918" i="10"/>
  <c r="C918" i="10"/>
  <c r="D917" i="10"/>
  <c r="C917" i="10"/>
  <c r="D916" i="10"/>
  <c r="C916" i="10"/>
  <c r="D915" i="10"/>
  <c r="C915" i="10"/>
  <c r="D914" i="10"/>
  <c r="C914" i="10"/>
  <c r="D913" i="10"/>
  <c r="C913" i="10"/>
  <c r="D912" i="10"/>
  <c r="C912" i="10"/>
  <c r="D911" i="10"/>
  <c r="C911" i="10"/>
  <c r="D910" i="10"/>
  <c r="C910" i="10"/>
  <c r="D909" i="10"/>
  <c r="C909" i="10"/>
  <c r="D908" i="10"/>
  <c r="C908" i="10"/>
  <c r="D907" i="10"/>
  <c r="C907" i="10"/>
  <c r="D906" i="10"/>
  <c r="C906" i="10"/>
  <c r="D905" i="10"/>
  <c r="C905" i="10"/>
  <c r="D904" i="10"/>
  <c r="C904" i="10"/>
  <c r="D903" i="10"/>
  <c r="C903" i="10"/>
  <c r="D902" i="10"/>
  <c r="C902" i="10"/>
  <c r="D901" i="10"/>
  <c r="C901" i="10"/>
  <c r="D900" i="10"/>
  <c r="C900" i="10"/>
  <c r="D899" i="10"/>
  <c r="C899" i="10"/>
  <c r="D898" i="10"/>
  <c r="C898" i="10"/>
  <c r="D897" i="10"/>
  <c r="C897" i="10"/>
  <c r="D896" i="10"/>
  <c r="C896" i="10"/>
  <c r="D895" i="10"/>
  <c r="C895" i="10"/>
  <c r="D894" i="10"/>
  <c r="C894" i="10"/>
  <c r="D893" i="10"/>
  <c r="C893" i="10"/>
  <c r="D892" i="10"/>
  <c r="C892" i="10"/>
  <c r="D891" i="10"/>
  <c r="C891" i="10"/>
  <c r="D890" i="10"/>
  <c r="C890" i="10"/>
  <c r="D889" i="10"/>
  <c r="C889" i="10"/>
  <c r="D888" i="10"/>
  <c r="C888" i="10"/>
  <c r="D887" i="10"/>
  <c r="C887" i="10"/>
  <c r="D886" i="10"/>
  <c r="C886" i="10"/>
  <c r="D885" i="10"/>
  <c r="C885" i="10"/>
  <c r="D884" i="10"/>
  <c r="C884" i="10"/>
  <c r="D883" i="10"/>
  <c r="C883" i="10"/>
  <c r="D882" i="10"/>
  <c r="C882" i="10"/>
  <c r="D881" i="10"/>
  <c r="C881" i="10"/>
  <c r="D880" i="10"/>
  <c r="C880" i="10"/>
  <c r="D879" i="10"/>
  <c r="C879" i="10"/>
  <c r="D878" i="10"/>
  <c r="C878" i="10"/>
  <c r="D877" i="10"/>
  <c r="C877" i="10"/>
  <c r="D876" i="10"/>
  <c r="C876" i="10"/>
  <c r="D875" i="10"/>
  <c r="C875" i="10"/>
  <c r="D874" i="10"/>
  <c r="C874" i="10"/>
  <c r="D873" i="10"/>
  <c r="C873" i="10"/>
  <c r="D872" i="10"/>
  <c r="C872" i="10"/>
  <c r="D871" i="10"/>
  <c r="C871" i="10"/>
  <c r="D870" i="10"/>
  <c r="C870" i="10"/>
  <c r="D869" i="10"/>
  <c r="C869" i="10"/>
  <c r="D868" i="10"/>
  <c r="C868" i="10"/>
  <c r="D867" i="10"/>
  <c r="C867" i="10"/>
  <c r="D866" i="10"/>
  <c r="C866" i="10"/>
  <c r="D865" i="10"/>
  <c r="C865" i="10"/>
  <c r="D864" i="10"/>
  <c r="C864" i="10"/>
  <c r="D863" i="10"/>
  <c r="C863" i="10"/>
  <c r="D862" i="10"/>
  <c r="C862" i="10"/>
  <c r="D861" i="10"/>
  <c r="C861" i="10"/>
  <c r="D860" i="10"/>
  <c r="C860" i="10"/>
  <c r="D859" i="10"/>
  <c r="C859" i="10"/>
  <c r="D858" i="10"/>
  <c r="C858" i="10"/>
  <c r="D857" i="10"/>
  <c r="C857" i="10"/>
  <c r="D856" i="10"/>
  <c r="C856" i="10"/>
  <c r="D855" i="10"/>
  <c r="C855" i="10"/>
  <c r="D854" i="10"/>
  <c r="C854" i="10"/>
  <c r="D853" i="10"/>
  <c r="C853" i="10"/>
  <c r="D852" i="10"/>
  <c r="C852" i="10"/>
  <c r="D851" i="10"/>
  <c r="C851" i="10"/>
  <c r="D850" i="10"/>
  <c r="C850" i="10"/>
  <c r="D849" i="10"/>
  <c r="C849" i="10"/>
  <c r="D848" i="10"/>
  <c r="C848" i="10"/>
  <c r="D847" i="10"/>
  <c r="C847" i="10"/>
  <c r="D846" i="10"/>
  <c r="C846" i="10"/>
  <c r="D845" i="10"/>
  <c r="C845" i="10"/>
  <c r="D844" i="10"/>
  <c r="C844" i="10"/>
  <c r="D843" i="10"/>
  <c r="C843" i="10"/>
  <c r="D842" i="10"/>
  <c r="C842" i="10"/>
  <c r="D841" i="10"/>
  <c r="C841" i="10"/>
  <c r="D840" i="10"/>
  <c r="C840" i="10"/>
  <c r="D839" i="10"/>
  <c r="C839" i="10"/>
  <c r="D838" i="10"/>
  <c r="C838" i="10"/>
  <c r="D837" i="10"/>
  <c r="C837" i="10"/>
  <c r="D836" i="10"/>
  <c r="C836" i="10"/>
  <c r="D835" i="10"/>
  <c r="C835" i="10"/>
  <c r="D834" i="10"/>
  <c r="C834" i="10"/>
  <c r="D833" i="10"/>
  <c r="C833" i="10"/>
  <c r="D832" i="10"/>
  <c r="C832" i="10"/>
  <c r="D831" i="10"/>
  <c r="C831" i="10"/>
  <c r="D830" i="10"/>
  <c r="C830" i="10"/>
  <c r="D829" i="10"/>
  <c r="C829" i="10"/>
  <c r="D828" i="10"/>
  <c r="C828" i="10"/>
  <c r="D827" i="10"/>
  <c r="C827" i="10"/>
  <c r="D826" i="10"/>
  <c r="C826" i="10"/>
  <c r="D825" i="10"/>
  <c r="C825" i="10"/>
  <c r="D824" i="10"/>
  <c r="C824" i="10"/>
  <c r="D823" i="10"/>
  <c r="C823" i="10"/>
  <c r="D822" i="10"/>
  <c r="C822" i="10"/>
  <c r="D821" i="10"/>
  <c r="C821" i="10"/>
  <c r="D820" i="10"/>
  <c r="C820" i="10"/>
  <c r="D819" i="10"/>
  <c r="C819" i="10"/>
  <c r="D818" i="10"/>
  <c r="C818" i="10"/>
  <c r="D817" i="10"/>
  <c r="C817" i="10"/>
  <c r="D816" i="10"/>
  <c r="C816" i="10"/>
  <c r="D815" i="10"/>
  <c r="C815" i="10"/>
  <c r="D814" i="10"/>
  <c r="C814" i="10"/>
  <c r="D813" i="10"/>
  <c r="C813" i="10"/>
  <c r="D812" i="10"/>
  <c r="C812" i="10"/>
  <c r="D811" i="10"/>
  <c r="C811" i="10"/>
  <c r="D810" i="10"/>
  <c r="C810" i="10"/>
  <c r="D809" i="10"/>
  <c r="C809" i="10"/>
  <c r="D808" i="10"/>
  <c r="C808" i="10"/>
  <c r="D807" i="10"/>
  <c r="C807" i="10"/>
  <c r="D806" i="10"/>
  <c r="C806" i="10"/>
  <c r="D805" i="10"/>
  <c r="C805" i="10"/>
  <c r="D804" i="10"/>
  <c r="C804" i="10"/>
  <c r="D803" i="10"/>
  <c r="C803" i="10"/>
  <c r="D802" i="10"/>
  <c r="C802" i="10"/>
  <c r="D801" i="10"/>
  <c r="C801" i="10"/>
  <c r="D800" i="10"/>
  <c r="C800" i="10"/>
  <c r="D799" i="10"/>
  <c r="C799" i="10"/>
  <c r="D798" i="10"/>
  <c r="C798" i="10"/>
  <c r="D797" i="10"/>
  <c r="C797" i="10"/>
  <c r="D796" i="10"/>
  <c r="C796" i="10"/>
  <c r="D795" i="10"/>
  <c r="C795" i="10"/>
  <c r="D794" i="10"/>
  <c r="C794" i="10"/>
  <c r="D793" i="10"/>
  <c r="C793" i="10"/>
  <c r="D792" i="10"/>
  <c r="C792" i="10"/>
  <c r="D791" i="10"/>
  <c r="C791" i="10"/>
  <c r="D790" i="10"/>
  <c r="C790" i="10"/>
  <c r="D789" i="10"/>
  <c r="C789" i="10"/>
  <c r="D788" i="10"/>
  <c r="C788" i="10"/>
  <c r="D787" i="10"/>
  <c r="C787" i="10"/>
  <c r="D786" i="10"/>
  <c r="C786" i="10"/>
  <c r="D785" i="10"/>
  <c r="C785" i="10"/>
  <c r="D784" i="10"/>
  <c r="C784" i="10"/>
  <c r="D783" i="10"/>
  <c r="C783" i="10"/>
  <c r="D782" i="10"/>
  <c r="C782" i="10"/>
  <c r="D781" i="10"/>
  <c r="C781" i="10"/>
  <c r="D780" i="10"/>
  <c r="C780" i="10"/>
  <c r="D779" i="10"/>
  <c r="C779" i="10"/>
  <c r="D778" i="10"/>
  <c r="C778" i="10"/>
  <c r="D777" i="10"/>
  <c r="C777" i="10"/>
  <c r="D776" i="10"/>
  <c r="C776" i="10"/>
  <c r="D775" i="10"/>
  <c r="C775" i="10"/>
  <c r="D774" i="10"/>
  <c r="C774" i="10"/>
  <c r="D773" i="10"/>
  <c r="C773" i="10"/>
  <c r="D772" i="10"/>
  <c r="C772" i="10"/>
  <c r="D771" i="10"/>
  <c r="C771" i="10"/>
  <c r="D770" i="10"/>
  <c r="C770" i="10"/>
  <c r="D769" i="10"/>
  <c r="C769" i="10"/>
  <c r="D768" i="10"/>
  <c r="C768" i="10"/>
  <c r="D767" i="10"/>
  <c r="C767" i="10"/>
  <c r="D766" i="10"/>
  <c r="C766" i="10"/>
  <c r="D765" i="10"/>
  <c r="C765" i="10"/>
  <c r="D764" i="10"/>
  <c r="C764" i="10"/>
  <c r="D763" i="10"/>
  <c r="C763" i="10"/>
  <c r="D762" i="10"/>
  <c r="C762" i="10"/>
  <c r="D761" i="10"/>
  <c r="C761" i="10"/>
  <c r="D760" i="10"/>
  <c r="C760" i="10"/>
  <c r="D759" i="10"/>
  <c r="C759" i="10"/>
  <c r="D758" i="10"/>
  <c r="C758" i="10"/>
  <c r="D757" i="10"/>
  <c r="C757" i="10"/>
  <c r="D756" i="10"/>
  <c r="C756" i="10"/>
  <c r="D755" i="10"/>
  <c r="C755" i="10"/>
  <c r="D754" i="10"/>
  <c r="C754" i="10"/>
  <c r="D753" i="10"/>
  <c r="C753" i="10"/>
  <c r="D752" i="10"/>
  <c r="C752" i="10"/>
  <c r="D751" i="10"/>
  <c r="C751" i="10"/>
  <c r="D750" i="10"/>
  <c r="C750" i="10"/>
  <c r="D749" i="10"/>
  <c r="C749" i="10"/>
  <c r="D748" i="10"/>
  <c r="C748" i="10"/>
  <c r="D747" i="10"/>
  <c r="C747" i="10"/>
  <c r="D746" i="10"/>
  <c r="C746" i="10"/>
  <c r="D745" i="10"/>
  <c r="C745" i="10"/>
  <c r="D744" i="10"/>
  <c r="C744" i="10"/>
  <c r="D743" i="10"/>
  <c r="C743" i="10"/>
  <c r="D742" i="10"/>
  <c r="C742" i="10"/>
  <c r="D741" i="10"/>
  <c r="C741" i="10"/>
  <c r="D740" i="10"/>
  <c r="C740" i="10"/>
  <c r="D739" i="10"/>
  <c r="C739" i="10"/>
  <c r="D738" i="10"/>
  <c r="C738" i="10"/>
  <c r="D737" i="10"/>
  <c r="C737" i="10"/>
  <c r="D736" i="10"/>
  <c r="C736" i="10"/>
  <c r="D735" i="10"/>
  <c r="C735" i="10"/>
  <c r="D734" i="10"/>
  <c r="C734" i="10"/>
  <c r="D733" i="10"/>
  <c r="C733" i="10"/>
  <c r="D732" i="10"/>
  <c r="C732" i="10"/>
  <c r="D731" i="10"/>
  <c r="C731" i="10"/>
  <c r="D730" i="10"/>
  <c r="C730" i="10"/>
  <c r="D729" i="10"/>
  <c r="C729" i="10"/>
  <c r="D728" i="10"/>
  <c r="C728" i="10"/>
  <c r="D727" i="10"/>
  <c r="C727" i="10"/>
  <c r="D726" i="10"/>
  <c r="C726" i="10"/>
  <c r="D725" i="10"/>
  <c r="C725" i="10"/>
  <c r="D724" i="10"/>
  <c r="C724" i="10"/>
  <c r="D723" i="10"/>
  <c r="C723" i="10"/>
  <c r="D722" i="10"/>
  <c r="C722" i="10"/>
  <c r="D721" i="10"/>
  <c r="C721" i="10"/>
  <c r="D720" i="10"/>
  <c r="C720" i="10"/>
  <c r="D719" i="10"/>
  <c r="C719" i="10"/>
  <c r="D718" i="10"/>
  <c r="C718" i="10"/>
  <c r="D717" i="10"/>
  <c r="C717" i="10"/>
  <c r="D716" i="10"/>
  <c r="C716" i="10"/>
  <c r="D715" i="10"/>
  <c r="C715" i="10"/>
  <c r="D714" i="10"/>
  <c r="C714" i="10"/>
  <c r="D713" i="10"/>
  <c r="C713" i="10"/>
  <c r="D712" i="10"/>
  <c r="C712" i="10"/>
  <c r="D711" i="10"/>
  <c r="C711" i="10"/>
  <c r="D710" i="10"/>
  <c r="C710" i="10"/>
  <c r="D709" i="10"/>
  <c r="C709" i="10"/>
  <c r="D708" i="10"/>
  <c r="C708" i="10"/>
  <c r="D707" i="10"/>
  <c r="C707" i="10"/>
  <c r="D706" i="10"/>
  <c r="C706" i="10"/>
  <c r="D705" i="10"/>
  <c r="C705" i="10"/>
  <c r="D704" i="10"/>
  <c r="C704" i="10"/>
  <c r="D703" i="10"/>
  <c r="C703" i="10"/>
  <c r="D702" i="10"/>
  <c r="C702" i="10"/>
  <c r="D701" i="10"/>
  <c r="C701" i="10"/>
  <c r="D700" i="10"/>
  <c r="C700" i="10"/>
  <c r="D699" i="10"/>
  <c r="C699" i="10"/>
  <c r="D698" i="10"/>
  <c r="C698" i="10"/>
  <c r="D697" i="10"/>
  <c r="C697" i="10"/>
  <c r="D696" i="10"/>
  <c r="C696" i="10"/>
  <c r="D695" i="10"/>
  <c r="C695" i="10"/>
  <c r="D694" i="10"/>
  <c r="C694" i="10"/>
  <c r="D693" i="10"/>
  <c r="C693" i="10"/>
  <c r="D692" i="10"/>
  <c r="C692" i="10"/>
  <c r="D691" i="10"/>
  <c r="C691" i="10"/>
  <c r="D690" i="10"/>
  <c r="C690" i="10"/>
  <c r="D689" i="10"/>
  <c r="C689" i="10"/>
  <c r="D688" i="10"/>
  <c r="C688" i="10"/>
  <c r="D687" i="10"/>
  <c r="C687" i="10"/>
  <c r="D686" i="10"/>
  <c r="C686" i="10"/>
  <c r="D685" i="10"/>
  <c r="C685" i="10"/>
  <c r="D684" i="10"/>
  <c r="C684" i="10"/>
  <c r="D683" i="10"/>
  <c r="C683" i="10"/>
  <c r="D682" i="10"/>
  <c r="C682" i="10"/>
  <c r="D681" i="10"/>
  <c r="C681" i="10"/>
  <c r="D680" i="10"/>
  <c r="C680" i="10"/>
  <c r="D679" i="10"/>
  <c r="C679" i="10"/>
  <c r="D678" i="10"/>
  <c r="C678" i="10"/>
  <c r="D677" i="10"/>
  <c r="C677" i="10"/>
  <c r="D676" i="10"/>
  <c r="C676" i="10"/>
  <c r="D675" i="10"/>
  <c r="C675" i="10"/>
  <c r="D674" i="10"/>
  <c r="C674" i="10"/>
  <c r="D673" i="10"/>
  <c r="C673" i="10"/>
  <c r="D672" i="10"/>
  <c r="C672" i="10"/>
  <c r="D671" i="10"/>
  <c r="C671" i="10"/>
  <c r="D670" i="10"/>
  <c r="C670" i="10"/>
  <c r="D669" i="10"/>
  <c r="C669" i="10"/>
  <c r="D668" i="10"/>
  <c r="C668" i="10"/>
  <c r="D667" i="10"/>
  <c r="C667" i="10"/>
  <c r="D666" i="10"/>
  <c r="C666" i="10"/>
  <c r="D665" i="10"/>
  <c r="C665" i="10"/>
  <c r="D664" i="10"/>
  <c r="C664" i="10"/>
  <c r="D663" i="10"/>
  <c r="C663" i="10"/>
  <c r="D662" i="10"/>
  <c r="C662" i="10"/>
  <c r="D661" i="10"/>
  <c r="C661" i="10"/>
  <c r="D660" i="10"/>
  <c r="C660" i="10"/>
  <c r="D659" i="10"/>
  <c r="C659" i="10"/>
  <c r="D658" i="10"/>
  <c r="C658" i="10"/>
  <c r="D657" i="10"/>
  <c r="C657" i="10"/>
  <c r="D656" i="10"/>
  <c r="C656" i="10"/>
  <c r="D655" i="10"/>
  <c r="C655" i="10"/>
  <c r="D654" i="10"/>
  <c r="C654" i="10"/>
  <c r="D653" i="10"/>
  <c r="C653" i="10"/>
  <c r="D652" i="10"/>
  <c r="C652" i="10"/>
  <c r="D651" i="10"/>
  <c r="C651" i="10"/>
  <c r="D650" i="10"/>
  <c r="C650" i="10"/>
  <c r="D649" i="10"/>
  <c r="C649" i="10"/>
  <c r="D648" i="10"/>
  <c r="C648" i="10"/>
  <c r="D647" i="10"/>
  <c r="C647" i="10"/>
  <c r="D646" i="10"/>
  <c r="C646" i="10"/>
  <c r="D645" i="10"/>
  <c r="C645" i="10"/>
  <c r="D644" i="10"/>
  <c r="C644" i="10"/>
  <c r="D643" i="10"/>
  <c r="C643" i="10"/>
  <c r="D642" i="10"/>
  <c r="C642" i="10"/>
  <c r="D641" i="10"/>
  <c r="C641" i="10"/>
  <c r="D640" i="10"/>
  <c r="C640" i="10"/>
  <c r="D639" i="10"/>
  <c r="C639" i="10"/>
  <c r="D638" i="10"/>
  <c r="C638" i="10"/>
  <c r="D637" i="10"/>
  <c r="C637" i="10"/>
  <c r="D636" i="10"/>
  <c r="C636" i="10"/>
  <c r="D635" i="10"/>
  <c r="C635" i="10"/>
  <c r="D634" i="10"/>
  <c r="C634" i="10"/>
  <c r="D633" i="10"/>
  <c r="C633" i="10"/>
  <c r="D632" i="10"/>
  <c r="C632" i="10"/>
  <c r="D631" i="10"/>
  <c r="C631" i="10"/>
  <c r="D630" i="10"/>
  <c r="C630" i="10"/>
  <c r="D629" i="10"/>
  <c r="C629" i="10"/>
  <c r="D628" i="10"/>
  <c r="C628" i="10"/>
  <c r="D627" i="10"/>
  <c r="C627" i="10"/>
  <c r="D626" i="10"/>
  <c r="C626" i="10"/>
  <c r="D625" i="10"/>
  <c r="C625" i="10"/>
  <c r="D624" i="10"/>
  <c r="C624" i="10"/>
  <c r="D623" i="10"/>
  <c r="C623" i="10"/>
  <c r="D622" i="10"/>
  <c r="C622" i="10"/>
  <c r="D621" i="10"/>
  <c r="C621" i="10"/>
  <c r="D620" i="10"/>
  <c r="C620" i="10"/>
  <c r="D619" i="10"/>
  <c r="C619" i="10"/>
  <c r="D618" i="10"/>
  <c r="C618" i="10"/>
  <c r="D617" i="10"/>
  <c r="C617" i="10"/>
  <c r="D616" i="10"/>
  <c r="C616" i="10"/>
  <c r="D615" i="10"/>
  <c r="C615" i="10"/>
  <c r="D614" i="10"/>
  <c r="C614" i="10"/>
  <c r="D613" i="10"/>
  <c r="C613" i="10"/>
  <c r="D612" i="10"/>
  <c r="C612" i="10"/>
  <c r="D611" i="10"/>
  <c r="C611" i="10"/>
  <c r="D610" i="10"/>
  <c r="C610" i="10"/>
  <c r="D609" i="10"/>
  <c r="C609" i="10"/>
  <c r="D608" i="10"/>
  <c r="C608" i="10"/>
  <c r="D607" i="10"/>
  <c r="C607" i="10"/>
  <c r="D606" i="10"/>
  <c r="C606" i="10"/>
  <c r="D605" i="10"/>
  <c r="C605" i="10"/>
  <c r="D604" i="10"/>
  <c r="C604" i="10"/>
  <c r="D603" i="10"/>
  <c r="C603" i="10"/>
  <c r="D602" i="10"/>
  <c r="C602" i="10"/>
  <c r="D601" i="10"/>
  <c r="C601" i="10"/>
  <c r="D600" i="10"/>
  <c r="C600" i="10"/>
  <c r="D599" i="10"/>
  <c r="C599" i="10"/>
  <c r="D598" i="10"/>
  <c r="C598" i="10"/>
  <c r="D597" i="10"/>
  <c r="C597" i="10"/>
  <c r="D596" i="10"/>
  <c r="C596" i="10"/>
  <c r="D595" i="10"/>
  <c r="C595" i="10"/>
  <c r="D594" i="10"/>
  <c r="C594" i="10"/>
  <c r="D593" i="10"/>
  <c r="C593" i="10"/>
  <c r="D592" i="10"/>
  <c r="C592" i="10"/>
  <c r="D591" i="10"/>
  <c r="C591" i="10"/>
  <c r="D590" i="10"/>
  <c r="C590" i="10"/>
  <c r="D589" i="10"/>
  <c r="C589" i="10"/>
  <c r="D588" i="10"/>
  <c r="C588" i="10"/>
  <c r="D587" i="10"/>
  <c r="C587" i="10"/>
  <c r="D586" i="10"/>
  <c r="C586" i="10"/>
  <c r="D585" i="10"/>
  <c r="C585" i="10"/>
  <c r="D584" i="10"/>
  <c r="C584" i="10"/>
  <c r="D583" i="10"/>
  <c r="C583" i="10"/>
  <c r="D582" i="10"/>
  <c r="C582" i="10"/>
  <c r="D581" i="10"/>
  <c r="C581" i="10"/>
  <c r="D580" i="10"/>
  <c r="C580" i="10"/>
  <c r="D579" i="10"/>
  <c r="C579" i="10"/>
  <c r="D578" i="10"/>
  <c r="C578" i="10"/>
  <c r="D577" i="10"/>
  <c r="C577" i="10"/>
  <c r="D576" i="10"/>
  <c r="C576" i="10"/>
  <c r="D575" i="10"/>
  <c r="C575" i="10"/>
  <c r="D574" i="10"/>
  <c r="C574" i="10"/>
  <c r="D573" i="10"/>
  <c r="C573" i="10"/>
  <c r="D572" i="10"/>
  <c r="C572" i="10"/>
  <c r="D571" i="10"/>
  <c r="C571" i="10"/>
  <c r="D570" i="10"/>
  <c r="C570" i="10"/>
  <c r="D569" i="10"/>
  <c r="C569" i="10"/>
  <c r="D568" i="10"/>
  <c r="C568" i="10"/>
  <c r="D567" i="10"/>
  <c r="C567" i="10"/>
  <c r="D566" i="10"/>
  <c r="C566" i="10"/>
  <c r="D565" i="10"/>
  <c r="C565" i="10"/>
  <c r="D564" i="10"/>
  <c r="C564" i="10"/>
  <c r="D563" i="10"/>
  <c r="C563" i="10"/>
  <c r="D562" i="10"/>
  <c r="C562" i="10"/>
  <c r="D561" i="10"/>
  <c r="C561" i="10"/>
  <c r="D560" i="10"/>
  <c r="C560" i="10"/>
  <c r="D559" i="10"/>
  <c r="C559" i="10"/>
  <c r="D558" i="10"/>
  <c r="C558" i="10"/>
  <c r="D557" i="10"/>
  <c r="C557" i="10"/>
  <c r="D556" i="10"/>
  <c r="C556" i="10"/>
  <c r="D555" i="10"/>
  <c r="C555" i="10"/>
  <c r="D554" i="10"/>
  <c r="C554" i="10"/>
  <c r="D553" i="10"/>
  <c r="C553" i="10"/>
  <c r="D552" i="10"/>
  <c r="C552" i="10"/>
  <c r="D551" i="10"/>
  <c r="C551" i="10"/>
  <c r="D550" i="10"/>
  <c r="C550" i="10"/>
  <c r="D549" i="10"/>
  <c r="C549" i="10"/>
  <c r="D548" i="10"/>
  <c r="C548" i="10"/>
  <c r="D547" i="10"/>
  <c r="C547" i="10"/>
  <c r="D546" i="10"/>
  <c r="C546" i="10"/>
  <c r="D545" i="10"/>
  <c r="C545" i="10"/>
  <c r="D544" i="10"/>
  <c r="C544" i="10"/>
  <c r="D543" i="10"/>
  <c r="C543" i="10"/>
  <c r="D542" i="10"/>
  <c r="C542" i="10"/>
  <c r="D541" i="10"/>
  <c r="C541" i="10"/>
  <c r="D540" i="10"/>
  <c r="C540" i="10"/>
  <c r="D539" i="10"/>
  <c r="C539" i="10"/>
  <c r="D538" i="10"/>
  <c r="C538" i="10"/>
  <c r="D537" i="10"/>
  <c r="C537" i="10"/>
  <c r="D536" i="10"/>
  <c r="C536" i="10"/>
  <c r="D535" i="10"/>
  <c r="C535" i="10"/>
  <c r="D534" i="10"/>
  <c r="C534" i="10"/>
  <c r="D533" i="10"/>
  <c r="C533" i="10"/>
  <c r="D532" i="10"/>
  <c r="C532" i="10"/>
  <c r="D531" i="10"/>
  <c r="C531" i="10"/>
  <c r="D530" i="10"/>
  <c r="C530" i="10"/>
  <c r="D529" i="10"/>
  <c r="C529" i="10"/>
  <c r="D528" i="10"/>
  <c r="C528" i="10"/>
  <c r="D527" i="10"/>
  <c r="C527" i="10"/>
  <c r="D526" i="10"/>
  <c r="C526" i="10"/>
  <c r="D525" i="10"/>
  <c r="C525" i="10"/>
  <c r="D524" i="10"/>
  <c r="C524" i="10"/>
  <c r="D523" i="10"/>
  <c r="C523" i="10"/>
  <c r="D522" i="10"/>
  <c r="C522" i="10"/>
  <c r="D521" i="10"/>
  <c r="C521" i="10"/>
  <c r="D520" i="10"/>
  <c r="C520" i="10"/>
  <c r="D519" i="10"/>
  <c r="C519" i="10"/>
  <c r="D518" i="10"/>
  <c r="C518" i="10"/>
  <c r="D517" i="10"/>
  <c r="C517" i="10"/>
  <c r="D516" i="10"/>
  <c r="C516" i="10"/>
  <c r="D515" i="10"/>
  <c r="C515" i="10"/>
  <c r="D514" i="10"/>
  <c r="C514" i="10"/>
  <c r="D513" i="10"/>
  <c r="C513" i="10"/>
  <c r="D512" i="10"/>
  <c r="C512" i="10"/>
  <c r="D511" i="10"/>
  <c r="C511" i="10"/>
  <c r="D510" i="10"/>
  <c r="C510" i="10"/>
  <c r="D509" i="10"/>
  <c r="C509" i="10"/>
  <c r="D508" i="10"/>
  <c r="C508" i="10"/>
  <c r="D507" i="10"/>
  <c r="C507" i="10"/>
  <c r="D506" i="10"/>
  <c r="C506" i="10"/>
  <c r="D505" i="10"/>
  <c r="C505" i="10"/>
  <c r="D504" i="10"/>
  <c r="C504" i="10"/>
  <c r="D503" i="10"/>
  <c r="C503" i="10"/>
  <c r="D502" i="10"/>
  <c r="C502" i="10"/>
  <c r="D501" i="10"/>
  <c r="C501" i="10"/>
  <c r="D500" i="10"/>
  <c r="C500" i="10"/>
  <c r="D499" i="10"/>
  <c r="C499" i="10"/>
  <c r="D498" i="10"/>
  <c r="C498" i="10"/>
  <c r="D497" i="10"/>
  <c r="C497" i="10"/>
  <c r="D496" i="10"/>
  <c r="C496" i="10"/>
  <c r="D495" i="10"/>
  <c r="C495" i="10"/>
  <c r="D494" i="10"/>
  <c r="C494" i="10"/>
  <c r="D493" i="10"/>
  <c r="C493" i="10"/>
  <c r="D492" i="10"/>
  <c r="C492" i="10"/>
  <c r="D491" i="10"/>
  <c r="C491" i="10"/>
  <c r="D490" i="10"/>
  <c r="C490" i="10"/>
  <c r="D489" i="10"/>
  <c r="C489" i="10"/>
  <c r="D488" i="10"/>
  <c r="C488" i="10"/>
  <c r="D487" i="10"/>
  <c r="C487" i="10"/>
  <c r="D486" i="10"/>
  <c r="C486" i="10"/>
  <c r="D485" i="10"/>
  <c r="C485" i="10"/>
  <c r="D484" i="10"/>
  <c r="C484" i="10"/>
  <c r="D483" i="10"/>
  <c r="C483" i="10"/>
  <c r="D482" i="10"/>
  <c r="C482" i="10"/>
  <c r="D481" i="10"/>
  <c r="C481" i="10"/>
  <c r="D480" i="10"/>
  <c r="C480" i="10"/>
  <c r="D479" i="10"/>
  <c r="C479" i="10"/>
  <c r="D478" i="10"/>
  <c r="C478" i="10"/>
  <c r="D477" i="10"/>
  <c r="C477" i="10"/>
  <c r="D476" i="10"/>
  <c r="C476" i="10"/>
  <c r="D475" i="10"/>
  <c r="C475" i="10"/>
  <c r="D474" i="10"/>
  <c r="C474" i="10"/>
  <c r="D473" i="10"/>
  <c r="C473" i="10"/>
  <c r="D472" i="10"/>
  <c r="C472" i="10"/>
  <c r="D471" i="10"/>
  <c r="C471" i="10"/>
  <c r="D470" i="10"/>
  <c r="C470" i="10"/>
  <c r="D469" i="10"/>
  <c r="C469" i="10"/>
  <c r="D468" i="10"/>
  <c r="C468" i="10"/>
  <c r="D467" i="10"/>
  <c r="C467" i="10"/>
  <c r="D466" i="10"/>
  <c r="C466" i="10"/>
  <c r="D465" i="10"/>
  <c r="C465" i="10"/>
  <c r="D464" i="10"/>
  <c r="C464" i="10"/>
  <c r="D463" i="10"/>
  <c r="C463" i="10"/>
  <c r="D462" i="10"/>
  <c r="C462" i="10"/>
  <c r="D461" i="10"/>
  <c r="C461" i="10"/>
  <c r="D460" i="10"/>
  <c r="C460" i="10"/>
  <c r="D459" i="10"/>
  <c r="C459" i="10"/>
  <c r="D458" i="10"/>
  <c r="C458" i="10"/>
  <c r="D457" i="10"/>
  <c r="C457" i="10"/>
  <c r="D456" i="10"/>
  <c r="C456" i="10"/>
  <c r="D455" i="10"/>
  <c r="C455" i="10"/>
  <c r="D454" i="10"/>
  <c r="C454" i="10"/>
  <c r="D453" i="10"/>
  <c r="C453" i="10"/>
  <c r="D452" i="10"/>
  <c r="C452" i="10"/>
  <c r="D451" i="10"/>
  <c r="C451" i="10"/>
  <c r="D450" i="10"/>
  <c r="C450" i="10"/>
  <c r="D449" i="10"/>
  <c r="C449" i="10"/>
  <c r="D448" i="10"/>
  <c r="C448" i="10"/>
  <c r="D447" i="10"/>
  <c r="C447" i="10"/>
  <c r="D446" i="10"/>
  <c r="C446" i="10"/>
  <c r="D445" i="10"/>
  <c r="C445" i="10"/>
  <c r="D444" i="10"/>
  <c r="C444" i="10"/>
  <c r="D443" i="10"/>
  <c r="C443" i="10"/>
  <c r="D442" i="10"/>
  <c r="C442" i="10"/>
  <c r="D441" i="10"/>
  <c r="C441" i="10"/>
  <c r="D440" i="10"/>
  <c r="C440" i="10"/>
  <c r="D439" i="10"/>
  <c r="C439" i="10"/>
  <c r="D438" i="10"/>
  <c r="C438" i="10"/>
  <c r="D437" i="10"/>
  <c r="C437" i="10"/>
  <c r="D436" i="10"/>
  <c r="C436" i="10"/>
  <c r="D435" i="10"/>
  <c r="C435" i="10"/>
  <c r="D434" i="10"/>
  <c r="C434" i="10"/>
  <c r="D433" i="10"/>
  <c r="C433" i="10"/>
  <c r="D432" i="10"/>
  <c r="C432" i="10"/>
  <c r="D431" i="10"/>
  <c r="C431" i="10"/>
  <c r="D430" i="10"/>
  <c r="C430" i="10"/>
  <c r="D429" i="10"/>
  <c r="C429" i="10"/>
  <c r="D428" i="10"/>
  <c r="C428" i="10"/>
  <c r="D427" i="10"/>
  <c r="C427" i="10"/>
  <c r="D426" i="10"/>
  <c r="C426" i="10"/>
  <c r="D425" i="10"/>
  <c r="C425" i="10"/>
  <c r="D424" i="10"/>
  <c r="C424" i="10"/>
  <c r="D423" i="10"/>
  <c r="C423" i="10"/>
  <c r="D422" i="10"/>
  <c r="C422" i="10"/>
  <c r="D421" i="10"/>
  <c r="C421" i="10"/>
  <c r="D420" i="10"/>
  <c r="C420" i="10"/>
  <c r="D419" i="10"/>
  <c r="C419" i="10"/>
  <c r="D418" i="10"/>
  <c r="C418" i="10"/>
  <c r="D417" i="10"/>
  <c r="C417" i="10"/>
  <c r="D416" i="10"/>
  <c r="C416" i="10"/>
  <c r="D415" i="10"/>
  <c r="C415" i="10"/>
  <c r="D414" i="10"/>
  <c r="C414" i="10"/>
  <c r="D413" i="10"/>
  <c r="C413" i="10"/>
  <c r="D412" i="10"/>
  <c r="C412" i="10"/>
  <c r="D411" i="10"/>
  <c r="C411" i="10"/>
  <c r="D410" i="10"/>
  <c r="C410" i="10"/>
  <c r="D409" i="10"/>
  <c r="C409" i="10"/>
  <c r="D408" i="10"/>
  <c r="C408" i="10"/>
  <c r="D407" i="10"/>
  <c r="C407" i="10"/>
  <c r="D406" i="10"/>
  <c r="C406" i="10"/>
  <c r="D405" i="10"/>
  <c r="C405" i="10"/>
  <c r="D404" i="10"/>
  <c r="C404" i="10"/>
  <c r="D403" i="10"/>
  <c r="C403" i="10"/>
  <c r="D402" i="10"/>
  <c r="C402" i="10"/>
  <c r="D401" i="10"/>
  <c r="C401" i="10"/>
  <c r="D400" i="10"/>
  <c r="C400" i="10"/>
  <c r="D399" i="10"/>
  <c r="C399" i="10"/>
  <c r="D398" i="10"/>
  <c r="C398" i="10"/>
  <c r="D397" i="10"/>
  <c r="C397" i="10"/>
  <c r="D396" i="10"/>
  <c r="C396" i="10"/>
  <c r="D395" i="10"/>
  <c r="C395" i="10"/>
  <c r="D394" i="10"/>
  <c r="C394" i="10"/>
  <c r="D393" i="10"/>
  <c r="C393" i="10"/>
  <c r="D392" i="10"/>
  <c r="C392" i="10"/>
  <c r="D391" i="10"/>
  <c r="C391" i="10"/>
  <c r="D390" i="10"/>
  <c r="C390" i="10"/>
  <c r="D389" i="10"/>
  <c r="C389" i="10"/>
  <c r="D388" i="10"/>
  <c r="C388" i="10"/>
  <c r="D387" i="10"/>
  <c r="C387" i="10"/>
  <c r="D386" i="10"/>
  <c r="C386" i="10"/>
  <c r="D385" i="10"/>
  <c r="C385" i="10"/>
  <c r="D384" i="10"/>
  <c r="C384" i="10"/>
  <c r="D383" i="10"/>
  <c r="C383" i="10"/>
  <c r="D382" i="10"/>
  <c r="C382" i="10"/>
  <c r="D381" i="10"/>
  <c r="C381" i="10"/>
  <c r="D380" i="10"/>
  <c r="C380" i="10"/>
  <c r="D379" i="10"/>
  <c r="C379" i="10"/>
  <c r="D378" i="10"/>
  <c r="C378" i="10"/>
  <c r="D377" i="10"/>
  <c r="C377" i="10"/>
  <c r="D376" i="10"/>
  <c r="C376" i="10"/>
  <c r="D375" i="10"/>
  <c r="C375" i="10"/>
  <c r="D374" i="10"/>
  <c r="C374" i="10"/>
  <c r="D373" i="10"/>
  <c r="C373" i="10"/>
  <c r="D372" i="10"/>
  <c r="C372" i="10"/>
  <c r="D371" i="10"/>
  <c r="C371" i="10"/>
  <c r="D370" i="10"/>
  <c r="C370" i="10"/>
  <c r="D369" i="10"/>
  <c r="C369" i="10"/>
  <c r="D368" i="10"/>
  <c r="C368" i="10"/>
  <c r="D367" i="10"/>
  <c r="C367" i="10"/>
  <c r="D366" i="10"/>
  <c r="C366" i="10"/>
  <c r="D365" i="10"/>
  <c r="C365" i="10"/>
  <c r="D364" i="10"/>
  <c r="C364" i="10"/>
  <c r="D363" i="10"/>
  <c r="C363" i="10"/>
  <c r="D362" i="10"/>
  <c r="C362" i="10"/>
  <c r="D361" i="10"/>
  <c r="C361" i="10"/>
  <c r="D360" i="10"/>
  <c r="C360" i="10"/>
  <c r="D359" i="10"/>
  <c r="C359" i="10"/>
  <c r="D358" i="10"/>
  <c r="C358" i="10"/>
  <c r="D357" i="10"/>
  <c r="C357" i="10"/>
  <c r="D356" i="10"/>
  <c r="C356" i="10"/>
  <c r="D355" i="10"/>
  <c r="C355" i="10"/>
  <c r="D354" i="10"/>
  <c r="C354" i="10"/>
  <c r="D353" i="10"/>
  <c r="C353" i="10"/>
  <c r="D352" i="10"/>
  <c r="C352" i="10"/>
  <c r="D351" i="10"/>
  <c r="C351" i="10"/>
  <c r="D350" i="10"/>
  <c r="C350" i="10"/>
  <c r="D349" i="10"/>
  <c r="C349" i="10"/>
  <c r="D348" i="10"/>
  <c r="C348" i="10"/>
  <c r="D347" i="10"/>
  <c r="C347" i="10"/>
  <c r="D346" i="10"/>
  <c r="C346" i="10"/>
  <c r="D345" i="10"/>
  <c r="C345" i="10"/>
  <c r="D344" i="10"/>
  <c r="C344" i="10"/>
  <c r="D343" i="10"/>
  <c r="C343" i="10"/>
  <c r="D342" i="10"/>
  <c r="C342" i="10"/>
  <c r="D341" i="10"/>
  <c r="C341" i="10"/>
  <c r="D340" i="10"/>
  <c r="C340" i="10"/>
  <c r="D339" i="10"/>
  <c r="C339" i="10"/>
  <c r="D338" i="10"/>
  <c r="C338" i="10"/>
  <c r="D337" i="10"/>
  <c r="C337" i="10"/>
  <c r="D336" i="10"/>
  <c r="C336" i="10"/>
  <c r="D335" i="10"/>
  <c r="C335" i="10"/>
  <c r="D334" i="10"/>
  <c r="C334" i="10"/>
  <c r="D333" i="10"/>
  <c r="C333" i="10"/>
  <c r="D332" i="10"/>
  <c r="C332" i="10"/>
  <c r="D331" i="10"/>
  <c r="C331" i="10"/>
  <c r="D330" i="10"/>
  <c r="C330" i="10"/>
  <c r="D329" i="10"/>
  <c r="C329" i="10"/>
  <c r="D328" i="10"/>
  <c r="C328" i="10"/>
  <c r="D327" i="10"/>
  <c r="C327" i="10"/>
  <c r="D326" i="10"/>
  <c r="C326" i="10"/>
  <c r="D325" i="10"/>
  <c r="C325" i="10"/>
  <c r="D324" i="10"/>
  <c r="C324" i="10"/>
  <c r="D323" i="10"/>
  <c r="C323" i="10"/>
  <c r="D322" i="10"/>
  <c r="C322" i="10"/>
  <c r="D321" i="10"/>
  <c r="C321" i="10"/>
  <c r="D320" i="10"/>
  <c r="C320" i="10"/>
  <c r="D319" i="10"/>
  <c r="C319" i="10"/>
  <c r="D318" i="10"/>
  <c r="C318" i="10"/>
  <c r="D317" i="10"/>
  <c r="C317" i="10"/>
  <c r="D316" i="10"/>
  <c r="C316" i="10"/>
  <c r="D315" i="10"/>
  <c r="C315" i="10"/>
  <c r="D314" i="10"/>
  <c r="C314" i="10"/>
  <c r="D313" i="10"/>
  <c r="C313" i="10"/>
  <c r="D312" i="10"/>
  <c r="C312" i="10"/>
  <c r="D311" i="10"/>
  <c r="C311" i="10"/>
  <c r="D310" i="10"/>
  <c r="C310" i="10"/>
  <c r="D309" i="10"/>
  <c r="C309" i="10"/>
  <c r="D308" i="10"/>
  <c r="C308" i="10"/>
  <c r="D307" i="10"/>
  <c r="C307" i="10"/>
  <c r="D306" i="10"/>
  <c r="C306" i="10"/>
  <c r="D305" i="10"/>
  <c r="C305" i="10"/>
  <c r="D304" i="10"/>
  <c r="C304" i="10"/>
  <c r="D303" i="10"/>
  <c r="C303" i="10"/>
  <c r="D302" i="10"/>
  <c r="C302" i="10"/>
  <c r="D301" i="10"/>
  <c r="C301" i="10"/>
  <c r="D300" i="10"/>
  <c r="C300" i="10"/>
  <c r="D299" i="10"/>
  <c r="C299" i="10"/>
  <c r="D298" i="10"/>
  <c r="C298" i="10"/>
  <c r="D297" i="10"/>
  <c r="C297" i="10"/>
  <c r="D296" i="10"/>
  <c r="C296" i="10"/>
  <c r="D295" i="10"/>
  <c r="C295" i="10"/>
  <c r="D294" i="10"/>
  <c r="C294" i="10"/>
  <c r="D293" i="10"/>
  <c r="C293" i="10"/>
  <c r="D292" i="10"/>
  <c r="C292" i="10"/>
  <c r="D291" i="10"/>
  <c r="C291" i="10"/>
  <c r="D290" i="10"/>
  <c r="C290" i="10"/>
  <c r="D289" i="10"/>
  <c r="C289" i="10"/>
  <c r="D288" i="10"/>
  <c r="C288" i="10"/>
  <c r="D287" i="10"/>
  <c r="C287" i="10"/>
  <c r="D286" i="10"/>
  <c r="C286" i="10"/>
  <c r="D285" i="10"/>
  <c r="C285" i="10"/>
  <c r="D284" i="10"/>
  <c r="C284" i="10"/>
  <c r="D283" i="10"/>
  <c r="C283" i="10"/>
  <c r="D282" i="10"/>
  <c r="C282" i="10"/>
  <c r="D281" i="10"/>
  <c r="C281" i="10"/>
  <c r="D280" i="10"/>
  <c r="C280" i="10"/>
  <c r="D279" i="10"/>
  <c r="C279" i="10"/>
  <c r="D278" i="10"/>
  <c r="C278" i="10"/>
  <c r="D277" i="10"/>
  <c r="C277" i="10"/>
  <c r="D276" i="10"/>
  <c r="C276" i="10"/>
  <c r="D275" i="10"/>
  <c r="C275" i="10"/>
  <c r="D274" i="10"/>
  <c r="C274" i="10"/>
  <c r="D273" i="10"/>
  <c r="C273" i="10"/>
  <c r="D272" i="10"/>
  <c r="C272" i="10"/>
  <c r="D271" i="10"/>
  <c r="C271" i="10"/>
  <c r="D270" i="10"/>
  <c r="C270" i="10"/>
  <c r="D269" i="10"/>
  <c r="C269" i="10"/>
  <c r="D268" i="10"/>
  <c r="C268" i="10"/>
  <c r="D267" i="10"/>
  <c r="C267" i="10"/>
  <c r="D266" i="10"/>
  <c r="C266" i="10"/>
  <c r="D265" i="10"/>
  <c r="C265" i="10"/>
  <c r="D264" i="10"/>
  <c r="C264" i="10"/>
  <c r="D263" i="10"/>
  <c r="C263" i="10"/>
  <c r="D262" i="10"/>
  <c r="C262" i="10"/>
  <c r="D261" i="10"/>
  <c r="C261" i="10"/>
  <c r="D260" i="10"/>
  <c r="C260" i="10"/>
  <c r="D259" i="10"/>
  <c r="C259" i="10"/>
  <c r="D258" i="10"/>
  <c r="C258" i="10"/>
  <c r="D257" i="10"/>
  <c r="C257" i="10"/>
  <c r="D256" i="10"/>
  <c r="C256" i="10"/>
  <c r="D255" i="10"/>
  <c r="C255" i="10"/>
  <c r="D254" i="10"/>
  <c r="C254" i="10"/>
  <c r="D253" i="10"/>
  <c r="C253" i="10"/>
  <c r="D252" i="10"/>
  <c r="C252" i="10"/>
  <c r="D251" i="10"/>
  <c r="C251" i="10"/>
  <c r="D250" i="10"/>
  <c r="C250" i="10"/>
  <c r="D249" i="10"/>
  <c r="C249" i="10"/>
  <c r="D248" i="10"/>
  <c r="C248" i="10"/>
  <c r="D247" i="10"/>
  <c r="C247" i="10"/>
  <c r="D246" i="10"/>
  <c r="C246" i="10"/>
  <c r="D245" i="10"/>
  <c r="C245" i="10"/>
  <c r="D244" i="10"/>
  <c r="C244" i="10"/>
  <c r="D243" i="10"/>
  <c r="C243" i="10"/>
  <c r="D242" i="10"/>
  <c r="C242" i="10"/>
  <c r="D241" i="10"/>
  <c r="C241" i="10"/>
  <c r="D240" i="10"/>
  <c r="C240" i="10"/>
  <c r="D239" i="10"/>
  <c r="C239" i="10"/>
  <c r="D238" i="10"/>
  <c r="C238" i="10"/>
  <c r="D237" i="10"/>
  <c r="C237" i="10"/>
  <c r="D236" i="10"/>
  <c r="C236" i="10"/>
  <c r="D235" i="10"/>
  <c r="C235" i="10"/>
  <c r="D234" i="10"/>
  <c r="C234" i="10"/>
  <c r="D233" i="10"/>
  <c r="C233" i="10"/>
  <c r="D232" i="10"/>
  <c r="C232" i="10"/>
  <c r="D231" i="10"/>
  <c r="C231" i="10"/>
  <c r="D230" i="10"/>
  <c r="C230" i="10"/>
  <c r="D229" i="10"/>
  <c r="C229" i="10"/>
  <c r="D228" i="10"/>
  <c r="C228" i="10"/>
  <c r="D227" i="10"/>
  <c r="C227" i="10"/>
  <c r="D226" i="10"/>
  <c r="C226" i="10"/>
  <c r="D225" i="10"/>
  <c r="C225" i="10"/>
  <c r="D224" i="10"/>
  <c r="C224" i="10"/>
  <c r="D223" i="10"/>
  <c r="C223" i="10"/>
  <c r="D222" i="10"/>
  <c r="C222" i="10"/>
  <c r="D221" i="10"/>
  <c r="C221" i="10"/>
  <c r="D220" i="10"/>
  <c r="C220" i="10"/>
  <c r="D219" i="10"/>
  <c r="C219" i="10"/>
  <c r="D218" i="10"/>
  <c r="C218" i="10"/>
  <c r="D217" i="10"/>
  <c r="C217" i="10"/>
  <c r="D216" i="10"/>
  <c r="C216" i="10"/>
  <c r="D215" i="10"/>
  <c r="C215" i="10"/>
  <c r="D214" i="10"/>
  <c r="C214" i="10"/>
  <c r="D213" i="10"/>
  <c r="C213" i="10"/>
  <c r="D212" i="10"/>
  <c r="C212" i="10"/>
  <c r="D211" i="10"/>
  <c r="C211" i="10"/>
  <c r="D210" i="10"/>
  <c r="C210" i="10"/>
  <c r="D209" i="10"/>
  <c r="C209" i="10"/>
  <c r="D208" i="10"/>
  <c r="C208" i="10"/>
  <c r="D207" i="10"/>
  <c r="C207" i="10"/>
  <c r="D206" i="10"/>
  <c r="C206" i="10"/>
  <c r="D205" i="10"/>
  <c r="C205" i="10"/>
  <c r="D204" i="10"/>
  <c r="C204" i="10"/>
  <c r="D203" i="10"/>
  <c r="C203" i="10"/>
  <c r="D202" i="10"/>
  <c r="C202" i="10"/>
  <c r="D201" i="10"/>
  <c r="C201" i="10"/>
  <c r="D200" i="10"/>
  <c r="C200" i="10"/>
  <c r="D199" i="10"/>
  <c r="C199" i="10"/>
  <c r="D198" i="10"/>
  <c r="C198" i="10"/>
  <c r="D197" i="10"/>
  <c r="C197" i="10"/>
  <c r="D196" i="10"/>
  <c r="C196" i="10"/>
  <c r="D195" i="10"/>
  <c r="C195" i="10"/>
  <c r="D194" i="10"/>
  <c r="C194" i="10"/>
  <c r="D193" i="10"/>
  <c r="C193" i="10"/>
  <c r="D192" i="10"/>
  <c r="C192" i="10"/>
  <c r="D191" i="10"/>
  <c r="C191" i="10"/>
  <c r="D190" i="10"/>
  <c r="C190" i="10"/>
  <c r="D189" i="10"/>
  <c r="C189" i="10"/>
  <c r="D188" i="10"/>
  <c r="C188" i="10"/>
  <c r="D187" i="10"/>
  <c r="C187" i="10"/>
  <c r="D186" i="10"/>
  <c r="C186" i="10"/>
  <c r="D185" i="10"/>
  <c r="C185" i="10"/>
  <c r="D184" i="10"/>
  <c r="C184" i="10"/>
  <c r="D183" i="10"/>
  <c r="C183" i="10"/>
  <c r="D182" i="10"/>
  <c r="C182" i="10"/>
  <c r="D181" i="10"/>
  <c r="C181" i="10"/>
  <c r="D180" i="10"/>
  <c r="C180" i="10"/>
  <c r="D179" i="10"/>
  <c r="C179" i="10"/>
  <c r="D178" i="10"/>
  <c r="C178" i="10"/>
  <c r="D177" i="10"/>
  <c r="C177" i="10"/>
  <c r="D176" i="10"/>
  <c r="C176" i="10"/>
  <c r="D175" i="10"/>
  <c r="C175" i="10"/>
  <c r="D174" i="10"/>
  <c r="C174" i="10"/>
  <c r="D173" i="10"/>
  <c r="C173" i="10"/>
  <c r="D172" i="10"/>
  <c r="C172" i="10"/>
  <c r="D171" i="10"/>
  <c r="C171" i="10"/>
  <c r="D170" i="10"/>
  <c r="C170" i="10"/>
  <c r="D169" i="10"/>
  <c r="C169" i="10"/>
  <c r="D168" i="10"/>
  <c r="C168" i="10"/>
  <c r="D167" i="10"/>
  <c r="C167" i="10"/>
  <c r="D166" i="10"/>
  <c r="C166" i="10"/>
  <c r="D165" i="10"/>
  <c r="C165" i="10"/>
  <c r="D164" i="10"/>
  <c r="C164" i="10"/>
  <c r="D163" i="10"/>
  <c r="C163" i="10"/>
  <c r="D162" i="10"/>
  <c r="C162" i="10"/>
  <c r="D161" i="10"/>
  <c r="C161" i="10"/>
  <c r="D160" i="10"/>
  <c r="C160" i="10"/>
  <c r="D159" i="10"/>
  <c r="C159" i="10"/>
  <c r="D158" i="10"/>
  <c r="C158" i="10"/>
  <c r="D157" i="10"/>
  <c r="C157" i="10"/>
  <c r="D156" i="10"/>
  <c r="C156" i="10"/>
  <c r="D155" i="10"/>
  <c r="C155" i="10"/>
  <c r="D154" i="10"/>
  <c r="C154" i="10"/>
  <c r="D153" i="10"/>
  <c r="C153" i="10"/>
  <c r="D152" i="10"/>
  <c r="C152" i="10"/>
  <c r="D151" i="10"/>
  <c r="C151" i="10"/>
  <c r="D150" i="10"/>
  <c r="C150" i="10"/>
  <c r="D149" i="10"/>
  <c r="C149" i="10"/>
  <c r="D148" i="10"/>
  <c r="C148" i="10"/>
  <c r="D147" i="10"/>
  <c r="C147" i="10"/>
  <c r="D146" i="10"/>
  <c r="C146" i="10"/>
  <c r="D145" i="10"/>
  <c r="C145" i="10"/>
  <c r="D144" i="10"/>
  <c r="C144" i="10"/>
  <c r="D143" i="10"/>
  <c r="C143" i="10"/>
  <c r="D142" i="10"/>
  <c r="C142" i="10"/>
  <c r="D141" i="10"/>
  <c r="C141" i="10"/>
  <c r="D140" i="10"/>
  <c r="C140" i="10"/>
  <c r="D139" i="10"/>
  <c r="C139" i="10"/>
  <c r="D138" i="10"/>
  <c r="C138" i="10"/>
  <c r="D137" i="10"/>
  <c r="C137" i="10"/>
  <c r="D136" i="10"/>
  <c r="C136" i="10"/>
  <c r="D135" i="10"/>
  <c r="C135" i="10"/>
  <c r="D134" i="10"/>
  <c r="C134" i="10"/>
  <c r="D133" i="10"/>
  <c r="C133" i="10"/>
  <c r="D132" i="10"/>
  <c r="C132" i="10"/>
  <c r="D131" i="10"/>
  <c r="C131" i="10"/>
  <c r="D130" i="10"/>
  <c r="C130" i="10"/>
  <c r="D129" i="10"/>
  <c r="C129" i="10"/>
  <c r="D128" i="10"/>
  <c r="C128" i="10"/>
  <c r="D127" i="10"/>
  <c r="C127" i="10"/>
  <c r="D126" i="10"/>
  <c r="C126" i="10"/>
  <c r="D125" i="10"/>
  <c r="C125" i="10"/>
  <c r="D124" i="10"/>
  <c r="C124" i="10"/>
  <c r="D123" i="10"/>
  <c r="C123" i="10"/>
  <c r="D122" i="10"/>
  <c r="C122" i="10"/>
  <c r="D121" i="10"/>
  <c r="C121" i="10"/>
  <c r="D120" i="10"/>
  <c r="C120" i="10"/>
  <c r="D119" i="10"/>
  <c r="C119" i="10"/>
  <c r="D118" i="10"/>
  <c r="C118" i="10"/>
  <c r="D117" i="10"/>
  <c r="C117" i="10"/>
  <c r="D116" i="10"/>
  <c r="C116" i="10"/>
  <c r="D115" i="10"/>
  <c r="C115" i="10"/>
  <c r="D114" i="10"/>
  <c r="C114" i="10"/>
  <c r="D113" i="10"/>
  <c r="C113" i="10"/>
  <c r="D112" i="10"/>
  <c r="C112" i="10"/>
  <c r="D111" i="10"/>
  <c r="C111" i="10"/>
  <c r="D110" i="10"/>
  <c r="C110" i="10"/>
  <c r="D109" i="10"/>
  <c r="C109" i="10"/>
  <c r="D108" i="10"/>
  <c r="C108" i="10"/>
  <c r="D107" i="10"/>
  <c r="C107" i="10"/>
  <c r="D106" i="10"/>
  <c r="C106" i="10"/>
  <c r="D105" i="10"/>
  <c r="C105" i="10"/>
  <c r="D104" i="10"/>
  <c r="C104" i="10"/>
  <c r="D103" i="10"/>
  <c r="C103" i="10"/>
  <c r="D102" i="10"/>
  <c r="C102" i="10"/>
  <c r="D101" i="10"/>
  <c r="C101" i="10"/>
  <c r="D100" i="10"/>
  <c r="C100" i="10"/>
  <c r="D99" i="10"/>
  <c r="C99" i="10"/>
  <c r="D98" i="10"/>
  <c r="C98" i="10"/>
  <c r="D97" i="10"/>
  <c r="C97" i="10"/>
  <c r="D96" i="10"/>
  <c r="C96" i="10"/>
  <c r="D95" i="10"/>
  <c r="C95" i="10"/>
  <c r="D94" i="10"/>
  <c r="C94" i="10"/>
  <c r="D93" i="10"/>
  <c r="C93" i="10"/>
  <c r="D92" i="10"/>
  <c r="C92" i="10"/>
  <c r="D91" i="10"/>
  <c r="C91" i="10"/>
  <c r="D90" i="10"/>
  <c r="C90" i="10"/>
  <c r="D89" i="10"/>
  <c r="C89" i="10"/>
  <c r="D88" i="10"/>
  <c r="C88" i="10"/>
  <c r="D87" i="10"/>
  <c r="C87" i="10"/>
  <c r="D86" i="10"/>
  <c r="C86" i="10"/>
  <c r="D85" i="10"/>
  <c r="C85" i="10"/>
  <c r="D84" i="10"/>
  <c r="C84" i="10"/>
  <c r="D83" i="10"/>
  <c r="C83" i="10"/>
  <c r="D82" i="10"/>
  <c r="C82" i="10"/>
  <c r="D81" i="10"/>
  <c r="C81" i="10"/>
  <c r="D80" i="10"/>
  <c r="C80" i="10"/>
  <c r="D79" i="10"/>
  <c r="C79" i="10"/>
  <c r="D78" i="10"/>
  <c r="C78" i="10"/>
  <c r="D77" i="10"/>
  <c r="C77" i="10"/>
  <c r="D76" i="10"/>
  <c r="C76" i="10"/>
  <c r="D75" i="10"/>
  <c r="C75" i="10"/>
  <c r="D74" i="10"/>
  <c r="C74" i="10"/>
  <c r="D73" i="10"/>
  <c r="C73" i="10"/>
  <c r="D72" i="10"/>
  <c r="C72" i="10"/>
  <c r="D71" i="10"/>
  <c r="C71" i="10"/>
  <c r="D70" i="10"/>
  <c r="C70" i="10"/>
  <c r="D69" i="10"/>
  <c r="C69" i="10"/>
  <c r="D68" i="10"/>
  <c r="C68" i="10"/>
  <c r="D67" i="10"/>
  <c r="C67" i="10"/>
  <c r="D66" i="10"/>
  <c r="C66" i="10"/>
  <c r="D65" i="10"/>
  <c r="C65" i="10"/>
  <c r="D64" i="10"/>
  <c r="C64" i="10"/>
  <c r="D63" i="10"/>
  <c r="C63" i="10"/>
  <c r="D62" i="10"/>
  <c r="C62" i="10"/>
  <c r="D61" i="10"/>
  <c r="C61" i="10"/>
  <c r="D60" i="10"/>
  <c r="C60" i="10"/>
  <c r="D59" i="10"/>
  <c r="C59" i="10"/>
  <c r="D58" i="10"/>
  <c r="C58" i="10"/>
  <c r="D57" i="10"/>
  <c r="C57" i="10"/>
  <c r="D56" i="10"/>
  <c r="C56" i="10"/>
  <c r="F1" i="6"/>
  <c r="C2" i="6"/>
  <c r="D2" i="6"/>
  <c r="C3" i="6"/>
  <c r="D3" i="6"/>
  <c r="C4" i="6"/>
  <c r="D4" i="6"/>
  <c r="C5" i="6"/>
  <c r="D5" i="6"/>
  <c r="C6" i="6"/>
  <c r="D6" i="6"/>
  <c r="C7" i="6"/>
  <c r="D7" i="6"/>
  <c r="C8" i="6"/>
  <c r="D8" i="6"/>
  <c r="C9" i="6"/>
  <c r="D9" i="6"/>
  <c r="C10" i="6"/>
  <c r="D10" i="6"/>
  <c r="C11" i="6"/>
  <c r="D11" i="6"/>
  <c r="C12" i="6"/>
  <c r="D12" i="6"/>
  <c r="C13" i="6"/>
  <c r="D13" i="6"/>
  <c r="C14" i="6"/>
  <c r="D14" i="6"/>
  <c r="C15" i="6"/>
  <c r="D15" i="6"/>
  <c r="C16" i="6"/>
  <c r="D16" i="6"/>
  <c r="C17" i="6"/>
  <c r="D17" i="6"/>
  <c r="C18" i="6"/>
  <c r="D18" i="6"/>
  <c r="C19" i="6"/>
  <c r="D19" i="6"/>
  <c r="C20" i="6"/>
  <c r="D20" i="6"/>
  <c r="C21" i="6"/>
  <c r="D21" i="6"/>
  <c r="C22" i="6"/>
  <c r="D22" i="6"/>
  <c r="C23" i="6"/>
  <c r="D23" i="6"/>
  <c r="C24" i="6"/>
  <c r="D24" i="6"/>
  <c r="C25" i="6"/>
  <c r="D25" i="6"/>
  <c r="C26" i="6"/>
  <c r="D26" i="6"/>
  <c r="C27" i="6"/>
  <c r="D27" i="6"/>
  <c r="C28" i="6"/>
  <c r="D28" i="6"/>
  <c r="C29" i="6"/>
  <c r="D29" i="6"/>
  <c r="C30" i="6"/>
  <c r="D30" i="6"/>
  <c r="C31" i="6"/>
  <c r="D31" i="6"/>
  <c r="C32" i="6"/>
  <c r="D32" i="6"/>
  <c r="C33" i="6"/>
  <c r="D33" i="6"/>
  <c r="C34" i="6"/>
  <c r="D34" i="6"/>
  <c r="C35" i="6"/>
  <c r="D35" i="6"/>
  <c r="C36" i="6"/>
  <c r="D36" i="6"/>
  <c r="D1" i="6"/>
  <c r="C1" i="6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K1" i="6" l="1"/>
  <c r="L1" i="6" s="1"/>
  <c r="M1" i="6"/>
  <c r="J1" i="6"/>
  <c r="P1" i="6"/>
  <c r="Q1" i="6" s="1"/>
  <c r="B6" i="21"/>
  <c r="B7" i="21" s="1"/>
  <c r="B11" i="21" s="1"/>
  <c r="P1" i="15"/>
  <c r="R1" i="11"/>
  <c r="Z1" i="11"/>
  <c r="P1" i="3"/>
  <c r="A6" i="6"/>
  <c r="A7" i="25" s="1"/>
  <c r="E7" i="25" s="1"/>
  <c r="F7" i="25" s="1"/>
  <c r="A23" i="6"/>
  <c r="A24" i="25" s="1"/>
  <c r="E24" i="25" s="1"/>
  <c r="F24" i="25" s="1"/>
  <c r="A2" i="6"/>
  <c r="A3" i="25" s="1"/>
  <c r="E3" i="25" s="1"/>
  <c r="F3" i="25" s="1"/>
  <c r="A30" i="6"/>
  <c r="A31" i="25" s="1"/>
  <c r="E31" i="25" s="1"/>
  <c r="F31" i="25" s="1"/>
  <c r="A22" i="6"/>
  <c r="A23" i="25" s="1"/>
  <c r="E23" i="25" s="1"/>
  <c r="F23" i="25" s="1"/>
  <c r="A17" i="6"/>
  <c r="A18" i="25" s="1"/>
  <c r="E18" i="25" s="1"/>
  <c r="F18" i="25" s="1"/>
  <c r="A10" i="6"/>
  <c r="A11" i="25" s="1"/>
  <c r="E11" i="25" s="1"/>
  <c r="F11" i="25" s="1"/>
  <c r="A35" i="6"/>
  <c r="A36" i="25" s="1"/>
  <c r="E36" i="25" s="1"/>
  <c r="F36" i="25" s="1"/>
  <c r="A15" i="6"/>
  <c r="A16" i="25" s="1"/>
  <c r="E16" i="25" s="1"/>
  <c r="F16" i="25" s="1"/>
  <c r="A34" i="6"/>
  <c r="A35" i="25" s="1"/>
  <c r="E35" i="25" s="1"/>
  <c r="F35" i="25" s="1"/>
  <c r="A14" i="6"/>
  <c r="A15" i="25" s="1"/>
  <c r="E15" i="25" s="1"/>
  <c r="F15" i="25" s="1"/>
  <c r="A27" i="6"/>
  <c r="A28" i="25" s="1"/>
  <c r="E28" i="25" s="1"/>
  <c r="F28" i="25" s="1"/>
  <c r="A9" i="6"/>
  <c r="A10" i="25" s="1"/>
  <c r="E10" i="25" s="1"/>
  <c r="F10" i="25" s="1"/>
  <c r="A26" i="6"/>
  <c r="A27" i="25" s="1"/>
  <c r="E27" i="25" s="1"/>
  <c r="F27" i="25" s="1"/>
  <c r="A3" i="6"/>
  <c r="A4" i="25" s="1"/>
  <c r="E4" i="25" s="1"/>
  <c r="A1" i="6"/>
  <c r="A25" i="6"/>
  <c r="A26" i="25" s="1"/>
  <c r="E26" i="25" s="1"/>
  <c r="F26" i="25" s="1"/>
  <c r="A11" i="6"/>
  <c r="A12" i="25" s="1"/>
  <c r="E12" i="25" s="1"/>
  <c r="F12" i="25" s="1"/>
  <c r="A33" i="6"/>
  <c r="A34" i="25" s="1"/>
  <c r="E34" i="25" s="1"/>
  <c r="F34" i="25" s="1"/>
  <c r="A19" i="6"/>
  <c r="A20" i="25" s="1"/>
  <c r="E20" i="25" s="1"/>
  <c r="F20" i="25" s="1"/>
  <c r="A7" i="6"/>
  <c r="A8" i="25" s="1"/>
  <c r="E8" i="25" s="1"/>
  <c r="F8" i="25" s="1"/>
  <c r="A31" i="6"/>
  <c r="A32" i="25" s="1"/>
  <c r="E32" i="25" s="1"/>
  <c r="F32" i="25" s="1"/>
  <c r="A18" i="6"/>
  <c r="A19" i="25" s="1"/>
  <c r="E19" i="25" s="1"/>
  <c r="F19" i="25" s="1"/>
  <c r="A32" i="6"/>
  <c r="A33" i="25" s="1"/>
  <c r="E33" i="25" s="1"/>
  <c r="F33" i="25" s="1"/>
  <c r="A24" i="6"/>
  <c r="A25" i="25" s="1"/>
  <c r="E25" i="25" s="1"/>
  <c r="F25" i="25" s="1"/>
  <c r="A16" i="6"/>
  <c r="A17" i="25" s="1"/>
  <c r="E17" i="25" s="1"/>
  <c r="F17" i="25" s="1"/>
  <c r="A8" i="6"/>
  <c r="A9" i="25" s="1"/>
  <c r="E9" i="25" s="1"/>
  <c r="F9" i="25" s="1"/>
  <c r="A29" i="6"/>
  <c r="A30" i="25" s="1"/>
  <c r="E30" i="25" s="1"/>
  <c r="F30" i="25" s="1"/>
  <c r="A21" i="6"/>
  <c r="A22" i="25" s="1"/>
  <c r="E22" i="25" s="1"/>
  <c r="F22" i="25" s="1"/>
  <c r="A13" i="6"/>
  <c r="A14" i="25" s="1"/>
  <c r="E14" i="25" s="1"/>
  <c r="F14" i="25" s="1"/>
  <c r="A5" i="6"/>
  <c r="A6" i="25" s="1"/>
  <c r="E6" i="25" s="1"/>
  <c r="F6" i="25" s="1"/>
  <c r="A36" i="6"/>
  <c r="A37" i="25" s="1"/>
  <c r="E37" i="25" s="1"/>
  <c r="F37" i="25" s="1"/>
  <c r="A28" i="6"/>
  <c r="A29" i="25" s="1"/>
  <c r="E29" i="25" s="1"/>
  <c r="F29" i="25" s="1"/>
  <c r="A20" i="6"/>
  <c r="A21" i="25" s="1"/>
  <c r="E21" i="25" s="1"/>
  <c r="F21" i="25" s="1"/>
  <c r="A12" i="6"/>
  <c r="A13" i="25" s="1"/>
  <c r="E13" i="25" s="1"/>
  <c r="F13" i="25" s="1"/>
  <c r="A4" i="6"/>
  <c r="A5" i="25" s="1"/>
  <c r="E5" i="25" s="1"/>
  <c r="F5" i="25" s="1"/>
  <c r="M1" i="3"/>
  <c r="A2" i="30" l="1"/>
  <c r="F3" i="6"/>
  <c r="J2" i="17" s="1"/>
  <c r="A2" i="25"/>
  <c r="B6" i="25"/>
  <c r="C6" i="25"/>
  <c r="D6" i="25" s="1"/>
  <c r="B32" i="25"/>
  <c r="C32" i="25"/>
  <c r="D32" i="25" s="1"/>
  <c r="B27" i="25"/>
  <c r="C27" i="25"/>
  <c r="D27" i="25" s="1"/>
  <c r="B18" i="25"/>
  <c r="C18" i="25"/>
  <c r="D18" i="25" s="1"/>
  <c r="B22" i="25"/>
  <c r="C22" i="25"/>
  <c r="D22" i="25" s="1"/>
  <c r="B8" i="25"/>
  <c r="C8" i="25"/>
  <c r="D8" i="25" s="1"/>
  <c r="B10" i="25"/>
  <c r="C10" i="25"/>
  <c r="D10" i="25" s="1"/>
  <c r="B23" i="25"/>
  <c r="C23" i="25"/>
  <c r="D23" i="25" s="1"/>
  <c r="B13" i="25"/>
  <c r="C13" i="25"/>
  <c r="D13" i="25" s="1"/>
  <c r="B34" i="25"/>
  <c r="C34" i="25"/>
  <c r="D34" i="25" s="1"/>
  <c r="B3" i="25"/>
  <c r="C3" i="25"/>
  <c r="D3" i="25" s="1"/>
  <c r="B19" i="25"/>
  <c r="C19" i="25"/>
  <c r="D19" i="25" s="1"/>
  <c r="B14" i="25"/>
  <c r="C14" i="25"/>
  <c r="D14" i="25" s="1"/>
  <c r="B30" i="25"/>
  <c r="C30" i="25"/>
  <c r="D30" i="25" s="1"/>
  <c r="B28" i="25"/>
  <c r="C28" i="25"/>
  <c r="D28" i="25" s="1"/>
  <c r="B31" i="25"/>
  <c r="C31" i="25"/>
  <c r="D31" i="25" s="1"/>
  <c r="B9" i="25"/>
  <c r="C9" i="25"/>
  <c r="D9" i="25" s="1"/>
  <c r="B15" i="25"/>
  <c r="C15" i="25"/>
  <c r="D15" i="25" s="1"/>
  <c r="B21" i="25"/>
  <c r="C21" i="25"/>
  <c r="D21" i="25" s="1"/>
  <c r="B17" i="25"/>
  <c r="C17" i="25"/>
  <c r="D17" i="25" s="1"/>
  <c r="B12" i="25"/>
  <c r="C12" i="25"/>
  <c r="D12" i="25" s="1"/>
  <c r="B35" i="25"/>
  <c r="C35" i="25"/>
  <c r="D35" i="25" s="1"/>
  <c r="B24" i="25"/>
  <c r="C24" i="25"/>
  <c r="D24" i="25" s="1"/>
  <c r="B11" i="25"/>
  <c r="C11" i="25"/>
  <c r="D11" i="25" s="1"/>
  <c r="B5" i="25"/>
  <c r="C5" i="25"/>
  <c r="D5" i="25" s="1"/>
  <c r="B20" i="25"/>
  <c r="C20" i="25"/>
  <c r="D20" i="25" s="1"/>
  <c r="B29" i="25"/>
  <c r="C29" i="25"/>
  <c r="D29" i="25" s="1"/>
  <c r="B25" i="25"/>
  <c r="C25" i="25"/>
  <c r="D25" i="25" s="1"/>
  <c r="B26" i="25"/>
  <c r="C26" i="25"/>
  <c r="D26" i="25" s="1"/>
  <c r="B16" i="25"/>
  <c r="C16" i="25"/>
  <c r="D16" i="25" s="1"/>
  <c r="B7" i="25"/>
  <c r="C7" i="25"/>
  <c r="D7" i="25" s="1"/>
  <c r="B4" i="25"/>
  <c r="F4" i="25" s="1"/>
  <c r="C4" i="25"/>
  <c r="B37" i="25"/>
  <c r="C37" i="25"/>
  <c r="D37" i="25" s="1"/>
  <c r="B33" i="25"/>
  <c r="C33" i="25"/>
  <c r="D33" i="25" s="1"/>
  <c r="B36" i="25"/>
  <c r="C36" i="25"/>
  <c r="D36" i="25" s="1"/>
  <c r="E2" i="17"/>
  <c r="B9" i="21"/>
  <c r="B10" i="21" s="1"/>
  <c r="D4" i="25" l="1"/>
  <c r="F2" i="17" s="1"/>
  <c r="G2" i="17" s="1"/>
  <c r="B2" i="25"/>
  <c r="C2" i="25"/>
  <c r="D2" i="25" s="1"/>
  <c r="E2" i="25"/>
  <c r="F2" i="25" s="1"/>
  <c r="T1" i="26" l="1"/>
  <c r="J1" i="17"/>
  <c r="H2" i="17"/>
  <c r="H1" i="17" s="1"/>
  <c r="K1" i="17" l="1"/>
  <c r="L1" i="17" s="1"/>
  <c r="I2" i="17" s="1"/>
</calcChain>
</file>

<file path=xl/sharedStrings.xml><?xml version="1.0" encoding="utf-8"?>
<sst xmlns="http://schemas.openxmlformats.org/spreadsheetml/2006/main" count="185" uniqueCount="39">
  <si>
    <t>ID</t>
  </si>
  <si>
    <t>MARCA</t>
  </si>
  <si>
    <t>PRODUTO</t>
  </si>
  <si>
    <t>PREÇO</t>
  </si>
  <si>
    <t>QTDE.</t>
  </si>
  <si>
    <t>DATA</t>
  </si>
  <si>
    <t>CUSTO TOTAL</t>
  </si>
  <si>
    <t>PERÍODO</t>
  </si>
  <si>
    <t>MÊS</t>
  </si>
  <si>
    <t>ANO</t>
  </si>
  <si>
    <t>MARCAS</t>
  </si>
  <si>
    <t>VALOR TOTAL</t>
  </si>
  <si>
    <t>TOTAL ITENS</t>
  </si>
  <si>
    <t>FORMA PGTO.</t>
  </si>
  <si>
    <t>CLIENTE</t>
  </si>
  <si>
    <t>PREÇO COMPRA</t>
  </si>
  <si>
    <t>CUSTOS</t>
  </si>
  <si>
    <t>LUCRO</t>
  </si>
  <si>
    <t>OBS.:</t>
  </si>
  <si>
    <t>QTDE</t>
  </si>
  <si>
    <t>CUSTO</t>
  </si>
  <si>
    <t>ENTRADA</t>
  </si>
  <si>
    <t>SAÍDA</t>
  </si>
  <si>
    <t>VALOR</t>
  </si>
  <si>
    <t>TOTAL:</t>
  </si>
  <si>
    <t>PERIODO</t>
  </si>
  <si>
    <t>DATA:</t>
  </si>
  <si>
    <t>ANO:</t>
  </si>
  <si>
    <t>MÊS:</t>
  </si>
  <si>
    <t>PERÍODO:</t>
  </si>
  <si>
    <t>PER. CONT.:</t>
  </si>
  <si>
    <t>MÊS + 1:</t>
  </si>
  <si>
    <t>ANO CONT.:</t>
  </si>
  <si>
    <t>TOTAL ENT.:</t>
  </si>
  <si>
    <t>TOTAL COMPRA</t>
  </si>
  <si>
    <t>TOTAL ENTRADAS</t>
  </si>
  <si>
    <t>CUSTO DILUÍDO ENTRADA</t>
  </si>
  <si>
    <t>TOTAL SAIDAS</t>
  </si>
  <si>
    <t>CUSTO DILUÍDO SAIDAS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</si>
</sst>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1" applyFont="1"/>
    <xf numFmtId="14" fontId="0" fillId="0" borderId="0" xfId="0" applyNumberFormat="1"/>
    <xf numFmtId="0" fontId="0" fillId="0" borderId="0" xfId="1" applyNumberFormat="1" applyFont="1"/>
    <xf numFmtId="1" fontId="0" fillId="0" borderId="0" xfId="2" applyNumberFormat="1" applyFont="1"/>
    <xf numFmtId="164" fontId="0" fillId="0" borderId="0" xfId="0" applyNumberFormat="1"/>
    <xf numFmtId="166" fontId="0" fillId="0" borderId="0" xfId="3" applyNumberFormat="1" applyFont="1"/>
    <xf numFmtId="22" fontId="0" fillId="0" borderId="0" xfId="0" applyNumberFormat="1"/>
  </cellXfs>
  <cellStyles count="4">
    <cellStyle name="Moeda" xfId="1" builtinId="4"/>
    <cellStyle name="Normal" xfId="0" builtinId="0"/>
    <cellStyle name="Porcentagem" xfId="3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theme" Target="theme/theme1.xml"/><Relationship Id="rId21" Type="http://schemas.openxmlformats.org/officeDocument/2006/relationships/worksheet" Target="worksheets/sheet21.xml"/><Relationship Id="rId42" Type="http://schemas.microsoft.com/office/2017/10/relationships/person" Target="persons/person15.xml"/><Relationship Id="rId47" Type="http://schemas.microsoft.com/office/2017/10/relationships/person" Target="persons/person7.xml"/><Relationship Id="rId63" Type="http://schemas.microsoft.com/office/2017/10/relationships/person" Target="persons/person29.xml"/><Relationship Id="rId68" Type="http://schemas.microsoft.com/office/2017/10/relationships/person" Target="persons/person34.xml"/><Relationship Id="rId84" Type="http://schemas.microsoft.com/office/2017/10/relationships/person" Target="persons/person52.xml"/><Relationship Id="rId89" Type="http://schemas.microsoft.com/office/2017/10/relationships/person" Target="persons/person5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microsoft.com/office/2017/10/relationships/person" Target="persons/person4.xml"/><Relationship Id="rId37" Type="http://schemas.microsoft.com/office/2017/10/relationships/person" Target="persons/person0.xml"/><Relationship Id="rId53" Type="http://schemas.microsoft.com/office/2017/10/relationships/person" Target="persons/person20.xml"/><Relationship Id="rId58" Type="http://schemas.microsoft.com/office/2017/10/relationships/person" Target="persons/person24.xml"/><Relationship Id="rId74" Type="http://schemas.microsoft.com/office/2017/10/relationships/person" Target="persons/person40.xml"/><Relationship Id="rId79" Type="http://schemas.microsoft.com/office/2017/10/relationships/person" Target="persons/person47.xml"/><Relationship Id="rId5" Type="http://schemas.openxmlformats.org/officeDocument/2006/relationships/worksheet" Target="worksheets/sheet5.xml"/><Relationship Id="rId90" Type="http://schemas.microsoft.com/office/2017/10/relationships/person" Target="persons/person58.xml"/><Relationship Id="rId95" Type="http://schemas.microsoft.com/office/2017/10/relationships/person" Target="persons/person63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69" Type="http://schemas.microsoft.com/office/2017/10/relationships/person" Target="persons/person45.xml"/><Relationship Id="rId64" Type="http://schemas.microsoft.com/office/2017/10/relationships/person" Target="persons/person36.xml"/><Relationship Id="rId48" Type="http://schemas.microsoft.com/office/2017/10/relationships/person" Target="persons/person10.xml"/><Relationship Id="rId43" Type="http://schemas.microsoft.com/office/2017/10/relationships/person" Target="persons/person19.xml"/><Relationship Id="rId80" Type="http://schemas.microsoft.com/office/2017/10/relationships/person" Target="persons/person48.xml"/><Relationship Id="rId85" Type="http://schemas.microsoft.com/office/2017/10/relationships/person" Target="persons/person5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67" Type="http://schemas.microsoft.com/office/2017/10/relationships/person" Target="persons/person35.xml"/><Relationship Id="rId59" Type="http://schemas.microsoft.com/office/2017/10/relationships/person" Target="persons/person28.xml"/><Relationship Id="rId46" Type="http://schemas.microsoft.com/office/2017/10/relationships/person" Target="persons/person18.xml"/><Relationship Id="rId33" Type="http://schemas.microsoft.com/office/2017/10/relationships/person" Target="persons/person12.xml"/><Relationship Id="rId38" Type="http://schemas.microsoft.com/office/2017/10/relationships/person" Target="persons/person3.xml"/><Relationship Id="rId20" Type="http://schemas.openxmlformats.org/officeDocument/2006/relationships/worksheet" Target="worksheets/sheet20.xml"/><Relationship Id="rId75" Type="http://schemas.microsoft.com/office/2017/10/relationships/person" Target="persons/person44.xml"/><Relationship Id="rId70" Type="http://schemas.microsoft.com/office/2017/10/relationships/person" Target="persons/person39.xml"/><Relationship Id="rId62" Type="http://schemas.microsoft.com/office/2017/10/relationships/person" Target="persons/person30.xml"/><Relationship Id="rId54" Type="http://schemas.microsoft.com/office/2017/10/relationships/person" Target="persons/person22.xml"/><Relationship Id="rId41" Type="http://schemas.microsoft.com/office/2017/10/relationships/person" Target="persons/person14.xml"/><Relationship Id="rId83" Type="http://schemas.microsoft.com/office/2017/10/relationships/person" Target="persons/person51.xml"/><Relationship Id="rId88" Type="http://schemas.microsoft.com/office/2017/10/relationships/person" Target="persons/person55.xml"/><Relationship Id="rId91" Type="http://schemas.microsoft.com/office/2017/10/relationships/person" Target="persons/person59.xml"/><Relationship Id="rId96" Type="http://schemas.microsoft.com/office/2017/10/relationships/person" Target="persons/person6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57" Type="http://schemas.microsoft.com/office/2017/10/relationships/person" Target="persons/person25.xml"/><Relationship Id="rId49" Type="http://schemas.microsoft.com/office/2017/10/relationships/person" Target="persons/person6.xml"/><Relationship Id="rId36" Type="http://schemas.microsoft.com/office/2017/10/relationships/person" Target="persons/person13.xml"/><Relationship Id="rId10" Type="http://schemas.openxmlformats.org/officeDocument/2006/relationships/worksheet" Target="worksheets/sheet10.xml"/><Relationship Id="rId31" Type="http://schemas.microsoft.com/office/2006/relationships/vbaProject" Target="vbaProject.bin"/><Relationship Id="rId73" Type="http://schemas.microsoft.com/office/2017/10/relationships/person" Target="persons/person38.xml"/><Relationship Id="rId65" Type="http://schemas.microsoft.com/office/2017/10/relationships/person" Target="persons/person33.xml"/><Relationship Id="rId60" Type="http://schemas.microsoft.com/office/2017/10/relationships/person" Target="persons/person27.xml"/><Relationship Id="rId44" Type="http://schemas.microsoft.com/office/2017/10/relationships/person" Target="persons/person8.xml"/><Relationship Id="rId52" Type="http://schemas.microsoft.com/office/2017/10/relationships/person" Target="persons/person5.xml"/><Relationship Id="rId78" Type="http://schemas.microsoft.com/office/2017/10/relationships/person" Target="persons/person46.xml"/><Relationship Id="rId81" Type="http://schemas.microsoft.com/office/2017/10/relationships/person" Target="persons/person49.xml"/><Relationship Id="rId86" Type="http://schemas.microsoft.com/office/2017/10/relationships/person" Target="persons/person54.xml"/><Relationship Id="rId94" Type="http://schemas.microsoft.com/office/2017/10/relationships/person" Target="persons/person62.xml"/><Relationship Id="rId99" Type="http://schemas.microsoft.com/office/2017/10/relationships/person" Target="persons/person6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10/relationships/person" Target="persons/person16.xml"/><Relationship Id="rId76" Type="http://schemas.microsoft.com/office/2017/10/relationships/person" Target="persons/person43.xml"/><Relationship Id="rId34" Type="http://schemas.microsoft.com/office/2017/10/relationships/person" Target="persons/person11.xml"/><Relationship Id="rId50" Type="http://schemas.microsoft.com/office/2017/10/relationships/person" Target="persons/person2.xml"/><Relationship Id="rId55" Type="http://schemas.microsoft.com/office/2017/10/relationships/person" Target="persons/person21.xml"/><Relationship Id="rId97" Type="http://schemas.microsoft.com/office/2017/10/relationships/person" Target="persons/person65.xml"/><Relationship Id="rId7" Type="http://schemas.openxmlformats.org/officeDocument/2006/relationships/worksheet" Target="worksheets/sheet7.xml"/><Relationship Id="rId71" Type="http://schemas.microsoft.com/office/2017/10/relationships/person" Target="persons/person37.xml"/><Relationship Id="rId92" Type="http://schemas.microsoft.com/office/2017/10/relationships/person" Target="persons/person60.xml"/><Relationship Id="rId2" Type="http://schemas.openxmlformats.org/officeDocument/2006/relationships/worksheet" Target="worksheets/sheet2.xml"/><Relationship Id="rId29" Type="http://schemas.microsoft.com/office/2017/10/relationships/person" Target="persons/person.xml"/><Relationship Id="rId24" Type="http://schemas.openxmlformats.org/officeDocument/2006/relationships/worksheet" Target="worksheets/sheet24.xml"/><Relationship Id="rId87" Type="http://schemas.microsoft.com/office/2017/10/relationships/person" Target="persons/person56.xml"/><Relationship Id="rId40" Type="http://schemas.microsoft.com/office/2017/10/relationships/person" Target="persons/person1.xml"/><Relationship Id="rId45" Type="http://schemas.microsoft.com/office/2017/10/relationships/person" Target="persons/person17.xml"/><Relationship Id="rId66" Type="http://schemas.microsoft.com/office/2017/10/relationships/person" Target="persons/person32.xml"/><Relationship Id="rId61" Type="http://schemas.microsoft.com/office/2017/10/relationships/person" Target="persons/person26.xml"/><Relationship Id="rId82" Type="http://schemas.microsoft.com/office/2017/10/relationships/person" Target="persons/person5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calcChain" Target="calcChain.xml"/><Relationship Id="rId100" Type="http://schemas.microsoft.com/office/2017/10/relationships/person" Target="persons/person68.xml"/><Relationship Id="rId56" Type="http://schemas.microsoft.com/office/2017/10/relationships/person" Target="persons/person31.xml"/><Relationship Id="rId35" Type="http://schemas.microsoft.com/office/2017/10/relationships/person" Target="persons/person9.xml"/><Relationship Id="rId77" Type="http://schemas.microsoft.com/office/2017/10/relationships/person" Target="persons/person42.xml"/><Relationship Id="rId8" Type="http://schemas.openxmlformats.org/officeDocument/2006/relationships/worksheet" Target="worksheets/sheet8.xml"/><Relationship Id="rId98" Type="http://schemas.microsoft.com/office/2017/10/relationships/person" Target="persons/person67.xml"/><Relationship Id="rId72" Type="http://schemas.microsoft.com/office/2017/10/relationships/person" Target="persons/person41.xml"/><Relationship Id="rId51" Type="http://schemas.microsoft.com/office/2017/10/relationships/person" Target="persons/person23.xml"/><Relationship Id="rId93" Type="http://schemas.microsoft.com/office/2017/10/relationships/person" Target="persons/person6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persons/person22.xml><?xml version="1.0" encoding="utf-8"?>
<personList xmlns="http://schemas.microsoft.com/office/spreadsheetml/2018/threadedcomments" xmlns:x="http://schemas.openxmlformats.org/spreadsheetml/2006/main"/>
</file>

<file path=xl/persons/person23.xml><?xml version="1.0" encoding="utf-8"?>
<personList xmlns="http://schemas.microsoft.com/office/spreadsheetml/2018/threadedcomments" xmlns:x="http://schemas.openxmlformats.org/spreadsheetml/2006/main"/>
</file>

<file path=xl/persons/person24.xml><?xml version="1.0" encoding="utf-8"?>
<personList xmlns="http://schemas.microsoft.com/office/spreadsheetml/2018/threadedcomments" xmlns:x="http://schemas.openxmlformats.org/spreadsheetml/2006/main"/>
</file>

<file path=xl/persons/person25.xml><?xml version="1.0" encoding="utf-8"?>
<personList xmlns="http://schemas.microsoft.com/office/spreadsheetml/2018/threadedcomments" xmlns:x="http://schemas.openxmlformats.org/spreadsheetml/2006/main"/>
</file>

<file path=xl/persons/person26.xml><?xml version="1.0" encoding="utf-8"?>
<personList xmlns="http://schemas.microsoft.com/office/spreadsheetml/2018/threadedcomments" xmlns:x="http://schemas.openxmlformats.org/spreadsheetml/2006/main"/>
</file>

<file path=xl/persons/person27.xml><?xml version="1.0" encoding="utf-8"?>
<personList xmlns="http://schemas.microsoft.com/office/spreadsheetml/2018/threadedcomments" xmlns:x="http://schemas.openxmlformats.org/spreadsheetml/2006/main"/>
</file>

<file path=xl/persons/person28.xml><?xml version="1.0" encoding="utf-8"?>
<personList xmlns="http://schemas.microsoft.com/office/spreadsheetml/2018/threadedcomments" xmlns:x="http://schemas.openxmlformats.org/spreadsheetml/2006/main"/>
</file>

<file path=xl/persons/person29.xml><?xml version="1.0" encoding="utf-8"?>
<personList xmlns="http://schemas.microsoft.com/office/spreadsheetml/2018/threadedcomments" xmlns:x="http://schemas.openxmlformats.org/spreadsheetml/2006/main"/>
</file>

<file path=xl/persons/person30.xml><?xml version="1.0" encoding="utf-8"?>
<personList xmlns="http://schemas.microsoft.com/office/spreadsheetml/2018/threadedcomments" xmlns:x="http://schemas.openxmlformats.org/spreadsheetml/2006/main"/>
</file>

<file path=xl/persons/person31.xml><?xml version="1.0" encoding="utf-8"?>
<personList xmlns="http://schemas.microsoft.com/office/spreadsheetml/2018/threadedcomments" xmlns:x="http://schemas.openxmlformats.org/spreadsheetml/2006/main"/>
</file>

<file path=xl/persons/person32.xml><?xml version="1.0" encoding="utf-8"?>
<personList xmlns="http://schemas.microsoft.com/office/spreadsheetml/2018/threadedcomments" xmlns:x="http://schemas.openxmlformats.org/spreadsheetml/2006/main"/>
</file>

<file path=xl/persons/person33.xml><?xml version="1.0" encoding="utf-8"?>
<personList xmlns="http://schemas.microsoft.com/office/spreadsheetml/2018/threadedcomments" xmlns:x="http://schemas.openxmlformats.org/spreadsheetml/2006/main"/>
</file>

<file path=xl/persons/person34.xml><?xml version="1.0" encoding="utf-8"?>
<personList xmlns="http://schemas.microsoft.com/office/spreadsheetml/2018/threadedcomments" xmlns:x="http://schemas.openxmlformats.org/spreadsheetml/2006/main"/>
</file>

<file path=xl/persons/person35.xml><?xml version="1.0" encoding="utf-8"?>
<personList xmlns="http://schemas.microsoft.com/office/spreadsheetml/2018/threadedcomments" xmlns:x="http://schemas.openxmlformats.org/spreadsheetml/2006/main"/>
</file>

<file path=xl/persons/person36.xml><?xml version="1.0" encoding="utf-8"?>
<personList xmlns="http://schemas.microsoft.com/office/spreadsheetml/2018/threadedcomments" xmlns:x="http://schemas.openxmlformats.org/spreadsheetml/2006/main"/>
</file>

<file path=xl/persons/person37.xml><?xml version="1.0" encoding="utf-8"?>
<personList xmlns="http://schemas.microsoft.com/office/spreadsheetml/2018/threadedcomments" xmlns:x="http://schemas.openxmlformats.org/spreadsheetml/2006/main"/>
</file>

<file path=xl/persons/person38.xml><?xml version="1.0" encoding="utf-8"?>
<personList xmlns="http://schemas.microsoft.com/office/spreadsheetml/2018/threadedcomments" xmlns:x="http://schemas.openxmlformats.org/spreadsheetml/2006/main"/>
</file>

<file path=xl/persons/person39.xml><?xml version="1.0" encoding="utf-8"?>
<personList xmlns="http://schemas.microsoft.com/office/spreadsheetml/2018/threadedcomments" xmlns:x="http://schemas.openxmlformats.org/spreadsheetml/2006/main"/>
</file>

<file path=xl/persons/person40.xml><?xml version="1.0" encoding="utf-8"?>
<personList xmlns="http://schemas.microsoft.com/office/spreadsheetml/2018/threadedcomments" xmlns:x="http://schemas.openxmlformats.org/spreadsheetml/2006/main"/>
</file>

<file path=xl/persons/person41.xml><?xml version="1.0" encoding="utf-8"?>
<personList xmlns="http://schemas.microsoft.com/office/spreadsheetml/2018/threadedcomments" xmlns:x="http://schemas.openxmlformats.org/spreadsheetml/2006/main"/>
</file>

<file path=xl/persons/person42.xml><?xml version="1.0" encoding="utf-8"?>
<personList xmlns="http://schemas.microsoft.com/office/spreadsheetml/2018/threadedcomments" xmlns:x="http://schemas.openxmlformats.org/spreadsheetml/2006/main"/>
</file>

<file path=xl/persons/person43.xml><?xml version="1.0" encoding="utf-8"?>
<personList xmlns="http://schemas.microsoft.com/office/spreadsheetml/2018/threadedcomments" xmlns:x="http://schemas.openxmlformats.org/spreadsheetml/2006/main"/>
</file>

<file path=xl/persons/person44.xml><?xml version="1.0" encoding="utf-8"?>
<personList xmlns="http://schemas.microsoft.com/office/spreadsheetml/2018/threadedcomments" xmlns:x="http://schemas.openxmlformats.org/spreadsheetml/2006/main"/>
</file>

<file path=xl/persons/person45.xml><?xml version="1.0" encoding="utf-8"?>
<personList xmlns="http://schemas.microsoft.com/office/spreadsheetml/2018/threadedcomments" xmlns:x="http://schemas.openxmlformats.org/spreadsheetml/2006/main"/>
</file>

<file path=xl/persons/person46.xml><?xml version="1.0" encoding="utf-8"?>
<personList xmlns="http://schemas.microsoft.com/office/spreadsheetml/2018/threadedcomments" xmlns:x="http://schemas.openxmlformats.org/spreadsheetml/2006/main"/>
</file>

<file path=xl/persons/person47.xml><?xml version="1.0" encoding="utf-8"?>
<personList xmlns="http://schemas.microsoft.com/office/spreadsheetml/2018/threadedcomments" xmlns:x="http://schemas.openxmlformats.org/spreadsheetml/2006/main"/>
</file>

<file path=xl/persons/person48.xml><?xml version="1.0" encoding="utf-8"?>
<personList xmlns="http://schemas.microsoft.com/office/spreadsheetml/2018/threadedcomments" xmlns:x="http://schemas.openxmlformats.org/spreadsheetml/2006/main"/>
</file>

<file path=xl/persons/person49.xml><?xml version="1.0" encoding="utf-8"?>
<personList xmlns="http://schemas.microsoft.com/office/spreadsheetml/2018/threadedcomments" xmlns:x="http://schemas.openxmlformats.org/spreadsheetml/2006/main"/>
</file>

<file path=xl/persons/person50.xml><?xml version="1.0" encoding="utf-8"?>
<personList xmlns="http://schemas.microsoft.com/office/spreadsheetml/2018/threadedcomments" xmlns:x="http://schemas.openxmlformats.org/spreadsheetml/2006/main"/>
</file>

<file path=xl/persons/person51.xml><?xml version="1.0" encoding="utf-8"?>
<personList xmlns="http://schemas.microsoft.com/office/spreadsheetml/2018/threadedcomments" xmlns:x="http://schemas.openxmlformats.org/spreadsheetml/2006/main"/>
</file>

<file path=xl/persons/person52.xml><?xml version="1.0" encoding="utf-8"?>
<personList xmlns="http://schemas.microsoft.com/office/spreadsheetml/2018/threadedcomments" xmlns:x="http://schemas.openxmlformats.org/spreadsheetml/2006/main"/>
</file>

<file path=xl/persons/person53.xml><?xml version="1.0" encoding="utf-8"?>
<personList xmlns="http://schemas.microsoft.com/office/spreadsheetml/2018/threadedcomments" xmlns:x="http://schemas.openxmlformats.org/spreadsheetml/2006/main"/>
</file>

<file path=xl/persons/person54.xml><?xml version="1.0" encoding="utf-8"?>
<personList xmlns="http://schemas.microsoft.com/office/spreadsheetml/2018/threadedcomments" xmlns:x="http://schemas.openxmlformats.org/spreadsheetml/2006/main"/>
</file>

<file path=xl/persons/person55.xml><?xml version="1.0" encoding="utf-8"?>
<personList xmlns="http://schemas.microsoft.com/office/spreadsheetml/2018/threadedcomments" xmlns:x="http://schemas.openxmlformats.org/spreadsheetml/2006/main"/>
</file>

<file path=xl/persons/person56.xml><?xml version="1.0" encoding="utf-8"?>
<personList xmlns="http://schemas.microsoft.com/office/spreadsheetml/2018/threadedcomments" xmlns:x="http://schemas.openxmlformats.org/spreadsheetml/2006/main"/>
</file>

<file path=xl/persons/person57.xml><?xml version="1.0" encoding="utf-8"?>
<personList xmlns="http://schemas.microsoft.com/office/spreadsheetml/2018/threadedcomments" xmlns:x="http://schemas.openxmlformats.org/spreadsheetml/2006/main"/>
</file>

<file path=xl/persons/person58.xml><?xml version="1.0" encoding="utf-8"?>
<personList xmlns="http://schemas.microsoft.com/office/spreadsheetml/2018/threadedcomments" xmlns:x="http://schemas.openxmlformats.org/spreadsheetml/2006/main"/>
</file>

<file path=xl/persons/person59.xml><?xml version="1.0" encoding="utf-8"?>
<personList xmlns="http://schemas.microsoft.com/office/spreadsheetml/2018/threadedcomments" xmlns:x="http://schemas.openxmlformats.org/spreadsheetml/2006/main"/>
</file>

<file path=xl/persons/person60.xml><?xml version="1.0" encoding="utf-8"?>
<personList xmlns="http://schemas.microsoft.com/office/spreadsheetml/2018/threadedcomments" xmlns:x="http://schemas.openxmlformats.org/spreadsheetml/2006/main"/>
</file>

<file path=xl/persons/person61.xml><?xml version="1.0" encoding="utf-8"?>
<personList xmlns="http://schemas.microsoft.com/office/spreadsheetml/2018/threadedcomments" xmlns:x="http://schemas.openxmlformats.org/spreadsheetml/2006/main"/>
</file>

<file path=xl/persons/person62.xml><?xml version="1.0" encoding="utf-8"?>
<personList xmlns="http://schemas.microsoft.com/office/spreadsheetml/2018/threadedcomments" xmlns:x="http://schemas.openxmlformats.org/spreadsheetml/2006/main"/>
</file>

<file path=xl/persons/person63.xml><?xml version="1.0" encoding="utf-8"?>
<personList xmlns="http://schemas.microsoft.com/office/spreadsheetml/2018/threadedcomments" xmlns:x="http://schemas.openxmlformats.org/spreadsheetml/2006/main"/>
</file>

<file path=xl/persons/person64.xml><?xml version="1.0" encoding="utf-8"?>
<personList xmlns="http://schemas.microsoft.com/office/spreadsheetml/2018/threadedcomments" xmlns:x="http://schemas.openxmlformats.org/spreadsheetml/2006/main"/>
</file>

<file path=xl/persons/person65.xml><?xml version="1.0" encoding="utf-8"?>
<personList xmlns="http://schemas.microsoft.com/office/spreadsheetml/2018/threadedcomments" xmlns:x="http://schemas.openxmlformats.org/spreadsheetml/2006/main"/>
</file>

<file path=xl/persons/person66.xml><?xml version="1.0" encoding="utf-8"?>
<personList xmlns="http://schemas.microsoft.com/office/spreadsheetml/2018/threadedcomments" xmlns:x="http://schemas.openxmlformats.org/spreadsheetml/2006/main"/>
</file>

<file path=xl/persons/person67.xml><?xml version="1.0" encoding="utf-8"?>
<personList xmlns="http://schemas.microsoft.com/office/spreadsheetml/2018/threadedcomments" xmlns:x="http://schemas.openxmlformats.org/spreadsheetml/2006/main"/>
</file>

<file path=xl/persons/person68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A7342-283C-4BD2-83C9-1368B92AD4C5}">
  <sheetPr codeName="Planilha25"/>
  <dimension ref="A1"/>
  <sheetViews>
    <sheetView showGridLines="0" showRowColHeaders="0" tabSelected="1"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746FF-7FE6-450C-8767-DFBAEBB0E7AE}">
  <sheetPr codeName="Planilha1"/>
  <dimension ref="A1:E1"/>
  <sheetViews>
    <sheetView workbookViewId="0">
      <selection activeCell="D2" sqref="D2"/>
    </sheetView>
  </sheetViews>
  <sheetFormatPr defaultRowHeight="14.4" x14ac:dyDescent="0.3"/>
  <cols>
    <col min="1" max="1" width="11" bestFit="1" customWidth="1"/>
    <col min="2" max="2" width="12.33203125" bestFit="1" customWidth="1"/>
    <col min="3" max="3" width="26.77734375" customWidth="1"/>
    <col min="4" max="4" width="5" style="3" bestFit="1" customWidth="1"/>
    <col min="5" max="5" width="8.88671875" style="3"/>
  </cols>
  <sheetData>
    <row r="1" spans="1:4" x14ac:dyDescent="0.3">
      <c r="A1" t="s">
        <v>0</v>
      </c>
      <c r="B1" t="s">
        <v>1</v>
      </c>
      <c r="C1" t="s">
        <v>2</v>
      </c>
      <c r="D1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584C0-2A46-4B7E-ABC5-B783035687B5}">
  <sheetPr codeName="Planilha15"/>
  <dimension ref="A1:C1"/>
  <sheetViews>
    <sheetView workbookViewId="0">
      <selection activeCell="A2" sqref="A2:C2"/>
    </sheetView>
  </sheetViews>
  <sheetFormatPr defaultRowHeight="14.4" x14ac:dyDescent="0.3"/>
  <cols>
    <col min="1" max="1" width="5" bestFit="1" customWidth="1"/>
    <col min="2" max="2" width="11.88671875" bestFit="1" customWidth="1"/>
    <col min="3" max="3" width="17.77734375" bestFit="1" customWidth="1"/>
  </cols>
  <sheetData>
    <row r="1" spans="1:3" x14ac:dyDescent="0.3">
      <c r="A1" t="s">
        <v>0</v>
      </c>
      <c r="B1" t="s">
        <v>1</v>
      </c>
      <c r="C1" t="s">
        <v>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FD1E-4BA2-4D33-BD27-8CC01E0A581F}">
  <sheetPr codeName="Planilha24"/>
  <dimension ref="A1:B2"/>
  <sheetViews>
    <sheetView workbookViewId="0">
      <selection activeCell="G10" sqref="G10"/>
    </sheetView>
  </sheetViews>
  <sheetFormatPr defaultRowHeight="14.4" x14ac:dyDescent="0.3"/>
  <cols>
    <col min="1" max="1" width="8.88671875" style="3"/>
  </cols>
  <sheetData>
    <row r="1" spans="1:2" x14ac:dyDescent="0.3">
      <c r="A1" s="3">
        <v>100</v>
      </c>
      <c r="B1" s="3" t="str">
        <f>IFERROR(VLOOKUP(A1,CadProd!$A:$D,4,0),"")</f>
        <v/>
      </c>
    </row>
    <row r="2" spans="1:2" x14ac:dyDescent="0.3">
      <c r="A2" t="str">
        <f>IFERROR(VLOOKUP(A1,Estoque!$A:$F,6,0),"")</f>
        <v/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B0A08-BEF7-4494-B518-E96BE46F562A}">
  <sheetPr codeName="Planilha18"/>
  <dimension ref="A1:G1"/>
  <sheetViews>
    <sheetView workbookViewId="0">
      <selection activeCell="A2" sqref="A2:D2"/>
    </sheetView>
  </sheetViews>
  <sheetFormatPr defaultRowHeight="14.4" x14ac:dyDescent="0.3"/>
  <cols>
    <col min="2" max="2" width="11.88671875" style="1" bestFit="1" customWidth="1"/>
    <col min="3" max="3" width="10.5546875" bestFit="1" customWidth="1"/>
  </cols>
  <sheetData>
    <row r="1" spans="1:7" x14ac:dyDescent="0.3">
      <c r="A1" t="s">
        <v>20</v>
      </c>
      <c r="B1" s="3" t="s">
        <v>23</v>
      </c>
      <c r="C1" t="s">
        <v>5</v>
      </c>
      <c r="D1" t="s">
        <v>25</v>
      </c>
      <c r="F1" t="s">
        <v>24</v>
      </c>
      <c r="G1" s="1">
        <f>SUM(TempCustos!B:B)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B54FB-3B56-4F1D-9FDB-8B84903B8C28}">
  <sheetPr codeName="Planilha19"/>
  <dimension ref="A1:F1"/>
  <sheetViews>
    <sheetView workbookViewId="0">
      <selection activeCell="A2" sqref="A2:C1048576"/>
    </sheetView>
  </sheetViews>
  <sheetFormatPr defaultRowHeight="14.4" x14ac:dyDescent="0.3"/>
  <cols>
    <col min="2" max="2" width="11.88671875" style="1" bestFit="1" customWidth="1"/>
    <col min="3" max="3" width="10.5546875" style="2" bestFit="1" customWidth="1"/>
    <col min="4" max="4" width="10.5546875" style="2" customWidth="1"/>
  </cols>
  <sheetData>
    <row r="1" spans="1:6" x14ac:dyDescent="0.3">
      <c r="A1" t="s">
        <v>20</v>
      </c>
      <c r="B1" t="s">
        <v>23</v>
      </c>
      <c r="C1" t="s">
        <v>5</v>
      </c>
      <c r="D1" t="s">
        <v>7</v>
      </c>
      <c r="E1" t="s">
        <v>8</v>
      </c>
      <c r="F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C7335-A849-4DB7-946F-0CA15B1142A5}">
  <sheetPr codeName="Planilha20"/>
  <dimension ref="A1:F37"/>
  <sheetViews>
    <sheetView workbookViewId="0">
      <selection activeCell="F2" sqref="F2"/>
    </sheetView>
  </sheetViews>
  <sheetFormatPr defaultRowHeight="14.4" x14ac:dyDescent="0.3"/>
  <cols>
    <col min="2" max="2" width="9.88671875" bestFit="1" customWidth="1"/>
    <col min="3" max="3" width="16.109375" bestFit="1" customWidth="1"/>
    <col min="4" max="4" width="22.88671875" bestFit="1" customWidth="1"/>
    <col min="5" max="5" width="12.5546875" bestFit="1" customWidth="1"/>
    <col min="6" max="6" width="20.6640625" bestFit="1" customWidth="1"/>
  </cols>
  <sheetData>
    <row r="1" spans="1:6" x14ac:dyDescent="0.3">
      <c r="A1" t="s">
        <v>7</v>
      </c>
      <c r="B1" t="s">
        <v>16</v>
      </c>
      <c r="C1" t="s">
        <v>35</v>
      </c>
      <c r="D1" t="s">
        <v>36</v>
      </c>
      <c r="E1" t="s">
        <v>37</v>
      </c>
      <c r="F1" t="s">
        <v>38</v>
      </c>
    </row>
    <row r="2" spans="1:6" x14ac:dyDescent="0.3">
      <c r="A2" t="str">
        <f ca="1">BD_INFO!A1</f>
        <v>01_2023</v>
      </c>
      <c r="B2" s="1">
        <f ca="1">SUMIFS(Custos!$B:$B,Custos!$D:$D,A2)</f>
        <v>0</v>
      </c>
      <c r="C2">
        <f ca="1">SUMIFS(Entrada!$D:$D,Entrada!$H:$H,A2)</f>
        <v>0</v>
      </c>
      <c r="D2" s="1">
        <f ca="1">IFERROR(IF(C2=0,0,B2/C2),0)</f>
        <v>0</v>
      </c>
      <c r="E2" s="3">
        <f ca="1">SUMIFS(Saida!$E:$E,Saida!$J:$J,A2)</f>
        <v>0</v>
      </c>
      <c r="F2" s="1">
        <f ca="1">IFERROR(IF(E2=0,0,B2/E2),0)</f>
        <v>0</v>
      </c>
    </row>
    <row r="3" spans="1:6" x14ac:dyDescent="0.3">
      <c r="A3" t="str">
        <f ca="1">BD_INFO!A2</f>
        <v>02_2023</v>
      </c>
      <c r="B3" s="1">
        <f ca="1">SUMIFS(Custos!$B:$B,Custos!$D:$D,A3)</f>
        <v>0</v>
      </c>
      <c r="C3">
        <f ca="1">SUMIFS(Entrada!$D:$D,Entrada!$H:$H,A3)</f>
        <v>0</v>
      </c>
      <c r="D3" s="1">
        <f t="shared" ref="D3:D37" ca="1" si="0">IFERROR(IF(C3=0,0,B3/C3),0)</f>
        <v>0</v>
      </c>
      <c r="E3" s="3">
        <f ca="1">SUMIFS(Saida!$E:$E,Saida!$J:$J,A3)</f>
        <v>0</v>
      </c>
      <c r="F3" s="1">
        <f t="shared" ref="F3:F37" ca="1" si="1">IFERROR(IF(E3=0,0,B3/E3),0)</f>
        <v>0</v>
      </c>
    </row>
    <row r="4" spans="1:6" x14ac:dyDescent="0.3">
      <c r="A4" t="str">
        <f ca="1">BD_INFO!A3</f>
        <v>03_2023</v>
      </c>
      <c r="B4" s="1">
        <f ca="1">SUMIFS(Custos!$B:$B,Custos!$D:$D,A4)</f>
        <v>0</v>
      </c>
      <c r="C4">
        <f ca="1">SUMIFS(Entrada!$D:$D,Entrada!$H:$H,A4)</f>
        <v>0</v>
      </c>
      <c r="D4" s="1">
        <f t="shared" ca="1" si="0"/>
        <v>0</v>
      </c>
      <c r="E4" s="3">
        <f ca="1">SUMIFS(Saida!$E:$E,Saida!$J:$J,A4)</f>
        <v>0</v>
      </c>
      <c r="F4" s="1">
        <f t="shared" ca="1" si="1"/>
        <v>0</v>
      </c>
    </row>
    <row r="5" spans="1:6" x14ac:dyDescent="0.3">
      <c r="A5" t="str">
        <f ca="1">BD_INFO!A4</f>
        <v/>
      </c>
      <c r="B5" s="1">
        <f ca="1">SUMIFS(Custos!$B:$B,Custos!$D:$D,A5)</f>
        <v>0</v>
      </c>
      <c r="C5">
        <f ca="1">SUMIFS(Entrada!$D:$D,Entrada!$H:$H,A5)</f>
        <v>0</v>
      </c>
      <c r="D5" s="1">
        <f t="shared" ca="1" si="0"/>
        <v>0</v>
      </c>
      <c r="E5" s="3">
        <f ca="1">SUMIFS(Saida!$E:$E,Saida!$J:$J,A5)</f>
        <v>0</v>
      </c>
      <c r="F5" s="1">
        <f t="shared" ca="1" si="1"/>
        <v>0</v>
      </c>
    </row>
    <row r="6" spans="1:6" x14ac:dyDescent="0.3">
      <c r="A6" t="str">
        <f ca="1">BD_INFO!A5</f>
        <v/>
      </c>
      <c r="B6" s="1">
        <f ca="1">SUMIFS(Custos!$B:$B,Custos!$D:$D,A6)</f>
        <v>0</v>
      </c>
      <c r="C6">
        <f ca="1">SUMIFS(Entrada!$D:$D,Entrada!$H:$H,A6)</f>
        <v>0</v>
      </c>
      <c r="D6" s="1">
        <f t="shared" ca="1" si="0"/>
        <v>0</v>
      </c>
      <c r="E6" s="3">
        <f ca="1">SUMIFS(Saida!$E:$E,Saida!$J:$J,A6)</f>
        <v>0</v>
      </c>
      <c r="F6" s="1">
        <f t="shared" ca="1" si="1"/>
        <v>0</v>
      </c>
    </row>
    <row r="7" spans="1:6" x14ac:dyDescent="0.3">
      <c r="A7" t="str">
        <f ca="1">BD_INFO!A6</f>
        <v/>
      </c>
      <c r="B7" s="1">
        <f ca="1">SUMIFS(Custos!$B:$B,Custos!$D:$D,A7)</f>
        <v>0</v>
      </c>
      <c r="C7">
        <f ca="1">SUMIFS(Entrada!$D:$D,Entrada!$H:$H,A7)</f>
        <v>0</v>
      </c>
      <c r="D7" s="1">
        <f t="shared" ca="1" si="0"/>
        <v>0</v>
      </c>
      <c r="E7" s="3">
        <f ca="1">SUMIFS(Saida!$E:$E,Saida!$J:$J,A7)</f>
        <v>0</v>
      </c>
      <c r="F7" s="1">
        <f t="shared" ca="1" si="1"/>
        <v>0</v>
      </c>
    </row>
    <row r="8" spans="1:6" x14ac:dyDescent="0.3">
      <c r="A8" t="str">
        <f ca="1">BD_INFO!A7</f>
        <v/>
      </c>
      <c r="B8" s="1">
        <f ca="1">SUMIFS(Custos!$B:$B,Custos!$D:$D,A8)</f>
        <v>0</v>
      </c>
      <c r="C8">
        <f ca="1">SUMIFS(Entrada!$D:$D,Entrada!$H:$H,A8)</f>
        <v>0</v>
      </c>
      <c r="D8" s="1">
        <f t="shared" ca="1" si="0"/>
        <v>0</v>
      </c>
      <c r="E8" s="3">
        <f ca="1">SUMIFS(Saida!$E:$E,Saida!$J:$J,A8)</f>
        <v>0</v>
      </c>
      <c r="F8" s="1">
        <f t="shared" ca="1" si="1"/>
        <v>0</v>
      </c>
    </row>
    <row r="9" spans="1:6" x14ac:dyDescent="0.3">
      <c r="A9" t="str">
        <f ca="1">BD_INFO!A8</f>
        <v/>
      </c>
      <c r="B9" s="1">
        <f ca="1">SUMIFS(Custos!$B:$B,Custos!$D:$D,A9)</f>
        <v>0</v>
      </c>
      <c r="C9">
        <f ca="1">SUMIFS(Entrada!$D:$D,Entrada!$H:$H,A9)</f>
        <v>0</v>
      </c>
      <c r="D9" s="1">
        <f t="shared" ca="1" si="0"/>
        <v>0</v>
      </c>
      <c r="E9" s="3">
        <f ca="1">SUMIFS(Saida!$E:$E,Saida!$J:$J,A9)</f>
        <v>0</v>
      </c>
      <c r="F9" s="1">
        <f t="shared" ca="1" si="1"/>
        <v>0</v>
      </c>
    </row>
    <row r="10" spans="1:6" x14ac:dyDescent="0.3">
      <c r="A10" t="str">
        <f ca="1">BD_INFO!A9</f>
        <v/>
      </c>
      <c r="B10" s="1">
        <f ca="1">SUMIFS(Custos!$B:$B,Custos!$D:$D,A10)</f>
        <v>0</v>
      </c>
      <c r="C10">
        <f ca="1">SUMIFS(Entrada!$D:$D,Entrada!$H:$H,A10)</f>
        <v>0</v>
      </c>
      <c r="D10" s="1">
        <f t="shared" ca="1" si="0"/>
        <v>0</v>
      </c>
      <c r="E10" s="3">
        <f ca="1">SUMIFS(Saida!$E:$E,Saida!$J:$J,A10)</f>
        <v>0</v>
      </c>
      <c r="F10" s="1">
        <f t="shared" ca="1" si="1"/>
        <v>0</v>
      </c>
    </row>
    <row r="11" spans="1:6" x14ac:dyDescent="0.3">
      <c r="A11" t="str">
        <f ca="1">BD_INFO!A10</f>
        <v/>
      </c>
      <c r="B11" s="1">
        <f ca="1">SUMIFS(Custos!$B:$B,Custos!$D:$D,A11)</f>
        <v>0</v>
      </c>
      <c r="C11">
        <f ca="1">SUMIFS(Entrada!$D:$D,Entrada!$H:$H,A11)</f>
        <v>0</v>
      </c>
      <c r="D11" s="1">
        <f t="shared" ca="1" si="0"/>
        <v>0</v>
      </c>
      <c r="E11" s="3">
        <f ca="1">SUMIFS(Saida!$E:$E,Saida!$J:$J,A11)</f>
        <v>0</v>
      </c>
      <c r="F11" s="1">
        <f t="shared" ca="1" si="1"/>
        <v>0</v>
      </c>
    </row>
    <row r="12" spans="1:6" x14ac:dyDescent="0.3">
      <c r="A12" t="str">
        <f ca="1">BD_INFO!A11</f>
        <v/>
      </c>
      <c r="B12" s="1">
        <f ca="1">SUMIFS(Custos!$B:$B,Custos!$D:$D,A12)</f>
        <v>0</v>
      </c>
      <c r="C12">
        <f ca="1">SUMIFS(Entrada!$D:$D,Entrada!$H:$H,A12)</f>
        <v>0</v>
      </c>
      <c r="D12" s="1">
        <f t="shared" ca="1" si="0"/>
        <v>0</v>
      </c>
      <c r="E12" s="3">
        <f ca="1">SUMIFS(Saida!$E:$E,Saida!$J:$J,A12)</f>
        <v>0</v>
      </c>
      <c r="F12" s="1">
        <f t="shared" ca="1" si="1"/>
        <v>0</v>
      </c>
    </row>
    <row r="13" spans="1:6" x14ac:dyDescent="0.3">
      <c r="A13" t="str">
        <f ca="1">BD_INFO!A12</f>
        <v/>
      </c>
      <c r="B13" s="1">
        <f ca="1">SUMIFS(Custos!$B:$B,Custos!$D:$D,A13)</f>
        <v>0</v>
      </c>
      <c r="C13">
        <f ca="1">SUMIFS(Entrada!$D:$D,Entrada!$H:$H,A13)</f>
        <v>0</v>
      </c>
      <c r="D13" s="1">
        <f t="shared" ca="1" si="0"/>
        <v>0</v>
      </c>
      <c r="E13" s="3">
        <f ca="1">SUMIFS(Saida!$E:$E,Saida!$J:$J,A13)</f>
        <v>0</v>
      </c>
      <c r="F13" s="1">
        <f t="shared" ca="1" si="1"/>
        <v>0</v>
      </c>
    </row>
    <row r="14" spans="1:6" x14ac:dyDescent="0.3">
      <c r="A14" t="str">
        <f ca="1">BD_INFO!A13</f>
        <v/>
      </c>
      <c r="B14" s="1">
        <f ca="1">SUMIFS(Custos!$B:$B,Custos!$D:$D,A14)</f>
        <v>0</v>
      </c>
      <c r="C14">
        <f ca="1">SUMIFS(Entrada!$D:$D,Entrada!$H:$H,A14)</f>
        <v>0</v>
      </c>
      <c r="D14" s="1">
        <f t="shared" ca="1" si="0"/>
        <v>0</v>
      </c>
      <c r="E14" s="3">
        <f ca="1">SUMIFS(Saida!$E:$E,Saida!$J:$J,A14)</f>
        <v>0</v>
      </c>
      <c r="F14" s="1">
        <f t="shared" ca="1" si="1"/>
        <v>0</v>
      </c>
    </row>
    <row r="15" spans="1:6" x14ac:dyDescent="0.3">
      <c r="A15" t="str">
        <f ca="1">BD_INFO!A14</f>
        <v/>
      </c>
      <c r="B15" s="1">
        <f ca="1">SUMIFS(Custos!$B:$B,Custos!$D:$D,A15)</f>
        <v>0</v>
      </c>
      <c r="C15">
        <f ca="1">SUMIFS(Entrada!$D:$D,Entrada!$H:$H,A15)</f>
        <v>0</v>
      </c>
      <c r="D15" s="1">
        <f t="shared" ca="1" si="0"/>
        <v>0</v>
      </c>
      <c r="E15" s="3">
        <f ca="1">SUMIFS(Saida!$E:$E,Saida!$J:$J,A15)</f>
        <v>0</v>
      </c>
      <c r="F15" s="1">
        <f t="shared" ca="1" si="1"/>
        <v>0</v>
      </c>
    </row>
    <row r="16" spans="1:6" x14ac:dyDescent="0.3">
      <c r="A16" t="str">
        <f ca="1">BD_INFO!A15</f>
        <v/>
      </c>
      <c r="B16" s="1">
        <f ca="1">SUMIFS(Custos!$B:$B,Custos!$D:$D,A16)</f>
        <v>0</v>
      </c>
      <c r="C16">
        <f ca="1">SUMIFS(Entrada!$D:$D,Entrada!$H:$H,A16)</f>
        <v>0</v>
      </c>
      <c r="D16" s="1">
        <f t="shared" ca="1" si="0"/>
        <v>0</v>
      </c>
      <c r="E16" s="3">
        <f ca="1">SUMIFS(Saida!$E:$E,Saida!$J:$J,A16)</f>
        <v>0</v>
      </c>
      <c r="F16" s="1">
        <f t="shared" ca="1" si="1"/>
        <v>0</v>
      </c>
    </row>
    <row r="17" spans="1:6" x14ac:dyDescent="0.3">
      <c r="A17" t="str">
        <f ca="1">BD_INFO!A16</f>
        <v/>
      </c>
      <c r="B17" s="1">
        <f ca="1">SUMIFS(Custos!$B:$B,Custos!$D:$D,A17)</f>
        <v>0</v>
      </c>
      <c r="C17">
        <f ca="1">SUMIFS(Entrada!$D:$D,Entrada!$H:$H,A17)</f>
        <v>0</v>
      </c>
      <c r="D17" s="1">
        <f t="shared" ca="1" si="0"/>
        <v>0</v>
      </c>
      <c r="E17" s="3">
        <f ca="1">SUMIFS(Saida!$E:$E,Saida!$J:$J,A17)</f>
        <v>0</v>
      </c>
      <c r="F17" s="1">
        <f t="shared" ca="1" si="1"/>
        <v>0</v>
      </c>
    </row>
    <row r="18" spans="1:6" x14ac:dyDescent="0.3">
      <c r="A18" t="str">
        <f ca="1">BD_INFO!A17</f>
        <v/>
      </c>
      <c r="B18" s="1">
        <f ca="1">SUMIFS(Custos!$B:$B,Custos!$D:$D,A18)</f>
        <v>0</v>
      </c>
      <c r="C18">
        <f ca="1">SUMIFS(Entrada!$D:$D,Entrada!$H:$H,A18)</f>
        <v>0</v>
      </c>
      <c r="D18" s="1">
        <f t="shared" ca="1" si="0"/>
        <v>0</v>
      </c>
      <c r="E18" s="3">
        <f ca="1">SUMIFS(Saida!$E:$E,Saida!$J:$J,A18)</f>
        <v>0</v>
      </c>
      <c r="F18" s="1">
        <f t="shared" ca="1" si="1"/>
        <v>0</v>
      </c>
    </row>
    <row r="19" spans="1:6" x14ac:dyDescent="0.3">
      <c r="A19" t="str">
        <f ca="1">BD_INFO!A18</f>
        <v/>
      </c>
      <c r="B19" s="1">
        <f ca="1">SUMIFS(Custos!$B:$B,Custos!$D:$D,A19)</f>
        <v>0</v>
      </c>
      <c r="C19">
        <f ca="1">SUMIFS(Entrada!$D:$D,Entrada!$H:$H,A19)</f>
        <v>0</v>
      </c>
      <c r="D19" s="1">
        <f t="shared" ca="1" si="0"/>
        <v>0</v>
      </c>
      <c r="E19" s="3">
        <f ca="1">SUMIFS(Saida!$E:$E,Saida!$J:$J,A19)</f>
        <v>0</v>
      </c>
      <c r="F19" s="1">
        <f t="shared" ca="1" si="1"/>
        <v>0</v>
      </c>
    </row>
    <row r="20" spans="1:6" x14ac:dyDescent="0.3">
      <c r="A20" t="str">
        <f ca="1">BD_INFO!A19</f>
        <v/>
      </c>
      <c r="B20" s="1">
        <f ca="1">SUMIFS(Custos!$B:$B,Custos!$D:$D,A20)</f>
        <v>0</v>
      </c>
      <c r="C20">
        <f ca="1">SUMIFS(Entrada!$D:$D,Entrada!$H:$H,A20)</f>
        <v>0</v>
      </c>
      <c r="D20" s="1">
        <f t="shared" ca="1" si="0"/>
        <v>0</v>
      </c>
      <c r="E20" s="3">
        <f ca="1">SUMIFS(Saida!$E:$E,Saida!$J:$J,A20)</f>
        <v>0</v>
      </c>
      <c r="F20" s="1">
        <f t="shared" ca="1" si="1"/>
        <v>0</v>
      </c>
    </row>
    <row r="21" spans="1:6" x14ac:dyDescent="0.3">
      <c r="A21" t="str">
        <f ca="1">BD_INFO!A20</f>
        <v/>
      </c>
      <c r="B21" s="1">
        <f ca="1">SUMIFS(Custos!$B:$B,Custos!$D:$D,A21)</f>
        <v>0</v>
      </c>
      <c r="C21">
        <f ca="1">SUMIFS(Entrada!$D:$D,Entrada!$H:$H,A21)</f>
        <v>0</v>
      </c>
      <c r="D21" s="1">
        <f t="shared" ca="1" si="0"/>
        <v>0</v>
      </c>
      <c r="E21" s="3">
        <f ca="1">SUMIFS(Saida!$E:$E,Saida!$J:$J,A21)</f>
        <v>0</v>
      </c>
      <c r="F21" s="1">
        <f t="shared" ca="1" si="1"/>
        <v>0</v>
      </c>
    </row>
    <row r="22" spans="1:6" x14ac:dyDescent="0.3">
      <c r="A22" t="str">
        <f ca="1">BD_INFO!A21</f>
        <v/>
      </c>
      <c r="B22" s="1">
        <f ca="1">SUMIFS(Custos!$B:$B,Custos!$D:$D,A22)</f>
        <v>0</v>
      </c>
      <c r="C22">
        <f ca="1">SUMIFS(Entrada!$D:$D,Entrada!$H:$H,A22)</f>
        <v>0</v>
      </c>
      <c r="D22" s="1">
        <f t="shared" ca="1" si="0"/>
        <v>0</v>
      </c>
      <c r="E22" s="3">
        <f ca="1">SUMIFS(Saida!$E:$E,Saida!$J:$J,A22)</f>
        <v>0</v>
      </c>
      <c r="F22" s="1">
        <f t="shared" ca="1" si="1"/>
        <v>0</v>
      </c>
    </row>
    <row r="23" spans="1:6" x14ac:dyDescent="0.3">
      <c r="A23" t="str">
        <f ca="1">BD_INFO!A22</f>
        <v/>
      </c>
      <c r="B23" s="1">
        <f ca="1">SUMIFS(Custos!$B:$B,Custos!$D:$D,A23)</f>
        <v>0</v>
      </c>
      <c r="C23">
        <f ca="1">SUMIFS(Entrada!$D:$D,Entrada!$H:$H,A23)</f>
        <v>0</v>
      </c>
      <c r="D23" s="1">
        <f t="shared" ca="1" si="0"/>
        <v>0</v>
      </c>
      <c r="E23" s="3">
        <f ca="1">SUMIFS(Saida!$E:$E,Saida!$J:$J,A23)</f>
        <v>0</v>
      </c>
      <c r="F23" s="1">
        <f t="shared" ca="1" si="1"/>
        <v>0</v>
      </c>
    </row>
    <row r="24" spans="1:6" x14ac:dyDescent="0.3">
      <c r="A24" t="str">
        <f ca="1">BD_INFO!A23</f>
        <v/>
      </c>
      <c r="B24" s="1">
        <f ca="1">SUMIFS(Custos!$B:$B,Custos!$D:$D,A24)</f>
        <v>0</v>
      </c>
      <c r="C24">
        <f ca="1">SUMIFS(Entrada!$D:$D,Entrada!$H:$H,A24)</f>
        <v>0</v>
      </c>
      <c r="D24" s="1">
        <f t="shared" ca="1" si="0"/>
        <v>0</v>
      </c>
      <c r="E24" s="3">
        <f ca="1">SUMIFS(Saida!$E:$E,Saida!$J:$J,A24)</f>
        <v>0</v>
      </c>
      <c r="F24" s="1">
        <f t="shared" ca="1" si="1"/>
        <v>0</v>
      </c>
    </row>
    <row r="25" spans="1:6" x14ac:dyDescent="0.3">
      <c r="A25" t="str">
        <f ca="1">BD_INFO!A24</f>
        <v/>
      </c>
      <c r="B25" s="1">
        <f ca="1">SUMIFS(Custos!$B:$B,Custos!$D:$D,A25)</f>
        <v>0</v>
      </c>
      <c r="C25">
        <f ca="1">SUMIFS(Entrada!$D:$D,Entrada!$H:$H,A25)</f>
        <v>0</v>
      </c>
      <c r="D25" s="1">
        <f t="shared" ca="1" si="0"/>
        <v>0</v>
      </c>
      <c r="E25" s="3">
        <f ca="1">SUMIFS(Saida!$E:$E,Saida!$J:$J,A25)</f>
        <v>0</v>
      </c>
      <c r="F25" s="1">
        <f t="shared" ca="1" si="1"/>
        <v>0</v>
      </c>
    </row>
    <row r="26" spans="1:6" x14ac:dyDescent="0.3">
      <c r="A26" t="str">
        <f ca="1">BD_INFO!A25</f>
        <v/>
      </c>
      <c r="B26" s="1">
        <f ca="1">SUMIFS(Custos!$B:$B,Custos!$D:$D,A26)</f>
        <v>0</v>
      </c>
      <c r="C26">
        <f ca="1">SUMIFS(Entrada!$D:$D,Entrada!$H:$H,A26)</f>
        <v>0</v>
      </c>
      <c r="D26" s="1">
        <f t="shared" ca="1" si="0"/>
        <v>0</v>
      </c>
      <c r="E26" s="3">
        <f ca="1">SUMIFS(Saida!$E:$E,Saida!$J:$J,A26)</f>
        <v>0</v>
      </c>
      <c r="F26" s="1">
        <f t="shared" ca="1" si="1"/>
        <v>0</v>
      </c>
    </row>
    <row r="27" spans="1:6" x14ac:dyDescent="0.3">
      <c r="A27" t="str">
        <f ca="1">BD_INFO!A26</f>
        <v/>
      </c>
      <c r="B27" s="1">
        <f ca="1">SUMIFS(Custos!$B:$B,Custos!$D:$D,A27)</f>
        <v>0</v>
      </c>
      <c r="C27">
        <f ca="1">SUMIFS(Entrada!$D:$D,Entrada!$H:$H,A27)</f>
        <v>0</v>
      </c>
      <c r="D27" s="1">
        <f t="shared" ca="1" si="0"/>
        <v>0</v>
      </c>
      <c r="E27" s="3">
        <f ca="1">SUMIFS(Saida!$E:$E,Saida!$J:$J,A27)</f>
        <v>0</v>
      </c>
      <c r="F27" s="1">
        <f t="shared" ca="1" si="1"/>
        <v>0</v>
      </c>
    </row>
    <row r="28" spans="1:6" x14ac:dyDescent="0.3">
      <c r="A28" t="str">
        <f ca="1">BD_INFO!A27</f>
        <v/>
      </c>
      <c r="B28" s="1">
        <f ca="1">SUMIFS(Custos!$B:$B,Custos!$D:$D,A28)</f>
        <v>0</v>
      </c>
      <c r="C28">
        <f ca="1">SUMIFS(Entrada!$D:$D,Entrada!$H:$H,A28)</f>
        <v>0</v>
      </c>
      <c r="D28" s="1">
        <f t="shared" ca="1" si="0"/>
        <v>0</v>
      </c>
      <c r="E28" s="3">
        <f ca="1">SUMIFS(Saida!$E:$E,Saida!$J:$J,A28)</f>
        <v>0</v>
      </c>
      <c r="F28" s="1">
        <f t="shared" ca="1" si="1"/>
        <v>0</v>
      </c>
    </row>
    <row r="29" spans="1:6" x14ac:dyDescent="0.3">
      <c r="A29" t="str">
        <f ca="1">BD_INFO!A28</f>
        <v/>
      </c>
      <c r="B29" s="1">
        <f ca="1">SUMIFS(Custos!$B:$B,Custos!$D:$D,A29)</f>
        <v>0</v>
      </c>
      <c r="C29">
        <f ca="1">SUMIFS(Entrada!$D:$D,Entrada!$H:$H,A29)</f>
        <v>0</v>
      </c>
      <c r="D29" s="1">
        <f t="shared" ca="1" si="0"/>
        <v>0</v>
      </c>
      <c r="E29" s="3">
        <f ca="1">SUMIFS(Saida!$E:$E,Saida!$J:$J,A29)</f>
        <v>0</v>
      </c>
      <c r="F29" s="1">
        <f t="shared" ca="1" si="1"/>
        <v>0</v>
      </c>
    </row>
    <row r="30" spans="1:6" x14ac:dyDescent="0.3">
      <c r="A30" t="str">
        <f ca="1">BD_INFO!A29</f>
        <v/>
      </c>
      <c r="B30" s="1">
        <f ca="1">SUMIFS(Custos!$B:$B,Custos!$D:$D,A30)</f>
        <v>0</v>
      </c>
      <c r="C30">
        <f ca="1">SUMIFS(Entrada!$D:$D,Entrada!$H:$H,A30)</f>
        <v>0</v>
      </c>
      <c r="D30" s="1">
        <f t="shared" ca="1" si="0"/>
        <v>0</v>
      </c>
      <c r="E30" s="3">
        <f ca="1">SUMIFS(Saida!$E:$E,Saida!$J:$J,A30)</f>
        <v>0</v>
      </c>
      <c r="F30" s="1">
        <f t="shared" ca="1" si="1"/>
        <v>0</v>
      </c>
    </row>
    <row r="31" spans="1:6" x14ac:dyDescent="0.3">
      <c r="A31" t="str">
        <f ca="1">BD_INFO!A30</f>
        <v/>
      </c>
      <c r="B31" s="1">
        <f ca="1">SUMIFS(Custos!$B:$B,Custos!$D:$D,A31)</f>
        <v>0</v>
      </c>
      <c r="C31">
        <f ca="1">SUMIFS(Entrada!$D:$D,Entrada!$H:$H,A31)</f>
        <v>0</v>
      </c>
      <c r="D31" s="1">
        <f t="shared" ca="1" si="0"/>
        <v>0</v>
      </c>
      <c r="E31" s="3">
        <f ca="1">SUMIFS(Saida!$E:$E,Saida!$J:$J,A31)</f>
        <v>0</v>
      </c>
      <c r="F31" s="1">
        <f t="shared" ca="1" si="1"/>
        <v>0</v>
      </c>
    </row>
    <row r="32" spans="1:6" x14ac:dyDescent="0.3">
      <c r="A32" t="str">
        <f ca="1">BD_INFO!A31</f>
        <v/>
      </c>
      <c r="B32" s="1">
        <f ca="1">SUMIFS(Custos!$B:$B,Custos!$D:$D,A32)</f>
        <v>0</v>
      </c>
      <c r="C32">
        <f ca="1">SUMIFS(Entrada!$D:$D,Entrada!$H:$H,A32)</f>
        <v>0</v>
      </c>
      <c r="D32" s="1">
        <f t="shared" ca="1" si="0"/>
        <v>0</v>
      </c>
      <c r="E32" s="3">
        <f ca="1">SUMIFS(Saida!$E:$E,Saida!$J:$J,A32)</f>
        <v>0</v>
      </c>
      <c r="F32" s="1">
        <f t="shared" ca="1" si="1"/>
        <v>0</v>
      </c>
    </row>
    <row r="33" spans="1:6" x14ac:dyDescent="0.3">
      <c r="A33" t="str">
        <f ca="1">BD_INFO!A32</f>
        <v/>
      </c>
      <c r="B33" s="1">
        <f ca="1">SUMIFS(Custos!$B:$B,Custos!$D:$D,A33)</f>
        <v>0</v>
      </c>
      <c r="C33">
        <f ca="1">SUMIFS(Entrada!$D:$D,Entrada!$H:$H,A33)</f>
        <v>0</v>
      </c>
      <c r="D33" s="1">
        <f t="shared" ca="1" si="0"/>
        <v>0</v>
      </c>
      <c r="E33" s="3">
        <f ca="1">SUMIFS(Saida!$E:$E,Saida!$J:$J,A33)</f>
        <v>0</v>
      </c>
      <c r="F33" s="1">
        <f t="shared" ca="1" si="1"/>
        <v>0</v>
      </c>
    </row>
    <row r="34" spans="1:6" x14ac:dyDescent="0.3">
      <c r="A34" t="str">
        <f ca="1">BD_INFO!A33</f>
        <v/>
      </c>
      <c r="B34" s="1">
        <f ca="1">SUMIFS(Custos!$B:$B,Custos!$D:$D,A34)</f>
        <v>0</v>
      </c>
      <c r="C34">
        <f ca="1">SUMIFS(Entrada!$D:$D,Entrada!$H:$H,A34)</f>
        <v>0</v>
      </c>
      <c r="D34" s="1">
        <f t="shared" ca="1" si="0"/>
        <v>0</v>
      </c>
      <c r="E34" s="3">
        <f ca="1">SUMIFS(Saida!$E:$E,Saida!$J:$J,A34)</f>
        <v>0</v>
      </c>
      <c r="F34" s="1">
        <f t="shared" ca="1" si="1"/>
        <v>0</v>
      </c>
    </row>
    <row r="35" spans="1:6" x14ac:dyDescent="0.3">
      <c r="A35" t="str">
        <f ca="1">BD_INFO!A34</f>
        <v/>
      </c>
      <c r="B35" s="1">
        <f ca="1">SUMIFS(Custos!$B:$B,Custos!$D:$D,A35)</f>
        <v>0</v>
      </c>
      <c r="C35">
        <f ca="1">SUMIFS(Entrada!$D:$D,Entrada!$H:$H,A35)</f>
        <v>0</v>
      </c>
      <c r="D35" s="1">
        <f t="shared" ca="1" si="0"/>
        <v>0</v>
      </c>
      <c r="E35" s="3">
        <f ca="1">SUMIFS(Saida!$E:$E,Saida!$J:$J,A35)</f>
        <v>0</v>
      </c>
      <c r="F35" s="1">
        <f t="shared" ca="1" si="1"/>
        <v>0</v>
      </c>
    </row>
    <row r="36" spans="1:6" x14ac:dyDescent="0.3">
      <c r="A36" t="str">
        <f ca="1">BD_INFO!A35</f>
        <v/>
      </c>
      <c r="B36" s="1">
        <f ca="1">SUMIFS(Custos!$B:$B,Custos!$D:$D,A36)</f>
        <v>0</v>
      </c>
      <c r="C36">
        <f ca="1">SUMIFS(Entrada!$D:$D,Entrada!$H:$H,A36)</f>
        <v>0</v>
      </c>
      <c r="D36" s="1">
        <f t="shared" ca="1" si="0"/>
        <v>0</v>
      </c>
      <c r="E36" s="3">
        <f ca="1">SUMIFS(Saida!$E:$E,Saida!$J:$J,A36)</f>
        <v>0</v>
      </c>
      <c r="F36" s="1">
        <f t="shared" ca="1" si="1"/>
        <v>0</v>
      </c>
    </row>
    <row r="37" spans="1:6" x14ac:dyDescent="0.3">
      <c r="A37" t="str">
        <f ca="1">BD_INFO!A36</f>
        <v/>
      </c>
      <c r="B37" s="1">
        <f ca="1">SUMIFS(Custos!$B:$B,Custos!$D:$D,A37)</f>
        <v>0</v>
      </c>
      <c r="C37">
        <f ca="1">SUMIFS(Entrada!$D:$D,Entrada!$H:$H,A37)</f>
        <v>0</v>
      </c>
      <c r="D37" s="1">
        <f t="shared" ca="1" si="0"/>
        <v>0</v>
      </c>
      <c r="E37" s="3">
        <f ca="1">SUMIFS(Saida!$E:$E,Saida!$J:$J,A37)</f>
        <v>0</v>
      </c>
      <c r="F37" s="1">
        <f t="shared" ca="1" si="1"/>
        <v>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727CB-9A84-4FCF-B0D0-4634D88D42BD}">
  <sheetPr codeName="Planilha4"/>
  <dimension ref="A1:H17"/>
  <sheetViews>
    <sheetView workbookViewId="0">
      <selection activeCell="A2" sqref="A2:H2"/>
    </sheetView>
  </sheetViews>
  <sheetFormatPr defaultRowHeight="14.4" x14ac:dyDescent="0.3"/>
  <cols>
    <col min="1" max="1" width="5" bestFit="1" customWidth="1"/>
    <col min="2" max="2" width="11.88671875" bestFit="1" customWidth="1"/>
    <col min="3" max="3" width="17.77734375" bestFit="1" customWidth="1"/>
    <col min="5" max="5" width="5.88671875" bestFit="1" customWidth="1"/>
    <col min="6" max="6" width="11.44140625" bestFit="1" customWidth="1"/>
    <col min="7" max="8" width="14.5546875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21</v>
      </c>
      <c r="E1" t="s">
        <v>22</v>
      </c>
      <c r="F1" t="s">
        <v>19</v>
      </c>
      <c r="G1" t="s">
        <v>15</v>
      </c>
      <c r="H1" t="s">
        <v>34</v>
      </c>
    </row>
    <row r="2" spans="1:8" x14ac:dyDescent="0.3">
      <c r="G2" s="1"/>
      <c r="H2" s="1"/>
    </row>
    <row r="3" spans="1:8" x14ac:dyDescent="0.3">
      <c r="G3" s="1"/>
      <c r="H3" s="1"/>
    </row>
    <row r="4" spans="1:8" x14ac:dyDescent="0.3">
      <c r="G4" s="1"/>
      <c r="H4" s="1"/>
    </row>
    <row r="5" spans="1:8" x14ac:dyDescent="0.3">
      <c r="G5" s="1"/>
      <c r="H5" s="1"/>
    </row>
    <row r="6" spans="1:8" x14ac:dyDescent="0.3">
      <c r="G6" s="1"/>
      <c r="H6" s="1"/>
    </row>
    <row r="7" spans="1:8" x14ac:dyDescent="0.3">
      <c r="G7" s="1"/>
      <c r="H7" s="1"/>
    </row>
    <row r="8" spans="1:8" x14ac:dyDescent="0.3">
      <c r="G8" s="1"/>
      <c r="H8" s="1"/>
    </row>
    <row r="9" spans="1:8" x14ac:dyDescent="0.3">
      <c r="G9" s="1"/>
      <c r="H9" s="1"/>
    </row>
    <row r="10" spans="1:8" x14ac:dyDescent="0.3">
      <c r="G10" s="1"/>
      <c r="H10" s="1"/>
    </row>
    <row r="11" spans="1:8" x14ac:dyDescent="0.3">
      <c r="G11" s="1"/>
      <c r="H11" s="1"/>
    </row>
    <row r="12" spans="1:8" x14ac:dyDescent="0.3">
      <c r="G12" s="1"/>
      <c r="H12" s="1"/>
    </row>
    <row r="13" spans="1:8" x14ac:dyDescent="0.3">
      <c r="G13" s="1"/>
      <c r="H13" s="1"/>
    </row>
    <row r="14" spans="1:8" x14ac:dyDescent="0.3">
      <c r="G14" s="1"/>
      <c r="H14" s="1"/>
    </row>
    <row r="15" spans="1:8" x14ac:dyDescent="0.3">
      <c r="G15" s="1"/>
      <c r="H15" s="1"/>
    </row>
    <row r="16" spans="1:8" x14ac:dyDescent="0.3">
      <c r="G16" s="1"/>
      <c r="H16" s="1"/>
    </row>
    <row r="17" spans="7:8" x14ac:dyDescent="0.3">
      <c r="G17" s="1"/>
      <c r="H17" s="1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81832-AEB9-41E4-B107-FEF063A27FF2}">
  <sheetPr codeName="Planilha14"/>
  <dimension ref="A1:H1"/>
  <sheetViews>
    <sheetView workbookViewId="0">
      <selection activeCell="A2" sqref="A2:H2"/>
    </sheetView>
  </sheetViews>
  <sheetFormatPr defaultRowHeight="14.4" x14ac:dyDescent="0.3"/>
  <cols>
    <col min="1" max="1" width="5" bestFit="1" customWidth="1"/>
    <col min="2" max="2" width="11.88671875" bestFit="1" customWidth="1"/>
    <col min="3" max="3" width="17.77734375" bestFit="1" customWidth="1"/>
    <col min="5" max="5" width="5.88671875" bestFit="1" customWidth="1"/>
    <col min="6" max="6" width="5.5546875" bestFit="1" customWidth="1"/>
    <col min="7" max="7" width="14.44140625" style="1" bestFit="1" customWidth="1"/>
    <col min="8" max="8" width="14.21875" style="1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21</v>
      </c>
      <c r="E1" t="s">
        <v>22</v>
      </c>
      <c r="F1" t="s">
        <v>19</v>
      </c>
      <c r="G1" t="s">
        <v>15</v>
      </c>
      <c r="H1" t="s">
        <v>34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A4998-5473-4A78-AD85-8BD2132B1453}">
  <sheetPr codeName="Planilha16"/>
  <dimension ref="A1:B11"/>
  <sheetViews>
    <sheetView workbookViewId="0">
      <selection activeCell="B2" sqref="B2"/>
    </sheetView>
  </sheetViews>
  <sheetFormatPr defaultRowHeight="14.4" x14ac:dyDescent="0.3"/>
  <cols>
    <col min="1" max="1" width="12.33203125" bestFit="1" customWidth="1"/>
    <col min="2" max="2" width="14" bestFit="1" customWidth="1"/>
  </cols>
  <sheetData>
    <row r="1" spans="1:2" x14ac:dyDescent="0.3">
      <c r="A1" t="s">
        <v>12</v>
      </c>
      <c r="B1">
        <f>SUM(TempEstoque!$F:$F)</f>
        <v>0</v>
      </c>
    </row>
    <row r="2" spans="1:2" x14ac:dyDescent="0.3">
      <c r="A2" t="s">
        <v>11</v>
      </c>
      <c r="B2" s="5">
        <f>SUM(TempEstoque!$H:$H)</f>
        <v>0</v>
      </c>
    </row>
    <row r="4" spans="1:2" x14ac:dyDescent="0.3">
      <c r="A4" t="s">
        <v>26</v>
      </c>
      <c r="B4" s="2">
        <f ca="1">TODAY()</f>
        <v>45004</v>
      </c>
    </row>
    <row r="5" spans="1:2" x14ac:dyDescent="0.3">
      <c r="A5" t="s">
        <v>28</v>
      </c>
      <c r="B5">
        <f ca="1">MONTH(B4)</f>
        <v>3</v>
      </c>
    </row>
    <row r="6" spans="1:2" x14ac:dyDescent="0.3">
      <c r="A6" t="s">
        <v>27</v>
      </c>
      <c r="B6">
        <f ca="1">YEAR(B4)</f>
        <v>2023</v>
      </c>
    </row>
    <row r="7" spans="1:2" x14ac:dyDescent="0.3">
      <c r="A7" t="s">
        <v>29</v>
      </c>
      <c r="B7" t="str">
        <f ca="1">IFERROR(IF(B5&lt;10,0&amp;B5&amp;"_"&amp;B6,B5&amp;"_"&amp;B6),"")</f>
        <v>03_2023</v>
      </c>
    </row>
    <row r="8" spans="1:2" x14ac:dyDescent="0.3">
      <c r="A8" t="s">
        <v>31</v>
      </c>
      <c r="B8">
        <f ca="1">IFERROR(IF(B5=12,1,B5+1),"")</f>
        <v>4</v>
      </c>
    </row>
    <row r="9" spans="1:2" x14ac:dyDescent="0.3">
      <c r="A9" t="s">
        <v>32</v>
      </c>
      <c r="B9">
        <f ca="1">IFERROR(IF(B5=12,B6+1,B6),"")</f>
        <v>2023</v>
      </c>
    </row>
    <row r="10" spans="1:2" x14ac:dyDescent="0.3">
      <c r="A10" t="s">
        <v>30</v>
      </c>
      <c r="B10" t="str">
        <f ca="1">IFERROR(IF(B8&lt;10,0&amp;B8&amp;"_"&amp;B9,B8&amp;"_"&amp;B9),"")</f>
        <v>04_2023</v>
      </c>
    </row>
    <row r="11" spans="1:2" x14ac:dyDescent="0.3">
      <c r="A11" t="s">
        <v>33</v>
      </c>
      <c r="B11">
        <f ca="1">SUMIFS(Entrada!$D:$D,Entrada!$H:$H,B7)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2D774-9F4C-40DD-B97F-E46B158FA77C}">
  <sheetPr codeName="Planilha2"/>
  <dimension ref="A1:H2991"/>
  <sheetViews>
    <sheetView workbookViewId="0">
      <selection activeCell="A2" sqref="A2:H2"/>
    </sheetView>
  </sheetViews>
  <sheetFormatPr defaultColWidth="11.109375" defaultRowHeight="14.4" x14ac:dyDescent="0.3"/>
  <cols>
    <col min="1" max="1" width="11" bestFit="1" customWidth="1"/>
    <col min="2" max="2" width="12.33203125" bestFit="1" customWidth="1"/>
    <col min="3" max="3" width="48.109375" customWidth="1"/>
    <col min="4" max="4" width="6.109375" bestFit="1" customWidth="1"/>
    <col min="5" max="5" width="11.88671875" bestFit="1" customWidth="1"/>
    <col min="6" max="6" width="12.44140625" bestFit="1" customWidth="1"/>
    <col min="7" max="7" width="10.5546875" style="2" bestFit="1" customWidth="1"/>
    <col min="8" max="8" width="11.8867187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6</v>
      </c>
      <c r="G1" t="s">
        <v>5</v>
      </c>
      <c r="H1" t="s">
        <v>7</v>
      </c>
    </row>
    <row r="2" spans="1:8" x14ac:dyDescent="0.3">
      <c r="E2" s="1"/>
      <c r="F2" s="1"/>
    </row>
    <row r="3" spans="1:8" x14ac:dyDescent="0.3">
      <c r="E3" s="1"/>
      <c r="F3" s="1"/>
    </row>
    <row r="4" spans="1:8" x14ac:dyDescent="0.3">
      <c r="E4" s="1"/>
      <c r="F4" s="1"/>
    </row>
    <row r="5" spans="1:8" x14ac:dyDescent="0.3">
      <c r="E5" s="1"/>
      <c r="F5" s="1"/>
    </row>
    <row r="6" spans="1:8" x14ac:dyDescent="0.3">
      <c r="E6" s="1"/>
      <c r="F6" s="1"/>
    </row>
    <row r="7" spans="1:8" x14ac:dyDescent="0.3">
      <c r="E7" s="1"/>
      <c r="F7" s="1"/>
    </row>
    <row r="8" spans="1:8" x14ac:dyDescent="0.3">
      <c r="E8" s="1"/>
      <c r="F8" s="1"/>
    </row>
    <row r="9" spans="1:8" x14ac:dyDescent="0.3">
      <c r="E9" s="1"/>
      <c r="F9" s="1"/>
    </row>
    <row r="10" spans="1:8" x14ac:dyDescent="0.3">
      <c r="E10" s="1"/>
      <c r="F10" s="1"/>
      <c r="H10" s="5"/>
    </row>
    <row r="11" spans="1:8" x14ac:dyDescent="0.3">
      <c r="E11" s="1"/>
      <c r="F11" s="1"/>
    </row>
    <row r="12" spans="1:8" x14ac:dyDescent="0.3">
      <c r="E12" s="1"/>
      <c r="F12" s="1"/>
    </row>
    <row r="13" spans="1:8" x14ac:dyDescent="0.3">
      <c r="E13" s="1"/>
      <c r="F13" s="1"/>
    </row>
    <row r="14" spans="1:8" x14ac:dyDescent="0.3">
      <c r="E14" s="1"/>
      <c r="F14" s="1"/>
    </row>
    <row r="15" spans="1:8" x14ac:dyDescent="0.3">
      <c r="E15" s="1"/>
      <c r="F15" s="1"/>
    </row>
    <row r="16" spans="1:8" x14ac:dyDescent="0.3">
      <c r="E16" s="1"/>
      <c r="F16" s="1"/>
    </row>
    <row r="17" spans="5:6" x14ac:dyDescent="0.3">
      <c r="E17" s="1"/>
      <c r="F17" s="1"/>
    </row>
    <row r="18" spans="5:6" x14ac:dyDescent="0.3">
      <c r="E18" s="1"/>
      <c r="F18" s="1"/>
    </row>
    <row r="19" spans="5:6" x14ac:dyDescent="0.3">
      <c r="E19" s="1"/>
      <c r="F19" s="1"/>
    </row>
    <row r="20" spans="5:6" x14ac:dyDescent="0.3">
      <c r="E20" s="1"/>
      <c r="F20" s="1"/>
    </row>
    <row r="21" spans="5:6" x14ac:dyDescent="0.3">
      <c r="E21" s="1"/>
      <c r="F21" s="1"/>
    </row>
    <row r="22" spans="5:6" x14ac:dyDescent="0.3">
      <c r="E22" s="1"/>
      <c r="F22" s="1"/>
    </row>
    <row r="23" spans="5:6" x14ac:dyDescent="0.3">
      <c r="E23" s="1"/>
      <c r="F23" s="1"/>
    </row>
    <row r="24" spans="5:6" x14ac:dyDescent="0.3">
      <c r="E24" s="1"/>
      <c r="F24" s="1"/>
    </row>
    <row r="25" spans="5:6" x14ac:dyDescent="0.3">
      <c r="E25" s="1"/>
      <c r="F25" s="1"/>
    </row>
    <row r="26" spans="5:6" x14ac:dyDescent="0.3">
      <c r="E26" s="1"/>
      <c r="F26" s="1"/>
    </row>
    <row r="27" spans="5:6" x14ac:dyDescent="0.3">
      <c r="E27" s="1"/>
      <c r="F27" s="1"/>
    </row>
    <row r="28" spans="5:6" x14ac:dyDescent="0.3">
      <c r="E28" s="1"/>
      <c r="F28" s="1"/>
    </row>
    <row r="29" spans="5:6" x14ac:dyDescent="0.3">
      <c r="E29" s="1"/>
      <c r="F29" s="1"/>
    </row>
    <row r="30" spans="5:6" x14ac:dyDescent="0.3">
      <c r="E30" s="1"/>
      <c r="F30" s="1"/>
    </row>
    <row r="31" spans="5:6" x14ac:dyDescent="0.3">
      <c r="E31" s="1"/>
      <c r="F31" s="1"/>
    </row>
    <row r="32" spans="5:6" x14ac:dyDescent="0.3">
      <c r="E32" s="1"/>
      <c r="F32" s="1"/>
    </row>
    <row r="33" spans="5:6" x14ac:dyDescent="0.3">
      <c r="E33" s="1"/>
      <c r="F33" s="1"/>
    </row>
    <row r="34" spans="5:6" x14ac:dyDescent="0.3">
      <c r="E34" s="1"/>
      <c r="F34" s="1"/>
    </row>
    <row r="35" spans="5:6" x14ac:dyDescent="0.3">
      <c r="E35" s="1"/>
      <c r="F35" s="1"/>
    </row>
    <row r="36" spans="5:6" x14ac:dyDescent="0.3">
      <c r="E36" s="1"/>
      <c r="F36" s="1"/>
    </row>
    <row r="37" spans="5:6" x14ac:dyDescent="0.3">
      <c r="E37" s="1"/>
      <c r="F37" s="1"/>
    </row>
    <row r="38" spans="5:6" x14ac:dyDescent="0.3">
      <c r="E38" s="1"/>
      <c r="F38" s="1"/>
    </row>
    <row r="39" spans="5:6" x14ac:dyDescent="0.3">
      <c r="E39" s="1"/>
      <c r="F39" s="1"/>
    </row>
    <row r="40" spans="5:6" x14ac:dyDescent="0.3">
      <c r="E40" s="1"/>
      <c r="F40" s="1"/>
    </row>
    <row r="41" spans="5:6" x14ac:dyDescent="0.3">
      <c r="E41" s="1"/>
      <c r="F41" s="1"/>
    </row>
    <row r="42" spans="5:6" x14ac:dyDescent="0.3">
      <c r="E42" s="1"/>
      <c r="F42" s="1"/>
    </row>
    <row r="43" spans="5:6" x14ac:dyDescent="0.3">
      <c r="E43" s="1"/>
      <c r="F43" s="1"/>
    </row>
    <row r="44" spans="5:6" x14ac:dyDescent="0.3">
      <c r="E44" s="1"/>
      <c r="F44" s="1"/>
    </row>
    <row r="45" spans="5:6" x14ac:dyDescent="0.3">
      <c r="E45" s="1"/>
      <c r="F45" s="1"/>
    </row>
    <row r="46" spans="5:6" x14ac:dyDescent="0.3">
      <c r="E46" s="1"/>
      <c r="F46" s="1"/>
    </row>
    <row r="47" spans="5:6" x14ac:dyDescent="0.3">
      <c r="E47" s="1"/>
      <c r="F47" s="1"/>
    </row>
    <row r="48" spans="5:6" x14ac:dyDescent="0.3">
      <c r="E48" s="1"/>
      <c r="F48" s="1"/>
    </row>
    <row r="49" spans="2:6" x14ac:dyDescent="0.3">
      <c r="E49" s="1"/>
      <c r="F49" s="1"/>
    </row>
    <row r="50" spans="2:6" x14ac:dyDescent="0.3">
      <c r="E50" s="1"/>
      <c r="F50" s="1"/>
    </row>
    <row r="51" spans="2:6" x14ac:dyDescent="0.3">
      <c r="E51" s="1"/>
      <c r="F51" s="1"/>
    </row>
    <row r="52" spans="2:6" x14ac:dyDescent="0.3">
      <c r="E52" s="1"/>
      <c r="F52" s="1"/>
    </row>
    <row r="53" spans="2:6" x14ac:dyDescent="0.3">
      <c r="B53" t="str">
        <f>IFERROR(IF(A53="","",VLOOKUP(A53,CadProd!$A:$B,2,0)),"")</f>
        <v/>
      </c>
      <c r="C53" t="str">
        <f>IFERROR(IF(A53="","",VLOOKUP(A53,CadProd!$A:$C,3,0)),"")</f>
        <v/>
      </c>
    </row>
    <row r="54" spans="2:6" x14ac:dyDescent="0.3">
      <c r="B54" t="str">
        <f>IFERROR(IF(A54="","",VLOOKUP(A54,CadProd!$A:$B,2,0)),"")</f>
        <v/>
      </c>
      <c r="C54" t="str">
        <f>IFERROR(IF(A54="","",VLOOKUP(A54,CadProd!$A:$C,3,0)),"")</f>
        <v/>
      </c>
    </row>
    <row r="55" spans="2:6" x14ac:dyDescent="0.3">
      <c r="B55" t="str">
        <f>IFERROR(IF(A55="","",VLOOKUP(A55,CadProd!$A:$B,2,0)),"")</f>
        <v/>
      </c>
      <c r="C55" t="str">
        <f>IFERROR(IF(A55="","",VLOOKUP(A55,CadProd!$A:$C,3,0)),"")</f>
        <v/>
      </c>
    </row>
    <row r="56" spans="2:6" x14ac:dyDescent="0.3">
      <c r="B56" t="str">
        <f>IFERROR(IF(A56="","",VLOOKUP(A56,CadProd!$A:$B,2,0)),"")</f>
        <v/>
      </c>
      <c r="C56" t="str">
        <f>IFERROR(IF(A56="","",VLOOKUP(A56,CadProd!$A:$C,3,0)),"")</f>
        <v/>
      </c>
    </row>
    <row r="57" spans="2:6" x14ac:dyDescent="0.3">
      <c r="B57" t="str">
        <f>IFERROR(IF(A57="","",VLOOKUP(A57,CadProd!$A:$B,2,0)),"")</f>
        <v/>
      </c>
      <c r="C57" t="str">
        <f>IFERROR(IF(A57="","",VLOOKUP(A57,CadProd!$A:$C,3,0)),"")</f>
        <v/>
      </c>
    </row>
    <row r="58" spans="2:6" x14ac:dyDescent="0.3">
      <c r="B58" t="str">
        <f>IFERROR(IF(A58="","",VLOOKUP(A58,CadProd!$A:$B,2,0)),"")</f>
        <v/>
      </c>
      <c r="C58" t="str">
        <f>IFERROR(IF(A58="","",VLOOKUP(A58,CadProd!$A:$C,3,0)),"")</f>
        <v/>
      </c>
    </row>
    <row r="59" spans="2:6" x14ac:dyDescent="0.3">
      <c r="B59" t="str">
        <f>IFERROR(IF(A59="","",VLOOKUP(A59,CadProd!$A:$B,2,0)),"")</f>
        <v/>
      </c>
      <c r="C59" t="str">
        <f>IFERROR(IF(A59="","",VLOOKUP(A59,CadProd!$A:$C,3,0)),"")</f>
        <v/>
      </c>
    </row>
    <row r="60" spans="2:6" x14ac:dyDescent="0.3">
      <c r="B60" t="str">
        <f>IFERROR(IF(A60="","",VLOOKUP(A60,CadProd!$A:$B,2,0)),"")</f>
        <v/>
      </c>
      <c r="C60" t="str">
        <f>IFERROR(IF(A60="","",VLOOKUP(A60,CadProd!$A:$C,3,0)),"")</f>
        <v/>
      </c>
    </row>
    <row r="61" spans="2:6" x14ac:dyDescent="0.3">
      <c r="B61" t="str">
        <f>IFERROR(IF(A61="","",VLOOKUP(A61,CadProd!$A:$B,2,0)),"")</f>
        <v/>
      </c>
      <c r="C61" t="str">
        <f>IFERROR(IF(A61="","",VLOOKUP(A61,CadProd!$A:$C,3,0)),"")</f>
        <v/>
      </c>
    </row>
    <row r="62" spans="2:6" x14ac:dyDescent="0.3">
      <c r="B62" t="str">
        <f>IFERROR(IF(A62="","",VLOOKUP(A62,CadProd!$A:$B,2,0)),"")</f>
        <v/>
      </c>
      <c r="C62" t="str">
        <f>IFERROR(IF(A62="","",VLOOKUP(A62,CadProd!$A:$C,3,0)),"")</f>
        <v/>
      </c>
    </row>
    <row r="63" spans="2:6" x14ac:dyDescent="0.3">
      <c r="B63" t="str">
        <f>IFERROR(IF(A63="","",VLOOKUP(A63,CadProd!$A:$B,2,0)),"")</f>
        <v/>
      </c>
      <c r="C63" t="str">
        <f>IFERROR(IF(A63="","",VLOOKUP(A63,CadProd!$A:$C,3,0)),"")</f>
        <v/>
      </c>
    </row>
    <row r="64" spans="2:6" x14ac:dyDescent="0.3">
      <c r="B64" t="str">
        <f>IFERROR(IF(A64="","",VLOOKUP(A64,CadProd!$A:$B,2,0)),"")</f>
        <v/>
      </c>
      <c r="C64" t="str">
        <f>IFERROR(IF(A64="","",VLOOKUP(A64,CadProd!$A:$C,3,0)),"")</f>
        <v/>
      </c>
    </row>
    <row r="65" spans="2:3" x14ac:dyDescent="0.3">
      <c r="B65" t="str">
        <f>IFERROR(IF(A65="","",VLOOKUP(A65,CadProd!$A:$B,2,0)),"")</f>
        <v/>
      </c>
      <c r="C65" t="str">
        <f>IFERROR(IF(A65="","",VLOOKUP(A65,CadProd!$A:$C,3,0)),"")</f>
        <v/>
      </c>
    </row>
    <row r="66" spans="2:3" x14ac:dyDescent="0.3">
      <c r="B66" t="str">
        <f>IFERROR(IF(A66="","",VLOOKUP(A66,CadProd!$A:$B,2,0)),"")</f>
        <v/>
      </c>
      <c r="C66" t="str">
        <f>IFERROR(IF(A66="","",VLOOKUP(A66,CadProd!$A:$C,3,0)),"")</f>
        <v/>
      </c>
    </row>
    <row r="67" spans="2:3" x14ac:dyDescent="0.3">
      <c r="B67" t="str">
        <f>IFERROR(IF(A67="","",VLOOKUP(A67,CadProd!$A:$B,2,0)),"")</f>
        <v/>
      </c>
      <c r="C67" t="str">
        <f>IFERROR(IF(A67="","",VLOOKUP(A67,CadProd!$A:$C,3,0)),"")</f>
        <v/>
      </c>
    </row>
    <row r="68" spans="2:3" x14ac:dyDescent="0.3">
      <c r="B68" t="str">
        <f>IFERROR(IF(A68="","",VLOOKUP(A68,CadProd!$A:$B,2,0)),"")</f>
        <v/>
      </c>
      <c r="C68" t="str">
        <f>IFERROR(IF(A68="","",VLOOKUP(A68,CadProd!$A:$C,3,0)),"")</f>
        <v/>
      </c>
    </row>
    <row r="69" spans="2:3" x14ac:dyDescent="0.3">
      <c r="B69" t="str">
        <f>IFERROR(IF(A69="","",VLOOKUP(A69,CadProd!$A:$B,2,0)),"")</f>
        <v/>
      </c>
      <c r="C69" t="str">
        <f>IFERROR(IF(A69="","",VLOOKUP(A69,CadProd!$A:$C,3,0)),"")</f>
        <v/>
      </c>
    </row>
    <row r="70" spans="2:3" x14ac:dyDescent="0.3">
      <c r="B70" t="str">
        <f>IFERROR(IF(A70="","",VLOOKUP(A70,CadProd!$A:$B,2,0)),"")</f>
        <v/>
      </c>
      <c r="C70" t="str">
        <f>IFERROR(IF(A70="","",VLOOKUP(A70,CadProd!$A:$C,3,0)),"")</f>
        <v/>
      </c>
    </row>
    <row r="71" spans="2:3" x14ac:dyDescent="0.3">
      <c r="B71" t="str">
        <f>IFERROR(IF(A71="","",VLOOKUP(A71,CadProd!$A:$B,2,0)),"")</f>
        <v/>
      </c>
      <c r="C71" t="str">
        <f>IFERROR(IF(A71="","",VLOOKUP(A71,CadProd!$A:$C,3,0)),"")</f>
        <v/>
      </c>
    </row>
    <row r="72" spans="2:3" x14ac:dyDescent="0.3">
      <c r="B72" t="str">
        <f>IFERROR(IF(A72="","",VLOOKUP(A72,CadProd!$A:$B,2,0)),"")</f>
        <v/>
      </c>
      <c r="C72" t="str">
        <f>IFERROR(IF(A72="","",VLOOKUP(A72,CadProd!$A:$C,3,0)),"")</f>
        <v/>
      </c>
    </row>
    <row r="73" spans="2:3" x14ac:dyDescent="0.3">
      <c r="B73" t="str">
        <f>IFERROR(IF(A73="","",VLOOKUP(A73,CadProd!$A:$B,2,0)),"")</f>
        <v/>
      </c>
      <c r="C73" t="str">
        <f>IFERROR(IF(A73="","",VLOOKUP(A73,CadProd!$A:$C,3,0)),"")</f>
        <v/>
      </c>
    </row>
    <row r="74" spans="2:3" x14ac:dyDescent="0.3">
      <c r="B74" t="str">
        <f>IFERROR(IF(A74="","",VLOOKUP(A74,CadProd!$A:$B,2,0)),"")</f>
        <v/>
      </c>
      <c r="C74" t="str">
        <f>IFERROR(IF(A74="","",VLOOKUP(A74,CadProd!$A:$C,3,0)),"")</f>
        <v/>
      </c>
    </row>
    <row r="75" spans="2:3" x14ac:dyDescent="0.3">
      <c r="B75" t="str">
        <f>IFERROR(IF(A75="","",VLOOKUP(A75,CadProd!$A:$B,2,0)),"")</f>
        <v/>
      </c>
      <c r="C75" t="str">
        <f>IFERROR(IF(A75="","",VLOOKUP(A75,CadProd!$A:$C,3,0)),"")</f>
        <v/>
      </c>
    </row>
    <row r="76" spans="2:3" x14ac:dyDescent="0.3">
      <c r="B76" t="str">
        <f>IFERROR(IF(A76="","",VLOOKUP(A76,CadProd!$A:$B,2,0)),"")</f>
        <v/>
      </c>
      <c r="C76" t="str">
        <f>IFERROR(IF(A76="","",VLOOKUP(A76,CadProd!$A:$C,3,0)),"")</f>
        <v/>
      </c>
    </row>
    <row r="77" spans="2:3" x14ac:dyDescent="0.3">
      <c r="B77" t="str">
        <f>IFERROR(IF(A77="","",VLOOKUP(A77,CadProd!$A:$B,2,0)),"")</f>
        <v/>
      </c>
      <c r="C77" t="str">
        <f>IFERROR(IF(A77="","",VLOOKUP(A77,CadProd!$A:$C,3,0)),"")</f>
        <v/>
      </c>
    </row>
    <row r="78" spans="2:3" x14ac:dyDescent="0.3">
      <c r="B78" t="str">
        <f>IFERROR(IF(A78="","",VLOOKUP(A78,CadProd!$A:$B,2,0)),"")</f>
        <v/>
      </c>
      <c r="C78" t="str">
        <f>IFERROR(IF(A78="","",VLOOKUP(A78,CadProd!$A:$C,3,0)),"")</f>
        <v/>
      </c>
    </row>
    <row r="79" spans="2:3" x14ac:dyDescent="0.3">
      <c r="B79" t="str">
        <f>IFERROR(IF(A79="","",VLOOKUP(A79,CadProd!$A:$B,2,0)),"")</f>
        <v/>
      </c>
      <c r="C79" t="str">
        <f>IFERROR(IF(A79="","",VLOOKUP(A79,CadProd!$A:$C,3,0)),"")</f>
        <v/>
      </c>
    </row>
    <row r="80" spans="2:3" x14ac:dyDescent="0.3">
      <c r="B80" t="str">
        <f>IFERROR(IF(A80="","",VLOOKUP(A80,CadProd!$A:$B,2,0)),"")</f>
        <v/>
      </c>
      <c r="C80" t="str">
        <f>IFERROR(IF(A80="","",VLOOKUP(A80,CadProd!$A:$C,3,0)),"")</f>
        <v/>
      </c>
    </row>
    <row r="81" spans="2:3" x14ac:dyDescent="0.3">
      <c r="B81" t="str">
        <f>IFERROR(IF(A81="","",VLOOKUP(A81,CadProd!$A:$B,2,0)),"")</f>
        <v/>
      </c>
      <c r="C81" t="str">
        <f>IFERROR(IF(A81="","",VLOOKUP(A81,CadProd!$A:$C,3,0)),"")</f>
        <v/>
      </c>
    </row>
    <row r="82" spans="2:3" x14ac:dyDescent="0.3">
      <c r="B82" t="str">
        <f>IFERROR(IF(A82="","",VLOOKUP(A82,CadProd!$A:$B,2,0)),"")</f>
        <v/>
      </c>
      <c r="C82" t="str">
        <f>IFERROR(IF(A82="","",VLOOKUP(A82,CadProd!$A:$C,3,0)),"")</f>
        <v/>
      </c>
    </row>
    <row r="83" spans="2:3" x14ac:dyDescent="0.3">
      <c r="B83" t="str">
        <f>IFERROR(IF(A83="","",VLOOKUP(A83,CadProd!$A:$B,2,0)),"")</f>
        <v/>
      </c>
      <c r="C83" t="str">
        <f>IFERROR(IF(A83="","",VLOOKUP(A83,CadProd!$A:$C,3,0)),"")</f>
        <v/>
      </c>
    </row>
    <row r="84" spans="2:3" x14ac:dyDescent="0.3">
      <c r="B84" t="str">
        <f>IFERROR(IF(A84="","",VLOOKUP(A84,CadProd!$A:$B,2,0)),"")</f>
        <v/>
      </c>
      <c r="C84" t="str">
        <f>IFERROR(IF(A84="","",VLOOKUP(A84,CadProd!$A:$C,3,0)),"")</f>
        <v/>
      </c>
    </row>
    <row r="85" spans="2:3" x14ac:dyDescent="0.3">
      <c r="B85" t="str">
        <f>IFERROR(IF(A85="","",VLOOKUP(A85,CadProd!$A:$B,2,0)),"")</f>
        <v/>
      </c>
      <c r="C85" t="str">
        <f>IFERROR(IF(A85="","",VLOOKUP(A85,CadProd!$A:$C,3,0)),"")</f>
        <v/>
      </c>
    </row>
    <row r="86" spans="2:3" x14ac:dyDescent="0.3">
      <c r="B86" t="str">
        <f>IFERROR(IF(A86="","",VLOOKUP(A86,CadProd!$A:$B,2,0)),"")</f>
        <v/>
      </c>
      <c r="C86" t="str">
        <f>IFERROR(IF(A86="","",VLOOKUP(A86,CadProd!$A:$C,3,0)),"")</f>
        <v/>
      </c>
    </row>
    <row r="87" spans="2:3" x14ac:dyDescent="0.3">
      <c r="B87" t="str">
        <f>IFERROR(IF(A87="","",VLOOKUP(A87,CadProd!$A:$B,2,0)),"")</f>
        <v/>
      </c>
      <c r="C87" t="str">
        <f>IFERROR(IF(A87="","",VLOOKUP(A87,CadProd!$A:$C,3,0)),"")</f>
        <v/>
      </c>
    </row>
    <row r="88" spans="2:3" x14ac:dyDescent="0.3">
      <c r="B88" t="str">
        <f>IFERROR(IF(A88="","",VLOOKUP(A88,CadProd!$A:$B,2,0)),"")</f>
        <v/>
      </c>
      <c r="C88" t="str">
        <f>IFERROR(IF(A88="","",VLOOKUP(A88,CadProd!$A:$C,3,0)),"")</f>
        <v/>
      </c>
    </row>
    <row r="89" spans="2:3" x14ac:dyDescent="0.3">
      <c r="B89" t="str">
        <f>IFERROR(IF(A89="","",VLOOKUP(A89,CadProd!$A:$B,2,0)),"")</f>
        <v/>
      </c>
      <c r="C89" t="str">
        <f>IFERROR(IF(A89="","",VLOOKUP(A89,CadProd!$A:$C,3,0)),"")</f>
        <v/>
      </c>
    </row>
    <row r="90" spans="2:3" x14ac:dyDescent="0.3">
      <c r="B90" t="str">
        <f>IFERROR(IF(A90="","",VLOOKUP(A90,CadProd!$A:$B,2,0)),"")</f>
        <v/>
      </c>
      <c r="C90" t="str">
        <f>IFERROR(IF(A90="","",VLOOKUP(A90,CadProd!$A:$C,3,0)),"")</f>
        <v/>
      </c>
    </row>
    <row r="91" spans="2:3" x14ac:dyDescent="0.3">
      <c r="B91" t="str">
        <f>IFERROR(IF(A91="","",VLOOKUP(A91,CadProd!$A:$B,2,0)),"")</f>
        <v/>
      </c>
      <c r="C91" t="str">
        <f>IFERROR(IF(A91="","",VLOOKUP(A91,CadProd!$A:$C,3,0)),"")</f>
        <v/>
      </c>
    </row>
    <row r="92" spans="2:3" x14ac:dyDescent="0.3">
      <c r="B92" t="str">
        <f>IFERROR(IF(A92="","",VLOOKUP(A92,CadProd!$A:$B,2,0)),"")</f>
        <v/>
      </c>
      <c r="C92" t="str">
        <f>IFERROR(IF(A92="","",VLOOKUP(A92,CadProd!$A:$C,3,0)),"")</f>
        <v/>
      </c>
    </row>
    <row r="93" spans="2:3" x14ac:dyDescent="0.3">
      <c r="B93" t="str">
        <f>IFERROR(IF(A93="","",VLOOKUP(A93,CadProd!$A:$B,2,0)),"")</f>
        <v/>
      </c>
      <c r="C93" t="str">
        <f>IFERROR(IF(A93="","",VLOOKUP(A93,CadProd!$A:$C,3,0)),"")</f>
        <v/>
      </c>
    </row>
    <row r="94" spans="2:3" x14ac:dyDescent="0.3">
      <c r="B94" t="str">
        <f>IFERROR(IF(A94="","",VLOOKUP(A94,CadProd!$A:$B,2,0)),"")</f>
        <v/>
      </c>
      <c r="C94" t="str">
        <f>IFERROR(IF(A94="","",VLOOKUP(A94,CadProd!$A:$C,3,0)),"")</f>
        <v/>
      </c>
    </row>
    <row r="95" spans="2:3" x14ac:dyDescent="0.3">
      <c r="B95" t="str">
        <f>IFERROR(IF(A95="","",VLOOKUP(A95,CadProd!$A:$B,2,0)),"")</f>
        <v/>
      </c>
      <c r="C95" t="str">
        <f>IFERROR(IF(A95="","",VLOOKUP(A95,CadProd!$A:$C,3,0)),"")</f>
        <v/>
      </c>
    </row>
    <row r="96" spans="2:3" x14ac:dyDescent="0.3">
      <c r="B96" t="str">
        <f>IFERROR(IF(A96="","",VLOOKUP(A96,CadProd!$A:$B,2,0)),"")</f>
        <v/>
      </c>
      <c r="C96" t="str">
        <f>IFERROR(IF(A96="","",VLOOKUP(A96,CadProd!$A:$C,3,0)),"")</f>
        <v/>
      </c>
    </row>
    <row r="97" spans="2:3" x14ac:dyDescent="0.3">
      <c r="B97" t="str">
        <f>IFERROR(IF(A97="","",VLOOKUP(A97,CadProd!$A:$B,2,0)),"")</f>
        <v/>
      </c>
      <c r="C97" t="str">
        <f>IFERROR(IF(A97="","",VLOOKUP(A97,CadProd!$A:$C,3,0)),"")</f>
        <v/>
      </c>
    </row>
    <row r="98" spans="2:3" x14ac:dyDescent="0.3">
      <c r="B98" t="str">
        <f>IFERROR(IF(A98="","",VLOOKUP(A98,CadProd!$A:$B,2,0)),"")</f>
        <v/>
      </c>
      <c r="C98" t="str">
        <f>IFERROR(IF(A98="","",VLOOKUP(A98,CadProd!$A:$C,3,0)),"")</f>
        <v/>
      </c>
    </row>
    <row r="99" spans="2:3" x14ac:dyDescent="0.3">
      <c r="B99" t="str">
        <f>IFERROR(IF(A99="","",VLOOKUP(A99,CadProd!$A:$B,2,0)),"")</f>
        <v/>
      </c>
      <c r="C99" t="str">
        <f>IFERROR(IF(A99="","",VLOOKUP(A99,CadProd!$A:$C,3,0)),"")</f>
        <v/>
      </c>
    </row>
    <row r="100" spans="2:3" x14ac:dyDescent="0.3">
      <c r="B100" t="str">
        <f>IFERROR(IF(A100="","",VLOOKUP(A100,CadProd!$A:$B,2,0)),"")</f>
        <v/>
      </c>
      <c r="C100" t="str">
        <f>IFERROR(IF(A100="","",VLOOKUP(A100,CadProd!$A:$C,3,0)),"")</f>
        <v/>
      </c>
    </row>
    <row r="101" spans="2:3" x14ac:dyDescent="0.3">
      <c r="B101" t="str">
        <f>IFERROR(IF(A101="","",VLOOKUP(A101,CadProd!$A:$B,2,0)),"")</f>
        <v/>
      </c>
      <c r="C101" t="str">
        <f>IFERROR(IF(A101="","",VLOOKUP(A101,CadProd!$A:$C,3,0)),"")</f>
        <v/>
      </c>
    </row>
    <row r="102" spans="2:3" x14ac:dyDescent="0.3">
      <c r="B102" t="str">
        <f>IFERROR(IF(A102="","",VLOOKUP(A102,CadProd!$A:$B,2,0)),"")</f>
        <v/>
      </c>
      <c r="C102" t="str">
        <f>IFERROR(IF(A102="","",VLOOKUP(A102,CadProd!$A:$C,3,0)),"")</f>
        <v/>
      </c>
    </row>
    <row r="103" spans="2:3" x14ac:dyDescent="0.3">
      <c r="B103" t="str">
        <f>IFERROR(IF(A103="","",VLOOKUP(A103,CadProd!$A:$B,2,0)),"")</f>
        <v/>
      </c>
      <c r="C103" t="str">
        <f>IFERROR(IF(A103="","",VLOOKUP(A103,CadProd!$A:$C,3,0)),"")</f>
        <v/>
      </c>
    </row>
    <row r="104" spans="2:3" x14ac:dyDescent="0.3">
      <c r="B104" t="str">
        <f>IFERROR(IF(A104="","",VLOOKUP(A104,CadProd!$A:$B,2,0)),"")</f>
        <v/>
      </c>
      <c r="C104" t="str">
        <f>IFERROR(IF(A104="","",VLOOKUP(A104,CadProd!$A:$C,3,0)),"")</f>
        <v/>
      </c>
    </row>
    <row r="105" spans="2:3" x14ac:dyDescent="0.3">
      <c r="B105" t="str">
        <f>IFERROR(IF(A105="","",VLOOKUP(A105,CadProd!$A:$B,2,0)),"")</f>
        <v/>
      </c>
      <c r="C105" t="str">
        <f>IFERROR(IF(A105="","",VLOOKUP(A105,CadProd!$A:$C,3,0)),"")</f>
        <v/>
      </c>
    </row>
    <row r="106" spans="2:3" x14ac:dyDescent="0.3">
      <c r="B106" t="str">
        <f>IFERROR(IF(A106="","",VLOOKUP(A106,CadProd!$A:$B,2,0)),"")</f>
        <v/>
      </c>
      <c r="C106" t="str">
        <f>IFERROR(IF(A106="","",VLOOKUP(A106,CadProd!$A:$C,3,0)),"")</f>
        <v/>
      </c>
    </row>
    <row r="107" spans="2:3" x14ac:dyDescent="0.3">
      <c r="B107" t="str">
        <f>IFERROR(IF(A107="","",VLOOKUP(A107,CadProd!$A:$B,2,0)),"")</f>
        <v/>
      </c>
      <c r="C107" t="str">
        <f>IFERROR(IF(A107="","",VLOOKUP(A107,CadProd!$A:$C,3,0)),"")</f>
        <v/>
      </c>
    </row>
    <row r="108" spans="2:3" x14ac:dyDescent="0.3">
      <c r="B108" t="str">
        <f>IFERROR(IF(A108="","",VLOOKUP(A108,CadProd!$A:$B,2,0)),"")</f>
        <v/>
      </c>
      <c r="C108" t="str">
        <f>IFERROR(IF(A108="","",VLOOKUP(A108,CadProd!$A:$C,3,0)),"")</f>
        <v/>
      </c>
    </row>
    <row r="109" spans="2:3" x14ac:dyDescent="0.3">
      <c r="B109" t="str">
        <f>IFERROR(IF(A109="","",VLOOKUP(A109,CadProd!$A:$B,2,0)),"")</f>
        <v/>
      </c>
      <c r="C109" t="str">
        <f>IFERROR(IF(A109="","",VLOOKUP(A109,CadProd!$A:$C,3,0)),"")</f>
        <v/>
      </c>
    </row>
    <row r="110" spans="2:3" x14ac:dyDescent="0.3">
      <c r="B110" t="str">
        <f>IFERROR(IF(A110="","",VLOOKUP(A110,CadProd!$A:$B,2,0)),"")</f>
        <v/>
      </c>
      <c r="C110" t="str">
        <f>IFERROR(IF(A110="","",VLOOKUP(A110,CadProd!$A:$C,3,0)),"")</f>
        <v/>
      </c>
    </row>
    <row r="111" spans="2:3" x14ac:dyDescent="0.3">
      <c r="B111" t="str">
        <f>IFERROR(IF(A111="","",VLOOKUP(A111,CadProd!$A:$B,2,0)),"")</f>
        <v/>
      </c>
      <c r="C111" t="str">
        <f>IFERROR(IF(A111="","",VLOOKUP(A111,CadProd!$A:$C,3,0)),"")</f>
        <v/>
      </c>
    </row>
    <row r="112" spans="2:3" x14ac:dyDescent="0.3">
      <c r="B112" t="str">
        <f>IFERROR(IF(A112="","",VLOOKUP(A112,CadProd!$A:$B,2,0)),"")</f>
        <v/>
      </c>
      <c r="C112" t="str">
        <f>IFERROR(IF(A112="","",VLOOKUP(A112,CadProd!$A:$C,3,0)),"")</f>
        <v/>
      </c>
    </row>
    <row r="113" spans="2:3" x14ac:dyDescent="0.3">
      <c r="B113" t="str">
        <f>IFERROR(IF(A113="","",VLOOKUP(A113,CadProd!$A:$B,2,0)),"")</f>
        <v/>
      </c>
      <c r="C113" t="str">
        <f>IFERROR(IF(A113="","",VLOOKUP(A113,CadProd!$A:$C,3,0)),"")</f>
        <v/>
      </c>
    </row>
    <row r="114" spans="2:3" x14ac:dyDescent="0.3">
      <c r="B114" t="str">
        <f>IFERROR(IF(A114="","",VLOOKUP(A114,CadProd!$A:$B,2,0)),"")</f>
        <v/>
      </c>
      <c r="C114" t="str">
        <f>IFERROR(IF(A114="","",VLOOKUP(A114,CadProd!$A:$C,3,0)),"")</f>
        <v/>
      </c>
    </row>
    <row r="115" spans="2:3" x14ac:dyDescent="0.3">
      <c r="B115" t="str">
        <f>IFERROR(IF(A115="","",VLOOKUP(A115,CadProd!$A:$B,2,0)),"")</f>
        <v/>
      </c>
      <c r="C115" t="str">
        <f>IFERROR(IF(A115="","",VLOOKUP(A115,CadProd!$A:$C,3,0)),"")</f>
        <v/>
      </c>
    </row>
    <row r="116" spans="2:3" x14ac:dyDescent="0.3">
      <c r="B116" t="str">
        <f>IFERROR(IF(A116="","",VLOOKUP(A116,CadProd!$A:$B,2,0)),"")</f>
        <v/>
      </c>
      <c r="C116" t="str">
        <f>IFERROR(IF(A116="","",VLOOKUP(A116,CadProd!$A:$C,3,0)),"")</f>
        <v/>
      </c>
    </row>
    <row r="117" spans="2:3" x14ac:dyDescent="0.3">
      <c r="B117" t="str">
        <f>IFERROR(IF(A117="","",VLOOKUP(A117,CadProd!$A:$B,2,0)),"")</f>
        <v/>
      </c>
      <c r="C117" t="str">
        <f>IFERROR(IF(A117="","",VLOOKUP(A117,CadProd!$A:$C,3,0)),"")</f>
        <v/>
      </c>
    </row>
    <row r="118" spans="2:3" x14ac:dyDescent="0.3">
      <c r="B118" t="str">
        <f>IFERROR(IF(A118="","",VLOOKUP(A118,CadProd!$A:$B,2,0)),"")</f>
        <v/>
      </c>
      <c r="C118" t="str">
        <f>IFERROR(IF(A118="","",VLOOKUP(A118,CadProd!$A:$C,3,0)),"")</f>
        <v/>
      </c>
    </row>
    <row r="119" spans="2:3" x14ac:dyDescent="0.3">
      <c r="B119" t="str">
        <f>IFERROR(IF(A119="","",VLOOKUP(A119,CadProd!$A:$B,2,0)),"")</f>
        <v/>
      </c>
      <c r="C119" t="str">
        <f>IFERROR(IF(A119="","",VLOOKUP(A119,CadProd!$A:$C,3,0)),"")</f>
        <v/>
      </c>
    </row>
    <row r="120" spans="2:3" x14ac:dyDescent="0.3">
      <c r="B120" t="str">
        <f>IFERROR(IF(A120="","",VLOOKUP(A120,CadProd!$A:$B,2,0)),"")</f>
        <v/>
      </c>
      <c r="C120" t="str">
        <f>IFERROR(IF(A120="","",VLOOKUP(A120,CadProd!$A:$C,3,0)),"")</f>
        <v/>
      </c>
    </row>
    <row r="121" spans="2:3" x14ac:dyDescent="0.3">
      <c r="B121" t="str">
        <f>IFERROR(IF(A121="","",VLOOKUP(A121,CadProd!$A:$B,2,0)),"")</f>
        <v/>
      </c>
      <c r="C121" t="str">
        <f>IFERROR(IF(A121="","",VLOOKUP(A121,CadProd!$A:$C,3,0)),"")</f>
        <v/>
      </c>
    </row>
    <row r="122" spans="2:3" x14ac:dyDescent="0.3">
      <c r="B122" t="str">
        <f>IFERROR(IF(A122="","",VLOOKUP(A122,CadProd!$A:$B,2,0)),"")</f>
        <v/>
      </c>
      <c r="C122" t="str">
        <f>IFERROR(IF(A122="","",VLOOKUP(A122,CadProd!$A:$C,3,0)),"")</f>
        <v/>
      </c>
    </row>
    <row r="123" spans="2:3" x14ac:dyDescent="0.3">
      <c r="B123" t="str">
        <f>IFERROR(IF(A123="","",VLOOKUP(A123,CadProd!$A:$B,2,0)),"")</f>
        <v/>
      </c>
      <c r="C123" t="str">
        <f>IFERROR(IF(A123="","",VLOOKUP(A123,CadProd!$A:$C,3,0)),"")</f>
        <v/>
      </c>
    </row>
    <row r="124" spans="2:3" x14ac:dyDescent="0.3">
      <c r="B124" t="str">
        <f>IFERROR(IF(A124="","",VLOOKUP(A124,CadProd!$A:$B,2,0)),"")</f>
        <v/>
      </c>
      <c r="C124" t="str">
        <f>IFERROR(IF(A124="","",VLOOKUP(A124,CadProd!$A:$C,3,0)),"")</f>
        <v/>
      </c>
    </row>
    <row r="125" spans="2:3" x14ac:dyDescent="0.3">
      <c r="B125" t="str">
        <f>IFERROR(IF(A125="","",VLOOKUP(A125,CadProd!$A:$B,2,0)),"")</f>
        <v/>
      </c>
      <c r="C125" t="str">
        <f>IFERROR(IF(A125="","",VLOOKUP(A125,CadProd!$A:$C,3,0)),"")</f>
        <v/>
      </c>
    </row>
    <row r="126" spans="2:3" x14ac:dyDescent="0.3">
      <c r="B126" t="str">
        <f>IFERROR(IF(A126="","",VLOOKUP(A126,CadProd!$A:$B,2,0)),"")</f>
        <v/>
      </c>
      <c r="C126" t="str">
        <f>IFERROR(IF(A126="","",VLOOKUP(A126,CadProd!$A:$C,3,0)),"")</f>
        <v/>
      </c>
    </row>
    <row r="127" spans="2:3" x14ac:dyDescent="0.3">
      <c r="B127" t="str">
        <f>IFERROR(IF(A127="","",VLOOKUP(A127,CadProd!$A:$B,2,0)),"")</f>
        <v/>
      </c>
      <c r="C127" t="str">
        <f>IFERROR(IF(A127="","",VLOOKUP(A127,CadProd!$A:$C,3,0)),"")</f>
        <v/>
      </c>
    </row>
    <row r="128" spans="2:3" x14ac:dyDescent="0.3">
      <c r="B128" t="str">
        <f>IFERROR(IF(A128="","",VLOOKUP(A128,CadProd!$A:$B,2,0)),"")</f>
        <v/>
      </c>
      <c r="C128" t="str">
        <f>IFERROR(IF(A128="","",VLOOKUP(A128,CadProd!$A:$C,3,0)),"")</f>
        <v/>
      </c>
    </row>
    <row r="129" spans="2:3" x14ac:dyDescent="0.3">
      <c r="B129" t="str">
        <f>IFERROR(IF(A129="","",VLOOKUP(A129,CadProd!$A:$B,2,0)),"")</f>
        <v/>
      </c>
      <c r="C129" t="str">
        <f>IFERROR(IF(A129="","",VLOOKUP(A129,CadProd!$A:$C,3,0)),"")</f>
        <v/>
      </c>
    </row>
    <row r="130" spans="2:3" x14ac:dyDescent="0.3">
      <c r="B130" t="str">
        <f>IFERROR(IF(A130="","",VLOOKUP(A130,CadProd!$A:$B,2,0)),"")</f>
        <v/>
      </c>
      <c r="C130" t="str">
        <f>IFERROR(IF(A130="","",VLOOKUP(A130,CadProd!$A:$C,3,0)),"")</f>
        <v/>
      </c>
    </row>
    <row r="131" spans="2:3" x14ac:dyDescent="0.3">
      <c r="B131" t="str">
        <f>IFERROR(IF(A131="","",VLOOKUP(A131,CadProd!$A:$B,2,0)),"")</f>
        <v/>
      </c>
      <c r="C131" t="str">
        <f>IFERROR(IF(A131="","",VLOOKUP(A131,CadProd!$A:$C,3,0)),"")</f>
        <v/>
      </c>
    </row>
    <row r="132" spans="2:3" x14ac:dyDescent="0.3">
      <c r="B132" t="str">
        <f>IFERROR(IF(A132="","",VLOOKUP(A132,CadProd!$A:$B,2,0)),"")</f>
        <v/>
      </c>
      <c r="C132" t="str">
        <f>IFERROR(IF(A132="","",VLOOKUP(A132,CadProd!$A:$C,3,0)),"")</f>
        <v/>
      </c>
    </row>
    <row r="133" spans="2:3" x14ac:dyDescent="0.3">
      <c r="B133" t="str">
        <f>IFERROR(IF(A133="","",VLOOKUP(A133,CadProd!$A:$B,2,0)),"")</f>
        <v/>
      </c>
      <c r="C133" t="str">
        <f>IFERROR(IF(A133="","",VLOOKUP(A133,CadProd!$A:$C,3,0)),"")</f>
        <v/>
      </c>
    </row>
    <row r="134" spans="2:3" x14ac:dyDescent="0.3">
      <c r="B134" t="str">
        <f>IFERROR(IF(A134="","",VLOOKUP(A134,CadProd!$A:$B,2,0)),"")</f>
        <v/>
      </c>
      <c r="C134" t="str">
        <f>IFERROR(IF(A134="","",VLOOKUP(A134,CadProd!$A:$C,3,0)),"")</f>
        <v/>
      </c>
    </row>
    <row r="135" spans="2:3" x14ac:dyDescent="0.3">
      <c r="B135" t="str">
        <f>IFERROR(IF(A135="","",VLOOKUP(A135,CadProd!$A:$B,2,0)),"")</f>
        <v/>
      </c>
      <c r="C135" t="str">
        <f>IFERROR(IF(A135="","",VLOOKUP(A135,CadProd!$A:$C,3,0)),"")</f>
        <v/>
      </c>
    </row>
    <row r="136" spans="2:3" x14ac:dyDescent="0.3">
      <c r="B136" t="str">
        <f>IFERROR(IF(A136="","",VLOOKUP(A136,CadProd!$A:$B,2,0)),"")</f>
        <v/>
      </c>
      <c r="C136" t="str">
        <f>IFERROR(IF(A136="","",VLOOKUP(A136,CadProd!$A:$C,3,0)),"")</f>
        <v/>
      </c>
    </row>
    <row r="137" spans="2:3" x14ac:dyDescent="0.3">
      <c r="B137" t="str">
        <f>IFERROR(IF(A137="","",VLOOKUP(A137,CadProd!$A:$B,2,0)),"")</f>
        <v/>
      </c>
      <c r="C137" t="str">
        <f>IFERROR(IF(A137="","",VLOOKUP(A137,CadProd!$A:$C,3,0)),"")</f>
        <v/>
      </c>
    </row>
    <row r="138" spans="2:3" x14ac:dyDescent="0.3">
      <c r="B138" t="str">
        <f>IFERROR(IF(A138="","",VLOOKUP(A138,CadProd!$A:$B,2,0)),"")</f>
        <v/>
      </c>
      <c r="C138" t="str">
        <f>IFERROR(IF(A138="","",VLOOKUP(A138,CadProd!$A:$C,3,0)),"")</f>
        <v/>
      </c>
    </row>
    <row r="139" spans="2:3" x14ac:dyDescent="0.3">
      <c r="B139" t="str">
        <f>IFERROR(IF(A139="","",VLOOKUP(A139,CadProd!$A:$B,2,0)),"")</f>
        <v/>
      </c>
      <c r="C139" t="str">
        <f>IFERROR(IF(A139="","",VLOOKUP(A139,CadProd!$A:$C,3,0)),"")</f>
        <v/>
      </c>
    </row>
    <row r="140" spans="2:3" x14ac:dyDescent="0.3">
      <c r="B140" t="str">
        <f>IFERROR(IF(A140="","",VLOOKUP(A140,CadProd!$A:$B,2,0)),"")</f>
        <v/>
      </c>
      <c r="C140" t="str">
        <f>IFERROR(IF(A140="","",VLOOKUP(A140,CadProd!$A:$C,3,0)),"")</f>
        <v/>
      </c>
    </row>
    <row r="141" spans="2:3" x14ac:dyDescent="0.3">
      <c r="B141" t="str">
        <f>IFERROR(IF(A141="","",VLOOKUP(A141,CadProd!$A:$B,2,0)),"")</f>
        <v/>
      </c>
      <c r="C141" t="str">
        <f>IFERROR(IF(A141="","",VLOOKUP(A141,CadProd!$A:$C,3,0)),"")</f>
        <v/>
      </c>
    </row>
    <row r="142" spans="2:3" x14ac:dyDescent="0.3">
      <c r="B142" t="str">
        <f>IFERROR(IF(A142="","",VLOOKUP(A142,CadProd!$A:$B,2,0)),"")</f>
        <v/>
      </c>
      <c r="C142" t="str">
        <f>IFERROR(IF(A142="","",VLOOKUP(A142,CadProd!$A:$C,3,0)),"")</f>
        <v/>
      </c>
    </row>
    <row r="143" spans="2:3" x14ac:dyDescent="0.3">
      <c r="B143" t="str">
        <f>IFERROR(IF(A143="","",VLOOKUP(A143,CadProd!$A:$B,2,0)),"")</f>
        <v/>
      </c>
      <c r="C143" t="str">
        <f>IFERROR(IF(A143="","",VLOOKUP(A143,CadProd!$A:$C,3,0)),"")</f>
        <v/>
      </c>
    </row>
    <row r="144" spans="2:3" x14ac:dyDescent="0.3">
      <c r="B144" t="str">
        <f>IFERROR(IF(A144="","",VLOOKUP(A144,CadProd!$A:$B,2,0)),"")</f>
        <v/>
      </c>
      <c r="C144" t="str">
        <f>IFERROR(IF(A144="","",VLOOKUP(A144,CadProd!$A:$C,3,0)),"")</f>
        <v/>
      </c>
    </row>
    <row r="145" spans="2:3" x14ac:dyDescent="0.3">
      <c r="B145" t="str">
        <f>IFERROR(IF(A145="","",VLOOKUP(A145,CadProd!$A:$B,2,0)),"")</f>
        <v/>
      </c>
      <c r="C145" t="str">
        <f>IFERROR(IF(A145="","",VLOOKUP(A145,CadProd!$A:$C,3,0)),"")</f>
        <v/>
      </c>
    </row>
    <row r="146" spans="2:3" x14ac:dyDescent="0.3">
      <c r="B146" t="str">
        <f>IFERROR(IF(A146="","",VLOOKUP(A146,CadProd!$A:$B,2,0)),"")</f>
        <v/>
      </c>
      <c r="C146" t="str">
        <f>IFERROR(IF(A146="","",VLOOKUP(A146,CadProd!$A:$C,3,0)),"")</f>
        <v/>
      </c>
    </row>
    <row r="147" spans="2:3" x14ac:dyDescent="0.3">
      <c r="B147" t="str">
        <f>IFERROR(IF(A147="","",VLOOKUP(A147,CadProd!$A:$B,2,0)),"")</f>
        <v/>
      </c>
      <c r="C147" t="str">
        <f>IFERROR(IF(A147="","",VLOOKUP(A147,CadProd!$A:$C,3,0)),"")</f>
        <v/>
      </c>
    </row>
    <row r="148" spans="2:3" x14ac:dyDescent="0.3">
      <c r="B148" t="str">
        <f>IFERROR(IF(A148="","",VLOOKUP(A148,CadProd!$A:$B,2,0)),"")</f>
        <v/>
      </c>
      <c r="C148" t="str">
        <f>IFERROR(IF(A148="","",VLOOKUP(A148,CadProd!$A:$C,3,0)),"")</f>
        <v/>
      </c>
    </row>
    <row r="149" spans="2:3" x14ac:dyDescent="0.3">
      <c r="B149" t="str">
        <f>IFERROR(IF(A149="","",VLOOKUP(A149,CadProd!$A:$B,2,0)),"")</f>
        <v/>
      </c>
      <c r="C149" t="str">
        <f>IFERROR(IF(A149="","",VLOOKUP(A149,CadProd!$A:$C,3,0)),"")</f>
        <v/>
      </c>
    </row>
    <row r="150" spans="2:3" x14ac:dyDescent="0.3">
      <c r="B150" t="str">
        <f>IFERROR(IF(A150="","",VLOOKUP(A150,CadProd!$A:$B,2,0)),"")</f>
        <v/>
      </c>
      <c r="C150" t="str">
        <f>IFERROR(IF(A150="","",VLOOKUP(A150,CadProd!$A:$C,3,0)),"")</f>
        <v/>
      </c>
    </row>
    <row r="151" spans="2:3" x14ac:dyDescent="0.3">
      <c r="B151" t="str">
        <f>IFERROR(IF(A151="","",VLOOKUP(A151,CadProd!$A:$B,2,0)),"")</f>
        <v/>
      </c>
      <c r="C151" t="str">
        <f>IFERROR(IF(A151="","",VLOOKUP(A151,CadProd!$A:$C,3,0)),"")</f>
        <v/>
      </c>
    </row>
    <row r="152" spans="2:3" x14ac:dyDescent="0.3">
      <c r="B152" t="str">
        <f>IFERROR(IF(A152="","",VLOOKUP(A152,CadProd!$A:$B,2,0)),"")</f>
        <v/>
      </c>
      <c r="C152" t="str">
        <f>IFERROR(IF(A152="","",VLOOKUP(A152,CadProd!$A:$C,3,0)),"")</f>
        <v/>
      </c>
    </row>
    <row r="153" spans="2:3" x14ac:dyDescent="0.3">
      <c r="B153" t="str">
        <f>IFERROR(IF(A153="","",VLOOKUP(A153,CadProd!$A:$B,2,0)),"")</f>
        <v/>
      </c>
      <c r="C153" t="str">
        <f>IFERROR(IF(A153="","",VLOOKUP(A153,CadProd!$A:$C,3,0)),"")</f>
        <v/>
      </c>
    </row>
    <row r="154" spans="2:3" x14ac:dyDescent="0.3">
      <c r="B154" t="str">
        <f>IFERROR(IF(A154="","",VLOOKUP(A154,CadProd!$A:$B,2,0)),"")</f>
        <v/>
      </c>
      <c r="C154" t="str">
        <f>IFERROR(IF(A154="","",VLOOKUP(A154,CadProd!$A:$C,3,0)),"")</f>
        <v/>
      </c>
    </row>
    <row r="155" spans="2:3" x14ac:dyDescent="0.3">
      <c r="B155" t="str">
        <f>IFERROR(IF(A155="","",VLOOKUP(A155,CadProd!$A:$B,2,0)),"")</f>
        <v/>
      </c>
      <c r="C155" t="str">
        <f>IFERROR(IF(A155="","",VLOOKUP(A155,CadProd!$A:$C,3,0)),"")</f>
        <v/>
      </c>
    </row>
    <row r="156" spans="2:3" x14ac:dyDescent="0.3">
      <c r="B156" t="str">
        <f>IFERROR(IF(A156="","",VLOOKUP(A156,CadProd!$A:$B,2,0)),"")</f>
        <v/>
      </c>
      <c r="C156" t="str">
        <f>IFERROR(IF(A156="","",VLOOKUP(A156,CadProd!$A:$C,3,0)),"")</f>
        <v/>
      </c>
    </row>
    <row r="157" spans="2:3" x14ac:dyDescent="0.3">
      <c r="B157" t="str">
        <f>IFERROR(IF(A157="","",VLOOKUP(A157,CadProd!$A:$B,2,0)),"")</f>
        <v/>
      </c>
      <c r="C157" t="str">
        <f>IFERROR(IF(A157="","",VLOOKUP(A157,CadProd!$A:$C,3,0)),"")</f>
        <v/>
      </c>
    </row>
    <row r="158" spans="2:3" x14ac:dyDescent="0.3">
      <c r="B158" t="str">
        <f>IFERROR(IF(A158="","",VLOOKUP(A158,CadProd!$A:$B,2,0)),"")</f>
        <v/>
      </c>
      <c r="C158" t="str">
        <f>IFERROR(IF(A158="","",VLOOKUP(A158,CadProd!$A:$C,3,0)),"")</f>
        <v/>
      </c>
    </row>
    <row r="159" spans="2:3" x14ac:dyDescent="0.3">
      <c r="B159" t="str">
        <f>IFERROR(IF(A159="","",VLOOKUP(A159,CadProd!$A:$B,2,0)),"")</f>
        <v/>
      </c>
      <c r="C159" t="str">
        <f>IFERROR(IF(A159="","",VLOOKUP(A159,CadProd!$A:$C,3,0)),"")</f>
        <v/>
      </c>
    </row>
    <row r="160" spans="2:3" x14ac:dyDescent="0.3">
      <c r="B160" t="str">
        <f>IFERROR(IF(A160="","",VLOOKUP(A160,CadProd!$A:$B,2,0)),"")</f>
        <v/>
      </c>
      <c r="C160" t="str">
        <f>IFERROR(IF(A160="","",VLOOKUP(A160,CadProd!$A:$C,3,0)),"")</f>
        <v/>
      </c>
    </row>
    <row r="161" spans="2:3" x14ac:dyDescent="0.3">
      <c r="B161" t="str">
        <f>IFERROR(IF(A161="","",VLOOKUP(A161,CadProd!$A:$B,2,0)),"")</f>
        <v/>
      </c>
      <c r="C161" t="str">
        <f>IFERROR(IF(A161="","",VLOOKUP(A161,CadProd!$A:$C,3,0)),"")</f>
        <v/>
      </c>
    </row>
    <row r="162" spans="2:3" x14ac:dyDescent="0.3">
      <c r="B162" t="str">
        <f>IFERROR(IF(A162="","",VLOOKUP(A162,CadProd!$A:$B,2,0)),"")</f>
        <v/>
      </c>
      <c r="C162" t="str">
        <f>IFERROR(IF(A162="","",VLOOKUP(A162,CadProd!$A:$C,3,0)),"")</f>
        <v/>
      </c>
    </row>
    <row r="163" spans="2:3" x14ac:dyDescent="0.3">
      <c r="B163" t="str">
        <f>IFERROR(IF(A163="","",VLOOKUP(A163,CadProd!$A:$B,2,0)),"")</f>
        <v/>
      </c>
      <c r="C163" t="str">
        <f>IFERROR(IF(A163="","",VLOOKUP(A163,CadProd!$A:$C,3,0)),"")</f>
        <v/>
      </c>
    </row>
    <row r="164" spans="2:3" x14ac:dyDescent="0.3">
      <c r="B164" t="str">
        <f>IFERROR(IF(A164="","",VLOOKUP(A164,CadProd!$A:$B,2,0)),"")</f>
        <v/>
      </c>
      <c r="C164" t="str">
        <f>IFERROR(IF(A164="","",VLOOKUP(A164,CadProd!$A:$C,3,0)),"")</f>
        <v/>
      </c>
    </row>
    <row r="165" spans="2:3" x14ac:dyDescent="0.3">
      <c r="B165" t="str">
        <f>IFERROR(IF(A165="","",VLOOKUP(A165,CadProd!$A:$B,2,0)),"")</f>
        <v/>
      </c>
      <c r="C165" t="str">
        <f>IFERROR(IF(A165="","",VLOOKUP(A165,CadProd!$A:$C,3,0)),"")</f>
        <v/>
      </c>
    </row>
    <row r="166" spans="2:3" x14ac:dyDescent="0.3">
      <c r="B166" t="str">
        <f>IFERROR(IF(A166="","",VLOOKUP(A166,CadProd!$A:$B,2,0)),"")</f>
        <v/>
      </c>
      <c r="C166" t="str">
        <f>IFERROR(IF(A166="","",VLOOKUP(A166,CadProd!$A:$C,3,0)),"")</f>
        <v/>
      </c>
    </row>
    <row r="167" spans="2:3" x14ac:dyDescent="0.3">
      <c r="B167" t="str">
        <f>IFERROR(IF(A167="","",VLOOKUP(A167,CadProd!$A:$B,2,0)),"")</f>
        <v/>
      </c>
      <c r="C167" t="str">
        <f>IFERROR(IF(A167="","",VLOOKUP(A167,CadProd!$A:$C,3,0)),"")</f>
        <v/>
      </c>
    </row>
    <row r="168" spans="2:3" x14ac:dyDescent="0.3">
      <c r="B168" t="str">
        <f>IFERROR(IF(A168="","",VLOOKUP(A168,CadProd!$A:$B,2,0)),"")</f>
        <v/>
      </c>
      <c r="C168" t="str">
        <f>IFERROR(IF(A168="","",VLOOKUP(A168,CadProd!$A:$C,3,0)),"")</f>
        <v/>
      </c>
    </row>
    <row r="169" spans="2:3" x14ac:dyDescent="0.3">
      <c r="B169" t="str">
        <f>IFERROR(IF(A169="","",VLOOKUP(A169,CadProd!$A:$B,2,0)),"")</f>
        <v/>
      </c>
      <c r="C169" t="str">
        <f>IFERROR(IF(A169="","",VLOOKUP(A169,CadProd!$A:$C,3,0)),"")</f>
        <v/>
      </c>
    </row>
    <row r="170" spans="2:3" x14ac:dyDescent="0.3">
      <c r="B170" t="str">
        <f>IFERROR(IF(A170="","",VLOOKUP(A170,CadProd!$A:$B,2,0)),"")</f>
        <v/>
      </c>
      <c r="C170" t="str">
        <f>IFERROR(IF(A170="","",VLOOKUP(A170,CadProd!$A:$C,3,0)),"")</f>
        <v/>
      </c>
    </row>
    <row r="171" spans="2:3" x14ac:dyDescent="0.3">
      <c r="B171" t="str">
        <f>IFERROR(IF(A171="","",VLOOKUP(A171,CadProd!$A:$B,2,0)),"")</f>
        <v/>
      </c>
      <c r="C171" t="str">
        <f>IFERROR(IF(A171="","",VLOOKUP(A171,CadProd!$A:$C,3,0)),"")</f>
        <v/>
      </c>
    </row>
    <row r="172" spans="2:3" x14ac:dyDescent="0.3">
      <c r="B172" t="str">
        <f>IFERROR(IF(A172="","",VLOOKUP(A172,CadProd!$A:$B,2,0)),"")</f>
        <v/>
      </c>
      <c r="C172" t="str">
        <f>IFERROR(IF(A172="","",VLOOKUP(A172,CadProd!$A:$C,3,0)),"")</f>
        <v/>
      </c>
    </row>
    <row r="173" spans="2:3" x14ac:dyDescent="0.3">
      <c r="B173" t="str">
        <f>IFERROR(IF(A173="","",VLOOKUP(A173,CadProd!$A:$B,2,0)),"")</f>
        <v/>
      </c>
      <c r="C173" t="str">
        <f>IFERROR(IF(A173="","",VLOOKUP(A173,CadProd!$A:$C,3,0)),"")</f>
        <v/>
      </c>
    </row>
    <row r="174" spans="2:3" x14ac:dyDescent="0.3">
      <c r="B174" t="str">
        <f>IFERROR(IF(A174="","",VLOOKUP(A174,CadProd!$A:$B,2,0)),"")</f>
        <v/>
      </c>
      <c r="C174" t="str">
        <f>IFERROR(IF(A174="","",VLOOKUP(A174,CadProd!$A:$C,3,0)),"")</f>
        <v/>
      </c>
    </row>
    <row r="175" spans="2:3" x14ac:dyDescent="0.3">
      <c r="B175" t="str">
        <f>IFERROR(IF(A175="","",VLOOKUP(A175,CadProd!$A:$B,2,0)),"")</f>
        <v/>
      </c>
      <c r="C175" t="str">
        <f>IFERROR(IF(A175="","",VLOOKUP(A175,CadProd!$A:$C,3,0)),"")</f>
        <v/>
      </c>
    </row>
    <row r="176" spans="2:3" x14ac:dyDescent="0.3">
      <c r="B176" t="str">
        <f>IFERROR(IF(A176="","",VLOOKUP(A176,CadProd!$A:$B,2,0)),"")</f>
        <v/>
      </c>
      <c r="C176" t="str">
        <f>IFERROR(IF(A176="","",VLOOKUP(A176,CadProd!$A:$C,3,0)),"")</f>
        <v/>
      </c>
    </row>
    <row r="177" spans="2:3" x14ac:dyDescent="0.3">
      <c r="B177" t="str">
        <f>IFERROR(IF(A177="","",VLOOKUP(A177,CadProd!$A:$B,2,0)),"")</f>
        <v/>
      </c>
      <c r="C177" t="str">
        <f>IFERROR(IF(A177="","",VLOOKUP(A177,CadProd!$A:$C,3,0)),"")</f>
        <v/>
      </c>
    </row>
    <row r="178" spans="2:3" x14ac:dyDescent="0.3">
      <c r="B178" t="str">
        <f>IFERROR(IF(A178="","",VLOOKUP(A178,CadProd!$A:$B,2,0)),"")</f>
        <v/>
      </c>
      <c r="C178" t="str">
        <f>IFERROR(IF(A178="","",VLOOKUP(A178,CadProd!$A:$C,3,0)),"")</f>
        <v/>
      </c>
    </row>
    <row r="179" spans="2:3" x14ac:dyDescent="0.3">
      <c r="B179" t="str">
        <f>IFERROR(IF(A179="","",VLOOKUP(A179,CadProd!$A:$B,2,0)),"")</f>
        <v/>
      </c>
      <c r="C179" t="str">
        <f>IFERROR(IF(A179="","",VLOOKUP(A179,CadProd!$A:$C,3,0)),"")</f>
        <v/>
      </c>
    </row>
    <row r="180" spans="2:3" x14ac:dyDescent="0.3">
      <c r="B180" t="str">
        <f>IFERROR(IF(A180="","",VLOOKUP(A180,CadProd!$A:$B,2,0)),"")</f>
        <v/>
      </c>
      <c r="C180" t="str">
        <f>IFERROR(IF(A180="","",VLOOKUP(A180,CadProd!$A:$C,3,0)),"")</f>
        <v/>
      </c>
    </row>
    <row r="181" spans="2:3" x14ac:dyDescent="0.3">
      <c r="B181" t="str">
        <f>IFERROR(IF(A181="","",VLOOKUP(A181,CadProd!$A:$B,2,0)),"")</f>
        <v/>
      </c>
      <c r="C181" t="str">
        <f>IFERROR(IF(A181="","",VLOOKUP(A181,CadProd!$A:$C,3,0)),"")</f>
        <v/>
      </c>
    </row>
    <row r="182" spans="2:3" x14ac:dyDescent="0.3">
      <c r="B182" t="str">
        <f>IFERROR(IF(A182="","",VLOOKUP(A182,CadProd!$A:$B,2,0)),"")</f>
        <v/>
      </c>
      <c r="C182" t="str">
        <f>IFERROR(IF(A182="","",VLOOKUP(A182,CadProd!$A:$C,3,0)),"")</f>
        <v/>
      </c>
    </row>
    <row r="183" spans="2:3" x14ac:dyDescent="0.3">
      <c r="B183" t="str">
        <f>IFERROR(IF(A183="","",VLOOKUP(A183,CadProd!$A:$B,2,0)),"")</f>
        <v/>
      </c>
      <c r="C183" t="str">
        <f>IFERROR(IF(A183="","",VLOOKUP(A183,CadProd!$A:$C,3,0)),"")</f>
        <v/>
      </c>
    </row>
    <row r="184" spans="2:3" x14ac:dyDescent="0.3">
      <c r="B184" t="str">
        <f>IFERROR(IF(A184="","",VLOOKUP(A184,CadProd!$A:$B,2,0)),"")</f>
        <v/>
      </c>
      <c r="C184" t="str">
        <f>IFERROR(IF(A184="","",VLOOKUP(A184,CadProd!$A:$C,3,0)),"")</f>
        <v/>
      </c>
    </row>
    <row r="185" spans="2:3" x14ac:dyDescent="0.3">
      <c r="B185" t="str">
        <f>IFERROR(IF(A185="","",VLOOKUP(A185,CadProd!$A:$B,2,0)),"")</f>
        <v/>
      </c>
      <c r="C185" t="str">
        <f>IFERROR(IF(A185="","",VLOOKUP(A185,CadProd!$A:$C,3,0)),"")</f>
        <v/>
      </c>
    </row>
    <row r="186" spans="2:3" x14ac:dyDescent="0.3">
      <c r="B186" t="str">
        <f>IFERROR(IF(A186="","",VLOOKUP(A186,CadProd!$A:$B,2,0)),"")</f>
        <v/>
      </c>
      <c r="C186" t="str">
        <f>IFERROR(IF(A186="","",VLOOKUP(A186,CadProd!$A:$C,3,0)),"")</f>
        <v/>
      </c>
    </row>
    <row r="187" spans="2:3" x14ac:dyDescent="0.3">
      <c r="B187" t="str">
        <f>IFERROR(IF(A187="","",VLOOKUP(A187,CadProd!$A:$B,2,0)),"")</f>
        <v/>
      </c>
      <c r="C187" t="str">
        <f>IFERROR(IF(A187="","",VLOOKUP(A187,CadProd!$A:$C,3,0)),"")</f>
        <v/>
      </c>
    </row>
    <row r="188" spans="2:3" x14ac:dyDescent="0.3">
      <c r="B188" t="str">
        <f>IFERROR(IF(A188="","",VLOOKUP(A188,CadProd!$A:$B,2,0)),"")</f>
        <v/>
      </c>
      <c r="C188" t="str">
        <f>IFERROR(IF(A188="","",VLOOKUP(A188,CadProd!$A:$C,3,0)),"")</f>
        <v/>
      </c>
    </row>
    <row r="189" spans="2:3" x14ac:dyDescent="0.3">
      <c r="B189" t="str">
        <f>IFERROR(IF(A189="","",VLOOKUP(A189,CadProd!$A:$B,2,0)),"")</f>
        <v/>
      </c>
      <c r="C189" t="str">
        <f>IFERROR(IF(A189="","",VLOOKUP(A189,CadProd!$A:$C,3,0)),"")</f>
        <v/>
      </c>
    </row>
    <row r="190" spans="2:3" x14ac:dyDescent="0.3">
      <c r="B190" t="str">
        <f>IFERROR(IF(A190="","",VLOOKUP(A190,CadProd!$A:$B,2,0)),"")</f>
        <v/>
      </c>
      <c r="C190" t="str">
        <f>IFERROR(IF(A190="","",VLOOKUP(A190,CadProd!$A:$C,3,0)),"")</f>
        <v/>
      </c>
    </row>
    <row r="191" spans="2:3" x14ac:dyDescent="0.3">
      <c r="B191" t="str">
        <f>IFERROR(IF(A191="","",VLOOKUP(A191,CadProd!$A:$B,2,0)),"")</f>
        <v/>
      </c>
      <c r="C191" t="str">
        <f>IFERROR(IF(A191="","",VLOOKUP(A191,CadProd!$A:$C,3,0)),"")</f>
        <v/>
      </c>
    </row>
    <row r="192" spans="2:3" x14ac:dyDescent="0.3">
      <c r="B192" t="str">
        <f>IFERROR(IF(A192="","",VLOOKUP(A192,CadProd!$A:$B,2,0)),"")</f>
        <v/>
      </c>
      <c r="C192" t="str">
        <f>IFERROR(IF(A192="","",VLOOKUP(A192,CadProd!$A:$C,3,0)),"")</f>
        <v/>
      </c>
    </row>
    <row r="193" spans="2:3" x14ac:dyDescent="0.3">
      <c r="B193" t="str">
        <f>IFERROR(IF(A193="","",VLOOKUP(A193,CadProd!$A:$B,2,0)),"")</f>
        <v/>
      </c>
      <c r="C193" t="str">
        <f>IFERROR(IF(A193="","",VLOOKUP(A193,CadProd!$A:$C,3,0)),"")</f>
        <v/>
      </c>
    </row>
    <row r="194" spans="2:3" x14ac:dyDescent="0.3">
      <c r="B194" t="str">
        <f>IFERROR(IF(A194="","",VLOOKUP(A194,CadProd!$A:$B,2,0)),"")</f>
        <v/>
      </c>
      <c r="C194" t="str">
        <f>IFERROR(IF(A194="","",VLOOKUP(A194,CadProd!$A:$C,3,0)),"")</f>
        <v/>
      </c>
    </row>
    <row r="195" spans="2:3" x14ac:dyDescent="0.3">
      <c r="B195" t="str">
        <f>IFERROR(IF(A195="","",VLOOKUP(A195,CadProd!$A:$B,2,0)),"")</f>
        <v/>
      </c>
      <c r="C195" t="str">
        <f>IFERROR(IF(A195="","",VLOOKUP(A195,CadProd!$A:$C,3,0)),"")</f>
        <v/>
      </c>
    </row>
    <row r="196" spans="2:3" x14ac:dyDescent="0.3">
      <c r="B196" t="str">
        <f>IFERROR(IF(A196="","",VLOOKUP(A196,CadProd!$A:$B,2,0)),"")</f>
        <v/>
      </c>
      <c r="C196" t="str">
        <f>IFERROR(IF(A196="","",VLOOKUP(A196,CadProd!$A:$C,3,0)),"")</f>
        <v/>
      </c>
    </row>
    <row r="197" spans="2:3" x14ac:dyDescent="0.3">
      <c r="B197" t="str">
        <f>IFERROR(IF(A197="","",VLOOKUP(A197,CadProd!$A:$B,2,0)),"")</f>
        <v/>
      </c>
      <c r="C197" t="str">
        <f>IFERROR(IF(A197="","",VLOOKUP(A197,CadProd!$A:$C,3,0)),"")</f>
        <v/>
      </c>
    </row>
    <row r="198" spans="2:3" x14ac:dyDescent="0.3">
      <c r="B198" t="str">
        <f>IFERROR(IF(A198="","",VLOOKUP(A198,CadProd!$A:$B,2,0)),"")</f>
        <v/>
      </c>
      <c r="C198" t="str">
        <f>IFERROR(IF(A198="","",VLOOKUP(A198,CadProd!$A:$C,3,0)),"")</f>
        <v/>
      </c>
    </row>
    <row r="199" spans="2:3" x14ac:dyDescent="0.3">
      <c r="B199" t="str">
        <f>IFERROR(IF(A199="","",VLOOKUP(A199,CadProd!$A:$B,2,0)),"")</f>
        <v/>
      </c>
      <c r="C199" t="str">
        <f>IFERROR(IF(A199="","",VLOOKUP(A199,CadProd!$A:$C,3,0)),"")</f>
        <v/>
      </c>
    </row>
    <row r="200" spans="2:3" x14ac:dyDescent="0.3">
      <c r="B200" t="str">
        <f>IFERROR(IF(A200="","",VLOOKUP(A200,CadProd!$A:$B,2,0)),"")</f>
        <v/>
      </c>
      <c r="C200" t="str">
        <f>IFERROR(IF(A200="","",VLOOKUP(A200,CadProd!$A:$C,3,0)),"")</f>
        <v/>
      </c>
    </row>
    <row r="201" spans="2:3" x14ac:dyDescent="0.3">
      <c r="B201" t="str">
        <f>IFERROR(IF(A201="","",VLOOKUP(A201,CadProd!$A:$B,2,0)),"")</f>
        <v/>
      </c>
      <c r="C201" t="str">
        <f>IFERROR(IF(A201="","",VLOOKUP(A201,CadProd!$A:$C,3,0)),"")</f>
        <v/>
      </c>
    </row>
    <row r="202" spans="2:3" x14ac:dyDescent="0.3">
      <c r="B202" t="str">
        <f>IFERROR(IF(A202="","",VLOOKUP(A202,CadProd!$A:$B,2,0)),"")</f>
        <v/>
      </c>
      <c r="C202" t="str">
        <f>IFERROR(IF(A202="","",VLOOKUP(A202,CadProd!$A:$C,3,0)),"")</f>
        <v/>
      </c>
    </row>
    <row r="203" spans="2:3" x14ac:dyDescent="0.3">
      <c r="B203" t="str">
        <f>IFERROR(IF(A203="","",VLOOKUP(A203,CadProd!$A:$B,2,0)),"")</f>
        <v/>
      </c>
      <c r="C203" t="str">
        <f>IFERROR(IF(A203="","",VLOOKUP(A203,CadProd!$A:$C,3,0)),"")</f>
        <v/>
      </c>
    </row>
    <row r="204" spans="2:3" x14ac:dyDescent="0.3">
      <c r="B204" t="str">
        <f>IFERROR(IF(A204="","",VLOOKUP(A204,CadProd!$A:$B,2,0)),"")</f>
        <v/>
      </c>
      <c r="C204" t="str">
        <f>IFERROR(IF(A204="","",VLOOKUP(A204,CadProd!$A:$C,3,0)),"")</f>
        <v/>
      </c>
    </row>
    <row r="205" spans="2:3" x14ac:dyDescent="0.3">
      <c r="B205" t="str">
        <f>IFERROR(IF(A205="","",VLOOKUP(A205,CadProd!$A:$B,2,0)),"")</f>
        <v/>
      </c>
      <c r="C205" t="str">
        <f>IFERROR(IF(A205="","",VLOOKUP(A205,CadProd!$A:$C,3,0)),"")</f>
        <v/>
      </c>
    </row>
    <row r="206" spans="2:3" x14ac:dyDescent="0.3">
      <c r="B206" t="str">
        <f>IFERROR(IF(A206="","",VLOOKUP(A206,CadProd!$A:$B,2,0)),"")</f>
        <v/>
      </c>
      <c r="C206" t="str">
        <f>IFERROR(IF(A206="","",VLOOKUP(A206,CadProd!$A:$C,3,0)),"")</f>
        <v/>
      </c>
    </row>
    <row r="207" spans="2:3" x14ac:dyDescent="0.3">
      <c r="B207" t="str">
        <f>IFERROR(IF(A207="","",VLOOKUP(A207,CadProd!$A:$B,2,0)),"")</f>
        <v/>
      </c>
      <c r="C207" t="str">
        <f>IFERROR(IF(A207="","",VLOOKUP(A207,CadProd!$A:$C,3,0)),"")</f>
        <v/>
      </c>
    </row>
    <row r="208" spans="2:3" x14ac:dyDescent="0.3">
      <c r="B208" t="str">
        <f>IFERROR(IF(A208="","",VLOOKUP(A208,CadProd!$A:$B,2,0)),"")</f>
        <v/>
      </c>
      <c r="C208" t="str">
        <f>IFERROR(IF(A208="","",VLOOKUP(A208,CadProd!$A:$C,3,0)),"")</f>
        <v/>
      </c>
    </row>
    <row r="209" spans="2:3" x14ac:dyDescent="0.3">
      <c r="B209" t="str">
        <f>IFERROR(IF(A209="","",VLOOKUP(A209,CadProd!$A:$B,2,0)),"")</f>
        <v/>
      </c>
      <c r="C209" t="str">
        <f>IFERROR(IF(A209="","",VLOOKUP(A209,CadProd!$A:$C,3,0)),"")</f>
        <v/>
      </c>
    </row>
    <row r="210" spans="2:3" x14ac:dyDescent="0.3">
      <c r="B210" t="str">
        <f>IFERROR(IF(A210="","",VLOOKUP(A210,CadProd!$A:$B,2,0)),"")</f>
        <v/>
      </c>
      <c r="C210" t="str">
        <f>IFERROR(IF(A210="","",VLOOKUP(A210,CadProd!$A:$C,3,0)),"")</f>
        <v/>
      </c>
    </row>
    <row r="211" spans="2:3" x14ac:dyDescent="0.3">
      <c r="B211" t="str">
        <f>IFERROR(IF(A211="","",VLOOKUP(A211,CadProd!$A:$B,2,0)),"")</f>
        <v/>
      </c>
      <c r="C211" t="str">
        <f>IFERROR(IF(A211="","",VLOOKUP(A211,CadProd!$A:$C,3,0)),"")</f>
        <v/>
      </c>
    </row>
    <row r="212" spans="2:3" x14ac:dyDescent="0.3">
      <c r="B212" t="str">
        <f>IFERROR(IF(A212="","",VLOOKUP(A212,CadProd!$A:$B,2,0)),"")</f>
        <v/>
      </c>
      <c r="C212" t="str">
        <f>IFERROR(IF(A212="","",VLOOKUP(A212,CadProd!$A:$C,3,0)),"")</f>
        <v/>
      </c>
    </row>
    <row r="213" spans="2:3" x14ac:dyDescent="0.3">
      <c r="B213" t="str">
        <f>IFERROR(IF(A213="","",VLOOKUP(A213,CadProd!$A:$B,2,0)),"")</f>
        <v/>
      </c>
      <c r="C213" t="str">
        <f>IFERROR(IF(A213="","",VLOOKUP(A213,CadProd!$A:$C,3,0)),"")</f>
        <v/>
      </c>
    </row>
    <row r="214" spans="2:3" x14ac:dyDescent="0.3">
      <c r="B214" t="str">
        <f>IFERROR(IF(A214="","",VLOOKUP(A214,CadProd!$A:$B,2,0)),"")</f>
        <v/>
      </c>
      <c r="C214" t="str">
        <f>IFERROR(IF(A214="","",VLOOKUP(A214,CadProd!$A:$C,3,0)),"")</f>
        <v/>
      </c>
    </row>
    <row r="215" spans="2:3" x14ac:dyDescent="0.3">
      <c r="B215" t="str">
        <f>IFERROR(IF(A215="","",VLOOKUP(A215,CadProd!$A:$B,2,0)),"")</f>
        <v/>
      </c>
      <c r="C215" t="str">
        <f>IFERROR(IF(A215="","",VLOOKUP(A215,CadProd!$A:$C,3,0)),"")</f>
        <v/>
      </c>
    </row>
    <row r="216" spans="2:3" x14ac:dyDescent="0.3">
      <c r="B216" t="str">
        <f>IFERROR(IF(A216="","",VLOOKUP(A216,CadProd!$A:$B,2,0)),"")</f>
        <v/>
      </c>
      <c r="C216" t="str">
        <f>IFERROR(IF(A216="","",VLOOKUP(A216,CadProd!$A:$C,3,0)),"")</f>
        <v/>
      </c>
    </row>
    <row r="217" spans="2:3" x14ac:dyDescent="0.3">
      <c r="B217" t="str">
        <f>IFERROR(IF(A217="","",VLOOKUP(A217,CadProd!$A:$B,2,0)),"")</f>
        <v/>
      </c>
      <c r="C217" t="str">
        <f>IFERROR(IF(A217="","",VLOOKUP(A217,CadProd!$A:$C,3,0)),"")</f>
        <v/>
      </c>
    </row>
    <row r="218" spans="2:3" x14ac:dyDescent="0.3">
      <c r="B218" t="str">
        <f>IFERROR(IF(A218="","",VLOOKUP(A218,CadProd!$A:$B,2,0)),"")</f>
        <v/>
      </c>
      <c r="C218" t="str">
        <f>IFERROR(IF(A218="","",VLOOKUP(A218,CadProd!$A:$C,3,0)),"")</f>
        <v/>
      </c>
    </row>
    <row r="219" spans="2:3" x14ac:dyDescent="0.3">
      <c r="B219" t="str">
        <f>IFERROR(IF(A219="","",VLOOKUP(A219,CadProd!$A:$B,2,0)),"")</f>
        <v/>
      </c>
      <c r="C219" t="str">
        <f>IFERROR(IF(A219="","",VLOOKUP(A219,CadProd!$A:$C,3,0)),"")</f>
        <v/>
      </c>
    </row>
    <row r="220" spans="2:3" x14ac:dyDescent="0.3">
      <c r="B220" t="str">
        <f>IFERROR(IF(A220="","",VLOOKUP(A220,CadProd!$A:$B,2,0)),"")</f>
        <v/>
      </c>
      <c r="C220" t="str">
        <f>IFERROR(IF(A220="","",VLOOKUP(A220,CadProd!$A:$C,3,0)),"")</f>
        <v/>
      </c>
    </row>
    <row r="221" spans="2:3" x14ac:dyDescent="0.3">
      <c r="B221" t="str">
        <f>IFERROR(IF(A221="","",VLOOKUP(A221,CadProd!$A:$B,2,0)),"")</f>
        <v/>
      </c>
      <c r="C221" t="str">
        <f>IFERROR(IF(A221="","",VLOOKUP(A221,CadProd!$A:$C,3,0)),"")</f>
        <v/>
      </c>
    </row>
    <row r="222" spans="2:3" x14ac:dyDescent="0.3">
      <c r="B222" t="str">
        <f>IFERROR(IF(A222="","",VLOOKUP(A222,CadProd!$A:$B,2,0)),"")</f>
        <v/>
      </c>
      <c r="C222" t="str">
        <f>IFERROR(IF(A222="","",VLOOKUP(A222,CadProd!$A:$C,3,0)),"")</f>
        <v/>
      </c>
    </row>
    <row r="223" spans="2:3" x14ac:dyDescent="0.3">
      <c r="B223" t="str">
        <f>IFERROR(IF(A223="","",VLOOKUP(A223,CadProd!$A:$B,2,0)),"")</f>
        <v/>
      </c>
      <c r="C223" t="str">
        <f>IFERROR(IF(A223="","",VLOOKUP(A223,CadProd!$A:$C,3,0)),"")</f>
        <v/>
      </c>
    </row>
    <row r="224" spans="2:3" x14ac:dyDescent="0.3">
      <c r="B224" t="str">
        <f>IFERROR(IF(A224="","",VLOOKUP(A224,CadProd!$A:$B,2,0)),"")</f>
        <v/>
      </c>
      <c r="C224" t="str">
        <f>IFERROR(IF(A224="","",VLOOKUP(A224,CadProd!$A:$C,3,0)),"")</f>
        <v/>
      </c>
    </row>
    <row r="225" spans="2:3" x14ac:dyDescent="0.3">
      <c r="B225" t="str">
        <f>IFERROR(IF(A225="","",VLOOKUP(A225,CadProd!$A:$B,2,0)),"")</f>
        <v/>
      </c>
      <c r="C225" t="str">
        <f>IFERROR(IF(A225="","",VLOOKUP(A225,CadProd!$A:$C,3,0)),"")</f>
        <v/>
      </c>
    </row>
    <row r="226" spans="2:3" x14ac:dyDescent="0.3">
      <c r="B226" t="str">
        <f>IFERROR(IF(A226="","",VLOOKUP(A226,CadProd!$A:$B,2,0)),"")</f>
        <v/>
      </c>
      <c r="C226" t="str">
        <f>IFERROR(IF(A226="","",VLOOKUP(A226,CadProd!$A:$C,3,0)),"")</f>
        <v/>
      </c>
    </row>
    <row r="227" spans="2:3" x14ac:dyDescent="0.3">
      <c r="B227" t="str">
        <f>IFERROR(IF(A227="","",VLOOKUP(A227,CadProd!$A:$B,2,0)),"")</f>
        <v/>
      </c>
      <c r="C227" t="str">
        <f>IFERROR(IF(A227="","",VLOOKUP(A227,CadProd!$A:$C,3,0)),"")</f>
        <v/>
      </c>
    </row>
    <row r="228" spans="2:3" x14ac:dyDescent="0.3">
      <c r="B228" t="str">
        <f>IFERROR(IF(A228="","",VLOOKUP(A228,CadProd!$A:$B,2,0)),"")</f>
        <v/>
      </c>
      <c r="C228" t="str">
        <f>IFERROR(IF(A228="","",VLOOKUP(A228,CadProd!$A:$C,3,0)),"")</f>
        <v/>
      </c>
    </row>
    <row r="229" spans="2:3" x14ac:dyDescent="0.3">
      <c r="B229" t="str">
        <f>IFERROR(IF(A229="","",VLOOKUP(A229,CadProd!$A:$B,2,0)),"")</f>
        <v/>
      </c>
      <c r="C229" t="str">
        <f>IFERROR(IF(A229="","",VLOOKUP(A229,CadProd!$A:$C,3,0)),"")</f>
        <v/>
      </c>
    </row>
    <row r="230" spans="2:3" x14ac:dyDescent="0.3">
      <c r="B230" t="str">
        <f>IFERROR(IF(A230="","",VLOOKUP(A230,CadProd!$A:$B,2,0)),"")</f>
        <v/>
      </c>
      <c r="C230" t="str">
        <f>IFERROR(IF(A230="","",VLOOKUP(A230,CadProd!$A:$C,3,0)),"")</f>
        <v/>
      </c>
    </row>
    <row r="231" spans="2:3" x14ac:dyDescent="0.3">
      <c r="B231" t="str">
        <f>IFERROR(IF(A231="","",VLOOKUP(A231,CadProd!$A:$B,2,0)),"")</f>
        <v/>
      </c>
      <c r="C231" t="str">
        <f>IFERROR(IF(A231="","",VLOOKUP(A231,CadProd!$A:$C,3,0)),"")</f>
        <v/>
      </c>
    </row>
    <row r="232" spans="2:3" x14ac:dyDescent="0.3">
      <c r="B232" t="str">
        <f>IFERROR(IF(A232="","",VLOOKUP(A232,CadProd!$A:$B,2,0)),"")</f>
        <v/>
      </c>
      <c r="C232" t="str">
        <f>IFERROR(IF(A232="","",VLOOKUP(A232,CadProd!$A:$C,3,0)),"")</f>
        <v/>
      </c>
    </row>
    <row r="233" spans="2:3" x14ac:dyDescent="0.3">
      <c r="B233" t="str">
        <f>IFERROR(IF(A233="","",VLOOKUP(A233,CadProd!$A:$B,2,0)),"")</f>
        <v/>
      </c>
      <c r="C233" t="str">
        <f>IFERROR(IF(A233="","",VLOOKUP(A233,CadProd!$A:$C,3,0)),"")</f>
        <v/>
      </c>
    </row>
    <row r="234" spans="2:3" x14ac:dyDescent="0.3">
      <c r="B234" t="str">
        <f>IFERROR(IF(A234="","",VLOOKUP(A234,CadProd!$A:$B,2,0)),"")</f>
        <v/>
      </c>
      <c r="C234" t="str">
        <f>IFERROR(IF(A234="","",VLOOKUP(A234,CadProd!$A:$C,3,0)),"")</f>
        <v/>
      </c>
    </row>
    <row r="235" spans="2:3" x14ac:dyDescent="0.3">
      <c r="B235" t="str">
        <f>IFERROR(IF(A235="","",VLOOKUP(A235,CadProd!$A:$B,2,0)),"")</f>
        <v/>
      </c>
      <c r="C235" t="str">
        <f>IFERROR(IF(A235="","",VLOOKUP(A235,CadProd!$A:$C,3,0)),"")</f>
        <v/>
      </c>
    </row>
    <row r="236" spans="2:3" x14ac:dyDescent="0.3">
      <c r="B236" t="str">
        <f>IFERROR(IF(A236="","",VLOOKUP(A236,CadProd!$A:$B,2,0)),"")</f>
        <v/>
      </c>
      <c r="C236" t="str">
        <f>IFERROR(IF(A236="","",VLOOKUP(A236,CadProd!$A:$C,3,0)),"")</f>
        <v/>
      </c>
    </row>
    <row r="237" spans="2:3" x14ac:dyDescent="0.3">
      <c r="B237" t="str">
        <f>IFERROR(IF(A237="","",VLOOKUP(A237,CadProd!$A:$B,2,0)),"")</f>
        <v/>
      </c>
      <c r="C237" t="str">
        <f>IFERROR(IF(A237="","",VLOOKUP(A237,CadProd!$A:$C,3,0)),"")</f>
        <v/>
      </c>
    </row>
    <row r="238" spans="2:3" x14ac:dyDescent="0.3">
      <c r="B238" t="str">
        <f>IFERROR(IF(A238="","",VLOOKUP(A238,CadProd!$A:$B,2,0)),"")</f>
        <v/>
      </c>
      <c r="C238" t="str">
        <f>IFERROR(IF(A238="","",VLOOKUP(A238,CadProd!$A:$C,3,0)),"")</f>
        <v/>
      </c>
    </row>
    <row r="239" spans="2:3" x14ac:dyDescent="0.3">
      <c r="B239" t="str">
        <f>IFERROR(IF(A239="","",VLOOKUP(A239,CadProd!$A:$B,2,0)),"")</f>
        <v/>
      </c>
      <c r="C239" t="str">
        <f>IFERROR(IF(A239="","",VLOOKUP(A239,CadProd!$A:$C,3,0)),"")</f>
        <v/>
      </c>
    </row>
    <row r="240" spans="2:3" x14ac:dyDescent="0.3">
      <c r="B240" t="str">
        <f>IFERROR(IF(A240="","",VLOOKUP(A240,CadProd!$A:$B,2,0)),"")</f>
        <v/>
      </c>
      <c r="C240" t="str">
        <f>IFERROR(IF(A240="","",VLOOKUP(A240,CadProd!$A:$C,3,0)),"")</f>
        <v/>
      </c>
    </row>
    <row r="241" spans="2:3" x14ac:dyDescent="0.3">
      <c r="B241" t="str">
        <f>IFERROR(IF(A241="","",VLOOKUP(A241,CadProd!$A:$B,2,0)),"")</f>
        <v/>
      </c>
      <c r="C241" t="str">
        <f>IFERROR(IF(A241="","",VLOOKUP(A241,CadProd!$A:$C,3,0)),"")</f>
        <v/>
      </c>
    </row>
    <row r="242" spans="2:3" x14ac:dyDescent="0.3">
      <c r="B242" t="str">
        <f>IFERROR(IF(A242="","",VLOOKUP(A242,CadProd!$A:$B,2,0)),"")</f>
        <v/>
      </c>
      <c r="C242" t="str">
        <f>IFERROR(IF(A242="","",VLOOKUP(A242,CadProd!$A:$C,3,0)),"")</f>
        <v/>
      </c>
    </row>
    <row r="243" spans="2:3" x14ac:dyDescent="0.3">
      <c r="B243" t="str">
        <f>IFERROR(IF(A243="","",VLOOKUP(A243,CadProd!$A:$B,2,0)),"")</f>
        <v/>
      </c>
      <c r="C243" t="str">
        <f>IFERROR(IF(A243="","",VLOOKUP(A243,CadProd!$A:$C,3,0)),"")</f>
        <v/>
      </c>
    </row>
    <row r="244" spans="2:3" x14ac:dyDescent="0.3">
      <c r="B244" t="str">
        <f>IFERROR(IF(A244="","",VLOOKUP(A244,CadProd!$A:$B,2,0)),"")</f>
        <v/>
      </c>
      <c r="C244" t="str">
        <f>IFERROR(IF(A244="","",VLOOKUP(A244,CadProd!$A:$C,3,0)),"")</f>
        <v/>
      </c>
    </row>
    <row r="245" spans="2:3" x14ac:dyDescent="0.3">
      <c r="B245" t="str">
        <f>IFERROR(IF(A245="","",VLOOKUP(A245,CadProd!$A:$B,2,0)),"")</f>
        <v/>
      </c>
      <c r="C245" t="str">
        <f>IFERROR(IF(A245="","",VLOOKUP(A245,CadProd!$A:$C,3,0)),"")</f>
        <v/>
      </c>
    </row>
    <row r="246" spans="2:3" x14ac:dyDescent="0.3">
      <c r="B246" t="str">
        <f>IFERROR(IF(A246="","",VLOOKUP(A246,CadProd!$A:$B,2,0)),"")</f>
        <v/>
      </c>
      <c r="C246" t="str">
        <f>IFERROR(IF(A246="","",VLOOKUP(A246,CadProd!$A:$C,3,0)),"")</f>
        <v/>
      </c>
    </row>
    <row r="247" spans="2:3" x14ac:dyDescent="0.3">
      <c r="B247" t="str">
        <f>IFERROR(IF(A247="","",VLOOKUP(A247,CadProd!$A:$B,2,0)),"")</f>
        <v/>
      </c>
      <c r="C247" t="str">
        <f>IFERROR(IF(A247="","",VLOOKUP(A247,CadProd!$A:$C,3,0)),"")</f>
        <v/>
      </c>
    </row>
    <row r="248" spans="2:3" x14ac:dyDescent="0.3">
      <c r="B248" t="str">
        <f>IFERROR(IF(A248="","",VLOOKUP(A248,CadProd!$A:$B,2,0)),"")</f>
        <v/>
      </c>
      <c r="C248" t="str">
        <f>IFERROR(IF(A248="","",VLOOKUP(A248,CadProd!$A:$C,3,0)),"")</f>
        <v/>
      </c>
    </row>
    <row r="249" spans="2:3" x14ac:dyDescent="0.3">
      <c r="B249" t="str">
        <f>IFERROR(IF(A249="","",VLOOKUP(A249,CadProd!$A:$B,2,0)),"")</f>
        <v/>
      </c>
      <c r="C249" t="str">
        <f>IFERROR(IF(A249="","",VLOOKUP(A249,CadProd!$A:$C,3,0)),"")</f>
        <v/>
      </c>
    </row>
    <row r="250" spans="2:3" x14ac:dyDescent="0.3">
      <c r="B250" t="str">
        <f>IFERROR(IF(A250="","",VLOOKUP(A250,CadProd!$A:$B,2,0)),"")</f>
        <v/>
      </c>
      <c r="C250" t="str">
        <f>IFERROR(IF(A250="","",VLOOKUP(A250,CadProd!$A:$C,3,0)),"")</f>
        <v/>
      </c>
    </row>
    <row r="251" spans="2:3" x14ac:dyDescent="0.3">
      <c r="B251" t="str">
        <f>IFERROR(IF(A251="","",VLOOKUP(A251,CadProd!$A:$B,2,0)),"")</f>
        <v/>
      </c>
      <c r="C251" t="str">
        <f>IFERROR(IF(A251="","",VLOOKUP(A251,CadProd!$A:$C,3,0)),"")</f>
        <v/>
      </c>
    </row>
    <row r="252" spans="2:3" x14ac:dyDescent="0.3">
      <c r="B252" t="str">
        <f>IFERROR(IF(A252="","",VLOOKUP(A252,CadProd!$A:$B,2,0)),"")</f>
        <v/>
      </c>
      <c r="C252" t="str">
        <f>IFERROR(IF(A252="","",VLOOKUP(A252,CadProd!$A:$C,3,0)),"")</f>
        <v/>
      </c>
    </row>
    <row r="253" spans="2:3" x14ac:dyDescent="0.3">
      <c r="B253" t="str">
        <f>IFERROR(IF(A253="","",VLOOKUP(A253,CadProd!$A:$B,2,0)),"")</f>
        <v/>
      </c>
      <c r="C253" t="str">
        <f>IFERROR(IF(A253="","",VLOOKUP(A253,CadProd!$A:$C,3,0)),"")</f>
        <v/>
      </c>
    </row>
    <row r="254" spans="2:3" x14ac:dyDescent="0.3">
      <c r="B254" t="str">
        <f>IFERROR(IF(A254="","",VLOOKUP(A254,CadProd!$A:$B,2,0)),"")</f>
        <v/>
      </c>
      <c r="C254" t="str">
        <f>IFERROR(IF(A254="","",VLOOKUP(A254,CadProd!$A:$C,3,0)),"")</f>
        <v/>
      </c>
    </row>
    <row r="255" spans="2:3" x14ac:dyDescent="0.3">
      <c r="B255" t="str">
        <f>IFERROR(IF(A255="","",VLOOKUP(A255,CadProd!$A:$B,2,0)),"")</f>
        <v/>
      </c>
      <c r="C255" t="str">
        <f>IFERROR(IF(A255="","",VLOOKUP(A255,CadProd!$A:$C,3,0)),"")</f>
        <v/>
      </c>
    </row>
    <row r="256" spans="2:3" x14ac:dyDescent="0.3">
      <c r="B256" t="str">
        <f>IFERROR(IF(A256="","",VLOOKUP(A256,CadProd!$A:$B,2,0)),"")</f>
        <v/>
      </c>
      <c r="C256" t="str">
        <f>IFERROR(IF(A256="","",VLOOKUP(A256,CadProd!$A:$C,3,0)),"")</f>
        <v/>
      </c>
    </row>
    <row r="257" spans="2:3" x14ac:dyDescent="0.3">
      <c r="B257" t="str">
        <f>IFERROR(IF(A257="","",VLOOKUP(A257,CadProd!$A:$B,2,0)),"")</f>
        <v/>
      </c>
      <c r="C257" t="str">
        <f>IFERROR(IF(A257="","",VLOOKUP(A257,CadProd!$A:$C,3,0)),"")</f>
        <v/>
      </c>
    </row>
    <row r="258" spans="2:3" x14ac:dyDescent="0.3">
      <c r="B258" t="str">
        <f>IFERROR(IF(A258="","",VLOOKUP(A258,CadProd!$A:$B,2,0)),"")</f>
        <v/>
      </c>
      <c r="C258" t="str">
        <f>IFERROR(IF(A258="","",VLOOKUP(A258,CadProd!$A:$C,3,0)),"")</f>
        <v/>
      </c>
    </row>
    <row r="259" spans="2:3" x14ac:dyDescent="0.3">
      <c r="B259" t="str">
        <f>IFERROR(IF(A259="","",VLOOKUP(A259,CadProd!$A:$B,2,0)),"")</f>
        <v/>
      </c>
      <c r="C259" t="str">
        <f>IFERROR(IF(A259="","",VLOOKUP(A259,CadProd!$A:$C,3,0)),"")</f>
        <v/>
      </c>
    </row>
    <row r="260" spans="2:3" x14ac:dyDescent="0.3">
      <c r="B260" t="str">
        <f>IFERROR(IF(A260="","",VLOOKUP(A260,CadProd!$A:$B,2,0)),"")</f>
        <v/>
      </c>
      <c r="C260" t="str">
        <f>IFERROR(IF(A260="","",VLOOKUP(A260,CadProd!$A:$C,3,0)),"")</f>
        <v/>
      </c>
    </row>
    <row r="261" spans="2:3" x14ac:dyDescent="0.3">
      <c r="B261" t="str">
        <f>IFERROR(IF(A261="","",VLOOKUP(A261,CadProd!$A:$B,2,0)),"")</f>
        <v/>
      </c>
      <c r="C261" t="str">
        <f>IFERROR(IF(A261="","",VLOOKUP(A261,CadProd!$A:$C,3,0)),"")</f>
        <v/>
      </c>
    </row>
    <row r="262" spans="2:3" x14ac:dyDescent="0.3">
      <c r="B262" t="str">
        <f>IFERROR(IF(A262="","",VLOOKUP(A262,CadProd!$A:$B,2,0)),"")</f>
        <v/>
      </c>
      <c r="C262" t="str">
        <f>IFERROR(IF(A262="","",VLOOKUP(A262,CadProd!$A:$C,3,0)),"")</f>
        <v/>
      </c>
    </row>
    <row r="263" spans="2:3" x14ac:dyDescent="0.3">
      <c r="B263" t="str">
        <f>IFERROR(IF(A263="","",VLOOKUP(A263,CadProd!$A:$B,2,0)),"")</f>
        <v/>
      </c>
      <c r="C263" t="str">
        <f>IFERROR(IF(A263="","",VLOOKUP(A263,CadProd!$A:$C,3,0)),"")</f>
        <v/>
      </c>
    </row>
    <row r="264" spans="2:3" x14ac:dyDescent="0.3">
      <c r="B264" t="str">
        <f>IFERROR(IF(A264="","",VLOOKUP(A264,CadProd!$A:$B,2,0)),"")</f>
        <v/>
      </c>
      <c r="C264" t="str">
        <f>IFERROR(IF(A264="","",VLOOKUP(A264,CadProd!$A:$C,3,0)),"")</f>
        <v/>
      </c>
    </row>
    <row r="265" spans="2:3" x14ac:dyDescent="0.3">
      <c r="B265" t="str">
        <f>IFERROR(IF(A265="","",VLOOKUP(A265,CadProd!$A:$B,2,0)),"")</f>
        <v/>
      </c>
      <c r="C265" t="str">
        <f>IFERROR(IF(A265="","",VLOOKUP(A265,CadProd!$A:$C,3,0)),"")</f>
        <v/>
      </c>
    </row>
    <row r="266" spans="2:3" x14ac:dyDescent="0.3">
      <c r="B266" t="str">
        <f>IFERROR(IF(A266="","",VLOOKUP(A266,CadProd!$A:$B,2,0)),"")</f>
        <v/>
      </c>
      <c r="C266" t="str">
        <f>IFERROR(IF(A266="","",VLOOKUP(A266,CadProd!$A:$C,3,0)),"")</f>
        <v/>
      </c>
    </row>
    <row r="267" spans="2:3" x14ac:dyDescent="0.3">
      <c r="B267" t="str">
        <f>IFERROR(IF(A267="","",VLOOKUP(A267,CadProd!$A:$B,2,0)),"")</f>
        <v/>
      </c>
      <c r="C267" t="str">
        <f>IFERROR(IF(A267="","",VLOOKUP(A267,CadProd!$A:$C,3,0)),"")</f>
        <v/>
      </c>
    </row>
    <row r="268" spans="2:3" x14ac:dyDescent="0.3">
      <c r="B268" t="str">
        <f>IFERROR(IF(A268="","",VLOOKUP(A268,CadProd!$A:$B,2,0)),"")</f>
        <v/>
      </c>
      <c r="C268" t="str">
        <f>IFERROR(IF(A268="","",VLOOKUP(A268,CadProd!$A:$C,3,0)),"")</f>
        <v/>
      </c>
    </row>
    <row r="269" spans="2:3" x14ac:dyDescent="0.3">
      <c r="B269" t="str">
        <f>IFERROR(IF(A269="","",VLOOKUP(A269,CadProd!$A:$B,2,0)),"")</f>
        <v/>
      </c>
      <c r="C269" t="str">
        <f>IFERROR(IF(A269="","",VLOOKUP(A269,CadProd!$A:$C,3,0)),"")</f>
        <v/>
      </c>
    </row>
    <row r="270" spans="2:3" x14ac:dyDescent="0.3">
      <c r="B270" t="str">
        <f>IFERROR(IF(A270="","",VLOOKUP(A270,CadProd!$A:$B,2,0)),"")</f>
        <v/>
      </c>
      <c r="C270" t="str">
        <f>IFERROR(IF(A270="","",VLOOKUP(A270,CadProd!$A:$C,3,0)),"")</f>
        <v/>
      </c>
    </row>
    <row r="271" spans="2:3" x14ac:dyDescent="0.3">
      <c r="B271" t="str">
        <f>IFERROR(IF(A271="","",VLOOKUP(A271,CadProd!$A:$B,2,0)),"")</f>
        <v/>
      </c>
      <c r="C271" t="str">
        <f>IFERROR(IF(A271="","",VLOOKUP(A271,CadProd!$A:$C,3,0)),"")</f>
        <v/>
      </c>
    </row>
    <row r="272" spans="2:3" x14ac:dyDescent="0.3">
      <c r="B272" t="str">
        <f>IFERROR(IF(A272="","",VLOOKUP(A272,CadProd!$A:$B,2,0)),"")</f>
        <v/>
      </c>
      <c r="C272" t="str">
        <f>IFERROR(IF(A272="","",VLOOKUP(A272,CadProd!$A:$C,3,0)),"")</f>
        <v/>
      </c>
    </row>
    <row r="273" spans="2:3" x14ac:dyDescent="0.3">
      <c r="B273" t="str">
        <f>IFERROR(IF(A273="","",VLOOKUP(A273,CadProd!$A:$B,2,0)),"")</f>
        <v/>
      </c>
      <c r="C273" t="str">
        <f>IFERROR(IF(A273="","",VLOOKUP(A273,CadProd!$A:$C,3,0)),"")</f>
        <v/>
      </c>
    </row>
    <row r="274" spans="2:3" x14ac:dyDescent="0.3">
      <c r="B274" t="str">
        <f>IFERROR(IF(A274="","",VLOOKUP(A274,CadProd!$A:$B,2,0)),"")</f>
        <v/>
      </c>
      <c r="C274" t="str">
        <f>IFERROR(IF(A274="","",VLOOKUP(A274,CadProd!$A:$C,3,0)),"")</f>
        <v/>
      </c>
    </row>
    <row r="275" spans="2:3" x14ac:dyDescent="0.3">
      <c r="B275" t="str">
        <f>IFERROR(IF(A275="","",VLOOKUP(A275,CadProd!$A:$B,2,0)),"")</f>
        <v/>
      </c>
      <c r="C275" t="str">
        <f>IFERROR(IF(A275="","",VLOOKUP(A275,CadProd!$A:$C,3,0)),"")</f>
        <v/>
      </c>
    </row>
    <row r="276" spans="2:3" x14ac:dyDescent="0.3">
      <c r="B276" t="str">
        <f>IFERROR(IF(A276="","",VLOOKUP(A276,CadProd!$A:$B,2,0)),"")</f>
        <v/>
      </c>
      <c r="C276" t="str">
        <f>IFERROR(IF(A276="","",VLOOKUP(A276,CadProd!$A:$C,3,0)),"")</f>
        <v/>
      </c>
    </row>
    <row r="277" spans="2:3" x14ac:dyDescent="0.3">
      <c r="B277" t="str">
        <f>IFERROR(IF(A277="","",VLOOKUP(A277,CadProd!$A:$B,2,0)),"")</f>
        <v/>
      </c>
      <c r="C277" t="str">
        <f>IFERROR(IF(A277="","",VLOOKUP(A277,CadProd!$A:$C,3,0)),"")</f>
        <v/>
      </c>
    </row>
    <row r="278" spans="2:3" x14ac:dyDescent="0.3">
      <c r="B278" t="str">
        <f>IFERROR(IF(A278="","",VLOOKUP(A278,CadProd!$A:$B,2,0)),"")</f>
        <v/>
      </c>
      <c r="C278" t="str">
        <f>IFERROR(IF(A278="","",VLOOKUP(A278,CadProd!$A:$C,3,0)),"")</f>
        <v/>
      </c>
    </row>
    <row r="279" spans="2:3" x14ac:dyDescent="0.3">
      <c r="B279" t="str">
        <f>IFERROR(IF(A279="","",VLOOKUP(A279,CadProd!$A:$B,2,0)),"")</f>
        <v/>
      </c>
      <c r="C279" t="str">
        <f>IFERROR(IF(A279="","",VLOOKUP(A279,CadProd!$A:$C,3,0)),"")</f>
        <v/>
      </c>
    </row>
    <row r="280" spans="2:3" x14ac:dyDescent="0.3">
      <c r="B280" t="str">
        <f>IFERROR(IF(A280="","",VLOOKUP(A280,CadProd!$A:$B,2,0)),"")</f>
        <v/>
      </c>
      <c r="C280" t="str">
        <f>IFERROR(IF(A280="","",VLOOKUP(A280,CadProd!$A:$C,3,0)),"")</f>
        <v/>
      </c>
    </row>
    <row r="281" spans="2:3" x14ac:dyDescent="0.3">
      <c r="B281" t="str">
        <f>IFERROR(IF(A281="","",VLOOKUP(A281,CadProd!$A:$B,2,0)),"")</f>
        <v/>
      </c>
      <c r="C281" t="str">
        <f>IFERROR(IF(A281="","",VLOOKUP(A281,CadProd!$A:$C,3,0)),"")</f>
        <v/>
      </c>
    </row>
    <row r="282" spans="2:3" x14ac:dyDescent="0.3">
      <c r="B282" t="str">
        <f>IFERROR(IF(A282="","",VLOOKUP(A282,CadProd!$A:$B,2,0)),"")</f>
        <v/>
      </c>
      <c r="C282" t="str">
        <f>IFERROR(IF(A282="","",VLOOKUP(A282,CadProd!$A:$C,3,0)),"")</f>
        <v/>
      </c>
    </row>
    <row r="283" spans="2:3" x14ac:dyDescent="0.3">
      <c r="B283" t="str">
        <f>IFERROR(IF(A283="","",VLOOKUP(A283,CadProd!$A:$B,2,0)),"")</f>
        <v/>
      </c>
      <c r="C283" t="str">
        <f>IFERROR(IF(A283="","",VLOOKUP(A283,CadProd!$A:$C,3,0)),"")</f>
        <v/>
      </c>
    </row>
    <row r="284" spans="2:3" x14ac:dyDescent="0.3">
      <c r="B284" t="str">
        <f>IFERROR(IF(A284="","",VLOOKUP(A284,CadProd!$A:$B,2,0)),"")</f>
        <v/>
      </c>
      <c r="C284" t="str">
        <f>IFERROR(IF(A284="","",VLOOKUP(A284,CadProd!$A:$C,3,0)),"")</f>
        <v/>
      </c>
    </row>
    <row r="285" spans="2:3" x14ac:dyDescent="0.3">
      <c r="B285" t="str">
        <f>IFERROR(IF(A285="","",VLOOKUP(A285,CadProd!$A:$B,2,0)),"")</f>
        <v/>
      </c>
      <c r="C285" t="str">
        <f>IFERROR(IF(A285="","",VLOOKUP(A285,CadProd!$A:$C,3,0)),"")</f>
        <v/>
      </c>
    </row>
    <row r="286" spans="2:3" x14ac:dyDescent="0.3">
      <c r="B286" t="str">
        <f>IFERROR(IF(A286="","",VLOOKUP(A286,CadProd!$A:$B,2,0)),"")</f>
        <v/>
      </c>
      <c r="C286" t="str">
        <f>IFERROR(IF(A286="","",VLOOKUP(A286,CadProd!$A:$C,3,0)),"")</f>
        <v/>
      </c>
    </row>
    <row r="287" spans="2:3" x14ac:dyDescent="0.3">
      <c r="B287" t="str">
        <f>IFERROR(IF(A287="","",VLOOKUP(A287,CadProd!$A:$B,2,0)),"")</f>
        <v/>
      </c>
      <c r="C287" t="str">
        <f>IFERROR(IF(A287="","",VLOOKUP(A287,CadProd!$A:$C,3,0)),"")</f>
        <v/>
      </c>
    </row>
    <row r="288" spans="2:3" x14ac:dyDescent="0.3">
      <c r="B288" t="str">
        <f>IFERROR(IF(A288="","",VLOOKUP(A288,CadProd!$A:$B,2,0)),"")</f>
        <v/>
      </c>
      <c r="C288" t="str">
        <f>IFERROR(IF(A288="","",VLOOKUP(A288,CadProd!$A:$C,3,0)),"")</f>
        <v/>
      </c>
    </row>
    <row r="289" spans="2:3" x14ac:dyDescent="0.3">
      <c r="B289" t="str">
        <f>IFERROR(IF(A289="","",VLOOKUP(A289,CadProd!$A:$B,2,0)),"")</f>
        <v/>
      </c>
      <c r="C289" t="str">
        <f>IFERROR(IF(A289="","",VLOOKUP(A289,CadProd!$A:$C,3,0)),"")</f>
        <v/>
      </c>
    </row>
    <row r="290" spans="2:3" x14ac:dyDescent="0.3">
      <c r="B290" t="str">
        <f>IFERROR(IF(A290="","",VLOOKUP(A290,CadProd!$A:$B,2,0)),"")</f>
        <v/>
      </c>
      <c r="C290" t="str">
        <f>IFERROR(IF(A290="","",VLOOKUP(A290,CadProd!$A:$C,3,0)),"")</f>
        <v/>
      </c>
    </row>
    <row r="291" spans="2:3" x14ac:dyDescent="0.3">
      <c r="B291" t="str">
        <f>IFERROR(IF(A291="","",VLOOKUP(A291,CadProd!$A:$B,2,0)),"")</f>
        <v/>
      </c>
      <c r="C291" t="str">
        <f>IFERROR(IF(A291="","",VLOOKUP(A291,CadProd!$A:$C,3,0)),"")</f>
        <v/>
      </c>
    </row>
    <row r="292" spans="2:3" x14ac:dyDescent="0.3">
      <c r="B292" t="str">
        <f>IFERROR(IF(A292="","",VLOOKUP(A292,CadProd!$A:$B,2,0)),"")</f>
        <v/>
      </c>
      <c r="C292" t="str">
        <f>IFERROR(IF(A292="","",VLOOKUP(A292,CadProd!$A:$C,3,0)),"")</f>
        <v/>
      </c>
    </row>
    <row r="293" spans="2:3" x14ac:dyDescent="0.3">
      <c r="B293" t="str">
        <f>IFERROR(IF(A293="","",VLOOKUP(A293,CadProd!$A:$B,2,0)),"")</f>
        <v/>
      </c>
      <c r="C293" t="str">
        <f>IFERROR(IF(A293="","",VLOOKUP(A293,CadProd!$A:$C,3,0)),"")</f>
        <v/>
      </c>
    </row>
    <row r="294" spans="2:3" x14ac:dyDescent="0.3">
      <c r="B294" t="str">
        <f>IFERROR(IF(A294="","",VLOOKUP(A294,CadProd!$A:$B,2,0)),"")</f>
        <v/>
      </c>
      <c r="C294" t="str">
        <f>IFERROR(IF(A294="","",VLOOKUP(A294,CadProd!$A:$C,3,0)),"")</f>
        <v/>
      </c>
    </row>
    <row r="295" spans="2:3" x14ac:dyDescent="0.3">
      <c r="B295" t="str">
        <f>IFERROR(IF(A295="","",VLOOKUP(A295,CadProd!$A:$B,2,0)),"")</f>
        <v/>
      </c>
      <c r="C295" t="str">
        <f>IFERROR(IF(A295="","",VLOOKUP(A295,CadProd!$A:$C,3,0)),"")</f>
        <v/>
      </c>
    </row>
    <row r="296" spans="2:3" x14ac:dyDescent="0.3">
      <c r="B296" t="str">
        <f>IFERROR(IF(A296="","",VLOOKUP(A296,CadProd!$A:$B,2,0)),"")</f>
        <v/>
      </c>
      <c r="C296" t="str">
        <f>IFERROR(IF(A296="","",VLOOKUP(A296,CadProd!$A:$C,3,0)),"")</f>
        <v/>
      </c>
    </row>
    <row r="297" spans="2:3" x14ac:dyDescent="0.3">
      <c r="B297" t="str">
        <f>IFERROR(IF(A297="","",VLOOKUP(A297,CadProd!$A:$B,2,0)),"")</f>
        <v/>
      </c>
      <c r="C297" t="str">
        <f>IFERROR(IF(A297="","",VLOOKUP(A297,CadProd!$A:$C,3,0)),"")</f>
        <v/>
      </c>
    </row>
    <row r="298" spans="2:3" x14ac:dyDescent="0.3">
      <c r="B298" t="str">
        <f>IFERROR(IF(A298="","",VLOOKUP(A298,CadProd!$A:$B,2,0)),"")</f>
        <v/>
      </c>
      <c r="C298" t="str">
        <f>IFERROR(IF(A298="","",VLOOKUP(A298,CadProd!$A:$C,3,0)),"")</f>
        <v/>
      </c>
    </row>
    <row r="299" spans="2:3" x14ac:dyDescent="0.3">
      <c r="B299" t="str">
        <f>IFERROR(IF(A299="","",VLOOKUP(A299,CadProd!$A:$B,2,0)),"")</f>
        <v/>
      </c>
      <c r="C299" t="str">
        <f>IFERROR(IF(A299="","",VLOOKUP(A299,CadProd!$A:$C,3,0)),"")</f>
        <v/>
      </c>
    </row>
    <row r="300" spans="2:3" x14ac:dyDescent="0.3">
      <c r="B300" t="str">
        <f>IFERROR(IF(A300="","",VLOOKUP(A300,CadProd!$A:$B,2,0)),"")</f>
        <v/>
      </c>
      <c r="C300" t="str">
        <f>IFERROR(IF(A300="","",VLOOKUP(A300,CadProd!$A:$C,3,0)),"")</f>
        <v/>
      </c>
    </row>
    <row r="301" spans="2:3" x14ac:dyDescent="0.3">
      <c r="B301" t="str">
        <f>IFERROR(IF(A301="","",VLOOKUP(A301,CadProd!$A:$B,2,0)),"")</f>
        <v/>
      </c>
      <c r="C301" t="str">
        <f>IFERROR(IF(A301="","",VLOOKUP(A301,CadProd!$A:$C,3,0)),"")</f>
        <v/>
      </c>
    </row>
    <row r="302" spans="2:3" x14ac:dyDescent="0.3">
      <c r="B302" t="str">
        <f>IFERROR(IF(A302="","",VLOOKUP(A302,CadProd!$A:$B,2,0)),"")</f>
        <v/>
      </c>
      <c r="C302" t="str">
        <f>IFERROR(IF(A302="","",VLOOKUP(A302,CadProd!$A:$C,3,0)),"")</f>
        <v/>
      </c>
    </row>
    <row r="303" spans="2:3" x14ac:dyDescent="0.3">
      <c r="B303" t="str">
        <f>IFERROR(IF(A303="","",VLOOKUP(A303,CadProd!$A:$B,2,0)),"")</f>
        <v/>
      </c>
      <c r="C303" t="str">
        <f>IFERROR(IF(A303="","",VLOOKUP(A303,CadProd!$A:$C,3,0)),"")</f>
        <v/>
      </c>
    </row>
    <row r="304" spans="2:3" x14ac:dyDescent="0.3">
      <c r="B304" t="str">
        <f>IFERROR(IF(A304="","",VLOOKUP(A304,CadProd!$A:$B,2,0)),"")</f>
        <v/>
      </c>
      <c r="C304" t="str">
        <f>IFERROR(IF(A304="","",VLOOKUP(A304,CadProd!$A:$C,3,0)),"")</f>
        <v/>
      </c>
    </row>
    <row r="305" spans="2:3" x14ac:dyDescent="0.3">
      <c r="B305" t="str">
        <f>IFERROR(IF(A305="","",VLOOKUP(A305,CadProd!$A:$B,2,0)),"")</f>
        <v/>
      </c>
      <c r="C305" t="str">
        <f>IFERROR(IF(A305="","",VLOOKUP(A305,CadProd!$A:$C,3,0)),"")</f>
        <v/>
      </c>
    </row>
    <row r="306" spans="2:3" x14ac:dyDescent="0.3">
      <c r="B306" t="str">
        <f>IFERROR(IF(A306="","",VLOOKUP(A306,CadProd!$A:$B,2,0)),"")</f>
        <v/>
      </c>
      <c r="C306" t="str">
        <f>IFERROR(IF(A306="","",VLOOKUP(A306,CadProd!$A:$C,3,0)),"")</f>
        <v/>
      </c>
    </row>
    <row r="307" spans="2:3" x14ac:dyDescent="0.3">
      <c r="B307" t="str">
        <f>IFERROR(IF(A307="","",VLOOKUP(A307,CadProd!$A:$B,2,0)),"")</f>
        <v/>
      </c>
      <c r="C307" t="str">
        <f>IFERROR(IF(A307="","",VLOOKUP(A307,CadProd!$A:$C,3,0)),"")</f>
        <v/>
      </c>
    </row>
    <row r="308" spans="2:3" x14ac:dyDescent="0.3">
      <c r="B308" t="str">
        <f>IFERROR(IF(A308="","",VLOOKUP(A308,CadProd!$A:$B,2,0)),"")</f>
        <v/>
      </c>
      <c r="C308" t="str">
        <f>IFERROR(IF(A308="","",VLOOKUP(A308,CadProd!$A:$C,3,0)),"")</f>
        <v/>
      </c>
    </row>
    <row r="309" spans="2:3" x14ac:dyDescent="0.3">
      <c r="B309" t="str">
        <f>IFERROR(IF(A309="","",VLOOKUP(A309,CadProd!$A:$B,2,0)),"")</f>
        <v/>
      </c>
      <c r="C309" t="str">
        <f>IFERROR(IF(A309="","",VLOOKUP(A309,CadProd!$A:$C,3,0)),"")</f>
        <v/>
      </c>
    </row>
    <row r="310" spans="2:3" x14ac:dyDescent="0.3">
      <c r="B310" t="str">
        <f>IFERROR(IF(A310="","",VLOOKUP(A310,CadProd!$A:$B,2,0)),"")</f>
        <v/>
      </c>
      <c r="C310" t="str">
        <f>IFERROR(IF(A310="","",VLOOKUP(A310,CadProd!$A:$C,3,0)),"")</f>
        <v/>
      </c>
    </row>
    <row r="311" spans="2:3" x14ac:dyDescent="0.3">
      <c r="B311" t="str">
        <f>IFERROR(IF(A311="","",VLOOKUP(A311,CadProd!$A:$B,2,0)),"")</f>
        <v/>
      </c>
      <c r="C311" t="str">
        <f>IFERROR(IF(A311="","",VLOOKUP(A311,CadProd!$A:$C,3,0)),"")</f>
        <v/>
      </c>
    </row>
    <row r="312" spans="2:3" x14ac:dyDescent="0.3">
      <c r="B312" t="str">
        <f>IFERROR(IF(A312="","",VLOOKUP(A312,CadProd!$A:$B,2,0)),"")</f>
        <v/>
      </c>
      <c r="C312" t="str">
        <f>IFERROR(IF(A312="","",VLOOKUP(A312,CadProd!$A:$C,3,0)),"")</f>
        <v/>
      </c>
    </row>
    <row r="313" spans="2:3" x14ac:dyDescent="0.3">
      <c r="B313" t="str">
        <f>IFERROR(IF(A313="","",VLOOKUP(A313,CadProd!$A:$B,2,0)),"")</f>
        <v/>
      </c>
      <c r="C313" t="str">
        <f>IFERROR(IF(A313="","",VLOOKUP(A313,CadProd!$A:$C,3,0)),"")</f>
        <v/>
      </c>
    </row>
    <row r="314" spans="2:3" x14ac:dyDescent="0.3">
      <c r="B314" t="str">
        <f>IFERROR(IF(A314="","",VLOOKUP(A314,CadProd!$A:$B,2,0)),"")</f>
        <v/>
      </c>
      <c r="C314" t="str">
        <f>IFERROR(IF(A314="","",VLOOKUP(A314,CadProd!$A:$C,3,0)),"")</f>
        <v/>
      </c>
    </row>
    <row r="315" spans="2:3" x14ac:dyDescent="0.3">
      <c r="B315" t="str">
        <f>IFERROR(IF(A315="","",VLOOKUP(A315,CadProd!$A:$B,2,0)),"")</f>
        <v/>
      </c>
      <c r="C315" t="str">
        <f>IFERROR(IF(A315="","",VLOOKUP(A315,CadProd!$A:$C,3,0)),"")</f>
        <v/>
      </c>
    </row>
    <row r="316" spans="2:3" x14ac:dyDescent="0.3">
      <c r="B316" t="str">
        <f>IFERROR(IF(A316="","",VLOOKUP(A316,CadProd!$A:$B,2,0)),"")</f>
        <v/>
      </c>
      <c r="C316" t="str">
        <f>IFERROR(IF(A316="","",VLOOKUP(A316,CadProd!$A:$C,3,0)),"")</f>
        <v/>
      </c>
    </row>
    <row r="317" spans="2:3" x14ac:dyDescent="0.3">
      <c r="B317" t="str">
        <f>IFERROR(IF(A317="","",VLOOKUP(A317,CadProd!$A:$B,2,0)),"")</f>
        <v/>
      </c>
      <c r="C317" t="str">
        <f>IFERROR(IF(A317="","",VLOOKUP(A317,CadProd!$A:$C,3,0)),"")</f>
        <v/>
      </c>
    </row>
    <row r="318" spans="2:3" x14ac:dyDescent="0.3">
      <c r="B318" t="str">
        <f>IFERROR(IF(A318="","",VLOOKUP(A318,CadProd!$A:$B,2,0)),"")</f>
        <v/>
      </c>
      <c r="C318" t="str">
        <f>IFERROR(IF(A318="","",VLOOKUP(A318,CadProd!$A:$C,3,0)),"")</f>
        <v/>
      </c>
    </row>
    <row r="319" spans="2:3" x14ac:dyDescent="0.3">
      <c r="B319" t="str">
        <f>IFERROR(IF(A319="","",VLOOKUP(A319,CadProd!$A:$B,2,0)),"")</f>
        <v/>
      </c>
      <c r="C319" t="str">
        <f>IFERROR(IF(A319="","",VLOOKUP(A319,CadProd!$A:$C,3,0)),"")</f>
        <v/>
      </c>
    </row>
    <row r="320" spans="2:3" x14ac:dyDescent="0.3">
      <c r="B320" t="str">
        <f>IFERROR(IF(A320="","",VLOOKUP(A320,CadProd!$A:$B,2,0)),"")</f>
        <v/>
      </c>
      <c r="C320" t="str">
        <f>IFERROR(IF(A320="","",VLOOKUP(A320,CadProd!$A:$C,3,0)),"")</f>
        <v/>
      </c>
    </row>
    <row r="321" spans="2:3" x14ac:dyDescent="0.3">
      <c r="B321" t="str">
        <f>IFERROR(IF(A321="","",VLOOKUP(A321,CadProd!$A:$B,2,0)),"")</f>
        <v/>
      </c>
      <c r="C321" t="str">
        <f>IFERROR(IF(A321="","",VLOOKUP(A321,CadProd!$A:$C,3,0)),"")</f>
        <v/>
      </c>
    </row>
    <row r="322" spans="2:3" x14ac:dyDescent="0.3">
      <c r="B322" t="str">
        <f>IFERROR(IF(A322="","",VLOOKUP(A322,CadProd!$A:$B,2,0)),"")</f>
        <v/>
      </c>
      <c r="C322" t="str">
        <f>IFERROR(IF(A322="","",VLOOKUP(A322,CadProd!$A:$C,3,0)),"")</f>
        <v/>
      </c>
    </row>
    <row r="323" spans="2:3" x14ac:dyDescent="0.3">
      <c r="B323" t="str">
        <f>IFERROR(IF(A323="","",VLOOKUP(A323,CadProd!$A:$B,2,0)),"")</f>
        <v/>
      </c>
      <c r="C323" t="str">
        <f>IFERROR(IF(A323="","",VLOOKUP(A323,CadProd!$A:$C,3,0)),"")</f>
        <v/>
      </c>
    </row>
    <row r="324" spans="2:3" x14ac:dyDescent="0.3">
      <c r="B324" t="str">
        <f>IFERROR(IF(A324="","",VLOOKUP(A324,CadProd!$A:$B,2,0)),"")</f>
        <v/>
      </c>
      <c r="C324" t="str">
        <f>IFERROR(IF(A324="","",VLOOKUP(A324,CadProd!$A:$C,3,0)),"")</f>
        <v/>
      </c>
    </row>
    <row r="325" spans="2:3" x14ac:dyDescent="0.3">
      <c r="B325" t="str">
        <f>IFERROR(IF(A325="","",VLOOKUP(A325,CadProd!$A:$B,2,0)),"")</f>
        <v/>
      </c>
      <c r="C325" t="str">
        <f>IFERROR(IF(A325="","",VLOOKUP(A325,CadProd!$A:$C,3,0)),"")</f>
        <v/>
      </c>
    </row>
    <row r="326" spans="2:3" x14ac:dyDescent="0.3">
      <c r="B326" t="str">
        <f>IFERROR(IF(A326="","",VLOOKUP(A326,CadProd!$A:$B,2,0)),"")</f>
        <v/>
      </c>
      <c r="C326" t="str">
        <f>IFERROR(IF(A326="","",VLOOKUP(A326,CadProd!$A:$C,3,0)),"")</f>
        <v/>
      </c>
    </row>
    <row r="327" spans="2:3" x14ac:dyDescent="0.3">
      <c r="B327" t="str">
        <f>IFERROR(IF(A327="","",VLOOKUP(A327,CadProd!$A:$B,2,0)),"")</f>
        <v/>
      </c>
      <c r="C327" t="str">
        <f>IFERROR(IF(A327="","",VLOOKUP(A327,CadProd!$A:$C,3,0)),"")</f>
        <v/>
      </c>
    </row>
    <row r="328" spans="2:3" x14ac:dyDescent="0.3">
      <c r="B328" t="str">
        <f>IFERROR(IF(A328="","",VLOOKUP(A328,CadProd!$A:$B,2,0)),"")</f>
        <v/>
      </c>
      <c r="C328" t="str">
        <f>IFERROR(IF(A328="","",VLOOKUP(A328,CadProd!$A:$C,3,0)),"")</f>
        <v/>
      </c>
    </row>
    <row r="329" spans="2:3" x14ac:dyDescent="0.3">
      <c r="B329" t="str">
        <f>IFERROR(IF(A329="","",VLOOKUP(A329,CadProd!$A:$B,2,0)),"")</f>
        <v/>
      </c>
      <c r="C329" t="str">
        <f>IFERROR(IF(A329="","",VLOOKUP(A329,CadProd!$A:$C,3,0)),"")</f>
        <v/>
      </c>
    </row>
    <row r="330" spans="2:3" x14ac:dyDescent="0.3">
      <c r="B330" t="str">
        <f>IFERROR(IF(A330="","",VLOOKUP(A330,CadProd!$A:$B,2,0)),"")</f>
        <v/>
      </c>
      <c r="C330" t="str">
        <f>IFERROR(IF(A330="","",VLOOKUP(A330,CadProd!$A:$C,3,0)),"")</f>
        <v/>
      </c>
    </row>
    <row r="331" spans="2:3" x14ac:dyDescent="0.3">
      <c r="B331" t="str">
        <f>IFERROR(IF(A331="","",VLOOKUP(A331,CadProd!$A:$B,2,0)),"")</f>
        <v/>
      </c>
      <c r="C331" t="str">
        <f>IFERROR(IF(A331="","",VLOOKUP(A331,CadProd!$A:$C,3,0)),"")</f>
        <v/>
      </c>
    </row>
    <row r="332" spans="2:3" x14ac:dyDescent="0.3">
      <c r="B332" t="str">
        <f>IFERROR(IF(A332="","",VLOOKUP(A332,CadProd!$A:$B,2,0)),"")</f>
        <v/>
      </c>
      <c r="C332" t="str">
        <f>IFERROR(IF(A332="","",VLOOKUP(A332,CadProd!$A:$C,3,0)),"")</f>
        <v/>
      </c>
    </row>
    <row r="333" spans="2:3" x14ac:dyDescent="0.3">
      <c r="B333" t="str">
        <f>IFERROR(IF(A333="","",VLOOKUP(A333,CadProd!$A:$B,2,0)),"")</f>
        <v/>
      </c>
      <c r="C333" t="str">
        <f>IFERROR(IF(A333="","",VLOOKUP(A333,CadProd!$A:$C,3,0)),"")</f>
        <v/>
      </c>
    </row>
    <row r="334" spans="2:3" x14ac:dyDescent="0.3">
      <c r="B334" t="str">
        <f>IFERROR(IF(A334="","",VLOOKUP(A334,CadProd!$A:$B,2,0)),"")</f>
        <v/>
      </c>
      <c r="C334" t="str">
        <f>IFERROR(IF(A334="","",VLOOKUP(A334,CadProd!$A:$C,3,0)),"")</f>
        <v/>
      </c>
    </row>
    <row r="335" spans="2:3" x14ac:dyDescent="0.3">
      <c r="B335" t="str">
        <f>IFERROR(IF(A335="","",VLOOKUP(A335,CadProd!$A:$B,2,0)),"")</f>
        <v/>
      </c>
      <c r="C335" t="str">
        <f>IFERROR(IF(A335="","",VLOOKUP(A335,CadProd!$A:$C,3,0)),"")</f>
        <v/>
      </c>
    </row>
    <row r="336" spans="2:3" x14ac:dyDescent="0.3">
      <c r="B336" t="str">
        <f>IFERROR(IF(A336="","",VLOOKUP(A336,CadProd!$A:$B,2,0)),"")</f>
        <v/>
      </c>
      <c r="C336" t="str">
        <f>IFERROR(IF(A336="","",VLOOKUP(A336,CadProd!$A:$C,3,0)),"")</f>
        <v/>
      </c>
    </row>
    <row r="337" spans="2:3" x14ac:dyDescent="0.3">
      <c r="B337" t="str">
        <f>IFERROR(IF(A337="","",VLOOKUP(A337,CadProd!$A:$B,2,0)),"")</f>
        <v/>
      </c>
      <c r="C337" t="str">
        <f>IFERROR(IF(A337="","",VLOOKUP(A337,CadProd!$A:$C,3,0)),"")</f>
        <v/>
      </c>
    </row>
    <row r="338" spans="2:3" x14ac:dyDescent="0.3">
      <c r="B338" t="str">
        <f>IFERROR(IF(A338="","",VLOOKUP(A338,CadProd!$A:$B,2,0)),"")</f>
        <v/>
      </c>
      <c r="C338" t="str">
        <f>IFERROR(IF(A338="","",VLOOKUP(A338,CadProd!$A:$C,3,0)),"")</f>
        <v/>
      </c>
    </row>
    <row r="339" spans="2:3" x14ac:dyDescent="0.3">
      <c r="B339" t="str">
        <f>IFERROR(IF(A339="","",VLOOKUP(A339,CadProd!$A:$B,2,0)),"")</f>
        <v/>
      </c>
      <c r="C339" t="str">
        <f>IFERROR(IF(A339="","",VLOOKUP(A339,CadProd!$A:$C,3,0)),"")</f>
        <v/>
      </c>
    </row>
    <row r="340" spans="2:3" x14ac:dyDescent="0.3">
      <c r="B340" t="str">
        <f>IFERROR(IF(A340="","",VLOOKUP(A340,CadProd!$A:$B,2,0)),"")</f>
        <v/>
      </c>
      <c r="C340" t="str">
        <f>IFERROR(IF(A340="","",VLOOKUP(A340,CadProd!$A:$C,3,0)),"")</f>
        <v/>
      </c>
    </row>
    <row r="341" spans="2:3" x14ac:dyDescent="0.3">
      <c r="B341" t="str">
        <f>IFERROR(IF(A341="","",VLOOKUP(A341,CadProd!$A:$B,2,0)),"")</f>
        <v/>
      </c>
      <c r="C341" t="str">
        <f>IFERROR(IF(A341="","",VLOOKUP(A341,CadProd!$A:$C,3,0)),"")</f>
        <v/>
      </c>
    </row>
    <row r="342" spans="2:3" x14ac:dyDescent="0.3">
      <c r="B342" t="str">
        <f>IFERROR(IF(A342="","",VLOOKUP(A342,CadProd!$A:$B,2,0)),"")</f>
        <v/>
      </c>
      <c r="C342" t="str">
        <f>IFERROR(IF(A342="","",VLOOKUP(A342,CadProd!$A:$C,3,0)),"")</f>
        <v/>
      </c>
    </row>
    <row r="343" spans="2:3" x14ac:dyDescent="0.3">
      <c r="B343" t="str">
        <f>IFERROR(IF(A343="","",VLOOKUP(A343,CadProd!$A:$B,2,0)),"")</f>
        <v/>
      </c>
      <c r="C343" t="str">
        <f>IFERROR(IF(A343="","",VLOOKUP(A343,CadProd!$A:$C,3,0)),"")</f>
        <v/>
      </c>
    </row>
    <row r="344" spans="2:3" x14ac:dyDescent="0.3">
      <c r="B344" t="str">
        <f>IFERROR(IF(A344="","",VLOOKUP(A344,CadProd!$A:$B,2,0)),"")</f>
        <v/>
      </c>
      <c r="C344" t="str">
        <f>IFERROR(IF(A344="","",VLOOKUP(A344,CadProd!$A:$C,3,0)),"")</f>
        <v/>
      </c>
    </row>
    <row r="345" spans="2:3" x14ac:dyDescent="0.3">
      <c r="B345" t="str">
        <f>IFERROR(IF(A345="","",VLOOKUP(A345,CadProd!$A:$B,2,0)),"")</f>
        <v/>
      </c>
      <c r="C345" t="str">
        <f>IFERROR(IF(A345="","",VLOOKUP(A345,CadProd!$A:$C,3,0)),"")</f>
        <v/>
      </c>
    </row>
    <row r="346" spans="2:3" x14ac:dyDescent="0.3">
      <c r="B346" t="str">
        <f>IFERROR(IF(A346="","",VLOOKUP(A346,CadProd!$A:$B,2,0)),"")</f>
        <v/>
      </c>
      <c r="C346" t="str">
        <f>IFERROR(IF(A346="","",VLOOKUP(A346,CadProd!$A:$C,3,0)),"")</f>
        <v/>
      </c>
    </row>
    <row r="347" spans="2:3" x14ac:dyDescent="0.3">
      <c r="B347" t="str">
        <f>IFERROR(IF(A347="","",VLOOKUP(A347,CadProd!$A:$B,2,0)),"")</f>
        <v/>
      </c>
      <c r="C347" t="str">
        <f>IFERROR(IF(A347="","",VLOOKUP(A347,CadProd!$A:$C,3,0)),"")</f>
        <v/>
      </c>
    </row>
    <row r="348" spans="2:3" x14ac:dyDescent="0.3">
      <c r="B348" t="str">
        <f>IFERROR(IF(A348="","",VLOOKUP(A348,CadProd!$A:$B,2,0)),"")</f>
        <v/>
      </c>
      <c r="C348" t="str">
        <f>IFERROR(IF(A348="","",VLOOKUP(A348,CadProd!$A:$C,3,0)),"")</f>
        <v/>
      </c>
    </row>
    <row r="349" spans="2:3" x14ac:dyDescent="0.3">
      <c r="B349" t="str">
        <f>IFERROR(IF(A349="","",VLOOKUP(A349,CadProd!$A:$B,2,0)),"")</f>
        <v/>
      </c>
      <c r="C349" t="str">
        <f>IFERROR(IF(A349="","",VLOOKUP(A349,CadProd!$A:$C,3,0)),"")</f>
        <v/>
      </c>
    </row>
    <row r="350" spans="2:3" x14ac:dyDescent="0.3">
      <c r="B350" t="str">
        <f>IFERROR(IF(A350="","",VLOOKUP(A350,CadProd!$A:$B,2,0)),"")</f>
        <v/>
      </c>
      <c r="C350" t="str">
        <f>IFERROR(IF(A350="","",VLOOKUP(A350,CadProd!$A:$C,3,0)),"")</f>
        <v/>
      </c>
    </row>
    <row r="351" spans="2:3" x14ac:dyDescent="0.3">
      <c r="B351" t="str">
        <f>IFERROR(IF(A351="","",VLOOKUP(A351,CadProd!$A:$B,2,0)),"")</f>
        <v/>
      </c>
      <c r="C351" t="str">
        <f>IFERROR(IF(A351="","",VLOOKUP(A351,CadProd!$A:$C,3,0)),"")</f>
        <v/>
      </c>
    </row>
    <row r="352" spans="2:3" x14ac:dyDescent="0.3">
      <c r="B352" t="str">
        <f>IFERROR(IF(A352="","",VLOOKUP(A352,CadProd!$A:$B,2,0)),"")</f>
        <v/>
      </c>
      <c r="C352" t="str">
        <f>IFERROR(IF(A352="","",VLOOKUP(A352,CadProd!$A:$C,3,0)),"")</f>
        <v/>
      </c>
    </row>
    <row r="353" spans="2:3" x14ac:dyDescent="0.3">
      <c r="B353" t="str">
        <f>IFERROR(IF(A353="","",VLOOKUP(A353,CadProd!$A:$B,2,0)),"")</f>
        <v/>
      </c>
      <c r="C353" t="str">
        <f>IFERROR(IF(A353="","",VLOOKUP(A353,CadProd!$A:$C,3,0)),"")</f>
        <v/>
      </c>
    </row>
    <row r="354" spans="2:3" x14ac:dyDescent="0.3">
      <c r="B354" t="str">
        <f>IFERROR(IF(A354="","",VLOOKUP(A354,CadProd!$A:$B,2,0)),"")</f>
        <v/>
      </c>
      <c r="C354" t="str">
        <f>IFERROR(IF(A354="","",VLOOKUP(A354,CadProd!$A:$C,3,0)),"")</f>
        <v/>
      </c>
    </row>
    <row r="355" spans="2:3" x14ac:dyDescent="0.3">
      <c r="B355" t="str">
        <f>IFERROR(IF(A355="","",VLOOKUP(A355,CadProd!$A:$B,2,0)),"")</f>
        <v/>
      </c>
      <c r="C355" t="str">
        <f>IFERROR(IF(A355="","",VLOOKUP(A355,CadProd!$A:$C,3,0)),"")</f>
        <v/>
      </c>
    </row>
    <row r="356" spans="2:3" x14ac:dyDescent="0.3">
      <c r="B356" t="str">
        <f>IFERROR(IF(A356="","",VLOOKUP(A356,CadProd!$A:$B,2,0)),"")</f>
        <v/>
      </c>
      <c r="C356" t="str">
        <f>IFERROR(IF(A356="","",VLOOKUP(A356,CadProd!$A:$C,3,0)),"")</f>
        <v/>
      </c>
    </row>
    <row r="357" spans="2:3" x14ac:dyDescent="0.3">
      <c r="B357" t="str">
        <f>IFERROR(IF(A357="","",VLOOKUP(A357,CadProd!$A:$B,2,0)),"")</f>
        <v/>
      </c>
      <c r="C357" t="str">
        <f>IFERROR(IF(A357="","",VLOOKUP(A357,CadProd!$A:$C,3,0)),"")</f>
        <v/>
      </c>
    </row>
    <row r="358" spans="2:3" x14ac:dyDescent="0.3">
      <c r="B358" t="str">
        <f>IFERROR(IF(A358="","",VLOOKUP(A358,CadProd!$A:$B,2,0)),"")</f>
        <v/>
      </c>
      <c r="C358" t="str">
        <f>IFERROR(IF(A358="","",VLOOKUP(A358,CadProd!$A:$C,3,0)),"")</f>
        <v/>
      </c>
    </row>
    <row r="359" spans="2:3" x14ac:dyDescent="0.3">
      <c r="B359" t="str">
        <f>IFERROR(IF(A359="","",VLOOKUP(A359,CadProd!$A:$B,2,0)),"")</f>
        <v/>
      </c>
      <c r="C359" t="str">
        <f>IFERROR(IF(A359="","",VLOOKUP(A359,CadProd!$A:$C,3,0)),"")</f>
        <v/>
      </c>
    </row>
    <row r="360" spans="2:3" x14ac:dyDescent="0.3">
      <c r="B360" t="str">
        <f>IFERROR(IF(A360="","",VLOOKUP(A360,CadProd!$A:$B,2,0)),"")</f>
        <v/>
      </c>
      <c r="C360" t="str">
        <f>IFERROR(IF(A360="","",VLOOKUP(A360,CadProd!$A:$C,3,0)),"")</f>
        <v/>
      </c>
    </row>
    <row r="361" spans="2:3" x14ac:dyDescent="0.3">
      <c r="B361" t="str">
        <f>IFERROR(IF(A361="","",VLOOKUP(A361,CadProd!$A:$B,2,0)),"")</f>
        <v/>
      </c>
      <c r="C361" t="str">
        <f>IFERROR(IF(A361="","",VLOOKUP(A361,CadProd!$A:$C,3,0)),"")</f>
        <v/>
      </c>
    </row>
    <row r="362" spans="2:3" x14ac:dyDescent="0.3">
      <c r="B362" t="str">
        <f>IFERROR(IF(A362="","",VLOOKUP(A362,CadProd!$A:$B,2,0)),"")</f>
        <v/>
      </c>
      <c r="C362" t="str">
        <f>IFERROR(IF(A362="","",VLOOKUP(A362,CadProd!$A:$C,3,0)),"")</f>
        <v/>
      </c>
    </row>
    <row r="363" spans="2:3" x14ac:dyDescent="0.3">
      <c r="B363" t="str">
        <f>IFERROR(IF(A363="","",VLOOKUP(A363,CadProd!$A:$B,2,0)),"")</f>
        <v/>
      </c>
      <c r="C363" t="str">
        <f>IFERROR(IF(A363="","",VLOOKUP(A363,CadProd!$A:$C,3,0)),"")</f>
        <v/>
      </c>
    </row>
    <row r="364" spans="2:3" x14ac:dyDescent="0.3">
      <c r="B364" t="str">
        <f>IFERROR(IF(A364="","",VLOOKUP(A364,CadProd!$A:$B,2,0)),"")</f>
        <v/>
      </c>
      <c r="C364" t="str">
        <f>IFERROR(IF(A364="","",VLOOKUP(A364,CadProd!$A:$C,3,0)),"")</f>
        <v/>
      </c>
    </row>
    <row r="365" spans="2:3" x14ac:dyDescent="0.3">
      <c r="B365" t="str">
        <f>IFERROR(IF(A365="","",VLOOKUP(A365,CadProd!$A:$B,2,0)),"")</f>
        <v/>
      </c>
      <c r="C365" t="str">
        <f>IFERROR(IF(A365="","",VLOOKUP(A365,CadProd!$A:$C,3,0)),"")</f>
        <v/>
      </c>
    </row>
    <row r="366" spans="2:3" x14ac:dyDescent="0.3">
      <c r="B366" t="str">
        <f>IFERROR(IF(A366="","",VLOOKUP(A366,CadProd!$A:$B,2,0)),"")</f>
        <v/>
      </c>
      <c r="C366" t="str">
        <f>IFERROR(IF(A366="","",VLOOKUP(A366,CadProd!$A:$C,3,0)),"")</f>
        <v/>
      </c>
    </row>
    <row r="367" spans="2:3" x14ac:dyDescent="0.3">
      <c r="B367" t="str">
        <f>IFERROR(IF(A367="","",VLOOKUP(A367,CadProd!$A:$B,2,0)),"")</f>
        <v/>
      </c>
      <c r="C367" t="str">
        <f>IFERROR(IF(A367="","",VLOOKUP(A367,CadProd!$A:$C,3,0)),"")</f>
        <v/>
      </c>
    </row>
    <row r="368" spans="2:3" x14ac:dyDescent="0.3">
      <c r="B368" t="str">
        <f>IFERROR(IF(A368="","",VLOOKUP(A368,CadProd!$A:$B,2,0)),"")</f>
        <v/>
      </c>
      <c r="C368" t="str">
        <f>IFERROR(IF(A368="","",VLOOKUP(A368,CadProd!$A:$C,3,0)),"")</f>
        <v/>
      </c>
    </row>
    <row r="369" spans="2:3" x14ac:dyDescent="0.3">
      <c r="B369" t="str">
        <f>IFERROR(IF(A369="","",VLOOKUP(A369,CadProd!$A:$B,2,0)),"")</f>
        <v/>
      </c>
      <c r="C369" t="str">
        <f>IFERROR(IF(A369="","",VLOOKUP(A369,CadProd!$A:$C,3,0)),"")</f>
        <v/>
      </c>
    </row>
    <row r="370" spans="2:3" x14ac:dyDescent="0.3">
      <c r="B370" t="str">
        <f>IFERROR(IF(A370="","",VLOOKUP(A370,CadProd!$A:$B,2,0)),"")</f>
        <v/>
      </c>
      <c r="C370" t="str">
        <f>IFERROR(IF(A370="","",VLOOKUP(A370,CadProd!$A:$C,3,0)),"")</f>
        <v/>
      </c>
    </row>
    <row r="371" spans="2:3" x14ac:dyDescent="0.3">
      <c r="B371" t="str">
        <f>IFERROR(IF(A371="","",VLOOKUP(A371,CadProd!$A:$B,2,0)),"")</f>
        <v/>
      </c>
      <c r="C371" t="str">
        <f>IFERROR(IF(A371="","",VLOOKUP(A371,CadProd!$A:$C,3,0)),"")</f>
        <v/>
      </c>
    </row>
    <row r="372" spans="2:3" x14ac:dyDescent="0.3">
      <c r="B372" t="str">
        <f>IFERROR(IF(A372="","",VLOOKUP(A372,CadProd!$A:$B,2,0)),"")</f>
        <v/>
      </c>
      <c r="C372" t="str">
        <f>IFERROR(IF(A372="","",VLOOKUP(A372,CadProd!$A:$C,3,0)),"")</f>
        <v/>
      </c>
    </row>
    <row r="373" spans="2:3" x14ac:dyDescent="0.3">
      <c r="B373" t="str">
        <f>IFERROR(IF(A373="","",VLOOKUP(A373,CadProd!$A:$B,2,0)),"")</f>
        <v/>
      </c>
      <c r="C373" t="str">
        <f>IFERROR(IF(A373="","",VLOOKUP(A373,CadProd!$A:$C,3,0)),"")</f>
        <v/>
      </c>
    </row>
    <row r="374" spans="2:3" x14ac:dyDescent="0.3">
      <c r="B374" t="str">
        <f>IFERROR(IF(A374="","",VLOOKUP(A374,CadProd!$A:$B,2,0)),"")</f>
        <v/>
      </c>
      <c r="C374" t="str">
        <f>IFERROR(IF(A374="","",VLOOKUP(A374,CadProd!$A:$C,3,0)),"")</f>
        <v/>
      </c>
    </row>
    <row r="375" spans="2:3" x14ac:dyDescent="0.3">
      <c r="B375" t="str">
        <f>IFERROR(IF(A375="","",VLOOKUP(A375,CadProd!$A:$B,2,0)),"")</f>
        <v/>
      </c>
      <c r="C375" t="str">
        <f>IFERROR(IF(A375="","",VLOOKUP(A375,CadProd!$A:$C,3,0)),"")</f>
        <v/>
      </c>
    </row>
    <row r="376" spans="2:3" x14ac:dyDescent="0.3">
      <c r="B376" t="str">
        <f>IFERROR(IF(A376="","",VLOOKUP(A376,CadProd!$A:$B,2,0)),"")</f>
        <v/>
      </c>
      <c r="C376" t="str">
        <f>IFERROR(IF(A376="","",VLOOKUP(A376,CadProd!$A:$C,3,0)),"")</f>
        <v/>
      </c>
    </row>
    <row r="377" spans="2:3" x14ac:dyDescent="0.3">
      <c r="B377" t="str">
        <f>IFERROR(IF(A377="","",VLOOKUP(A377,CadProd!$A:$B,2,0)),"")</f>
        <v/>
      </c>
      <c r="C377" t="str">
        <f>IFERROR(IF(A377="","",VLOOKUP(A377,CadProd!$A:$C,3,0)),"")</f>
        <v/>
      </c>
    </row>
    <row r="378" spans="2:3" x14ac:dyDescent="0.3">
      <c r="B378" t="str">
        <f>IFERROR(IF(A378="","",VLOOKUP(A378,CadProd!$A:$B,2,0)),"")</f>
        <v/>
      </c>
      <c r="C378" t="str">
        <f>IFERROR(IF(A378="","",VLOOKUP(A378,CadProd!$A:$C,3,0)),"")</f>
        <v/>
      </c>
    </row>
    <row r="379" spans="2:3" x14ac:dyDescent="0.3">
      <c r="B379" t="str">
        <f>IFERROR(IF(A379="","",VLOOKUP(A379,CadProd!$A:$B,2,0)),"")</f>
        <v/>
      </c>
      <c r="C379" t="str">
        <f>IFERROR(IF(A379="","",VLOOKUP(A379,CadProd!$A:$C,3,0)),"")</f>
        <v/>
      </c>
    </row>
    <row r="380" spans="2:3" x14ac:dyDescent="0.3">
      <c r="B380" t="str">
        <f>IFERROR(IF(A380="","",VLOOKUP(A380,CadProd!$A:$B,2,0)),"")</f>
        <v/>
      </c>
      <c r="C380" t="str">
        <f>IFERROR(IF(A380="","",VLOOKUP(A380,CadProd!$A:$C,3,0)),"")</f>
        <v/>
      </c>
    </row>
    <row r="381" spans="2:3" x14ac:dyDescent="0.3">
      <c r="B381" t="str">
        <f>IFERROR(IF(A381="","",VLOOKUP(A381,CadProd!$A:$B,2,0)),"")</f>
        <v/>
      </c>
      <c r="C381" t="str">
        <f>IFERROR(IF(A381="","",VLOOKUP(A381,CadProd!$A:$C,3,0)),"")</f>
        <v/>
      </c>
    </row>
    <row r="382" spans="2:3" x14ac:dyDescent="0.3">
      <c r="B382" t="str">
        <f>IFERROR(IF(A382="","",VLOOKUP(A382,CadProd!$A:$B,2,0)),"")</f>
        <v/>
      </c>
      <c r="C382" t="str">
        <f>IFERROR(IF(A382="","",VLOOKUP(A382,CadProd!$A:$C,3,0)),"")</f>
        <v/>
      </c>
    </row>
    <row r="383" spans="2:3" x14ac:dyDescent="0.3">
      <c r="B383" t="str">
        <f>IFERROR(IF(A383="","",VLOOKUP(A383,CadProd!$A:$B,2,0)),"")</f>
        <v/>
      </c>
      <c r="C383" t="str">
        <f>IFERROR(IF(A383="","",VLOOKUP(A383,CadProd!$A:$C,3,0)),"")</f>
        <v/>
      </c>
    </row>
    <row r="384" spans="2:3" x14ac:dyDescent="0.3">
      <c r="B384" t="str">
        <f>IFERROR(IF(A384="","",VLOOKUP(A384,CadProd!$A:$B,2,0)),"")</f>
        <v/>
      </c>
      <c r="C384" t="str">
        <f>IFERROR(IF(A384="","",VLOOKUP(A384,CadProd!$A:$C,3,0)),"")</f>
        <v/>
      </c>
    </row>
    <row r="385" spans="2:3" x14ac:dyDescent="0.3">
      <c r="B385" t="str">
        <f>IFERROR(IF(A385="","",VLOOKUP(A385,CadProd!$A:$B,2,0)),"")</f>
        <v/>
      </c>
      <c r="C385" t="str">
        <f>IFERROR(IF(A385="","",VLOOKUP(A385,CadProd!$A:$C,3,0)),"")</f>
        <v/>
      </c>
    </row>
    <row r="386" spans="2:3" x14ac:dyDescent="0.3">
      <c r="B386" t="str">
        <f>IFERROR(IF(A386="","",VLOOKUP(A386,CadProd!$A:$B,2,0)),"")</f>
        <v/>
      </c>
      <c r="C386" t="str">
        <f>IFERROR(IF(A386="","",VLOOKUP(A386,CadProd!$A:$C,3,0)),"")</f>
        <v/>
      </c>
    </row>
    <row r="387" spans="2:3" x14ac:dyDescent="0.3">
      <c r="B387" t="str">
        <f>IFERROR(IF(A387="","",VLOOKUP(A387,CadProd!$A:$B,2,0)),"")</f>
        <v/>
      </c>
      <c r="C387" t="str">
        <f>IFERROR(IF(A387="","",VLOOKUP(A387,CadProd!$A:$C,3,0)),"")</f>
        <v/>
      </c>
    </row>
    <row r="388" spans="2:3" x14ac:dyDescent="0.3">
      <c r="B388" t="str">
        <f>IFERROR(IF(A388="","",VLOOKUP(A388,CadProd!$A:$B,2,0)),"")</f>
        <v/>
      </c>
      <c r="C388" t="str">
        <f>IFERROR(IF(A388="","",VLOOKUP(A388,CadProd!$A:$C,3,0)),"")</f>
        <v/>
      </c>
    </row>
    <row r="389" spans="2:3" x14ac:dyDescent="0.3">
      <c r="B389" t="str">
        <f>IFERROR(IF(A389="","",VLOOKUP(A389,CadProd!$A:$B,2,0)),"")</f>
        <v/>
      </c>
      <c r="C389" t="str">
        <f>IFERROR(IF(A389="","",VLOOKUP(A389,CadProd!$A:$C,3,0)),"")</f>
        <v/>
      </c>
    </row>
    <row r="390" spans="2:3" x14ac:dyDescent="0.3">
      <c r="B390" t="str">
        <f>IFERROR(IF(A390="","",VLOOKUP(A390,CadProd!$A:$B,2,0)),"")</f>
        <v/>
      </c>
      <c r="C390" t="str">
        <f>IFERROR(IF(A390="","",VLOOKUP(A390,CadProd!$A:$C,3,0)),"")</f>
        <v/>
      </c>
    </row>
    <row r="391" spans="2:3" x14ac:dyDescent="0.3">
      <c r="B391" t="str">
        <f>IFERROR(IF(A391="","",VLOOKUP(A391,CadProd!$A:$B,2,0)),"")</f>
        <v/>
      </c>
      <c r="C391" t="str">
        <f>IFERROR(IF(A391="","",VLOOKUP(A391,CadProd!$A:$C,3,0)),"")</f>
        <v/>
      </c>
    </row>
    <row r="392" spans="2:3" x14ac:dyDescent="0.3">
      <c r="B392" t="str">
        <f>IFERROR(IF(A392="","",VLOOKUP(A392,CadProd!$A:$B,2,0)),"")</f>
        <v/>
      </c>
      <c r="C392" t="str">
        <f>IFERROR(IF(A392="","",VLOOKUP(A392,CadProd!$A:$C,3,0)),"")</f>
        <v/>
      </c>
    </row>
    <row r="393" spans="2:3" x14ac:dyDescent="0.3">
      <c r="B393" t="str">
        <f>IFERROR(IF(A393="","",VLOOKUP(A393,CadProd!$A:$B,2,0)),"")</f>
        <v/>
      </c>
      <c r="C393" t="str">
        <f>IFERROR(IF(A393="","",VLOOKUP(A393,CadProd!$A:$C,3,0)),"")</f>
        <v/>
      </c>
    </row>
    <row r="394" spans="2:3" x14ac:dyDescent="0.3">
      <c r="B394" t="str">
        <f>IFERROR(IF(A394="","",VLOOKUP(A394,CadProd!$A:$B,2,0)),"")</f>
        <v/>
      </c>
      <c r="C394" t="str">
        <f>IFERROR(IF(A394="","",VLOOKUP(A394,CadProd!$A:$C,3,0)),"")</f>
        <v/>
      </c>
    </row>
    <row r="395" spans="2:3" x14ac:dyDescent="0.3">
      <c r="B395" t="str">
        <f>IFERROR(IF(A395="","",VLOOKUP(A395,CadProd!$A:$B,2,0)),"")</f>
        <v/>
      </c>
      <c r="C395" t="str">
        <f>IFERROR(IF(A395="","",VLOOKUP(A395,CadProd!$A:$C,3,0)),"")</f>
        <v/>
      </c>
    </row>
    <row r="396" spans="2:3" x14ac:dyDescent="0.3">
      <c r="B396" t="str">
        <f>IFERROR(IF(A396="","",VLOOKUP(A396,CadProd!$A:$B,2,0)),"")</f>
        <v/>
      </c>
      <c r="C396" t="str">
        <f>IFERROR(IF(A396="","",VLOOKUP(A396,CadProd!$A:$C,3,0)),"")</f>
        <v/>
      </c>
    </row>
    <row r="397" spans="2:3" x14ac:dyDescent="0.3">
      <c r="B397" t="str">
        <f>IFERROR(IF(A397="","",VLOOKUP(A397,CadProd!$A:$B,2,0)),"")</f>
        <v/>
      </c>
      <c r="C397" t="str">
        <f>IFERROR(IF(A397="","",VLOOKUP(A397,CadProd!$A:$C,3,0)),"")</f>
        <v/>
      </c>
    </row>
    <row r="398" spans="2:3" x14ac:dyDescent="0.3">
      <c r="B398" t="str">
        <f>IFERROR(IF(A398="","",VLOOKUP(A398,CadProd!$A:$B,2,0)),"")</f>
        <v/>
      </c>
      <c r="C398" t="str">
        <f>IFERROR(IF(A398="","",VLOOKUP(A398,CadProd!$A:$C,3,0)),"")</f>
        <v/>
      </c>
    </row>
    <row r="399" spans="2:3" x14ac:dyDescent="0.3">
      <c r="B399" t="str">
        <f>IFERROR(IF(A399="","",VLOOKUP(A399,CadProd!$A:$B,2,0)),"")</f>
        <v/>
      </c>
      <c r="C399" t="str">
        <f>IFERROR(IF(A399="","",VLOOKUP(A399,CadProd!$A:$C,3,0)),"")</f>
        <v/>
      </c>
    </row>
    <row r="400" spans="2:3" x14ac:dyDescent="0.3">
      <c r="B400" t="str">
        <f>IFERROR(IF(A400="","",VLOOKUP(A400,CadProd!$A:$B,2,0)),"")</f>
        <v/>
      </c>
      <c r="C400" t="str">
        <f>IFERROR(IF(A400="","",VLOOKUP(A400,CadProd!$A:$C,3,0)),"")</f>
        <v/>
      </c>
    </row>
    <row r="401" spans="2:3" x14ac:dyDescent="0.3">
      <c r="B401" t="str">
        <f>IFERROR(IF(A401="","",VLOOKUP(A401,CadProd!$A:$B,2,0)),"")</f>
        <v/>
      </c>
      <c r="C401" t="str">
        <f>IFERROR(IF(A401="","",VLOOKUP(A401,CadProd!$A:$C,3,0)),"")</f>
        <v/>
      </c>
    </row>
    <row r="402" spans="2:3" x14ac:dyDescent="0.3">
      <c r="B402" t="str">
        <f>IFERROR(IF(A402="","",VLOOKUP(A402,CadProd!$A:$B,2,0)),"")</f>
        <v/>
      </c>
      <c r="C402" t="str">
        <f>IFERROR(IF(A402="","",VLOOKUP(A402,CadProd!$A:$C,3,0)),"")</f>
        <v/>
      </c>
    </row>
    <row r="403" spans="2:3" x14ac:dyDescent="0.3">
      <c r="B403" t="str">
        <f>IFERROR(IF(A403="","",VLOOKUP(A403,CadProd!$A:$B,2,0)),"")</f>
        <v/>
      </c>
      <c r="C403" t="str">
        <f>IFERROR(IF(A403="","",VLOOKUP(A403,CadProd!$A:$C,3,0)),"")</f>
        <v/>
      </c>
    </row>
    <row r="404" spans="2:3" x14ac:dyDescent="0.3">
      <c r="B404" t="str">
        <f>IFERROR(IF(A404="","",VLOOKUP(A404,CadProd!$A:$B,2,0)),"")</f>
        <v/>
      </c>
      <c r="C404" t="str">
        <f>IFERROR(IF(A404="","",VLOOKUP(A404,CadProd!$A:$C,3,0)),"")</f>
        <v/>
      </c>
    </row>
    <row r="405" spans="2:3" x14ac:dyDescent="0.3">
      <c r="B405" t="str">
        <f>IFERROR(IF(A405="","",VLOOKUP(A405,CadProd!$A:$B,2,0)),"")</f>
        <v/>
      </c>
      <c r="C405" t="str">
        <f>IFERROR(IF(A405="","",VLOOKUP(A405,CadProd!$A:$C,3,0)),"")</f>
        <v/>
      </c>
    </row>
    <row r="406" spans="2:3" x14ac:dyDescent="0.3">
      <c r="B406" t="str">
        <f>IFERROR(IF(A406="","",VLOOKUP(A406,CadProd!$A:$B,2,0)),"")</f>
        <v/>
      </c>
      <c r="C406" t="str">
        <f>IFERROR(IF(A406="","",VLOOKUP(A406,CadProd!$A:$C,3,0)),"")</f>
        <v/>
      </c>
    </row>
    <row r="407" spans="2:3" x14ac:dyDescent="0.3">
      <c r="B407" t="str">
        <f>IFERROR(IF(A407="","",VLOOKUP(A407,CadProd!$A:$B,2,0)),"")</f>
        <v/>
      </c>
      <c r="C407" t="str">
        <f>IFERROR(IF(A407="","",VLOOKUP(A407,CadProd!$A:$C,3,0)),"")</f>
        <v/>
      </c>
    </row>
    <row r="408" spans="2:3" x14ac:dyDescent="0.3">
      <c r="B408" t="str">
        <f>IFERROR(IF(A408="","",VLOOKUP(A408,CadProd!$A:$B,2,0)),"")</f>
        <v/>
      </c>
      <c r="C408" t="str">
        <f>IFERROR(IF(A408="","",VLOOKUP(A408,CadProd!$A:$C,3,0)),"")</f>
        <v/>
      </c>
    </row>
    <row r="409" spans="2:3" x14ac:dyDescent="0.3">
      <c r="B409" t="str">
        <f>IFERROR(IF(A409="","",VLOOKUP(A409,CadProd!$A:$B,2,0)),"")</f>
        <v/>
      </c>
      <c r="C409" t="str">
        <f>IFERROR(IF(A409="","",VLOOKUP(A409,CadProd!$A:$C,3,0)),"")</f>
        <v/>
      </c>
    </row>
    <row r="410" spans="2:3" x14ac:dyDescent="0.3">
      <c r="B410" t="str">
        <f>IFERROR(IF(A410="","",VLOOKUP(A410,CadProd!$A:$B,2,0)),"")</f>
        <v/>
      </c>
      <c r="C410" t="str">
        <f>IFERROR(IF(A410="","",VLOOKUP(A410,CadProd!$A:$C,3,0)),"")</f>
        <v/>
      </c>
    </row>
    <row r="411" spans="2:3" x14ac:dyDescent="0.3">
      <c r="B411" t="str">
        <f>IFERROR(IF(A411="","",VLOOKUP(A411,CadProd!$A:$B,2,0)),"")</f>
        <v/>
      </c>
      <c r="C411" t="str">
        <f>IFERROR(IF(A411="","",VLOOKUP(A411,CadProd!$A:$C,3,0)),"")</f>
        <v/>
      </c>
    </row>
    <row r="412" spans="2:3" x14ac:dyDescent="0.3">
      <c r="B412" t="str">
        <f>IFERROR(IF(A412="","",VLOOKUP(A412,CadProd!$A:$B,2,0)),"")</f>
        <v/>
      </c>
      <c r="C412" t="str">
        <f>IFERROR(IF(A412="","",VLOOKUP(A412,CadProd!$A:$C,3,0)),"")</f>
        <v/>
      </c>
    </row>
    <row r="413" spans="2:3" x14ac:dyDescent="0.3">
      <c r="B413" t="str">
        <f>IFERROR(IF(A413="","",VLOOKUP(A413,CadProd!$A:$B,2,0)),"")</f>
        <v/>
      </c>
      <c r="C413" t="str">
        <f>IFERROR(IF(A413="","",VLOOKUP(A413,CadProd!$A:$C,3,0)),"")</f>
        <v/>
      </c>
    </row>
    <row r="414" spans="2:3" x14ac:dyDescent="0.3">
      <c r="B414" t="str">
        <f>IFERROR(IF(A414="","",VLOOKUP(A414,CadProd!$A:$B,2,0)),"")</f>
        <v/>
      </c>
      <c r="C414" t="str">
        <f>IFERROR(IF(A414="","",VLOOKUP(A414,CadProd!$A:$C,3,0)),"")</f>
        <v/>
      </c>
    </row>
    <row r="415" spans="2:3" x14ac:dyDescent="0.3">
      <c r="B415" t="str">
        <f>IFERROR(IF(A415="","",VLOOKUP(A415,CadProd!$A:$B,2,0)),"")</f>
        <v/>
      </c>
      <c r="C415" t="str">
        <f>IFERROR(IF(A415="","",VLOOKUP(A415,CadProd!$A:$C,3,0)),"")</f>
        <v/>
      </c>
    </row>
    <row r="416" spans="2:3" x14ac:dyDescent="0.3">
      <c r="B416" t="str">
        <f>IFERROR(IF(A416="","",VLOOKUP(A416,CadProd!$A:$B,2,0)),"")</f>
        <v/>
      </c>
      <c r="C416" t="str">
        <f>IFERROR(IF(A416="","",VLOOKUP(A416,CadProd!$A:$C,3,0)),"")</f>
        <v/>
      </c>
    </row>
    <row r="417" spans="2:3" x14ac:dyDescent="0.3">
      <c r="B417" t="str">
        <f>IFERROR(IF(A417="","",VLOOKUP(A417,CadProd!$A:$B,2,0)),"")</f>
        <v/>
      </c>
      <c r="C417" t="str">
        <f>IFERROR(IF(A417="","",VLOOKUP(A417,CadProd!$A:$C,3,0)),"")</f>
        <v/>
      </c>
    </row>
    <row r="418" spans="2:3" x14ac:dyDescent="0.3">
      <c r="B418" t="str">
        <f>IFERROR(IF(A418="","",VLOOKUP(A418,CadProd!$A:$B,2,0)),"")</f>
        <v/>
      </c>
      <c r="C418" t="str">
        <f>IFERROR(IF(A418="","",VLOOKUP(A418,CadProd!$A:$C,3,0)),"")</f>
        <v/>
      </c>
    </row>
    <row r="419" spans="2:3" x14ac:dyDescent="0.3">
      <c r="B419" t="str">
        <f>IFERROR(IF(A419="","",VLOOKUP(A419,CadProd!$A:$B,2,0)),"")</f>
        <v/>
      </c>
      <c r="C419" t="str">
        <f>IFERROR(IF(A419="","",VLOOKUP(A419,CadProd!$A:$C,3,0)),"")</f>
        <v/>
      </c>
    </row>
    <row r="420" spans="2:3" x14ac:dyDescent="0.3">
      <c r="B420" t="str">
        <f>IFERROR(IF(A420="","",VLOOKUP(A420,CadProd!$A:$B,2,0)),"")</f>
        <v/>
      </c>
      <c r="C420" t="str">
        <f>IFERROR(IF(A420="","",VLOOKUP(A420,CadProd!$A:$C,3,0)),"")</f>
        <v/>
      </c>
    </row>
    <row r="421" spans="2:3" x14ac:dyDescent="0.3">
      <c r="B421" t="str">
        <f>IFERROR(IF(A421="","",VLOOKUP(A421,CadProd!$A:$B,2,0)),"")</f>
        <v/>
      </c>
      <c r="C421" t="str">
        <f>IFERROR(IF(A421="","",VLOOKUP(A421,CadProd!$A:$C,3,0)),"")</f>
        <v/>
      </c>
    </row>
    <row r="422" spans="2:3" x14ac:dyDescent="0.3">
      <c r="B422" t="str">
        <f>IFERROR(IF(A422="","",VLOOKUP(A422,CadProd!$A:$B,2,0)),"")</f>
        <v/>
      </c>
      <c r="C422" t="str">
        <f>IFERROR(IF(A422="","",VLOOKUP(A422,CadProd!$A:$C,3,0)),"")</f>
        <v/>
      </c>
    </row>
    <row r="423" spans="2:3" x14ac:dyDescent="0.3">
      <c r="B423" t="str">
        <f>IFERROR(IF(A423="","",VLOOKUP(A423,CadProd!$A:$B,2,0)),"")</f>
        <v/>
      </c>
      <c r="C423" t="str">
        <f>IFERROR(IF(A423="","",VLOOKUP(A423,CadProd!$A:$C,3,0)),"")</f>
        <v/>
      </c>
    </row>
    <row r="424" spans="2:3" x14ac:dyDescent="0.3">
      <c r="B424" t="str">
        <f>IFERROR(IF(A424="","",VLOOKUP(A424,CadProd!$A:$B,2,0)),"")</f>
        <v/>
      </c>
      <c r="C424" t="str">
        <f>IFERROR(IF(A424="","",VLOOKUP(A424,CadProd!$A:$C,3,0)),"")</f>
        <v/>
      </c>
    </row>
    <row r="425" spans="2:3" x14ac:dyDescent="0.3">
      <c r="B425" t="str">
        <f>IFERROR(IF(A425="","",VLOOKUP(A425,CadProd!$A:$B,2,0)),"")</f>
        <v/>
      </c>
      <c r="C425" t="str">
        <f>IFERROR(IF(A425="","",VLOOKUP(A425,CadProd!$A:$C,3,0)),"")</f>
        <v/>
      </c>
    </row>
    <row r="426" spans="2:3" x14ac:dyDescent="0.3">
      <c r="B426" t="str">
        <f>IFERROR(IF(A426="","",VLOOKUP(A426,CadProd!$A:$B,2,0)),"")</f>
        <v/>
      </c>
      <c r="C426" t="str">
        <f>IFERROR(IF(A426="","",VLOOKUP(A426,CadProd!$A:$C,3,0)),"")</f>
        <v/>
      </c>
    </row>
    <row r="427" spans="2:3" x14ac:dyDescent="0.3">
      <c r="B427" t="str">
        <f>IFERROR(IF(A427="","",VLOOKUP(A427,CadProd!$A:$B,2,0)),"")</f>
        <v/>
      </c>
      <c r="C427" t="str">
        <f>IFERROR(IF(A427="","",VLOOKUP(A427,CadProd!$A:$C,3,0)),"")</f>
        <v/>
      </c>
    </row>
    <row r="428" spans="2:3" x14ac:dyDescent="0.3">
      <c r="B428" t="str">
        <f>IFERROR(IF(A428="","",VLOOKUP(A428,CadProd!$A:$B,2,0)),"")</f>
        <v/>
      </c>
      <c r="C428" t="str">
        <f>IFERROR(IF(A428="","",VLOOKUP(A428,CadProd!$A:$C,3,0)),"")</f>
        <v/>
      </c>
    </row>
    <row r="429" spans="2:3" x14ac:dyDescent="0.3">
      <c r="B429" t="str">
        <f>IFERROR(IF(A429="","",VLOOKUP(A429,CadProd!$A:$B,2,0)),"")</f>
        <v/>
      </c>
      <c r="C429" t="str">
        <f>IFERROR(IF(A429="","",VLOOKUP(A429,CadProd!$A:$C,3,0)),"")</f>
        <v/>
      </c>
    </row>
    <row r="430" spans="2:3" x14ac:dyDescent="0.3">
      <c r="B430" t="str">
        <f>IFERROR(IF(A430="","",VLOOKUP(A430,CadProd!$A:$B,2,0)),"")</f>
        <v/>
      </c>
      <c r="C430" t="str">
        <f>IFERROR(IF(A430="","",VLOOKUP(A430,CadProd!$A:$C,3,0)),"")</f>
        <v/>
      </c>
    </row>
    <row r="431" spans="2:3" x14ac:dyDescent="0.3">
      <c r="B431" t="str">
        <f>IFERROR(IF(A431="","",VLOOKUP(A431,CadProd!$A:$B,2,0)),"")</f>
        <v/>
      </c>
      <c r="C431" t="str">
        <f>IFERROR(IF(A431="","",VLOOKUP(A431,CadProd!$A:$C,3,0)),"")</f>
        <v/>
      </c>
    </row>
    <row r="432" spans="2:3" x14ac:dyDescent="0.3">
      <c r="B432" t="str">
        <f>IFERROR(IF(A432="","",VLOOKUP(A432,CadProd!$A:$B,2,0)),"")</f>
        <v/>
      </c>
      <c r="C432" t="str">
        <f>IFERROR(IF(A432="","",VLOOKUP(A432,CadProd!$A:$C,3,0)),"")</f>
        <v/>
      </c>
    </row>
    <row r="433" spans="2:3" x14ac:dyDescent="0.3">
      <c r="B433" t="str">
        <f>IFERROR(IF(A433="","",VLOOKUP(A433,CadProd!$A:$B,2,0)),"")</f>
        <v/>
      </c>
      <c r="C433" t="str">
        <f>IFERROR(IF(A433="","",VLOOKUP(A433,CadProd!$A:$C,3,0)),"")</f>
        <v/>
      </c>
    </row>
    <row r="434" spans="2:3" x14ac:dyDescent="0.3">
      <c r="B434" t="str">
        <f>IFERROR(IF(A434="","",VLOOKUP(A434,CadProd!$A:$B,2,0)),"")</f>
        <v/>
      </c>
      <c r="C434" t="str">
        <f>IFERROR(IF(A434="","",VLOOKUP(A434,CadProd!$A:$C,3,0)),"")</f>
        <v/>
      </c>
    </row>
    <row r="435" spans="2:3" x14ac:dyDescent="0.3">
      <c r="B435" t="str">
        <f>IFERROR(IF(A435="","",VLOOKUP(A435,CadProd!$A:$B,2,0)),"")</f>
        <v/>
      </c>
      <c r="C435" t="str">
        <f>IFERROR(IF(A435="","",VLOOKUP(A435,CadProd!$A:$C,3,0)),"")</f>
        <v/>
      </c>
    </row>
    <row r="436" spans="2:3" x14ac:dyDescent="0.3">
      <c r="B436" t="str">
        <f>IFERROR(IF(A436="","",VLOOKUP(A436,CadProd!$A:$B,2,0)),"")</f>
        <v/>
      </c>
      <c r="C436" t="str">
        <f>IFERROR(IF(A436="","",VLOOKUP(A436,CadProd!$A:$C,3,0)),"")</f>
        <v/>
      </c>
    </row>
    <row r="437" spans="2:3" x14ac:dyDescent="0.3">
      <c r="B437" t="str">
        <f>IFERROR(IF(A437="","",VLOOKUP(A437,CadProd!$A:$B,2,0)),"")</f>
        <v/>
      </c>
      <c r="C437" t="str">
        <f>IFERROR(IF(A437="","",VLOOKUP(A437,CadProd!$A:$C,3,0)),"")</f>
        <v/>
      </c>
    </row>
    <row r="438" spans="2:3" x14ac:dyDescent="0.3">
      <c r="B438" t="str">
        <f>IFERROR(IF(A438="","",VLOOKUP(A438,CadProd!$A:$B,2,0)),"")</f>
        <v/>
      </c>
      <c r="C438" t="str">
        <f>IFERROR(IF(A438="","",VLOOKUP(A438,CadProd!$A:$C,3,0)),"")</f>
        <v/>
      </c>
    </row>
    <row r="439" spans="2:3" x14ac:dyDescent="0.3">
      <c r="B439" t="str">
        <f>IFERROR(IF(A439="","",VLOOKUP(A439,CadProd!$A:$B,2,0)),"")</f>
        <v/>
      </c>
      <c r="C439" t="str">
        <f>IFERROR(IF(A439="","",VLOOKUP(A439,CadProd!$A:$C,3,0)),"")</f>
        <v/>
      </c>
    </row>
    <row r="440" spans="2:3" x14ac:dyDescent="0.3">
      <c r="B440" t="str">
        <f>IFERROR(IF(A440="","",VLOOKUP(A440,CadProd!$A:$B,2,0)),"")</f>
        <v/>
      </c>
      <c r="C440" t="str">
        <f>IFERROR(IF(A440="","",VLOOKUP(A440,CadProd!$A:$C,3,0)),"")</f>
        <v/>
      </c>
    </row>
    <row r="441" spans="2:3" x14ac:dyDescent="0.3">
      <c r="B441" t="str">
        <f>IFERROR(IF(A441="","",VLOOKUP(A441,CadProd!$A:$B,2,0)),"")</f>
        <v/>
      </c>
      <c r="C441" t="str">
        <f>IFERROR(IF(A441="","",VLOOKUP(A441,CadProd!$A:$C,3,0)),"")</f>
        <v/>
      </c>
    </row>
    <row r="442" spans="2:3" x14ac:dyDescent="0.3">
      <c r="B442" t="str">
        <f>IFERROR(IF(A442="","",VLOOKUP(A442,CadProd!$A:$B,2,0)),"")</f>
        <v/>
      </c>
      <c r="C442" t="str">
        <f>IFERROR(IF(A442="","",VLOOKUP(A442,CadProd!$A:$C,3,0)),"")</f>
        <v/>
      </c>
    </row>
    <row r="443" spans="2:3" x14ac:dyDescent="0.3">
      <c r="B443" t="str">
        <f>IFERROR(IF(A443="","",VLOOKUP(A443,CadProd!$A:$B,2,0)),"")</f>
        <v/>
      </c>
      <c r="C443" t="str">
        <f>IFERROR(IF(A443="","",VLOOKUP(A443,CadProd!$A:$C,3,0)),"")</f>
        <v/>
      </c>
    </row>
    <row r="444" spans="2:3" x14ac:dyDescent="0.3">
      <c r="B444" t="str">
        <f>IFERROR(IF(A444="","",VLOOKUP(A444,CadProd!$A:$B,2,0)),"")</f>
        <v/>
      </c>
      <c r="C444" t="str">
        <f>IFERROR(IF(A444="","",VLOOKUP(A444,CadProd!$A:$C,3,0)),"")</f>
        <v/>
      </c>
    </row>
    <row r="445" spans="2:3" x14ac:dyDescent="0.3">
      <c r="B445" t="str">
        <f>IFERROR(IF(A445="","",VLOOKUP(A445,CadProd!$A:$B,2,0)),"")</f>
        <v/>
      </c>
      <c r="C445" t="str">
        <f>IFERROR(IF(A445="","",VLOOKUP(A445,CadProd!$A:$C,3,0)),"")</f>
        <v/>
      </c>
    </row>
    <row r="446" spans="2:3" x14ac:dyDescent="0.3">
      <c r="B446" t="str">
        <f>IFERROR(IF(A446="","",VLOOKUP(A446,CadProd!$A:$B,2,0)),"")</f>
        <v/>
      </c>
      <c r="C446" t="str">
        <f>IFERROR(IF(A446="","",VLOOKUP(A446,CadProd!$A:$C,3,0)),"")</f>
        <v/>
      </c>
    </row>
    <row r="447" spans="2:3" x14ac:dyDescent="0.3">
      <c r="B447" t="str">
        <f>IFERROR(IF(A447="","",VLOOKUP(A447,CadProd!$A:$B,2,0)),"")</f>
        <v/>
      </c>
      <c r="C447" t="str">
        <f>IFERROR(IF(A447="","",VLOOKUP(A447,CadProd!$A:$C,3,0)),"")</f>
        <v/>
      </c>
    </row>
    <row r="448" spans="2:3" x14ac:dyDescent="0.3">
      <c r="B448" t="str">
        <f>IFERROR(IF(A448="","",VLOOKUP(A448,CadProd!$A:$B,2,0)),"")</f>
        <v/>
      </c>
      <c r="C448" t="str">
        <f>IFERROR(IF(A448="","",VLOOKUP(A448,CadProd!$A:$C,3,0)),"")</f>
        <v/>
      </c>
    </row>
    <row r="449" spans="2:3" x14ac:dyDescent="0.3">
      <c r="B449" t="str">
        <f>IFERROR(IF(A449="","",VLOOKUP(A449,CadProd!$A:$B,2,0)),"")</f>
        <v/>
      </c>
      <c r="C449" t="str">
        <f>IFERROR(IF(A449="","",VLOOKUP(A449,CadProd!$A:$C,3,0)),"")</f>
        <v/>
      </c>
    </row>
    <row r="450" spans="2:3" x14ac:dyDescent="0.3">
      <c r="B450" t="str">
        <f>IFERROR(IF(A450="","",VLOOKUP(A450,CadProd!$A:$B,2,0)),"")</f>
        <v/>
      </c>
      <c r="C450" t="str">
        <f>IFERROR(IF(A450="","",VLOOKUP(A450,CadProd!$A:$C,3,0)),"")</f>
        <v/>
      </c>
    </row>
    <row r="451" spans="2:3" x14ac:dyDescent="0.3">
      <c r="B451" t="str">
        <f>IFERROR(IF(A451="","",VLOOKUP(A451,CadProd!$A:$B,2,0)),"")</f>
        <v/>
      </c>
      <c r="C451" t="str">
        <f>IFERROR(IF(A451="","",VLOOKUP(A451,CadProd!$A:$C,3,0)),"")</f>
        <v/>
      </c>
    </row>
    <row r="452" spans="2:3" x14ac:dyDescent="0.3">
      <c r="B452" t="str">
        <f>IFERROR(IF(A452="","",VLOOKUP(A452,CadProd!$A:$B,2,0)),"")</f>
        <v/>
      </c>
      <c r="C452" t="str">
        <f>IFERROR(IF(A452="","",VLOOKUP(A452,CadProd!$A:$C,3,0)),"")</f>
        <v/>
      </c>
    </row>
    <row r="453" spans="2:3" x14ac:dyDescent="0.3">
      <c r="B453" t="str">
        <f>IFERROR(IF(A453="","",VLOOKUP(A453,CadProd!$A:$B,2,0)),"")</f>
        <v/>
      </c>
      <c r="C453" t="str">
        <f>IFERROR(IF(A453="","",VLOOKUP(A453,CadProd!$A:$C,3,0)),"")</f>
        <v/>
      </c>
    </row>
    <row r="454" spans="2:3" x14ac:dyDescent="0.3">
      <c r="B454" t="str">
        <f>IFERROR(IF(A454="","",VLOOKUP(A454,CadProd!$A:$B,2,0)),"")</f>
        <v/>
      </c>
      <c r="C454" t="str">
        <f>IFERROR(IF(A454="","",VLOOKUP(A454,CadProd!$A:$C,3,0)),"")</f>
        <v/>
      </c>
    </row>
    <row r="455" spans="2:3" x14ac:dyDescent="0.3">
      <c r="B455" t="str">
        <f>IFERROR(IF(A455="","",VLOOKUP(A455,CadProd!$A:$B,2,0)),"")</f>
        <v/>
      </c>
      <c r="C455" t="str">
        <f>IFERROR(IF(A455="","",VLOOKUP(A455,CadProd!$A:$C,3,0)),"")</f>
        <v/>
      </c>
    </row>
    <row r="456" spans="2:3" x14ac:dyDescent="0.3">
      <c r="B456" t="str">
        <f>IFERROR(IF(A456="","",VLOOKUP(A456,CadProd!$A:$B,2,0)),"")</f>
        <v/>
      </c>
      <c r="C456" t="str">
        <f>IFERROR(IF(A456="","",VLOOKUP(A456,CadProd!$A:$C,3,0)),"")</f>
        <v/>
      </c>
    </row>
    <row r="457" spans="2:3" x14ac:dyDescent="0.3">
      <c r="B457" t="str">
        <f>IFERROR(IF(A457="","",VLOOKUP(A457,CadProd!$A:$B,2,0)),"")</f>
        <v/>
      </c>
      <c r="C457" t="str">
        <f>IFERROR(IF(A457="","",VLOOKUP(A457,CadProd!$A:$C,3,0)),"")</f>
        <v/>
      </c>
    </row>
    <row r="458" spans="2:3" x14ac:dyDescent="0.3">
      <c r="B458" t="str">
        <f>IFERROR(IF(A458="","",VLOOKUP(A458,CadProd!$A:$B,2,0)),"")</f>
        <v/>
      </c>
      <c r="C458" t="str">
        <f>IFERROR(IF(A458="","",VLOOKUP(A458,CadProd!$A:$C,3,0)),"")</f>
        <v/>
      </c>
    </row>
    <row r="459" spans="2:3" x14ac:dyDescent="0.3">
      <c r="B459" t="str">
        <f>IFERROR(IF(A459="","",VLOOKUP(A459,CadProd!$A:$B,2,0)),"")</f>
        <v/>
      </c>
      <c r="C459" t="str">
        <f>IFERROR(IF(A459="","",VLOOKUP(A459,CadProd!$A:$C,3,0)),"")</f>
        <v/>
      </c>
    </row>
    <row r="460" spans="2:3" x14ac:dyDescent="0.3">
      <c r="B460" t="str">
        <f>IFERROR(IF(A460="","",VLOOKUP(A460,CadProd!$A:$B,2,0)),"")</f>
        <v/>
      </c>
      <c r="C460" t="str">
        <f>IFERROR(IF(A460="","",VLOOKUP(A460,CadProd!$A:$C,3,0)),"")</f>
        <v/>
      </c>
    </row>
    <row r="461" spans="2:3" x14ac:dyDescent="0.3">
      <c r="B461" t="str">
        <f>IFERROR(IF(A461="","",VLOOKUP(A461,CadProd!$A:$B,2,0)),"")</f>
        <v/>
      </c>
      <c r="C461" t="str">
        <f>IFERROR(IF(A461="","",VLOOKUP(A461,CadProd!$A:$C,3,0)),"")</f>
        <v/>
      </c>
    </row>
    <row r="462" spans="2:3" x14ac:dyDescent="0.3">
      <c r="B462" t="str">
        <f>IFERROR(IF(A462="","",VLOOKUP(A462,CadProd!$A:$B,2,0)),"")</f>
        <v/>
      </c>
      <c r="C462" t="str">
        <f>IFERROR(IF(A462="","",VLOOKUP(A462,CadProd!$A:$C,3,0)),"")</f>
        <v/>
      </c>
    </row>
    <row r="463" spans="2:3" x14ac:dyDescent="0.3">
      <c r="B463" t="str">
        <f>IFERROR(IF(A463="","",VLOOKUP(A463,CadProd!$A:$B,2,0)),"")</f>
        <v/>
      </c>
      <c r="C463" t="str">
        <f>IFERROR(IF(A463="","",VLOOKUP(A463,CadProd!$A:$C,3,0)),"")</f>
        <v/>
      </c>
    </row>
    <row r="464" spans="2:3" x14ac:dyDescent="0.3">
      <c r="B464" t="str">
        <f>IFERROR(IF(A464="","",VLOOKUP(A464,CadProd!$A:$B,2,0)),"")</f>
        <v/>
      </c>
      <c r="C464" t="str">
        <f>IFERROR(IF(A464="","",VLOOKUP(A464,CadProd!$A:$C,3,0)),"")</f>
        <v/>
      </c>
    </row>
    <row r="465" spans="2:3" x14ac:dyDescent="0.3">
      <c r="B465" t="str">
        <f>IFERROR(IF(A465="","",VLOOKUP(A465,CadProd!$A:$B,2,0)),"")</f>
        <v/>
      </c>
      <c r="C465" t="str">
        <f>IFERROR(IF(A465="","",VLOOKUP(A465,CadProd!$A:$C,3,0)),"")</f>
        <v/>
      </c>
    </row>
    <row r="466" spans="2:3" x14ac:dyDescent="0.3">
      <c r="B466" t="str">
        <f>IFERROR(IF(A466="","",VLOOKUP(A466,CadProd!$A:$B,2,0)),"")</f>
        <v/>
      </c>
      <c r="C466" t="str">
        <f>IFERROR(IF(A466="","",VLOOKUP(A466,CadProd!$A:$C,3,0)),"")</f>
        <v/>
      </c>
    </row>
    <row r="467" spans="2:3" x14ac:dyDescent="0.3">
      <c r="B467" t="str">
        <f>IFERROR(IF(A467="","",VLOOKUP(A467,CadProd!$A:$B,2,0)),"")</f>
        <v/>
      </c>
      <c r="C467" t="str">
        <f>IFERROR(IF(A467="","",VLOOKUP(A467,CadProd!$A:$C,3,0)),"")</f>
        <v/>
      </c>
    </row>
    <row r="468" spans="2:3" x14ac:dyDescent="0.3">
      <c r="B468" t="str">
        <f>IFERROR(IF(A468="","",VLOOKUP(A468,CadProd!$A:$B,2,0)),"")</f>
        <v/>
      </c>
      <c r="C468" t="str">
        <f>IFERROR(IF(A468="","",VLOOKUP(A468,CadProd!$A:$C,3,0)),"")</f>
        <v/>
      </c>
    </row>
    <row r="469" spans="2:3" x14ac:dyDescent="0.3">
      <c r="B469" t="str">
        <f>IFERROR(IF(A469="","",VLOOKUP(A469,CadProd!$A:$B,2,0)),"")</f>
        <v/>
      </c>
      <c r="C469" t="str">
        <f>IFERROR(IF(A469="","",VLOOKUP(A469,CadProd!$A:$C,3,0)),"")</f>
        <v/>
      </c>
    </row>
    <row r="470" spans="2:3" x14ac:dyDescent="0.3">
      <c r="B470" t="str">
        <f>IFERROR(IF(A470="","",VLOOKUP(A470,CadProd!$A:$B,2,0)),"")</f>
        <v/>
      </c>
      <c r="C470" t="str">
        <f>IFERROR(IF(A470="","",VLOOKUP(A470,CadProd!$A:$C,3,0)),"")</f>
        <v/>
      </c>
    </row>
    <row r="471" spans="2:3" x14ac:dyDescent="0.3">
      <c r="B471" t="str">
        <f>IFERROR(IF(A471="","",VLOOKUP(A471,CadProd!$A:$B,2,0)),"")</f>
        <v/>
      </c>
      <c r="C471" t="str">
        <f>IFERROR(IF(A471="","",VLOOKUP(A471,CadProd!$A:$C,3,0)),"")</f>
        <v/>
      </c>
    </row>
    <row r="472" spans="2:3" x14ac:dyDescent="0.3">
      <c r="B472" t="str">
        <f>IFERROR(IF(A472="","",VLOOKUP(A472,CadProd!$A:$B,2,0)),"")</f>
        <v/>
      </c>
      <c r="C472" t="str">
        <f>IFERROR(IF(A472="","",VLOOKUP(A472,CadProd!$A:$C,3,0)),"")</f>
        <v/>
      </c>
    </row>
    <row r="473" spans="2:3" x14ac:dyDescent="0.3">
      <c r="B473" t="str">
        <f>IFERROR(IF(A473="","",VLOOKUP(A473,CadProd!$A:$B,2,0)),"")</f>
        <v/>
      </c>
      <c r="C473" t="str">
        <f>IFERROR(IF(A473="","",VLOOKUP(A473,CadProd!$A:$C,3,0)),"")</f>
        <v/>
      </c>
    </row>
    <row r="474" spans="2:3" x14ac:dyDescent="0.3">
      <c r="B474" t="str">
        <f>IFERROR(IF(A474="","",VLOOKUP(A474,CadProd!$A:$B,2,0)),"")</f>
        <v/>
      </c>
      <c r="C474" t="str">
        <f>IFERROR(IF(A474="","",VLOOKUP(A474,CadProd!$A:$C,3,0)),"")</f>
        <v/>
      </c>
    </row>
    <row r="475" spans="2:3" x14ac:dyDescent="0.3">
      <c r="B475" t="str">
        <f>IFERROR(IF(A475="","",VLOOKUP(A475,CadProd!$A:$B,2,0)),"")</f>
        <v/>
      </c>
      <c r="C475" t="str">
        <f>IFERROR(IF(A475="","",VLOOKUP(A475,CadProd!$A:$C,3,0)),"")</f>
        <v/>
      </c>
    </row>
    <row r="476" spans="2:3" x14ac:dyDescent="0.3">
      <c r="B476" t="str">
        <f>IFERROR(IF(A476="","",VLOOKUP(A476,CadProd!$A:$B,2,0)),"")</f>
        <v/>
      </c>
      <c r="C476" t="str">
        <f>IFERROR(IF(A476="","",VLOOKUP(A476,CadProd!$A:$C,3,0)),"")</f>
        <v/>
      </c>
    </row>
    <row r="477" spans="2:3" x14ac:dyDescent="0.3">
      <c r="B477" t="str">
        <f>IFERROR(IF(A477="","",VLOOKUP(A477,CadProd!$A:$B,2,0)),"")</f>
        <v/>
      </c>
      <c r="C477" t="str">
        <f>IFERROR(IF(A477="","",VLOOKUP(A477,CadProd!$A:$C,3,0)),"")</f>
        <v/>
      </c>
    </row>
    <row r="478" spans="2:3" x14ac:dyDescent="0.3">
      <c r="B478" t="str">
        <f>IFERROR(IF(A478="","",VLOOKUP(A478,CadProd!$A:$B,2,0)),"")</f>
        <v/>
      </c>
      <c r="C478" t="str">
        <f>IFERROR(IF(A478="","",VLOOKUP(A478,CadProd!$A:$C,3,0)),"")</f>
        <v/>
      </c>
    </row>
    <row r="479" spans="2:3" x14ac:dyDescent="0.3">
      <c r="B479" t="str">
        <f>IFERROR(IF(A479="","",VLOOKUP(A479,CadProd!$A:$B,2,0)),"")</f>
        <v/>
      </c>
      <c r="C479" t="str">
        <f>IFERROR(IF(A479="","",VLOOKUP(A479,CadProd!$A:$C,3,0)),"")</f>
        <v/>
      </c>
    </row>
    <row r="480" spans="2:3" x14ac:dyDescent="0.3">
      <c r="B480" t="str">
        <f>IFERROR(IF(A480="","",VLOOKUP(A480,CadProd!$A:$B,2,0)),"")</f>
        <v/>
      </c>
      <c r="C480" t="str">
        <f>IFERROR(IF(A480="","",VLOOKUP(A480,CadProd!$A:$C,3,0)),"")</f>
        <v/>
      </c>
    </row>
    <row r="481" spans="2:3" x14ac:dyDescent="0.3">
      <c r="B481" t="str">
        <f>IFERROR(IF(A481="","",VLOOKUP(A481,CadProd!$A:$B,2,0)),"")</f>
        <v/>
      </c>
      <c r="C481" t="str">
        <f>IFERROR(IF(A481="","",VLOOKUP(A481,CadProd!$A:$C,3,0)),"")</f>
        <v/>
      </c>
    </row>
    <row r="482" spans="2:3" x14ac:dyDescent="0.3">
      <c r="B482" t="str">
        <f>IFERROR(IF(A482="","",VLOOKUP(A482,CadProd!$A:$B,2,0)),"")</f>
        <v/>
      </c>
      <c r="C482" t="str">
        <f>IFERROR(IF(A482="","",VLOOKUP(A482,CadProd!$A:$C,3,0)),"")</f>
        <v/>
      </c>
    </row>
    <row r="483" spans="2:3" x14ac:dyDescent="0.3">
      <c r="B483" t="str">
        <f>IFERROR(IF(A483="","",VLOOKUP(A483,CadProd!$A:$B,2,0)),"")</f>
        <v/>
      </c>
      <c r="C483" t="str">
        <f>IFERROR(IF(A483="","",VLOOKUP(A483,CadProd!$A:$C,3,0)),"")</f>
        <v/>
      </c>
    </row>
    <row r="484" spans="2:3" x14ac:dyDescent="0.3">
      <c r="B484" t="str">
        <f>IFERROR(IF(A484="","",VLOOKUP(A484,CadProd!$A:$B,2,0)),"")</f>
        <v/>
      </c>
      <c r="C484" t="str">
        <f>IFERROR(IF(A484="","",VLOOKUP(A484,CadProd!$A:$C,3,0)),"")</f>
        <v/>
      </c>
    </row>
    <row r="485" spans="2:3" x14ac:dyDescent="0.3">
      <c r="B485" t="str">
        <f>IFERROR(IF(A485="","",VLOOKUP(A485,CadProd!$A:$B,2,0)),"")</f>
        <v/>
      </c>
      <c r="C485" t="str">
        <f>IFERROR(IF(A485="","",VLOOKUP(A485,CadProd!$A:$C,3,0)),"")</f>
        <v/>
      </c>
    </row>
    <row r="486" spans="2:3" x14ac:dyDescent="0.3">
      <c r="B486" t="str">
        <f>IFERROR(IF(A486="","",VLOOKUP(A486,CadProd!$A:$B,2,0)),"")</f>
        <v/>
      </c>
      <c r="C486" t="str">
        <f>IFERROR(IF(A486="","",VLOOKUP(A486,CadProd!$A:$C,3,0)),"")</f>
        <v/>
      </c>
    </row>
    <row r="487" spans="2:3" x14ac:dyDescent="0.3">
      <c r="B487" t="str">
        <f>IFERROR(IF(A487="","",VLOOKUP(A487,CadProd!$A:$B,2,0)),"")</f>
        <v/>
      </c>
      <c r="C487" t="str">
        <f>IFERROR(IF(A487="","",VLOOKUP(A487,CadProd!$A:$C,3,0)),"")</f>
        <v/>
      </c>
    </row>
    <row r="488" spans="2:3" x14ac:dyDescent="0.3">
      <c r="B488" t="str">
        <f>IFERROR(IF(A488="","",VLOOKUP(A488,CadProd!$A:$B,2,0)),"")</f>
        <v/>
      </c>
      <c r="C488" t="str">
        <f>IFERROR(IF(A488="","",VLOOKUP(A488,CadProd!$A:$C,3,0)),"")</f>
        <v/>
      </c>
    </row>
    <row r="489" spans="2:3" x14ac:dyDescent="0.3">
      <c r="B489" t="str">
        <f>IFERROR(IF(A489="","",VLOOKUP(A489,CadProd!$A:$B,2,0)),"")</f>
        <v/>
      </c>
      <c r="C489" t="str">
        <f>IFERROR(IF(A489="","",VLOOKUP(A489,CadProd!$A:$C,3,0)),"")</f>
        <v/>
      </c>
    </row>
    <row r="490" spans="2:3" x14ac:dyDescent="0.3">
      <c r="B490" t="str">
        <f>IFERROR(IF(A490="","",VLOOKUP(A490,CadProd!$A:$B,2,0)),"")</f>
        <v/>
      </c>
      <c r="C490" t="str">
        <f>IFERROR(IF(A490="","",VLOOKUP(A490,CadProd!$A:$C,3,0)),"")</f>
        <v/>
      </c>
    </row>
    <row r="491" spans="2:3" x14ac:dyDescent="0.3">
      <c r="B491" t="str">
        <f>IFERROR(IF(A491="","",VLOOKUP(A491,CadProd!$A:$B,2,0)),"")</f>
        <v/>
      </c>
      <c r="C491" t="str">
        <f>IFERROR(IF(A491="","",VLOOKUP(A491,CadProd!$A:$C,3,0)),"")</f>
        <v/>
      </c>
    </row>
    <row r="492" spans="2:3" x14ac:dyDescent="0.3">
      <c r="B492" t="str">
        <f>IFERROR(IF(A492="","",VLOOKUP(A492,CadProd!$A:$B,2,0)),"")</f>
        <v/>
      </c>
      <c r="C492" t="str">
        <f>IFERROR(IF(A492="","",VLOOKUP(A492,CadProd!$A:$C,3,0)),"")</f>
        <v/>
      </c>
    </row>
    <row r="493" spans="2:3" x14ac:dyDescent="0.3">
      <c r="B493" t="str">
        <f>IFERROR(IF(A493="","",VLOOKUP(A493,CadProd!$A:$B,2,0)),"")</f>
        <v/>
      </c>
      <c r="C493" t="str">
        <f>IFERROR(IF(A493="","",VLOOKUP(A493,CadProd!$A:$C,3,0)),"")</f>
        <v/>
      </c>
    </row>
    <row r="494" spans="2:3" x14ac:dyDescent="0.3">
      <c r="B494" t="str">
        <f>IFERROR(IF(A494="","",VLOOKUP(A494,CadProd!$A:$B,2,0)),"")</f>
        <v/>
      </c>
      <c r="C494" t="str">
        <f>IFERROR(IF(A494="","",VLOOKUP(A494,CadProd!$A:$C,3,0)),"")</f>
        <v/>
      </c>
    </row>
    <row r="495" spans="2:3" x14ac:dyDescent="0.3">
      <c r="B495" t="str">
        <f>IFERROR(IF(A495="","",VLOOKUP(A495,CadProd!$A:$B,2,0)),"")</f>
        <v/>
      </c>
      <c r="C495" t="str">
        <f>IFERROR(IF(A495="","",VLOOKUP(A495,CadProd!$A:$C,3,0)),"")</f>
        <v/>
      </c>
    </row>
    <row r="496" spans="2:3" x14ac:dyDescent="0.3">
      <c r="B496" t="str">
        <f>IFERROR(IF(A496="","",VLOOKUP(A496,CadProd!$A:$B,2,0)),"")</f>
        <v/>
      </c>
      <c r="C496" t="str">
        <f>IFERROR(IF(A496="","",VLOOKUP(A496,CadProd!$A:$C,3,0)),"")</f>
        <v/>
      </c>
    </row>
    <row r="497" spans="2:3" x14ac:dyDescent="0.3">
      <c r="B497" t="str">
        <f>IFERROR(IF(A497="","",VLOOKUP(A497,CadProd!$A:$B,2,0)),"")</f>
        <v/>
      </c>
      <c r="C497" t="str">
        <f>IFERROR(IF(A497="","",VLOOKUP(A497,CadProd!$A:$C,3,0)),"")</f>
        <v/>
      </c>
    </row>
    <row r="498" spans="2:3" x14ac:dyDescent="0.3">
      <c r="B498" t="str">
        <f>IFERROR(IF(A498="","",VLOOKUP(A498,CadProd!$A:$B,2,0)),"")</f>
        <v/>
      </c>
      <c r="C498" t="str">
        <f>IFERROR(IF(A498="","",VLOOKUP(A498,CadProd!$A:$C,3,0)),"")</f>
        <v/>
      </c>
    </row>
    <row r="499" spans="2:3" x14ac:dyDescent="0.3">
      <c r="B499" t="str">
        <f>IFERROR(IF(A499="","",VLOOKUP(A499,CadProd!$A:$B,2,0)),"")</f>
        <v/>
      </c>
      <c r="C499" t="str">
        <f>IFERROR(IF(A499="","",VLOOKUP(A499,CadProd!$A:$C,3,0)),"")</f>
        <v/>
      </c>
    </row>
    <row r="500" spans="2:3" x14ac:dyDescent="0.3">
      <c r="B500" t="str">
        <f>IFERROR(IF(A500="","",VLOOKUP(A500,CadProd!$A:$B,2,0)),"")</f>
        <v/>
      </c>
      <c r="C500" t="str">
        <f>IFERROR(IF(A500="","",VLOOKUP(A500,CadProd!$A:$C,3,0)),"")</f>
        <v/>
      </c>
    </row>
    <row r="501" spans="2:3" x14ac:dyDescent="0.3">
      <c r="B501" t="str">
        <f>IFERROR(IF(A501="","",VLOOKUP(A501,CadProd!$A:$B,2,0)),"")</f>
        <v/>
      </c>
      <c r="C501" t="str">
        <f>IFERROR(IF(A501="","",VLOOKUP(A501,CadProd!$A:$C,3,0)),"")</f>
        <v/>
      </c>
    </row>
    <row r="502" spans="2:3" x14ac:dyDescent="0.3">
      <c r="B502" t="str">
        <f>IFERROR(IF(A502="","",VLOOKUP(A502,CadProd!$A:$B,2,0)),"")</f>
        <v/>
      </c>
      <c r="C502" t="str">
        <f>IFERROR(IF(A502="","",VLOOKUP(A502,CadProd!$A:$C,3,0)),"")</f>
        <v/>
      </c>
    </row>
    <row r="503" spans="2:3" x14ac:dyDescent="0.3">
      <c r="B503" t="str">
        <f>IFERROR(IF(A503="","",VLOOKUP(A503,CadProd!$A:$B,2,0)),"")</f>
        <v/>
      </c>
      <c r="C503" t="str">
        <f>IFERROR(IF(A503="","",VLOOKUP(A503,CadProd!$A:$C,3,0)),"")</f>
        <v/>
      </c>
    </row>
    <row r="504" spans="2:3" x14ac:dyDescent="0.3">
      <c r="B504" t="str">
        <f>IFERROR(IF(A504="","",VLOOKUP(A504,CadProd!$A:$B,2,0)),"")</f>
        <v/>
      </c>
      <c r="C504" t="str">
        <f>IFERROR(IF(A504="","",VLOOKUP(A504,CadProd!$A:$C,3,0)),"")</f>
        <v/>
      </c>
    </row>
    <row r="505" spans="2:3" x14ac:dyDescent="0.3">
      <c r="B505" t="str">
        <f>IFERROR(IF(A505="","",VLOOKUP(A505,CadProd!$A:$B,2,0)),"")</f>
        <v/>
      </c>
      <c r="C505" t="str">
        <f>IFERROR(IF(A505="","",VLOOKUP(A505,CadProd!$A:$C,3,0)),"")</f>
        <v/>
      </c>
    </row>
    <row r="506" spans="2:3" x14ac:dyDescent="0.3">
      <c r="B506" t="str">
        <f>IFERROR(IF(A506="","",VLOOKUP(A506,CadProd!$A:$B,2,0)),"")</f>
        <v/>
      </c>
      <c r="C506" t="str">
        <f>IFERROR(IF(A506="","",VLOOKUP(A506,CadProd!$A:$C,3,0)),"")</f>
        <v/>
      </c>
    </row>
    <row r="507" spans="2:3" x14ac:dyDescent="0.3">
      <c r="B507" t="str">
        <f>IFERROR(IF(A507="","",VLOOKUP(A507,CadProd!$A:$B,2,0)),"")</f>
        <v/>
      </c>
      <c r="C507" t="str">
        <f>IFERROR(IF(A507="","",VLOOKUP(A507,CadProd!$A:$C,3,0)),"")</f>
        <v/>
      </c>
    </row>
    <row r="508" spans="2:3" x14ac:dyDescent="0.3">
      <c r="B508" t="str">
        <f>IFERROR(IF(A508="","",VLOOKUP(A508,CadProd!$A:$B,2,0)),"")</f>
        <v/>
      </c>
      <c r="C508" t="str">
        <f>IFERROR(IF(A508="","",VLOOKUP(A508,CadProd!$A:$C,3,0)),"")</f>
        <v/>
      </c>
    </row>
    <row r="509" spans="2:3" x14ac:dyDescent="0.3">
      <c r="B509" t="str">
        <f>IFERROR(IF(A509="","",VLOOKUP(A509,CadProd!$A:$B,2,0)),"")</f>
        <v/>
      </c>
      <c r="C509" t="str">
        <f>IFERROR(IF(A509="","",VLOOKUP(A509,CadProd!$A:$C,3,0)),"")</f>
        <v/>
      </c>
    </row>
    <row r="510" spans="2:3" x14ac:dyDescent="0.3">
      <c r="B510" t="str">
        <f>IFERROR(IF(A510="","",VLOOKUP(A510,CadProd!$A:$B,2,0)),"")</f>
        <v/>
      </c>
      <c r="C510" t="str">
        <f>IFERROR(IF(A510="","",VLOOKUP(A510,CadProd!$A:$C,3,0)),"")</f>
        <v/>
      </c>
    </row>
    <row r="511" spans="2:3" x14ac:dyDescent="0.3">
      <c r="B511" t="str">
        <f>IFERROR(IF(A511="","",VLOOKUP(A511,CadProd!$A:$B,2,0)),"")</f>
        <v/>
      </c>
      <c r="C511" t="str">
        <f>IFERROR(IF(A511="","",VLOOKUP(A511,CadProd!$A:$C,3,0)),"")</f>
        <v/>
      </c>
    </row>
    <row r="512" spans="2:3" x14ac:dyDescent="0.3">
      <c r="B512" t="str">
        <f>IFERROR(IF(A512="","",VLOOKUP(A512,CadProd!$A:$B,2,0)),"")</f>
        <v/>
      </c>
      <c r="C512" t="str">
        <f>IFERROR(IF(A512="","",VLOOKUP(A512,CadProd!$A:$C,3,0)),"")</f>
        <v/>
      </c>
    </row>
    <row r="513" spans="2:3" x14ac:dyDescent="0.3">
      <c r="B513" t="str">
        <f>IFERROR(IF(A513="","",VLOOKUP(A513,CadProd!$A:$B,2,0)),"")</f>
        <v/>
      </c>
      <c r="C513" t="str">
        <f>IFERROR(IF(A513="","",VLOOKUP(A513,CadProd!$A:$C,3,0)),"")</f>
        <v/>
      </c>
    </row>
    <row r="514" spans="2:3" x14ac:dyDescent="0.3">
      <c r="B514" t="str">
        <f>IFERROR(IF(A514="","",VLOOKUP(A514,CadProd!$A:$B,2,0)),"")</f>
        <v/>
      </c>
      <c r="C514" t="str">
        <f>IFERROR(IF(A514="","",VLOOKUP(A514,CadProd!$A:$C,3,0)),"")</f>
        <v/>
      </c>
    </row>
    <row r="515" spans="2:3" x14ac:dyDescent="0.3">
      <c r="B515" t="str">
        <f>IFERROR(IF(A515="","",VLOOKUP(A515,CadProd!$A:$B,2,0)),"")</f>
        <v/>
      </c>
      <c r="C515" t="str">
        <f>IFERROR(IF(A515="","",VLOOKUP(A515,CadProd!$A:$C,3,0)),"")</f>
        <v/>
      </c>
    </row>
    <row r="516" spans="2:3" x14ac:dyDescent="0.3">
      <c r="B516" t="str">
        <f>IFERROR(IF(A516="","",VLOOKUP(A516,CadProd!$A:$B,2,0)),"")</f>
        <v/>
      </c>
      <c r="C516" t="str">
        <f>IFERROR(IF(A516="","",VLOOKUP(A516,CadProd!$A:$C,3,0)),"")</f>
        <v/>
      </c>
    </row>
    <row r="517" spans="2:3" x14ac:dyDescent="0.3">
      <c r="B517" t="str">
        <f>IFERROR(IF(A517="","",VLOOKUP(A517,CadProd!$A:$B,2,0)),"")</f>
        <v/>
      </c>
      <c r="C517" t="str">
        <f>IFERROR(IF(A517="","",VLOOKUP(A517,CadProd!$A:$C,3,0)),"")</f>
        <v/>
      </c>
    </row>
    <row r="518" spans="2:3" x14ac:dyDescent="0.3">
      <c r="B518" t="str">
        <f>IFERROR(IF(A518="","",VLOOKUP(A518,CadProd!$A:$B,2,0)),"")</f>
        <v/>
      </c>
      <c r="C518" t="str">
        <f>IFERROR(IF(A518="","",VLOOKUP(A518,CadProd!$A:$C,3,0)),"")</f>
        <v/>
      </c>
    </row>
    <row r="519" spans="2:3" x14ac:dyDescent="0.3">
      <c r="B519" t="str">
        <f>IFERROR(IF(A519="","",VLOOKUP(A519,CadProd!$A:$B,2,0)),"")</f>
        <v/>
      </c>
      <c r="C519" t="str">
        <f>IFERROR(IF(A519="","",VLOOKUP(A519,CadProd!$A:$C,3,0)),"")</f>
        <v/>
      </c>
    </row>
    <row r="520" spans="2:3" x14ac:dyDescent="0.3">
      <c r="B520" t="str">
        <f>IFERROR(IF(A520="","",VLOOKUP(A520,CadProd!$A:$B,2,0)),"")</f>
        <v/>
      </c>
      <c r="C520" t="str">
        <f>IFERROR(IF(A520="","",VLOOKUP(A520,CadProd!$A:$C,3,0)),"")</f>
        <v/>
      </c>
    </row>
    <row r="521" spans="2:3" x14ac:dyDescent="0.3">
      <c r="B521" t="str">
        <f>IFERROR(IF(A521="","",VLOOKUP(A521,CadProd!$A:$B,2,0)),"")</f>
        <v/>
      </c>
      <c r="C521" t="str">
        <f>IFERROR(IF(A521="","",VLOOKUP(A521,CadProd!$A:$C,3,0)),"")</f>
        <v/>
      </c>
    </row>
    <row r="522" spans="2:3" x14ac:dyDescent="0.3">
      <c r="B522" t="str">
        <f>IFERROR(IF(A522="","",VLOOKUP(A522,CadProd!$A:$B,2,0)),"")</f>
        <v/>
      </c>
      <c r="C522" t="str">
        <f>IFERROR(IF(A522="","",VLOOKUP(A522,CadProd!$A:$C,3,0)),"")</f>
        <v/>
      </c>
    </row>
    <row r="523" spans="2:3" x14ac:dyDescent="0.3">
      <c r="B523" t="str">
        <f>IFERROR(IF(A523="","",VLOOKUP(A523,CadProd!$A:$B,2,0)),"")</f>
        <v/>
      </c>
      <c r="C523" t="str">
        <f>IFERROR(IF(A523="","",VLOOKUP(A523,CadProd!$A:$C,3,0)),"")</f>
        <v/>
      </c>
    </row>
    <row r="524" spans="2:3" x14ac:dyDescent="0.3">
      <c r="B524" t="str">
        <f>IFERROR(IF(A524="","",VLOOKUP(A524,CadProd!$A:$B,2,0)),"")</f>
        <v/>
      </c>
      <c r="C524" t="str">
        <f>IFERROR(IF(A524="","",VLOOKUP(A524,CadProd!$A:$C,3,0)),"")</f>
        <v/>
      </c>
    </row>
    <row r="525" spans="2:3" x14ac:dyDescent="0.3">
      <c r="B525" t="str">
        <f>IFERROR(IF(A525="","",VLOOKUP(A525,CadProd!$A:$B,2,0)),"")</f>
        <v/>
      </c>
      <c r="C525" t="str">
        <f>IFERROR(IF(A525="","",VLOOKUP(A525,CadProd!$A:$C,3,0)),"")</f>
        <v/>
      </c>
    </row>
    <row r="526" spans="2:3" x14ac:dyDescent="0.3">
      <c r="B526" t="str">
        <f>IFERROR(IF(A526="","",VLOOKUP(A526,CadProd!$A:$B,2,0)),"")</f>
        <v/>
      </c>
      <c r="C526" t="str">
        <f>IFERROR(IF(A526="","",VLOOKUP(A526,CadProd!$A:$C,3,0)),"")</f>
        <v/>
      </c>
    </row>
    <row r="527" spans="2:3" x14ac:dyDescent="0.3">
      <c r="B527" t="str">
        <f>IFERROR(IF(A527="","",VLOOKUP(A527,CadProd!$A:$B,2,0)),"")</f>
        <v/>
      </c>
      <c r="C527" t="str">
        <f>IFERROR(IF(A527="","",VLOOKUP(A527,CadProd!$A:$C,3,0)),"")</f>
        <v/>
      </c>
    </row>
    <row r="528" spans="2:3" x14ac:dyDescent="0.3">
      <c r="B528" t="str">
        <f>IFERROR(IF(A528="","",VLOOKUP(A528,CadProd!$A:$B,2,0)),"")</f>
        <v/>
      </c>
      <c r="C528" t="str">
        <f>IFERROR(IF(A528="","",VLOOKUP(A528,CadProd!$A:$C,3,0)),"")</f>
        <v/>
      </c>
    </row>
    <row r="529" spans="2:3" x14ac:dyDescent="0.3">
      <c r="B529" t="str">
        <f>IFERROR(IF(A529="","",VLOOKUP(A529,CadProd!$A:$B,2,0)),"")</f>
        <v/>
      </c>
      <c r="C529" t="str">
        <f>IFERROR(IF(A529="","",VLOOKUP(A529,CadProd!$A:$C,3,0)),"")</f>
        <v/>
      </c>
    </row>
    <row r="530" spans="2:3" x14ac:dyDescent="0.3">
      <c r="B530" t="str">
        <f>IFERROR(IF(A530="","",VLOOKUP(A530,CadProd!$A:$B,2,0)),"")</f>
        <v/>
      </c>
      <c r="C530" t="str">
        <f>IFERROR(IF(A530="","",VLOOKUP(A530,CadProd!$A:$C,3,0)),"")</f>
        <v/>
      </c>
    </row>
    <row r="531" spans="2:3" x14ac:dyDescent="0.3">
      <c r="B531" t="str">
        <f>IFERROR(IF(A531="","",VLOOKUP(A531,CadProd!$A:$B,2,0)),"")</f>
        <v/>
      </c>
      <c r="C531" t="str">
        <f>IFERROR(IF(A531="","",VLOOKUP(A531,CadProd!$A:$C,3,0)),"")</f>
        <v/>
      </c>
    </row>
    <row r="532" spans="2:3" x14ac:dyDescent="0.3">
      <c r="B532" t="str">
        <f>IFERROR(IF(A532="","",VLOOKUP(A532,CadProd!$A:$B,2,0)),"")</f>
        <v/>
      </c>
      <c r="C532" t="str">
        <f>IFERROR(IF(A532="","",VLOOKUP(A532,CadProd!$A:$C,3,0)),"")</f>
        <v/>
      </c>
    </row>
    <row r="533" spans="2:3" x14ac:dyDescent="0.3">
      <c r="B533" t="str">
        <f>IFERROR(IF(A533="","",VLOOKUP(A533,CadProd!$A:$B,2,0)),"")</f>
        <v/>
      </c>
      <c r="C533" t="str">
        <f>IFERROR(IF(A533="","",VLOOKUP(A533,CadProd!$A:$C,3,0)),"")</f>
        <v/>
      </c>
    </row>
    <row r="534" spans="2:3" x14ac:dyDescent="0.3">
      <c r="B534" t="str">
        <f>IFERROR(IF(A534="","",VLOOKUP(A534,CadProd!$A:$B,2,0)),"")</f>
        <v/>
      </c>
      <c r="C534" t="str">
        <f>IFERROR(IF(A534="","",VLOOKUP(A534,CadProd!$A:$C,3,0)),"")</f>
        <v/>
      </c>
    </row>
    <row r="535" spans="2:3" x14ac:dyDescent="0.3">
      <c r="B535" t="str">
        <f>IFERROR(IF(A535="","",VLOOKUP(A535,CadProd!$A:$B,2,0)),"")</f>
        <v/>
      </c>
      <c r="C535" t="str">
        <f>IFERROR(IF(A535="","",VLOOKUP(A535,CadProd!$A:$C,3,0)),"")</f>
        <v/>
      </c>
    </row>
    <row r="536" spans="2:3" x14ac:dyDescent="0.3">
      <c r="B536" t="str">
        <f>IFERROR(IF(A536="","",VLOOKUP(A536,CadProd!$A:$B,2,0)),"")</f>
        <v/>
      </c>
      <c r="C536" t="str">
        <f>IFERROR(IF(A536="","",VLOOKUP(A536,CadProd!$A:$C,3,0)),"")</f>
        <v/>
      </c>
    </row>
    <row r="537" spans="2:3" x14ac:dyDescent="0.3">
      <c r="B537" t="str">
        <f>IFERROR(IF(A537="","",VLOOKUP(A537,CadProd!$A:$B,2,0)),"")</f>
        <v/>
      </c>
      <c r="C537" t="str">
        <f>IFERROR(IF(A537="","",VLOOKUP(A537,CadProd!$A:$C,3,0)),"")</f>
        <v/>
      </c>
    </row>
    <row r="538" spans="2:3" x14ac:dyDescent="0.3">
      <c r="B538" t="str">
        <f>IFERROR(IF(A538="","",VLOOKUP(A538,CadProd!$A:$B,2,0)),"")</f>
        <v/>
      </c>
      <c r="C538" t="str">
        <f>IFERROR(IF(A538="","",VLOOKUP(A538,CadProd!$A:$C,3,0)),"")</f>
        <v/>
      </c>
    </row>
    <row r="539" spans="2:3" x14ac:dyDescent="0.3">
      <c r="B539" t="str">
        <f>IFERROR(IF(A539="","",VLOOKUP(A539,CadProd!$A:$B,2,0)),"")</f>
        <v/>
      </c>
      <c r="C539" t="str">
        <f>IFERROR(IF(A539="","",VLOOKUP(A539,CadProd!$A:$C,3,0)),"")</f>
        <v/>
      </c>
    </row>
    <row r="540" spans="2:3" x14ac:dyDescent="0.3">
      <c r="B540" t="str">
        <f>IFERROR(IF(A540="","",VLOOKUP(A540,CadProd!$A:$B,2,0)),"")</f>
        <v/>
      </c>
      <c r="C540" t="str">
        <f>IFERROR(IF(A540="","",VLOOKUP(A540,CadProd!$A:$C,3,0)),"")</f>
        <v/>
      </c>
    </row>
    <row r="541" spans="2:3" x14ac:dyDescent="0.3">
      <c r="B541" t="str">
        <f>IFERROR(IF(A541="","",VLOOKUP(A541,CadProd!$A:$B,2,0)),"")</f>
        <v/>
      </c>
      <c r="C541" t="str">
        <f>IFERROR(IF(A541="","",VLOOKUP(A541,CadProd!$A:$C,3,0)),"")</f>
        <v/>
      </c>
    </row>
    <row r="542" spans="2:3" x14ac:dyDescent="0.3">
      <c r="B542" t="str">
        <f>IFERROR(IF(A542="","",VLOOKUP(A542,CadProd!$A:$B,2,0)),"")</f>
        <v/>
      </c>
      <c r="C542" t="str">
        <f>IFERROR(IF(A542="","",VLOOKUP(A542,CadProd!$A:$C,3,0)),"")</f>
        <v/>
      </c>
    </row>
    <row r="543" spans="2:3" x14ac:dyDescent="0.3">
      <c r="B543" t="str">
        <f>IFERROR(IF(A543="","",VLOOKUP(A543,CadProd!$A:$B,2,0)),"")</f>
        <v/>
      </c>
      <c r="C543" t="str">
        <f>IFERROR(IF(A543="","",VLOOKUP(A543,CadProd!$A:$C,3,0)),"")</f>
        <v/>
      </c>
    </row>
    <row r="544" spans="2:3" x14ac:dyDescent="0.3">
      <c r="B544" t="str">
        <f>IFERROR(IF(A544="","",VLOOKUP(A544,CadProd!$A:$B,2,0)),"")</f>
        <v/>
      </c>
      <c r="C544" t="str">
        <f>IFERROR(IF(A544="","",VLOOKUP(A544,CadProd!$A:$C,3,0)),"")</f>
        <v/>
      </c>
    </row>
    <row r="545" spans="2:3" x14ac:dyDescent="0.3">
      <c r="B545" t="str">
        <f>IFERROR(IF(A545="","",VLOOKUP(A545,CadProd!$A:$B,2,0)),"")</f>
        <v/>
      </c>
      <c r="C545" t="str">
        <f>IFERROR(IF(A545="","",VLOOKUP(A545,CadProd!$A:$C,3,0)),"")</f>
        <v/>
      </c>
    </row>
    <row r="546" spans="2:3" x14ac:dyDescent="0.3">
      <c r="B546" t="str">
        <f>IFERROR(IF(A546="","",VLOOKUP(A546,CadProd!$A:$B,2,0)),"")</f>
        <v/>
      </c>
      <c r="C546" t="str">
        <f>IFERROR(IF(A546="","",VLOOKUP(A546,CadProd!$A:$C,3,0)),"")</f>
        <v/>
      </c>
    </row>
    <row r="547" spans="2:3" x14ac:dyDescent="0.3">
      <c r="B547" t="str">
        <f>IFERROR(IF(A547="","",VLOOKUP(A547,CadProd!$A:$B,2,0)),"")</f>
        <v/>
      </c>
      <c r="C547" t="str">
        <f>IFERROR(IF(A547="","",VLOOKUP(A547,CadProd!$A:$C,3,0)),"")</f>
        <v/>
      </c>
    </row>
    <row r="548" spans="2:3" x14ac:dyDescent="0.3">
      <c r="B548" t="str">
        <f>IFERROR(IF(A548="","",VLOOKUP(A548,CadProd!$A:$B,2,0)),"")</f>
        <v/>
      </c>
      <c r="C548" t="str">
        <f>IFERROR(IF(A548="","",VLOOKUP(A548,CadProd!$A:$C,3,0)),"")</f>
        <v/>
      </c>
    </row>
    <row r="549" spans="2:3" x14ac:dyDescent="0.3">
      <c r="B549" t="str">
        <f>IFERROR(IF(A549="","",VLOOKUP(A549,CadProd!$A:$B,2,0)),"")</f>
        <v/>
      </c>
      <c r="C549" t="str">
        <f>IFERROR(IF(A549="","",VLOOKUP(A549,CadProd!$A:$C,3,0)),"")</f>
        <v/>
      </c>
    </row>
    <row r="550" spans="2:3" x14ac:dyDescent="0.3">
      <c r="B550" t="str">
        <f>IFERROR(IF(A550="","",VLOOKUP(A550,CadProd!$A:$B,2,0)),"")</f>
        <v/>
      </c>
      <c r="C550" t="str">
        <f>IFERROR(IF(A550="","",VLOOKUP(A550,CadProd!$A:$C,3,0)),"")</f>
        <v/>
      </c>
    </row>
    <row r="551" spans="2:3" x14ac:dyDescent="0.3">
      <c r="B551" t="str">
        <f>IFERROR(IF(A551="","",VLOOKUP(A551,CadProd!$A:$B,2,0)),"")</f>
        <v/>
      </c>
      <c r="C551" t="str">
        <f>IFERROR(IF(A551="","",VLOOKUP(A551,CadProd!$A:$C,3,0)),"")</f>
        <v/>
      </c>
    </row>
    <row r="552" spans="2:3" x14ac:dyDescent="0.3">
      <c r="B552" t="str">
        <f>IFERROR(IF(A552="","",VLOOKUP(A552,CadProd!$A:$B,2,0)),"")</f>
        <v/>
      </c>
      <c r="C552" t="str">
        <f>IFERROR(IF(A552="","",VLOOKUP(A552,CadProd!$A:$C,3,0)),"")</f>
        <v/>
      </c>
    </row>
    <row r="553" spans="2:3" x14ac:dyDescent="0.3">
      <c r="B553" t="str">
        <f>IFERROR(IF(A553="","",VLOOKUP(A553,CadProd!$A:$B,2,0)),"")</f>
        <v/>
      </c>
      <c r="C553" t="str">
        <f>IFERROR(IF(A553="","",VLOOKUP(A553,CadProd!$A:$C,3,0)),"")</f>
        <v/>
      </c>
    </row>
    <row r="554" spans="2:3" x14ac:dyDescent="0.3">
      <c r="B554" t="str">
        <f>IFERROR(IF(A554="","",VLOOKUP(A554,CadProd!$A:$B,2,0)),"")</f>
        <v/>
      </c>
      <c r="C554" t="str">
        <f>IFERROR(IF(A554="","",VLOOKUP(A554,CadProd!$A:$C,3,0)),"")</f>
        <v/>
      </c>
    </row>
    <row r="555" spans="2:3" x14ac:dyDescent="0.3">
      <c r="B555" t="str">
        <f>IFERROR(IF(A555="","",VLOOKUP(A555,CadProd!$A:$B,2,0)),"")</f>
        <v/>
      </c>
      <c r="C555" t="str">
        <f>IFERROR(IF(A555="","",VLOOKUP(A555,CadProd!$A:$C,3,0)),"")</f>
        <v/>
      </c>
    </row>
    <row r="556" spans="2:3" x14ac:dyDescent="0.3">
      <c r="B556" t="str">
        <f>IFERROR(IF(A556="","",VLOOKUP(A556,CadProd!$A:$B,2,0)),"")</f>
        <v/>
      </c>
      <c r="C556" t="str">
        <f>IFERROR(IF(A556="","",VLOOKUP(A556,CadProd!$A:$C,3,0)),"")</f>
        <v/>
      </c>
    </row>
    <row r="557" spans="2:3" x14ac:dyDescent="0.3">
      <c r="B557" t="str">
        <f>IFERROR(IF(A557="","",VLOOKUP(A557,CadProd!$A:$B,2,0)),"")</f>
        <v/>
      </c>
      <c r="C557" t="str">
        <f>IFERROR(IF(A557="","",VLOOKUP(A557,CadProd!$A:$C,3,0)),"")</f>
        <v/>
      </c>
    </row>
    <row r="558" spans="2:3" x14ac:dyDescent="0.3">
      <c r="B558" t="str">
        <f>IFERROR(IF(A558="","",VLOOKUP(A558,CadProd!$A:$B,2,0)),"")</f>
        <v/>
      </c>
      <c r="C558" t="str">
        <f>IFERROR(IF(A558="","",VLOOKUP(A558,CadProd!$A:$C,3,0)),"")</f>
        <v/>
      </c>
    </row>
    <row r="559" spans="2:3" x14ac:dyDescent="0.3">
      <c r="B559" t="str">
        <f>IFERROR(IF(A559="","",VLOOKUP(A559,CadProd!$A:$B,2,0)),"")</f>
        <v/>
      </c>
      <c r="C559" t="str">
        <f>IFERROR(IF(A559="","",VLOOKUP(A559,CadProd!$A:$C,3,0)),"")</f>
        <v/>
      </c>
    </row>
    <row r="560" spans="2:3" x14ac:dyDescent="0.3">
      <c r="B560" t="str">
        <f>IFERROR(IF(A560="","",VLOOKUP(A560,CadProd!$A:$B,2,0)),"")</f>
        <v/>
      </c>
      <c r="C560" t="str">
        <f>IFERROR(IF(A560="","",VLOOKUP(A560,CadProd!$A:$C,3,0)),"")</f>
        <v/>
      </c>
    </row>
    <row r="561" spans="2:3" x14ac:dyDescent="0.3">
      <c r="B561" t="str">
        <f>IFERROR(IF(A561="","",VLOOKUP(A561,CadProd!$A:$B,2,0)),"")</f>
        <v/>
      </c>
      <c r="C561" t="str">
        <f>IFERROR(IF(A561="","",VLOOKUP(A561,CadProd!$A:$C,3,0)),"")</f>
        <v/>
      </c>
    </row>
    <row r="562" spans="2:3" x14ac:dyDescent="0.3">
      <c r="B562" t="str">
        <f>IFERROR(IF(A562="","",VLOOKUP(A562,CadProd!$A:$B,2,0)),"")</f>
        <v/>
      </c>
      <c r="C562" t="str">
        <f>IFERROR(IF(A562="","",VLOOKUP(A562,CadProd!$A:$C,3,0)),"")</f>
        <v/>
      </c>
    </row>
    <row r="563" spans="2:3" x14ac:dyDescent="0.3">
      <c r="B563" t="str">
        <f>IFERROR(IF(A563="","",VLOOKUP(A563,CadProd!$A:$B,2,0)),"")</f>
        <v/>
      </c>
      <c r="C563" t="str">
        <f>IFERROR(IF(A563="","",VLOOKUP(A563,CadProd!$A:$C,3,0)),"")</f>
        <v/>
      </c>
    </row>
    <row r="564" spans="2:3" x14ac:dyDescent="0.3">
      <c r="B564" t="str">
        <f>IFERROR(IF(A564="","",VLOOKUP(A564,CadProd!$A:$B,2,0)),"")</f>
        <v/>
      </c>
      <c r="C564" t="str">
        <f>IFERROR(IF(A564="","",VLOOKUP(A564,CadProd!$A:$C,3,0)),"")</f>
        <v/>
      </c>
    </row>
    <row r="565" spans="2:3" x14ac:dyDescent="0.3">
      <c r="B565" t="str">
        <f>IFERROR(IF(A565="","",VLOOKUP(A565,CadProd!$A:$B,2,0)),"")</f>
        <v/>
      </c>
      <c r="C565" t="str">
        <f>IFERROR(IF(A565="","",VLOOKUP(A565,CadProd!$A:$C,3,0)),"")</f>
        <v/>
      </c>
    </row>
    <row r="566" spans="2:3" x14ac:dyDescent="0.3">
      <c r="B566" t="str">
        <f>IFERROR(IF(A566="","",VLOOKUP(A566,CadProd!$A:$B,2,0)),"")</f>
        <v/>
      </c>
      <c r="C566" t="str">
        <f>IFERROR(IF(A566="","",VLOOKUP(A566,CadProd!$A:$C,3,0)),"")</f>
        <v/>
      </c>
    </row>
    <row r="567" spans="2:3" x14ac:dyDescent="0.3">
      <c r="B567" t="str">
        <f>IFERROR(IF(A567="","",VLOOKUP(A567,CadProd!$A:$B,2,0)),"")</f>
        <v/>
      </c>
      <c r="C567" t="str">
        <f>IFERROR(IF(A567="","",VLOOKUP(A567,CadProd!$A:$C,3,0)),"")</f>
        <v/>
      </c>
    </row>
    <row r="568" spans="2:3" x14ac:dyDescent="0.3">
      <c r="B568" t="str">
        <f>IFERROR(IF(A568="","",VLOOKUP(A568,CadProd!$A:$B,2,0)),"")</f>
        <v/>
      </c>
      <c r="C568" t="str">
        <f>IFERROR(IF(A568="","",VLOOKUP(A568,CadProd!$A:$C,3,0)),"")</f>
        <v/>
      </c>
    </row>
    <row r="569" spans="2:3" x14ac:dyDescent="0.3">
      <c r="B569" t="str">
        <f>IFERROR(IF(A569="","",VLOOKUP(A569,CadProd!$A:$B,2,0)),"")</f>
        <v/>
      </c>
      <c r="C569" t="str">
        <f>IFERROR(IF(A569="","",VLOOKUP(A569,CadProd!$A:$C,3,0)),"")</f>
        <v/>
      </c>
    </row>
    <row r="570" spans="2:3" x14ac:dyDescent="0.3">
      <c r="B570" t="str">
        <f>IFERROR(IF(A570="","",VLOOKUP(A570,CadProd!$A:$B,2,0)),"")</f>
        <v/>
      </c>
      <c r="C570" t="str">
        <f>IFERROR(IF(A570="","",VLOOKUP(A570,CadProd!$A:$C,3,0)),"")</f>
        <v/>
      </c>
    </row>
    <row r="571" spans="2:3" x14ac:dyDescent="0.3">
      <c r="B571" t="str">
        <f>IFERROR(IF(A571="","",VLOOKUP(A571,CadProd!$A:$B,2,0)),"")</f>
        <v/>
      </c>
      <c r="C571" t="str">
        <f>IFERROR(IF(A571="","",VLOOKUP(A571,CadProd!$A:$C,3,0)),"")</f>
        <v/>
      </c>
    </row>
    <row r="572" spans="2:3" x14ac:dyDescent="0.3">
      <c r="B572" t="str">
        <f>IFERROR(IF(A572="","",VLOOKUP(A572,CadProd!$A:$B,2,0)),"")</f>
        <v/>
      </c>
      <c r="C572" t="str">
        <f>IFERROR(IF(A572="","",VLOOKUP(A572,CadProd!$A:$C,3,0)),"")</f>
        <v/>
      </c>
    </row>
    <row r="573" spans="2:3" x14ac:dyDescent="0.3">
      <c r="B573" t="str">
        <f>IFERROR(IF(A573="","",VLOOKUP(A573,CadProd!$A:$B,2,0)),"")</f>
        <v/>
      </c>
      <c r="C573" t="str">
        <f>IFERROR(IF(A573="","",VLOOKUP(A573,CadProd!$A:$C,3,0)),"")</f>
        <v/>
      </c>
    </row>
    <row r="574" spans="2:3" x14ac:dyDescent="0.3">
      <c r="B574" t="str">
        <f>IFERROR(IF(A574="","",VLOOKUP(A574,CadProd!$A:$B,2,0)),"")</f>
        <v/>
      </c>
      <c r="C574" t="str">
        <f>IFERROR(IF(A574="","",VLOOKUP(A574,CadProd!$A:$C,3,0)),"")</f>
        <v/>
      </c>
    </row>
    <row r="575" spans="2:3" x14ac:dyDescent="0.3">
      <c r="B575" t="str">
        <f>IFERROR(IF(A575="","",VLOOKUP(A575,CadProd!$A:$B,2,0)),"")</f>
        <v/>
      </c>
      <c r="C575" t="str">
        <f>IFERROR(IF(A575="","",VLOOKUP(A575,CadProd!$A:$C,3,0)),"")</f>
        <v/>
      </c>
    </row>
    <row r="576" spans="2:3" x14ac:dyDescent="0.3">
      <c r="B576" t="str">
        <f>IFERROR(IF(A576="","",VLOOKUP(A576,CadProd!$A:$B,2,0)),"")</f>
        <v/>
      </c>
      <c r="C576" t="str">
        <f>IFERROR(IF(A576="","",VLOOKUP(A576,CadProd!$A:$C,3,0)),"")</f>
        <v/>
      </c>
    </row>
    <row r="577" spans="2:3" x14ac:dyDescent="0.3">
      <c r="B577" t="str">
        <f>IFERROR(IF(A577="","",VLOOKUP(A577,CadProd!$A:$B,2,0)),"")</f>
        <v/>
      </c>
      <c r="C577" t="str">
        <f>IFERROR(IF(A577="","",VLOOKUP(A577,CadProd!$A:$C,3,0)),"")</f>
        <v/>
      </c>
    </row>
    <row r="578" spans="2:3" x14ac:dyDescent="0.3">
      <c r="B578" t="str">
        <f>IFERROR(IF(A578="","",VLOOKUP(A578,CadProd!$A:$B,2,0)),"")</f>
        <v/>
      </c>
      <c r="C578" t="str">
        <f>IFERROR(IF(A578="","",VLOOKUP(A578,CadProd!$A:$C,3,0)),"")</f>
        <v/>
      </c>
    </row>
    <row r="579" spans="2:3" x14ac:dyDescent="0.3">
      <c r="B579" t="str">
        <f>IFERROR(IF(A579="","",VLOOKUP(A579,CadProd!$A:$B,2,0)),"")</f>
        <v/>
      </c>
      <c r="C579" t="str">
        <f>IFERROR(IF(A579="","",VLOOKUP(A579,CadProd!$A:$C,3,0)),"")</f>
        <v/>
      </c>
    </row>
    <row r="580" spans="2:3" x14ac:dyDescent="0.3">
      <c r="B580" t="str">
        <f>IFERROR(IF(A580="","",VLOOKUP(A580,CadProd!$A:$B,2,0)),"")</f>
        <v/>
      </c>
      <c r="C580" t="str">
        <f>IFERROR(IF(A580="","",VLOOKUP(A580,CadProd!$A:$C,3,0)),"")</f>
        <v/>
      </c>
    </row>
    <row r="581" spans="2:3" x14ac:dyDescent="0.3">
      <c r="B581" t="str">
        <f>IFERROR(IF(A581="","",VLOOKUP(A581,CadProd!$A:$B,2,0)),"")</f>
        <v/>
      </c>
      <c r="C581" t="str">
        <f>IFERROR(IF(A581="","",VLOOKUP(A581,CadProd!$A:$C,3,0)),"")</f>
        <v/>
      </c>
    </row>
    <row r="582" spans="2:3" x14ac:dyDescent="0.3">
      <c r="B582" t="str">
        <f>IFERROR(IF(A582="","",VLOOKUP(A582,CadProd!$A:$B,2,0)),"")</f>
        <v/>
      </c>
      <c r="C582" t="str">
        <f>IFERROR(IF(A582="","",VLOOKUP(A582,CadProd!$A:$C,3,0)),"")</f>
        <v/>
      </c>
    </row>
    <row r="583" spans="2:3" x14ac:dyDescent="0.3">
      <c r="B583" t="str">
        <f>IFERROR(IF(A583="","",VLOOKUP(A583,CadProd!$A:$B,2,0)),"")</f>
        <v/>
      </c>
      <c r="C583" t="str">
        <f>IFERROR(IF(A583="","",VLOOKUP(A583,CadProd!$A:$C,3,0)),"")</f>
        <v/>
      </c>
    </row>
    <row r="584" spans="2:3" x14ac:dyDescent="0.3">
      <c r="B584" t="str">
        <f>IFERROR(IF(A584="","",VLOOKUP(A584,CadProd!$A:$B,2,0)),"")</f>
        <v/>
      </c>
      <c r="C584" t="str">
        <f>IFERROR(IF(A584="","",VLOOKUP(A584,CadProd!$A:$C,3,0)),"")</f>
        <v/>
      </c>
    </row>
    <row r="585" spans="2:3" x14ac:dyDescent="0.3">
      <c r="B585" t="str">
        <f>IFERROR(IF(A585="","",VLOOKUP(A585,CadProd!$A:$B,2,0)),"")</f>
        <v/>
      </c>
      <c r="C585" t="str">
        <f>IFERROR(IF(A585="","",VLOOKUP(A585,CadProd!$A:$C,3,0)),"")</f>
        <v/>
      </c>
    </row>
    <row r="586" spans="2:3" x14ac:dyDescent="0.3">
      <c r="B586" t="str">
        <f>IFERROR(IF(A586="","",VLOOKUP(A586,CadProd!$A:$B,2,0)),"")</f>
        <v/>
      </c>
      <c r="C586" t="str">
        <f>IFERROR(IF(A586="","",VLOOKUP(A586,CadProd!$A:$C,3,0)),"")</f>
        <v/>
      </c>
    </row>
    <row r="587" spans="2:3" x14ac:dyDescent="0.3">
      <c r="B587" t="str">
        <f>IFERROR(IF(A587="","",VLOOKUP(A587,CadProd!$A:$B,2,0)),"")</f>
        <v/>
      </c>
      <c r="C587" t="str">
        <f>IFERROR(IF(A587="","",VLOOKUP(A587,CadProd!$A:$C,3,0)),"")</f>
        <v/>
      </c>
    </row>
    <row r="588" spans="2:3" x14ac:dyDescent="0.3">
      <c r="B588" t="str">
        <f>IFERROR(IF(A588="","",VLOOKUP(A588,CadProd!$A:$B,2,0)),"")</f>
        <v/>
      </c>
      <c r="C588" t="str">
        <f>IFERROR(IF(A588="","",VLOOKUP(A588,CadProd!$A:$C,3,0)),"")</f>
        <v/>
      </c>
    </row>
    <row r="589" spans="2:3" x14ac:dyDescent="0.3">
      <c r="B589" t="str">
        <f>IFERROR(IF(A589="","",VLOOKUP(A589,CadProd!$A:$B,2,0)),"")</f>
        <v/>
      </c>
      <c r="C589" t="str">
        <f>IFERROR(IF(A589="","",VLOOKUP(A589,CadProd!$A:$C,3,0)),"")</f>
        <v/>
      </c>
    </row>
    <row r="590" spans="2:3" x14ac:dyDescent="0.3">
      <c r="B590" t="str">
        <f>IFERROR(IF(A590="","",VLOOKUP(A590,CadProd!$A:$B,2,0)),"")</f>
        <v/>
      </c>
      <c r="C590" t="str">
        <f>IFERROR(IF(A590="","",VLOOKUP(A590,CadProd!$A:$C,3,0)),"")</f>
        <v/>
      </c>
    </row>
    <row r="591" spans="2:3" x14ac:dyDescent="0.3">
      <c r="B591" t="str">
        <f>IFERROR(IF(A591="","",VLOOKUP(A591,CadProd!$A:$B,2,0)),"")</f>
        <v/>
      </c>
      <c r="C591" t="str">
        <f>IFERROR(IF(A591="","",VLOOKUP(A591,CadProd!$A:$C,3,0)),"")</f>
        <v/>
      </c>
    </row>
    <row r="592" spans="2:3" x14ac:dyDescent="0.3">
      <c r="B592" t="str">
        <f>IFERROR(IF(A592="","",VLOOKUP(A592,CadProd!$A:$B,2,0)),"")</f>
        <v/>
      </c>
      <c r="C592" t="str">
        <f>IFERROR(IF(A592="","",VLOOKUP(A592,CadProd!$A:$C,3,0)),"")</f>
        <v/>
      </c>
    </row>
    <row r="593" spans="2:3" x14ac:dyDescent="0.3">
      <c r="B593" t="str">
        <f>IFERROR(IF(A593="","",VLOOKUP(A593,CadProd!$A:$B,2,0)),"")</f>
        <v/>
      </c>
      <c r="C593" t="str">
        <f>IFERROR(IF(A593="","",VLOOKUP(A593,CadProd!$A:$C,3,0)),"")</f>
        <v/>
      </c>
    </row>
    <row r="594" spans="2:3" x14ac:dyDescent="0.3">
      <c r="B594" t="str">
        <f>IFERROR(IF(A594="","",VLOOKUP(A594,CadProd!$A:$B,2,0)),"")</f>
        <v/>
      </c>
      <c r="C594" t="str">
        <f>IFERROR(IF(A594="","",VLOOKUP(A594,CadProd!$A:$C,3,0)),"")</f>
        <v/>
      </c>
    </row>
    <row r="595" spans="2:3" x14ac:dyDescent="0.3">
      <c r="B595" t="str">
        <f>IFERROR(IF(A595="","",VLOOKUP(A595,CadProd!$A:$B,2,0)),"")</f>
        <v/>
      </c>
      <c r="C595" t="str">
        <f>IFERROR(IF(A595="","",VLOOKUP(A595,CadProd!$A:$C,3,0)),"")</f>
        <v/>
      </c>
    </row>
    <row r="596" spans="2:3" x14ac:dyDescent="0.3">
      <c r="B596" t="str">
        <f>IFERROR(IF(A596="","",VLOOKUP(A596,CadProd!$A:$B,2,0)),"")</f>
        <v/>
      </c>
      <c r="C596" t="str">
        <f>IFERROR(IF(A596="","",VLOOKUP(A596,CadProd!$A:$C,3,0)),"")</f>
        <v/>
      </c>
    </row>
    <row r="597" spans="2:3" x14ac:dyDescent="0.3">
      <c r="B597" t="str">
        <f>IFERROR(IF(A597="","",VLOOKUP(A597,CadProd!$A:$B,2,0)),"")</f>
        <v/>
      </c>
      <c r="C597" t="str">
        <f>IFERROR(IF(A597="","",VLOOKUP(A597,CadProd!$A:$C,3,0)),"")</f>
        <v/>
      </c>
    </row>
    <row r="598" spans="2:3" x14ac:dyDescent="0.3">
      <c r="B598" t="str">
        <f>IFERROR(IF(A598="","",VLOOKUP(A598,CadProd!$A:$B,2,0)),"")</f>
        <v/>
      </c>
      <c r="C598" t="str">
        <f>IFERROR(IF(A598="","",VLOOKUP(A598,CadProd!$A:$C,3,0)),"")</f>
        <v/>
      </c>
    </row>
    <row r="599" spans="2:3" x14ac:dyDescent="0.3">
      <c r="B599" t="str">
        <f>IFERROR(IF(A599="","",VLOOKUP(A599,CadProd!$A:$B,2,0)),"")</f>
        <v/>
      </c>
      <c r="C599" t="str">
        <f>IFERROR(IF(A599="","",VLOOKUP(A599,CadProd!$A:$C,3,0)),"")</f>
        <v/>
      </c>
    </row>
    <row r="600" spans="2:3" x14ac:dyDescent="0.3">
      <c r="B600" t="str">
        <f>IFERROR(IF(A600="","",VLOOKUP(A600,CadProd!$A:$B,2,0)),"")</f>
        <v/>
      </c>
      <c r="C600" t="str">
        <f>IFERROR(IF(A600="","",VLOOKUP(A600,CadProd!$A:$C,3,0)),"")</f>
        <v/>
      </c>
    </row>
    <row r="601" spans="2:3" x14ac:dyDescent="0.3">
      <c r="B601" t="str">
        <f>IFERROR(IF(A601="","",VLOOKUP(A601,CadProd!$A:$B,2,0)),"")</f>
        <v/>
      </c>
      <c r="C601" t="str">
        <f>IFERROR(IF(A601="","",VLOOKUP(A601,CadProd!$A:$C,3,0)),"")</f>
        <v/>
      </c>
    </row>
    <row r="602" spans="2:3" x14ac:dyDescent="0.3">
      <c r="B602" t="str">
        <f>IFERROR(IF(A602="","",VLOOKUP(A602,CadProd!$A:$B,2,0)),"")</f>
        <v/>
      </c>
      <c r="C602" t="str">
        <f>IFERROR(IF(A602="","",VLOOKUP(A602,CadProd!$A:$C,3,0)),"")</f>
        <v/>
      </c>
    </row>
    <row r="603" spans="2:3" x14ac:dyDescent="0.3">
      <c r="B603" t="str">
        <f>IFERROR(IF(A603="","",VLOOKUP(A603,CadProd!$A:$B,2,0)),"")</f>
        <v/>
      </c>
      <c r="C603" t="str">
        <f>IFERROR(IF(A603="","",VLOOKUP(A603,CadProd!$A:$C,3,0)),"")</f>
        <v/>
      </c>
    </row>
    <row r="604" spans="2:3" x14ac:dyDescent="0.3">
      <c r="B604" t="str">
        <f>IFERROR(IF(A604="","",VLOOKUP(A604,CadProd!$A:$B,2,0)),"")</f>
        <v/>
      </c>
      <c r="C604" t="str">
        <f>IFERROR(IF(A604="","",VLOOKUP(A604,CadProd!$A:$C,3,0)),"")</f>
        <v/>
      </c>
    </row>
    <row r="605" spans="2:3" x14ac:dyDescent="0.3">
      <c r="B605" t="str">
        <f>IFERROR(IF(A605="","",VLOOKUP(A605,CadProd!$A:$B,2,0)),"")</f>
        <v/>
      </c>
      <c r="C605" t="str">
        <f>IFERROR(IF(A605="","",VLOOKUP(A605,CadProd!$A:$C,3,0)),"")</f>
        <v/>
      </c>
    </row>
    <row r="606" spans="2:3" x14ac:dyDescent="0.3">
      <c r="B606" t="str">
        <f>IFERROR(IF(A606="","",VLOOKUP(A606,CadProd!$A:$B,2,0)),"")</f>
        <v/>
      </c>
      <c r="C606" t="str">
        <f>IFERROR(IF(A606="","",VLOOKUP(A606,CadProd!$A:$C,3,0)),"")</f>
        <v/>
      </c>
    </row>
    <row r="607" spans="2:3" x14ac:dyDescent="0.3">
      <c r="B607" t="str">
        <f>IFERROR(IF(A607="","",VLOOKUP(A607,CadProd!$A:$B,2,0)),"")</f>
        <v/>
      </c>
      <c r="C607" t="str">
        <f>IFERROR(IF(A607="","",VLOOKUP(A607,CadProd!$A:$C,3,0)),"")</f>
        <v/>
      </c>
    </row>
    <row r="608" spans="2:3" x14ac:dyDescent="0.3">
      <c r="B608" t="str">
        <f>IFERROR(IF(A608="","",VLOOKUP(A608,CadProd!$A:$B,2,0)),"")</f>
        <v/>
      </c>
      <c r="C608" t="str">
        <f>IFERROR(IF(A608="","",VLOOKUP(A608,CadProd!$A:$C,3,0)),"")</f>
        <v/>
      </c>
    </row>
    <row r="609" spans="2:3" x14ac:dyDescent="0.3">
      <c r="B609" t="str">
        <f>IFERROR(IF(A609="","",VLOOKUP(A609,CadProd!$A:$B,2,0)),"")</f>
        <v/>
      </c>
      <c r="C609" t="str">
        <f>IFERROR(IF(A609="","",VLOOKUP(A609,CadProd!$A:$C,3,0)),"")</f>
        <v/>
      </c>
    </row>
    <row r="610" spans="2:3" x14ac:dyDescent="0.3">
      <c r="B610" t="str">
        <f>IFERROR(IF(A610="","",VLOOKUP(A610,CadProd!$A:$B,2,0)),"")</f>
        <v/>
      </c>
      <c r="C610" t="str">
        <f>IFERROR(IF(A610="","",VLOOKUP(A610,CadProd!$A:$C,3,0)),"")</f>
        <v/>
      </c>
    </row>
    <row r="611" spans="2:3" x14ac:dyDescent="0.3">
      <c r="B611" t="str">
        <f>IFERROR(IF(A611="","",VLOOKUP(A611,CadProd!$A:$B,2,0)),"")</f>
        <v/>
      </c>
      <c r="C611" t="str">
        <f>IFERROR(IF(A611="","",VLOOKUP(A611,CadProd!$A:$C,3,0)),"")</f>
        <v/>
      </c>
    </row>
    <row r="612" spans="2:3" x14ac:dyDescent="0.3">
      <c r="B612" t="str">
        <f>IFERROR(IF(A612="","",VLOOKUP(A612,CadProd!$A:$B,2,0)),"")</f>
        <v/>
      </c>
      <c r="C612" t="str">
        <f>IFERROR(IF(A612="","",VLOOKUP(A612,CadProd!$A:$C,3,0)),"")</f>
        <v/>
      </c>
    </row>
    <row r="613" spans="2:3" x14ac:dyDescent="0.3">
      <c r="B613" t="str">
        <f>IFERROR(IF(A613="","",VLOOKUP(A613,CadProd!$A:$B,2,0)),"")</f>
        <v/>
      </c>
      <c r="C613" t="str">
        <f>IFERROR(IF(A613="","",VLOOKUP(A613,CadProd!$A:$C,3,0)),"")</f>
        <v/>
      </c>
    </row>
    <row r="614" spans="2:3" x14ac:dyDescent="0.3">
      <c r="B614" t="str">
        <f>IFERROR(IF(A614="","",VLOOKUP(A614,CadProd!$A:$B,2,0)),"")</f>
        <v/>
      </c>
      <c r="C614" t="str">
        <f>IFERROR(IF(A614="","",VLOOKUP(A614,CadProd!$A:$C,3,0)),"")</f>
        <v/>
      </c>
    </row>
    <row r="615" spans="2:3" x14ac:dyDescent="0.3">
      <c r="B615" t="str">
        <f>IFERROR(IF(A615="","",VLOOKUP(A615,CadProd!$A:$B,2,0)),"")</f>
        <v/>
      </c>
      <c r="C615" t="str">
        <f>IFERROR(IF(A615="","",VLOOKUP(A615,CadProd!$A:$C,3,0)),"")</f>
        <v/>
      </c>
    </row>
    <row r="616" spans="2:3" x14ac:dyDescent="0.3">
      <c r="B616" t="str">
        <f>IFERROR(IF(A616="","",VLOOKUP(A616,CadProd!$A:$B,2,0)),"")</f>
        <v/>
      </c>
      <c r="C616" t="str">
        <f>IFERROR(IF(A616="","",VLOOKUP(A616,CadProd!$A:$C,3,0)),"")</f>
        <v/>
      </c>
    </row>
    <row r="617" spans="2:3" x14ac:dyDescent="0.3">
      <c r="B617" t="str">
        <f>IFERROR(IF(A617="","",VLOOKUP(A617,CadProd!$A:$B,2,0)),"")</f>
        <v/>
      </c>
      <c r="C617" t="str">
        <f>IFERROR(IF(A617="","",VLOOKUP(A617,CadProd!$A:$C,3,0)),"")</f>
        <v/>
      </c>
    </row>
    <row r="618" spans="2:3" x14ac:dyDescent="0.3">
      <c r="B618" t="str">
        <f>IFERROR(IF(A618="","",VLOOKUP(A618,CadProd!$A:$B,2,0)),"")</f>
        <v/>
      </c>
      <c r="C618" t="str">
        <f>IFERROR(IF(A618="","",VLOOKUP(A618,CadProd!$A:$C,3,0)),"")</f>
        <v/>
      </c>
    </row>
    <row r="619" spans="2:3" x14ac:dyDescent="0.3">
      <c r="B619" t="str">
        <f>IFERROR(IF(A619="","",VLOOKUP(A619,CadProd!$A:$B,2,0)),"")</f>
        <v/>
      </c>
      <c r="C619" t="str">
        <f>IFERROR(IF(A619="","",VLOOKUP(A619,CadProd!$A:$C,3,0)),"")</f>
        <v/>
      </c>
    </row>
    <row r="620" spans="2:3" x14ac:dyDescent="0.3">
      <c r="B620" t="str">
        <f>IFERROR(IF(A620="","",VLOOKUP(A620,CadProd!$A:$B,2,0)),"")</f>
        <v/>
      </c>
      <c r="C620" t="str">
        <f>IFERROR(IF(A620="","",VLOOKUP(A620,CadProd!$A:$C,3,0)),"")</f>
        <v/>
      </c>
    </row>
    <row r="621" spans="2:3" x14ac:dyDescent="0.3">
      <c r="B621" t="str">
        <f>IFERROR(IF(A621="","",VLOOKUP(A621,CadProd!$A:$B,2,0)),"")</f>
        <v/>
      </c>
      <c r="C621" t="str">
        <f>IFERROR(IF(A621="","",VLOOKUP(A621,CadProd!$A:$C,3,0)),"")</f>
        <v/>
      </c>
    </row>
    <row r="622" spans="2:3" x14ac:dyDescent="0.3">
      <c r="B622" t="str">
        <f>IFERROR(IF(A622="","",VLOOKUP(A622,CadProd!$A:$B,2,0)),"")</f>
        <v/>
      </c>
      <c r="C622" t="str">
        <f>IFERROR(IF(A622="","",VLOOKUP(A622,CadProd!$A:$C,3,0)),"")</f>
        <v/>
      </c>
    </row>
    <row r="623" spans="2:3" x14ac:dyDescent="0.3">
      <c r="B623" t="str">
        <f>IFERROR(IF(A623="","",VLOOKUP(A623,CadProd!$A:$B,2,0)),"")</f>
        <v/>
      </c>
      <c r="C623" t="str">
        <f>IFERROR(IF(A623="","",VLOOKUP(A623,CadProd!$A:$C,3,0)),"")</f>
        <v/>
      </c>
    </row>
    <row r="624" spans="2:3" x14ac:dyDescent="0.3">
      <c r="B624" t="str">
        <f>IFERROR(IF(A624="","",VLOOKUP(A624,CadProd!$A:$B,2,0)),"")</f>
        <v/>
      </c>
      <c r="C624" t="str">
        <f>IFERROR(IF(A624="","",VLOOKUP(A624,CadProd!$A:$C,3,0)),"")</f>
        <v/>
      </c>
    </row>
    <row r="625" spans="2:3" x14ac:dyDescent="0.3">
      <c r="B625" t="str">
        <f>IFERROR(IF(A625="","",VLOOKUP(A625,CadProd!$A:$B,2,0)),"")</f>
        <v/>
      </c>
      <c r="C625" t="str">
        <f>IFERROR(IF(A625="","",VLOOKUP(A625,CadProd!$A:$C,3,0)),"")</f>
        <v/>
      </c>
    </row>
    <row r="626" spans="2:3" x14ac:dyDescent="0.3">
      <c r="B626" t="str">
        <f>IFERROR(IF(A626="","",VLOOKUP(A626,CadProd!$A:$B,2,0)),"")</f>
        <v/>
      </c>
      <c r="C626" t="str">
        <f>IFERROR(IF(A626="","",VLOOKUP(A626,CadProd!$A:$C,3,0)),"")</f>
        <v/>
      </c>
    </row>
    <row r="627" spans="2:3" x14ac:dyDescent="0.3">
      <c r="B627" t="str">
        <f>IFERROR(IF(A627="","",VLOOKUP(A627,CadProd!$A:$B,2,0)),"")</f>
        <v/>
      </c>
      <c r="C627" t="str">
        <f>IFERROR(IF(A627="","",VLOOKUP(A627,CadProd!$A:$C,3,0)),"")</f>
        <v/>
      </c>
    </row>
    <row r="628" spans="2:3" x14ac:dyDescent="0.3">
      <c r="B628" t="str">
        <f>IFERROR(IF(A628="","",VLOOKUP(A628,CadProd!$A:$B,2,0)),"")</f>
        <v/>
      </c>
      <c r="C628" t="str">
        <f>IFERROR(IF(A628="","",VLOOKUP(A628,CadProd!$A:$C,3,0)),"")</f>
        <v/>
      </c>
    </row>
    <row r="629" spans="2:3" x14ac:dyDescent="0.3">
      <c r="B629" t="str">
        <f>IFERROR(IF(A629="","",VLOOKUP(A629,CadProd!$A:$B,2,0)),"")</f>
        <v/>
      </c>
      <c r="C629" t="str">
        <f>IFERROR(IF(A629="","",VLOOKUP(A629,CadProd!$A:$C,3,0)),"")</f>
        <v/>
      </c>
    </row>
    <row r="630" spans="2:3" x14ac:dyDescent="0.3">
      <c r="B630" t="str">
        <f>IFERROR(IF(A630="","",VLOOKUP(A630,CadProd!$A:$B,2,0)),"")</f>
        <v/>
      </c>
      <c r="C630" t="str">
        <f>IFERROR(IF(A630="","",VLOOKUP(A630,CadProd!$A:$C,3,0)),"")</f>
        <v/>
      </c>
    </row>
    <row r="631" spans="2:3" x14ac:dyDescent="0.3">
      <c r="B631" t="str">
        <f>IFERROR(IF(A631="","",VLOOKUP(A631,CadProd!$A:$B,2,0)),"")</f>
        <v/>
      </c>
      <c r="C631" t="str">
        <f>IFERROR(IF(A631="","",VLOOKUP(A631,CadProd!$A:$C,3,0)),"")</f>
        <v/>
      </c>
    </row>
    <row r="632" spans="2:3" x14ac:dyDescent="0.3">
      <c r="B632" t="str">
        <f>IFERROR(IF(A632="","",VLOOKUP(A632,CadProd!$A:$B,2,0)),"")</f>
        <v/>
      </c>
      <c r="C632" t="str">
        <f>IFERROR(IF(A632="","",VLOOKUP(A632,CadProd!$A:$C,3,0)),"")</f>
        <v/>
      </c>
    </row>
    <row r="633" spans="2:3" x14ac:dyDescent="0.3">
      <c r="B633" t="str">
        <f>IFERROR(IF(A633="","",VLOOKUP(A633,CadProd!$A:$B,2,0)),"")</f>
        <v/>
      </c>
      <c r="C633" t="str">
        <f>IFERROR(IF(A633="","",VLOOKUP(A633,CadProd!$A:$C,3,0)),"")</f>
        <v/>
      </c>
    </row>
    <row r="634" spans="2:3" x14ac:dyDescent="0.3">
      <c r="B634" t="str">
        <f>IFERROR(IF(A634="","",VLOOKUP(A634,CadProd!$A:$B,2,0)),"")</f>
        <v/>
      </c>
      <c r="C634" t="str">
        <f>IFERROR(IF(A634="","",VLOOKUP(A634,CadProd!$A:$C,3,0)),"")</f>
        <v/>
      </c>
    </row>
    <row r="635" spans="2:3" x14ac:dyDescent="0.3">
      <c r="B635" t="str">
        <f>IFERROR(IF(A635="","",VLOOKUP(A635,CadProd!$A:$B,2,0)),"")</f>
        <v/>
      </c>
      <c r="C635" t="str">
        <f>IFERROR(IF(A635="","",VLOOKUP(A635,CadProd!$A:$C,3,0)),"")</f>
        <v/>
      </c>
    </row>
    <row r="636" spans="2:3" x14ac:dyDescent="0.3">
      <c r="B636" t="str">
        <f>IFERROR(IF(A636="","",VLOOKUP(A636,CadProd!$A:$B,2,0)),"")</f>
        <v/>
      </c>
      <c r="C636" t="str">
        <f>IFERROR(IF(A636="","",VLOOKUP(A636,CadProd!$A:$C,3,0)),"")</f>
        <v/>
      </c>
    </row>
    <row r="637" spans="2:3" x14ac:dyDescent="0.3">
      <c r="B637" t="str">
        <f>IFERROR(IF(A637="","",VLOOKUP(A637,CadProd!$A:$B,2,0)),"")</f>
        <v/>
      </c>
      <c r="C637" t="str">
        <f>IFERROR(IF(A637="","",VLOOKUP(A637,CadProd!$A:$C,3,0)),"")</f>
        <v/>
      </c>
    </row>
    <row r="638" spans="2:3" x14ac:dyDescent="0.3">
      <c r="B638" t="str">
        <f>IFERROR(IF(A638="","",VLOOKUP(A638,CadProd!$A:$B,2,0)),"")</f>
        <v/>
      </c>
      <c r="C638" t="str">
        <f>IFERROR(IF(A638="","",VLOOKUP(A638,CadProd!$A:$C,3,0)),"")</f>
        <v/>
      </c>
    </row>
    <row r="639" spans="2:3" x14ac:dyDescent="0.3">
      <c r="B639" t="str">
        <f>IFERROR(IF(A639="","",VLOOKUP(A639,CadProd!$A:$B,2,0)),"")</f>
        <v/>
      </c>
      <c r="C639" t="str">
        <f>IFERROR(IF(A639="","",VLOOKUP(A639,CadProd!$A:$C,3,0)),"")</f>
        <v/>
      </c>
    </row>
    <row r="640" spans="2:3" x14ac:dyDescent="0.3">
      <c r="B640" t="str">
        <f>IFERROR(IF(A640="","",VLOOKUP(A640,CadProd!$A:$B,2,0)),"")</f>
        <v/>
      </c>
      <c r="C640" t="str">
        <f>IFERROR(IF(A640="","",VLOOKUP(A640,CadProd!$A:$C,3,0)),"")</f>
        <v/>
      </c>
    </row>
    <row r="641" spans="2:3" x14ac:dyDescent="0.3">
      <c r="B641" t="str">
        <f>IFERROR(IF(A641="","",VLOOKUP(A641,CadProd!$A:$B,2,0)),"")</f>
        <v/>
      </c>
      <c r="C641" t="str">
        <f>IFERROR(IF(A641="","",VLOOKUP(A641,CadProd!$A:$C,3,0)),"")</f>
        <v/>
      </c>
    </row>
    <row r="642" spans="2:3" x14ac:dyDescent="0.3">
      <c r="B642" t="str">
        <f>IFERROR(IF(A642="","",VLOOKUP(A642,CadProd!$A:$B,2,0)),"")</f>
        <v/>
      </c>
      <c r="C642" t="str">
        <f>IFERROR(IF(A642="","",VLOOKUP(A642,CadProd!$A:$C,3,0)),"")</f>
        <v/>
      </c>
    </row>
    <row r="643" spans="2:3" x14ac:dyDescent="0.3">
      <c r="B643" t="str">
        <f>IFERROR(IF(A643="","",VLOOKUP(A643,CadProd!$A:$B,2,0)),"")</f>
        <v/>
      </c>
      <c r="C643" t="str">
        <f>IFERROR(IF(A643="","",VLOOKUP(A643,CadProd!$A:$C,3,0)),"")</f>
        <v/>
      </c>
    </row>
    <row r="644" spans="2:3" x14ac:dyDescent="0.3">
      <c r="B644" t="str">
        <f>IFERROR(IF(A644="","",VLOOKUP(A644,CadProd!$A:$B,2,0)),"")</f>
        <v/>
      </c>
      <c r="C644" t="str">
        <f>IFERROR(IF(A644="","",VLOOKUP(A644,CadProd!$A:$C,3,0)),"")</f>
        <v/>
      </c>
    </row>
    <row r="645" spans="2:3" x14ac:dyDescent="0.3">
      <c r="B645" t="str">
        <f>IFERROR(IF(A645="","",VLOOKUP(A645,CadProd!$A:$B,2,0)),"")</f>
        <v/>
      </c>
      <c r="C645" t="str">
        <f>IFERROR(IF(A645="","",VLOOKUP(A645,CadProd!$A:$C,3,0)),"")</f>
        <v/>
      </c>
    </row>
    <row r="646" spans="2:3" x14ac:dyDescent="0.3">
      <c r="B646" t="str">
        <f>IFERROR(IF(A646="","",VLOOKUP(A646,CadProd!$A:$B,2,0)),"")</f>
        <v/>
      </c>
      <c r="C646" t="str">
        <f>IFERROR(IF(A646="","",VLOOKUP(A646,CadProd!$A:$C,3,0)),"")</f>
        <v/>
      </c>
    </row>
    <row r="647" spans="2:3" x14ac:dyDescent="0.3">
      <c r="B647" t="str">
        <f>IFERROR(IF(A647="","",VLOOKUP(A647,CadProd!$A:$B,2,0)),"")</f>
        <v/>
      </c>
      <c r="C647" t="str">
        <f>IFERROR(IF(A647="","",VLOOKUP(A647,CadProd!$A:$C,3,0)),"")</f>
        <v/>
      </c>
    </row>
    <row r="648" spans="2:3" x14ac:dyDescent="0.3">
      <c r="B648" t="str">
        <f>IFERROR(IF(A648="","",VLOOKUP(A648,CadProd!$A:$B,2,0)),"")</f>
        <v/>
      </c>
      <c r="C648" t="str">
        <f>IFERROR(IF(A648="","",VLOOKUP(A648,CadProd!$A:$C,3,0)),"")</f>
        <v/>
      </c>
    </row>
    <row r="649" spans="2:3" x14ac:dyDescent="0.3">
      <c r="B649" t="str">
        <f>IFERROR(IF(A649="","",VLOOKUP(A649,CadProd!$A:$B,2,0)),"")</f>
        <v/>
      </c>
      <c r="C649" t="str">
        <f>IFERROR(IF(A649="","",VLOOKUP(A649,CadProd!$A:$C,3,0)),"")</f>
        <v/>
      </c>
    </row>
    <row r="650" spans="2:3" x14ac:dyDescent="0.3">
      <c r="B650" t="str">
        <f>IFERROR(IF(A650="","",VLOOKUP(A650,CadProd!$A:$B,2,0)),"")</f>
        <v/>
      </c>
      <c r="C650" t="str">
        <f>IFERROR(IF(A650="","",VLOOKUP(A650,CadProd!$A:$C,3,0)),"")</f>
        <v/>
      </c>
    </row>
    <row r="651" spans="2:3" x14ac:dyDescent="0.3">
      <c r="B651" t="str">
        <f>IFERROR(IF(A651="","",VLOOKUP(A651,CadProd!$A:$B,2,0)),"")</f>
        <v/>
      </c>
      <c r="C651" t="str">
        <f>IFERROR(IF(A651="","",VLOOKUP(A651,CadProd!$A:$C,3,0)),"")</f>
        <v/>
      </c>
    </row>
    <row r="652" spans="2:3" x14ac:dyDescent="0.3">
      <c r="B652" t="str">
        <f>IFERROR(IF(A652="","",VLOOKUP(A652,CadProd!$A:$B,2,0)),"")</f>
        <v/>
      </c>
      <c r="C652" t="str">
        <f>IFERROR(IF(A652="","",VLOOKUP(A652,CadProd!$A:$C,3,0)),"")</f>
        <v/>
      </c>
    </row>
    <row r="653" spans="2:3" x14ac:dyDescent="0.3">
      <c r="B653" t="str">
        <f>IFERROR(IF(A653="","",VLOOKUP(A653,CadProd!$A:$B,2,0)),"")</f>
        <v/>
      </c>
      <c r="C653" t="str">
        <f>IFERROR(IF(A653="","",VLOOKUP(A653,CadProd!$A:$C,3,0)),"")</f>
        <v/>
      </c>
    </row>
    <row r="654" spans="2:3" x14ac:dyDescent="0.3">
      <c r="B654" t="str">
        <f>IFERROR(IF(A654="","",VLOOKUP(A654,CadProd!$A:$B,2,0)),"")</f>
        <v/>
      </c>
      <c r="C654" t="str">
        <f>IFERROR(IF(A654="","",VLOOKUP(A654,CadProd!$A:$C,3,0)),"")</f>
        <v/>
      </c>
    </row>
    <row r="655" spans="2:3" x14ac:dyDescent="0.3">
      <c r="B655" t="str">
        <f>IFERROR(IF(A655="","",VLOOKUP(A655,CadProd!$A:$B,2,0)),"")</f>
        <v/>
      </c>
      <c r="C655" t="str">
        <f>IFERROR(IF(A655="","",VLOOKUP(A655,CadProd!$A:$C,3,0)),"")</f>
        <v/>
      </c>
    </row>
    <row r="656" spans="2:3" x14ac:dyDescent="0.3">
      <c r="B656" t="str">
        <f>IFERROR(IF(A656="","",VLOOKUP(A656,CadProd!$A:$B,2,0)),"")</f>
        <v/>
      </c>
      <c r="C656" t="str">
        <f>IFERROR(IF(A656="","",VLOOKUP(A656,CadProd!$A:$C,3,0)),"")</f>
        <v/>
      </c>
    </row>
    <row r="657" spans="2:3" x14ac:dyDescent="0.3">
      <c r="B657" t="str">
        <f>IFERROR(IF(A657="","",VLOOKUP(A657,CadProd!$A:$B,2,0)),"")</f>
        <v/>
      </c>
      <c r="C657" t="str">
        <f>IFERROR(IF(A657="","",VLOOKUP(A657,CadProd!$A:$C,3,0)),"")</f>
        <v/>
      </c>
    </row>
    <row r="658" spans="2:3" x14ac:dyDescent="0.3">
      <c r="B658" t="str">
        <f>IFERROR(IF(A658="","",VLOOKUP(A658,CadProd!$A:$B,2,0)),"")</f>
        <v/>
      </c>
      <c r="C658" t="str">
        <f>IFERROR(IF(A658="","",VLOOKUP(A658,CadProd!$A:$C,3,0)),"")</f>
        <v/>
      </c>
    </row>
    <row r="659" spans="2:3" x14ac:dyDescent="0.3">
      <c r="B659" t="str">
        <f>IFERROR(IF(A659="","",VLOOKUP(A659,CadProd!$A:$B,2,0)),"")</f>
        <v/>
      </c>
      <c r="C659" t="str">
        <f>IFERROR(IF(A659="","",VLOOKUP(A659,CadProd!$A:$C,3,0)),"")</f>
        <v/>
      </c>
    </row>
    <row r="660" spans="2:3" x14ac:dyDescent="0.3">
      <c r="B660" t="str">
        <f>IFERROR(IF(A660="","",VLOOKUP(A660,CadProd!$A:$B,2,0)),"")</f>
        <v/>
      </c>
      <c r="C660" t="str">
        <f>IFERROR(IF(A660="","",VLOOKUP(A660,CadProd!$A:$C,3,0)),"")</f>
        <v/>
      </c>
    </row>
    <row r="661" spans="2:3" x14ac:dyDescent="0.3">
      <c r="B661" t="str">
        <f>IFERROR(IF(A661="","",VLOOKUP(A661,CadProd!$A:$B,2,0)),"")</f>
        <v/>
      </c>
      <c r="C661" t="str">
        <f>IFERROR(IF(A661="","",VLOOKUP(A661,CadProd!$A:$C,3,0)),"")</f>
        <v/>
      </c>
    </row>
    <row r="662" spans="2:3" x14ac:dyDescent="0.3">
      <c r="B662" t="str">
        <f>IFERROR(IF(A662="","",VLOOKUP(A662,CadProd!$A:$B,2,0)),"")</f>
        <v/>
      </c>
      <c r="C662" t="str">
        <f>IFERROR(IF(A662="","",VLOOKUP(A662,CadProd!$A:$C,3,0)),"")</f>
        <v/>
      </c>
    </row>
    <row r="663" spans="2:3" x14ac:dyDescent="0.3">
      <c r="B663" t="str">
        <f>IFERROR(IF(A663="","",VLOOKUP(A663,CadProd!$A:$B,2,0)),"")</f>
        <v/>
      </c>
      <c r="C663" t="str">
        <f>IFERROR(IF(A663="","",VLOOKUP(A663,CadProd!$A:$C,3,0)),"")</f>
        <v/>
      </c>
    </row>
    <row r="664" spans="2:3" x14ac:dyDescent="0.3">
      <c r="B664" t="str">
        <f>IFERROR(IF(A664="","",VLOOKUP(A664,CadProd!$A:$B,2,0)),"")</f>
        <v/>
      </c>
      <c r="C664" t="str">
        <f>IFERROR(IF(A664="","",VLOOKUP(A664,CadProd!$A:$C,3,0)),"")</f>
        <v/>
      </c>
    </row>
    <row r="665" spans="2:3" x14ac:dyDescent="0.3">
      <c r="B665" t="str">
        <f>IFERROR(IF(A665="","",VLOOKUP(A665,CadProd!$A:$B,2,0)),"")</f>
        <v/>
      </c>
      <c r="C665" t="str">
        <f>IFERROR(IF(A665="","",VLOOKUP(A665,CadProd!$A:$C,3,0)),"")</f>
        <v/>
      </c>
    </row>
    <row r="666" spans="2:3" x14ac:dyDescent="0.3">
      <c r="B666" t="str">
        <f>IFERROR(IF(A666="","",VLOOKUP(A666,CadProd!$A:$B,2,0)),"")</f>
        <v/>
      </c>
      <c r="C666" t="str">
        <f>IFERROR(IF(A666="","",VLOOKUP(A666,CadProd!$A:$C,3,0)),"")</f>
        <v/>
      </c>
    </row>
    <row r="667" spans="2:3" x14ac:dyDescent="0.3">
      <c r="B667" t="str">
        <f>IFERROR(IF(A667="","",VLOOKUP(A667,CadProd!$A:$B,2,0)),"")</f>
        <v/>
      </c>
      <c r="C667" t="str">
        <f>IFERROR(IF(A667="","",VLOOKUP(A667,CadProd!$A:$C,3,0)),"")</f>
        <v/>
      </c>
    </row>
    <row r="668" spans="2:3" x14ac:dyDescent="0.3">
      <c r="B668" t="str">
        <f>IFERROR(IF(A668="","",VLOOKUP(A668,CadProd!$A:$B,2,0)),"")</f>
        <v/>
      </c>
      <c r="C668" t="str">
        <f>IFERROR(IF(A668="","",VLOOKUP(A668,CadProd!$A:$C,3,0)),"")</f>
        <v/>
      </c>
    </row>
    <row r="669" spans="2:3" x14ac:dyDescent="0.3">
      <c r="B669" t="str">
        <f>IFERROR(IF(A669="","",VLOOKUP(A669,CadProd!$A:$B,2,0)),"")</f>
        <v/>
      </c>
      <c r="C669" t="str">
        <f>IFERROR(IF(A669="","",VLOOKUP(A669,CadProd!$A:$C,3,0)),"")</f>
        <v/>
      </c>
    </row>
    <row r="670" spans="2:3" x14ac:dyDescent="0.3">
      <c r="B670" t="str">
        <f>IFERROR(IF(A670="","",VLOOKUP(A670,CadProd!$A:$B,2,0)),"")</f>
        <v/>
      </c>
      <c r="C670" t="str">
        <f>IFERROR(IF(A670="","",VLOOKUP(A670,CadProd!$A:$C,3,0)),"")</f>
        <v/>
      </c>
    </row>
    <row r="671" spans="2:3" x14ac:dyDescent="0.3">
      <c r="B671" t="str">
        <f>IFERROR(IF(A671="","",VLOOKUP(A671,CadProd!$A:$B,2,0)),"")</f>
        <v/>
      </c>
      <c r="C671" t="str">
        <f>IFERROR(IF(A671="","",VLOOKUP(A671,CadProd!$A:$C,3,0)),"")</f>
        <v/>
      </c>
    </row>
    <row r="672" spans="2:3" x14ac:dyDescent="0.3">
      <c r="B672" t="str">
        <f>IFERROR(IF(A672="","",VLOOKUP(A672,CadProd!$A:$B,2,0)),"")</f>
        <v/>
      </c>
      <c r="C672" t="str">
        <f>IFERROR(IF(A672="","",VLOOKUP(A672,CadProd!$A:$C,3,0)),"")</f>
        <v/>
      </c>
    </row>
    <row r="673" spans="2:3" x14ac:dyDescent="0.3">
      <c r="B673" t="str">
        <f>IFERROR(IF(A673="","",VLOOKUP(A673,CadProd!$A:$B,2,0)),"")</f>
        <v/>
      </c>
      <c r="C673" t="str">
        <f>IFERROR(IF(A673="","",VLOOKUP(A673,CadProd!$A:$C,3,0)),"")</f>
        <v/>
      </c>
    </row>
    <row r="674" spans="2:3" x14ac:dyDescent="0.3">
      <c r="B674" t="str">
        <f>IFERROR(IF(A674="","",VLOOKUP(A674,CadProd!$A:$B,2,0)),"")</f>
        <v/>
      </c>
      <c r="C674" t="str">
        <f>IFERROR(IF(A674="","",VLOOKUP(A674,CadProd!$A:$C,3,0)),"")</f>
        <v/>
      </c>
    </row>
    <row r="675" spans="2:3" x14ac:dyDescent="0.3">
      <c r="B675" t="str">
        <f>IFERROR(IF(A675="","",VLOOKUP(A675,CadProd!$A:$B,2,0)),"")</f>
        <v/>
      </c>
      <c r="C675" t="str">
        <f>IFERROR(IF(A675="","",VLOOKUP(A675,CadProd!$A:$C,3,0)),"")</f>
        <v/>
      </c>
    </row>
    <row r="676" spans="2:3" x14ac:dyDescent="0.3">
      <c r="B676" t="str">
        <f>IFERROR(IF(A676="","",VLOOKUP(A676,CadProd!$A:$B,2,0)),"")</f>
        <v/>
      </c>
      <c r="C676" t="str">
        <f>IFERROR(IF(A676="","",VLOOKUP(A676,CadProd!$A:$C,3,0)),"")</f>
        <v/>
      </c>
    </row>
    <row r="677" spans="2:3" x14ac:dyDescent="0.3">
      <c r="B677" t="str">
        <f>IFERROR(IF(A677="","",VLOOKUP(A677,CadProd!$A:$B,2,0)),"")</f>
        <v/>
      </c>
      <c r="C677" t="str">
        <f>IFERROR(IF(A677="","",VLOOKUP(A677,CadProd!$A:$C,3,0)),"")</f>
        <v/>
      </c>
    </row>
    <row r="678" spans="2:3" x14ac:dyDescent="0.3">
      <c r="B678" t="str">
        <f>IFERROR(IF(A678="","",VLOOKUP(A678,CadProd!$A:$B,2,0)),"")</f>
        <v/>
      </c>
      <c r="C678" t="str">
        <f>IFERROR(IF(A678="","",VLOOKUP(A678,CadProd!$A:$C,3,0)),"")</f>
        <v/>
      </c>
    </row>
    <row r="679" spans="2:3" x14ac:dyDescent="0.3">
      <c r="B679" t="str">
        <f>IFERROR(IF(A679="","",VLOOKUP(A679,CadProd!$A:$B,2,0)),"")</f>
        <v/>
      </c>
      <c r="C679" t="str">
        <f>IFERROR(IF(A679="","",VLOOKUP(A679,CadProd!$A:$C,3,0)),"")</f>
        <v/>
      </c>
    </row>
    <row r="680" spans="2:3" x14ac:dyDescent="0.3">
      <c r="B680" t="str">
        <f>IFERROR(IF(A680="","",VLOOKUP(A680,CadProd!$A:$B,2,0)),"")</f>
        <v/>
      </c>
      <c r="C680" t="str">
        <f>IFERROR(IF(A680="","",VLOOKUP(A680,CadProd!$A:$C,3,0)),"")</f>
        <v/>
      </c>
    </row>
    <row r="681" spans="2:3" x14ac:dyDescent="0.3">
      <c r="B681" t="str">
        <f>IFERROR(IF(A681="","",VLOOKUP(A681,CadProd!$A:$B,2,0)),"")</f>
        <v/>
      </c>
      <c r="C681" t="str">
        <f>IFERROR(IF(A681="","",VLOOKUP(A681,CadProd!$A:$C,3,0)),"")</f>
        <v/>
      </c>
    </row>
    <row r="682" spans="2:3" x14ac:dyDescent="0.3">
      <c r="B682" t="str">
        <f>IFERROR(IF(A682="","",VLOOKUP(A682,CadProd!$A:$B,2,0)),"")</f>
        <v/>
      </c>
      <c r="C682" t="str">
        <f>IFERROR(IF(A682="","",VLOOKUP(A682,CadProd!$A:$C,3,0)),"")</f>
        <v/>
      </c>
    </row>
    <row r="683" spans="2:3" x14ac:dyDescent="0.3">
      <c r="B683" t="str">
        <f>IFERROR(IF(A683="","",VLOOKUP(A683,CadProd!$A:$B,2,0)),"")</f>
        <v/>
      </c>
      <c r="C683" t="str">
        <f>IFERROR(IF(A683="","",VLOOKUP(A683,CadProd!$A:$C,3,0)),"")</f>
        <v/>
      </c>
    </row>
    <row r="684" spans="2:3" x14ac:dyDescent="0.3">
      <c r="B684" t="str">
        <f>IFERROR(IF(A684="","",VLOOKUP(A684,CadProd!$A:$B,2,0)),"")</f>
        <v/>
      </c>
      <c r="C684" t="str">
        <f>IFERROR(IF(A684="","",VLOOKUP(A684,CadProd!$A:$C,3,0)),"")</f>
        <v/>
      </c>
    </row>
    <row r="685" spans="2:3" x14ac:dyDescent="0.3">
      <c r="B685" t="str">
        <f>IFERROR(IF(A685="","",VLOOKUP(A685,CadProd!$A:$B,2,0)),"")</f>
        <v/>
      </c>
      <c r="C685" t="str">
        <f>IFERROR(IF(A685="","",VLOOKUP(A685,CadProd!$A:$C,3,0)),"")</f>
        <v/>
      </c>
    </row>
    <row r="686" spans="2:3" x14ac:dyDescent="0.3">
      <c r="B686" t="str">
        <f>IFERROR(IF(A686="","",VLOOKUP(A686,CadProd!$A:$B,2,0)),"")</f>
        <v/>
      </c>
      <c r="C686" t="str">
        <f>IFERROR(IF(A686="","",VLOOKUP(A686,CadProd!$A:$C,3,0)),"")</f>
        <v/>
      </c>
    </row>
    <row r="687" spans="2:3" x14ac:dyDescent="0.3">
      <c r="B687" t="str">
        <f>IFERROR(IF(A687="","",VLOOKUP(A687,CadProd!$A:$B,2,0)),"")</f>
        <v/>
      </c>
      <c r="C687" t="str">
        <f>IFERROR(IF(A687="","",VLOOKUP(A687,CadProd!$A:$C,3,0)),"")</f>
        <v/>
      </c>
    </row>
    <row r="688" spans="2:3" x14ac:dyDescent="0.3">
      <c r="B688" t="str">
        <f>IFERROR(IF(A688="","",VLOOKUP(A688,CadProd!$A:$B,2,0)),"")</f>
        <v/>
      </c>
      <c r="C688" t="str">
        <f>IFERROR(IF(A688="","",VLOOKUP(A688,CadProd!$A:$C,3,0)),"")</f>
        <v/>
      </c>
    </row>
    <row r="689" spans="2:3" x14ac:dyDescent="0.3">
      <c r="B689" t="str">
        <f>IFERROR(IF(A689="","",VLOOKUP(A689,CadProd!$A:$B,2,0)),"")</f>
        <v/>
      </c>
      <c r="C689" t="str">
        <f>IFERROR(IF(A689="","",VLOOKUP(A689,CadProd!$A:$C,3,0)),"")</f>
        <v/>
      </c>
    </row>
    <row r="690" spans="2:3" x14ac:dyDescent="0.3">
      <c r="B690" t="str">
        <f>IFERROR(IF(A690="","",VLOOKUP(A690,CadProd!$A:$B,2,0)),"")</f>
        <v/>
      </c>
      <c r="C690" t="str">
        <f>IFERROR(IF(A690="","",VLOOKUP(A690,CadProd!$A:$C,3,0)),"")</f>
        <v/>
      </c>
    </row>
    <row r="691" spans="2:3" x14ac:dyDescent="0.3">
      <c r="B691" t="str">
        <f>IFERROR(IF(A691="","",VLOOKUP(A691,CadProd!$A:$B,2,0)),"")</f>
        <v/>
      </c>
      <c r="C691" t="str">
        <f>IFERROR(IF(A691="","",VLOOKUP(A691,CadProd!$A:$C,3,0)),"")</f>
        <v/>
      </c>
    </row>
    <row r="692" spans="2:3" x14ac:dyDescent="0.3">
      <c r="B692" t="str">
        <f>IFERROR(IF(A692="","",VLOOKUP(A692,CadProd!$A:$B,2,0)),"")</f>
        <v/>
      </c>
      <c r="C692" t="str">
        <f>IFERROR(IF(A692="","",VLOOKUP(A692,CadProd!$A:$C,3,0)),"")</f>
        <v/>
      </c>
    </row>
    <row r="693" spans="2:3" x14ac:dyDescent="0.3">
      <c r="B693" t="str">
        <f>IFERROR(IF(A693="","",VLOOKUP(A693,CadProd!$A:$B,2,0)),"")</f>
        <v/>
      </c>
      <c r="C693" t="str">
        <f>IFERROR(IF(A693="","",VLOOKUP(A693,CadProd!$A:$C,3,0)),"")</f>
        <v/>
      </c>
    </row>
    <row r="694" spans="2:3" x14ac:dyDescent="0.3">
      <c r="B694" t="str">
        <f>IFERROR(IF(A694="","",VLOOKUP(A694,CadProd!$A:$B,2,0)),"")</f>
        <v/>
      </c>
      <c r="C694" t="str">
        <f>IFERROR(IF(A694="","",VLOOKUP(A694,CadProd!$A:$C,3,0)),"")</f>
        <v/>
      </c>
    </row>
    <row r="695" spans="2:3" x14ac:dyDescent="0.3">
      <c r="B695" t="str">
        <f>IFERROR(IF(A695="","",VLOOKUP(A695,CadProd!$A:$B,2,0)),"")</f>
        <v/>
      </c>
      <c r="C695" t="str">
        <f>IFERROR(IF(A695="","",VLOOKUP(A695,CadProd!$A:$C,3,0)),"")</f>
        <v/>
      </c>
    </row>
    <row r="696" spans="2:3" x14ac:dyDescent="0.3">
      <c r="B696" t="str">
        <f>IFERROR(IF(A696="","",VLOOKUP(A696,CadProd!$A:$B,2,0)),"")</f>
        <v/>
      </c>
      <c r="C696" t="str">
        <f>IFERROR(IF(A696="","",VLOOKUP(A696,CadProd!$A:$C,3,0)),"")</f>
        <v/>
      </c>
    </row>
    <row r="697" spans="2:3" x14ac:dyDescent="0.3">
      <c r="B697" t="str">
        <f>IFERROR(IF(A697="","",VLOOKUP(A697,CadProd!$A:$B,2,0)),"")</f>
        <v/>
      </c>
      <c r="C697" t="str">
        <f>IFERROR(IF(A697="","",VLOOKUP(A697,CadProd!$A:$C,3,0)),"")</f>
        <v/>
      </c>
    </row>
    <row r="698" spans="2:3" x14ac:dyDescent="0.3">
      <c r="B698" t="str">
        <f>IFERROR(IF(A698="","",VLOOKUP(A698,CadProd!$A:$B,2,0)),"")</f>
        <v/>
      </c>
      <c r="C698" t="str">
        <f>IFERROR(IF(A698="","",VLOOKUP(A698,CadProd!$A:$C,3,0)),"")</f>
        <v/>
      </c>
    </row>
    <row r="699" spans="2:3" x14ac:dyDescent="0.3">
      <c r="B699" t="str">
        <f>IFERROR(IF(A699="","",VLOOKUP(A699,CadProd!$A:$B,2,0)),"")</f>
        <v/>
      </c>
      <c r="C699" t="str">
        <f>IFERROR(IF(A699="","",VLOOKUP(A699,CadProd!$A:$C,3,0)),"")</f>
        <v/>
      </c>
    </row>
    <row r="700" spans="2:3" x14ac:dyDescent="0.3">
      <c r="B700" t="str">
        <f>IFERROR(IF(A700="","",VLOOKUP(A700,CadProd!$A:$B,2,0)),"")</f>
        <v/>
      </c>
      <c r="C700" t="str">
        <f>IFERROR(IF(A700="","",VLOOKUP(A700,CadProd!$A:$C,3,0)),"")</f>
        <v/>
      </c>
    </row>
    <row r="701" spans="2:3" x14ac:dyDescent="0.3">
      <c r="B701" t="str">
        <f>IFERROR(IF(A701="","",VLOOKUP(A701,CadProd!$A:$B,2,0)),"")</f>
        <v/>
      </c>
      <c r="C701" t="str">
        <f>IFERROR(IF(A701="","",VLOOKUP(A701,CadProd!$A:$C,3,0)),"")</f>
        <v/>
      </c>
    </row>
    <row r="702" spans="2:3" x14ac:dyDescent="0.3">
      <c r="B702" t="str">
        <f>IFERROR(IF(A702="","",VLOOKUP(A702,CadProd!$A:$B,2,0)),"")</f>
        <v/>
      </c>
      <c r="C702" t="str">
        <f>IFERROR(IF(A702="","",VLOOKUP(A702,CadProd!$A:$C,3,0)),"")</f>
        <v/>
      </c>
    </row>
    <row r="703" spans="2:3" x14ac:dyDescent="0.3">
      <c r="B703" t="str">
        <f>IFERROR(IF(A703="","",VLOOKUP(A703,CadProd!$A:$B,2,0)),"")</f>
        <v/>
      </c>
      <c r="C703" t="str">
        <f>IFERROR(IF(A703="","",VLOOKUP(A703,CadProd!$A:$C,3,0)),"")</f>
        <v/>
      </c>
    </row>
    <row r="704" spans="2:3" x14ac:dyDescent="0.3">
      <c r="B704" t="str">
        <f>IFERROR(IF(A704="","",VLOOKUP(A704,CadProd!$A:$B,2,0)),"")</f>
        <v/>
      </c>
      <c r="C704" t="str">
        <f>IFERROR(IF(A704="","",VLOOKUP(A704,CadProd!$A:$C,3,0)),"")</f>
        <v/>
      </c>
    </row>
    <row r="705" spans="2:3" x14ac:dyDescent="0.3">
      <c r="B705" t="str">
        <f>IFERROR(IF(A705="","",VLOOKUP(A705,CadProd!$A:$B,2,0)),"")</f>
        <v/>
      </c>
      <c r="C705" t="str">
        <f>IFERROR(IF(A705="","",VLOOKUP(A705,CadProd!$A:$C,3,0)),"")</f>
        <v/>
      </c>
    </row>
    <row r="706" spans="2:3" x14ac:dyDescent="0.3">
      <c r="B706" t="str">
        <f>IFERROR(IF(A706="","",VLOOKUP(A706,CadProd!$A:$B,2,0)),"")</f>
        <v/>
      </c>
      <c r="C706" t="str">
        <f>IFERROR(IF(A706="","",VLOOKUP(A706,CadProd!$A:$C,3,0)),"")</f>
        <v/>
      </c>
    </row>
    <row r="707" spans="2:3" x14ac:dyDescent="0.3">
      <c r="B707" t="str">
        <f>IFERROR(IF(A707="","",VLOOKUP(A707,CadProd!$A:$B,2,0)),"")</f>
        <v/>
      </c>
      <c r="C707" t="str">
        <f>IFERROR(IF(A707="","",VLOOKUP(A707,CadProd!$A:$C,3,0)),"")</f>
        <v/>
      </c>
    </row>
    <row r="708" spans="2:3" x14ac:dyDescent="0.3">
      <c r="B708" t="str">
        <f>IFERROR(IF(A708="","",VLOOKUP(A708,CadProd!$A:$B,2,0)),"")</f>
        <v/>
      </c>
      <c r="C708" t="str">
        <f>IFERROR(IF(A708="","",VLOOKUP(A708,CadProd!$A:$C,3,0)),"")</f>
        <v/>
      </c>
    </row>
    <row r="709" spans="2:3" x14ac:dyDescent="0.3">
      <c r="B709" t="str">
        <f>IFERROR(IF(A709="","",VLOOKUP(A709,CadProd!$A:$B,2,0)),"")</f>
        <v/>
      </c>
      <c r="C709" t="str">
        <f>IFERROR(IF(A709="","",VLOOKUP(A709,CadProd!$A:$C,3,0)),"")</f>
        <v/>
      </c>
    </row>
    <row r="710" spans="2:3" x14ac:dyDescent="0.3">
      <c r="B710" t="str">
        <f>IFERROR(IF(A710="","",VLOOKUP(A710,CadProd!$A:$B,2,0)),"")</f>
        <v/>
      </c>
      <c r="C710" t="str">
        <f>IFERROR(IF(A710="","",VLOOKUP(A710,CadProd!$A:$C,3,0)),"")</f>
        <v/>
      </c>
    </row>
    <row r="711" spans="2:3" x14ac:dyDescent="0.3">
      <c r="B711" t="str">
        <f>IFERROR(IF(A711="","",VLOOKUP(A711,CadProd!$A:$B,2,0)),"")</f>
        <v/>
      </c>
      <c r="C711" t="str">
        <f>IFERROR(IF(A711="","",VLOOKUP(A711,CadProd!$A:$C,3,0)),"")</f>
        <v/>
      </c>
    </row>
    <row r="712" spans="2:3" x14ac:dyDescent="0.3">
      <c r="B712" t="str">
        <f>IFERROR(IF(A712="","",VLOOKUP(A712,CadProd!$A:$B,2,0)),"")</f>
        <v/>
      </c>
      <c r="C712" t="str">
        <f>IFERROR(IF(A712="","",VLOOKUP(A712,CadProd!$A:$C,3,0)),"")</f>
        <v/>
      </c>
    </row>
    <row r="713" spans="2:3" x14ac:dyDescent="0.3">
      <c r="B713" t="str">
        <f>IFERROR(IF(A713="","",VLOOKUP(A713,CadProd!$A:$B,2,0)),"")</f>
        <v/>
      </c>
      <c r="C713" t="str">
        <f>IFERROR(IF(A713="","",VLOOKUP(A713,CadProd!$A:$C,3,0)),"")</f>
        <v/>
      </c>
    </row>
    <row r="714" spans="2:3" x14ac:dyDescent="0.3">
      <c r="B714" t="str">
        <f>IFERROR(IF(A714="","",VLOOKUP(A714,CadProd!$A:$B,2,0)),"")</f>
        <v/>
      </c>
      <c r="C714" t="str">
        <f>IFERROR(IF(A714="","",VLOOKUP(A714,CadProd!$A:$C,3,0)),"")</f>
        <v/>
      </c>
    </row>
    <row r="715" spans="2:3" x14ac:dyDescent="0.3">
      <c r="B715" t="str">
        <f>IFERROR(IF(A715="","",VLOOKUP(A715,CadProd!$A:$B,2,0)),"")</f>
        <v/>
      </c>
      <c r="C715" t="str">
        <f>IFERROR(IF(A715="","",VLOOKUP(A715,CadProd!$A:$C,3,0)),"")</f>
        <v/>
      </c>
    </row>
    <row r="716" spans="2:3" x14ac:dyDescent="0.3">
      <c r="B716" t="str">
        <f>IFERROR(IF(A716="","",VLOOKUP(A716,CadProd!$A:$B,2,0)),"")</f>
        <v/>
      </c>
      <c r="C716" t="str">
        <f>IFERROR(IF(A716="","",VLOOKUP(A716,CadProd!$A:$C,3,0)),"")</f>
        <v/>
      </c>
    </row>
    <row r="717" spans="2:3" x14ac:dyDescent="0.3">
      <c r="B717" t="str">
        <f>IFERROR(IF(A717="","",VLOOKUP(A717,CadProd!$A:$B,2,0)),"")</f>
        <v/>
      </c>
      <c r="C717" t="str">
        <f>IFERROR(IF(A717="","",VLOOKUP(A717,CadProd!$A:$C,3,0)),"")</f>
        <v/>
      </c>
    </row>
    <row r="718" spans="2:3" x14ac:dyDescent="0.3">
      <c r="B718" t="str">
        <f>IFERROR(IF(A718="","",VLOOKUP(A718,CadProd!$A:$B,2,0)),"")</f>
        <v/>
      </c>
      <c r="C718" t="str">
        <f>IFERROR(IF(A718="","",VLOOKUP(A718,CadProd!$A:$C,3,0)),"")</f>
        <v/>
      </c>
    </row>
    <row r="719" spans="2:3" x14ac:dyDescent="0.3">
      <c r="B719" t="str">
        <f>IFERROR(IF(A719="","",VLOOKUP(A719,CadProd!$A:$B,2,0)),"")</f>
        <v/>
      </c>
      <c r="C719" t="str">
        <f>IFERROR(IF(A719="","",VLOOKUP(A719,CadProd!$A:$C,3,0)),"")</f>
        <v/>
      </c>
    </row>
    <row r="720" spans="2:3" x14ac:dyDescent="0.3">
      <c r="B720" t="str">
        <f>IFERROR(IF(A720="","",VLOOKUP(A720,CadProd!$A:$B,2,0)),"")</f>
        <v/>
      </c>
      <c r="C720" t="str">
        <f>IFERROR(IF(A720="","",VLOOKUP(A720,CadProd!$A:$C,3,0)),"")</f>
        <v/>
      </c>
    </row>
    <row r="721" spans="2:3" x14ac:dyDescent="0.3">
      <c r="B721" t="str">
        <f>IFERROR(IF(A721="","",VLOOKUP(A721,CadProd!$A:$B,2,0)),"")</f>
        <v/>
      </c>
      <c r="C721" t="str">
        <f>IFERROR(IF(A721="","",VLOOKUP(A721,CadProd!$A:$C,3,0)),"")</f>
        <v/>
      </c>
    </row>
    <row r="722" spans="2:3" x14ac:dyDescent="0.3">
      <c r="B722" t="str">
        <f>IFERROR(IF(A722="","",VLOOKUP(A722,CadProd!$A:$B,2,0)),"")</f>
        <v/>
      </c>
      <c r="C722" t="str">
        <f>IFERROR(IF(A722="","",VLOOKUP(A722,CadProd!$A:$C,3,0)),"")</f>
        <v/>
      </c>
    </row>
    <row r="723" spans="2:3" x14ac:dyDescent="0.3">
      <c r="B723" t="str">
        <f>IFERROR(IF(A723="","",VLOOKUP(A723,CadProd!$A:$B,2,0)),"")</f>
        <v/>
      </c>
      <c r="C723" t="str">
        <f>IFERROR(IF(A723="","",VLOOKUP(A723,CadProd!$A:$C,3,0)),"")</f>
        <v/>
      </c>
    </row>
    <row r="724" spans="2:3" x14ac:dyDescent="0.3">
      <c r="B724" t="str">
        <f>IFERROR(IF(A724="","",VLOOKUP(A724,CadProd!$A:$B,2,0)),"")</f>
        <v/>
      </c>
      <c r="C724" t="str">
        <f>IFERROR(IF(A724="","",VLOOKUP(A724,CadProd!$A:$C,3,0)),"")</f>
        <v/>
      </c>
    </row>
    <row r="725" spans="2:3" x14ac:dyDescent="0.3">
      <c r="B725" t="str">
        <f>IFERROR(IF(A725="","",VLOOKUP(A725,CadProd!$A:$B,2,0)),"")</f>
        <v/>
      </c>
      <c r="C725" t="str">
        <f>IFERROR(IF(A725="","",VLOOKUP(A725,CadProd!$A:$C,3,0)),"")</f>
        <v/>
      </c>
    </row>
    <row r="726" spans="2:3" x14ac:dyDescent="0.3">
      <c r="B726" t="str">
        <f>IFERROR(IF(A726="","",VLOOKUP(A726,CadProd!$A:$B,2,0)),"")</f>
        <v/>
      </c>
      <c r="C726" t="str">
        <f>IFERROR(IF(A726="","",VLOOKUP(A726,CadProd!$A:$C,3,0)),"")</f>
        <v/>
      </c>
    </row>
    <row r="727" spans="2:3" x14ac:dyDescent="0.3">
      <c r="B727" t="str">
        <f>IFERROR(IF(A727="","",VLOOKUP(A727,CadProd!$A:$B,2,0)),"")</f>
        <v/>
      </c>
      <c r="C727" t="str">
        <f>IFERROR(IF(A727="","",VLOOKUP(A727,CadProd!$A:$C,3,0)),"")</f>
        <v/>
      </c>
    </row>
    <row r="728" spans="2:3" x14ac:dyDescent="0.3">
      <c r="B728" t="str">
        <f>IFERROR(IF(A728="","",VLOOKUP(A728,CadProd!$A:$B,2,0)),"")</f>
        <v/>
      </c>
      <c r="C728" t="str">
        <f>IFERROR(IF(A728="","",VLOOKUP(A728,CadProd!$A:$C,3,0)),"")</f>
        <v/>
      </c>
    </row>
    <row r="729" spans="2:3" x14ac:dyDescent="0.3">
      <c r="B729" t="str">
        <f>IFERROR(IF(A729="","",VLOOKUP(A729,CadProd!$A:$B,2,0)),"")</f>
        <v/>
      </c>
      <c r="C729" t="str">
        <f>IFERROR(IF(A729="","",VLOOKUP(A729,CadProd!$A:$C,3,0)),"")</f>
        <v/>
      </c>
    </row>
    <row r="730" spans="2:3" x14ac:dyDescent="0.3">
      <c r="B730" t="str">
        <f>IFERROR(IF(A730="","",VLOOKUP(A730,CadProd!$A:$B,2,0)),"")</f>
        <v/>
      </c>
      <c r="C730" t="str">
        <f>IFERROR(IF(A730="","",VLOOKUP(A730,CadProd!$A:$C,3,0)),"")</f>
        <v/>
      </c>
    </row>
    <row r="731" spans="2:3" x14ac:dyDescent="0.3">
      <c r="B731" t="str">
        <f>IFERROR(IF(A731="","",VLOOKUP(A731,CadProd!$A:$B,2,0)),"")</f>
        <v/>
      </c>
      <c r="C731" t="str">
        <f>IFERROR(IF(A731="","",VLOOKUP(A731,CadProd!$A:$C,3,0)),"")</f>
        <v/>
      </c>
    </row>
    <row r="732" spans="2:3" x14ac:dyDescent="0.3">
      <c r="B732" t="str">
        <f>IFERROR(IF(A732="","",VLOOKUP(A732,CadProd!$A:$B,2,0)),"")</f>
        <v/>
      </c>
      <c r="C732" t="str">
        <f>IFERROR(IF(A732="","",VLOOKUP(A732,CadProd!$A:$C,3,0)),"")</f>
        <v/>
      </c>
    </row>
    <row r="733" spans="2:3" x14ac:dyDescent="0.3">
      <c r="B733" t="str">
        <f>IFERROR(IF(A733="","",VLOOKUP(A733,CadProd!$A:$B,2,0)),"")</f>
        <v/>
      </c>
      <c r="C733" t="str">
        <f>IFERROR(IF(A733="","",VLOOKUP(A733,CadProd!$A:$C,3,0)),"")</f>
        <v/>
      </c>
    </row>
    <row r="734" spans="2:3" x14ac:dyDescent="0.3">
      <c r="B734" t="str">
        <f>IFERROR(IF(A734="","",VLOOKUP(A734,CadProd!$A:$B,2,0)),"")</f>
        <v/>
      </c>
      <c r="C734" t="str">
        <f>IFERROR(IF(A734="","",VLOOKUP(A734,CadProd!$A:$C,3,0)),"")</f>
        <v/>
      </c>
    </row>
    <row r="735" spans="2:3" x14ac:dyDescent="0.3">
      <c r="B735" t="str">
        <f>IFERROR(IF(A735="","",VLOOKUP(A735,CadProd!$A:$B,2,0)),"")</f>
        <v/>
      </c>
      <c r="C735" t="str">
        <f>IFERROR(IF(A735="","",VLOOKUP(A735,CadProd!$A:$C,3,0)),"")</f>
        <v/>
      </c>
    </row>
    <row r="736" spans="2:3" x14ac:dyDescent="0.3">
      <c r="B736" t="str">
        <f>IFERROR(IF(A736="","",VLOOKUP(A736,CadProd!$A:$B,2,0)),"")</f>
        <v/>
      </c>
      <c r="C736" t="str">
        <f>IFERROR(IF(A736="","",VLOOKUP(A736,CadProd!$A:$C,3,0)),"")</f>
        <v/>
      </c>
    </row>
    <row r="737" spans="2:3" x14ac:dyDescent="0.3">
      <c r="B737" t="str">
        <f>IFERROR(IF(A737="","",VLOOKUP(A737,CadProd!$A:$B,2,0)),"")</f>
        <v/>
      </c>
      <c r="C737" t="str">
        <f>IFERROR(IF(A737="","",VLOOKUP(A737,CadProd!$A:$C,3,0)),"")</f>
        <v/>
      </c>
    </row>
    <row r="738" spans="2:3" x14ac:dyDescent="0.3">
      <c r="B738" t="str">
        <f>IFERROR(IF(A738="","",VLOOKUP(A738,CadProd!$A:$B,2,0)),"")</f>
        <v/>
      </c>
      <c r="C738" t="str">
        <f>IFERROR(IF(A738="","",VLOOKUP(A738,CadProd!$A:$C,3,0)),"")</f>
        <v/>
      </c>
    </row>
    <row r="739" spans="2:3" x14ac:dyDescent="0.3">
      <c r="B739" t="str">
        <f>IFERROR(IF(A739="","",VLOOKUP(A739,CadProd!$A:$B,2,0)),"")</f>
        <v/>
      </c>
      <c r="C739" t="str">
        <f>IFERROR(IF(A739="","",VLOOKUP(A739,CadProd!$A:$C,3,0)),"")</f>
        <v/>
      </c>
    </row>
    <row r="740" spans="2:3" x14ac:dyDescent="0.3">
      <c r="B740" t="str">
        <f>IFERROR(IF(A740="","",VLOOKUP(A740,CadProd!$A:$B,2,0)),"")</f>
        <v/>
      </c>
      <c r="C740" t="str">
        <f>IFERROR(IF(A740="","",VLOOKUP(A740,CadProd!$A:$C,3,0)),"")</f>
        <v/>
      </c>
    </row>
    <row r="741" spans="2:3" x14ac:dyDescent="0.3">
      <c r="B741" t="str">
        <f>IFERROR(IF(A741="","",VLOOKUP(A741,CadProd!$A:$B,2,0)),"")</f>
        <v/>
      </c>
      <c r="C741" t="str">
        <f>IFERROR(IF(A741="","",VLOOKUP(A741,CadProd!$A:$C,3,0)),"")</f>
        <v/>
      </c>
    </row>
    <row r="742" spans="2:3" x14ac:dyDescent="0.3">
      <c r="B742" t="str">
        <f>IFERROR(IF(A742="","",VLOOKUP(A742,CadProd!$A:$B,2,0)),"")</f>
        <v/>
      </c>
      <c r="C742" t="str">
        <f>IFERROR(IF(A742="","",VLOOKUP(A742,CadProd!$A:$C,3,0)),"")</f>
        <v/>
      </c>
    </row>
    <row r="743" spans="2:3" x14ac:dyDescent="0.3">
      <c r="B743" t="str">
        <f>IFERROR(IF(A743="","",VLOOKUP(A743,CadProd!$A:$B,2,0)),"")</f>
        <v/>
      </c>
      <c r="C743" t="str">
        <f>IFERROR(IF(A743="","",VLOOKUP(A743,CadProd!$A:$C,3,0)),"")</f>
        <v/>
      </c>
    </row>
    <row r="744" spans="2:3" x14ac:dyDescent="0.3">
      <c r="B744" t="str">
        <f>IFERROR(IF(A744="","",VLOOKUP(A744,CadProd!$A:$B,2,0)),"")</f>
        <v/>
      </c>
      <c r="C744" t="str">
        <f>IFERROR(IF(A744="","",VLOOKUP(A744,CadProd!$A:$C,3,0)),"")</f>
        <v/>
      </c>
    </row>
    <row r="745" spans="2:3" x14ac:dyDescent="0.3">
      <c r="B745" t="str">
        <f>IFERROR(IF(A745="","",VLOOKUP(A745,CadProd!$A:$B,2,0)),"")</f>
        <v/>
      </c>
      <c r="C745" t="str">
        <f>IFERROR(IF(A745="","",VLOOKUP(A745,CadProd!$A:$C,3,0)),"")</f>
        <v/>
      </c>
    </row>
    <row r="746" spans="2:3" x14ac:dyDescent="0.3">
      <c r="B746" t="str">
        <f>IFERROR(IF(A746="","",VLOOKUP(A746,CadProd!$A:$B,2,0)),"")</f>
        <v/>
      </c>
      <c r="C746" t="str">
        <f>IFERROR(IF(A746="","",VLOOKUP(A746,CadProd!$A:$C,3,0)),"")</f>
        <v/>
      </c>
    </row>
    <row r="747" spans="2:3" x14ac:dyDescent="0.3">
      <c r="B747" t="str">
        <f>IFERROR(IF(A747="","",VLOOKUP(A747,CadProd!$A:$B,2,0)),"")</f>
        <v/>
      </c>
      <c r="C747" t="str">
        <f>IFERROR(IF(A747="","",VLOOKUP(A747,CadProd!$A:$C,3,0)),"")</f>
        <v/>
      </c>
    </row>
    <row r="748" spans="2:3" x14ac:dyDescent="0.3">
      <c r="B748" t="str">
        <f>IFERROR(IF(A748="","",VLOOKUP(A748,CadProd!$A:$B,2,0)),"")</f>
        <v/>
      </c>
      <c r="C748" t="str">
        <f>IFERROR(IF(A748="","",VLOOKUP(A748,CadProd!$A:$C,3,0)),"")</f>
        <v/>
      </c>
    </row>
    <row r="749" spans="2:3" x14ac:dyDescent="0.3">
      <c r="B749" t="str">
        <f>IFERROR(IF(A749="","",VLOOKUP(A749,CadProd!$A:$B,2,0)),"")</f>
        <v/>
      </c>
      <c r="C749" t="str">
        <f>IFERROR(IF(A749="","",VLOOKUP(A749,CadProd!$A:$C,3,0)),"")</f>
        <v/>
      </c>
    </row>
    <row r="750" spans="2:3" x14ac:dyDescent="0.3">
      <c r="B750" t="str">
        <f>IFERROR(IF(A750="","",VLOOKUP(A750,CadProd!$A:$B,2,0)),"")</f>
        <v/>
      </c>
      <c r="C750" t="str">
        <f>IFERROR(IF(A750="","",VLOOKUP(A750,CadProd!$A:$C,3,0)),"")</f>
        <v/>
      </c>
    </row>
    <row r="751" spans="2:3" x14ac:dyDescent="0.3">
      <c r="B751" t="str">
        <f>IFERROR(IF(A751="","",VLOOKUP(A751,CadProd!$A:$B,2,0)),"")</f>
        <v/>
      </c>
      <c r="C751" t="str">
        <f>IFERROR(IF(A751="","",VLOOKUP(A751,CadProd!$A:$C,3,0)),"")</f>
        <v/>
      </c>
    </row>
    <row r="752" spans="2:3" x14ac:dyDescent="0.3">
      <c r="B752" t="str">
        <f>IFERROR(IF(A752="","",VLOOKUP(A752,CadProd!$A:$B,2,0)),"")</f>
        <v/>
      </c>
      <c r="C752" t="str">
        <f>IFERROR(IF(A752="","",VLOOKUP(A752,CadProd!$A:$C,3,0)),"")</f>
        <v/>
      </c>
    </row>
    <row r="753" spans="2:3" x14ac:dyDescent="0.3">
      <c r="B753" t="str">
        <f>IFERROR(IF(A753="","",VLOOKUP(A753,CadProd!$A:$B,2,0)),"")</f>
        <v/>
      </c>
      <c r="C753" t="str">
        <f>IFERROR(IF(A753="","",VLOOKUP(A753,CadProd!$A:$C,3,0)),"")</f>
        <v/>
      </c>
    </row>
    <row r="754" spans="2:3" x14ac:dyDescent="0.3">
      <c r="B754" t="str">
        <f>IFERROR(IF(A754="","",VLOOKUP(A754,CadProd!$A:$B,2,0)),"")</f>
        <v/>
      </c>
      <c r="C754" t="str">
        <f>IFERROR(IF(A754="","",VLOOKUP(A754,CadProd!$A:$C,3,0)),"")</f>
        <v/>
      </c>
    </row>
    <row r="755" spans="2:3" x14ac:dyDescent="0.3">
      <c r="B755" t="str">
        <f>IFERROR(IF(A755="","",VLOOKUP(A755,CadProd!$A:$B,2,0)),"")</f>
        <v/>
      </c>
      <c r="C755" t="str">
        <f>IFERROR(IF(A755="","",VLOOKUP(A755,CadProd!$A:$C,3,0)),"")</f>
        <v/>
      </c>
    </row>
    <row r="756" spans="2:3" x14ac:dyDescent="0.3">
      <c r="B756" t="str">
        <f>IFERROR(IF(A756="","",VLOOKUP(A756,CadProd!$A:$B,2,0)),"")</f>
        <v/>
      </c>
      <c r="C756" t="str">
        <f>IFERROR(IF(A756="","",VLOOKUP(A756,CadProd!$A:$C,3,0)),"")</f>
        <v/>
      </c>
    </row>
    <row r="757" spans="2:3" x14ac:dyDescent="0.3">
      <c r="B757" t="str">
        <f>IFERROR(IF(A757="","",VLOOKUP(A757,CadProd!$A:$B,2,0)),"")</f>
        <v/>
      </c>
      <c r="C757" t="str">
        <f>IFERROR(IF(A757="","",VLOOKUP(A757,CadProd!$A:$C,3,0)),"")</f>
        <v/>
      </c>
    </row>
    <row r="758" spans="2:3" x14ac:dyDescent="0.3">
      <c r="B758" t="str">
        <f>IFERROR(IF(A758="","",VLOOKUP(A758,CadProd!$A:$B,2,0)),"")</f>
        <v/>
      </c>
      <c r="C758" t="str">
        <f>IFERROR(IF(A758="","",VLOOKUP(A758,CadProd!$A:$C,3,0)),"")</f>
        <v/>
      </c>
    </row>
    <row r="759" spans="2:3" x14ac:dyDescent="0.3">
      <c r="B759" t="str">
        <f>IFERROR(IF(A759="","",VLOOKUP(A759,CadProd!$A:$B,2,0)),"")</f>
        <v/>
      </c>
      <c r="C759" t="str">
        <f>IFERROR(IF(A759="","",VLOOKUP(A759,CadProd!$A:$C,3,0)),"")</f>
        <v/>
      </c>
    </row>
    <row r="760" spans="2:3" x14ac:dyDescent="0.3">
      <c r="B760" t="str">
        <f>IFERROR(IF(A760="","",VLOOKUP(A760,CadProd!$A:$B,2,0)),"")</f>
        <v/>
      </c>
      <c r="C760" t="str">
        <f>IFERROR(IF(A760="","",VLOOKUP(A760,CadProd!$A:$C,3,0)),"")</f>
        <v/>
      </c>
    </row>
    <row r="761" spans="2:3" x14ac:dyDescent="0.3">
      <c r="B761" t="str">
        <f>IFERROR(IF(A761="","",VLOOKUP(A761,CadProd!$A:$B,2,0)),"")</f>
        <v/>
      </c>
      <c r="C761" t="str">
        <f>IFERROR(IF(A761="","",VLOOKUP(A761,CadProd!$A:$C,3,0)),"")</f>
        <v/>
      </c>
    </row>
    <row r="762" spans="2:3" x14ac:dyDescent="0.3">
      <c r="B762" t="str">
        <f>IFERROR(IF(A762="","",VLOOKUP(A762,CadProd!$A:$B,2,0)),"")</f>
        <v/>
      </c>
      <c r="C762" t="str">
        <f>IFERROR(IF(A762="","",VLOOKUP(A762,CadProd!$A:$C,3,0)),"")</f>
        <v/>
      </c>
    </row>
    <row r="763" spans="2:3" x14ac:dyDescent="0.3">
      <c r="B763" t="str">
        <f>IFERROR(IF(A763="","",VLOOKUP(A763,CadProd!$A:$B,2,0)),"")</f>
        <v/>
      </c>
      <c r="C763" t="str">
        <f>IFERROR(IF(A763="","",VLOOKUP(A763,CadProd!$A:$C,3,0)),"")</f>
        <v/>
      </c>
    </row>
    <row r="764" spans="2:3" x14ac:dyDescent="0.3">
      <c r="B764" t="str">
        <f>IFERROR(IF(A764="","",VLOOKUP(A764,CadProd!$A:$B,2,0)),"")</f>
        <v/>
      </c>
      <c r="C764" t="str">
        <f>IFERROR(IF(A764="","",VLOOKUP(A764,CadProd!$A:$C,3,0)),"")</f>
        <v/>
      </c>
    </row>
    <row r="765" spans="2:3" x14ac:dyDescent="0.3">
      <c r="B765" t="str">
        <f>IFERROR(IF(A765="","",VLOOKUP(A765,CadProd!$A:$B,2,0)),"")</f>
        <v/>
      </c>
      <c r="C765" t="str">
        <f>IFERROR(IF(A765="","",VLOOKUP(A765,CadProd!$A:$C,3,0)),"")</f>
        <v/>
      </c>
    </row>
    <row r="766" spans="2:3" x14ac:dyDescent="0.3">
      <c r="B766" t="str">
        <f>IFERROR(IF(A766="","",VLOOKUP(A766,CadProd!$A:$B,2,0)),"")</f>
        <v/>
      </c>
      <c r="C766" t="str">
        <f>IFERROR(IF(A766="","",VLOOKUP(A766,CadProd!$A:$C,3,0)),"")</f>
        <v/>
      </c>
    </row>
    <row r="767" spans="2:3" x14ac:dyDescent="0.3">
      <c r="B767" t="str">
        <f>IFERROR(IF(A767="","",VLOOKUP(A767,CadProd!$A:$B,2,0)),"")</f>
        <v/>
      </c>
      <c r="C767" t="str">
        <f>IFERROR(IF(A767="","",VLOOKUP(A767,CadProd!$A:$C,3,0)),"")</f>
        <v/>
      </c>
    </row>
    <row r="768" spans="2:3" x14ac:dyDescent="0.3">
      <c r="B768" t="str">
        <f>IFERROR(IF(A768="","",VLOOKUP(A768,CadProd!$A:$B,2,0)),"")</f>
        <v/>
      </c>
      <c r="C768" t="str">
        <f>IFERROR(IF(A768="","",VLOOKUP(A768,CadProd!$A:$C,3,0)),"")</f>
        <v/>
      </c>
    </row>
    <row r="769" spans="2:3" x14ac:dyDescent="0.3">
      <c r="B769" t="str">
        <f>IFERROR(IF(A769="","",VLOOKUP(A769,CadProd!$A:$B,2,0)),"")</f>
        <v/>
      </c>
      <c r="C769" t="str">
        <f>IFERROR(IF(A769="","",VLOOKUP(A769,CadProd!$A:$C,3,0)),"")</f>
        <v/>
      </c>
    </row>
    <row r="770" spans="2:3" x14ac:dyDescent="0.3">
      <c r="B770" t="str">
        <f>IFERROR(IF(A770="","",VLOOKUP(A770,CadProd!$A:$B,2,0)),"")</f>
        <v/>
      </c>
      <c r="C770" t="str">
        <f>IFERROR(IF(A770="","",VLOOKUP(A770,CadProd!$A:$C,3,0)),"")</f>
        <v/>
      </c>
    </row>
    <row r="771" spans="2:3" x14ac:dyDescent="0.3">
      <c r="B771" t="str">
        <f>IFERROR(IF(A771="","",VLOOKUP(A771,CadProd!$A:$B,2,0)),"")</f>
        <v/>
      </c>
      <c r="C771" t="str">
        <f>IFERROR(IF(A771="","",VLOOKUP(A771,CadProd!$A:$C,3,0)),"")</f>
        <v/>
      </c>
    </row>
    <row r="772" spans="2:3" x14ac:dyDescent="0.3">
      <c r="B772" t="str">
        <f>IFERROR(IF(A772="","",VLOOKUP(A772,CadProd!$A:$B,2,0)),"")</f>
        <v/>
      </c>
      <c r="C772" t="str">
        <f>IFERROR(IF(A772="","",VLOOKUP(A772,CadProd!$A:$C,3,0)),"")</f>
        <v/>
      </c>
    </row>
    <row r="773" spans="2:3" x14ac:dyDescent="0.3">
      <c r="B773" t="str">
        <f>IFERROR(IF(A773="","",VLOOKUP(A773,CadProd!$A:$B,2,0)),"")</f>
        <v/>
      </c>
      <c r="C773" t="str">
        <f>IFERROR(IF(A773="","",VLOOKUP(A773,CadProd!$A:$C,3,0)),"")</f>
        <v/>
      </c>
    </row>
    <row r="774" spans="2:3" x14ac:dyDescent="0.3">
      <c r="B774" t="str">
        <f>IFERROR(IF(A774="","",VLOOKUP(A774,CadProd!$A:$B,2,0)),"")</f>
        <v/>
      </c>
      <c r="C774" t="str">
        <f>IFERROR(IF(A774="","",VLOOKUP(A774,CadProd!$A:$C,3,0)),"")</f>
        <v/>
      </c>
    </row>
    <row r="775" spans="2:3" x14ac:dyDescent="0.3">
      <c r="B775" t="str">
        <f>IFERROR(IF(A775="","",VLOOKUP(A775,CadProd!$A:$B,2,0)),"")</f>
        <v/>
      </c>
      <c r="C775" t="str">
        <f>IFERROR(IF(A775="","",VLOOKUP(A775,CadProd!$A:$C,3,0)),"")</f>
        <v/>
      </c>
    </row>
    <row r="776" spans="2:3" x14ac:dyDescent="0.3">
      <c r="B776" t="str">
        <f>IFERROR(IF(A776="","",VLOOKUP(A776,CadProd!$A:$B,2,0)),"")</f>
        <v/>
      </c>
      <c r="C776" t="str">
        <f>IFERROR(IF(A776="","",VLOOKUP(A776,CadProd!$A:$C,3,0)),"")</f>
        <v/>
      </c>
    </row>
    <row r="777" spans="2:3" x14ac:dyDescent="0.3">
      <c r="B777" t="str">
        <f>IFERROR(IF(A777="","",VLOOKUP(A777,CadProd!$A:$B,2,0)),"")</f>
        <v/>
      </c>
      <c r="C777" t="str">
        <f>IFERROR(IF(A777="","",VLOOKUP(A777,CadProd!$A:$C,3,0)),"")</f>
        <v/>
      </c>
    </row>
    <row r="778" spans="2:3" x14ac:dyDescent="0.3">
      <c r="B778" t="str">
        <f>IFERROR(IF(A778="","",VLOOKUP(A778,CadProd!$A:$B,2,0)),"")</f>
        <v/>
      </c>
      <c r="C778" t="str">
        <f>IFERROR(IF(A778="","",VLOOKUP(A778,CadProd!$A:$C,3,0)),"")</f>
        <v/>
      </c>
    </row>
    <row r="779" spans="2:3" x14ac:dyDescent="0.3">
      <c r="B779" t="str">
        <f>IFERROR(IF(A779="","",VLOOKUP(A779,CadProd!$A:$B,2,0)),"")</f>
        <v/>
      </c>
      <c r="C779" t="str">
        <f>IFERROR(IF(A779="","",VLOOKUP(A779,CadProd!$A:$C,3,0)),"")</f>
        <v/>
      </c>
    </row>
    <row r="780" spans="2:3" x14ac:dyDescent="0.3">
      <c r="B780" t="str">
        <f>IFERROR(IF(A780="","",VLOOKUP(A780,CadProd!$A:$B,2,0)),"")</f>
        <v/>
      </c>
      <c r="C780" t="str">
        <f>IFERROR(IF(A780="","",VLOOKUP(A780,CadProd!$A:$C,3,0)),"")</f>
        <v/>
      </c>
    </row>
    <row r="781" spans="2:3" x14ac:dyDescent="0.3">
      <c r="B781" t="str">
        <f>IFERROR(IF(A781="","",VLOOKUP(A781,CadProd!$A:$B,2,0)),"")</f>
        <v/>
      </c>
      <c r="C781" t="str">
        <f>IFERROR(IF(A781="","",VLOOKUP(A781,CadProd!$A:$C,3,0)),"")</f>
        <v/>
      </c>
    </row>
    <row r="782" spans="2:3" x14ac:dyDescent="0.3">
      <c r="B782" t="str">
        <f>IFERROR(IF(A782="","",VLOOKUP(A782,CadProd!$A:$B,2,0)),"")</f>
        <v/>
      </c>
      <c r="C782" t="str">
        <f>IFERROR(IF(A782="","",VLOOKUP(A782,CadProd!$A:$C,3,0)),"")</f>
        <v/>
      </c>
    </row>
    <row r="783" spans="2:3" x14ac:dyDescent="0.3">
      <c r="B783" t="str">
        <f>IFERROR(IF(A783="","",VLOOKUP(A783,CadProd!$A:$B,2,0)),"")</f>
        <v/>
      </c>
      <c r="C783" t="str">
        <f>IFERROR(IF(A783="","",VLOOKUP(A783,CadProd!$A:$C,3,0)),"")</f>
        <v/>
      </c>
    </row>
    <row r="784" spans="2:3" x14ac:dyDescent="0.3">
      <c r="B784" t="str">
        <f>IFERROR(IF(A784="","",VLOOKUP(A784,CadProd!$A:$B,2,0)),"")</f>
        <v/>
      </c>
      <c r="C784" t="str">
        <f>IFERROR(IF(A784="","",VLOOKUP(A784,CadProd!$A:$C,3,0)),"")</f>
        <v/>
      </c>
    </row>
    <row r="785" spans="2:3" x14ac:dyDescent="0.3">
      <c r="B785" t="str">
        <f>IFERROR(IF(A785="","",VLOOKUP(A785,CadProd!$A:$B,2,0)),"")</f>
        <v/>
      </c>
      <c r="C785" t="str">
        <f>IFERROR(IF(A785="","",VLOOKUP(A785,CadProd!$A:$C,3,0)),"")</f>
        <v/>
      </c>
    </row>
    <row r="786" spans="2:3" x14ac:dyDescent="0.3">
      <c r="B786" t="str">
        <f>IFERROR(IF(A786="","",VLOOKUP(A786,CadProd!$A:$B,2,0)),"")</f>
        <v/>
      </c>
      <c r="C786" t="str">
        <f>IFERROR(IF(A786="","",VLOOKUP(A786,CadProd!$A:$C,3,0)),"")</f>
        <v/>
      </c>
    </row>
    <row r="787" spans="2:3" x14ac:dyDescent="0.3">
      <c r="B787" t="str">
        <f>IFERROR(IF(A787="","",VLOOKUP(A787,CadProd!$A:$B,2,0)),"")</f>
        <v/>
      </c>
      <c r="C787" t="str">
        <f>IFERROR(IF(A787="","",VLOOKUP(A787,CadProd!$A:$C,3,0)),"")</f>
        <v/>
      </c>
    </row>
    <row r="788" spans="2:3" x14ac:dyDescent="0.3">
      <c r="B788" t="str">
        <f>IFERROR(IF(A788="","",VLOOKUP(A788,CadProd!$A:$B,2,0)),"")</f>
        <v/>
      </c>
      <c r="C788" t="str">
        <f>IFERROR(IF(A788="","",VLOOKUP(A788,CadProd!$A:$C,3,0)),"")</f>
        <v/>
      </c>
    </row>
    <row r="789" spans="2:3" x14ac:dyDescent="0.3">
      <c r="B789" t="str">
        <f>IFERROR(IF(A789="","",VLOOKUP(A789,CadProd!$A:$B,2,0)),"")</f>
        <v/>
      </c>
      <c r="C789" t="str">
        <f>IFERROR(IF(A789="","",VLOOKUP(A789,CadProd!$A:$C,3,0)),"")</f>
        <v/>
      </c>
    </row>
    <row r="790" spans="2:3" x14ac:dyDescent="0.3">
      <c r="B790" t="str">
        <f>IFERROR(IF(A790="","",VLOOKUP(A790,CadProd!$A:$B,2,0)),"")</f>
        <v/>
      </c>
      <c r="C790" t="str">
        <f>IFERROR(IF(A790="","",VLOOKUP(A790,CadProd!$A:$C,3,0)),"")</f>
        <v/>
      </c>
    </row>
    <row r="791" spans="2:3" x14ac:dyDescent="0.3">
      <c r="B791" t="str">
        <f>IFERROR(IF(A791="","",VLOOKUP(A791,CadProd!$A:$B,2,0)),"")</f>
        <v/>
      </c>
      <c r="C791" t="str">
        <f>IFERROR(IF(A791="","",VLOOKUP(A791,CadProd!$A:$C,3,0)),"")</f>
        <v/>
      </c>
    </row>
    <row r="792" spans="2:3" x14ac:dyDescent="0.3">
      <c r="B792" t="str">
        <f>IFERROR(IF(A792="","",VLOOKUP(A792,CadProd!$A:$B,2,0)),"")</f>
        <v/>
      </c>
      <c r="C792" t="str">
        <f>IFERROR(IF(A792="","",VLOOKUP(A792,CadProd!$A:$C,3,0)),"")</f>
        <v/>
      </c>
    </row>
    <row r="793" spans="2:3" x14ac:dyDescent="0.3">
      <c r="B793" t="str">
        <f>IFERROR(IF(A793="","",VLOOKUP(A793,CadProd!$A:$B,2,0)),"")</f>
        <v/>
      </c>
      <c r="C793" t="str">
        <f>IFERROR(IF(A793="","",VLOOKUP(A793,CadProd!$A:$C,3,0)),"")</f>
        <v/>
      </c>
    </row>
    <row r="794" spans="2:3" x14ac:dyDescent="0.3">
      <c r="B794" t="str">
        <f>IFERROR(IF(A794="","",VLOOKUP(A794,CadProd!$A:$B,2,0)),"")</f>
        <v/>
      </c>
      <c r="C794" t="str">
        <f>IFERROR(IF(A794="","",VLOOKUP(A794,CadProd!$A:$C,3,0)),"")</f>
        <v/>
      </c>
    </row>
    <row r="795" spans="2:3" x14ac:dyDescent="0.3">
      <c r="B795" t="str">
        <f>IFERROR(IF(A795="","",VLOOKUP(A795,CadProd!$A:$B,2,0)),"")</f>
        <v/>
      </c>
      <c r="C795" t="str">
        <f>IFERROR(IF(A795="","",VLOOKUP(A795,CadProd!$A:$C,3,0)),"")</f>
        <v/>
      </c>
    </row>
    <row r="796" spans="2:3" x14ac:dyDescent="0.3">
      <c r="B796" t="str">
        <f>IFERROR(IF(A796="","",VLOOKUP(A796,CadProd!$A:$B,2,0)),"")</f>
        <v/>
      </c>
      <c r="C796" t="str">
        <f>IFERROR(IF(A796="","",VLOOKUP(A796,CadProd!$A:$C,3,0)),"")</f>
        <v/>
      </c>
    </row>
    <row r="797" spans="2:3" x14ac:dyDescent="0.3">
      <c r="B797" t="str">
        <f>IFERROR(IF(A797="","",VLOOKUP(A797,CadProd!$A:$B,2,0)),"")</f>
        <v/>
      </c>
      <c r="C797" t="str">
        <f>IFERROR(IF(A797="","",VLOOKUP(A797,CadProd!$A:$C,3,0)),"")</f>
        <v/>
      </c>
    </row>
    <row r="798" spans="2:3" x14ac:dyDescent="0.3">
      <c r="B798" t="str">
        <f>IFERROR(IF(A798="","",VLOOKUP(A798,CadProd!$A:$B,2,0)),"")</f>
        <v/>
      </c>
      <c r="C798" t="str">
        <f>IFERROR(IF(A798="","",VLOOKUP(A798,CadProd!$A:$C,3,0)),"")</f>
        <v/>
      </c>
    </row>
    <row r="799" spans="2:3" x14ac:dyDescent="0.3">
      <c r="B799" t="str">
        <f>IFERROR(IF(A799="","",VLOOKUP(A799,CadProd!$A:$B,2,0)),"")</f>
        <v/>
      </c>
      <c r="C799" t="str">
        <f>IFERROR(IF(A799="","",VLOOKUP(A799,CadProd!$A:$C,3,0)),"")</f>
        <v/>
      </c>
    </row>
    <row r="800" spans="2:3" x14ac:dyDescent="0.3">
      <c r="B800" t="str">
        <f>IFERROR(IF(A800="","",VLOOKUP(A800,CadProd!$A:$B,2,0)),"")</f>
        <v/>
      </c>
      <c r="C800" t="str">
        <f>IFERROR(IF(A800="","",VLOOKUP(A800,CadProd!$A:$C,3,0)),"")</f>
        <v/>
      </c>
    </row>
    <row r="801" spans="2:3" x14ac:dyDescent="0.3">
      <c r="B801" t="str">
        <f>IFERROR(IF(A801="","",VLOOKUP(A801,CadProd!$A:$B,2,0)),"")</f>
        <v/>
      </c>
      <c r="C801" t="str">
        <f>IFERROR(IF(A801="","",VLOOKUP(A801,CadProd!$A:$C,3,0)),"")</f>
        <v/>
      </c>
    </row>
    <row r="802" spans="2:3" x14ac:dyDescent="0.3">
      <c r="B802" t="str">
        <f>IFERROR(IF(A802="","",VLOOKUP(A802,CadProd!$A:$B,2,0)),"")</f>
        <v/>
      </c>
      <c r="C802" t="str">
        <f>IFERROR(IF(A802="","",VLOOKUP(A802,CadProd!$A:$C,3,0)),"")</f>
        <v/>
      </c>
    </row>
    <row r="803" spans="2:3" x14ac:dyDescent="0.3">
      <c r="B803" t="str">
        <f>IFERROR(IF(A803="","",VLOOKUP(A803,CadProd!$A:$B,2,0)),"")</f>
        <v/>
      </c>
      <c r="C803" t="str">
        <f>IFERROR(IF(A803="","",VLOOKUP(A803,CadProd!$A:$C,3,0)),"")</f>
        <v/>
      </c>
    </row>
    <row r="804" spans="2:3" x14ac:dyDescent="0.3">
      <c r="B804" t="str">
        <f>IFERROR(IF(A804="","",VLOOKUP(A804,CadProd!$A:$B,2,0)),"")</f>
        <v/>
      </c>
      <c r="C804" t="str">
        <f>IFERROR(IF(A804="","",VLOOKUP(A804,CadProd!$A:$C,3,0)),"")</f>
        <v/>
      </c>
    </row>
    <row r="805" spans="2:3" x14ac:dyDescent="0.3">
      <c r="B805" t="str">
        <f>IFERROR(IF(A805="","",VLOOKUP(A805,CadProd!$A:$B,2,0)),"")</f>
        <v/>
      </c>
      <c r="C805" t="str">
        <f>IFERROR(IF(A805="","",VLOOKUP(A805,CadProd!$A:$C,3,0)),"")</f>
        <v/>
      </c>
    </row>
    <row r="806" spans="2:3" x14ac:dyDescent="0.3">
      <c r="B806" t="str">
        <f>IFERROR(IF(A806="","",VLOOKUP(A806,CadProd!$A:$B,2,0)),"")</f>
        <v/>
      </c>
      <c r="C806" t="str">
        <f>IFERROR(IF(A806="","",VLOOKUP(A806,CadProd!$A:$C,3,0)),"")</f>
        <v/>
      </c>
    </row>
    <row r="807" spans="2:3" x14ac:dyDescent="0.3">
      <c r="B807" t="str">
        <f>IFERROR(IF(A807="","",VLOOKUP(A807,CadProd!$A:$B,2,0)),"")</f>
        <v/>
      </c>
      <c r="C807" t="str">
        <f>IFERROR(IF(A807="","",VLOOKUP(A807,CadProd!$A:$C,3,0)),"")</f>
        <v/>
      </c>
    </row>
    <row r="808" spans="2:3" x14ac:dyDescent="0.3">
      <c r="B808" t="str">
        <f>IFERROR(IF(A808="","",VLOOKUP(A808,CadProd!$A:$B,2,0)),"")</f>
        <v/>
      </c>
      <c r="C808" t="str">
        <f>IFERROR(IF(A808="","",VLOOKUP(A808,CadProd!$A:$C,3,0)),"")</f>
        <v/>
      </c>
    </row>
    <row r="809" spans="2:3" x14ac:dyDescent="0.3">
      <c r="B809" t="str">
        <f>IFERROR(IF(A809="","",VLOOKUP(A809,CadProd!$A:$B,2,0)),"")</f>
        <v/>
      </c>
      <c r="C809" t="str">
        <f>IFERROR(IF(A809="","",VLOOKUP(A809,CadProd!$A:$C,3,0)),"")</f>
        <v/>
      </c>
    </row>
    <row r="810" spans="2:3" x14ac:dyDescent="0.3">
      <c r="B810" t="str">
        <f>IFERROR(IF(A810="","",VLOOKUP(A810,CadProd!$A:$B,2,0)),"")</f>
        <v/>
      </c>
      <c r="C810" t="str">
        <f>IFERROR(IF(A810="","",VLOOKUP(A810,CadProd!$A:$C,3,0)),"")</f>
        <v/>
      </c>
    </row>
    <row r="811" spans="2:3" x14ac:dyDescent="0.3">
      <c r="B811" t="str">
        <f>IFERROR(IF(A811="","",VLOOKUP(A811,CadProd!$A:$B,2,0)),"")</f>
        <v/>
      </c>
      <c r="C811" t="str">
        <f>IFERROR(IF(A811="","",VLOOKUP(A811,CadProd!$A:$C,3,0)),"")</f>
        <v/>
      </c>
    </row>
    <row r="812" spans="2:3" x14ac:dyDescent="0.3">
      <c r="B812" t="str">
        <f>IFERROR(IF(A812="","",VLOOKUP(A812,CadProd!$A:$B,2,0)),"")</f>
        <v/>
      </c>
      <c r="C812" t="str">
        <f>IFERROR(IF(A812="","",VLOOKUP(A812,CadProd!$A:$C,3,0)),"")</f>
        <v/>
      </c>
    </row>
    <row r="813" spans="2:3" x14ac:dyDescent="0.3">
      <c r="B813" t="str">
        <f>IFERROR(IF(A813="","",VLOOKUP(A813,CadProd!$A:$B,2,0)),"")</f>
        <v/>
      </c>
      <c r="C813" t="str">
        <f>IFERROR(IF(A813="","",VLOOKUP(A813,CadProd!$A:$C,3,0)),"")</f>
        <v/>
      </c>
    </row>
    <row r="814" spans="2:3" x14ac:dyDescent="0.3">
      <c r="B814" t="str">
        <f>IFERROR(IF(A814="","",VLOOKUP(A814,CadProd!$A:$B,2,0)),"")</f>
        <v/>
      </c>
      <c r="C814" t="str">
        <f>IFERROR(IF(A814="","",VLOOKUP(A814,CadProd!$A:$C,3,0)),"")</f>
        <v/>
      </c>
    </row>
    <row r="815" spans="2:3" x14ac:dyDescent="0.3">
      <c r="B815" t="str">
        <f>IFERROR(IF(A815="","",VLOOKUP(A815,CadProd!$A:$B,2,0)),"")</f>
        <v/>
      </c>
      <c r="C815" t="str">
        <f>IFERROR(IF(A815="","",VLOOKUP(A815,CadProd!$A:$C,3,0)),"")</f>
        <v/>
      </c>
    </row>
    <row r="816" spans="2:3" x14ac:dyDescent="0.3">
      <c r="B816" t="str">
        <f>IFERROR(IF(A816="","",VLOOKUP(A816,CadProd!$A:$B,2,0)),"")</f>
        <v/>
      </c>
      <c r="C816" t="str">
        <f>IFERROR(IF(A816="","",VLOOKUP(A816,CadProd!$A:$C,3,0)),"")</f>
        <v/>
      </c>
    </row>
    <row r="817" spans="2:3" x14ac:dyDescent="0.3">
      <c r="B817" t="str">
        <f>IFERROR(IF(A817="","",VLOOKUP(A817,CadProd!$A:$B,2,0)),"")</f>
        <v/>
      </c>
      <c r="C817" t="str">
        <f>IFERROR(IF(A817="","",VLOOKUP(A817,CadProd!$A:$C,3,0)),"")</f>
        <v/>
      </c>
    </row>
    <row r="818" spans="2:3" x14ac:dyDescent="0.3">
      <c r="B818" t="str">
        <f>IFERROR(IF(A818="","",VLOOKUP(A818,CadProd!$A:$B,2,0)),"")</f>
        <v/>
      </c>
      <c r="C818" t="str">
        <f>IFERROR(IF(A818="","",VLOOKUP(A818,CadProd!$A:$C,3,0)),"")</f>
        <v/>
      </c>
    </row>
    <row r="819" spans="2:3" x14ac:dyDescent="0.3">
      <c r="B819" t="str">
        <f>IFERROR(IF(A819="","",VLOOKUP(A819,CadProd!$A:$B,2,0)),"")</f>
        <v/>
      </c>
      <c r="C819" t="str">
        <f>IFERROR(IF(A819="","",VLOOKUP(A819,CadProd!$A:$C,3,0)),"")</f>
        <v/>
      </c>
    </row>
    <row r="820" spans="2:3" x14ac:dyDescent="0.3">
      <c r="B820" t="str">
        <f>IFERROR(IF(A820="","",VLOOKUP(A820,CadProd!$A:$B,2,0)),"")</f>
        <v/>
      </c>
      <c r="C820" t="str">
        <f>IFERROR(IF(A820="","",VLOOKUP(A820,CadProd!$A:$C,3,0)),"")</f>
        <v/>
      </c>
    </row>
    <row r="821" spans="2:3" x14ac:dyDescent="0.3">
      <c r="B821" t="str">
        <f>IFERROR(IF(A821="","",VLOOKUP(A821,CadProd!$A:$B,2,0)),"")</f>
        <v/>
      </c>
      <c r="C821" t="str">
        <f>IFERROR(IF(A821="","",VLOOKUP(A821,CadProd!$A:$C,3,0)),"")</f>
        <v/>
      </c>
    </row>
    <row r="822" spans="2:3" x14ac:dyDescent="0.3">
      <c r="B822" t="str">
        <f>IFERROR(IF(A822="","",VLOOKUP(A822,CadProd!$A:$B,2,0)),"")</f>
        <v/>
      </c>
      <c r="C822" t="str">
        <f>IFERROR(IF(A822="","",VLOOKUP(A822,CadProd!$A:$C,3,0)),"")</f>
        <v/>
      </c>
    </row>
    <row r="823" spans="2:3" x14ac:dyDescent="0.3">
      <c r="B823" t="str">
        <f>IFERROR(IF(A823="","",VLOOKUP(A823,CadProd!$A:$B,2,0)),"")</f>
        <v/>
      </c>
      <c r="C823" t="str">
        <f>IFERROR(IF(A823="","",VLOOKUP(A823,CadProd!$A:$C,3,0)),"")</f>
        <v/>
      </c>
    </row>
    <row r="824" spans="2:3" x14ac:dyDescent="0.3">
      <c r="B824" t="str">
        <f>IFERROR(IF(A824="","",VLOOKUP(A824,CadProd!$A:$B,2,0)),"")</f>
        <v/>
      </c>
      <c r="C824" t="str">
        <f>IFERROR(IF(A824="","",VLOOKUP(A824,CadProd!$A:$C,3,0)),"")</f>
        <v/>
      </c>
    </row>
    <row r="825" spans="2:3" x14ac:dyDescent="0.3">
      <c r="B825" t="str">
        <f>IFERROR(IF(A825="","",VLOOKUP(A825,CadProd!$A:$B,2,0)),"")</f>
        <v/>
      </c>
      <c r="C825" t="str">
        <f>IFERROR(IF(A825="","",VLOOKUP(A825,CadProd!$A:$C,3,0)),"")</f>
        <v/>
      </c>
    </row>
    <row r="826" spans="2:3" x14ac:dyDescent="0.3">
      <c r="B826" t="str">
        <f>IFERROR(IF(A826="","",VLOOKUP(A826,CadProd!$A:$B,2,0)),"")</f>
        <v/>
      </c>
      <c r="C826" t="str">
        <f>IFERROR(IF(A826="","",VLOOKUP(A826,CadProd!$A:$C,3,0)),"")</f>
        <v/>
      </c>
    </row>
    <row r="827" spans="2:3" x14ac:dyDescent="0.3">
      <c r="B827" t="str">
        <f>IFERROR(IF(A827="","",VLOOKUP(A827,CadProd!$A:$B,2,0)),"")</f>
        <v/>
      </c>
      <c r="C827" t="str">
        <f>IFERROR(IF(A827="","",VLOOKUP(A827,CadProd!$A:$C,3,0)),"")</f>
        <v/>
      </c>
    </row>
    <row r="828" spans="2:3" x14ac:dyDescent="0.3">
      <c r="B828" t="str">
        <f>IFERROR(IF(A828="","",VLOOKUP(A828,CadProd!$A:$B,2,0)),"")</f>
        <v/>
      </c>
      <c r="C828" t="str">
        <f>IFERROR(IF(A828="","",VLOOKUP(A828,CadProd!$A:$C,3,0)),"")</f>
        <v/>
      </c>
    </row>
    <row r="829" spans="2:3" x14ac:dyDescent="0.3">
      <c r="B829" t="str">
        <f>IFERROR(IF(A829="","",VLOOKUP(A829,CadProd!$A:$B,2,0)),"")</f>
        <v/>
      </c>
      <c r="C829" t="str">
        <f>IFERROR(IF(A829="","",VLOOKUP(A829,CadProd!$A:$C,3,0)),"")</f>
        <v/>
      </c>
    </row>
    <row r="830" spans="2:3" x14ac:dyDescent="0.3">
      <c r="B830" t="str">
        <f>IFERROR(IF(A830="","",VLOOKUP(A830,CadProd!$A:$B,2,0)),"")</f>
        <v/>
      </c>
      <c r="C830" t="str">
        <f>IFERROR(IF(A830="","",VLOOKUP(A830,CadProd!$A:$C,3,0)),"")</f>
        <v/>
      </c>
    </row>
    <row r="831" spans="2:3" x14ac:dyDescent="0.3">
      <c r="B831" t="str">
        <f>IFERROR(IF(A831="","",VLOOKUP(A831,CadProd!$A:$B,2,0)),"")</f>
        <v/>
      </c>
      <c r="C831" t="str">
        <f>IFERROR(IF(A831="","",VLOOKUP(A831,CadProd!$A:$C,3,0)),"")</f>
        <v/>
      </c>
    </row>
    <row r="832" spans="2:3" x14ac:dyDescent="0.3">
      <c r="B832" t="str">
        <f>IFERROR(IF(A832="","",VLOOKUP(A832,CadProd!$A:$B,2,0)),"")</f>
        <v/>
      </c>
      <c r="C832" t="str">
        <f>IFERROR(IF(A832="","",VLOOKUP(A832,CadProd!$A:$C,3,0)),"")</f>
        <v/>
      </c>
    </row>
    <row r="833" spans="2:3" x14ac:dyDescent="0.3">
      <c r="B833" t="str">
        <f>IFERROR(IF(A833="","",VLOOKUP(A833,CadProd!$A:$B,2,0)),"")</f>
        <v/>
      </c>
      <c r="C833" t="str">
        <f>IFERROR(IF(A833="","",VLOOKUP(A833,CadProd!$A:$C,3,0)),"")</f>
        <v/>
      </c>
    </row>
    <row r="834" spans="2:3" x14ac:dyDescent="0.3">
      <c r="B834" t="str">
        <f>IFERROR(IF(A834="","",VLOOKUP(A834,CadProd!$A:$B,2,0)),"")</f>
        <v/>
      </c>
      <c r="C834" t="str">
        <f>IFERROR(IF(A834="","",VLOOKUP(A834,CadProd!$A:$C,3,0)),"")</f>
        <v/>
      </c>
    </row>
    <row r="835" spans="2:3" x14ac:dyDescent="0.3">
      <c r="B835" t="str">
        <f>IFERROR(IF(A835="","",VLOOKUP(A835,CadProd!$A:$B,2,0)),"")</f>
        <v/>
      </c>
      <c r="C835" t="str">
        <f>IFERROR(IF(A835="","",VLOOKUP(A835,CadProd!$A:$C,3,0)),"")</f>
        <v/>
      </c>
    </row>
    <row r="836" spans="2:3" x14ac:dyDescent="0.3">
      <c r="B836" t="str">
        <f>IFERROR(IF(A836="","",VLOOKUP(A836,CadProd!$A:$B,2,0)),"")</f>
        <v/>
      </c>
      <c r="C836" t="str">
        <f>IFERROR(IF(A836="","",VLOOKUP(A836,CadProd!$A:$C,3,0)),"")</f>
        <v/>
      </c>
    </row>
    <row r="837" spans="2:3" x14ac:dyDescent="0.3">
      <c r="B837" t="str">
        <f>IFERROR(IF(A837="","",VLOOKUP(A837,CadProd!$A:$B,2,0)),"")</f>
        <v/>
      </c>
      <c r="C837" t="str">
        <f>IFERROR(IF(A837="","",VLOOKUP(A837,CadProd!$A:$C,3,0)),"")</f>
        <v/>
      </c>
    </row>
    <row r="838" spans="2:3" x14ac:dyDescent="0.3">
      <c r="B838" t="str">
        <f>IFERROR(IF(A838="","",VLOOKUP(A838,CadProd!$A:$B,2,0)),"")</f>
        <v/>
      </c>
      <c r="C838" t="str">
        <f>IFERROR(IF(A838="","",VLOOKUP(A838,CadProd!$A:$C,3,0)),"")</f>
        <v/>
      </c>
    </row>
    <row r="839" spans="2:3" x14ac:dyDescent="0.3">
      <c r="B839" t="str">
        <f>IFERROR(IF(A839="","",VLOOKUP(A839,CadProd!$A:$B,2,0)),"")</f>
        <v/>
      </c>
      <c r="C839" t="str">
        <f>IFERROR(IF(A839="","",VLOOKUP(A839,CadProd!$A:$C,3,0)),"")</f>
        <v/>
      </c>
    </row>
    <row r="840" spans="2:3" x14ac:dyDescent="0.3">
      <c r="B840" t="str">
        <f>IFERROR(IF(A840="","",VLOOKUP(A840,CadProd!$A:$B,2,0)),"")</f>
        <v/>
      </c>
      <c r="C840" t="str">
        <f>IFERROR(IF(A840="","",VLOOKUP(A840,CadProd!$A:$C,3,0)),"")</f>
        <v/>
      </c>
    </row>
    <row r="841" spans="2:3" x14ac:dyDescent="0.3">
      <c r="B841" t="str">
        <f>IFERROR(IF(A841="","",VLOOKUP(A841,CadProd!$A:$B,2,0)),"")</f>
        <v/>
      </c>
      <c r="C841" t="str">
        <f>IFERROR(IF(A841="","",VLOOKUP(A841,CadProd!$A:$C,3,0)),"")</f>
        <v/>
      </c>
    </row>
    <row r="842" spans="2:3" x14ac:dyDescent="0.3">
      <c r="B842" t="str">
        <f>IFERROR(IF(A842="","",VLOOKUP(A842,CadProd!$A:$B,2,0)),"")</f>
        <v/>
      </c>
      <c r="C842" t="str">
        <f>IFERROR(IF(A842="","",VLOOKUP(A842,CadProd!$A:$C,3,0)),"")</f>
        <v/>
      </c>
    </row>
    <row r="843" spans="2:3" x14ac:dyDescent="0.3">
      <c r="B843" t="str">
        <f>IFERROR(IF(A843="","",VLOOKUP(A843,CadProd!$A:$B,2,0)),"")</f>
        <v/>
      </c>
      <c r="C843" t="str">
        <f>IFERROR(IF(A843="","",VLOOKUP(A843,CadProd!$A:$C,3,0)),"")</f>
        <v/>
      </c>
    </row>
    <row r="844" spans="2:3" x14ac:dyDescent="0.3">
      <c r="B844" t="str">
        <f>IFERROR(IF(A844="","",VLOOKUP(A844,CadProd!$A:$B,2,0)),"")</f>
        <v/>
      </c>
      <c r="C844" t="str">
        <f>IFERROR(IF(A844="","",VLOOKUP(A844,CadProd!$A:$C,3,0)),"")</f>
        <v/>
      </c>
    </row>
    <row r="845" spans="2:3" x14ac:dyDescent="0.3">
      <c r="B845" t="str">
        <f>IFERROR(IF(A845="","",VLOOKUP(A845,CadProd!$A:$B,2,0)),"")</f>
        <v/>
      </c>
      <c r="C845" t="str">
        <f>IFERROR(IF(A845="","",VLOOKUP(A845,CadProd!$A:$C,3,0)),"")</f>
        <v/>
      </c>
    </row>
    <row r="846" spans="2:3" x14ac:dyDescent="0.3">
      <c r="B846" t="str">
        <f>IFERROR(IF(A846="","",VLOOKUP(A846,CadProd!$A:$B,2,0)),"")</f>
        <v/>
      </c>
      <c r="C846" t="str">
        <f>IFERROR(IF(A846="","",VLOOKUP(A846,CadProd!$A:$C,3,0)),"")</f>
        <v/>
      </c>
    </row>
    <row r="847" spans="2:3" x14ac:dyDescent="0.3">
      <c r="B847" t="str">
        <f>IFERROR(IF(A847="","",VLOOKUP(A847,CadProd!$A:$B,2,0)),"")</f>
        <v/>
      </c>
      <c r="C847" t="str">
        <f>IFERROR(IF(A847="","",VLOOKUP(A847,CadProd!$A:$C,3,0)),"")</f>
        <v/>
      </c>
    </row>
    <row r="848" spans="2:3" x14ac:dyDescent="0.3">
      <c r="B848" t="str">
        <f>IFERROR(IF(A848="","",VLOOKUP(A848,CadProd!$A:$B,2,0)),"")</f>
        <v/>
      </c>
      <c r="C848" t="str">
        <f>IFERROR(IF(A848="","",VLOOKUP(A848,CadProd!$A:$C,3,0)),"")</f>
        <v/>
      </c>
    </row>
    <row r="849" spans="2:3" x14ac:dyDescent="0.3">
      <c r="B849" t="str">
        <f>IFERROR(IF(A849="","",VLOOKUP(A849,CadProd!$A:$B,2,0)),"")</f>
        <v/>
      </c>
      <c r="C849" t="str">
        <f>IFERROR(IF(A849="","",VLOOKUP(A849,CadProd!$A:$C,3,0)),"")</f>
        <v/>
      </c>
    </row>
    <row r="850" spans="2:3" x14ac:dyDescent="0.3">
      <c r="B850" t="str">
        <f>IFERROR(IF(A850="","",VLOOKUP(A850,CadProd!$A:$B,2,0)),"")</f>
        <v/>
      </c>
      <c r="C850" t="str">
        <f>IFERROR(IF(A850="","",VLOOKUP(A850,CadProd!$A:$C,3,0)),"")</f>
        <v/>
      </c>
    </row>
    <row r="851" spans="2:3" x14ac:dyDescent="0.3">
      <c r="B851" t="str">
        <f>IFERROR(IF(A851="","",VLOOKUP(A851,CadProd!$A:$B,2,0)),"")</f>
        <v/>
      </c>
      <c r="C851" t="str">
        <f>IFERROR(IF(A851="","",VLOOKUP(A851,CadProd!$A:$C,3,0)),"")</f>
        <v/>
      </c>
    </row>
    <row r="852" spans="2:3" x14ac:dyDescent="0.3">
      <c r="B852" t="str">
        <f>IFERROR(IF(A852="","",VLOOKUP(A852,CadProd!$A:$B,2,0)),"")</f>
        <v/>
      </c>
      <c r="C852" t="str">
        <f>IFERROR(IF(A852="","",VLOOKUP(A852,CadProd!$A:$C,3,0)),"")</f>
        <v/>
      </c>
    </row>
    <row r="853" spans="2:3" x14ac:dyDescent="0.3">
      <c r="B853" t="str">
        <f>IFERROR(IF(A853="","",VLOOKUP(A853,CadProd!$A:$B,2,0)),"")</f>
        <v/>
      </c>
      <c r="C853" t="str">
        <f>IFERROR(IF(A853="","",VLOOKUP(A853,CadProd!$A:$C,3,0)),"")</f>
        <v/>
      </c>
    </row>
    <row r="854" spans="2:3" x14ac:dyDescent="0.3">
      <c r="B854" t="str">
        <f>IFERROR(IF(A854="","",VLOOKUP(A854,CadProd!$A:$B,2,0)),"")</f>
        <v/>
      </c>
      <c r="C854" t="str">
        <f>IFERROR(IF(A854="","",VLOOKUP(A854,CadProd!$A:$C,3,0)),"")</f>
        <v/>
      </c>
    </row>
    <row r="855" spans="2:3" x14ac:dyDescent="0.3">
      <c r="B855" t="str">
        <f>IFERROR(IF(A855="","",VLOOKUP(A855,CadProd!$A:$B,2,0)),"")</f>
        <v/>
      </c>
      <c r="C855" t="str">
        <f>IFERROR(IF(A855="","",VLOOKUP(A855,CadProd!$A:$C,3,0)),"")</f>
        <v/>
      </c>
    </row>
    <row r="856" spans="2:3" x14ac:dyDescent="0.3">
      <c r="B856" t="str">
        <f>IFERROR(IF(A856="","",VLOOKUP(A856,CadProd!$A:$B,2,0)),"")</f>
        <v/>
      </c>
      <c r="C856" t="str">
        <f>IFERROR(IF(A856="","",VLOOKUP(A856,CadProd!$A:$C,3,0)),"")</f>
        <v/>
      </c>
    </row>
    <row r="857" spans="2:3" x14ac:dyDescent="0.3">
      <c r="B857" t="str">
        <f>IFERROR(IF(A857="","",VLOOKUP(A857,CadProd!$A:$B,2,0)),"")</f>
        <v/>
      </c>
      <c r="C857" t="str">
        <f>IFERROR(IF(A857="","",VLOOKUP(A857,CadProd!$A:$C,3,0)),"")</f>
        <v/>
      </c>
    </row>
    <row r="858" spans="2:3" x14ac:dyDescent="0.3">
      <c r="B858" t="str">
        <f>IFERROR(IF(A858="","",VLOOKUP(A858,CadProd!$A:$B,2,0)),"")</f>
        <v/>
      </c>
      <c r="C858" t="str">
        <f>IFERROR(IF(A858="","",VLOOKUP(A858,CadProd!$A:$C,3,0)),"")</f>
        <v/>
      </c>
    </row>
    <row r="859" spans="2:3" x14ac:dyDescent="0.3">
      <c r="B859" t="str">
        <f>IFERROR(IF(A859="","",VLOOKUP(A859,CadProd!$A:$B,2,0)),"")</f>
        <v/>
      </c>
      <c r="C859" t="str">
        <f>IFERROR(IF(A859="","",VLOOKUP(A859,CadProd!$A:$C,3,0)),"")</f>
        <v/>
      </c>
    </row>
    <row r="860" spans="2:3" x14ac:dyDescent="0.3">
      <c r="B860" t="str">
        <f>IFERROR(IF(A860="","",VLOOKUP(A860,CadProd!$A:$B,2,0)),"")</f>
        <v/>
      </c>
      <c r="C860" t="str">
        <f>IFERROR(IF(A860="","",VLOOKUP(A860,CadProd!$A:$C,3,0)),"")</f>
        <v/>
      </c>
    </row>
    <row r="861" spans="2:3" x14ac:dyDescent="0.3">
      <c r="B861" t="str">
        <f>IFERROR(IF(A861="","",VLOOKUP(A861,CadProd!$A:$B,2,0)),"")</f>
        <v/>
      </c>
      <c r="C861" t="str">
        <f>IFERROR(IF(A861="","",VLOOKUP(A861,CadProd!$A:$C,3,0)),"")</f>
        <v/>
      </c>
    </row>
    <row r="862" spans="2:3" x14ac:dyDescent="0.3">
      <c r="B862" t="str">
        <f>IFERROR(IF(A862="","",VLOOKUP(A862,CadProd!$A:$B,2,0)),"")</f>
        <v/>
      </c>
      <c r="C862" t="str">
        <f>IFERROR(IF(A862="","",VLOOKUP(A862,CadProd!$A:$C,3,0)),"")</f>
        <v/>
      </c>
    </row>
    <row r="863" spans="2:3" x14ac:dyDescent="0.3">
      <c r="B863" t="str">
        <f>IFERROR(IF(A863="","",VLOOKUP(A863,CadProd!$A:$B,2,0)),"")</f>
        <v/>
      </c>
      <c r="C863" t="str">
        <f>IFERROR(IF(A863="","",VLOOKUP(A863,CadProd!$A:$C,3,0)),"")</f>
        <v/>
      </c>
    </row>
    <row r="864" spans="2:3" x14ac:dyDescent="0.3">
      <c r="B864" t="str">
        <f>IFERROR(IF(A864="","",VLOOKUP(A864,CadProd!$A:$B,2,0)),"")</f>
        <v/>
      </c>
      <c r="C864" t="str">
        <f>IFERROR(IF(A864="","",VLOOKUP(A864,CadProd!$A:$C,3,0)),"")</f>
        <v/>
      </c>
    </row>
    <row r="865" spans="2:3" x14ac:dyDescent="0.3">
      <c r="B865" t="str">
        <f>IFERROR(IF(A865="","",VLOOKUP(A865,CadProd!$A:$B,2,0)),"")</f>
        <v/>
      </c>
      <c r="C865" t="str">
        <f>IFERROR(IF(A865="","",VLOOKUP(A865,CadProd!$A:$C,3,0)),"")</f>
        <v/>
      </c>
    </row>
    <row r="866" spans="2:3" x14ac:dyDescent="0.3">
      <c r="B866" t="str">
        <f>IFERROR(IF(A866="","",VLOOKUP(A866,CadProd!$A:$B,2,0)),"")</f>
        <v/>
      </c>
      <c r="C866" t="str">
        <f>IFERROR(IF(A866="","",VLOOKUP(A866,CadProd!$A:$C,3,0)),"")</f>
        <v/>
      </c>
    </row>
    <row r="867" spans="2:3" x14ac:dyDescent="0.3">
      <c r="B867" t="str">
        <f>IFERROR(IF(A867="","",VLOOKUP(A867,CadProd!$A:$B,2,0)),"")</f>
        <v/>
      </c>
      <c r="C867" t="str">
        <f>IFERROR(IF(A867="","",VLOOKUP(A867,CadProd!$A:$C,3,0)),"")</f>
        <v/>
      </c>
    </row>
    <row r="868" spans="2:3" x14ac:dyDescent="0.3">
      <c r="B868" t="str">
        <f>IFERROR(IF(A868="","",VLOOKUP(A868,CadProd!$A:$B,2,0)),"")</f>
        <v/>
      </c>
      <c r="C868" t="str">
        <f>IFERROR(IF(A868="","",VLOOKUP(A868,CadProd!$A:$C,3,0)),"")</f>
        <v/>
      </c>
    </row>
    <row r="869" spans="2:3" x14ac:dyDescent="0.3">
      <c r="B869" t="str">
        <f>IFERROR(IF(A869="","",VLOOKUP(A869,CadProd!$A:$B,2,0)),"")</f>
        <v/>
      </c>
      <c r="C869" t="str">
        <f>IFERROR(IF(A869="","",VLOOKUP(A869,CadProd!$A:$C,3,0)),"")</f>
        <v/>
      </c>
    </row>
    <row r="870" spans="2:3" x14ac:dyDescent="0.3">
      <c r="B870" t="str">
        <f>IFERROR(IF(A870="","",VLOOKUP(A870,CadProd!$A:$B,2,0)),"")</f>
        <v/>
      </c>
      <c r="C870" t="str">
        <f>IFERROR(IF(A870="","",VLOOKUP(A870,CadProd!$A:$C,3,0)),"")</f>
        <v/>
      </c>
    </row>
    <row r="871" spans="2:3" x14ac:dyDescent="0.3">
      <c r="B871" t="str">
        <f>IFERROR(IF(A871="","",VLOOKUP(A871,CadProd!$A:$B,2,0)),"")</f>
        <v/>
      </c>
      <c r="C871" t="str">
        <f>IFERROR(IF(A871="","",VLOOKUP(A871,CadProd!$A:$C,3,0)),"")</f>
        <v/>
      </c>
    </row>
    <row r="872" spans="2:3" x14ac:dyDescent="0.3">
      <c r="B872" t="str">
        <f>IFERROR(IF(A872="","",VLOOKUP(A872,CadProd!$A:$B,2,0)),"")</f>
        <v/>
      </c>
      <c r="C872" t="str">
        <f>IFERROR(IF(A872="","",VLOOKUP(A872,CadProd!$A:$C,3,0)),"")</f>
        <v/>
      </c>
    </row>
    <row r="873" spans="2:3" x14ac:dyDescent="0.3">
      <c r="B873" t="str">
        <f>IFERROR(IF(A873="","",VLOOKUP(A873,CadProd!$A:$B,2,0)),"")</f>
        <v/>
      </c>
      <c r="C873" t="str">
        <f>IFERROR(IF(A873="","",VLOOKUP(A873,CadProd!$A:$C,3,0)),"")</f>
        <v/>
      </c>
    </row>
    <row r="874" spans="2:3" x14ac:dyDescent="0.3">
      <c r="B874" t="str">
        <f>IFERROR(IF(A874="","",VLOOKUP(A874,CadProd!$A:$B,2,0)),"")</f>
        <v/>
      </c>
      <c r="C874" t="str">
        <f>IFERROR(IF(A874="","",VLOOKUP(A874,CadProd!$A:$C,3,0)),"")</f>
        <v/>
      </c>
    </row>
    <row r="875" spans="2:3" x14ac:dyDescent="0.3">
      <c r="B875" t="str">
        <f>IFERROR(IF(A875="","",VLOOKUP(A875,CadProd!$A:$B,2,0)),"")</f>
        <v/>
      </c>
      <c r="C875" t="str">
        <f>IFERROR(IF(A875="","",VLOOKUP(A875,CadProd!$A:$C,3,0)),"")</f>
        <v/>
      </c>
    </row>
    <row r="876" spans="2:3" x14ac:dyDescent="0.3">
      <c r="B876" t="str">
        <f>IFERROR(IF(A876="","",VLOOKUP(A876,CadProd!$A:$B,2,0)),"")</f>
        <v/>
      </c>
      <c r="C876" t="str">
        <f>IFERROR(IF(A876="","",VLOOKUP(A876,CadProd!$A:$C,3,0)),"")</f>
        <v/>
      </c>
    </row>
    <row r="877" spans="2:3" x14ac:dyDescent="0.3">
      <c r="B877" t="str">
        <f>IFERROR(IF(A877="","",VLOOKUP(A877,CadProd!$A:$B,2,0)),"")</f>
        <v/>
      </c>
      <c r="C877" t="str">
        <f>IFERROR(IF(A877="","",VLOOKUP(A877,CadProd!$A:$C,3,0)),"")</f>
        <v/>
      </c>
    </row>
    <row r="878" spans="2:3" x14ac:dyDescent="0.3">
      <c r="B878" t="str">
        <f>IFERROR(IF(A878="","",VLOOKUP(A878,CadProd!$A:$B,2,0)),"")</f>
        <v/>
      </c>
      <c r="C878" t="str">
        <f>IFERROR(IF(A878="","",VLOOKUP(A878,CadProd!$A:$C,3,0)),"")</f>
        <v/>
      </c>
    </row>
    <row r="879" spans="2:3" x14ac:dyDescent="0.3">
      <c r="B879" t="str">
        <f>IFERROR(IF(A879="","",VLOOKUP(A879,CadProd!$A:$B,2,0)),"")</f>
        <v/>
      </c>
      <c r="C879" t="str">
        <f>IFERROR(IF(A879="","",VLOOKUP(A879,CadProd!$A:$C,3,0)),"")</f>
        <v/>
      </c>
    </row>
    <row r="880" spans="2:3" x14ac:dyDescent="0.3">
      <c r="B880" t="str">
        <f>IFERROR(IF(A880="","",VLOOKUP(A880,CadProd!$A:$B,2,0)),"")</f>
        <v/>
      </c>
      <c r="C880" t="str">
        <f>IFERROR(IF(A880="","",VLOOKUP(A880,CadProd!$A:$C,3,0)),"")</f>
        <v/>
      </c>
    </row>
    <row r="881" spans="2:3" x14ac:dyDescent="0.3">
      <c r="B881" t="str">
        <f>IFERROR(IF(A881="","",VLOOKUP(A881,CadProd!$A:$B,2,0)),"")</f>
        <v/>
      </c>
      <c r="C881" t="str">
        <f>IFERROR(IF(A881="","",VLOOKUP(A881,CadProd!$A:$C,3,0)),"")</f>
        <v/>
      </c>
    </row>
    <row r="882" spans="2:3" x14ac:dyDescent="0.3">
      <c r="B882" t="str">
        <f>IFERROR(IF(A882="","",VLOOKUP(A882,CadProd!$A:$B,2,0)),"")</f>
        <v/>
      </c>
      <c r="C882" t="str">
        <f>IFERROR(IF(A882="","",VLOOKUP(A882,CadProd!$A:$C,3,0)),"")</f>
        <v/>
      </c>
    </row>
    <row r="883" spans="2:3" x14ac:dyDescent="0.3">
      <c r="B883" t="str">
        <f>IFERROR(IF(A883="","",VLOOKUP(A883,CadProd!$A:$B,2,0)),"")</f>
        <v/>
      </c>
      <c r="C883" t="str">
        <f>IFERROR(IF(A883="","",VLOOKUP(A883,CadProd!$A:$C,3,0)),"")</f>
        <v/>
      </c>
    </row>
    <row r="884" spans="2:3" x14ac:dyDescent="0.3">
      <c r="B884" t="str">
        <f>IFERROR(IF(A884="","",VLOOKUP(A884,CadProd!$A:$B,2,0)),"")</f>
        <v/>
      </c>
      <c r="C884" t="str">
        <f>IFERROR(IF(A884="","",VLOOKUP(A884,CadProd!$A:$C,3,0)),"")</f>
        <v/>
      </c>
    </row>
    <row r="885" spans="2:3" x14ac:dyDescent="0.3">
      <c r="B885" t="str">
        <f>IFERROR(IF(A885="","",VLOOKUP(A885,CadProd!$A:$B,2,0)),"")</f>
        <v/>
      </c>
      <c r="C885" t="str">
        <f>IFERROR(IF(A885="","",VLOOKUP(A885,CadProd!$A:$C,3,0)),"")</f>
        <v/>
      </c>
    </row>
    <row r="886" spans="2:3" x14ac:dyDescent="0.3">
      <c r="B886" t="str">
        <f>IFERROR(IF(A886="","",VLOOKUP(A886,CadProd!$A:$B,2,0)),"")</f>
        <v/>
      </c>
      <c r="C886" t="str">
        <f>IFERROR(IF(A886="","",VLOOKUP(A886,CadProd!$A:$C,3,0)),"")</f>
        <v/>
      </c>
    </row>
    <row r="887" spans="2:3" x14ac:dyDescent="0.3">
      <c r="B887" t="str">
        <f>IFERROR(IF(A887="","",VLOOKUP(A887,CadProd!$A:$B,2,0)),"")</f>
        <v/>
      </c>
      <c r="C887" t="str">
        <f>IFERROR(IF(A887="","",VLOOKUP(A887,CadProd!$A:$C,3,0)),"")</f>
        <v/>
      </c>
    </row>
    <row r="888" spans="2:3" x14ac:dyDescent="0.3">
      <c r="B888" t="str">
        <f>IFERROR(IF(A888="","",VLOOKUP(A888,CadProd!$A:$B,2,0)),"")</f>
        <v/>
      </c>
      <c r="C888" t="str">
        <f>IFERROR(IF(A888="","",VLOOKUP(A888,CadProd!$A:$C,3,0)),"")</f>
        <v/>
      </c>
    </row>
    <row r="889" spans="2:3" x14ac:dyDescent="0.3">
      <c r="B889" t="str">
        <f>IFERROR(IF(A889="","",VLOOKUP(A889,CadProd!$A:$B,2,0)),"")</f>
        <v/>
      </c>
      <c r="C889" t="str">
        <f>IFERROR(IF(A889="","",VLOOKUP(A889,CadProd!$A:$C,3,0)),"")</f>
        <v/>
      </c>
    </row>
    <row r="890" spans="2:3" x14ac:dyDescent="0.3">
      <c r="B890" t="str">
        <f>IFERROR(IF(A890="","",VLOOKUP(A890,CadProd!$A:$B,2,0)),"")</f>
        <v/>
      </c>
      <c r="C890" t="str">
        <f>IFERROR(IF(A890="","",VLOOKUP(A890,CadProd!$A:$C,3,0)),"")</f>
        <v/>
      </c>
    </row>
    <row r="891" spans="2:3" x14ac:dyDescent="0.3">
      <c r="B891" t="str">
        <f>IFERROR(IF(A891="","",VLOOKUP(A891,CadProd!$A:$B,2,0)),"")</f>
        <v/>
      </c>
      <c r="C891" t="str">
        <f>IFERROR(IF(A891="","",VLOOKUP(A891,CadProd!$A:$C,3,0)),"")</f>
        <v/>
      </c>
    </row>
    <row r="892" spans="2:3" x14ac:dyDescent="0.3">
      <c r="B892" t="str">
        <f>IFERROR(IF(A892="","",VLOOKUP(A892,CadProd!$A:$B,2,0)),"")</f>
        <v/>
      </c>
      <c r="C892" t="str">
        <f>IFERROR(IF(A892="","",VLOOKUP(A892,CadProd!$A:$C,3,0)),"")</f>
        <v/>
      </c>
    </row>
    <row r="893" spans="2:3" x14ac:dyDescent="0.3">
      <c r="B893" t="str">
        <f>IFERROR(IF(A893="","",VLOOKUP(A893,CadProd!$A:$B,2,0)),"")</f>
        <v/>
      </c>
      <c r="C893" t="str">
        <f>IFERROR(IF(A893="","",VLOOKUP(A893,CadProd!$A:$C,3,0)),"")</f>
        <v/>
      </c>
    </row>
    <row r="894" spans="2:3" x14ac:dyDescent="0.3">
      <c r="B894" t="str">
        <f>IFERROR(IF(A894="","",VLOOKUP(A894,CadProd!$A:$B,2,0)),"")</f>
        <v/>
      </c>
      <c r="C894" t="str">
        <f>IFERROR(IF(A894="","",VLOOKUP(A894,CadProd!$A:$C,3,0)),"")</f>
        <v/>
      </c>
    </row>
    <row r="895" spans="2:3" x14ac:dyDescent="0.3">
      <c r="B895" t="str">
        <f>IFERROR(IF(A895="","",VLOOKUP(A895,CadProd!$A:$B,2,0)),"")</f>
        <v/>
      </c>
      <c r="C895" t="str">
        <f>IFERROR(IF(A895="","",VLOOKUP(A895,CadProd!$A:$C,3,0)),"")</f>
        <v/>
      </c>
    </row>
    <row r="896" spans="2:3" x14ac:dyDescent="0.3">
      <c r="B896" t="str">
        <f>IFERROR(IF(A896="","",VLOOKUP(A896,CadProd!$A:$B,2,0)),"")</f>
        <v/>
      </c>
      <c r="C896" t="str">
        <f>IFERROR(IF(A896="","",VLOOKUP(A896,CadProd!$A:$C,3,0)),"")</f>
        <v/>
      </c>
    </row>
    <row r="897" spans="2:3" x14ac:dyDescent="0.3">
      <c r="B897" t="str">
        <f>IFERROR(IF(A897="","",VLOOKUP(A897,CadProd!$A:$B,2,0)),"")</f>
        <v/>
      </c>
      <c r="C897" t="str">
        <f>IFERROR(IF(A897="","",VLOOKUP(A897,CadProd!$A:$C,3,0)),"")</f>
        <v/>
      </c>
    </row>
    <row r="898" spans="2:3" x14ac:dyDescent="0.3">
      <c r="B898" t="str">
        <f>IFERROR(IF(A898="","",VLOOKUP(A898,CadProd!$A:$B,2,0)),"")</f>
        <v/>
      </c>
      <c r="C898" t="str">
        <f>IFERROR(IF(A898="","",VLOOKUP(A898,CadProd!$A:$C,3,0)),"")</f>
        <v/>
      </c>
    </row>
    <row r="899" spans="2:3" x14ac:dyDescent="0.3">
      <c r="B899" t="str">
        <f>IFERROR(IF(A899="","",VLOOKUP(A899,CadProd!$A:$B,2,0)),"")</f>
        <v/>
      </c>
      <c r="C899" t="str">
        <f>IFERROR(IF(A899="","",VLOOKUP(A899,CadProd!$A:$C,3,0)),"")</f>
        <v/>
      </c>
    </row>
    <row r="900" spans="2:3" x14ac:dyDescent="0.3">
      <c r="B900" t="str">
        <f>IFERROR(IF(A900="","",VLOOKUP(A900,CadProd!$A:$B,2,0)),"")</f>
        <v/>
      </c>
      <c r="C900" t="str">
        <f>IFERROR(IF(A900="","",VLOOKUP(A900,CadProd!$A:$C,3,0)),"")</f>
        <v/>
      </c>
    </row>
    <row r="901" spans="2:3" x14ac:dyDescent="0.3">
      <c r="B901" t="str">
        <f>IFERROR(IF(A901="","",VLOOKUP(A901,CadProd!$A:$B,2,0)),"")</f>
        <v/>
      </c>
      <c r="C901" t="str">
        <f>IFERROR(IF(A901="","",VLOOKUP(A901,CadProd!$A:$C,3,0)),"")</f>
        <v/>
      </c>
    </row>
    <row r="902" spans="2:3" x14ac:dyDescent="0.3">
      <c r="B902" t="str">
        <f>IFERROR(IF(A902="","",VLOOKUP(A902,CadProd!$A:$B,2,0)),"")</f>
        <v/>
      </c>
      <c r="C902" t="str">
        <f>IFERROR(IF(A902="","",VLOOKUP(A902,CadProd!$A:$C,3,0)),"")</f>
        <v/>
      </c>
    </row>
    <row r="903" spans="2:3" x14ac:dyDescent="0.3">
      <c r="B903" t="str">
        <f>IFERROR(IF(A903="","",VLOOKUP(A903,CadProd!$A:$B,2,0)),"")</f>
        <v/>
      </c>
      <c r="C903" t="str">
        <f>IFERROR(IF(A903="","",VLOOKUP(A903,CadProd!$A:$C,3,0)),"")</f>
        <v/>
      </c>
    </row>
    <row r="904" spans="2:3" x14ac:dyDescent="0.3">
      <c r="B904" t="str">
        <f>IFERROR(IF(A904="","",VLOOKUP(A904,CadProd!$A:$B,2,0)),"")</f>
        <v/>
      </c>
      <c r="C904" t="str">
        <f>IFERROR(IF(A904="","",VLOOKUP(A904,CadProd!$A:$C,3,0)),"")</f>
        <v/>
      </c>
    </row>
    <row r="905" spans="2:3" x14ac:dyDescent="0.3">
      <c r="B905" t="str">
        <f>IFERROR(IF(A905="","",VLOOKUP(A905,CadProd!$A:$B,2,0)),"")</f>
        <v/>
      </c>
      <c r="C905" t="str">
        <f>IFERROR(IF(A905="","",VLOOKUP(A905,CadProd!$A:$C,3,0)),"")</f>
        <v/>
      </c>
    </row>
    <row r="906" spans="2:3" x14ac:dyDescent="0.3">
      <c r="B906" t="str">
        <f>IFERROR(IF(A906="","",VLOOKUP(A906,CadProd!$A:$B,2,0)),"")</f>
        <v/>
      </c>
      <c r="C906" t="str">
        <f>IFERROR(IF(A906="","",VLOOKUP(A906,CadProd!$A:$C,3,0)),"")</f>
        <v/>
      </c>
    </row>
    <row r="907" spans="2:3" x14ac:dyDescent="0.3">
      <c r="B907" t="str">
        <f>IFERROR(IF(A907="","",VLOOKUP(A907,CadProd!$A:$B,2,0)),"")</f>
        <v/>
      </c>
      <c r="C907" t="str">
        <f>IFERROR(IF(A907="","",VLOOKUP(A907,CadProd!$A:$C,3,0)),"")</f>
        <v/>
      </c>
    </row>
    <row r="908" spans="2:3" x14ac:dyDescent="0.3">
      <c r="B908" t="str">
        <f>IFERROR(IF(A908="","",VLOOKUP(A908,CadProd!$A:$B,2,0)),"")</f>
        <v/>
      </c>
      <c r="C908" t="str">
        <f>IFERROR(IF(A908="","",VLOOKUP(A908,CadProd!$A:$C,3,0)),"")</f>
        <v/>
      </c>
    </row>
    <row r="909" spans="2:3" x14ac:dyDescent="0.3">
      <c r="B909" t="str">
        <f>IFERROR(IF(A909="","",VLOOKUP(A909,CadProd!$A:$B,2,0)),"")</f>
        <v/>
      </c>
      <c r="C909" t="str">
        <f>IFERROR(IF(A909="","",VLOOKUP(A909,CadProd!$A:$C,3,0)),"")</f>
        <v/>
      </c>
    </row>
    <row r="910" spans="2:3" x14ac:dyDescent="0.3">
      <c r="B910" t="str">
        <f>IFERROR(IF(A910="","",VLOOKUP(A910,CadProd!$A:$B,2,0)),"")</f>
        <v/>
      </c>
      <c r="C910" t="str">
        <f>IFERROR(IF(A910="","",VLOOKUP(A910,CadProd!$A:$C,3,0)),"")</f>
        <v/>
      </c>
    </row>
    <row r="911" spans="2:3" x14ac:dyDescent="0.3">
      <c r="B911" t="str">
        <f>IFERROR(IF(A911="","",VLOOKUP(A911,CadProd!$A:$B,2,0)),"")</f>
        <v/>
      </c>
      <c r="C911" t="str">
        <f>IFERROR(IF(A911="","",VLOOKUP(A911,CadProd!$A:$C,3,0)),"")</f>
        <v/>
      </c>
    </row>
    <row r="912" spans="2:3" x14ac:dyDescent="0.3">
      <c r="B912" t="str">
        <f>IFERROR(IF(A912="","",VLOOKUP(A912,CadProd!$A:$B,2,0)),"")</f>
        <v/>
      </c>
      <c r="C912" t="str">
        <f>IFERROR(IF(A912="","",VLOOKUP(A912,CadProd!$A:$C,3,0)),"")</f>
        <v/>
      </c>
    </row>
    <row r="913" spans="2:3" x14ac:dyDescent="0.3">
      <c r="B913" t="str">
        <f>IFERROR(IF(A913="","",VLOOKUP(A913,CadProd!$A:$B,2,0)),"")</f>
        <v/>
      </c>
      <c r="C913" t="str">
        <f>IFERROR(IF(A913="","",VLOOKUP(A913,CadProd!$A:$C,3,0)),"")</f>
        <v/>
      </c>
    </row>
    <row r="914" spans="2:3" x14ac:dyDescent="0.3">
      <c r="B914" t="str">
        <f>IFERROR(IF(A914="","",VLOOKUP(A914,CadProd!$A:$B,2,0)),"")</f>
        <v/>
      </c>
      <c r="C914" t="str">
        <f>IFERROR(IF(A914="","",VLOOKUP(A914,CadProd!$A:$C,3,0)),"")</f>
        <v/>
      </c>
    </row>
    <row r="915" spans="2:3" x14ac:dyDescent="0.3">
      <c r="B915" t="str">
        <f>IFERROR(IF(A915="","",VLOOKUP(A915,CadProd!$A:$B,2,0)),"")</f>
        <v/>
      </c>
      <c r="C915" t="str">
        <f>IFERROR(IF(A915="","",VLOOKUP(A915,CadProd!$A:$C,3,0)),"")</f>
        <v/>
      </c>
    </row>
    <row r="916" spans="2:3" x14ac:dyDescent="0.3">
      <c r="B916" t="str">
        <f>IFERROR(IF(A916="","",VLOOKUP(A916,CadProd!$A:$B,2,0)),"")</f>
        <v/>
      </c>
      <c r="C916" t="str">
        <f>IFERROR(IF(A916="","",VLOOKUP(A916,CadProd!$A:$C,3,0)),"")</f>
        <v/>
      </c>
    </row>
    <row r="917" spans="2:3" x14ac:dyDescent="0.3">
      <c r="B917" t="str">
        <f>IFERROR(IF(A917="","",VLOOKUP(A917,CadProd!$A:$B,2,0)),"")</f>
        <v/>
      </c>
      <c r="C917" t="str">
        <f>IFERROR(IF(A917="","",VLOOKUP(A917,CadProd!$A:$C,3,0)),"")</f>
        <v/>
      </c>
    </row>
    <row r="918" spans="2:3" x14ac:dyDescent="0.3">
      <c r="B918" t="str">
        <f>IFERROR(IF(A918="","",VLOOKUP(A918,CadProd!$A:$B,2,0)),"")</f>
        <v/>
      </c>
      <c r="C918" t="str">
        <f>IFERROR(IF(A918="","",VLOOKUP(A918,CadProd!$A:$C,3,0)),"")</f>
        <v/>
      </c>
    </row>
    <row r="919" spans="2:3" x14ac:dyDescent="0.3">
      <c r="B919" t="str">
        <f>IFERROR(IF(A919="","",VLOOKUP(A919,CadProd!$A:$B,2,0)),"")</f>
        <v/>
      </c>
      <c r="C919" t="str">
        <f>IFERROR(IF(A919="","",VLOOKUP(A919,CadProd!$A:$C,3,0)),"")</f>
        <v/>
      </c>
    </row>
    <row r="920" spans="2:3" x14ac:dyDescent="0.3">
      <c r="B920" t="str">
        <f>IFERROR(IF(A920="","",VLOOKUP(A920,CadProd!$A:$B,2,0)),"")</f>
        <v/>
      </c>
      <c r="C920" t="str">
        <f>IFERROR(IF(A920="","",VLOOKUP(A920,CadProd!$A:$C,3,0)),"")</f>
        <v/>
      </c>
    </row>
    <row r="921" spans="2:3" x14ac:dyDescent="0.3">
      <c r="B921" t="str">
        <f>IFERROR(IF(A921="","",VLOOKUP(A921,CadProd!$A:$B,2,0)),"")</f>
        <v/>
      </c>
      <c r="C921" t="str">
        <f>IFERROR(IF(A921="","",VLOOKUP(A921,CadProd!$A:$C,3,0)),"")</f>
        <v/>
      </c>
    </row>
    <row r="922" spans="2:3" x14ac:dyDescent="0.3">
      <c r="B922" t="str">
        <f>IFERROR(IF(A922="","",VLOOKUP(A922,CadProd!$A:$B,2,0)),"")</f>
        <v/>
      </c>
      <c r="C922" t="str">
        <f>IFERROR(IF(A922="","",VLOOKUP(A922,CadProd!$A:$C,3,0)),"")</f>
        <v/>
      </c>
    </row>
    <row r="923" spans="2:3" x14ac:dyDescent="0.3">
      <c r="B923" t="str">
        <f>IFERROR(IF(A923="","",VLOOKUP(A923,CadProd!$A:$B,2,0)),"")</f>
        <v/>
      </c>
      <c r="C923" t="str">
        <f>IFERROR(IF(A923="","",VLOOKUP(A923,CadProd!$A:$C,3,0)),"")</f>
        <v/>
      </c>
    </row>
    <row r="924" spans="2:3" x14ac:dyDescent="0.3">
      <c r="B924" t="str">
        <f>IFERROR(IF(A924="","",VLOOKUP(A924,CadProd!$A:$B,2,0)),"")</f>
        <v/>
      </c>
      <c r="C924" t="str">
        <f>IFERROR(IF(A924="","",VLOOKUP(A924,CadProd!$A:$C,3,0)),"")</f>
        <v/>
      </c>
    </row>
    <row r="925" spans="2:3" x14ac:dyDescent="0.3">
      <c r="B925" t="str">
        <f>IFERROR(IF(A925="","",VLOOKUP(A925,CadProd!$A:$B,2,0)),"")</f>
        <v/>
      </c>
      <c r="C925" t="str">
        <f>IFERROR(IF(A925="","",VLOOKUP(A925,CadProd!$A:$C,3,0)),"")</f>
        <v/>
      </c>
    </row>
    <row r="926" spans="2:3" x14ac:dyDescent="0.3">
      <c r="B926" t="str">
        <f>IFERROR(IF(A926="","",VLOOKUP(A926,CadProd!$A:$B,2,0)),"")</f>
        <v/>
      </c>
      <c r="C926" t="str">
        <f>IFERROR(IF(A926="","",VLOOKUP(A926,CadProd!$A:$C,3,0)),"")</f>
        <v/>
      </c>
    </row>
    <row r="927" spans="2:3" x14ac:dyDescent="0.3">
      <c r="B927" t="str">
        <f>IFERROR(IF(A927="","",VLOOKUP(A927,CadProd!$A:$B,2,0)),"")</f>
        <v/>
      </c>
      <c r="C927" t="str">
        <f>IFERROR(IF(A927="","",VLOOKUP(A927,CadProd!$A:$C,3,0)),"")</f>
        <v/>
      </c>
    </row>
    <row r="928" spans="2:3" x14ac:dyDescent="0.3">
      <c r="B928" t="str">
        <f>IFERROR(IF(A928="","",VLOOKUP(A928,CadProd!$A:$B,2,0)),"")</f>
        <v/>
      </c>
      <c r="C928" t="str">
        <f>IFERROR(IF(A928="","",VLOOKUP(A928,CadProd!$A:$C,3,0)),"")</f>
        <v/>
      </c>
    </row>
    <row r="929" spans="2:3" x14ac:dyDescent="0.3">
      <c r="B929" t="str">
        <f>IFERROR(IF(A929="","",VLOOKUP(A929,CadProd!$A:$B,2,0)),"")</f>
        <v/>
      </c>
      <c r="C929" t="str">
        <f>IFERROR(IF(A929="","",VLOOKUP(A929,CadProd!$A:$C,3,0)),"")</f>
        <v/>
      </c>
    </row>
    <row r="930" spans="2:3" x14ac:dyDescent="0.3">
      <c r="B930" t="str">
        <f>IFERROR(IF(A930="","",VLOOKUP(A930,CadProd!$A:$B,2,0)),"")</f>
        <v/>
      </c>
      <c r="C930" t="str">
        <f>IFERROR(IF(A930="","",VLOOKUP(A930,CadProd!$A:$C,3,0)),"")</f>
        <v/>
      </c>
    </row>
    <row r="931" spans="2:3" x14ac:dyDescent="0.3">
      <c r="B931" t="str">
        <f>IFERROR(IF(A931="","",VLOOKUP(A931,CadProd!$A:$B,2,0)),"")</f>
        <v/>
      </c>
      <c r="C931" t="str">
        <f>IFERROR(IF(A931="","",VLOOKUP(A931,CadProd!$A:$C,3,0)),"")</f>
        <v/>
      </c>
    </row>
    <row r="932" spans="2:3" x14ac:dyDescent="0.3">
      <c r="B932" t="str">
        <f>IFERROR(IF(A932="","",VLOOKUP(A932,CadProd!$A:$B,2,0)),"")</f>
        <v/>
      </c>
      <c r="C932" t="str">
        <f>IFERROR(IF(A932="","",VLOOKUP(A932,CadProd!$A:$C,3,0)),"")</f>
        <v/>
      </c>
    </row>
    <row r="933" spans="2:3" x14ac:dyDescent="0.3">
      <c r="B933" t="str">
        <f>IFERROR(IF(A933="","",VLOOKUP(A933,CadProd!$A:$B,2,0)),"")</f>
        <v/>
      </c>
      <c r="C933" t="str">
        <f>IFERROR(IF(A933="","",VLOOKUP(A933,CadProd!$A:$C,3,0)),"")</f>
        <v/>
      </c>
    </row>
    <row r="934" spans="2:3" x14ac:dyDescent="0.3">
      <c r="B934" t="str">
        <f>IFERROR(IF(A934="","",VLOOKUP(A934,CadProd!$A:$B,2,0)),"")</f>
        <v/>
      </c>
      <c r="C934" t="str">
        <f>IFERROR(IF(A934="","",VLOOKUP(A934,CadProd!$A:$C,3,0)),"")</f>
        <v/>
      </c>
    </row>
    <row r="935" spans="2:3" x14ac:dyDescent="0.3">
      <c r="B935" t="str">
        <f>IFERROR(IF(A935="","",VLOOKUP(A935,CadProd!$A:$B,2,0)),"")</f>
        <v/>
      </c>
      <c r="C935" t="str">
        <f>IFERROR(IF(A935="","",VLOOKUP(A935,CadProd!$A:$C,3,0)),"")</f>
        <v/>
      </c>
    </row>
    <row r="936" spans="2:3" x14ac:dyDescent="0.3">
      <c r="B936" t="str">
        <f>IFERROR(IF(A936="","",VLOOKUP(A936,CadProd!$A:$B,2,0)),"")</f>
        <v/>
      </c>
      <c r="C936" t="str">
        <f>IFERROR(IF(A936="","",VLOOKUP(A936,CadProd!$A:$C,3,0)),"")</f>
        <v/>
      </c>
    </row>
    <row r="937" spans="2:3" x14ac:dyDescent="0.3">
      <c r="B937" t="str">
        <f>IFERROR(IF(A937="","",VLOOKUP(A937,CadProd!$A:$B,2,0)),"")</f>
        <v/>
      </c>
      <c r="C937" t="str">
        <f>IFERROR(IF(A937="","",VLOOKUP(A937,CadProd!$A:$C,3,0)),"")</f>
        <v/>
      </c>
    </row>
    <row r="938" spans="2:3" x14ac:dyDescent="0.3">
      <c r="B938" t="str">
        <f>IFERROR(IF(A938="","",VLOOKUP(A938,CadProd!$A:$B,2,0)),"")</f>
        <v/>
      </c>
      <c r="C938" t="str">
        <f>IFERROR(IF(A938="","",VLOOKUP(A938,CadProd!$A:$C,3,0)),"")</f>
        <v/>
      </c>
    </row>
    <row r="939" spans="2:3" x14ac:dyDescent="0.3">
      <c r="B939" t="str">
        <f>IFERROR(IF(A939="","",VLOOKUP(A939,CadProd!$A:$B,2,0)),"")</f>
        <v/>
      </c>
      <c r="C939" t="str">
        <f>IFERROR(IF(A939="","",VLOOKUP(A939,CadProd!$A:$C,3,0)),"")</f>
        <v/>
      </c>
    </row>
    <row r="940" spans="2:3" x14ac:dyDescent="0.3">
      <c r="B940" t="str">
        <f>IFERROR(IF(A940="","",VLOOKUP(A940,CadProd!$A:$B,2,0)),"")</f>
        <v/>
      </c>
      <c r="C940" t="str">
        <f>IFERROR(IF(A940="","",VLOOKUP(A940,CadProd!$A:$C,3,0)),"")</f>
        <v/>
      </c>
    </row>
    <row r="941" spans="2:3" x14ac:dyDescent="0.3">
      <c r="B941" t="str">
        <f>IFERROR(IF(A941="","",VLOOKUP(A941,CadProd!$A:$B,2,0)),"")</f>
        <v/>
      </c>
      <c r="C941" t="str">
        <f>IFERROR(IF(A941="","",VLOOKUP(A941,CadProd!$A:$C,3,0)),"")</f>
        <v/>
      </c>
    </row>
    <row r="942" spans="2:3" x14ac:dyDescent="0.3">
      <c r="B942" t="str">
        <f>IFERROR(IF(A942="","",VLOOKUP(A942,CadProd!$A:$B,2,0)),"")</f>
        <v/>
      </c>
      <c r="C942" t="str">
        <f>IFERROR(IF(A942="","",VLOOKUP(A942,CadProd!$A:$C,3,0)),"")</f>
        <v/>
      </c>
    </row>
    <row r="943" spans="2:3" x14ac:dyDescent="0.3">
      <c r="B943" t="str">
        <f>IFERROR(IF(A943="","",VLOOKUP(A943,CadProd!$A:$B,2,0)),"")</f>
        <v/>
      </c>
      <c r="C943" t="str">
        <f>IFERROR(IF(A943="","",VLOOKUP(A943,CadProd!$A:$C,3,0)),"")</f>
        <v/>
      </c>
    </row>
    <row r="944" spans="2:3" x14ac:dyDescent="0.3">
      <c r="B944" t="str">
        <f>IFERROR(IF(A944="","",VLOOKUP(A944,CadProd!$A:$B,2,0)),"")</f>
        <v/>
      </c>
      <c r="C944" t="str">
        <f>IFERROR(IF(A944="","",VLOOKUP(A944,CadProd!$A:$C,3,0)),"")</f>
        <v/>
      </c>
    </row>
    <row r="945" spans="2:3" x14ac:dyDescent="0.3">
      <c r="B945" t="str">
        <f>IFERROR(IF(A945="","",VLOOKUP(A945,CadProd!$A:$B,2,0)),"")</f>
        <v/>
      </c>
      <c r="C945" t="str">
        <f>IFERROR(IF(A945="","",VLOOKUP(A945,CadProd!$A:$C,3,0)),"")</f>
        <v/>
      </c>
    </row>
    <row r="946" spans="2:3" x14ac:dyDescent="0.3">
      <c r="B946" t="str">
        <f>IFERROR(IF(A946="","",VLOOKUP(A946,CadProd!$A:$B,2,0)),"")</f>
        <v/>
      </c>
      <c r="C946" t="str">
        <f>IFERROR(IF(A946="","",VLOOKUP(A946,CadProd!$A:$C,3,0)),"")</f>
        <v/>
      </c>
    </row>
    <row r="947" spans="2:3" x14ac:dyDescent="0.3">
      <c r="B947" t="str">
        <f>IFERROR(IF(A947="","",VLOOKUP(A947,CadProd!$A:$B,2,0)),"")</f>
        <v/>
      </c>
      <c r="C947" t="str">
        <f>IFERROR(IF(A947="","",VLOOKUP(A947,CadProd!$A:$C,3,0)),"")</f>
        <v/>
      </c>
    </row>
    <row r="948" spans="2:3" x14ac:dyDescent="0.3">
      <c r="B948" t="str">
        <f>IFERROR(IF(A948="","",VLOOKUP(A948,CadProd!$A:$B,2,0)),"")</f>
        <v/>
      </c>
      <c r="C948" t="str">
        <f>IFERROR(IF(A948="","",VLOOKUP(A948,CadProd!$A:$C,3,0)),"")</f>
        <v/>
      </c>
    </row>
    <row r="949" spans="2:3" x14ac:dyDescent="0.3">
      <c r="B949" t="str">
        <f>IFERROR(IF(A949="","",VLOOKUP(A949,CadProd!$A:$B,2,0)),"")</f>
        <v/>
      </c>
      <c r="C949" t="str">
        <f>IFERROR(IF(A949="","",VLOOKUP(A949,CadProd!$A:$C,3,0)),"")</f>
        <v/>
      </c>
    </row>
    <row r="950" spans="2:3" x14ac:dyDescent="0.3">
      <c r="B950" t="str">
        <f>IFERROR(IF(A950="","",VLOOKUP(A950,CadProd!$A:$B,2,0)),"")</f>
        <v/>
      </c>
      <c r="C950" t="str">
        <f>IFERROR(IF(A950="","",VLOOKUP(A950,CadProd!$A:$C,3,0)),"")</f>
        <v/>
      </c>
    </row>
    <row r="951" spans="2:3" x14ac:dyDescent="0.3">
      <c r="B951" t="str">
        <f>IFERROR(IF(A951="","",VLOOKUP(A951,CadProd!$A:$B,2,0)),"")</f>
        <v/>
      </c>
      <c r="C951" t="str">
        <f>IFERROR(IF(A951="","",VLOOKUP(A951,CadProd!$A:$C,3,0)),"")</f>
        <v/>
      </c>
    </row>
    <row r="952" spans="2:3" x14ac:dyDescent="0.3">
      <c r="B952" t="str">
        <f>IFERROR(IF(A952="","",VLOOKUP(A952,CadProd!$A:$B,2,0)),"")</f>
        <v/>
      </c>
      <c r="C952" t="str">
        <f>IFERROR(IF(A952="","",VLOOKUP(A952,CadProd!$A:$C,3,0)),"")</f>
        <v/>
      </c>
    </row>
    <row r="953" spans="2:3" x14ac:dyDescent="0.3">
      <c r="B953" t="str">
        <f>IFERROR(IF(A953="","",VLOOKUP(A953,CadProd!$A:$B,2,0)),"")</f>
        <v/>
      </c>
      <c r="C953" t="str">
        <f>IFERROR(IF(A953="","",VLOOKUP(A953,CadProd!$A:$C,3,0)),"")</f>
        <v/>
      </c>
    </row>
    <row r="954" spans="2:3" x14ac:dyDescent="0.3">
      <c r="B954" t="str">
        <f>IFERROR(IF(A954="","",VLOOKUP(A954,CadProd!$A:$B,2,0)),"")</f>
        <v/>
      </c>
      <c r="C954" t="str">
        <f>IFERROR(IF(A954="","",VLOOKUP(A954,CadProd!$A:$C,3,0)),"")</f>
        <v/>
      </c>
    </row>
    <row r="955" spans="2:3" x14ac:dyDescent="0.3">
      <c r="B955" t="str">
        <f>IFERROR(IF(A955="","",VLOOKUP(A955,CadProd!$A:$B,2,0)),"")</f>
        <v/>
      </c>
      <c r="C955" t="str">
        <f>IFERROR(IF(A955="","",VLOOKUP(A955,CadProd!$A:$C,3,0)),"")</f>
        <v/>
      </c>
    </row>
    <row r="956" spans="2:3" x14ac:dyDescent="0.3">
      <c r="B956" t="str">
        <f>IFERROR(IF(A956="","",VLOOKUP(A956,CadProd!$A:$B,2,0)),"")</f>
        <v/>
      </c>
      <c r="C956" t="str">
        <f>IFERROR(IF(A956="","",VLOOKUP(A956,CadProd!$A:$C,3,0)),"")</f>
        <v/>
      </c>
    </row>
    <row r="957" spans="2:3" x14ac:dyDescent="0.3">
      <c r="B957" t="str">
        <f>IFERROR(IF(A957="","",VLOOKUP(A957,CadProd!$A:$B,2,0)),"")</f>
        <v/>
      </c>
      <c r="C957" t="str">
        <f>IFERROR(IF(A957="","",VLOOKUP(A957,CadProd!$A:$C,3,0)),"")</f>
        <v/>
      </c>
    </row>
    <row r="958" spans="2:3" x14ac:dyDescent="0.3">
      <c r="B958" t="str">
        <f>IFERROR(IF(A958="","",VLOOKUP(A958,CadProd!$A:$B,2,0)),"")</f>
        <v/>
      </c>
      <c r="C958" t="str">
        <f>IFERROR(IF(A958="","",VLOOKUP(A958,CadProd!$A:$C,3,0)),"")</f>
        <v/>
      </c>
    </row>
    <row r="959" spans="2:3" x14ac:dyDescent="0.3">
      <c r="B959" t="str">
        <f>IFERROR(IF(A959="","",VLOOKUP(A959,CadProd!$A:$B,2,0)),"")</f>
        <v/>
      </c>
      <c r="C959" t="str">
        <f>IFERROR(IF(A959="","",VLOOKUP(A959,CadProd!$A:$C,3,0)),"")</f>
        <v/>
      </c>
    </row>
    <row r="960" spans="2:3" x14ac:dyDescent="0.3">
      <c r="B960" t="str">
        <f>IFERROR(IF(A960="","",VLOOKUP(A960,CadProd!$A:$B,2,0)),"")</f>
        <v/>
      </c>
      <c r="C960" t="str">
        <f>IFERROR(IF(A960="","",VLOOKUP(A960,CadProd!$A:$C,3,0)),"")</f>
        <v/>
      </c>
    </row>
    <row r="961" spans="2:3" x14ac:dyDescent="0.3">
      <c r="B961" t="str">
        <f>IFERROR(IF(A961="","",VLOOKUP(A961,CadProd!$A:$B,2,0)),"")</f>
        <v/>
      </c>
      <c r="C961" t="str">
        <f>IFERROR(IF(A961="","",VLOOKUP(A961,CadProd!$A:$C,3,0)),"")</f>
        <v/>
      </c>
    </row>
    <row r="962" spans="2:3" x14ac:dyDescent="0.3">
      <c r="B962" t="str">
        <f>IFERROR(IF(A962="","",VLOOKUP(A962,CadProd!$A:$B,2,0)),"")</f>
        <v/>
      </c>
      <c r="C962" t="str">
        <f>IFERROR(IF(A962="","",VLOOKUP(A962,CadProd!$A:$C,3,0)),"")</f>
        <v/>
      </c>
    </row>
    <row r="963" spans="2:3" x14ac:dyDescent="0.3">
      <c r="B963" t="str">
        <f>IFERROR(IF(A963="","",VLOOKUP(A963,CadProd!$A:$B,2,0)),"")</f>
        <v/>
      </c>
      <c r="C963" t="str">
        <f>IFERROR(IF(A963="","",VLOOKUP(A963,CadProd!$A:$C,3,0)),"")</f>
        <v/>
      </c>
    </row>
    <row r="964" spans="2:3" x14ac:dyDescent="0.3">
      <c r="B964" t="str">
        <f>IFERROR(IF(A964="","",VLOOKUP(A964,CadProd!$A:$B,2,0)),"")</f>
        <v/>
      </c>
      <c r="C964" t="str">
        <f>IFERROR(IF(A964="","",VLOOKUP(A964,CadProd!$A:$C,3,0)),"")</f>
        <v/>
      </c>
    </row>
    <row r="965" spans="2:3" x14ac:dyDescent="0.3">
      <c r="B965" t="str">
        <f>IFERROR(IF(A965="","",VLOOKUP(A965,CadProd!$A:$B,2,0)),"")</f>
        <v/>
      </c>
      <c r="C965" t="str">
        <f>IFERROR(IF(A965="","",VLOOKUP(A965,CadProd!$A:$C,3,0)),"")</f>
        <v/>
      </c>
    </row>
    <row r="966" spans="2:3" x14ac:dyDescent="0.3">
      <c r="B966" t="str">
        <f>IFERROR(IF(A966="","",VLOOKUP(A966,CadProd!$A:$B,2,0)),"")</f>
        <v/>
      </c>
      <c r="C966" t="str">
        <f>IFERROR(IF(A966="","",VLOOKUP(A966,CadProd!$A:$C,3,0)),"")</f>
        <v/>
      </c>
    </row>
    <row r="967" spans="2:3" x14ac:dyDescent="0.3">
      <c r="B967" t="str">
        <f>IFERROR(IF(A967="","",VLOOKUP(A967,CadProd!$A:$B,2,0)),"")</f>
        <v/>
      </c>
      <c r="C967" t="str">
        <f>IFERROR(IF(A967="","",VLOOKUP(A967,CadProd!$A:$C,3,0)),"")</f>
        <v/>
      </c>
    </row>
    <row r="968" spans="2:3" x14ac:dyDescent="0.3">
      <c r="B968" t="str">
        <f>IFERROR(IF(A968="","",VLOOKUP(A968,CadProd!$A:$B,2,0)),"")</f>
        <v/>
      </c>
      <c r="C968" t="str">
        <f>IFERROR(IF(A968="","",VLOOKUP(A968,CadProd!$A:$C,3,0)),"")</f>
        <v/>
      </c>
    </row>
    <row r="969" spans="2:3" x14ac:dyDescent="0.3">
      <c r="B969" t="str">
        <f>IFERROR(IF(A969="","",VLOOKUP(A969,CadProd!$A:$B,2,0)),"")</f>
        <v/>
      </c>
      <c r="C969" t="str">
        <f>IFERROR(IF(A969="","",VLOOKUP(A969,CadProd!$A:$C,3,0)),"")</f>
        <v/>
      </c>
    </row>
    <row r="970" spans="2:3" x14ac:dyDescent="0.3">
      <c r="B970" t="str">
        <f>IFERROR(IF(A970="","",VLOOKUP(A970,CadProd!$A:$B,2,0)),"")</f>
        <v/>
      </c>
      <c r="C970" t="str">
        <f>IFERROR(IF(A970="","",VLOOKUP(A970,CadProd!$A:$C,3,0)),"")</f>
        <v/>
      </c>
    </row>
    <row r="971" spans="2:3" x14ac:dyDescent="0.3">
      <c r="B971" t="str">
        <f>IFERROR(IF(A971="","",VLOOKUP(A971,CadProd!$A:$B,2,0)),"")</f>
        <v/>
      </c>
      <c r="C971" t="str">
        <f>IFERROR(IF(A971="","",VLOOKUP(A971,CadProd!$A:$C,3,0)),"")</f>
        <v/>
      </c>
    </row>
    <row r="972" spans="2:3" x14ac:dyDescent="0.3">
      <c r="B972" t="str">
        <f>IFERROR(IF(A972="","",VLOOKUP(A972,CadProd!$A:$B,2,0)),"")</f>
        <v/>
      </c>
      <c r="C972" t="str">
        <f>IFERROR(IF(A972="","",VLOOKUP(A972,CadProd!$A:$C,3,0)),"")</f>
        <v/>
      </c>
    </row>
    <row r="973" spans="2:3" x14ac:dyDescent="0.3">
      <c r="B973" t="str">
        <f>IFERROR(IF(A973="","",VLOOKUP(A973,CadProd!$A:$B,2,0)),"")</f>
        <v/>
      </c>
      <c r="C973" t="str">
        <f>IFERROR(IF(A973="","",VLOOKUP(A973,CadProd!$A:$C,3,0)),"")</f>
        <v/>
      </c>
    </row>
    <row r="974" spans="2:3" x14ac:dyDescent="0.3">
      <c r="B974" t="str">
        <f>IFERROR(IF(A974="","",VLOOKUP(A974,CadProd!$A:$B,2,0)),"")</f>
        <v/>
      </c>
      <c r="C974" t="str">
        <f>IFERROR(IF(A974="","",VLOOKUP(A974,CadProd!$A:$C,3,0)),"")</f>
        <v/>
      </c>
    </row>
    <row r="975" spans="2:3" x14ac:dyDescent="0.3">
      <c r="B975" t="str">
        <f>IFERROR(IF(A975="","",VLOOKUP(A975,CadProd!$A:$B,2,0)),"")</f>
        <v/>
      </c>
      <c r="C975" t="str">
        <f>IFERROR(IF(A975="","",VLOOKUP(A975,CadProd!$A:$C,3,0)),"")</f>
        <v/>
      </c>
    </row>
    <row r="976" spans="2:3" x14ac:dyDescent="0.3">
      <c r="B976" t="str">
        <f>IFERROR(IF(A976="","",VLOOKUP(A976,CadProd!$A:$B,2,0)),"")</f>
        <v/>
      </c>
      <c r="C976" t="str">
        <f>IFERROR(IF(A976="","",VLOOKUP(A976,CadProd!$A:$C,3,0)),"")</f>
        <v/>
      </c>
    </row>
    <row r="977" spans="2:3" x14ac:dyDescent="0.3">
      <c r="B977" t="str">
        <f>IFERROR(IF(A977="","",VLOOKUP(A977,CadProd!$A:$B,2,0)),"")</f>
        <v/>
      </c>
      <c r="C977" t="str">
        <f>IFERROR(IF(A977="","",VLOOKUP(A977,CadProd!$A:$C,3,0)),"")</f>
        <v/>
      </c>
    </row>
    <row r="978" spans="2:3" x14ac:dyDescent="0.3">
      <c r="B978" t="str">
        <f>IFERROR(IF(A978="","",VLOOKUP(A978,CadProd!$A:$B,2,0)),"")</f>
        <v/>
      </c>
      <c r="C978" t="str">
        <f>IFERROR(IF(A978="","",VLOOKUP(A978,CadProd!$A:$C,3,0)),"")</f>
        <v/>
      </c>
    </row>
    <row r="979" spans="2:3" x14ac:dyDescent="0.3">
      <c r="B979" t="str">
        <f>IFERROR(IF(A979="","",VLOOKUP(A979,CadProd!$A:$B,2,0)),"")</f>
        <v/>
      </c>
      <c r="C979" t="str">
        <f>IFERROR(IF(A979="","",VLOOKUP(A979,CadProd!$A:$C,3,0)),"")</f>
        <v/>
      </c>
    </row>
    <row r="980" spans="2:3" x14ac:dyDescent="0.3">
      <c r="B980" t="str">
        <f>IFERROR(IF(A980="","",VLOOKUP(A980,CadProd!$A:$B,2,0)),"")</f>
        <v/>
      </c>
      <c r="C980" t="str">
        <f>IFERROR(IF(A980="","",VLOOKUP(A980,CadProd!$A:$C,3,0)),"")</f>
        <v/>
      </c>
    </row>
    <row r="981" spans="2:3" x14ac:dyDescent="0.3">
      <c r="B981" t="str">
        <f>IFERROR(IF(A981="","",VLOOKUP(A981,CadProd!$A:$B,2,0)),"")</f>
        <v/>
      </c>
      <c r="C981" t="str">
        <f>IFERROR(IF(A981="","",VLOOKUP(A981,CadProd!$A:$C,3,0)),"")</f>
        <v/>
      </c>
    </row>
    <row r="982" spans="2:3" x14ac:dyDescent="0.3">
      <c r="B982" t="str">
        <f>IFERROR(IF(A982="","",VLOOKUP(A982,CadProd!$A:$B,2,0)),"")</f>
        <v/>
      </c>
      <c r="C982" t="str">
        <f>IFERROR(IF(A982="","",VLOOKUP(A982,CadProd!$A:$C,3,0)),"")</f>
        <v/>
      </c>
    </row>
    <row r="983" spans="2:3" x14ac:dyDescent="0.3">
      <c r="B983" t="str">
        <f>IFERROR(IF(A983="","",VLOOKUP(A983,CadProd!$A:$B,2,0)),"")</f>
        <v/>
      </c>
      <c r="C983" t="str">
        <f>IFERROR(IF(A983="","",VLOOKUP(A983,CadProd!$A:$C,3,0)),"")</f>
        <v/>
      </c>
    </row>
    <row r="984" spans="2:3" x14ac:dyDescent="0.3">
      <c r="B984" t="str">
        <f>IFERROR(IF(A984="","",VLOOKUP(A984,CadProd!$A:$B,2,0)),"")</f>
        <v/>
      </c>
      <c r="C984" t="str">
        <f>IFERROR(IF(A984="","",VLOOKUP(A984,CadProd!$A:$C,3,0)),"")</f>
        <v/>
      </c>
    </row>
    <row r="985" spans="2:3" x14ac:dyDescent="0.3">
      <c r="B985" t="str">
        <f>IFERROR(IF(A985="","",VLOOKUP(A985,CadProd!$A:$B,2,0)),"")</f>
        <v/>
      </c>
      <c r="C985" t="str">
        <f>IFERROR(IF(A985="","",VLOOKUP(A985,CadProd!$A:$C,3,0)),"")</f>
        <v/>
      </c>
    </row>
    <row r="986" spans="2:3" x14ac:dyDescent="0.3">
      <c r="B986" t="str">
        <f>IFERROR(IF(A986="","",VLOOKUP(A986,CadProd!$A:$B,2,0)),"")</f>
        <v/>
      </c>
      <c r="C986" t="str">
        <f>IFERROR(IF(A986="","",VLOOKUP(A986,CadProd!$A:$C,3,0)),"")</f>
        <v/>
      </c>
    </row>
    <row r="987" spans="2:3" x14ac:dyDescent="0.3">
      <c r="B987" t="str">
        <f>IFERROR(IF(A987="","",VLOOKUP(A987,CadProd!$A:$B,2,0)),"")</f>
        <v/>
      </c>
      <c r="C987" t="str">
        <f>IFERROR(IF(A987="","",VLOOKUP(A987,CadProd!$A:$C,3,0)),"")</f>
        <v/>
      </c>
    </row>
    <row r="988" spans="2:3" x14ac:dyDescent="0.3">
      <c r="B988" t="str">
        <f>IFERROR(IF(A988="","",VLOOKUP(A988,CadProd!$A:$B,2,0)),"")</f>
        <v/>
      </c>
      <c r="C988" t="str">
        <f>IFERROR(IF(A988="","",VLOOKUP(A988,CadProd!$A:$C,3,0)),"")</f>
        <v/>
      </c>
    </row>
    <row r="989" spans="2:3" x14ac:dyDescent="0.3">
      <c r="B989" t="str">
        <f>IFERROR(IF(A989="","",VLOOKUP(A989,CadProd!$A:$B,2,0)),"")</f>
        <v/>
      </c>
      <c r="C989" t="str">
        <f>IFERROR(IF(A989="","",VLOOKUP(A989,CadProd!$A:$C,3,0)),"")</f>
        <v/>
      </c>
    </row>
    <row r="990" spans="2:3" x14ac:dyDescent="0.3">
      <c r="B990" t="str">
        <f>IFERROR(IF(A990="","",VLOOKUP(A990,CadProd!$A:$B,2,0)),"")</f>
        <v/>
      </c>
      <c r="C990" t="str">
        <f>IFERROR(IF(A990="","",VLOOKUP(A990,CadProd!$A:$C,3,0)),"")</f>
        <v/>
      </c>
    </row>
    <row r="991" spans="2:3" x14ac:dyDescent="0.3">
      <c r="B991" t="str">
        <f>IFERROR(IF(A991="","",VLOOKUP(A991,CadProd!$A:$B,2,0)),"")</f>
        <v/>
      </c>
      <c r="C991" t="str">
        <f>IFERROR(IF(A991="","",VLOOKUP(A991,CadProd!$A:$C,3,0)),"")</f>
        <v/>
      </c>
    </row>
    <row r="992" spans="2:3" x14ac:dyDescent="0.3">
      <c r="B992" t="str">
        <f>IFERROR(IF(A992="","",VLOOKUP(A992,CadProd!$A:$B,2,0)),"")</f>
        <v/>
      </c>
      <c r="C992" t="str">
        <f>IFERROR(IF(A992="","",VLOOKUP(A992,CadProd!$A:$C,3,0)),"")</f>
        <v/>
      </c>
    </row>
    <row r="993" spans="2:3" x14ac:dyDescent="0.3">
      <c r="B993" t="str">
        <f>IFERROR(IF(A993="","",VLOOKUP(A993,CadProd!$A:$B,2,0)),"")</f>
        <v/>
      </c>
      <c r="C993" t="str">
        <f>IFERROR(IF(A993="","",VLOOKUP(A993,CadProd!$A:$C,3,0)),"")</f>
        <v/>
      </c>
    </row>
    <row r="994" spans="2:3" x14ac:dyDescent="0.3">
      <c r="B994" t="str">
        <f>IFERROR(IF(A994="","",VLOOKUP(A994,CadProd!$A:$B,2,0)),"")</f>
        <v/>
      </c>
      <c r="C994" t="str">
        <f>IFERROR(IF(A994="","",VLOOKUP(A994,CadProd!$A:$C,3,0)),"")</f>
        <v/>
      </c>
    </row>
    <row r="995" spans="2:3" x14ac:dyDescent="0.3">
      <c r="B995" t="str">
        <f>IFERROR(IF(A995="","",VLOOKUP(A995,CadProd!$A:$B,2,0)),"")</f>
        <v/>
      </c>
      <c r="C995" t="str">
        <f>IFERROR(IF(A995="","",VLOOKUP(A995,CadProd!$A:$C,3,0)),"")</f>
        <v/>
      </c>
    </row>
    <row r="996" spans="2:3" x14ac:dyDescent="0.3">
      <c r="B996" t="str">
        <f>IFERROR(IF(A996="","",VLOOKUP(A996,CadProd!$A:$B,2,0)),"")</f>
        <v/>
      </c>
      <c r="C996" t="str">
        <f>IFERROR(IF(A996="","",VLOOKUP(A996,CadProd!$A:$C,3,0)),"")</f>
        <v/>
      </c>
    </row>
    <row r="997" spans="2:3" x14ac:dyDescent="0.3">
      <c r="B997" t="str">
        <f>IFERROR(IF(A997="","",VLOOKUP(A997,CadProd!$A:$B,2,0)),"")</f>
        <v/>
      </c>
      <c r="C997" t="str">
        <f>IFERROR(IF(A997="","",VLOOKUP(A997,CadProd!$A:$C,3,0)),"")</f>
        <v/>
      </c>
    </row>
    <row r="998" spans="2:3" x14ac:dyDescent="0.3">
      <c r="B998" t="str">
        <f>IFERROR(IF(A998="","",VLOOKUP(A998,CadProd!$A:$B,2,0)),"")</f>
        <v/>
      </c>
      <c r="C998" t="str">
        <f>IFERROR(IF(A998="","",VLOOKUP(A998,CadProd!$A:$C,3,0)),"")</f>
        <v/>
      </c>
    </row>
    <row r="999" spans="2:3" x14ac:dyDescent="0.3">
      <c r="B999" t="str">
        <f>IFERROR(IF(A999="","",VLOOKUP(A999,CadProd!$A:$B,2,0)),"")</f>
        <v/>
      </c>
      <c r="C999" t="str">
        <f>IFERROR(IF(A999="","",VLOOKUP(A999,CadProd!$A:$C,3,0)),"")</f>
        <v/>
      </c>
    </row>
    <row r="1000" spans="2:3" x14ac:dyDescent="0.3">
      <c r="B1000" t="str">
        <f>IFERROR(IF(A1000="","",VLOOKUP(A1000,CadProd!$A:$B,2,0)),"")</f>
        <v/>
      </c>
      <c r="C1000" t="str">
        <f>IFERROR(IF(A1000="","",VLOOKUP(A1000,CadProd!$A:$C,3,0)),"")</f>
        <v/>
      </c>
    </row>
    <row r="1001" spans="2:3" x14ac:dyDescent="0.3">
      <c r="B1001" t="str">
        <f>IFERROR(IF(A1001="","",VLOOKUP(A1001,CadProd!$A:$B,2,0)),"")</f>
        <v/>
      </c>
      <c r="C1001" t="str">
        <f>IFERROR(IF(A1001="","",VLOOKUP(A1001,CadProd!$A:$C,3,0)),"")</f>
        <v/>
      </c>
    </row>
    <row r="1002" spans="2:3" x14ac:dyDescent="0.3">
      <c r="B1002" t="str">
        <f>IFERROR(IF(A1002="","",VLOOKUP(A1002,CadProd!$A:$B,2,0)),"")</f>
        <v/>
      </c>
      <c r="C1002" t="str">
        <f>IFERROR(IF(A1002="","",VLOOKUP(A1002,CadProd!$A:$C,3,0)),"")</f>
        <v/>
      </c>
    </row>
    <row r="1003" spans="2:3" x14ac:dyDescent="0.3">
      <c r="B1003" t="str">
        <f>IFERROR(IF(A1003="","",VLOOKUP(A1003,CadProd!$A:$B,2,0)),"")</f>
        <v/>
      </c>
      <c r="C1003" t="str">
        <f>IFERROR(IF(A1003="","",VLOOKUP(A1003,CadProd!$A:$C,3,0)),"")</f>
        <v/>
      </c>
    </row>
    <row r="1004" spans="2:3" x14ac:dyDescent="0.3">
      <c r="B1004" t="str">
        <f>IFERROR(IF(A1004="","",VLOOKUP(A1004,CadProd!$A:$B,2,0)),"")</f>
        <v/>
      </c>
      <c r="C1004" t="str">
        <f>IFERROR(IF(A1004="","",VLOOKUP(A1004,CadProd!$A:$C,3,0)),"")</f>
        <v/>
      </c>
    </row>
    <row r="1005" spans="2:3" x14ac:dyDescent="0.3">
      <c r="B1005" t="str">
        <f>IFERROR(IF(A1005="","",VLOOKUP(A1005,CadProd!$A:$B,2,0)),"")</f>
        <v/>
      </c>
      <c r="C1005" t="str">
        <f>IFERROR(IF(A1005="","",VLOOKUP(A1005,CadProd!$A:$C,3,0)),"")</f>
        <v/>
      </c>
    </row>
    <row r="1006" spans="2:3" x14ac:dyDescent="0.3">
      <c r="B1006" t="str">
        <f>IFERROR(IF(A1006="","",VLOOKUP(A1006,CadProd!$A:$B,2,0)),"")</f>
        <v/>
      </c>
      <c r="C1006" t="str">
        <f>IFERROR(IF(A1006="","",VLOOKUP(A1006,CadProd!$A:$C,3,0)),"")</f>
        <v/>
      </c>
    </row>
    <row r="1007" spans="2:3" x14ac:dyDescent="0.3">
      <c r="B1007" t="str">
        <f>IFERROR(IF(A1007="","",VLOOKUP(A1007,CadProd!$A:$B,2,0)),"")</f>
        <v/>
      </c>
      <c r="C1007" t="str">
        <f>IFERROR(IF(A1007="","",VLOOKUP(A1007,CadProd!$A:$C,3,0)),"")</f>
        <v/>
      </c>
    </row>
    <row r="1008" spans="2:3" x14ac:dyDescent="0.3">
      <c r="B1008" t="str">
        <f>IFERROR(IF(A1008="","",VLOOKUP(A1008,CadProd!$A:$B,2,0)),"")</f>
        <v/>
      </c>
      <c r="C1008" t="str">
        <f>IFERROR(IF(A1008="","",VLOOKUP(A1008,CadProd!$A:$C,3,0)),"")</f>
        <v/>
      </c>
    </row>
    <row r="1009" spans="2:3" x14ac:dyDescent="0.3">
      <c r="B1009" t="str">
        <f>IFERROR(IF(A1009="","",VLOOKUP(A1009,CadProd!$A:$B,2,0)),"")</f>
        <v/>
      </c>
      <c r="C1009" t="str">
        <f>IFERROR(IF(A1009="","",VLOOKUP(A1009,CadProd!$A:$C,3,0)),"")</f>
        <v/>
      </c>
    </row>
    <row r="1010" spans="2:3" x14ac:dyDescent="0.3">
      <c r="B1010" t="str">
        <f>IFERROR(IF(A1010="","",VLOOKUP(A1010,CadProd!$A:$B,2,0)),"")</f>
        <v/>
      </c>
      <c r="C1010" t="str">
        <f>IFERROR(IF(A1010="","",VLOOKUP(A1010,CadProd!$A:$C,3,0)),"")</f>
        <v/>
      </c>
    </row>
    <row r="1011" spans="2:3" x14ac:dyDescent="0.3">
      <c r="B1011" t="str">
        <f>IFERROR(IF(A1011="","",VLOOKUP(A1011,CadProd!$A:$B,2,0)),"")</f>
        <v/>
      </c>
      <c r="C1011" t="str">
        <f>IFERROR(IF(A1011="","",VLOOKUP(A1011,CadProd!$A:$C,3,0)),"")</f>
        <v/>
      </c>
    </row>
    <row r="1012" spans="2:3" x14ac:dyDescent="0.3">
      <c r="B1012" t="str">
        <f>IFERROR(IF(A1012="","",VLOOKUP(A1012,CadProd!$A:$B,2,0)),"")</f>
        <v/>
      </c>
      <c r="C1012" t="str">
        <f>IFERROR(IF(A1012="","",VLOOKUP(A1012,CadProd!$A:$C,3,0)),"")</f>
        <v/>
      </c>
    </row>
    <row r="1013" spans="2:3" x14ac:dyDescent="0.3">
      <c r="B1013" t="str">
        <f>IFERROR(IF(A1013="","",VLOOKUP(A1013,CadProd!$A:$B,2,0)),"")</f>
        <v/>
      </c>
      <c r="C1013" t="str">
        <f>IFERROR(IF(A1013="","",VLOOKUP(A1013,CadProd!$A:$C,3,0)),"")</f>
        <v/>
      </c>
    </row>
    <row r="1014" spans="2:3" x14ac:dyDescent="0.3">
      <c r="B1014" t="str">
        <f>IFERROR(IF(A1014="","",VLOOKUP(A1014,CadProd!$A:$B,2,0)),"")</f>
        <v/>
      </c>
      <c r="C1014" t="str">
        <f>IFERROR(IF(A1014="","",VLOOKUP(A1014,CadProd!$A:$C,3,0)),"")</f>
        <v/>
      </c>
    </row>
    <row r="1015" spans="2:3" x14ac:dyDescent="0.3">
      <c r="B1015" t="str">
        <f>IFERROR(IF(A1015="","",VLOOKUP(A1015,CadProd!$A:$B,2,0)),"")</f>
        <v/>
      </c>
      <c r="C1015" t="str">
        <f>IFERROR(IF(A1015="","",VLOOKUP(A1015,CadProd!$A:$C,3,0)),"")</f>
        <v/>
      </c>
    </row>
    <row r="1016" spans="2:3" x14ac:dyDescent="0.3">
      <c r="B1016" t="str">
        <f>IFERROR(IF(A1016="","",VLOOKUP(A1016,CadProd!$A:$B,2,0)),"")</f>
        <v/>
      </c>
      <c r="C1016" t="str">
        <f>IFERROR(IF(A1016="","",VLOOKUP(A1016,CadProd!$A:$C,3,0)),"")</f>
        <v/>
      </c>
    </row>
    <row r="1017" spans="2:3" x14ac:dyDescent="0.3">
      <c r="B1017" t="str">
        <f>IFERROR(IF(A1017="","",VLOOKUP(A1017,CadProd!$A:$B,2,0)),"")</f>
        <v/>
      </c>
      <c r="C1017" t="str">
        <f>IFERROR(IF(A1017="","",VLOOKUP(A1017,CadProd!$A:$C,3,0)),"")</f>
        <v/>
      </c>
    </row>
    <row r="1018" spans="2:3" x14ac:dyDescent="0.3">
      <c r="B1018" t="str">
        <f>IFERROR(IF(A1018="","",VLOOKUP(A1018,CadProd!$A:$B,2,0)),"")</f>
        <v/>
      </c>
      <c r="C1018" t="str">
        <f>IFERROR(IF(A1018="","",VLOOKUP(A1018,CadProd!$A:$C,3,0)),"")</f>
        <v/>
      </c>
    </row>
    <row r="1019" spans="2:3" x14ac:dyDescent="0.3">
      <c r="B1019" t="str">
        <f>IFERROR(IF(A1019="","",VLOOKUP(A1019,CadProd!$A:$B,2,0)),"")</f>
        <v/>
      </c>
      <c r="C1019" t="str">
        <f>IFERROR(IF(A1019="","",VLOOKUP(A1019,CadProd!$A:$C,3,0)),"")</f>
        <v/>
      </c>
    </row>
    <row r="1020" spans="2:3" x14ac:dyDescent="0.3">
      <c r="B1020" t="str">
        <f>IFERROR(IF(A1020="","",VLOOKUP(A1020,CadProd!$A:$B,2,0)),"")</f>
        <v/>
      </c>
      <c r="C1020" t="str">
        <f>IFERROR(IF(A1020="","",VLOOKUP(A1020,CadProd!$A:$C,3,0)),"")</f>
        <v/>
      </c>
    </row>
    <row r="1021" spans="2:3" x14ac:dyDescent="0.3">
      <c r="B1021" t="str">
        <f>IFERROR(IF(A1021="","",VLOOKUP(A1021,CadProd!$A:$B,2,0)),"")</f>
        <v/>
      </c>
      <c r="C1021" t="str">
        <f>IFERROR(IF(A1021="","",VLOOKUP(A1021,CadProd!$A:$C,3,0)),"")</f>
        <v/>
      </c>
    </row>
    <row r="1022" spans="2:3" x14ac:dyDescent="0.3">
      <c r="B1022" t="str">
        <f>IFERROR(IF(A1022="","",VLOOKUP(A1022,CadProd!$A:$B,2,0)),"")</f>
        <v/>
      </c>
      <c r="C1022" t="str">
        <f>IFERROR(IF(A1022="","",VLOOKUP(A1022,CadProd!$A:$C,3,0)),"")</f>
        <v/>
      </c>
    </row>
    <row r="1023" spans="2:3" x14ac:dyDescent="0.3">
      <c r="B1023" t="str">
        <f>IFERROR(IF(A1023="","",VLOOKUP(A1023,CadProd!$A:$B,2,0)),"")</f>
        <v/>
      </c>
      <c r="C1023" t="str">
        <f>IFERROR(IF(A1023="","",VLOOKUP(A1023,CadProd!$A:$C,3,0)),"")</f>
        <v/>
      </c>
    </row>
    <row r="1024" spans="2:3" x14ac:dyDescent="0.3">
      <c r="B1024" t="str">
        <f>IFERROR(IF(A1024="","",VLOOKUP(A1024,CadProd!$A:$B,2,0)),"")</f>
        <v/>
      </c>
      <c r="C1024" t="str">
        <f>IFERROR(IF(A1024="","",VLOOKUP(A1024,CadProd!$A:$C,3,0)),"")</f>
        <v/>
      </c>
    </row>
    <row r="1025" spans="2:3" x14ac:dyDescent="0.3">
      <c r="B1025" t="str">
        <f>IFERROR(IF(A1025="","",VLOOKUP(A1025,CadProd!$A:$B,2,0)),"")</f>
        <v/>
      </c>
      <c r="C1025" t="str">
        <f>IFERROR(IF(A1025="","",VLOOKUP(A1025,CadProd!$A:$C,3,0)),"")</f>
        <v/>
      </c>
    </row>
    <row r="1026" spans="2:3" x14ac:dyDescent="0.3">
      <c r="B1026" t="str">
        <f>IFERROR(IF(A1026="","",VLOOKUP(A1026,CadProd!$A:$B,2,0)),"")</f>
        <v/>
      </c>
      <c r="C1026" t="str">
        <f>IFERROR(IF(A1026="","",VLOOKUP(A1026,CadProd!$A:$C,3,0)),"")</f>
        <v/>
      </c>
    </row>
    <row r="1027" spans="2:3" x14ac:dyDescent="0.3">
      <c r="B1027" t="str">
        <f>IFERROR(IF(A1027="","",VLOOKUP(A1027,CadProd!$A:$B,2,0)),"")</f>
        <v/>
      </c>
      <c r="C1027" t="str">
        <f>IFERROR(IF(A1027="","",VLOOKUP(A1027,CadProd!$A:$C,3,0)),"")</f>
        <v/>
      </c>
    </row>
    <row r="1028" spans="2:3" x14ac:dyDescent="0.3">
      <c r="B1028" t="str">
        <f>IFERROR(IF(A1028="","",VLOOKUP(A1028,CadProd!$A:$B,2,0)),"")</f>
        <v/>
      </c>
      <c r="C1028" t="str">
        <f>IFERROR(IF(A1028="","",VLOOKUP(A1028,CadProd!$A:$C,3,0)),"")</f>
        <v/>
      </c>
    </row>
    <row r="1029" spans="2:3" x14ac:dyDescent="0.3">
      <c r="B1029" t="str">
        <f>IFERROR(IF(A1029="","",VLOOKUP(A1029,CadProd!$A:$B,2,0)),"")</f>
        <v/>
      </c>
      <c r="C1029" t="str">
        <f>IFERROR(IF(A1029="","",VLOOKUP(A1029,CadProd!$A:$C,3,0)),"")</f>
        <v/>
      </c>
    </row>
    <row r="1030" spans="2:3" x14ac:dyDescent="0.3">
      <c r="B1030" t="str">
        <f>IFERROR(IF(A1030="","",VLOOKUP(A1030,CadProd!$A:$B,2,0)),"")</f>
        <v/>
      </c>
      <c r="C1030" t="str">
        <f>IFERROR(IF(A1030="","",VLOOKUP(A1030,CadProd!$A:$C,3,0)),"")</f>
        <v/>
      </c>
    </row>
    <row r="1031" spans="2:3" x14ac:dyDescent="0.3">
      <c r="B1031" t="str">
        <f>IFERROR(IF(A1031="","",VLOOKUP(A1031,CadProd!$A:$B,2,0)),"")</f>
        <v/>
      </c>
      <c r="C1031" t="str">
        <f>IFERROR(IF(A1031="","",VLOOKUP(A1031,CadProd!$A:$C,3,0)),"")</f>
        <v/>
      </c>
    </row>
    <row r="1032" spans="2:3" x14ac:dyDescent="0.3">
      <c r="B1032" t="str">
        <f>IFERROR(IF(A1032="","",VLOOKUP(A1032,CadProd!$A:$B,2,0)),"")</f>
        <v/>
      </c>
      <c r="C1032" t="str">
        <f>IFERROR(IF(A1032="","",VLOOKUP(A1032,CadProd!$A:$C,3,0)),"")</f>
        <v/>
      </c>
    </row>
    <row r="1033" spans="2:3" x14ac:dyDescent="0.3">
      <c r="B1033" t="str">
        <f>IFERROR(IF(A1033="","",VLOOKUP(A1033,CadProd!$A:$B,2,0)),"")</f>
        <v/>
      </c>
      <c r="C1033" t="str">
        <f>IFERROR(IF(A1033="","",VLOOKUP(A1033,CadProd!$A:$C,3,0)),"")</f>
        <v/>
      </c>
    </row>
    <row r="1034" spans="2:3" x14ac:dyDescent="0.3">
      <c r="B1034" t="str">
        <f>IFERROR(IF(A1034="","",VLOOKUP(A1034,CadProd!$A:$B,2,0)),"")</f>
        <v/>
      </c>
      <c r="C1034" t="str">
        <f>IFERROR(IF(A1034="","",VLOOKUP(A1034,CadProd!$A:$C,3,0)),"")</f>
        <v/>
      </c>
    </row>
    <row r="1035" spans="2:3" x14ac:dyDescent="0.3">
      <c r="B1035" t="str">
        <f>IFERROR(IF(A1035="","",VLOOKUP(A1035,CadProd!$A:$B,2,0)),"")</f>
        <v/>
      </c>
      <c r="C1035" t="str">
        <f>IFERROR(IF(A1035="","",VLOOKUP(A1035,CadProd!$A:$C,3,0)),"")</f>
        <v/>
      </c>
    </row>
    <row r="1036" spans="2:3" x14ac:dyDescent="0.3">
      <c r="B1036" t="str">
        <f>IFERROR(IF(A1036="","",VLOOKUP(A1036,CadProd!$A:$B,2,0)),"")</f>
        <v/>
      </c>
      <c r="C1036" t="str">
        <f>IFERROR(IF(A1036="","",VLOOKUP(A1036,CadProd!$A:$C,3,0)),"")</f>
        <v/>
      </c>
    </row>
    <row r="1037" spans="2:3" x14ac:dyDescent="0.3">
      <c r="B1037" t="str">
        <f>IFERROR(IF(A1037="","",VLOOKUP(A1037,CadProd!$A:$B,2,0)),"")</f>
        <v/>
      </c>
      <c r="C1037" t="str">
        <f>IFERROR(IF(A1037="","",VLOOKUP(A1037,CadProd!$A:$C,3,0)),"")</f>
        <v/>
      </c>
    </row>
    <row r="1038" spans="2:3" x14ac:dyDescent="0.3">
      <c r="B1038" t="str">
        <f>IFERROR(IF(A1038="","",VLOOKUP(A1038,CadProd!$A:$B,2,0)),"")</f>
        <v/>
      </c>
      <c r="C1038" t="str">
        <f>IFERROR(IF(A1038="","",VLOOKUP(A1038,CadProd!$A:$C,3,0)),"")</f>
        <v/>
      </c>
    </row>
    <row r="1039" spans="2:3" x14ac:dyDescent="0.3">
      <c r="B1039" t="str">
        <f>IFERROR(IF(A1039="","",VLOOKUP(A1039,CadProd!$A:$B,2,0)),"")</f>
        <v/>
      </c>
      <c r="C1039" t="str">
        <f>IFERROR(IF(A1039="","",VLOOKUP(A1039,CadProd!$A:$C,3,0)),"")</f>
        <v/>
      </c>
    </row>
    <row r="1040" spans="2:3" x14ac:dyDescent="0.3">
      <c r="B1040" t="str">
        <f>IFERROR(IF(A1040="","",VLOOKUP(A1040,CadProd!$A:$B,2,0)),"")</f>
        <v/>
      </c>
      <c r="C1040" t="str">
        <f>IFERROR(IF(A1040="","",VLOOKUP(A1040,CadProd!$A:$C,3,0)),"")</f>
        <v/>
      </c>
    </row>
    <row r="1041" spans="2:3" x14ac:dyDescent="0.3">
      <c r="B1041" t="str">
        <f>IFERROR(IF(A1041="","",VLOOKUP(A1041,CadProd!$A:$B,2,0)),"")</f>
        <v/>
      </c>
      <c r="C1041" t="str">
        <f>IFERROR(IF(A1041="","",VLOOKUP(A1041,CadProd!$A:$C,3,0)),"")</f>
        <v/>
      </c>
    </row>
    <row r="1042" spans="2:3" x14ac:dyDescent="0.3">
      <c r="B1042" t="str">
        <f>IFERROR(IF(A1042="","",VLOOKUP(A1042,CadProd!$A:$B,2,0)),"")</f>
        <v/>
      </c>
      <c r="C1042" t="str">
        <f>IFERROR(IF(A1042="","",VLOOKUP(A1042,CadProd!$A:$C,3,0)),"")</f>
        <v/>
      </c>
    </row>
    <row r="1043" spans="2:3" x14ac:dyDescent="0.3">
      <c r="B1043" t="str">
        <f>IFERROR(IF(A1043="","",VLOOKUP(A1043,CadProd!$A:$B,2,0)),"")</f>
        <v/>
      </c>
      <c r="C1043" t="str">
        <f>IFERROR(IF(A1043="","",VLOOKUP(A1043,CadProd!$A:$C,3,0)),"")</f>
        <v/>
      </c>
    </row>
    <row r="1044" spans="2:3" x14ac:dyDescent="0.3">
      <c r="B1044" t="str">
        <f>IFERROR(IF(A1044="","",VLOOKUP(A1044,CadProd!$A:$B,2,0)),"")</f>
        <v/>
      </c>
      <c r="C1044" t="str">
        <f>IFERROR(IF(A1044="","",VLOOKUP(A1044,CadProd!$A:$C,3,0)),"")</f>
        <v/>
      </c>
    </row>
    <row r="1045" spans="2:3" x14ac:dyDescent="0.3">
      <c r="B1045" t="str">
        <f>IFERROR(IF(A1045="","",VLOOKUP(A1045,CadProd!$A:$B,2,0)),"")</f>
        <v/>
      </c>
      <c r="C1045" t="str">
        <f>IFERROR(IF(A1045="","",VLOOKUP(A1045,CadProd!$A:$C,3,0)),"")</f>
        <v/>
      </c>
    </row>
    <row r="1046" spans="2:3" x14ac:dyDescent="0.3">
      <c r="B1046" t="str">
        <f>IFERROR(IF(A1046="","",VLOOKUP(A1046,CadProd!$A:$B,2,0)),"")</f>
        <v/>
      </c>
      <c r="C1046" t="str">
        <f>IFERROR(IF(A1046="","",VLOOKUP(A1046,CadProd!$A:$C,3,0)),"")</f>
        <v/>
      </c>
    </row>
    <row r="1047" spans="2:3" x14ac:dyDescent="0.3">
      <c r="B1047" t="str">
        <f>IFERROR(IF(A1047="","",VLOOKUP(A1047,CadProd!$A:$B,2,0)),"")</f>
        <v/>
      </c>
      <c r="C1047" t="str">
        <f>IFERROR(IF(A1047="","",VLOOKUP(A1047,CadProd!$A:$C,3,0)),"")</f>
        <v/>
      </c>
    </row>
    <row r="1048" spans="2:3" x14ac:dyDescent="0.3">
      <c r="B1048" t="str">
        <f>IFERROR(IF(A1048="","",VLOOKUP(A1048,CadProd!$A:$B,2,0)),"")</f>
        <v/>
      </c>
      <c r="C1048" t="str">
        <f>IFERROR(IF(A1048="","",VLOOKUP(A1048,CadProd!$A:$C,3,0)),"")</f>
        <v/>
      </c>
    </row>
    <row r="1049" spans="2:3" x14ac:dyDescent="0.3">
      <c r="B1049" t="str">
        <f>IFERROR(IF(A1049="","",VLOOKUP(A1049,CadProd!$A:$B,2,0)),"")</f>
        <v/>
      </c>
      <c r="C1049" t="str">
        <f>IFERROR(IF(A1049="","",VLOOKUP(A1049,CadProd!$A:$C,3,0)),"")</f>
        <v/>
      </c>
    </row>
    <row r="1050" spans="2:3" x14ac:dyDescent="0.3">
      <c r="B1050" t="str">
        <f>IFERROR(IF(A1050="","",VLOOKUP(A1050,CadProd!$A:$B,2,0)),"")</f>
        <v/>
      </c>
      <c r="C1050" t="str">
        <f>IFERROR(IF(A1050="","",VLOOKUP(A1050,CadProd!$A:$C,3,0)),"")</f>
        <v/>
      </c>
    </row>
    <row r="1051" spans="2:3" x14ac:dyDescent="0.3">
      <c r="B1051" t="str">
        <f>IFERROR(IF(A1051="","",VLOOKUP(A1051,CadProd!$A:$B,2,0)),"")</f>
        <v/>
      </c>
      <c r="C1051" t="str">
        <f>IFERROR(IF(A1051="","",VLOOKUP(A1051,CadProd!$A:$C,3,0)),"")</f>
        <v/>
      </c>
    </row>
    <row r="1052" spans="2:3" x14ac:dyDescent="0.3">
      <c r="B1052" t="str">
        <f>IFERROR(IF(A1052="","",VLOOKUP(A1052,CadProd!$A:$B,2,0)),"")</f>
        <v/>
      </c>
      <c r="C1052" t="str">
        <f>IFERROR(IF(A1052="","",VLOOKUP(A1052,CadProd!$A:$C,3,0)),"")</f>
        <v/>
      </c>
    </row>
    <row r="1053" spans="2:3" x14ac:dyDescent="0.3">
      <c r="B1053" t="str">
        <f>IFERROR(IF(A1053="","",VLOOKUP(A1053,CadProd!$A:$B,2,0)),"")</f>
        <v/>
      </c>
      <c r="C1053" t="str">
        <f>IFERROR(IF(A1053="","",VLOOKUP(A1053,CadProd!$A:$C,3,0)),"")</f>
        <v/>
      </c>
    </row>
    <row r="1054" spans="2:3" x14ac:dyDescent="0.3">
      <c r="B1054" t="str">
        <f>IFERROR(IF(A1054="","",VLOOKUP(A1054,CadProd!$A:$B,2,0)),"")</f>
        <v/>
      </c>
      <c r="C1054" t="str">
        <f>IFERROR(IF(A1054="","",VLOOKUP(A1054,CadProd!$A:$C,3,0)),"")</f>
        <v/>
      </c>
    </row>
    <row r="1055" spans="2:3" x14ac:dyDescent="0.3">
      <c r="B1055" t="str">
        <f>IFERROR(IF(A1055="","",VLOOKUP(A1055,CadProd!$A:$B,2,0)),"")</f>
        <v/>
      </c>
      <c r="C1055" t="str">
        <f>IFERROR(IF(A1055="","",VLOOKUP(A1055,CadProd!$A:$C,3,0)),"")</f>
        <v/>
      </c>
    </row>
    <row r="1056" spans="2:3" x14ac:dyDescent="0.3">
      <c r="B1056" t="str">
        <f>IFERROR(IF(A1056="","",VLOOKUP(A1056,CadProd!$A:$B,2,0)),"")</f>
        <v/>
      </c>
      <c r="C1056" t="str">
        <f>IFERROR(IF(A1056="","",VLOOKUP(A1056,CadProd!$A:$C,3,0)),"")</f>
        <v/>
      </c>
    </row>
    <row r="1057" spans="2:3" x14ac:dyDescent="0.3">
      <c r="B1057" t="str">
        <f>IFERROR(IF(A1057="","",VLOOKUP(A1057,CadProd!$A:$B,2,0)),"")</f>
        <v/>
      </c>
      <c r="C1057" t="str">
        <f>IFERROR(IF(A1057="","",VLOOKUP(A1057,CadProd!$A:$C,3,0)),"")</f>
        <v/>
      </c>
    </row>
    <row r="1058" spans="2:3" x14ac:dyDescent="0.3">
      <c r="B1058" t="str">
        <f>IFERROR(IF(A1058="","",VLOOKUP(A1058,CadProd!$A:$B,2,0)),"")</f>
        <v/>
      </c>
      <c r="C1058" t="str">
        <f>IFERROR(IF(A1058="","",VLOOKUP(A1058,CadProd!$A:$C,3,0)),"")</f>
        <v/>
      </c>
    </row>
    <row r="1059" spans="2:3" x14ac:dyDescent="0.3">
      <c r="B1059" t="str">
        <f>IFERROR(IF(A1059="","",VLOOKUP(A1059,CadProd!$A:$B,2,0)),"")</f>
        <v/>
      </c>
      <c r="C1059" t="str">
        <f>IFERROR(IF(A1059="","",VLOOKUP(A1059,CadProd!$A:$C,3,0)),"")</f>
        <v/>
      </c>
    </row>
    <row r="1060" spans="2:3" x14ac:dyDescent="0.3">
      <c r="B1060" t="str">
        <f>IFERROR(IF(A1060="","",VLOOKUP(A1060,CadProd!$A:$B,2,0)),"")</f>
        <v/>
      </c>
      <c r="C1060" t="str">
        <f>IFERROR(IF(A1060="","",VLOOKUP(A1060,CadProd!$A:$C,3,0)),"")</f>
        <v/>
      </c>
    </row>
    <row r="1061" spans="2:3" x14ac:dyDescent="0.3">
      <c r="B1061" t="str">
        <f>IFERROR(IF(A1061="","",VLOOKUP(A1061,CadProd!$A:$B,2,0)),"")</f>
        <v/>
      </c>
      <c r="C1061" t="str">
        <f>IFERROR(IF(A1061="","",VLOOKUP(A1061,CadProd!$A:$C,3,0)),"")</f>
        <v/>
      </c>
    </row>
    <row r="1062" spans="2:3" x14ac:dyDescent="0.3">
      <c r="B1062" t="str">
        <f>IFERROR(IF(A1062="","",VLOOKUP(A1062,CadProd!$A:$B,2,0)),"")</f>
        <v/>
      </c>
      <c r="C1062" t="str">
        <f>IFERROR(IF(A1062="","",VLOOKUP(A1062,CadProd!$A:$C,3,0)),"")</f>
        <v/>
      </c>
    </row>
    <row r="1063" spans="2:3" x14ac:dyDescent="0.3">
      <c r="B1063" t="str">
        <f>IFERROR(IF(A1063="","",VLOOKUP(A1063,CadProd!$A:$B,2,0)),"")</f>
        <v/>
      </c>
      <c r="C1063" t="str">
        <f>IFERROR(IF(A1063="","",VLOOKUP(A1063,CadProd!$A:$C,3,0)),"")</f>
        <v/>
      </c>
    </row>
    <row r="1064" spans="2:3" x14ac:dyDescent="0.3">
      <c r="B1064" t="str">
        <f>IFERROR(IF(A1064="","",VLOOKUP(A1064,CadProd!$A:$B,2,0)),"")</f>
        <v/>
      </c>
      <c r="C1064" t="str">
        <f>IFERROR(IF(A1064="","",VLOOKUP(A1064,CadProd!$A:$C,3,0)),"")</f>
        <v/>
      </c>
    </row>
    <row r="1065" spans="2:3" x14ac:dyDescent="0.3">
      <c r="B1065" t="str">
        <f>IFERROR(IF(A1065="","",VLOOKUP(A1065,CadProd!$A:$B,2,0)),"")</f>
        <v/>
      </c>
      <c r="C1065" t="str">
        <f>IFERROR(IF(A1065="","",VLOOKUP(A1065,CadProd!$A:$C,3,0)),"")</f>
        <v/>
      </c>
    </row>
    <row r="1066" spans="2:3" x14ac:dyDescent="0.3">
      <c r="B1066" t="str">
        <f>IFERROR(IF(A1066="","",VLOOKUP(A1066,CadProd!$A:$B,2,0)),"")</f>
        <v/>
      </c>
      <c r="C1066" t="str">
        <f>IFERROR(IF(A1066="","",VLOOKUP(A1066,CadProd!$A:$C,3,0)),"")</f>
        <v/>
      </c>
    </row>
    <row r="1067" spans="2:3" x14ac:dyDescent="0.3">
      <c r="B1067" t="str">
        <f>IFERROR(IF(A1067="","",VLOOKUP(A1067,CadProd!$A:$B,2,0)),"")</f>
        <v/>
      </c>
      <c r="C1067" t="str">
        <f>IFERROR(IF(A1067="","",VLOOKUP(A1067,CadProd!$A:$C,3,0)),"")</f>
        <v/>
      </c>
    </row>
    <row r="1068" spans="2:3" x14ac:dyDescent="0.3">
      <c r="B1068" t="str">
        <f>IFERROR(IF(A1068="","",VLOOKUP(A1068,CadProd!$A:$B,2,0)),"")</f>
        <v/>
      </c>
      <c r="C1068" t="str">
        <f>IFERROR(IF(A1068="","",VLOOKUP(A1068,CadProd!$A:$C,3,0)),"")</f>
        <v/>
      </c>
    </row>
    <row r="1069" spans="2:3" x14ac:dyDescent="0.3">
      <c r="B1069" t="str">
        <f>IFERROR(IF(A1069="","",VLOOKUP(A1069,CadProd!$A:$B,2,0)),"")</f>
        <v/>
      </c>
      <c r="C1069" t="str">
        <f>IFERROR(IF(A1069="","",VLOOKUP(A1069,CadProd!$A:$C,3,0)),"")</f>
        <v/>
      </c>
    </row>
    <row r="1070" spans="2:3" x14ac:dyDescent="0.3">
      <c r="B1070" t="str">
        <f>IFERROR(IF(A1070="","",VLOOKUP(A1070,CadProd!$A:$B,2,0)),"")</f>
        <v/>
      </c>
      <c r="C1070" t="str">
        <f>IFERROR(IF(A1070="","",VLOOKUP(A1070,CadProd!$A:$C,3,0)),"")</f>
        <v/>
      </c>
    </row>
    <row r="1071" spans="2:3" x14ac:dyDescent="0.3">
      <c r="B1071" t="str">
        <f>IFERROR(IF(A1071="","",VLOOKUP(A1071,CadProd!$A:$B,2,0)),"")</f>
        <v/>
      </c>
      <c r="C1071" t="str">
        <f>IFERROR(IF(A1071="","",VLOOKUP(A1071,CadProd!$A:$C,3,0)),"")</f>
        <v/>
      </c>
    </row>
    <row r="1072" spans="2:3" x14ac:dyDescent="0.3">
      <c r="B1072" t="str">
        <f>IFERROR(IF(A1072="","",VLOOKUP(A1072,CadProd!$A:$B,2,0)),"")</f>
        <v/>
      </c>
      <c r="C1072" t="str">
        <f>IFERROR(IF(A1072="","",VLOOKUP(A1072,CadProd!$A:$C,3,0)),"")</f>
        <v/>
      </c>
    </row>
    <row r="1073" spans="2:3" x14ac:dyDescent="0.3">
      <c r="B1073" t="str">
        <f>IFERROR(IF(A1073="","",VLOOKUP(A1073,CadProd!$A:$B,2,0)),"")</f>
        <v/>
      </c>
      <c r="C1073" t="str">
        <f>IFERROR(IF(A1073="","",VLOOKUP(A1073,CadProd!$A:$C,3,0)),"")</f>
        <v/>
      </c>
    </row>
    <row r="1074" spans="2:3" x14ac:dyDescent="0.3">
      <c r="B1074" t="str">
        <f>IFERROR(IF(A1074="","",VLOOKUP(A1074,CadProd!$A:$B,2,0)),"")</f>
        <v/>
      </c>
      <c r="C1074" t="str">
        <f>IFERROR(IF(A1074="","",VLOOKUP(A1074,CadProd!$A:$C,3,0)),"")</f>
        <v/>
      </c>
    </row>
    <row r="1075" spans="2:3" x14ac:dyDescent="0.3">
      <c r="B1075" t="str">
        <f>IFERROR(IF(A1075="","",VLOOKUP(A1075,CadProd!$A:$B,2,0)),"")</f>
        <v/>
      </c>
      <c r="C1075" t="str">
        <f>IFERROR(IF(A1075="","",VLOOKUP(A1075,CadProd!$A:$C,3,0)),"")</f>
        <v/>
      </c>
    </row>
    <row r="1076" spans="2:3" x14ac:dyDescent="0.3">
      <c r="B1076" t="str">
        <f>IFERROR(IF(A1076="","",VLOOKUP(A1076,CadProd!$A:$B,2,0)),"")</f>
        <v/>
      </c>
      <c r="C1076" t="str">
        <f>IFERROR(IF(A1076="","",VLOOKUP(A1076,CadProd!$A:$C,3,0)),"")</f>
        <v/>
      </c>
    </row>
    <row r="1077" spans="2:3" x14ac:dyDescent="0.3">
      <c r="B1077" t="str">
        <f>IFERROR(IF(A1077="","",VLOOKUP(A1077,CadProd!$A:$B,2,0)),"")</f>
        <v/>
      </c>
      <c r="C1077" t="str">
        <f>IFERROR(IF(A1077="","",VLOOKUP(A1077,CadProd!$A:$C,3,0)),"")</f>
        <v/>
      </c>
    </row>
    <row r="1078" spans="2:3" x14ac:dyDescent="0.3">
      <c r="B1078" t="str">
        <f>IFERROR(IF(A1078="","",VLOOKUP(A1078,CadProd!$A:$B,2,0)),"")</f>
        <v/>
      </c>
      <c r="C1078" t="str">
        <f>IFERROR(IF(A1078="","",VLOOKUP(A1078,CadProd!$A:$C,3,0)),"")</f>
        <v/>
      </c>
    </row>
    <row r="1079" spans="2:3" x14ac:dyDescent="0.3">
      <c r="B1079" t="str">
        <f>IFERROR(IF(A1079="","",VLOOKUP(A1079,CadProd!$A:$B,2,0)),"")</f>
        <v/>
      </c>
      <c r="C1079" t="str">
        <f>IFERROR(IF(A1079="","",VLOOKUP(A1079,CadProd!$A:$C,3,0)),"")</f>
        <v/>
      </c>
    </row>
    <row r="1080" spans="2:3" x14ac:dyDescent="0.3">
      <c r="B1080" t="str">
        <f>IFERROR(IF(A1080="","",VLOOKUP(A1080,CadProd!$A:$B,2,0)),"")</f>
        <v/>
      </c>
      <c r="C1080" t="str">
        <f>IFERROR(IF(A1080="","",VLOOKUP(A1080,CadProd!$A:$C,3,0)),"")</f>
        <v/>
      </c>
    </row>
    <row r="1081" spans="2:3" x14ac:dyDescent="0.3">
      <c r="B1081" t="str">
        <f>IFERROR(IF(A1081="","",VLOOKUP(A1081,CadProd!$A:$B,2,0)),"")</f>
        <v/>
      </c>
      <c r="C1081" t="str">
        <f>IFERROR(IF(A1081="","",VLOOKUP(A1081,CadProd!$A:$C,3,0)),"")</f>
        <v/>
      </c>
    </row>
    <row r="1082" spans="2:3" x14ac:dyDescent="0.3">
      <c r="B1082" t="str">
        <f>IFERROR(IF(A1082="","",VLOOKUP(A1082,CadProd!$A:$B,2,0)),"")</f>
        <v/>
      </c>
      <c r="C1082" t="str">
        <f>IFERROR(IF(A1082="","",VLOOKUP(A1082,CadProd!$A:$C,3,0)),"")</f>
        <v/>
      </c>
    </row>
    <row r="1083" spans="2:3" x14ac:dyDescent="0.3">
      <c r="B1083" t="str">
        <f>IFERROR(IF(A1083="","",VLOOKUP(A1083,CadProd!$A:$B,2,0)),"")</f>
        <v/>
      </c>
      <c r="C1083" t="str">
        <f>IFERROR(IF(A1083="","",VLOOKUP(A1083,CadProd!$A:$C,3,0)),"")</f>
        <v/>
      </c>
    </row>
    <row r="1084" spans="2:3" x14ac:dyDescent="0.3">
      <c r="B1084" t="str">
        <f>IFERROR(IF(A1084="","",VLOOKUP(A1084,CadProd!$A:$B,2,0)),"")</f>
        <v/>
      </c>
      <c r="C1084" t="str">
        <f>IFERROR(IF(A1084="","",VLOOKUP(A1084,CadProd!$A:$C,3,0)),"")</f>
        <v/>
      </c>
    </row>
    <row r="1085" spans="2:3" x14ac:dyDescent="0.3">
      <c r="B1085" t="str">
        <f>IFERROR(IF(A1085="","",VLOOKUP(A1085,CadProd!$A:$B,2,0)),"")</f>
        <v/>
      </c>
      <c r="C1085" t="str">
        <f>IFERROR(IF(A1085="","",VLOOKUP(A1085,CadProd!$A:$C,3,0)),"")</f>
        <v/>
      </c>
    </row>
    <row r="1086" spans="2:3" x14ac:dyDescent="0.3">
      <c r="B1086" t="str">
        <f>IFERROR(IF(A1086="","",VLOOKUP(A1086,CadProd!$A:$B,2,0)),"")</f>
        <v/>
      </c>
      <c r="C1086" t="str">
        <f>IFERROR(IF(A1086="","",VLOOKUP(A1086,CadProd!$A:$C,3,0)),"")</f>
        <v/>
      </c>
    </row>
    <row r="1087" spans="2:3" x14ac:dyDescent="0.3">
      <c r="B1087" t="str">
        <f>IFERROR(IF(A1087="","",VLOOKUP(A1087,CadProd!$A:$B,2,0)),"")</f>
        <v/>
      </c>
      <c r="C1087" t="str">
        <f>IFERROR(IF(A1087="","",VLOOKUP(A1087,CadProd!$A:$C,3,0)),"")</f>
        <v/>
      </c>
    </row>
    <row r="1088" spans="2:3" x14ac:dyDescent="0.3">
      <c r="B1088" t="str">
        <f>IFERROR(IF(A1088="","",VLOOKUP(A1088,CadProd!$A:$B,2,0)),"")</f>
        <v/>
      </c>
      <c r="C1088" t="str">
        <f>IFERROR(IF(A1088="","",VLOOKUP(A1088,CadProd!$A:$C,3,0)),"")</f>
        <v/>
      </c>
    </row>
    <row r="1089" spans="2:3" x14ac:dyDescent="0.3">
      <c r="B1089" t="str">
        <f>IFERROR(IF(A1089="","",VLOOKUP(A1089,CadProd!$A:$B,2,0)),"")</f>
        <v/>
      </c>
      <c r="C1089" t="str">
        <f>IFERROR(IF(A1089="","",VLOOKUP(A1089,CadProd!$A:$C,3,0)),"")</f>
        <v/>
      </c>
    </row>
    <row r="1090" spans="2:3" x14ac:dyDescent="0.3">
      <c r="B1090" t="str">
        <f>IFERROR(IF(A1090="","",VLOOKUP(A1090,CadProd!$A:$B,2,0)),"")</f>
        <v/>
      </c>
      <c r="C1090" t="str">
        <f>IFERROR(IF(A1090="","",VLOOKUP(A1090,CadProd!$A:$C,3,0)),"")</f>
        <v/>
      </c>
    </row>
    <row r="1091" spans="2:3" x14ac:dyDescent="0.3">
      <c r="B1091" t="str">
        <f>IFERROR(IF(A1091="","",VLOOKUP(A1091,CadProd!$A:$B,2,0)),"")</f>
        <v/>
      </c>
      <c r="C1091" t="str">
        <f>IFERROR(IF(A1091="","",VLOOKUP(A1091,CadProd!$A:$C,3,0)),"")</f>
        <v/>
      </c>
    </row>
    <row r="1092" spans="2:3" x14ac:dyDescent="0.3">
      <c r="B1092" t="str">
        <f>IFERROR(IF(A1092="","",VLOOKUP(A1092,CadProd!$A:$B,2,0)),"")</f>
        <v/>
      </c>
      <c r="C1092" t="str">
        <f>IFERROR(IF(A1092="","",VLOOKUP(A1092,CadProd!$A:$C,3,0)),"")</f>
        <v/>
      </c>
    </row>
    <row r="1093" spans="2:3" x14ac:dyDescent="0.3">
      <c r="B1093" t="str">
        <f>IFERROR(IF(A1093="","",VLOOKUP(A1093,CadProd!$A:$B,2,0)),"")</f>
        <v/>
      </c>
      <c r="C1093" t="str">
        <f>IFERROR(IF(A1093="","",VLOOKUP(A1093,CadProd!$A:$C,3,0)),"")</f>
        <v/>
      </c>
    </row>
    <row r="1094" spans="2:3" x14ac:dyDescent="0.3">
      <c r="B1094" t="str">
        <f>IFERROR(IF(A1094="","",VLOOKUP(A1094,CadProd!$A:$B,2,0)),"")</f>
        <v/>
      </c>
      <c r="C1094" t="str">
        <f>IFERROR(IF(A1094="","",VLOOKUP(A1094,CadProd!$A:$C,3,0)),"")</f>
        <v/>
      </c>
    </row>
    <row r="1095" spans="2:3" x14ac:dyDescent="0.3">
      <c r="B1095" t="str">
        <f>IFERROR(IF(A1095="","",VLOOKUP(A1095,CadProd!$A:$B,2,0)),"")</f>
        <v/>
      </c>
      <c r="C1095" t="str">
        <f>IFERROR(IF(A1095="","",VLOOKUP(A1095,CadProd!$A:$C,3,0)),"")</f>
        <v/>
      </c>
    </row>
    <row r="1096" spans="2:3" x14ac:dyDescent="0.3">
      <c r="B1096" t="str">
        <f>IFERROR(IF(A1096="","",VLOOKUP(A1096,CadProd!$A:$B,2,0)),"")</f>
        <v/>
      </c>
      <c r="C1096" t="str">
        <f>IFERROR(IF(A1096="","",VLOOKUP(A1096,CadProd!$A:$C,3,0)),"")</f>
        <v/>
      </c>
    </row>
    <row r="1097" spans="2:3" x14ac:dyDescent="0.3">
      <c r="B1097" t="str">
        <f>IFERROR(IF(A1097="","",VLOOKUP(A1097,CadProd!$A:$B,2,0)),"")</f>
        <v/>
      </c>
      <c r="C1097" t="str">
        <f>IFERROR(IF(A1097="","",VLOOKUP(A1097,CadProd!$A:$C,3,0)),"")</f>
        <v/>
      </c>
    </row>
    <row r="1098" spans="2:3" x14ac:dyDescent="0.3">
      <c r="B1098" t="str">
        <f>IFERROR(IF(A1098="","",VLOOKUP(A1098,CadProd!$A:$B,2,0)),"")</f>
        <v/>
      </c>
      <c r="C1098" t="str">
        <f>IFERROR(IF(A1098="","",VLOOKUP(A1098,CadProd!$A:$C,3,0)),"")</f>
        <v/>
      </c>
    </row>
    <row r="1099" spans="2:3" x14ac:dyDescent="0.3">
      <c r="B1099" t="str">
        <f>IFERROR(IF(A1099="","",VLOOKUP(A1099,CadProd!$A:$B,2,0)),"")</f>
        <v/>
      </c>
      <c r="C1099" t="str">
        <f>IFERROR(IF(A1099="","",VLOOKUP(A1099,CadProd!$A:$C,3,0)),"")</f>
        <v/>
      </c>
    </row>
    <row r="1100" spans="2:3" x14ac:dyDescent="0.3">
      <c r="B1100" t="str">
        <f>IFERROR(IF(A1100="","",VLOOKUP(A1100,CadProd!$A:$B,2,0)),"")</f>
        <v/>
      </c>
      <c r="C1100" t="str">
        <f>IFERROR(IF(A1100="","",VLOOKUP(A1100,CadProd!$A:$C,3,0)),"")</f>
        <v/>
      </c>
    </row>
    <row r="1101" spans="2:3" x14ac:dyDescent="0.3">
      <c r="B1101" t="str">
        <f>IFERROR(IF(A1101="","",VLOOKUP(A1101,CadProd!$A:$B,2,0)),"")</f>
        <v/>
      </c>
      <c r="C1101" t="str">
        <f>IFERROR(IF(A1101="","",VLOOKUP(A1101,CadProd!$A:$C,3,0)),"")</f>
        <v/>
      </c>
    </row>
    <row r="1102" spans="2:3" x14ac:dyDescent="0.3">
      <c r="B1102" t="str">
        <f>IFERROR(IF(A1102="","",VLOOKUP(A1102,CadProd!$A:$B,2,0)),"")</f>
        <v/>
      </c>
      <c r="C1102" t="str">
        <f>IFERROR(IF(A1102="","",VLOOKUP(A1102,CadProd!$A:$C,3,0)),"")</f>
        <v/>
      </c>
    </row>
    <row r="1103" spans="2:3" x14ac:dyDescent="0.3">
      <c r="B1103" t="str">
        <f>IFERROR(IF(A1103="","",VLOOKUP(A1103,CadProd!$A:$B,2,0)),"")</f>
        <v/>
      </c>
      <c r="C1103" t="str">
        <f>IFERROR(IF(A1103="","",VLOOKUP(A1103,CadProd!$A:$C,3,0)),"")</f>
        <v/>
      </c>
    </row>
    <row r="1104" spans="2:3" x14ac:dyDescent="0.3">
      <c r="B1104" t="str">
        <f>IFERROR(IF(A1104="","",VLOOKUP(A1104,CadProd!$A:$B,2,0)),"")</f>
        <v/>
      </c>
      <c r="C1104" t="str">
        <f>IFERROR(IF(A1104="","",VLOOKUP(A1104,CadProd!$A:$C,3,0)),"")</f>
        <v/>
      </c>
    </row>
    <row r="1105" spans="2:3" x14ac:dyDescent="0.3">
      <c r="B1105" t="str">
        <f>IFERROR(IF(A1105="","",VLOOKUP(A1105,CadProd!$A:$B,2,0)),"")</f>
        <v/>
      </c>
      <c r="C1105" t="str">
        <f>IFERROR(IF(A1105="","",VLOOKUP(A1105,CadProd!$A:$C,3,0)),"")</f>
        <v/>
      </c>
    </row>
    <row r="1106" spans="2:3" x14ac:dyDescent="0.3">
      <c r="B1106" t="str">
        <f>IFERROR(IF(A1106="","",VLOOKUP(A1106,CadProd!$A:$B,2,0)),"")</f>
        <v/>
      </c>
      <c r="C1106" t="str">
        <f>IFERROR(IF(A1106="","",VLOOKUP(A1106,CadProd!$A:$C,3,0)),"")</f>
        <v/>
      </c>
    </row>
    <row r="1107" spans="2:3" x14ac:dyDescent="0.3">
      <c r="B1107" t="str">
        <f>IFERROR(IF(A1107="","",VLOOKUP(A1107,CadProd!$A:$B,2,0)),"")</f>
        <v/>
      </c>
      <c r="C1107" t="str">
        <f>IFERROR(IF(A1107="","",VLOOKUP(A1107,CadProd!$A:$C,3,0)),"")</f>
        <v/>
      </c>
    </row>
    <row r="1108" spans="2:3" x14ac:dyDescent="0.3">
      <c r="B1108" t="str">
        <f>IFERROR(IF(A1108="","",VLOOKUP(A1108,CadProd!$A:$B,2,0)),"")</f>
        <v/>
      </c>
      <c r="C1108" t="str">
        <f>IFERROR(IF(A1108="","",VLOOKUP(A1108,CadProd!$A:$C,3,0)),"")</f>
        <v/>
      </c>
    </row>
    <row r="1109" spans="2:3" x14ac:dyDescent="0.3">
      <c r="B1109" t="str">
        <f>IFERROR(IF(A1109="","",VLOOKUP(A1109,CadProd!$A:$B,2,0)),"")</f>
        <v/>
      </c>
      <c r="C1109" t="str">
        <f>IFERROR(IF(A1109="","",VLOOKUP(A1109,CadProd!$A:$C,3,0)),"")</f>
        <v/>
      </c>
    </row>
    <row r="1110" spans="2:3" x14ac:dyDescent="0.3">
      <c r="B1110" t="str">
        <f>IFERROR(IF(A1110="","",VLOOKUP(A1110,CadProd!$A:$B,2,0)),"")</f>
        <v/>
      </c>
      <c r="C1110" t="str">
        <f>IFERROR(IF(A1110="","",VLOOKUP(A1110,CadProd!$A:$C,3,0)),"")</f>
        <v/>
      </c>
    </row>
    <row r="1111" spans="2:3" x14ac:dyDescent="0.3">
      <c r="B1111" t="str">
        <f>IFERROR(IF(A1111="","",VLOOKUP(A1111,CadProd!$A:$B,2,0)),"")</f>
        <v/>
      </c>
      <c r="C1111" t="str">
        <f>IFERROR(IF(A1111="","",VLOOKUP(A1111,CadProd!$A:$C,3,0)),"")</f>
        <v/>
      </c>
    </row>
    <row r="1112" spans="2:3" x14ac:dyDescent="0.3">
      <c r="B1112" t="str">
        <f>IFERROR(IF(A1112="","",VLOOKUP(A1112,CadProd!$A:$B,2,0)),"")</f>
        <v/>
      </c>
      <c r="C1112" t="str">
        <f>IFERROR(IF(A1112="","",VLOOKUP(A1112,CadProd!$A:$C,3,0)),"")</f>
        <v/>
      </c>
    </row>
    <row r="1113" spans="2:3" x14ac:dyDescent="0.3">
      <c r="B1113" t="str">
        <f>IFERROR(IF(A1113="","",VLOOKUP(A1113,CadProd!$A:$B,2,0)),"")</f>
        <v/>
      </c>
      <c r="C1113" t="str">
        <f>IFERROR(IF(A1113="","",VLOOKUP(A1113,CadProd!$A:$C,3,0)),"")</f>
        <v/>
      </c>
    </row>
    <row r="1114" spans="2:3" x14ac:dyDescent="0.3">
      <c r="B1114" t="str">
        <f>IFERROR(IF(A1114="","",VLOOKUP(A1114,CadProd!$A:$B,2,0)),"")</f>
        <v/>
      </c>
      <c r="C1114" t="str">
        <f>IFERROR(IF(A1114="","",VLOOKUP(A1114,CadProd!$A:$C,3,0)),"")</f>
        <v/>
      </c>
    </row>
    <row r="1115" spans="2:3" x14ac:dyDescent="0.3">
      <c r="B1115" t="str">
        <f>IFERROR(IF(A1115="","",VLOOKUP(A1115,CadProd!$A:$B,2,0)),"")</f>
        <v/>
      </c>
      <c r="C1115" t="str">
        <f>IFERROR(IF(A1115="","",VLOOKUP(A1115,CadProd!$A:$C,3,0)),"")</f>
        <v/>
      </c>
    </row>
    <row r="1116" spans="2:3" x14ac:dyDescent="0.3">
      <c r="B1116" t="str">
        <f>IFERROR(IF(A1116="","",VLOOKUP(A1116,CadProd!$A:$B,2,0)),"")</f>
        <v/>
      </c>
      <c r="C1116" t="str">
        <f>IFERROR(IF(A1116="","",VLOOKUP(A1116,CadProd!$A:$C,3,0)),"")</f>
        <v/>
      </c>
    </row>
    <row r="1117" spans="2:3" x14ac:dyDescent="0.3">
      <c r="B1117" t="str">
        <f>IFERROR(IF(A1117="","",VLOOKUP(A1117,CadProd!$A:$B,2,0)),"")</f>
        <v/>
      </c>
      <c r="C1117" t="str">
        <f>IFERROR(IF(A1117="","",VLOOKUP(A1117,CadProd!$A:$C,3,0)),"")</f>
        <v/>
      </c>
    </row>
    <row r="1118" spans="2:3" x14ac:dyDescent="0.3">
      <c r="B1118" t="str">
        <f>IFERROR(IF(A1118="","",VLOOKUP(A1118,CadProd!$A:$B,2,0)),"")</f>
        <v/>
      </c>
      <c r="C1118" t="str">
        <f>IFERROR(IF(A1118="","",VLOOKUP(A1118,CadProd!$A:$C,3,0)),"")</f>
        <v/>
      </c>
    </row>
    <row r="1119" spans="2:3" x14ac:dyDescent="0.3">
      <c r="B1119" t="str">
        <f>IFERROR(IF(A1119="","",VLOOKUP(A1119,CadProd!$A:$B,2,0)),"")</f>
        <v/>
      </c>
      <c r="C1119" t="str">
        <f>IFERROR(IF(A1119="","",VLOOKUP(A1119,CadProd!$A:$C,3,0)),"")</f>
        <v/>
      </c>
    </row>
    <row r="1120" spans="2:3" x14ac:dyDescent="0.3">
      <c r="B1120" t="str">
        <f>IFERROR(IF(A1120="","",VLOOKUP(A1120,CadProd!$A:$B,2,0)),"")</f>
        <v/>
      </c>
      <c r="C1120" t="str">
        <f>IFERROR(IF(A1120="","",VLOOKUP(A1120,CadProd!$A:$C,3,0)),"")</f>
        <v/>
      </c>
    </row>
    <row r="1121" spans="2:3" x14ac:dyDescent="0.3">
      <c r="B1121" t="str">
        <f>IFERROR(IF(A1121="","",VLOOKUP(A1121,CadProd!$A:$B,2,0)),"")</f>
        <v/>
      </c>
      <c r="C1121" t="str">
        <f>IFERROR(IF(A1121="","",VLOOKUP(A1121,CadProd!$A:$C,3,0)),"")</f>
        <v/>
      </c>
    </row>
    <row r="1122" spans="2:3" x14ac:dyDescent="0.3">
      <c r="B1122" t="str">
        <f>IFERROR(IF(A1122="","",VLOOKUP(A1122,CadProd!$A:$B,2,0)),"")</f>
        <v/>
      </c>
      <c r="C1122" t="str">
        <f>IFERROR(IF(A1122="","",VLOOKUP(A1122,CadProd!$A:$C,3,0)),"")</f>
        <v/>
      </c>
    </row>
    <row r="1123" spans="2:3" x14ac:dyDescent="0.3">
      <c r="B1123" t="str">
        <f>IFERROR(IF(A1123="","",VLOOKUP(A1123,CadProd!$A:$B,2,0)),"")</f>
        <v/>
      </c>
      <c r="C1123" t="str">
        <f>IFERROR(IF(A1123="","",VLOOKUP(A1123,CadProd!$A:$C,3,0)),"")</f>
        <v/>
      </c>
    </row>
    <row r="1124" spans="2:3" x14ac:dyDescent="0.3">
      <c r="B1124" t="str">
        <f>IFERROR(IF(A1124="","",VLOOKUP(A1124,CadProd!$A:$B,2,0)),"")</f>
        <v/>
      </c>
      <c r="C1124" t="str">
        <f>IFERROR(IF(A1124="","",VLOOKUP(A1124,CadProd!$A:$C,3,0)),"")</f>
        <v/>
      </c>
    </row>
    <row r="1125" spans="2:3" x14ac:dyDescent="0.3">
      <c r="B1125" t="str">
        <f>IFERROR(IF(A1125="","",VLOOKUP(A1125,CadProd!$A:$B,2,0)),"")</f>
        <v/>
      </c>
      <c r="C1125" t="str">
        <f>IFERROR(IF(A1125="","",VLOOKUP(A1125,CadProd!$A:$C,3,0)),"")</f>
        <v/>
      </c>
    </row>
    <row r="1126" spans="2:3" x14ac:dyDescent="0.3">
      <c r="B1126" t="str">
        <f>IFERROR(IF(A1126="","",VLOOKUP(A1126,CadProd!$A:$B,2,0)),"")</f>
        <v/>
      </c>
      <c r="C1126" t="str">
        <f>IFERROR(IF(A1126="","",VLOOKUP(A1126,CadProd!$A:$C,3,0)),"")</f>
        <v/>
      </c>
    </row>
    <row r="1127" spans="2:3" x14ac:dyDescent="0.3">
      <c r="B1127" t="str">
        <f>IFERROR(IF(A1127="","",VLOOKUP(A1127,CadProd!$A:$B,2,0)),"")</f>
        <v/>
      </c>
      <c r="C1127" t="str">
        <f>IFERROR(IF(A1127="","",VLOOKUP(A1127,CadProd!$A:$C,3,0)),"")</f>
        <v/>
      </c>
    </row>
    <row r="1128" spans="2:3" x14ac:dyDescent="0.3">
      <c r="B1128" t="str">
        <f>IFERROR(IF(A1128="","",VLOOKUP(A1128,CadProd!$A:$B,2,0)),"")</f>
        <v/>
      </c>
      <c r="C1128" t="str">
        <f>IFERROR(IF(A1128="","",VLOOKUP(A1128,CadProd!$A:$C,3,0)),"")</f>
        <v/>
      </c>
    </row>
    <row r="1129" spans="2:3" x14ac:dyDescent="0.3">
      <c r="B1129" t="str">
        <f>IFERROR(IF(A1129="","",VLOOKUP(A1129,CadProd!$A:$B,2,0)),"")</f>
        <v/>
      </c>
      <c r="C1129" t="str">
        <f>IFERROR(IF(A1129="","",VLOOKUP(A1129,CadProd!$A:$C,3,0)),"")</f>
        <v/>
      </c>
    </row>
    <row r="1130" spans="2:3" x14ac:dyDescent="0.3">
      <c r="B1130" t="str">
        <f>IFERROR(IF(A1130="","",VLOOKUP(A1130,CadProd!$A:$B,2,0)),"")</f>
        <v/>
      </c>
      <c r="C1130" t="str">
        <f>IFERROR(IF(A1130="","",VLOOKUP(A1130,CadProd!$A:$C,3,0)),"")</f>
        <v/>
      </c>
    </row>
    <row r="1131" spans="2:3" x14ac:dyDescent="0.3">
      <c r="B1131" t="str">
        <f>IFERROR(IF(A1131="","",VLOOKUP(A1131,CadProd!$A:$B,2,0)),"")</f>
        <v/>
      </c>
      <c r="C1131" t="str">
        <f>IFERROR(IF(A1131="","",VLOOKUP(A1131,CadProd!$A:$C,3,0)),"")</f>
        <v/>
      </c>
    </row>
    <row r="1132" spans="2:3" x14ac:dyDescent="0.3">
      <c r="B1132" t="str">
        <f>IFERROR(IF(A1132="","",VLOOKUP(A1132,CadProd!$A:$B,2,0)),"")</f>
        <v/>
      </c>
      <c r="C1132" t="str">
        <f>IFERROR(IF(A1132="","",VLOOKUP(A1132,CadProd!$A:$C,3,0)),"")</f>
        <v/>
      </c>
    </row>
    <row r="1133" spans="2:3" x14ac:dyDescent="0.3">
      <c r="B1133" t="str">
        <f>IFERROR(IF(A1133="","",VLOOKUP(A1133,CadProd!$A:$B,2,0)),"")</f>
        <v/>
      </c>
      <c r="C1133" t="str">
        <f>IFERROR(IF(A1133="","",VLOOKUP(A1133,CadProd!$A:$C,3,0)),"")</f>
        <v/>
      </c>
    </row>
    <row r="1134" spans="2:3" x14ac:dyDescent="0.3">
      <c r="B1134" t="str">
        <f>IFERROR(IF(A1134="","",VLOOKUP(A1134,CadProd!$A:$B,2,0)),"")</f>
        <v/>
      </c>
      <c r="C1134" t="str">
        <f>IFERROR(IF(A1134="","",VLOOKUP(A1134,CadProd!$A:$C,3,0)),"")</f>
        <v/>
      </c>
    </row>
    <row r="1135" spans="2:3" x14ac:dyDescent="0.3">
      <c r="B1135" t="str">
        <f>IFERROR(IF(A1135="","",VLOOKUP(A1135,CadProd!$A:$B,2,0)),"")</f>
        <v/>
      </c>
      <c r="C1135" t="str">
        <f>IFERROR(IF(A1135="","",VLOOKUP(A1135,CadProd!$A:$C,3,0)),"")</f>
        <v/>
      </c>
    </row>
    <row r="1136" spans="2:3" x14ac:dyDescent="0.3">
      <c r="B1136" t="str">
        <f>IFERROR(IF(A1136="","",VLOOKUP(A1136,CadProd!$A:$B,2,0)),"")</f>
        <v/>
      </c>
      <c r="C1136" t="str">
        <f>IFERROR(IF(A1136="","",VLOOKUP(A1136,CadProd!$A:$C,3,0)),"")</f>
        <v/>
      </c>
    </row>
    <row r="1137" spans="2:3" x14ac:dyDescent="0.3">
      <c r="B1137" t="str">
        <f>IFERROR(IF(A1137="","",VLOOKUP(A1137,CadProd!$A:$B,2,0)),"")</f>
        <v/>
      </c>
      <c r="C1137" t="str">
        <f>IFERROR(IF(A1137="","",VLOOKUP(A1137,CadProd!$A:$C,3,0)),"")</f>
        <v/>
      </c>
    </row>
    <row r="1138" spans="2:3" x14ac:dyDescent="0.3">
      <c r="B1138" t="str">
        <f>IFERROR(IF(A1138="","",VLOOKUP(A1138,CadProd!$A:$B,2,0)),"")</f>
        <v/>
      </c>
      <c r="C1138" t="str">
        <f>IFERROR(IF(A1138="","",VLOOKUP(A1138,CadProd!$A:$C,3,0)),"")</f>
        <v/>
      </c>
    </row>
    <row r="1139" spans="2:3" x14ac:dyDescent="0.3">
      <c r="B1139" t="str">
        <f>IFERROR(IF(A1139="","",VLOOKUP(A1139,CadProd!$A:$B,2,0)),"")</f>
        <v/>
      </c>
      <c r="C1139" t="str">
        <f>IFERROR(IF(A1139="","",VLOOKUP(A1139,CadProd!$A:$C,3,0)),"")</f>
        <v/>
      </c>
    </row>
    <row r="1140" spans="2:3" x14ac:dyDescent="0.3">
      <c r="B1140" t="str">
        <f>IFERROR(IF(A1140="","",VLOOKUP(A1140,CadProd!$A:$B,2,0)),"")</f>
        <v/>
      </c>
      <c r="C1140" t="str">
        <f>IFERROR(IF(A1140="","",VLOOKUP(A1140,CadProd!$A:$C,3,0)),"")</f>
        <v/>
      </c>
    </row>
    <row r="1141" spans="2:3" x14ac:dyDescent="0.3">
      <c r="B1141" t="str">
        <f>IFERROR(IF(A1141="","",VLOOKUP(A1141,CadProd!$A:$B,2,0)),"")</f>
        <v/>
      </c>
      <c r="C1141" t="str">
        <f>IFERROR(IF(A1141="","",VLOOKUP(A1141,CadProd!$A:$C,3,0)),"")</f>
        <v/>
      </c>
    </row>
    <row r="1142" spans="2:3" x14ac:dyDescent="0.3">
      <c r="B1142" t="str">
        <f>IFERROR(IF(A1142="","",VLOOKUP(A1142,CadProd!$A:$B,2,0)),"")</f>
        <v/>
      </c>
      <c r="C1142" t="str">
        <f>IFERROR(IF(A1142="","",VLOOKUP(A1142,CadProd!$A:$C,3,0)),"")</f>
        <v/>
      </c>
    </row>
    <row r="1143" spans="2:3" x14ac:dyDescent="0.3">
      <c r="B1143" t="str">
        <f>IFERROR(IF(A1143="","",VLOOKUP(A1143,CadProd!$A:$B,2,0)),"")</f>
        <v/>
      </c>
      <c r="C1143" t="str">
        <f>IFERROR(IF(A1143="","",VLOOKUP(A1143,CadProd!$A:$C,3,0)),"")</f>
        <v/>
      </c>
    </row>
    <row r="1144" spans="2:3" x14ac:dyDescent="0.3">
      <c r="B1144" t="str">
        <f>IFERROR(IF(A1144="","",VLOOKUP(A1144,CadProd!$A:$B,2,0)),"")</f>
        <v/>
      </c>
      <c r="C1144" t="str">
        <f>IFERROR(IF(A1144="","",VLOOKUP(A1144,CadProd!$A:$C,3,0)),"")</f>
        <v/>
      </c>
    </row>
    <row r="1145" spans="2:3" x14ac:dyDescent="0.3">
      <c r="B1145" t="str">
        <f>IFERROR(IF(A1145="","",VLOOKUP(A1145,CadProd!$A:$B,2,0)),"")</f>
        <v/>
      </c>
      <c r="C1145" t="str">
        <f>IFERROR(IF(A1145="","",VLOOKUP(A1145,CadProd!$A:$C,3,0)),"")</f>
        <v/>
      </c>
    </row>
    <row r="1146" spans="2:3" x14ac:dyDescent="0.3">
      <c r="B1146" t="str">
        <f>IFERROR(IF(A1146="","",VLOOKUP(A1146,CadProd!$A:$B,2,0)),"")</f>
        <v/>
      </c>
      <c r="C1146" t="str">
        <f>IFERROR(IF(A1146="","",VLOOKUP(A1146,CadProd!$A:$C,3,0)),"")</f>
        <v/>
      </c>
    </row>
    <row r="1147" spans="2:3" x14ac:dyDescent="0.3">
      <c r="B1147" t="str">
        <f>IFERROR(IF(A1147="","",VLOOKUP(A1147,CadProd!$A:$B,2,0)),"")</f>
        <v/>
      </c>
      <c r="C1147" t="str">
        <f>IFERROR(IF(A1147="","",VLOOKUP(A1147,CadProd!$A:$C,3,0)),"")</f>
        <v/>
      </c>
    </row>
    <row r="1148" spans="2:3" x14ac:dyDescent="0.3">
      <c r="B1148" t="str">
        <f>IFERROR(IF(A1148="","",VLOOKUP(A1148,CadProd!$A:$B,2,0)),"")</f>
        <v/>
      </c>
      <c r="C1148" t="str">
        <f>IFERROR(IF(A1148="","",VLOOKUP(A1148,CadProd!$A:$C,3,0)),"")</f>
        <v/>
      </c>
    </row>
    <row r="1149" spans="2:3" x14ac:dyDescent="0.3">
      <c r="B1149" t="str">
        <f>IFERROR(IF(A1149="","",VLOOKUP(A1149,CadProd!$A:$B,2,0)),"")</f>
        <v/>
      </c>
      <c r="C1149" t="str">
        <f>IFERROR(IF(A1149="","",VLOOKUP(A1149,CadProd!$A:$C,3,0)),"")</f>
        <v/>
      </c>
    </row>
    <row r="1150" spans="2:3" x14ac:dyDescent="0.3">
      <c r="B1150" t="str">
        <f>IFERROR(IF(A1150="","",VLOOKUP(A1150,CadProd!$A:$B,2,0)),"")</f>
        <v/>
      </c>
      <c r="C1150" t="str">
        <f>IFERROR(IF(A1150="","",VLOOKUP(A1150,CadProd!$A:$C,3,0)),"")</f>
        <v/>
      </c>
    </row>
    <row r="1151" spans="2:3" x14ac:dyDescent="0.3">
      <c r="B1151" t="str">
        <f>IFERROR(IF(A1151="","",VLOOKUP(A1151,CadProd!$A:$B,2,0)),"")</f>
        <v/>
      </c>
      <c r="C1151" t="str">
        <f>IFERROR(IF(A1151="","",VLOOKUP(A1151,CadProd!$A:$C,3,0)),"")</f>
        <v/>
      </c>
    </row>
    <row r="1152" spans="2:3" x14ac:dyDescent="0.3">
      <c r="B1152" t="str">
        <f>IFERROR(IF(A1152="","",VLOOKUP(A1152,CadProd!$A:$B,2,0)),"")</f>
        <v/>
      </c>
      <c r="C1152" t="str">
        <f>IFERROR(IF(A1152="","",VLOOKUP(A1152,CadProd!$A:$C,3,0)),"")</f>
        <v/>
      </c>
    </row>
    <row r="1153" spans="2:3" x14ac:dyDescent="0.3">
      <c r="B1153" t="str">
        <f>IFERROR(IF(A1153="","",VLOOKUP(A1153,CadProd!$A:$B,2,0)),"")</f>
        <v/>
      </c>
      <c r="C1153" t="str">
        <f>IFERROR(IF(A1153="","",VLOOKUP(A1153,CadProd!$A:$C,3,0)),"")</f>
        <v/>
      </c>
    </row>
    <row r="1154" spans="2:3" x14ac:dyDescent="0.3">
      <c r="B1154" t="str">
        <f>IFERROR(IF(A1154="","",VLOOKUP(A1154,CadProd!$A:$B,2,0)),"")</f>
        <v/>
      </c>
      <c r="C1154" t="str">
        <f>IFERROR(IF(A1154="","",VLOOKUP(A1154,CadProd!$A:$C,3,0)),"")</f>
        <v/>
      </c>
    </row>
    <row r="1155" spans="2:3" x14ac:dyDescent="0.3">
      <c r="B1155" t="str">
        <f>IFERROR(IF(A1155="","",VLOOKUP(A1155,CadProd!$A:$B,2,0)),"")</f>
        <v/>
      </c>
      <c r="C1155" t="str">
        <f>IFERROR(IF(A1155="","",VLOOKUP(A1155,CadProd!$A:$C,3,0)),"")</f>
        <v/>
      </c>
    </row>
    <row r="1156" spans="2:3" x14ac:dyDescent="0.3">
      <c r="B1156" t="str">
        <f>IFERROR(IF(A1156="","",VLOOKUP(A1156,CadProd!$A:$B,2,0)),"")</f>
        <v/>
      </c>
      <c r="C1156" t="str">
        <f>IFERROR(IF(A1156="","",VLOOKUP(A1156,CadProd!$A:$C,3,0)),"")</f>
        <v/>
      </c>
    </row>
    <row r="1157" spans="2:3" x14ac:dyDescent="0.3">
      <c r="B1157" t="str">
        <f>IFERROR(IF(A1157="","",VLOOKUP(A1157,CadProd!$A:$B,2,0)),"")</f>
        <v/>
      </c>
      <c r="C1157" t="str">
        <f>IFERROR(IF(A1157="","",VLOOKUP(A1157,CadProd!$A:$C,3,0)),"")</f>
        <v/>
      </c>
    </row>
    <row r="1158" spans="2:3" x14ac:dyDescent="0.3">
      <c r="B1158" t="str">
        <f>IFERROR(IF(A1158="","",VLOOKUP(A1158,CadProd!$A:$B,2,0)),"")</f>
        <v/>
      </c>
      <c r="C1158" t="str">
        <f>IFERROR(IF(A1158="","",VLOOKUP(A1158,CadProd!$A:$C,3,0)),"")</f>
        <v/>
      </c>
    </row>
    <row r="1159" spans="2:3" x14ac:dyDescent="0.3">
      <c r="B1159" t="str">
        <f>IFERROR(IF(A1159="","",VLOOKUP(A1159,CadProd!$A:$B,2,0)),"")</f>
        <v/>
      </c>
      <c r="C1159" t="str">
        <f>IFERROR(IF(A1159="","",VLOOKUP(A1159,CadProd!$A:$C,3,0)),"")</f>
        <v/>
      </c>
    </row>
    <row r="1160" spans="2:3" x14ac:dyDescent="0.3">
      <c r="B1160" t="str">
        <f>IFERROR(IF(A1160="","",VLOOKUP(A1160,CadProd!$A:$B,2,0)),"")</f>
        <v/>
      </c>
      <c r="C1160" t="str">
        <f>IFERROR(IF(A1160="","",VLOOKUP(A1160,CadProd!$A:$C,3,0)),"")</f>
        <v/>
      </c>
    </row>
    <row r="1161" spans="2:3" x14ac:dyDescent="0.3">
      <c r="B1161" t="str">
        <f>IFERROR(IF(A1161="","",VLOOKUP(A1161,CadProd!$A:$B,2,0)),"")</f>
        <v/>
      </c>
      <c r="C1161" t="str">
        <f>IFERROR(IF(A1161="","",VLOOKUP(A1161,CadProd!$A:$C,3,0)),"")</f>
        <v/>
      </c>
    </row>
    <row r="1162" spans="2:3" x14ac:dyDescent="0.3">
      <c r="B1162" t="str">
        <f>IFERROR(IF(A1162="","",VLOOKUP(A1162,CadProd!$A:$B,2,0)),"")</f>
        <v/>
      </c>
      <c r="C1162" t="str">
        <f>IFERROR(IF(A1162="","",VLOOKUP(A1162,CadProd!$A:$C,3,0)),"")</f>
        <v/>
      </c>
    </row>
    <row r="1163" spans="2:3" x14ac:dyDescent="0.3">
      <c r="B1163" t="str">
        <f>IFERROR(IF(A1163="","",VLOOKUP(A1163,CadProd!$A:$B,2,0)),"")</f>
        <v/>
      </c>
      <c r="C1163" t="str">
        <f>IFERROR(IF(A1163="","",VLOOKUP(A1163,CadProd!$A:$C,3,0)),"")</f>
        <v/>
      </c>
    </row>
    <row r="1164" spans="2:3" x14ac:dyDescent="0.3">
      <c r="B1164" t="str">
        <f>IFERROR(IF(A1164="","",VLOOKUP(A1164,CadProd!$A:$B,2,0)),"")</f>
        <v/>
      </c>
      <c r="C1164" t="str">
        <f>IFERROR(IF(A1164="","",VLOOKUP(A1164,CadProd!$A:$C,3,0)),"")</f>
        <v/>
      </c>
    </row>
    <row r="1165" spans="2:3" x14ac:dyDescent="0.3">
      <c r="B1165" t="str">
        <f>IFERROR(IF(A1165="","",VLOOKUP(A1165,CadProd!$A:$B,2,0)),"")</f>
        <v/>
      </c>
      <c r="C1165" t="str">
        <f>IFERROR(IF(A1165="","",VLOOKUP(A1165,CadProd!$A:$C,3,0)),"")</f>
        <v/>
      </c>
    </row>
    <row r="1166" spans="2:3" x14ac:dyDescent="0.3">
      <c r="B1166" t="str">
        <f>IFERROR(IF(A1166="","",VLOOKUP(A1166,CadProd!$A:$B,2,0)),"")</f>
        <v/>
      </c>
      <c r="C1166" t="str">
        <f>IFERROR(IF(A1166="","",VLOOKUP(A1166,CadProd!$A:$C,3,0)),"")</f>
        <v/>
      </c>
    </row>
    <row r="1167" spans="2:3" x14ac:dyDescent="0.3">
      <c r="B1167" t="str">
        <f>IFERROR(IF(A1167="","",VLOOKUP(A1167,CadProd!$A:$B,2,0)),"")</f>
        <v/>
      </c>
      <c r="C1167" t="str">
        <f>IFERROR(IF(A1167="","",VLOOKUP(A1167,CadProd!$A:$C,3,0)),"")</f>
        <v/>
      </c>
    </row>
    <row r="1168" spans="2:3" x14ac:dyDescent="0.3">
      <c r="B1168" t="str">
        <f>IFERROR(IF(A1168="","",VLOOKUP(A1168,CadProd!$A:$B,2,0)),"")</f>
        <v/>
      </c>
      <c r="C1168" t="str">
        <f>IFERROR(IF(A1168="","",VLOOKUP(A1168,CadProd!$A:$C,3,0)),"")</f>
        <v/>
      </c>
    </row>
    <row r="1169" spans="2:3" x14ac:dyDescent="0.3">
      <c r="B1169" t="str">
        <f>IFERROR(IF(A1169="","",VLOOKUP(A1169,CadProd!$A:$B,2,0)),"")</f>
        <v/>
      </c>
      <c r="C1169" t="str">
        <f>IFERROR(IF(A1169="","",VLOOKUP(A1169,CadProd!$A:$C,3,0)),"")</f>
        <v/>
      </c>
    </row>
    <row r="1170" spans="2:3" x14ac:dyDescent="0.3">
      <c r="B1170" t="str">
        <f>IFERROR(IF(A1170="","",VLOOKUP(A1170,CadProd!$A:$B,2,0)),"")</f>
        <v/>
      </c>
      <c r="C1170" t="str">
        <f>IFERROR(IF(A1170="","",VLOOKUP(A1170,CadProd!$A:$C,3,0)),"")</f>
        <v/>
      </c>
    </row>
    <row r="1171" spans="2:3" x14ac:dyDescent="0.3">
      <c r="B1171" t="str">
        <f>IFERROR(IF(A1171="","",VLOOKUP(A1171,CadProd!$A:$B,2,0)),"")</f>
        <v/>
      </c>
      <c r="C1171" t="str">
        <f>IFERROR(IF(A1171="","",VLOOKUP(A1171,CadProd!$A:$C,3,0)),"")</f>
        <v/>
      </c>
    </row>
    <row r="1172" spans="2:3" x14ac:dyDescent="0.3">
      <c r="B1172" t="str">
        <f>IFERROR(IF(A1172="","",VLOOKUP(A1172,CadProd!$A:$B,2,0)),"")</f>
        <v/>
      </c>
      <c r="C1172" t="str">
        <f>IFERROR(IF(A1172="","",VLOOKUP(A1172,CadProd!$A:$C,3,0)),"")</f>
        <v/>
      </c>
    </row>
    <row r="1173" spans="2:3" x14ac:dyDescent="0.3">
      <c r="B1173" t="str">
        <f>IFERROR(IF(A1173="","",VLOOKUP(A1173,CadProd!$A:$B,2,0)),"")</f>
        <v/>
      </c>
      <c r="C1173" t="str">
        <f>IFERROR(IF(A1173="","",VLOOKUP(A1173,CadProd!$A:$C,3,0)),"")</f>
        <v/>
      </c>
    </row>
    <row r="1174" spans="2:3" x14ac:dyDescent="0.3">
      <c r="B1174" t="str">
        <f>IFERROR(IF(A1174="","",VLOOKUP(A1174,CadProd!$A:$B,2,0)),"")</f>
        <v/>
      </c>
      <c r="C1174" t="str">
        <f>IFERROR(IF(A1174="","",VLOOKUP(A1174,CadProd!$A:$C,3,0)),"")</f>
        <v/>
      </c>
    </row>
    <row r="1175" spans="2:3" x14ac:dyDescent="0.3">
      <c r="B1175" t="str">
        <f>IFERROR(IF(A1175="","",VLOOKUP(A1175,CadProd!$A:$B,2,0)),"")</f>
        <v/>
      </c>
      <c r="C1175" t="str">
        <f>IFERROR(IF(A1175="","",VLOOKUP(A1175,CadProd!$A:$C,3,0)),"")</f>
        <v/>
      </c>
    </row>
    <row r="1176" spans="2:3" x14ac:dyDescent="0.3">
      <c r="B1176" t="str">
        <f>IFERROR(IF(A1176="","",VLOOKUP(A1176,CadProd!$A:$B,2,0)),"")</f>
        <v/>
      </c>
      <c r="C1176" t="str">
        <f>IFERROR(IF(A1176="","",VLOOKUP(A1176,CadProd!$A:$C,3,0)),"")</f>
        <v/>
      </c>
    </row>
    <row r="1177" spans="2:3" x14ac:dyDescent="0.3">
      <c r="B1177" t="str">
        <f>IFERROR(IF(A1177="","",VLOOKUP(A1177,CadProd!$A:$B,2,0)),"")</f>
        <v/>
      </c>
      <c r="C1177" t="str">
        <f>IFERROR(IF(A1177="","",VLOOKUP(A1177,CadProd!$A:$C,3,0)),"")</f>
        <v/>
      </c>
    </row>
    <row r="1178" spans="2:3" x14ac:dyDescent="0.3">
      <c r="B1178" t="str">
        <f>IFERROR(IF(A1178="","",VLOOKUP(A1178,CadProd!$A:$B,2,0)),"")</f>
        <v/>
      </c>
      <c r="C1178" t="str">
        <f>IFERROR(IF(A1178="","",VLOOKUP(A1178,CadProd!$A:$C,3,0)),"")</f>
        <v/>
      </c>
    </row>
    <row r="1179" spans="2:3" x14ac:dyDescent="0.3">
      <c r="B1179" t="str">
        <f>IFERROR(IF(A1179="","",VLOOKUP(A1179,CadProd!$A:$B,2,0)),"")</f>
        <v/>
      </c>
      <c r="C1179" t="str">
        <f>IFERROR(IF(A1179="","",VLOOKUP(A1179,CadProd!$A:$C,3,0)),"")</f>
        <v/>
      </c>
    </row>
    <row r="1180" spans="2:3" x14ac:dyDescent="0.3">
      <c r="B1180" t="str">
        <f>IFERROR(IF(A1180="","",VLOOKUP(A1180,CadProd!$A:$B,2,0)),"")</f>
        <v/>
      </c>
      <c r="C1180" t="str">
        <f>IFERROR(IF(A1180="","",VLOOKUP(A1180,CadProd!$A:$C,3,0)),"")</f>
        <v/>
      </c>
    </row>
    <row r="1181" spans="2:3" x14ac:dyDescent="0.3">
      <c r="B1181" t="str">
        <f>IFERROR(IF(A1181="","",VLOOKUP(A1181,CadProd!$A:$B,2,0)),"")</f>
        <v/>
      </c>
      <c r="C1181" t="str">
        <f>IFERROR(IF(A1181="","",VLOOKUP(A1181,CadProd!$A:$C,3,0)),"")</f>
        <v/>
      </c>
    </row>
    <row r="1182" spans="2:3" x14ac:dyDescent="0.3">
      <c r="B1182" t="str">
        <f>IFERROR(IF(A1182="","",VLOOKUP(A1182,CadProd!$A:$B,2,0)),"")</f>
        <v/>
      </c>
      <c r="C1182" t="str">
        <f>IFERROR(IF(A1182="","",VLOOKUP(A1182,CadProd!$A:$C,3,0)),"")</f>
        <v/>
      </c>
    </row>
    <row r="1183" spans="2:3" x14ac:dyDescent="0.3">
      <c r="B1183" t="str">
        <f>IFERROR(IF(A1183="","",VLOOKUP(A1183,CadProd!$A:$B,2,0)),"")</f>
        <v/>
      </c>
      <c r="C1183" t="str">
        <f>IFERROR(IF(A1183="","",VLOOKUP(A1183,CadProd!$A:$C,3,0)),"")</f>
        <v/>
      </c>
    </row>
    <row r="1184" spans="2:3" x14ac:dyDescent="0.3">
      <c r="B1184" t="str">
        <f>IFERROR(IF(A1184="","",VLOOKUP(A1184,CadProd!$A:$B,2,0)),"")</f>
        <v/>
      </c>
      <c r="C1184" t="str">
        <f>IFERROR(IF(A1184="","",VLOOKUP(A1184,CadProd!$A:$C,3,0)),"")</f>
        <v/>
      </c>
    </row>
    <row r="1185" spans="2:3" x14ac:dyDescent="0.3">
      <c r="B1185" t="str">
        <f>IFERROR(IF(A1185="","",VLOOKUP(A1185,CadProd!$A:$B,2,0)),"")</f>
        <v/>
      </c>
      <c r="C1185" t="str">
        <f>IFERROR(IF(A1185="","",VLOOKUP(A1185,CadProd!$A:$C,3,0)),"")</f>
        <v/>
      </c>
    </row>
    <row r="1186" spans="2:3" x14ac:dyDescent="0.3">
      <c r="B1186" t="str">
        <f>IFERROR(IF(A1186="","",VLOOKUP(A1186,CadProd!$A:$B,2,0)),"")</f>
        <v/>
      </c>
      <c r="C1186" t="str">
        <f>IFERROR(IF(A1186="","",VLOOKUP(A1186,CadProd!$A:$C,3,0)),"")</f>
        <v/>
      </c>
    </row>
    <row r="1187" spans="2:3" x14ac:dyDescent="0.3">
      <c r="B1187" t="str">
        <f>IFERROR(IF(A1187="","",VLOOKUP(A1187,CadProd!$A:$B,2,0)),"")</f>
        <v/>
      </c>
      <c r="C1187" t="str">
        <f>IFERROR(IF(A1187="","",VLOOKUP(A1187,CadProd!$A:$C,3,0)),"")</f>
        <v/>
      </c>
    </row>
    <row r="1188" spans="2:3" x14ac:dyDescent="0.3">
      <c r="B1188" t="str">
        <f>IFERROR(IF(A1188="","",VLOOKUP(A1188,CadProd!$A:$B,2,0)),"")</f>
        <v/>
      </c>
      <c r="C1188" t="str">
        <f>IFERROR(IF(A1188="","",VLOOKUP(A1188,CadProd!$A:$C,3,0)),"")</f>
        <v/>
      </c>
    </row>
    <row r="1189" spans="2:3" x14ac:dyDescent="0.3">
      <c r="B1189" t="str">
        <f>IFERROR(IF(A1189="","",VLOOKUP(A1189,CadProd!$A:$B,2,0)),"")</f>
        <v/>
      </c>
      <c r="C1189" t="str">
        <f>IFERROR(IF(A1189="","",VLOOKUP(A1189,CadProd!$A:$C,3,0)),"")</f>
        <v/>
      </c>
    </row>
    <row r="1190" spans="2:3" x14ac:dyDescent="0.3">
      <c r="B1190" t="str">
        <f>IFERROR(IF(A1190="","",VLOOKUP(A1190,CadProd!$A:$B,2,0)),"")</f>
        <v/>
      </c>
      <c r="C1190" t="str">
        <f>IFERROR(IF(A1190="","",VLOOKUP(A1190,CadProd!$A:$C,3,0)),"")</f>
        <v/>
      </c>
    </row>
    <row r="1191" spans="2:3" x14ac:dyDescent="0.3">
      <c r="B1191" t="str">
        <f>IFERROR(IF(A1191="","",VLOOKUP(A1191,CadProd!$A:$B,2,0)),"")</f>
        <v/>
      </c>
      <c r="C1191" t="str">
        <f>IFERROR(IF(A1191="","",VLOOKUP(A1191,CadProd!$A:$C,3,0)),"")</f>
        <v/>
      </c>
    </row>
    <row r="1192" spans="2:3" x14ac:dyDescent="0.3">
      <c r="B1192" t="str">
        <f>IFERROR(IF(A1192="","",VLOOKUP(A1192,CadProd!$A:$B,2,0)),"")</f>
        <v/>
      </c>
      <c r="C1192" t="str">
        <f>IFERROR(IF(A1192="","",VLOOKUP(A1192,CadProd!$A:$C,3,0)),"")</f>
        <v/>
      </c>
    </row>
    <row r="1193" spans="2:3" x14ac:dyDescent="0.3">
      <c r="B1193" t="str">
        <f>IFERROR(IF(A1193="","",VLOOKUP(A1193,CadProd!$A:$B,2,0)),"")</f>
        <v/>
      </c>
      <c r="C1193" t="str">
        <f>IFERROR(IF(A1193="","",VLOOKUP(A1193,CadProd!$A:$C,3,0)),"")</f>
        <v/>
      </c>
    </row>
    <row r="1194" spans="2:3" x14ac:dyDescent="0.3">
      <c r="B1194" t="str">
        <f>IFERROR(IF(A1194="","",VLOOKUP(A1194,CadProd!$A:$B,2,0)),"")</f>
        <v/>
      </c>
      <c r="C1194" t="str">
        <f>IFERROR(IF(A1194="","",VLOOKUP(A1194,CadProd!$A:$C,3,0)),"")</f>
        <v/>
      </c>
    </row>
    <row r="1195" spans="2:3" x14ac:dyDescent="0.3">
      <c r="B1195" t="str">
        <f>IFERROR(IF(A1195="","",VLOOKUP(A1195,CadProd!$A:$B,2,0)),"")</f>
        <v/>
      </c>
      <c r="C1195" t="str">
        <f>IFERROR(IF(A1195="","",VLOOKUP(A1195,CadProd!$A:$C,3,0)),"")</f>
        <v/>
      </c>
    </row>
    <row r="1196" spans="2:3" x14ac:dyDescent="0.3">
      <c r="B1196" t="str">
        <f>IFERROR(IF(A1196="","",VLOOKUP(A1196,CadProd!$A:$B,2,0)),"")</f>
        <v/>
      </c>
      <c r="C1196" t="str">
        <f>IFERROR(IF(A1196="","",VLOOKUP(A1196,CadProd!$A:$C,3,0)),"")</f>
        <v/>
      </c>
    </row>
    <row r="1197" spans="2:3" x14ac:dyDescent="0.3">
      <c r="B1197" t="str">
        <f>IFERROR(IF(A1197="","",VLOOKUP(A1197,CadProd!$A:$B,2,0)),"")</f>
        <v/>
      </c>
      <c r="C1197" t="str">
        <f>IFERROR(IF(A1197="","",VLOOKUP(A1197,CadProd!$A:$C,3,0)),"")</f>
        <v/>
      </c>
    </row>
    <row r="1198" spans="2:3" x14ac:dyDescent="0.3">
      <c r="B1198" t="str">
        <f>IFERROR(IF(A1198="","",VLOOKUP(A1198,CadProd!$A:$B,2,0)),"")</f>
        <v/>
      </c>
      <c r="C1198" t="str">
        <f>IFERROR(IF(A1198="","",VLOOKUP(A1198,CadProd!$A:$C,3,0)),"")</f>
        <v/>
      </c>
    </row>
    <row r="1199" spans="2:3" x14ac:dyDescent="0.3">
      <c r="B1199" t="str">
        <f>IFERROR(IF(A1199="","",VLOOKUP(A1199,CadProd!$A:$B,2,0)),"")</f>
        <v/>
      </c>
      <c r="C1199" t="str">
        <f>IFERROR(IF(A1199="","",VLOOKUP(A1199,CadProd!$A:$C,3,0)),"")</f>
        <v/>
      </c>
    </row>
    <row r="1200" spans="2:3" x14ac:dyDescent="0.3">
      <c r="B1200" t="str">
        <f>IFERROR(IF(A1200="","",VLOOKUP(A1200,CadProd!$A:$B,2,0)),"")</f>
        <v/>
      </c>
      <c r="C1200" t="str">
        <f>IFERROR(IF(A1200="","",VLOOKUP(A1200,CadProd!$A:$C,3,0)),"")</f>
        <v/>
      </c>
    </row>
    <row r="1201" spans="2:3" x14ac:dyDescent="0.3">
      <c r="B1201" t="str">
        <f>IFERROR(IF(A1201="","",VLOOKUP(A1201,CadProd!$A:$B,2,0)),"")</f>
        <v/>
      </c>
      <c r="C1201" t="str">
        <f>IFERROR(IF(A1201="","",VLOOKUP(A1201,CadProd!$A:$C,3,0)),"")</f>
        <v/>
      </c>
    </row>
    <row r="1202" spans="2:3" x14ac:dyDescent="0.3">
      <c r="B1202" t="str">
        <f>IFERROR(IF(A1202="","",VLOOKUP(A1202,CadProd!$A:$B,2,0)),"")</f>
        <v/>
      </c>
      <c r="C1202" t="str">
        <f>IFERROR(IF(A1202="","",VLOOKUP(A1202,CadProd!$A:$C,3,0)),"")</f>
        <v/>
      </c>
    </row>
    <row r="1203" spans="2:3" x14ac:dyDescent="0.3">
      <c r="B1203" t="str">
        <f>IFERROR(IF(A1203="","",VLOOKUP(A1203,CadProd!$A:$B,2,0)),"")</f>
        <v/>
      </c>
      <c r="C1203" t="str">
        <f>IFERROR(IF(A1203="","",VLOOKUP(A1203,CadProd!$A:$C,3,0)),"")</f>
        <v/>
      </c>
    </row>
    <row r="1204" spans="2:3" x14ac:dyDescent="0.3">
      <c r="B1204" t="str">
        <f>IFERROR(IF(A1204="","",VLOOKUP(A1204,CadProd!$A:$B,2,0)),"")</f>
        <v/>
      </c>
      <c r="C1204" t="str">
        <f>IFERROR(IF(A1204="","",VLOOKUP(A1204,CadProd!$A:$C,3,0)),"")</f>
        <v/>
      </c>
    </row>
    <row r="1205" spans="2:3" x14ac:dyDescent="0.3">
      <c r="B1205" t="str">
        <f>IFERROR(IF(A1205="","",VLOOKUP(A1205,CadProd!$A:$B,2,0)),"")</f>
        <v/>
      </c>
      <c r="C1205" t="str">
        <f>IFERROR(IF(A1205="","",VLOOKUP(A1205,CadProd!$A:$C,3,0)),"")</f>
        <v/>
      </c>
    </row>
    <row r="1206" spans="2:3" x14ac:dyDescent="0.3">
      <c r="B1206" t="str">
        <f>IFERROR(IF(A1206="","",VLOOKUP(A1206,CadProd!$A:$B,2,0)),"")</f>
        <v/>
      </c>
      <c r="C1206" t="str">
        <f>IFERROR(IF(A1206="","",VLOOKUP(A1206,CadProd!$A:$C,3,0)),"")</f>
        <v/>
      </c>
    </row>
    <row r="1207" spans="2:3" x14ac:dyDescent="0.3">
      <c r="B1207" t="str">
        <f>IFERROR(IF(A1207="","",VLOOKUP(A1207,CadProd!$A:$B,2,0)),"")</f>
        <v/>
      </c>
      <c r="C1207" t="str">
        <f>IFERROR(IF(A1207="","",VLOOKUP(A1207,CadProd!$A:$C,3,0)),"")</f>
        <v/>
      </c>
    </row>
    <row r="1208" spans="2:3" x14ac:dyDescent="0.3">
      <c r="B1208" t="str">
        <f>IFERROR(IF(A1208="","",VLOOKUP(A1208,CadProd!$A:$B,2,0)),"")</f>
        <v/>
      </c>
      <c r="C1208" t="str">
        <f>IFERROR(IF(A1208="","",VLOOKUP(A1208,CadProd!$A:$C,3,0)),"")</f>
        <v/>
      </c>
    </row>
    <row r="1209" spans="2:3" x14ac:dyDescent="0.3">
      <c r="B1209" t="str">
        <f>IFERROR(IF(A1209="","",VLOOKUP(A1209,CadProd!$A:$B,2,0)),"")</f>
        <v/>
      </c>
      <c r="C1209" t="str">
        <f>IFERROR(IF(A1209="","",VLOOKUP(A1209,CadProd!$A:$C,3,0)),"")</f>
        <v/>
      </c>
    </row>
    <row r="1210" spans="2:3" x14ac:dyDescent="0.3">
      <c r="B1210" t="str">
        <f>IFERROR(IF(A1210="","",VLOOKUP(A1210,CadProd!$A:$B,2,0)),"")</f>
        <v/>
      </c>
      <c r="C1210" t="str">
        <f>IFERROR(IF(A1210="","",VLOOKUP(A1210,CadProd!$A:$C,3,0)),"")</f>
        <v/>
      </c>
    </row>
    <row r="1211" spans="2:3" x14ac:dyDescent="0.3">
      <c r="B1211" t="str">
        <f>IFERROR(IF(A1211="","",VLOOKUP(A1211,CadProd!$A:$B,2,0)),"")</f>
        <v/>
      </c>
      <c r="C1211" t="str">
        <f>IFERROR(IF(A1211="","",VLOOKUP(A1211,CadProd!$A:$C,3,0)),"")</f>
        <v/>
      </c>
    </row>
    <row r="1212" spans="2:3" x14ac:dyDescent="0.3">
      <c r="B1212" t="str">
        <f>IFERROR(IF(A1212="","",VLOOKUP(A1212,CadProd!$A:$B,2,0)),"")</f>
        <v/>
      </c>
      <c r="C1212" t="str">
        <f>IFERROR(IF(A1212="","",VLOOKUP(A1212,CadProd!$A:$C,3,0)),"")</f>
        <v/>
      </c>
    </row>
    <row r="1213" spans="2:3" x14ac:dyDescent="0.3">
      <c r="B1213" t="str">
        <f>IFERROR(IF(A1213="","",VLOOKUP(A1213,CadProd!$A:$B,2,0)),"")</f>
        <v/>
      </c>
      <c r="C1213" t="str">
        <f>IFERROR(IF(A1213="","",VLOOKUP(A1213,CadProd!$A:$C,3,0)),"")</f>
        <v/>
      </c>
    </row>
    <row r="1214" spans="2:3" x14ac:dyDescent="0.3">
      <c r="B1214" t="str">
        <f>IFERROR(IF(A1214="","",VLOOKUP(A1214,CadProd!$A:$B,2,0)),"")</f>
        <v/>
      </c>
      <c r="C1214" t="str">
        <f>IFERROR(IF(A1214="","",VLOOKUP(A1214,CadProd!$A:$C,3,0)),"")</f>
        <v/>
      </c>
    </row>
    <row r="1215" spans="2:3" x14ac:dyDescent="0.3">
      <c r="B1215" t="str">
        <f>IFERROR(IF(A1215="","",VLOOKUP(A1215,CadProd!$A:$B,2,0)),"")</f>
        <v/>
      </c>
      <c r="C1215" t="str">
        <f>IFERROR(IF(A1215="","",VLOOKUP(A1215,CadProd!$A:$C,3,0)),"")</f>
        <v/>
      </c>
    </row>
    <row r="1216" spans="2:3" x14ac:dyDescent="0.3">
      <c r="B1216" t="str">
        <f>IFERROR(IF(A1216="","",VLOOKUP(A1216,CadProd!$A:$B,2,0)),"")</f>
        <v/>
      </c>
      <c r="C1216" t="str">
        <f>IFERROR(IF(A1216="","",VLOOKUP(A1216,CadProd!$A:$C,3,0)),"")</f>
        <v/>
      </c>
    </row>
    <row r="1217" spans="2:3" x14ac:dyDescent="0.3">
      <c r="B1217" t="str">
        <f>IFERROR(IF(A1217="","",VLOOKUP(A1217,CadProd!$A:$B,2,0)),"")</f>
        <v/>
      </c>
      <c r="C1217" t="str">
        <f>IFERROR(IF(A1217="","",VLOOKUP(A1217,CadProd!$A:$C,3,0)),"")</f>
        <v/>
      </c>
    </row>
    <row r="1218" spans="2:3" x14ac:dyDescent="0.3">
      <c r="B1218" t="str">
        <f>IFERROR(IF(A1218="","",VLOOKUP(A1218,CadProd!$A:$B,2,0)),"")</f>
        <v/>
      </c>
      <c r="C1218" t="str">
        <f>IFERROR(IF(A1218="","",VLOOKUP(A1218,CadProd!$A:$C,3,0)),"")</f>
        <v/>
      </c>
    </row>
    <row r="1219" spans="2:3" x14ac:dyDescent="0.3">
      <c r="B1219" t="str">
        <f>IFERROR(IF(A1219="","",VLOOKUP(A1219,CadProd!$A:$B,2,0)),"")</f>
        <v/>
      </c>
      <c r="C1219" t="str">
        <f>IFERROR(IF(A1219="","",VLOOKUP(A1219,CadProd!$A:$C,3,0)),"")</f>
        <v/>
      </c>
    </row>
    <row r="1220" spans="2:3" x14ac:dyDescent="0.3">
      <c r="B1220" t="str">
        <f>IFERROR(IF(A1220="","",VLOOKUP(A1220,CadProd!$A:$B,2,0)),"")</f>
        <v/>
      </c>
      <c r="C1220" t="str">
        <f>IFERROR(IF(A1220="","",VLOOKUP(A1220,CadProd!$A:$C,3,0)),"")</f>
        <v/>
      </c>
    </row>
    <row r="1221" spans="2:3" x14ac:dyDescent="0.3">
      <c r="B1221" t="str">
        <f>IFERROR(IF(A1221="","",VLOOKUP(A1221,CadProd!$A:$B,2,0)),"")</f>
        <v/>
      </c>
      <c r="C1221" t="str">
        <f>IFERROR(IF(A1221="","",VLOOKUP(A1221,CadProd!$A:$C,3,0)),"")</f>
        <v/>
      </c>
    </row>
    <row r="1222" spans="2:3" x14ac:dyDescent="0.3">
      <c r="B1222" t="str">
        <f>IFERROR(IF(A1222="","",VLOOKUP(A1222,CadProd!$A:$B,2,0)),"")</f>
        <v/>
      </c>
      <c r="C1222" t="str">
        <f>IFERROR(IF(A1222="","",VLOOKUP(A1222,CadProd!$A:$C,3,0)),"")</f>
        <v/>
      </c>
    </row>
    <row r="1223" spans="2:3" x14ac:dyDescent="0.3">
      <c r="B1223" t="str">
        <f>IFERROR(IF(A1223="","",VLOOKUP(A1223,CadProd!$A:$B,2,0)),"")</f>
        <v/>
      </c>
      <c r="C1223" t="str">
        <f>IFERROR(IF(A1223="","",VLOOKUP(A1223,CadProd!$A:$C,3,0)),"")</f>
        <v/>
      </c>
    </row>
    <row r="1224" spans="2:3" x14ac:dyDescent="0.3">
      <c r="B1224" t="str">
        <f>IFERROR(IF(A1224="","",VLOOKUP(A1224,CadProd!$A:$B,2,0)),"")</f>
        <v/>
      </c>
      <c r="C1224" t="str">
        <f>IFERROR(IF(A1224="","",VLOOKUP(A1224,CadProd!$A:$C,3,0)),"")</f>
        <v/>
      </c>
    </row>
    <row r="1225" spans="2:3" x14ac:dyDescent="0.3">
      <c r="B1225" t="str">
        <f>IFERROR(IF(A1225="","",VLOOKUP(A1225,CadProd!$A:$B,2,0)),"")</f>
        <v/>
      </c>
      <c r="C1225" t="str">
        <f>IFERROR(IF(A1225="","",VLOOKUP(A1225,CadProd!$A:$C,3,0)),"")</f>
        <v/>
      </c>
    </row>
    <row r="1226" spans="2:3" x14ac:dyDescent="0.3">
      <c r="B1226" t="str">
        <f>IFERROR(IF(A1226="","",VLOOKUP(A1226,CadProd!$A:$B,2,0)),"")</f>
        <v/>
      </c>
      <c r="C1226" t="str">
        <f>IFERROR(IF(A1226="","",VLOOKUP(A1226,CadProd!$A:$C,3,0)),"")</f>
        <v/>
      </c>
    </row>
    <row r="1227" spans="2:3" x14ac:dyDescent="0.3">
      <c r="B1227" t="str">
        <f>IFERROR(IF(A1227="","",VLOOKUP(A1227,CadProd!$A:$B,2,0)),"")</f>
        <v/>
      </c>
      <c r="C1227" t="str">
        <f>IFERROR(IF(A1227="","",VLOOKUP(A1227,CadProd!$A:$C,3,0)),"")</f>
        <v/>
      </c>
    </row>
    <row r="1228" spans="2:3" x14ac:dyDescent="0.3">
      <c r="B1228" t="str">
        <f>IFERROR(IF(A1228="","",VLOOKUP(A1228,CadProd!$A:$B,2,0)),"")</f>
        <v/>
      </c>
      <c r="C1228" t="str">
        <f>IFERROR(IF(A1228="","",VLOOKUP(A1228,CadProd!$A:$C,3,0)),"")</f>
        <v/>
      </c>
    </row>
    <row r="1229" spans="2:3" x14ac:dyDescent="0.3">
      <c r="B1229" t="str">
        <f>IFERROR(IF(A1229="","",VLOOKUP(A1229,CadProd!$A:$B,2,0)),"")</f>
        <v/>
      </c>
      <c r="C1229" t="str">
        <f>IFERROR(IF(A1229="","",VLOOKUP(A1229,CadProd!$A:$C,3,0)),"")</f>
        <v/>
      </c>
    </row>
    <row r="1230" spans="2:3" x14ac:dyDescent="0.3">
      <c r="B1230" t="str">
        <f>IFERROR(IF(A1230="","",VLOOKUP(A1230,CadProd!$A:$B,2,0)),"")</f>
        <v/>
      </c>
      <c r="C1230" t="str">
        <f>IFERROR(IF(A1230="","",VLOOKUP(A1230,CadProd!$A:$C,3,0)),"")</f>
        <v/>
      </c>
    </row>
    <row r="1231" spans="2:3" x14ac:dyDescent="0.3">
      <c r="B1231" t="str">
        <f>IFERROR(IF(A1231="","",VLOOKUP(A1231,CadProd!$A:$B,2,0)),"")</f>
        <v/>
      </c>
      <c r="C1231" t="str">
        <f>IFERROR(IF(A1231="","",VLOOKUP(A1231,CadProd!$A:$C,3,0)),"")</f>
        <v/>
      </c>
    </row>
    <row r="1232" spans="2:3" x14ac:dyDescent="0.3">
      <c r="B1232" t="str">
        <f>IFERROR(IF(A1232="","",VLOOKUP(A1232,CadProd!$A:$B,2,0)),"")</f>
        <v/>
      </c>
      <c r="C1232" t="str">
        <f>IFERROR(IF(A1232="","",VLOOKUP(A1232,CadProd!$A:$C,3,0)),"")</f>
        <v/>
      </c>
    </row>
    <row r="1233" spans="2:3" x14ac:dyDescent="0.3">
      <c r="B1233" t="str">
        <f>IFERROR(IF(A1233="","",VLOOKUP(A1233,CadProd!$A:$B,2,0)),"")</f>
        <v/>
      </c>
      <c r="C1233" t="str">
        <f>IFERROR(IF(A1233="","",VLOOKUP(A1233,CadProd!$A:$C,3,0)),"")</f>
        <v/>
      </c>
    </row>
    <row r="1234" spans="2:3" x14ac:dyDescent="0.3">
      <c r="B1234" t="str">
        <f>IFERROR(IF(A1234="","",VLOOKUP(A1234,CadProd!$A:$B,2,0)),"")</f>
        <v/>
      </c>
      <c r="C1234" t="str">
        <f>IFERROR(IF(A1234="","",VLOOKUP(A1234,CadProd!$A:$C,3,0)),"")</f>
        <v/>
      </c>
    </row>
    <row r="1235" spans="2:3" x14ac:dyDescent="0.3">
      <c r="B1235" t="str">
        <f>IFERROR(IF(A1235="","",VLOOKUP(A1235,CadProd!$A:$B,2,0)),"")</f>
        <v/>
      </c>
      <c r="C1235" t="str">
        <f>IFERROR(IF(A1235="","",VLOOKUP(A1235,CadProd!$A:$C,3,0)),"")</f>
        <v/>
      </c>
    </row>
    <row r="1236" spans="2:3" x14ac:dyDescent="0.3">
      <c r="B1236" t="str">
        <f>IFERROR(IF(A1236="","",VLOOKUP(A1236,CadProd!$A:$B,2,0)),"")</f>
        <v/>
      </c>
      <c r="C1236" t="str">
        <f>IFERROR(IF(A1236="","",VLOOKUP(A1236,CadProd!$A:$C,3,0)),"")</f>
        <v/>
      </c>
    </row>
    <row r="1237" spans="2:3" x14ac:dyDescent="0.3">
      <c r="B1237" t="str">
        <f>IFERROR(IF(A1237="","",VLOOKUP(A1237,CadProd!$A:$B,2,0)),"")</f>
        <v/>
      </c>
      <c r="C1237" t="str">
        <f>IFERROR(IF(A1237="","",VLOOKUP(A1237,CadProd!$A:$C,3,0)),"")</f>
        <v/>
      </c>
    </row>
    <row r="1238" spans="2:3" x14ac:dyDescent="0.3">
      <c r="B1238" t="str">
        <f>IFERROR(IF(A1238="","",VLOOKUP(A1238,CadProd!$A:$B,2,0)),"")</f>
        <v/>
      </c>
      <c r="C1238" t="str">
        <f>IFERROR(IF(A1238="","",VLOOKUP(A1238,CadProd!$A:$C,3,0)),"")</f>
        <v/>
      </c>
    </row>
    <row r="1239" spans="2:3" x14ac:dyDescent="0.3">
      <c r="B1239" t="str">
        <f>IFERROR(IF(A1239="","",VLOOKUP(A1239,CadProd!$A:$B,2,0)),"")</f>
        <v/>
      </c>
      <c r="C1239" t="str">
        <f>IFERROR(IF(A1239="","",VLOOKUP(A1239,CadProd!$A:$C,3,0)),"")</f>
        <v/>
      </c>
    </row>
    <row r="1240" spans="2:3" x14ac:dyDescent="0.3">
      <c r="B1240" t="str">
        <f>IFERROR(IF(A1240="","",VLOOKUP(A1240,CadProd!$A:$B,2,0)),"")</f>
        <v/>
      </c>
      <c r="C1240" t="str">
        <f>IFERROR(IF(A1240="","",VLOOKUP(A1240,CadProd!$A:$C,3,0)),"")</f>
        <v/>
      </c>
    </row>
    <row r="1241" spans="2:3" x14ac:dyDescent="0.3">
      <c r="B1241" t="str">
        <f>IFERROR(IF(A1241="","",VLOOKUP(A1241,CadProd!$A:$B,2,0)),"")</f>
        <v/>
      </c>
      <c r="C1241" t="str">
        <f>IFERROR(IF(A1241="","",VLOOKUP(A1241,CadProd!$A:$C,3,0)),"")</f>
        <v/>
      </c>
    </row>
    <row r="1242" spans="2:3" x14ac:dyDescent="0.3">
      <c r="B1242" t="str">
        <f>IFERROR(IF(A1242="","",VLOOKUP(A1242,CadProd!$A:$B,2,0)),"")</f>
        <v/>
      </c>
      <c r="C1242" t="str">
        <f>IFERROR(IF(A1242="","",VLOOKUP(A1242,CadProd!$A:$C,3,0)),"")</f>
        <v/>
      </c>
    </row>
    <row r="1243" spans="2:3" x14ac:dyDescent="0.3">
      <c r="B1243" t="str">
        <f>IFERROR(IF(A1243="","",VLOOKUP(A1243,CadProd!$A:$B,2,0)),"")</f>
        <v/>
      </c>
      <c r="C1243" t="str">
        <f>IFERROR(IF(A1243="","",VLOOKUP(A1243,CadProd!$A:$C,3,0)),"")</f>
        <v/>
      </c>
    </row>
    <row r="1244" spans="2:3" x14ac:dyDescent="0.3">
      <c r="B1244" t="str">
        <f>IFERROR(IF(A1244="","",VLOOKUP(A1244,CadProd!$A:$B,2,0)),"")</f>
        <v/>
      </c>
      <c r="C1244" t="str">
        <f>IFERROR(IF(A1244="","",VLOOKUP(A1244,CadProd!$A:$C,3,0)),"")</f>
        <v/>
      </c>
    </row>
    <row r="1245" spans="2:3" x14ac:dyDescent="0.3">
      <c r="B1245" t="str">
        <f>IFERROR(IF(A1245="","",VLOOKUP(A1245,CadProd!$A:$B,2,0)),"")</f>
        <v/>
      </c>
      <c r="C1245" t="str">
        <f>IFERROR(IF(A1245="","",VLOOKUP(A1245,CadProd!$A:$C,3,0)),"")</f>
        <v/>
      </c>
    </row>
    <row r="1246" spans="2:3" x14ac:dyDescent="0.3">
      <c r="B1246" t="str">
        <f>IFERROR(IF(A1246="","",VLOOKUP(A1246,CadProd!$A:$B,2,0)),"")</f>
        <v/>
      </c>
      <c r="C1246" t="str">
        <f>IFERROR(IF(A1246="","",VLOOKUP(A1246,CadProd!$A:$C,3,0)),"")</f>
        <v/>
      </c>
    </row>
    <row r="1247" spans="2:3" x14ac:dyDescent="0.3">
      <c r="B1247" t="str">
        <f>IFERROR(IF(A1247="","",VLOOKUP(A1247,CadProd!$A:$B,2,0)),"")</f>
        <v/>
      </c>
      <c r="C1247" t="str">
        <f>IFERROR(IF(A1247="","",VLOOKUP(A1247,CadProd!$A:$C,3,0)),"")</f>
        <v/>
      </c>
    </row>
    <row r="1248" spans="2:3" x14ac:dyDescent="0.3">
      <c r="B1248" t="str">
        <f>IFERROR(IF(A1248="","",VLOOKUP(A1248,CadProd!$A:$B,2,0)),"")</f>
        <v/>
      </c>
      <c r="C1248" t="str">
        <f>IFERROR(IF(A1248="","",VLOOKUP(A1248,CadProd!$A:$C,3,0)),"")</f>
        <v/>
      </c>
    </row>
    <row r="1249" spans="2:3" x14ac:dyDescent="0.3">
      <c r="B1249" t="str">
        <f>IFERROR(IF(A1249="","",VLOOKUP(A1249,CadProd!$A:$B,2,0)),"")</f>
        <v/>
      </c>
      <c r="C1249" t="str">
        <f>IFERROR(IF(A1249="","",VLOOKUP(A1249,CadProd!$A:$C,3,0)),"")</f>
        <v/>
      </c>
    </row>
    <row r="1250" spans="2:3" x14ac:dyDescent="0.3">
      <c r="B1250" t="str">
        <f>IFERROR(IF(A1250="","",VLOOKUP(A1250,CadProd!$A:$B,2,0)),"")</f>
        <v/>
      </c>
      <c r="C1250" t="str">
        <f>IFERROR(IF(A1250="","",VLOOKUP(A1250,CadProd!$A:$C,3,0)),"")</f>
        <v/>
      </c>
    </row>
    <row r="1251" spans="2:3" x14ac:dyDescent="0.3">
      <c r="B1251" t="str">
        <f>IFERROR(IF(A1251="","",VLOOKUP(A1251,CadProd!$A:$B,2,0)),"")</f>
        <v/>
      </c>
      <c r="C1251" t="str">
        <f>IFERROR(IF(A1251="","",VLOOKUP(A1251,CadProd!$A:$C,3,0)),"")</f>
        <v/>
      </c>
    </row>
    <row r="1252" spans="2:3" x14ac:dyDescent="0.3">
      <c r="B1252" t="str">
        <f>IFERROR(IF(A1252="","",VLOOKUP(A1252,CadProd!$A:$B,2,0)),"")</f>
        <v/>
      </c>
      <c r="C1252" t="str">
        <f>IFERROR(IF(A1252="","",VLOOKUP(A1252,CadProd!$A:$C,3,0)),"")</f>
        <v/>
      </c>
    </row>
    <row r="1253" spans="2:3" x14ac:dyDescent="0.3">
      <c r="B1253" t="str">
        <f>IFERROR(IF(A1253="","",VLOOKUP(A1253,CadProd!$A:$B,2,0)),"")</f>
        <v/>
      </c>
      <c r="C1253" t="str">
        <f>IFERROR(IF(A1253="","",VLOOKUP(A1253,CadProd!$A:$C,3,0)),"")</f>
        <v/>
      </c>
    </row>
    <row r="1254" spans="2:3" x14ac:dyDescent="0.3">
      <c r="B1254" t="str">
        <f>IFERROR(IF(A1254="","",VLOOKUP(A1254,CadProd!$A:$B,2,0)),"")</f>
        <v/>
      </c>
      <c r="C1254" t="str">
        <f>IFERROR(IF(A1254="","",VLOOKUP(A1254,CadProd!$A:$C,3,0)),"")</f>
        <v/>
      </c>
    </row>
    <row r="1255" spans="2:3" x14ac:dyDescent="0.3">
      <c r="B1255" t="str">
        <f>IFERROR(IF(A1255="","",VLOOKUP(A1255,CadProd!$A:$B,2,0)),"")</f>
        <v/>
      </c>
      <c r="C1255" t="str">
        <f>IFERROR(IF(A1255="","",VLOOKUP(A1255,CadProd!$A:$C,3,0)),"")</f>
        <v/>
      </c>
    </row>
    <row r="1256" spans="2:3" x14ac:dyDescent="0.3">
      <c r="B1256" t="str">
        <f>IFERROR(IF(A1256="","",VLOOKUP(A1256,CadProd!$A:$B,2,0)),"")</f>
        <v/>
      </c>
      <c r="C1256" t="str">
        <f>IFERROR(IF(A1256="","",VLOOKUP(A1256,CadProd!$A:$C,3,0)),"")</f>
        <v/>
      </c>
    </row>
    <row r="1257" spans="2:3" x14ac:dyDescent="0.3">
      <c r="B1257" t="str">
        <f>IFERROR(IF(A1257="","",VLOOKUP(A1257,CadProd!$A:$B,2,0)),"")</f>
        <v/>
      </c>
      <c r="C1257" t="str">
        <f>IFERROR(IF(A1257="","",VLOOKUP(A1257,CadProd!$A:$C,3,0)),"")</f>
        <v/>
      </c>
    </row>
    <row r="1258" spans="2:3" x14ac:dyDescent="0.3">
      <c r="B1258" t="str">
        <f>IFERROR(IF(A1258="","",VLOOKUP(A1258,CadProd!$A:$B,2,0)),"")</f>
        <v/>
      </c>
      <c r="C1258" t="str">
        <f>IFERROR(IF(A1258="","",VLOOKUP(A1258,CadProd!$A:$C,3,0)),"")</f>
        <v/>
      </c>
    </row>
    <row r="1259" spans="2:3" x14ac:dyDescent="0.3">
      <c r="B1259" t="str">
        <f>IFERROR(IF(A1259="","",VLOOKUP(A1259,CadProd!$A:$B,2,0)),"")</f>
        <v/>
      </c>
      <c r="C1259" t="str">
        <f>IFERROR(IF(A1259="","",VLOOKUP(A1259,CadProd!$A:$C,3,0)),"")</f>
        <v/>
      </c>
    </row>
    <row r="1260" spans="2:3" x14ac:dyDescent="0.3">
      <c r="B1260" t="str">
        <f>IFERROR(IF(A1260="","",VLOOKUP(A1260,CadProd!$A:$B,2,0)),"")</f>
        <v/>
      </c>
      <c r="C1260" t="str">
        <f>IFERROR(IF(A1260="","",VLOOKUP(A1260,CadProd!$A:$C,3,0)),"")</f>
        <v/>
      </c>
    </row>
    <row r="1261" spans="2:3" x14ac:dyDescent="0.3">
      <c r="B1261" t="str">
        <f>IFERROR(IF(A1261="","",VLOOKUP(A1261,CadProd!$A:$B,2,0)),"")</f>
        <v/>
      </c>
      <c r="C1261" t="str">
        <f>IFERROR(IF(A1261="","",VLOOKUP(A1261,CadProd!$A:$C,3,0)),"")</f>
        <v/>
      </c>
    </row>
    <row r="1262" spans="2:3" x14ac:dyDescent="0.3">
      <c r="B1262" t="str">
        <f>IFERROR(IF(A1262="","",VLOOKUP(A1262,CadProd!$A:$B,2,0)),"")</f>
        <v/>
      </c>
      <c r="C1262" t="str">
        <f>IFERROR(IF(A1262="","",VLOOKUP(A1262,CadProd!$A:$C,3,0)),"")</f>
        <v/>
      </c>
    </row>
    <row r="1263" spans="2:3" x14ac:dyDescent="0.3">
      <c r="B1263" t="str">
        <f>IFERROR(IF(A1263="","",VLOOKUP(A1263,CadProd!$A:$B,2,0)),"")</f>
        <v/>
      </c>
      <c r="C1263" t="str">
        <f>IFERROR(IF(A1263="","",VLOOKUP(A1263,CadProd!$A:$C,3,0)),"")</f>
        <v/>
      </c>
    </row>
    <row r="1264" spans="2:3" x14ac:dyDescent="0.3">
      <c r="B1264" t="str">
        <f>IFERROR(IF(A1264="","",VLOOKUP(A1264,CadProd!$A:$B,2,0)),"")</f>
        <v/>
      </c>
      <c r="C1264" t="str">
        <f>IFERROR(IF(A1264="","",VLOOKUP(A1264,CadProd!$A:$C,3,0)),"")</f>
        <v/>
      </c>
    </row>
    <row r="1265" spans="2:3" x14ac:dyDescent="0.3">
      <c r="B1265" t="str">
        <f>IFERROR(IF(A1265="","",VLOOKUP(A1265,CadProd!$A:$B,2,0)),"")</f>
        <v/>
      </c>
      <c r="C1265" t="str">
        <f>IFERROR(IF(A1265="","",VLOOKUP(A1265,CadProd!$A:$C,3,0)),"")</f>
        <v/>
      </c>
    </row>
    <row r="1266" spans="2:3" x14ac:dyDescent="0.3">
      <c r="B1266" t="str">
        <f>IFERROR(IF(A1266="","",VLOOKUP(A1266,CadProd!$A:$B,2,0)),"")</f>
        <v/>
      </c>
      <c r="C1266" t="str">
        <f>IFERROR(IF(A1266="","",VLOOKUP(A1266,CadProd!$A:$C,3,0)),"")</f>
        <v/>
      </c>
    </row>
    <row r="1267" spans="2:3" x14ac:dyDescent="0.3">
      <c r="B1267" t="str">
        <f>IFERROR(IF(A1267="","",VLOOKUP(A1267,CadProd!$A:$B,2,0)),"")</f>
        <v/>
      </c>
      <c r="C1267" t="str">
        <f>IFERROR(IF(A1267="","",VLOOKUP(A1267,CadProd!$A:$C,3,0)),"")</f>
        <v/>
      </c>
    </row>
    <row r="1268" spans="2:3" x14ac:dyDescent="0.3">
      <c r="B1268" t="str">
        <f>IFERROR(IF(A1268="","",VLOOKUP(A1268,CadProd!$A:$B,2,0)),"")</f>
        <v/>
      </c>
      <c r="C1268" t="str">
        <f>IFERROR(IF(A1268="","",VLOOKUP(A1268,CadProd!$A:$C,3,0)),"")</f>
        <v/>
      </c>
    </row>
    <row r="1269" spans="2:3" x14ac:dyDescent="0.3">
      <c r="B1269" t="str">
        <f>IFERROR(IF(A1269="","",VLOOKUP(A1269,CadProd!$A:$B,2,0)),"")</f>
        <v/>
      </c>
      <c r="C1269" t="str">
        <f>IFERROR(IF(A1269="","",VLOOKUP(A1269,CadProd!$A:$C,3,0)),"")</f>
        <v/>
      </c>
    </row>
    <row r="1270" spans="2:3" x14ac:dyDescent="0.3">
      <c r="B1270" t="str">
        <f>IFERROR(IF(A1270="","",VLOOKUP(A1270,CadProd!$A:$B,2,0)),"")</f>
        <v/>
      </c>
      <c r="C1270" t="str">
        <f>IFERROR(IF(A1270="","",VLOOKUP(A1270,CadProd!$A:$C,3,0)),"")</f>
        <v/>
      </c>
    </row>
    <row r="1271" spans="2:3" x14ac:dyDescent="0.3">
      <c r="B1271" t="str">
        <f>IFERROR(IF(A1271="","",VLOOKUP(A1271,CadProd!$A:$B,2,0)),"")</f>
        <v/>
      </c>
      <c r="C1271" t="str">
        <f>IFERROR(IF(A1271="","",VLOOKUP(A1271,CadProd!$A:$C,3,0)),"")</f>
        <v/>
      </c>
    </row>
    <row r="1272" spans="2:3" x14ac:dyDescent="0.3">
      <c r="B1272" t="str">
        <f>IFERROR(IF(A1272="","",VLOOKUP(A1272,CadProd!$A:$B,2,0)),"")</f>
        <v/>
      </c>
      <c r="C1272" t="str">
        <f>IFERROR(IF(A1272="","",VLOOKUP(A1272,CadProd!$A:$C,3,0)),"")</f>
        <v/>
      </c>
    </row>
    <row r="1273" spans="2:3" x14ac:dyDescent="0.3">
      <c r="B1273" t="str">
        <f>IFERROR(IF(A1273="","",VLOOKUP(A1273,CadProd!$A:$B,2,0)),"")</f>
        <v/>
      </c>
      <c r="C1273" t="str">
        <f>IFERROR(IF(A1273="","",VLOOKUP(A1273,CadProd!$A:$C,3,0)),"")</f>
        <v/>
      </c>
    </row>
    <row r="1274" spans="2:3" x14ac:dyDescent="0.3">
      <c r="B1274" t="str">
        <f>IFERROR(IF(A1274="","",VLOOKUP(A1274,CadProd!$A:$B,2,0)),"")</f>
        <v/>
      </c>
      <c r="C1274" t="str">
        <f>IFERROR(IF(A1274="","",VLOOKUP(A1274,CadProd!$A:$C,3,0)),"")</f>
        <v/>
      </c>
    </row>
    <row r="1275" spans="2:3" x14ac:dyDescent="0.3">
      <c r="B1275" t="str">
        <f>IFERROR(IF(A1275="","",VLOOKUP(A1275,CadProd!$A:$B,2,0)),"")</f>
        <v/>
      </c>
      <c r="C1275" t="str">
        <f>IFERROR(IF(A1275="","",VLOOKUP(A1275,CadProd!$A:$C,3,0)),"")</f>
        <v/>
      </c>
    </row>
    <row r="1276" spans="2:3" x14ac:dyDescent="0.3">
      <c r="B1276" t="str">
        <f>IFERROR(IF(A1276="","",VLOOKUP(A1276,CadProd!$A:$B,2,0)),"")</f>
        <v/>
      </c>
      <c r="C1276" t="str">
        <f>IFERROR(IF(A1276="","",VLOOKUP(A1276,CadProd!$A:$C,3,0)),"")</f>
        <v/>
      </c>
    </row>
    <row r="1277" spans="2:3" x14ac:dyDescent="0.3">
      <c r="B1277" t="str">
        <f>IFERROR(IF(A1277="","",VLOOKUP(A1277,CadProd!$A:$B,2,0)),"")</f>
        <v/>
      </c>
      <c r="C1277" t="str">
        <f>IFERROR(IF(A1277="","",VLOOKUP(A1277,CadProd!$A:$C,3,0)),"")</f>
        <v/>
      </c>
    </row>
    <row r="1278" spans="2:3" x14ac:dyDescent="0.3">
      <c r="B1278" t="str">
        <f>IFERROR(IF(A1278="","",VLOOKUP(A1278,CadProd!$A:$B,2,0)),"")</f>
        <v/>
      </c>
      <c r="C1278" t="str">
        <f>IFERROR(IF(A1278="","",VLOOKUP(A1278,CadProd!$A:$C,3,0)),"")</f>
        <v/>
      </c>
    </row>
    <row r="1279" spans="2:3" x14ac:dyDescent="0.3">
      <c r="B1279" t="str">
        <f>IFERROR(IF(A1279="","",VLOOKUP(A1279,CadProd!$A:$B,2,0)),"")</f>
        <v/>
      </c>
      <c r="C1279" t="str">
        <f>IFERROR(IF(A1279="","",VLOOKUP(A1279,CadProd!$A:$C,3,0)),"")</f>
        <v/>
      </c>
    </row>
    <row r="1280" spans="2:3" x14ac:dyDescent="0.3">
      <c r="B1280" t="str">
        <f>IFERROR(IF(A1280="","",VLOOKUP(A1280,CadProd!$A:$B,2,0)),"")</f>
        <v/>
      </c>
      <c r="C1280" t="str">
        <f>IFERROR(IF(A1280="","",VLOOKUP(A1280,CadProd!$A:$C,3,0)),"")</f>
        <v/>
      </c>
    </row>
    <row r="1281" spans="2:3" x14ac:dyDescent="0.3">
      <c r="B1281" t="str">
        <f>IFERROR(IF(A1281="","",VLOOKUP(A1281,CadProd!$A:$B,2,0)),"")</f>
        <v/>
      </c>
      <c r="C1281" t="str">
        <f>IFERROR(IF(A1281="","",VLOOKUP(A1281,CadProd!$A:$C,3,0)),"")</f>
        <v/>
      </c>
    </row>
    <row r="1282" spans="2:3" x14ac:dyDescent="0.3">
      <c r="B1282" t="str">
        <f>IFERROR(IF(A1282="","",VLOOKUP(A1282,CadProd!$A:$B,2,0)),"")</f>
        <v/>
      </c>
      <c r="C1282" t="str">
        <f>IFERROR(IF(A1282="","",VLOOKUP(A1282,CadProd!$A:$C,3,0)),"")</f>
        <v/>
      </c>
    </row>
    <row r="1283" spans="2:3" x14ac:dyDescent="0.3">
      <c r="B1283" t="str">
        <f>IFERROR(IF(A1283="","",VLOOKUP(A1283,CadProd!$A:$B,2,0)),"")</f>
        <v/>
      </c>
      <c r="C1283" t="str">
        <f>IFERROR(IF(A1283="","",VLOOKUP(A1283,CadProd!$A:$C,3,0)),"")</f>
        <v/>
      </c>
    </row>
    <row r="1284" spans="2:3" x14ac:dyDescent="0.3">
      <c r="B1284" t="str">
        <f>IFERROR(IF(A1284="","",VLOOKUP(A1284,CadProd!$A:$B,2,0)),"")</f>
        <v/>
      </c>
      <c r="C1284" t="str">
        <f>IFERROR(IF(A1284="","",VLOOKUP(A1284,CadProd!$A:$C,3,0)),"")</f>
        <v/>
      </c>
    </row>
    <row r="1285" spans="2:3" x14ac:dyDescent="0.3">
      <c r="B1285" t="str">
        <f>IFERROR(IF(A1285="","",VLOOKUP(A1285,CadProd!$A:$B,2,0)),"")</f>
        <v/>
      </c>
      <c r="C1285" t="str">
        <f>IFERROR(IF(A1285="","",VLOOKUP(A1285,CadProd!$A:$C,3,0)),"")</f>
        <v/>
      </c>
    </row>
    <row r="1286" spans="2:3" x14ac:dyDescent="0.3">
      <c r="B1286" t="str">
        <f>IFERROR(IF(A1286="","",VLOOKUP(A1286,CadProd!$A:$B,2,0)),"")</f>
        <v/>
      </c>
      <c r="C1286" t="str">
        <f>IFERROR(IF(A1286="","",VLOOKUP(A1286,CadProd!$A:$C,3,0)),"")</f>
        <v/>
      </c>
    </row>
    <row r="1287" spans="2:3" x14ac:dyDescent="0.3">
      <c r="B1287" t="str">
        <f>IFERROR(IF(A1287="","",VLOOKUP(A1287,CadProd!$A:$B,2,0)),"")</f>
        <v/>
      </c>
      <c r="C1287" t="str">
        <f>IFERROR(IF(A1287="","",VLOOKUP(A1287,CadProd!$A:$C,3,0)),"")</f>
        <v/>
      </c>
    </row>
    <row r="1288" spans="2:3" x14ac:dyDescent="0.3">
      <c r="B1288" t="str">
        <f>IFERROR(IF(A1288="","",VLOOKUP(A1288,CadProd!$A:$B,2,0)),"")</f>
        <v/>
      </c>
      <c r="C1288" t="str">
        <f>IFERROR(IF(A1288="","",VLOOKUP(A1288,CadProd!$A:$C,3,0)),"")</f>
        <v/>
      </c>
    </row>
    <row r="1289" spans="2:3" x14ac:dyDescent="0.3">
      <c r="B1289" t="str">
        <f>IFERROR(IF(A1289="","",VLOOKUP(A1289,CadProd!$A:$B,2,0)),"")</f>
        <v/>
      </c>
      <c r="C1289" t="str">
        <f>IFERROR(IF(A1289="","",VLOOKUP(A1289,CadProd!$A:$C,3,0)),"")</f>
        <v/>
      </c>
    </row>
    <row r="1290" spans="2:3" x14ac:dyDescent="0.3">
      <c r="B1290" t="str">
        <f>IFERROR(IF(A1290="","",VLOOKUP(A1290,CadProd!$A:$B,2,0)),"")</f>
        <v/>
      </c>
      <c r="C1290" t="str">
        <f>IFERROR(IF(A1290="","",VLOOKUP(A1290,CadProd!$A:$C,3,0)),"")</f>
        <v/>
      </c>
    </row>
    <row r="1291" spans="2:3" x14ac:dyDescent="0.3">
      <c r="B1291" t="str">
        <f>IFERROR(IF(A1291="","",VLOOKUP(A1291,CadProd!$A:$B,2,0)),"")</f>
        <v/>
      </c>
      <c r="C1291" t="str">
        <f>IFERROR(IF(A1291="","",VLOOKUP(A1291,CadProd!$A:$C,3,0)),"")</f>
        <v/>
      </c>
    </row>
    <row r="1292" spans="2:3" x14ac:dyDescent="0.3">
      <c r="B1292" t="str">
        <f>IFERROR(IF(A1292="","",VLOOKUP(A1292,CadProd!$A:$B,2,0)),"")</f>
        <v/>
      </c>
      <c r="C1292" t="str">
        <f>IFERROR(IF(A1292="","",VLOOKUP(A1292,CadProd!$A:$C,3,0)),"")</f>
        <v/>
      </c>
    </row>
    <row r="1293" spans="2:3" x14ac:dyDescent="0.3">
      <c r="B1293" t="str">
        <f>IFERROR(IF(A1293="","",VLOOKUP(A1293,CadProd!$A:$B,2,0)),"")</f>
        <v/>
      </c>
      <c r="C1293" t="str">
        <f>IFERROR(IF(A1293="","",VLOOKUP(A1293,CadProd!$A:$C,3,0)),"")</f>
        <v/>
      </c>
    </row>
    <row r="1294" spans="2:3" x14ac:dyDescent="0.3">
      <c r="B1294" t="str">
        <f>IFERROR(IF(A1294="","",VLOOKUP(A1294,CadProd!$A:$B,2,0)),"")</f>
        <v/>
      </c>
      <c r="C1294" t="str">
        <f>IFERROR(IF(A1294="","",VLOOKUP(A1294,CadProd!$A:$C,3,0)),"")</f>
        <v/>
      </c>
    </row>
    <row r="1295" spans="2:3" x14ac:dyDescent="0.3">
      <c r="B1295" t="str">
        <f>IFERROR(IF(A1295="","",VLOOKUP(A1295,CadProd!$A:$B,2,0)),"")</f>
        <v/>
      </c>
      <c r="C1295" t="str">
        <f>IFERROR(IF(A1295="","",VLOOKUP(A1295,CadProd!$A:$C,3,0)),"")</f>
        <v/>
      </c>
    </row>
    <row r="1296" spans="2:3" x14ac:dyDescent="0.3">
      <c r="B1296" t="str">
        <f>IFERROR(IF(A1296="","",VLOOKUP(A1296,CadProd!$A:$B,2,0)),"")</f>
        <v/>
      </c>
      <c r="C1296" t="str">
        <f>IFERROR(IF(A1296="","",VLOOKUP(A1296,CadProd!$A:$C,3,0)),"")</f>
        <v/>
      </c>
    </row>
    <row r="1297" spans="2:3" x14ac:dyDescent="0.3">
      <c r="B1297" t="str">
        <f>IFERROR(IF(A1297="","",VLOOKUP(A1297,CadProd!$A:$B,2,0)),"")</f>
        <v/>
      </c>
      <c r="C1297" t="str">
        <f>IFERROR(IF(A1297="","",VLOOKUP(A1297,CadProd!$A:$C,3,0)),"")</f>
        <v/>
      </c>
    </row>
    <row r="1298" spans="2:3" x14ac:dyDescent="0.3">
      <c r="B1298" t="str">
        <f>IFERROR(IF(A1298="","",VLOOKUP(A1298,CadProd!$A:$B,2,0)),"")</f>
        <v/>
      </c>
      <c r="C1298" t="str">
        <f>IFERROR(IF(A1298="","",VLOOKUP(A1298,CadProd!$A:$C,3,0)),"")</f>
        <v/>
      </c>
    </row>
    <row r="1299" spans="2:3" x14ac:dyDescent="0.3">
      <c r="B1299" t="str">
        <f>IFERROR(IF(A1299="","",VLOOKUP(A1299,CadProd!$A:$B,2,0)),"")</f>
        <v/>
      </c>
      <c r="C1299" t="str">
        <f>IFERROR(IF(A1299="","",VLOOKUP(A1299,CadProd!$A:$C,3,0)),"")</f>
        <v/>
      </c>
    </row>
    <row r="1300" spans="2:3" x14ac:dyDescent="0.3">
      <c r="B1300" t="str">
        <f>IFERROR(IF(A1300="","",VLOOKUP(A1300,CadProd!$A:$B,2,0)),"")</f>
        <v/>
      </c>
      <c r="C1300" t="str">
        <f>IFERROR(IF(A1300="","",VLOOKUP(A1300,CadProd!$A:$C,3,0)),"")</f>
        <v/>
      </c>
    </row>
    <row r="1301" spans="2:3" x14ac:dyDescent="0.3">
      <c r="B1301" t="str">
        <f>IFERROR(IF(A1301="","",VLOOKUP(A1301,CadProd!$A:$B,2,0)),"")</f>
        <v/>
      </c>
      <c r="C1301" t="str">
        <f>IFERROR(IF(A1301="","",VLOOKUP(A1301,CadProd!$A:$C,3,0)),"")</f>
        <v/>
      </c>
    </row>
    <row r="1302" spans="2:3" x14ac:dyDescent="0.3">
      <c r="B1302" t="str">
        <f>IFERROR(IF(A1302="","",VLOOKUP(A1302,CadProd!$A:$B,2,0)),"")</f>
        <v/>
      </c>
      <c r="C1302" t="str">
        <f>IFERROR(IF(A1302="","",VLOOKUP(A1302,CadProd!$A:$C,3,0)),"")</f>
        <v/>
      </c>
    </row>
    <row r="1303" spans="2:3" x14ac:dyDescent="0.3">
      <c r="B1303" t="str">
        <f>IFERROR(IF(A1303="","",VLOOKUP(A1303,CadProd!$A:$B,2,0)),"")</f>
        <v/>
      </c>
      <c r="C1303" t="str">
        <f>IFERROR(IF(A1303="","",VLOOKUP(A1303,CadProd!$A:$C,3,0)),"")</f>
        <v/>
      </c>
    </row>
    <row r="1304" spans="2:3" x14ac:dyDescent="0.3">
      <c r="B1304" t="str">
        <f>IFERROR(IF(A1304="","",VLOOKUP(A1304,CadProd!$A:$B,2,0)),"")</f>
        <v/>
      </c>
      <c r="C1304" t="str">
        <f>IFERROR(IF(A1304="","",VLOOKUP(A1304,CadProd!$A:$C,3,0)),"")</f>
        <v/>
      </c>
    </row>
    <row r="1305" spans="2:3" x14ac:dyDescent="0.3">
      <c r="B1305" t="str">
        <f>IFERROR(IF(A1305="","",VLOOKUP(A1305,CadProd!$A:$B,2,0)),"")</f>
        <v/>
      </c>
      <c r="C1305" t="str">
        <f>IFERROR(IF(A1305="","",VLOOKUP(A1305,CadProd!$A:$C,3,0)),"")</f>
        <v/>
      </c>
    </row>
    <row r="1306" spans="2:3" x14ac:dyDescent="0.3">
      <c r="B1306" t="str">
        <f>IFERROR(IF(A1306="","",VLOOKUP(A1306,CadProd!$A:$B,2,0)),"")</f>
        <v/>
      </c>
      <c r="C1306" t="str">
        <f>IFERROR(IF(A1306="","",VLOOKUP(A1306,CadProd!$A:$C,3,0)),"")</f>
        <v/>
      </c>
    </row>
    <row r="1307" spans="2:3" x14ac:dyDescent="0.3">
      <c r="B1307" t="str">
        <f>IFERROR(IF(A1307="","",VLOOKUP(A1307,CadProd!$A:$B,2,0)),"")</f>
        <v/>
      </c>
      <c r="C1307" t="str">
        <f>IFERROR(IF(A1307="","",VLOOKUP(A1307,CadProd!$A:$C,3,0)),"")</f>
        <v/>
      </c>
    </row>
    <row r="1308" spans="2:3" x14ac:dyDescent="0.3">
      <c r="B1308" t="str">
        <f>IFERROR(IF(A1308="","",VLOOKUP(A1308,CadProd!$A:$B,2,0)),"")</f>
        <v/>
      </c>
      <c r="C1308" t="str">
        <f>IFERROR(IF(A1308="","",VLOOKUP(A1308,CadProd!$A:$C,3,0)),"")</f>
        <v/>
      </c>
    </row>
    <row r="1309" spans="2:3" x14ac:dyDescent="0.3">
      <c r="B1309" t="str">
        <f>IFERROR(IF(A1309="","",VLOOKUP(A1309,CadProd!$A:$B,2,0)),"")</f>
        <v/>
      </c>
      <c r="C1309" t="str">
        <f>IFERROR(IF(A1309="","",VLOOKUP(A1309,CadProd!$A:$C,3,0)),"")</f>
        <v/>
      </c>
    </row>
    <row r="1310" spans="2:3" x14ac:dyDescent="0.3">
      <c r="B1310" t="str">
        <f>IFERROR(IF(A1310="","",VLOOKUP(A1310,CadProd!$A:$B,2,0)),"")</f>
        <v/>
      </c>
      <c r="C1310" t="str">
        <f>IFERROR(IF(A1310="","",VLOOKUP(A1310,CadProd!$A:$C,3,0)),"")</f>
        <v/>
      </c>
    </row>
    <row r="1311" spans="2:3" x14ac:dyDescent="0.3">
      <c r="B1311" t="str">
        <f>IFERROR(IF(A1311="","",VLOOKUP(A1311,CadProd!$A:$B,2,0)),"")</f>
        <v/>
      </c>
      <c r="C1311" t="str">
        <f>IFERROR(IF(A1311="","",VLOOKUP(A1311,CadProd!$A:$C,3,0)),"")</f>
        <v/>
      </c>
    </row>
    <row r="1312" spans="2:3" x14ac:dyDescent="0.3">
      <c r="B1312" t="str">
        <f>IFERROR(IF(A1312="","",VLOOKUP(A1312,CadProd!$A:$B,2,0)),"")</f>
        <v/>
      </c>
      <c r="C1312" t="str">
        <f>IFERROR(IF(A1312="","",VLOOKUP(A1312,CadProd!$A:$C,3,0)),"")</f>
        <v/>
      </c>
    </row>
    <row r="1313" spans="2:3" x14ac:dyDescent="0.3">
      <c r="B1313" t="str">
        <f>IFERROR(IF(A1313="","",VLOOKUP(A1313,CadProd!$A:$B,2,0)),"")</f>
        <v/>
      </c>
      <c r="C1313" t="str">
        <f>IFERROR(IF(A1313="","",VLOOKUP(A1313,CadProd!$A:$C,3,0)),"")</f>
        <v/>
      </c>
    </row>
    <row r="1314" spans="2:3" x14ac:dyDescent="0.3">
      <c r="B1314" t="str">
        <f>IFERROR(IF(A1314="","",VLOOKUP(A1314,CadProd!$A:$B,2,0)),"")</f>
        <v/>
      </c>
      <c r="C1314" t="str">
        <f>IFERROR(IF(A1314="","",VLOOKUP(A1314,CadProd!$A:$C,3,0)),"")</f>
        <v/>
      </c>
    </row>
    <row r="1315" spans="2:3" x14ac:dyDescent="0.3">
      <c r="B1315" t="str">
        <f>IFERROR(IF(A1315="","",VLOOKUP(A1315,CadProd!$A:$B,2,0)),"")</f>
        <v/>
      </c>
      <c r="C1315" t="str">
        <f>IFERROR(IF(A1315="","",VLOOKUP(A1315,CadProd!$A:$C,3,0)),"")</f>
        <v/>
      </c>
    </row>
    <row r="1316" spans="2:3" x14ac:dyDescent="0.3">
      <c r="B1316" t="str">
        <f>IFERROR(IF(A1316="","",VLOOKUP(A1316,CadProd!$A:$B,2,0)),"")</f>
        <v/>
      </c>
      <c r="C1316" t="str">
        <f>IFERROR(IF(A1316="","",VLOOKUP(A1316,CadProd!$A:$C,3,0)),"")</f>
        <v/>
      </c>
    </row>
    <row r="1317" spans="2:3" x14ac:dyDescent="0.3">
      <c r="B1317" t="str">
        <f>IFERROR(IF(A1317="","",VLOOKUP(A1317,CadProd!$A:$B,2,0)),"")</f>
        <v/>
      </c>
      <c r="C1317" t="str">
        <f>IFERROR(IF(A1317="","",VLOOKUP(A1317,CadProd!$A:$C,3,0)),"")</f>
        <v/>
      </c>
    </row>
    <row r="1318" spans="2:3" x14ac:dyDescent="0.3">
      <c r="B1318" t="str">
        <f>IFERROR(IF(A1318="","",VLOOKUP(A1318,CadProd!$A:$B,2,0)),"")</f>
        <v/>
      </c>
      <c r="C1318" t="str">
        <f>IFERROR(IF(A1318="","",VLOOKUP(A1318,CadProd!$A:$C,3,0)),"")</f>
        <v/>
      </c>
    </row>
    <row r="1319" spans="2:3" x14ac:dyDescent="0.3">
      <c r="B1319" t="str">
        <f>IFERROR(IF(A1319="","",VLOOKUP(A1319,CadProd!$A:$B,2,0)),"")</f>
        <v/>
      </c>
      <c r="C1319" t="str">
        <f>IFERROR(IF(A1319="","",VLOOKUP(A1319,CadProd!$A:$C,3,0)),"")</f>
        <v/>
      </c>
    </row>
    <row r="1320" spans="2:3" x14ac:dyDescent="0.3">
      <c r="B1320" t="str">
        <f>IFERROR(IF(A1320="","",VLOOKUP(A1320,CadProd!$A:$B,2,0)),"")</f>
        <v/>
      </c>
      <c r="C1320" t="str">
        <f>IFERROR(IF(A1320="","",VLOOKUP(A1320,CadProd!$A:$C,3,0)),"")</f>
        <v/>
      </c>
    </row>
    <row r="1321" spans="2:3" x14ac:dyDescent="0.3">
      <c r="B1321" t="str">
        <f>IFERROR(IF(A1321="","",VLOOKUP(A1321,CadProd!$A:$B,2,0)),"")</f>
        <v/>
      </c>
      <c r="C1321" t="str">
        <f>IFERROR(IF(A1321="","",VLOOKUP(A1321,CadProd!$A:$C,3,0)),"")</f>
        <v/>
      </c>
    </row>
    <row r="1322" spans="2:3" x14ac:dyDescent="0.3">
      <c r="B1322" t="str">
        <f>IFERROR(IF(A1322="","",VLOOKUP(A1322,CadProd!$A:$B,2,0)),"")</f>
        <v/>
      </c>
      <c r="C1322" t="str">
        <f>IFERROR(IF(A1322="","",VLOOKUP(A1322,CadProd!$A:$C,3,0)),"")</f>
        <v/>
      </c>
    </row>
    <row r="1323" spans="2:3" x14ac:dyDescent="0.3">
      <c r="B1323" t="str">
        <f>IFERROR(IF(A1323="","",VLOOKUP(A1323,CadProd!$A:$B,2,0)),"")</f>
        <v/>
      </c>
      <c r="C1323" t="str">
        <f>IFERROR(IF(A1323="","",VLOOKUP(A1323,CadProd!$A:$C,3,0)),"")</f>
        <v/>
      </c>
    </row>
    <row r="1324" spans="2:3" x14ac:dyDescent="0.3">
      <c r="B1324" t="str">
        <f>IFERROR(IF(A1324="","",VLOOKUP(A1324,CadProd!$A:$B,2,0)),"")</f>
        <v/>
      </c>
      <c r="C1324" t="str">
        <f>IFERROR(IF(A1324="","",VLOOKUP(A1324,CadProd!$A:$C,3,0)),"")</f>
        <v/>
      </c>
    </row>
    <row r="1325" spans="2:3" x14ac:dyDescent="0.3">
      <c r="B1325" t="str">
        <f>IFERROR(IF(A1325="","",VLOOKUP(A1325,CadProd!$A:$B,2,0)),"")</f>
        <v/>
      </c>
      <c r="C1325" t="str">
        <f>IFERROR(IF(A1325="","",VLOOKUP(A1325,CadProd!$A:$C,3,0)),"")</f>
        <v/>
      </c>
    </row>
    <row r="1326" spans="2:3" x14ac:dyDescent="0.3">
      <c r="B1326" t="str">
        <f>IFERROR(IF(A1326="","",VLOOKUP(A1326,CadProd!$A:$B,2,0)),"")</f>
        <v/>
      </c>
      <c r="C1326" t="str">
        <f>IFERROR(IF(A1326="","",VLOOKUP(A1326,CadProd!$A:$C,3,0)),"")</f>
        <v/>
      </c>
    </row>
    <row r="1327" spans="2:3" x14ac:dyDescent="0.3">
      <c r="B1327" t="str">
        <f>IFERROR(IF(A1327="","",VLOOKUP(A1327,CadProd!$A:$B,2,0)),"")</f>
        <v/>
      </c>
      <c r="C1327" t="str">
        <f>IFERROR(IF(A1327="","",VLOOKUP(A1327,CadProd!$A:$C,3,0)),"")</f>
        <v/>
      </c>
    </row>
    <row r="1328" spans="2:3" x14ac:dyDescent="0.3">
      <c r="B1328" t="str">
        <f>IFERROR(IF(A1328="","",VLOOKUP(A1328,CadProd!$A:$B,2,0)),"")</f>
        <v/>
      </c>
      <c r="C1328" t="str">
        <f>IFERROR(IF(A1328="","",VLOOKUP(A1328,CadProd!$A:$C,3,0)),"")</f>
        <v/>
      </c>
    </row>
    <row r="1329" spans="2:3" x14ac:dyDescent="0.3">
      <c r="B1329" t="str">
        <f>IFERROR(IF(A1329="","",VLOOKUP(A1329,CadProd!$A:$B,2,0)),"")</f>
        <v/>
      </c>
      <c r="C1329" t="str">
        <f>IFERROR(IF(A1329="","",VLOOKUP(A1329,CadProd!$A:$C,3,0)),"")</f>
        <v/>
      </c>
    </row>
    <row r="1330" spans="2:3" x14ac:dyDescent="0.3">
      <c r="B1330" t="str">
        <f>IFERROR(IF(A1330="","",VLOOKUP(A1330,CadProd!$A:$B,2,0)),"")</f>
        <v/>
      </c>
      <c r="C1330" t="str">
        <f>IFERROR(IF(A1330="","",VLOOKUP(A1330,CadProd!$A:$C,3,0)),"")</f>
        <v/>
      </c>
    </row>
    <row r="1331" spans="2:3" x14ac:dyDescent="0.3">
      <c r="B1331" t="str">
        <f>IFERROR(IF(A1331="","",VLOOKUP(A1331,CadProd!$A:$B,2,0)),"")</f>
        <v/>
      </c>
      <c r="C1331" t="str">
        <f>IFERROR(IF(A1331="","",VLOOKUP(A1331,CadProd!$A:$C,3,0)),"")</f>
        <v/>
      </c>
    </row>
    <row r="1332" spans="2:3" x14ac:dyDescent="0.3">
      <c r="B1332" t="str">
        <f>IFERROR(IF(A1332="","",VLOOKUP(A1332,CadProd!$A:$B,2,0)),"")</f>
        <v/>
      </c>
      <c r="C1332" t="str">
        <f>IFERROR(IF(A1332="","",VLOOKUP(A1332,CadProd!$A:$C,3,0)),"")</f>
        <v/>
      </c>
    </row>
    <row r="1333" spans="2:3" x14ac:dyDescent="0.3">
      <c r="B1333" t="str">
        <f>IFERROR(IF(A1333="","",VLOOKUP(A1333,CadProd!$A:$B,2,0)),"")</f>
        <v/>
      </c>
      <c r="C1333" t="str">
        <f>IFERROR(IF(A1333="","",VLOOKUP(A1333,CadProd!$A:$C,3,0)),"")</f>
        <v/>
      </c>
    </row>
    <row r="1334" spans="2:3" x14ac:dyDescent="0.3">
      <c r="B1334" t="str">
        <f>IFERROR(IF(A1334="","",VLOOKUP(A1334,CadProd!$A:$B,2,0)),"")</f>
        <v/>
      </c>
      <c r="C1334" t="str">
        <f>IFERROR(IF(A1334="","",VLOOKUP(A1334,CadProd!$A:$C,3,0)),"")</f>
        <v/>
      </c>
    </row>
    <row r="1335" spans="2:3" x14ac:dyDescent="0.3">
      <c r="B1335" t="str">
        <f>IFERROR(IF(A1335="","",VLOOKUP(A1335,CadProd!$A:$B,2,0)),"")</f>
        <v/>
      </c>
      <c r="C1335" t="str">
        <f>IFERROR(IF(A1335="","",VLOOKUP(A1335,CadProd!$A:$C,3,0)),"")</f>
        <v/>
      </c>
    </row>
    <row r="1336" spans="2:3" x14ac:dyDescent="0.3">
      <c r="B1336" t="str">
        <f>IFERROR(IF(A1336="","",VLOOKUP(A1336,CadProd!$A:$B,2,0)),"")</f>
        <v/>
      </c>
      <c r="C1336" t="str">
        <f>IFERROR(IF(A1336="","",VLOOKUP(A1336,CadProd!$A:$C,3,0)),"")</f>
        <v/>
      </c>
    </row>
    <row r="1337" spans="2:3" x14ac:dyDescent="0.3">
      <c r="B1337" t="str">
        <f>IFERROR(IF(A1337="","",VLOOKUP(A1337,CadProd!$A:$B,2,0)),"")</f>
        <v/>
      </c>
      <c r="C1337" t="str">
        <f>IFERROR(IF(A1337="","",VLOOKUP(A1337,CadProd!$A:$C,3,0)),"")</f>
        <v/>
      </c>
    </row>
    <row r="1338" spans="2:3" x14ac:dyDescent="0.3">
      <c r="B1338" t="str">
        <f>IFERROR(IF(A1338="","",VLOOKUP(A1338,CadProd!$A:$B,2,0)),"")</f>
        <v/>
      </c>
      <c r="C1338" t="str">
        <f>IFERROR(IF(A1338="","",VLOOKUP(A1338,CadProd!$A:$C,3,0)),"")</f>
        <v/>
      </c>
    </row>
    <row r="1339" spans="2:3" x14ac:dyDescent="0.3">
      <c r="B1339" t="str">
        <f>IFERROR(IF(A1339="","",VLOOKUP(A1339,CadProd!$A:$B,2,0)),"")</f>
        <v/>
      </c>
      <c r="C1339" t="str">
        <f>IFERROR(IF(A1339="","",VLOOKUP(A1339,CadProd!$A:$C,3,0)),"")</f>
        <v/>
      </c>
    </row>
    <row r="1340" spans="2:3" x14ac:dyDescent="0.3">
      <c r="B1340" t="str">
        <f>IFERROR(IF(A1340="","",VLOOKUP(A1340,CadProd!$A:$B,2,0)),"")</f>
        <v/>
      </c>
      <c r="C1340" t="str">
        <f>IFERROR(IF(A1340="","",VLOOKUP(A1340,CadProd!$A:$C,3,0)),"")</f>
        <v/>
      </c>
    </row>
    <row r="1341" spans="2:3" x14ac:dyDescent="0.3">
      <c r="B1341" t="str">
        <f>IFERROR(IF(A1341="","",VLOOKUP(A1341,CadProd!$A:$B,2,0)),"")</f>
        <v/>
      </c>
      <c r="C1341" t="str">
        <f>IFERROR(IF(A1341="","",VLOOKUP(A1341,CadProd!$A:$C,3,0)),"")</f>
        <v/>
      </c>
    </row>
    <row r="1342" spans="2:3" x14ac:dyDescent="0.3">
      <c r="B1342" t="str">
        <f>IFERROR(IF(A1342="","",VLOOKUP(A1342,CadProd!$A:$B,2,0)),"")</f>
        <v/>
      </c>
      <c r="C1342" t="str">
        <f>IFERROR(IF(A1342="","",VLOOKUP(A1342,CadProd!$A:$C,3,0)),"")</f>
        <v/>
      </c>
    </row>
    <row r="1343" spans="2:3" x14ac:dyDescent="0.3">
      <c r="B1343" t="str">
        <f>IFERROR(IF(A1343="","",VLOOKUP(A1343,CadProd!$A:$B,2,0)),"")</f>
        <v/>
      </c>
      <c r="C1343" t="str">
        <f>IFERROR(IF(A1343="","",VLOOKUP(A1343,CadProd!$A:$C,3,0)),"")</f>
        <v/>
      </c>
    </row>
    <row r="1344" spans="2:3" x14ac:dyDescent="0.3">
      <c r="B1344" t="str">
        <f>IFERROR(IF(A1344="","",VLOOKUP(A1344,CadProd!$A:$B,2,0)),"")</f>
        <v/>
      </c>
      <c r="C1344" t="str">
        <f>IFERROR(IF(A1344="","",VLOOKUP(A1344,CadProd!$A:$C,3,0)),"")</f>
        <v/>
      </c>
    </row>
    <row r="1345" spans="2:3" x14ac:dyDescent="0.3">
      <c r="B1345" t="str">
        <f>IFERROR(IF(A1345="","",VLOOKUP(A1345,CadProd!$A:$B,2,0)),"")</f>
        <v/>
      </c>
      <c r="C1345" t="str">
        <f>IFERROR(IF(A1345="","",VLOOKUP(A1345,CadProd!$A:$C,3,0)),"")</f>
        <v/>
      </c>
    </row>
    <row r="1346" spans="2:3" x14ac:dyDescent="0.3">
      <c r="B1346" t="str">
        <f>IFERROR(IF(A1346="","",VLOOKUP(A1346,CadProd!$A:$B,2,0)),"")</f>
        <v/>
      </c>
      <c r="C1346" t="str">
        <f>IFERROR(IF(A1346="","",VLOOKUP(A1346,CadProd!$A:$C,3,0)),"")</f>
        <v/>
      </c>
    </row>
    <row r="1347" spans="2:3" x14ac:dyDescent="0.3">
      <c r="B1347" t="str">
        <f>IFERROR(IF(A1347="","",VLOOKUP(A1347,CadProd!$A:$B,2,0)),"")</f>
        <v/>
      </c>
      <c r="C1347" t="str">
        <f>IFERROR(IF(A1347="","",VLOOKUP(A1347,CadProd!$A:$C,3,0)),"")</f>
        <v/>
      </c>
    </row>
    <row r="1348" spans="2:3" x14ac:dyDescent="0.3">
      <c r="B1348" t="str">
        <f>IFERROR(IF(A1348="","",VLOOKUP(A1348,CadProd!$A:$B,2,0)),"")</f>
        <v/>
      </c>
      <c r="C1348" t="str">
        <f>IFERROR(IF(A1348="","",VLOOKUP(A1348,CadProd!$A:$C,3,0)),"")</f>
        <v/>
      </c>
    </row>
    <row r="1349" spans="2:3" x14ac:dyDescent="0.3">
      <c r="B1349" t="str">
        <f>IFERROR(IF(A1349="","",VLOOKUP(A1349,CadProd!$A:$B,2,0)),"")</f>
        <v/>
      </c>
      <c r="C1349" t="str">
        <f>IFERROR(IF(A1349="","",VLOOKUP(A1349,CadProd!$A:$C,3,0)),"")</f>
        <v/>
      </c>
    </row>
    <row r="1350" spans="2:3" x14ac:dyDescent="0.3">
      <c r="B1350" t="str">
        <f>IFERROR(IF(A1350="","",VLOOKUP(A1350,CadProd!$A:$B,2,0)),"")</f>
        <v/>
      </c>
      <c r="C1350" t="str">
        <f>IFERROR(IF(A1350="","",VLOOKUP(A1350,CadProd!$A:$C,3,0)),"")</f>
        <v/>
      </c>
    </row>
    <row r="1351" spans="2:3" x14ac:dyDescent="0.3">
      <c r="B1351" t="str">
        <f>IFERROR(IF(A1351="","",VLOOKUP(A1351,CadProd!$A:$B,2,0)),"")</f>
        <v/>
      </c>
      <c r="C1351" t="str">
        <f>IFERROR(IF(A1351="","",VLOOKUP(A1351,CadProd!$A:$C,3,0)),"")</f>
        <v/>
      </c>
    </row>
    <row r="1352" spans="2:3" x14ac:dyDescent="0.3">
      <c r="B1352" t="str">
        <f>IFERROR(IF(A1352="","",VLOOKUP(A1352,CadProd!$A:$B,2,0)),"")</f>
        <v/>
      </c>
      <c r="C1352" t="str">
        <f>IFERROR(IF(A1352="","",VLOOKUP(A1352,CadProd!$A:$C,3,0)),"")</f>
        <v/>
      </c>
    </row>
    <row r="1353" spans="2:3" x14ac:dyDescent="0.3">
      <c r="B1353" t="str">
        <f>IFERROR(IF(A1353="","",VLOOKUP(A1353,CadProd!$A:$B,2,0)),"")</f>
        <v/>
      </c>
      <c r="C1353" t="str">
        <f>IFERROR(IF(A1353="","",VLOOKUP(A1353,CadProd!$A:$C,3,0)),"")</f>
        <v/>
      </c>
    </row>
    <row r="1354" spans="2:3" x14ac:dyDescent="0.3">
      <c r="B1354" t="str">
        <f>IFERROR(IF(A1354="","",VLOOKUP(A1354,CadProd!$A:$B,2,0)),"")</f>
        <v/>
      </c>
      <c r="C1354" t="str">
        <f>IFERROR(IF(A1354="","",VLOOKUP(A1354,CadProd!$A:$C,3,0)),"")</f>
        <v/>
      </c>
    </row>
    <row r="1355" spans="2:3" x14ac:dyDescent="0.3">
      <c r="B1355" t="str">
        <f>IFERROR(IF(A1355="","",VLOOKUP(A1355,CadProd!$A:$B,2,0)),"")</f>
        <v/>
      </c>
      <c r="C1355" t="str">
        <f>IFERROR(IF(A1355="","",VLOOKUP(A1355,CadProd!$A:$C,3,0)),"")</f>
        <v/>
      </c>
    </row>
    <row r="1356" spans="2:3" x14ac:dyDescent="0.3">
      <c r="B1356" t="str">
        <f>IFERROR(IF(A1356="","",VLOOKUP(A1356,CadProd!$A:$B,2,0)),"")</f>
        <v/>
      </c>
      <c r="C1356" t="str">
        <f>IFERROR(IF(A1356="","",VLOOKUP(A1356,CadProd!$A:$C,3,0)),"")</f>
        <v/>
      </c>
    </row>
    <row r="1357" spans="2:3" x14ac:dyDescent="0.3">
      <c r="B1357" t="str">
        <f>IFERROR(IF(A1357="","",VLOOKUP(A1357,CadProd!$A:$B,2,0)),"")</f>
        <v/>
      </c>
      <c r="C1357" t="str">
        <f>IFERROR(IF(A1357="","",VLOOKUP(A1357,CadProd!$A:$C,3,0)),"")</f>
        <v/>
      </c>
    </row>
    <row r="1358" spans="2:3" x14ac:dyDescent="0.3">
      <c r="B1358" t="str">
        <f>IFERROR(IF(A1358="","",VLOOKUP(A1358,CadProd!$A:$B,2,0)),"")</f>
        <v/>
      </c>
      <c r="C1358" t="str">
        <f>IFERROR(IF(A1358="","",VLOOKUP(A1358,CadProd!$A:$C,3,0)),"")</f>
        <v/>
      </c>
    </row>
    <row r="1359" spans="2:3" x14ac:dyDescent="0.3">
      <c r="B1359" t="str">
        <f>IFERROR(IF(A1359="","",VLOOKUP(A1359,CadProd!$A:$B,2,0)),"")</f>
        <v/>
      </c>
      <c r="C1359" t="str">
        <f>IFERROR(IF(A1359="","",VLOOKUP(A1359,CadProd!$A:$C,3,0)),"")</f>
        <v/>
      </c>
    </row>
    <row r="1360" spans="2:3" x14ac:dyDescent="0.3">
      <c r="B1360" t="str">
        <f>IFERROR(IF(A1360="","",VLOOKUP(A1360,CadProd!$A:$B,2,0)),"")</f>
        <v/>
      </c>
      <c r="C1360" t="str">
        <f>IFERROR(IF(A1360="","",VLOOKUP(A1360,CadProd!$A:$C,3,0)),"")</f>
        <v/>
      </c>
    </row>
    <row r="1361" spans="2:3" x14ac:dyDescent="0.3">
      <c r="B1361" t="str">
        <f>IFERROR(IF(A1361="","",VLOOKUP(A1361,CadProd!$A:$B,2,0)),"")</f>
        <v/>
      </c>
      <c r="C1361" t="str">
        <f>IFERROR(IF(A1361="","",VLOOKUP(A1361,CadProd!$A:$C,3,0)),"")</f>
        <v/>
      </c>
    </row>
    <row r="1362" spans="2:3" x14ac:dyDescent="0.3">
      <c r="B1362" t="str">
        <f>IFERROR(IF(A1362="","",VLOOKUP(A1362,CadProd!$A:$B,2,0)),"")</f>
        <v/>
      </c>
      <c r="C1362" t="str">
        <f>IFERROR(IF(A1362="","",VLOOKUP(A1362,CadProd!$A:$C,3,0)),"")</f>
        <v/>
      </c>
    </row>
    <row r="1363" spans="2:3" x14ac:dyDescent="0.3">
      <c r="B1363" t="str">
        <f>IFERROR(IF(A1363="","",VLOOKUP(A1363,CadProd!$A:$B,2,0)),"")</f>
        <v/>
      </c>
      <c r="C1363" t="str">
        <f>IFERROR(IF(A1363="","",VLOOKUP(A1363,CadProd!$A:$C,3,0)),"")</f>
        <v/>
      </c>
    </row>
    <row r="1364" spans="2:3" x14ac:dyDescent="0.3">
      <c r="B1364" t="str">
        <f>IFERROR(IF(A1364="","",VLOOKUP(A1364,CadProd!$A:$B,2,0)),"")</f>
        <v/>
      </c>
      <c r="C1364" t="str">
        <f>IFERROR(IF(A1364="","",VLOOKUP(A1364,CadProd!$A:$C,3,0)),"")</f>
        <v/>
      </c>
    </row>
    <row r="1365" spans="2:3" x14ac:dyDescent="0.3">
      <c r="B1365" t="str">
        <f>IFERROR(IF(A1365="","",VLOOKUP(A1365,CadProd!$A:$B,2,0)),"")</f>
        <v/>
      </c>
      <c r="C1365" t="str">
        <f>IFERROR(IF(A1365="","",VLOOKUP(A1365,CadProd!$A:$C,3,0)),"")</f>
        <v/>
      </c>
    </row>
    <row r="1366" spans="2:3" x14ac:dyDescent="0.3">
      <c r="B1366" t="str">
        <f>IFERROR(IF(A1366="","",VLOOKUP(A1366,CadProd!$A:$B,2,0)),"")</f>
        <v/>
      </c>
      <c r="C1366" t="str">
        <f>IFERROR(IF(A1366="","",VLOOKUP(A1366,CadProd!$A:$C,3,0)),"")</f>
        <v/>
      </c>
    </row>
    <row r="1367" spans="2:3" x14ac:dyDescent="0.3">
      <c r="B1367" t="str">
        <f>IFERROR(IF(A1367="","",VLOOKUP(A1367,CadProd!$A:$B,2,0)),"")</f>
        <v/>
      </c>
      <c r="C1367" t="str">
        <f>IFERROR(IF(A1367="","",VLOOKUP(A1367,CadProd!$A:$C,3,0)),"")</f>
        <v/>
      </c>
    </row>
    <row r="1368" spans="2:3" x14ac:dyDescent="0.3">
      <c r="B1368" t="str">
        <f>IFERROR(IF(A1368="","",VLOOKUP(A1368,CadProd!$A:$B,2,0)),"")</f>
        <v/>
      </c>
      <c r="C1368" t="str">
        <f>IFERROR(IF(A1368="","",VLOOKUP(A1368,CadProd!$A:$C,3,0)),"")</f>
        <v/>
      </c>
    </row>
    <row r="1369" spans="2:3" x14ac:dyDescent="0.3">
      <c r="B1369" t="str">
        <f>IFERROR(IF(A1369="","",VLOOKUP(A1369,CadProd!$A:$B,2,0)),"")</f>
        <v/>
      </c>
      <c r="C1369" t="str">
        <f>IFERROR(IF(A1369="","",VLOOKUP(A1369,CadProd!$A:$C,3,0)),"")</f>
        <v/>
      </c>
    </row>
    <row r="1370" spans="2:3" x14ac:dyDescent="0.3">
      <c r="B1370" t="str">
        <f>IFERROR(IF(A1370="","",VLOOKUP(A1370,CadProd!$A:$B,2,0)),"")</f>
        <v/>
      </c>
      <c r="C1370" t="str">
        <f>IFERROR(IF(A1370="","",VLOOKUP(A1370,CadProd!$A:$C,3,0)),"")</f>
        <v/>
      </c>
    </row>
    <row r="1371" spans="2:3" x14ac:dyDescent="0.3">
      <c r="B1371" t="str">
        <f>IFERROR(IF(A1371="","",VLOOKUP(A1371,CadProd!$A:$B,2,0)),"")</f>
        <v/>
      </c>
      <c r="C1371" t="str">
        <f>IFERROR(IF(A1371="","",VLOOKUP(A1371,CadProd!$A:$C,3,0)),"")</f>
        <v/>
      </c>
    </row>
    <row r="1372" spans="2:3" x14ac:dyDescent="0.3">
      <c r="B1372" t="str">
        <f>IFERROR(IF(A1372="","",VLOOKUP(A1372,CadProd!$A:$B,2,0)),"")</f>
        <v/>
      </c>
      <c r="C1372" t="str">
        <f>IFERROR(IF(A1372="","",VLOOKUP(A1372,CadProd!$A:$C,3,0)),"")</f>
        <v/>
      </c>
    </row>
    <row r="1373" spans="2:3" x14ac:dyDescent="0.3">
      <c r="B1373" t="str">
        <f>IFERROR(IF(A1373="","",VLOOKUP(A1373,CadProd!$A:$B,2,0)),"")</f>
        <v/>
      </c>
      <c r="C1373" t="str">
        <f>IFERROR(IF(A1373="","",VLOOKUP(A1373,CadProd!$A:$C,3,0)),"")</f>
        <v/>
      </c>
    </row>
    <row r="1374" spans="2:3" x14ac:dyDescent="0.3">
      <c r="B1374" t="str">
        <f>IFERROR(IF(A1374="","",VLOOKUP(A1374,CadProd!$A:$B,2,0)),"")</f>
        <v/>
      </c>
      <c r="C1374" t="str">
        <f>IFERROR(IF(A1374="","",VLOOKUP(A1374,CadProd!$A:$C,3,0)),"")</f>
        <v/>
      </c>
    </row>
    <row r="1375" spans="2:3" x14ac:dyDescent="0.3">
      <c r="B1375" t="str">
        <f>IFERROR(IF(A1375="","",VLOOKUP(A1375,CadProd!$A:$B,2,0)),"")</f>
        <v/>
      </c>
      <c r="C1375" t="str">
        <f>IFERROR(IF(A1375="","",VLOOKUP(A1375,CadProd!$A:$C,3,0)),"")</f>
        <v/>
      </c>
    </row>
    <row r="1376" spans="2:3" x14ac:dyDescent="0.3">
      <c r="B1376" t="str">
        <f>IFERROR(IF(A1376="","",VLOOKUP(A1376,CadProd!$A:$B,2,0)),"")</f>
        <v/>
      </c>
      <c r="C1376" t="str">
        <f>IFERROR(IF(A1376="","",VLOOKUP(A1376,CadProd!$A:$C,3,0)),"")</f>
        <v/>
      </c>
    </row>
    <row r="1377" spans="2:3" x14ac:dyDescent="0.3">
      <c r="B1377" t="str">
        <f>IFERROR(IF(A1377="","",VLOOKUP(A1377,CadProd!$A:$B,2,0)),"")</f>
        <v/>
      </c>
      <c r="C1377" t="str">
        <f>IFERROR(IF(A1377="","",VLOOKUP(A1377,CadProd!$A:$C,3,0)),"")</f>
        <v/>
      </c>
    </row>
    <row r="1378" spans="2:3" x14ac:dyDescent="0.3">
      <c r="B1378" t="str">
        <f>IFERROR(IF(A1378="","",VLOOKUP(A1378,CadProd!$A:$B,2,0)),"")</f>
        <v/>
      </c>
      <c r="C1378" t="str">
        <f>IFERROR(IF(A1378="","",VLOOKUP(A1378,CadProd!$A:$C,3,0)),"")</f>
        <v/>
      </c>
    </row>
    <row r="1379" spans="2:3" x14ac:dyDescent="0.3">
      <c r="B1379" t="str">
        <f>IFERROR(IF(A1379="","",VLOOKUP(A1379,CadProd!$A:$B,2,0)),"")</f>
        <v/>
      </c>
      <c r="C1379" t="str">
        <f>IFERROR(IF(A1379="","",VLOOKUP(A1379,CadProd!$A:$C,3,0)),"")</f>
        <v/>
      </c>
    </row>
    <row r="1380" spans="2:3" x14ac:dyDescent="0.3">
      <c r="B1380" t="str">
        <f>IFERROR(IF(A1380="","",VLOOKUP(A1380,CadProd!$A:$B,2,0)),"")</f>
        <v/>
      </c>
      <c r="C1380" t="str">
        <f>IFERROR(IF(A1380="","",VLOOKUP(A1380,CadProd!$A:$C,3,0)),"")</f>
        <v/>
      </c>
    </row>
    <row r="1381" spans="2:3" x14ac:dyDescent="0.3">
      <c r="B1381" t="str">
        <f>IFERROR(IF(A1381="","",VLOOKUP(A1381,CadProd!$A:$B,2,0)),"")</f>
        <v/>
      </c>
      <c r="C1381" t="str">
        <f>IFERROR(IF(A1381="","",VLOOKUP(A1381,CadProd!$A:$C,3,0)),"")</f>
        <v/>
      </c>
    </row>
    <row r="1382" spans="2:3" x14ac:dyDescent="0.3">
      <c r="B1382" t="str">
        <f>IFERROR(IF(A1382="","",VLOOKUP(A1382,CadProd!$A:$B,2,0)),"")</f>
        <v/>
      </c>
      <c r="C1382" t="str">
        <f>IFERROR(IF(A1382="","",VLOOKUP(A1382,CadProd!$A:$C,3,0)),"")</f>
        <v/>
      </c>
    </row>
    <row r="1383" spans="2:3" x14ac:dyDescent="0.3">
      <c r="B1383" t="str">
        <f>IFERROR(IF(A1383="","",VLOOKUP(A1383,CadProd!$A:$B,2,0)),"")</f>
        <v/>
      </c>
      <c r="C1383" t="str">
        <f>IFERROR(IF(A1383="","",VLOOKUP(A1383,CadProd!$A:$C,3,0)),"")</f>
        <v/>
      </c>
    </row>
    <row r="1384" spans="2:3" x14ac:dyDescent="0.3">
      <c r="B1384" t="str">
        <f>IFERROR(IF(A1384="","",VLOOKUP(A1384,CadProd!$A:$B,2,0)),"")</f>
        <v/>
      </c>
      <c r="C1384" t="str">
        <f>IFERROR(IF(A1384="","",VLOOKUP(A1384,CadProd!$A:$C,3,0)),"")</f>
        <v/>
      </c>
    </row>
    <row r="1385" spans="2:3" x14ac:dyDescent="0.3">
      <c r="B1385" t="str">
        <f>IFERROR(IF(A1385="","",VLOOKUP(A1385,CadProd!$A:$B,2,0)),"")</f>
        <v/>
      </c>
      <c r="C1385" t="str">
        <f>IFERROR(IF(A1385="","",VLOOKUP(A1385,CadProd!$A:$C,3,0)),"")</f>
        <v/>
      </c>
    </row>
    <row r="1386" spans="2:3" x14ac:dyDescent="0.3">
      <c r="B1386" t="str">
        <f>IFERROR(IF(A1386="","",VLOOKUP(A1386,CadProd!$A:$B,2,0)),"")</f>
        <v/>
      </c>
      <c r="C1386" t="str">
        <f>IFERROR(IF(A1386="","",VLOOKUP(A1386,CadProd!$A:$C,3,0)),"")</f>
        <v/>
      </c>
    </row>
    <row r="1387" spans="2:3" x14ac:dyDescent="0.3">
      <c r="B1387" t="str">
        <f>IFERROR(IF(A1387="","",VLOOKUP(A1387,CadProd!$A:$B,2,0)),"")</f>
        <v/>
      </c>
      <c r="C1387" t="str">
        <f>IFERROR(IF(A1387="","",VLOOKUP(A1387,CadProd!$A:$C,3,0)),"")</f>
        <v/>
      </c>
    </row>
    <row r="1388" spans="2:3" x14ac:dyDescent="0.3">
      <c r="B1388" t="str">
        <f>IFERROR(IF(A1388="","",VLOOKUP(A1388,CadProd!$A:$B,2,0)),"")</f>
        <v/>
      </c>
      <c r="C1388" t="str">
        <f>IFERROR(IF(A1388="","",VLOOKUP(A1388,CadProd!$A:$C,3,0)),"")</f>
        <v/>
      </c>
    </row>
    <row r="1389" spans="2:3" x14ac:dyDescent="0.3">
      <c r="B1389" t="str">
        <f>IFERROR(IF(A1389="","",VLOOKUP(A1389,CadProd!$A:$B,2,0)),"")</f>
        <v/>
      </c>
      <c r="C1389" t="str">
        <f>IFERROR(IF(A1389="","",VLOOKUP(A1389,CadProd!$A:$C,3,0)),"")</f>
        <v/>
      </c>
    </row>
    <row r="1390" spans="2:3" x14ac:dyDescent="0.3">
      <c r="B1390" t="str">
        <f>IFERROR(IF(A1390="","",VLOOKUP(A1390,CadProd!$A:$B,2,0)),"")</f>
        <v/>
      </c>
      <c r="C1390" t="str">
        <f>IFERROR(IF(A1390="","",VLOOKUP(A1390,CadProd!$A:$C,3,0)),"")</f>
        <v/>
      </c>
    </row>
    <row r="1391" spans="2:3" x14ac:dyDescent="0.3">
      <c r="B1391" t="str">
        <f>IFERROR(IF(A1391="","",VLOOKUP(A1391,CadProd!$A:$B,2,0)),"")</f>
        <v/>
      </c>
      <c r="C1391" t="str">
        <f>IFERROR(IF(A1391="","",VLOOKUP(A1391,CadProd!$A:$C,3,0)),"")</f>
        <v/>
      </c>
    </row>
    <row r="1392" spans="2:3" x14ac:dyDescent="0.3">
      <c r="B1392" t="str">
        <f>IFERROR(IF(A1392="","",VLOOKUP(A1392,CadProd!$A:$B,2,0)),"")</f>
        <v/>
      </c>
      <c r="C1392" t="str">
        <f>IFERROR(IF(A1392="","",VLOOKUP(A1392,CadProd!$A:$C,3,0)),"")</f>
        <v/>
      </c>
    </row>
    <row r="1393" spans="2:3" x14ac:dyDescent="0.3">
      <c r="B1393" t="str">
        <f>IFERROR(IF(A1393="","",VLOOKUP(A1393,CadProd!$A:$B,2,0)),"")</f>
        <v/>
      </c>
      <c r="C1393" t="str">
        <f>IFERROR(IF(A1393="","",VLOOKUP(A1393,CadProd!$A:$C,3,0)),"")</f>
        <v/>
      </c>
    </row>
    <row r="1394" spans="2:3" x14ac:dyDescent="0.3">
      <c r="B1394" t="str">
        <f>IFERROR(IF(A1394="","",VLOOKUP(A1394,CadProd!$A:$B,2,0)),"")</f>
        <v/>
      </c>
      <c r="C1394" t="str">
        <f>IFERROR(IF(A1394="","",VLOOKUP(A1394,CadProd!$A:$C,3,0)),"")</f>
        <v/>
      </c>
    </row>
    <row r="1395" spans="2:3" x14ac:dyDescent="0.3">
      <c r="B1395" t="str">
        <f>IFERROR(IF(A1395="","",VLOOKUP(A1395,CadProd!$A:$B,2,0)),"")</f>
        <v/>
      </c>
      <c r="C1395" t="str">
        <f>IFERROR(IF(A1395="","",VLOOKUP(A1395,CadProd!$A:$C,3,0)),"")</f>
        <v/>
      </c>
    </row>
    <row r="1396" spans="2:3" x14ac:dyDescent="0.3">
      <c r="B1396" t="str">
        <f>IFERROR(IF(A1396="","",VLOOKUP(A1396,CadProd!$A:$B,2,0)),"")</f>
        <v/>
      </c>
      <c r="C1396" t="str">
        <f>IFERROR(IF(A1396="","",VLOOKUP(A1396,CadProd!$A:$C,3,0)),"")</f>
        <v/>
      </c>
    </row>
    <row r="1397" spans="2:3" x14ac:dyDescent="0.3">
      <c r="B1397" t="str">
        <f>IFERROR(IF(A1397="","",VLOOKUP(A1397,CadProd!$A:$B,2,0)),"")</f>
        <v/>
      </c>
      <c r="C1397" t="str">
        <f>IFERROR(IF(A1397="","",VLOOKUP(A1397,CadProd!$A:$C,3,0)),"")</f>
        <v/>
      </c>
    </row>
    <row r="1398" spans="2:3" x14ac:dyDescent="0.3">
      <c r="B1398" t="str">
        <f>IFERROR(IF(A1398="","",VLOOKUP(A1398,CadProd!$A:$B,2,0)),"")</f>
        <v/>
      </c>
      <c r="C1398" t="str">
        <f>IFERROR(IF(A1398="","",VLOOKUP(A1398,CadProd!$A:$C,3,0)),"")</f>
        <v/>
      </c>
    </row>
    <row r="1399" spans="2:3" x14ac:dyDescent="0.3">
      <c r="B1399" t="str">
        <f>IFERROR(IF(A1399="","",VLOOKUP(A1399,CadProd!$A:$B,2,0)),"")</f>
        <v/>
      </c>
      <c r="C1399" t="str">
        <f>IFERROR(IF(A1399="","",VLOOKUP(A1399,CadProd!$A:$C,3,0)),"")</f>
        <v/>
      </c>
    </row>
    <row r="1400" spans="2:3" x14ac:dyDescent="0.3">
      <c r="B1400" t="str">
        <f>IFERROR(IF(A1400="","",VLOOKUP(A1400,CadProd!$A:$B,2,0)),"")</f>
        <v/>
      </c>
      <c r="C1400" t="str">
        <f>IFERROR(IF(A1400="","",VLOOKUP(A1400,CadProd!$A:$C,3,0)),"")</f>
        <v/>
      </c>
    </row>
    <row r="1401" spans="2:3" x14ac:dyDescent="0.3">
      <c r="B1401" t="str">
        <f>IFERROR(IF(A1401="","",VLOOKUP(A1401,CadProd!$A:$B,2,0)),"")</f>
        <v/>
      </c>
      <c r="C1401" t="str">
        <f>IFERROR(IF(A1401="","",VLOOKUP(A1401,CadProd!$A:$C,3,0)),"")</f>
        <v/>
      </c>
    </row>
    <row r="1402" spans="2:3" x14ac:dyDescent="0.3">
      <c r="B1402" t="str">
        <f>IFERROR(IF(A1402="","",VLOOKUP(A1402,CadProd!$A:$B,2,0)),"")</f>
        <v/>
      </c>
      <c r="C1402" t="str">
        <f>IFERROR(IF(A1402="","",VLOOKUP(A1402,CadProd!$A:$C,3,0)),"")</f>
        <v/>
      </c>
    </row>
    <row r="1403" spans="2:3" x14ac:dyDescent="0.3">
      <c r="B1403" t="str">
        <f>IFERROR(IF(A1403="","",VLOOKUP(A1403,CadProd!$A:$B,2,0)),"")</f>
        <v/>
      </c>
      <c r="C1403" t="str">
        <f>IFERROR(IF(A1403="","",VLOOKUP(A1403,CadProd!$A:$C,3,0)),"")</f>
        <v/>
      </c>
    </row>
    <row r="1404" spans="2:3" x14ac:dyDescent="0.3">
      <c r="B1404" t="str">
        <f>IFERROR(IF(A1404="","",VLOOKUP(A1404,CadProd!$A:$B,2,0)),"")</f>
        <v/>
      </c>
      <c r="C1404" t="str">
        <f>IFERROR(IF(A1404="","",VLOOKUP(A1404,CadProd!$A:$C,3,0)),"")</f>
        <v/>
      </c>
    </row>
    <row r="1405" spans="2:3" x14ac:dyDescent="0.3">
      <c r="B1405" t="str">
        <f>IFERROR(IF(A1405="","",VLOOKUP(A1405,CadProd!$A:$B,2,0)),"")</f>
        <v/>
      </c>
      <c r="C1405" t="str">
        <f>IFERROR(IF(A1405="","",VLOOKUP(A1405,CadProd!$A:$C,3,0)),"")</f>
        <v/>
      </c>
    </row>
    <row r="1406" spans="2:3" x14ac:dyDescent="0.3">
      <c r="B1406" t="str">
        <f>IFERROR(IF(A1406="","",VLOOKUP(A1406,CadProd!$A:$B,2,0)),"")</f>
        <v/>
      </c>
      <c r="C1406" t="str">
        <f>IFERROR(IF(A1406="","",VLOOKUP(A1406,CadProd!$A:$C,3,0)),"")</f>
        <v/>
      </c>
    </row>
    <row r="1407" spans="2:3" x14ac:dyDescent="0.3">
      <c r="B1407" t="str">
        <f>IFERROR(IF(A1407="","",VLOOKUP(A1407,CadProd!$A:$B,2,0)),"")</f>
        <v/>
      </c>
      <c r="C1407" t="str">
        <f>IFERROR(IF(A1407="","",VLOOKUP(A1407,CadProd!$A:$C,3,0)),"")</f>
        <v/>
      </c>
    </row>
    <row r="1408" spans="2:3" x14ac:dyDescent="0.3">
      <c r="B1408" t="str">
        <f>IFERROR(IF(A1408="","",VLOOKUP(A1408,CadProd!$A:$B,2,0)),"")</f>
        <v/>
      </c>
      <c r="C1408" t="str">
        <f>IFERROR(IF(A1408="","",VLOOKUP(A1408,CadProd!$A:$C,3,0)),"")</f>
        <v/>
      </c>
    </row>
    <row r="1409" spans="2:3" x14ac:dyDescent="0.3">
      <c r="B1409" t="str">
        <f>IFERROR(IF(A1409="","",VLOOKUP(A1409,CadProd!$A:$B,2,0)),"")</f>
        <v/>
      </c>
      <c r="C1409" t="str">
        <f>IFERROR(IF(A1409="","",VLOOKUP(A1409,CadProd!$A:$C,3,0)),"")</f>
        <v/>
      </c>
    </row>
    <row r="1410" spans="2:3" x14ac:dyDescent="0.3">
      <c r="B1410" t="str">
        <f>IFERROR(IF(A1410="","",VLOOKUP(A1410,CadProd!$A:$B,2,0)),"")</f>
        <v/>
      </c>
      <c r="C1410" t="str">
        <f>IFERROR(IF(A1410="","",VLOOKUP(A1410,CadProd!$A:$C,3,0)),"")</f>
        <v/>
      </c>
    </row>
    <row r="1411" spans="2:3" x14ac:dyDescent="0.3">
      <c r="B1411" t="str">
        <f>IFERROR(IF(A1411="","",VLOOKUP(A1411,CadProd!$A:$B,2,0)),"")</f>
        <v/>
      </c>
      <c r="C1411" t="str">
        <f>IFERROR(IF(A1411="","",VLOOKUP(A1411,CadProd!$A:$C,3,0)),"")</f>
        <v/>
      </c>
    </row>
    <row r="1412" spans="2:3" x14ac:dyDescent="0.3">
      <c r="B1412" t="str">
        <f>IFERROR(IF(A1412="","",VLOOKUP(A1412,CadProd!$A:$B,2,0)),"")</f>
        <v/>
      </c>
      <c r="C1412" t="str">
        <f>IFERROR(IF(A1412="","",VLOOKUP(A1412,CadProd!$A:$C,3,0)),"")</f>
        <v/>
      </c>
    </row>
    <row r="1413" spans="2:3" x14ac:dyDescent="0.3">
      <c r="B1413" t="str">
        <f>IFERROR(IF(A1413="","",VLOOKUP(A1413,CadProd!$A:$B,2,0)),"")</f>
        <v/>
      </c>
      <c r="C1413" t="str">
        <f>IFERROR(IF(A1413="","",VLOOKUP(A1413,CadProd!$A:$C,3,0)),"")</f>
        <v/>
      </c>
    </row>
    <row r="1414" spans="2:3" x14ac:dyDescent="0.3">
      <c r="B1414" t="str">
        <f>IFERROR(IF(A1414="","",VLOOKUP(A1414,CadProd!$A:$B,2,0)),"")</f>
        <v/>
      </c>
      <c r="C1414" t="str">
        <f>IFERROR(IF(A1414="","",VLOOKUP(A1414,CadProd!$A:$C,3,0)),"")</f>
        <v/>
      </c>
    </row>
    <row r="1415" spans="2:3" x14ac:dyDescent="0.3">
      <c r="B1415" t="str">
        <f>IFERROR(IF(A1415="","",VLOOKUP(A1415,CadProd!$A:$B,2,0)),"")</f>
        <v/>
      </c>
      <c r="C1415" t="str">
        <f>IFERROR(IF(A1415="","",VLOOKUP(A1415,CadProd!$A:$C,3,0)),"")</f>
        <v/>
      </c>
    </row>
    <row r="1416" spans="2:3" x14ac:dyDescent="0.3">
      <c r="B1416" t="str">
        <f>IFERROR(IF(A1416="","",VLOOKUP(A1416,CadProd!$A:$B,2,0)),"")</f>
        <v/>
      </c>
      <c r="C1416" t="str">
        <f>IFERROR(IF(A1416="","",VLOOKUP(A1416,CadProd!$A:$C,3,0)),"")</f>
        <v/>
      </c>
    </row>
    <row r="1417" spans="2:3" x14ac:dyDescent="0.3">
      <c r="B1417" t="str">
        <f>IFERROR(IF(A1417="","",VLOOKUP(A1417,CadProd!$A:$B,2,0)),"")</f>
        <v/>
      </c>
      <c r="C1417" t="str">
        <f>IFERROR(IF(A1417="","",VLOOKUP(A1417,CadProd!$A:$C,3,0)),"")</f>
        <v/>
      </c>
    </row>
    <row r="1418" spans="2:3" x14ac:dyDescent="0.3">
      <c r="B1418" t="str">
        <f>IFERROR(IF(A1418="","",VLOOKUP(A1418,CadProd!$A:$B,2,0)),"")</f>
        <v/>
      </c>
      <c r="C1418" t="str">
        <f>IFERROR(IF(A1418="","",VLOOKUP(A1418,CadProd!$A:$C,3,0)),"")</f>
        <v/>
      </c>
    </row>
    <row r="1419" spans="2:3" x14ac:dyDescent="0.3">
      <c r="B1419" t="str">
        <f>IFERROR(IF(A1419="","",VLOOKUP(A1419,CadProd!$A:$B,2,0)),"")</f>
        <v/>
      </c>
      <c r="C1419" t="str">
        <f>IFERROR(IF(A1419="","",VLOOKUP(A1419,CadProd!$A:$C,3,0)),"")</f>
        <v/>
      </c>
    </row>
    <row r="1420" spans="2:3" x14ac:dyDescent="0.3">
      <c r="B1420" t="str">
        <f>IFERROR(IF(A1420="","",VLOOKUP(A1420,CadProd!$A:$B,2,0)),"")</f>
        <v/>
      </c>
      <c r="C1420" t="str">
        <f>IFERROR(IF(A1420="","",VLOOKUP(A1420,CadProd!$A:$C,3,0)),"")</f>
        <v/>
      </c>
    </row>
    <row r="1421" spans="2:3" x14ac:dyDescent="0.3">
      <c r="B1421" t="str">
        <f>IFERROR(IF(A1421="","",VLOOKUP(A1421,CadProd!$A:$B,2,0)),"")</f>
        <v/>
      </c>
      <c r="C1421" t="str">
        <f>IFERROR(IF(A1421="","",VLOOKUP(A1421,CadProd!$A:$C,3,0)),"")</f>
        <v/>
      </c>
    </row>
    <row r="1422" spans="2:3" x14ac:dyDescent="0.3">
      <c r="B1422" t="str">
        <f>IFERROR(IF(A1422="","",VLOOKUP(A1422,CadProd!$A:$B,2,0)),"")</f>
        <v/>
      </c>
      <c r="C1422" t="str">
        <f>IFERROR(IF(A1422="","",VLOOKUP(A1422,CadProd!$A:$C,3,0)),"")</f>
        <v/>
      </c>
    </row>
    <row r="1423" spans="2:3" x14ac:dyDescent="0.3">
      <c r="B1423" t="str">
        <f>IFERROR(IF(A1423="","",VLOOKUP(A1423,CadProd!$A:$B,2,0)),"")</f>
        <v/>
      </c>
      <c r="C1423" t="str">
        <f>IFERROR(IF(A1423="","",VLOOKUP(A1423,CadProd!$A:$C,3,0)),"")</f>
        <v/>
      </c>
    </row>
    <row r="1424" spans="2:3" x14ac:dyDescent="0.3">
      <c r="B1424" t="str">
        <f>IFERROR(IF(A1424="","",VLOOKUP(A1424,CadProd!$A:$B,2,0)),"")</f>
        <v/>
      </c>
      <c r="C1424" t="str">
        <f>IFERROR(IF(A1424="","",VLOOKUP(A1424,CadProd!$A:$C,3,0)),"")</f>
        <v/>
      </c>
    </row>
    <row r="1425" spans="2:3" x14ac:dyDescent="0.3">
      <c r="B1425" t="str">
        <f>IFERROR(IF(A1425="","",VLOOKUP(A1425,CadProd!$A:$B,2,0)),"")</f>
        <v/>
      </c>
      <c r="C1425" t="str">
        <f>IFERROR(IF(A1425="","",VLOOKUP(A1425,CadProd!$A:$C,3,0)),"")</f>
        <v/>
      </c>
    </row>
    <row r="1426" spans="2:3" x14ac:dyDescent="0.3">
      <c r="B1426" t="str">
        <f>IFERROR(IF(A1426="","",VLOOKUP(A1426,CadProd!$A:$B,2,0)),"")</f>
        <v/>
      </c>
      <c r="C1426" t="str">
        <f>IFERROR(IF(A1426="","",VLOOKUP(A1426,CadProd!$A:$C,3,0)),"")</f>
        <v/>
      </c>
    </row>
    <row r="1427" spans="2:3" x14ac:dyDescent="0.3">
      <c r="B1427" t="str">
        <f>IFERROR(IF(A1427="","",VLOOKUP(A1427,CadProd!$A:$B,2,0)),"")</f>
        <v/>
      </c>
      <c r="C1427" t="str">
        <f>IFERROR(IF(A1427="","",VLOOKUP(A1427,CadProd!$A:$C,3,0)),"")</f>
        <v/>
      </c>
    </row>
    <row r="1428" spans="2:3" x14ac:dyDescent="0.3">
      <c r="B1428" t="str">
        <f>IFERROR(IF(A1428="","",VLOOKUP(A1428,CadProd!$A:$B,2,0)),"")</f>
        <v/>
      </c>
      <c r="C1428" t="str">
        <f>IFERROR(IF(A1428="","",VLOOKUP(A1428,CadProd!$A:$C,3,0)),"")</f>
        <v/>
      </c>
    </row>
    <row r="1429" spans="2:3" x14ac:dyDescent="0.3">
      <c r="B1429" t="str">
        <f>IFERROR(IF(A1429="","",VLOOKUP(A1429,CadProd!$A:$B,2,0)),"")</f>
        <v/>
      </c>
      <c r="C1429" t="str">
        <f>IFERROR(IF(A1429="","",VLOOKUP(A1429,CadProd!$A:$C,3,0)),"")</f>
        <v/>
      </c>
    </row>
    <row r="1430" spans="2:3" x14ac:dyDescent="0.3">
      <c r="B1430" t="str">
        <f>IFERROR(IF(A1430="","",VLOOKUP(A1430,CadProd!$A:$B,2,0)),"")</f>
        <v/>
      </c>
      <c r="C1430" t="str">
        <f>IFERROR(IF(A1430="","",VLOOKUP(A1430,CadProd!$A:$C,3,0)),"")</f>
        <v/>
      </c>
    </row>
    <row r="1431" spans="2:3" x14ac:dyDescent="0.3">
      <c r="B1431" t="str">
        <f>IFERROR(IF(A1431="","",VLOOKUP(A1431,CadProd!$A:$B,2,0)),"")</f>
        <v/>
      </c>
      <c r="C1431" t="str">
        <f>IFERROR(IF(A1431="","",VLOOKUP(A1431,CadProd!$A:$C,3,0)),"")</f>
        <v/>
      </c>
    </row>
    <row r="1432" spans="2:3" x14ac:dyDescent="0.3">
      <c r="B1432" t="str">
        <f>IFERROR(IF(A1432="","",VLOOKUP(A1432,CadProd!$A:$B,2,0)),"")</f>
        <v/>
      </c>
      <c r="C1432" t="str">
        <f>IFERROR(IF(A1432="","",VLOOKUP(A1432,CadProd!$A:$C,3,0)),"")</f>
        <v/>
      </c>
    </row>
    <row r="1433" spans="2:3" x14ac:dyDescent="0.3">
      <c r="B1433" t="str">
        <f>IFERROR(IF(A1433="","",VLOOKUP(A1433,CadProd!$A:$B,2,0)),"")</f>
        <v/>
      </c>
      <c r="C1433" t="str">
        <f>IFERROR(IF(A1433="","",VLOOKUP(A1433,CadProd!$A:$C,3,0)),"")</f>
        <v/>
      </c>
    </row>
    <row r="1434" spans="2:3" x14ac:dyDescent="0.3">
      <c r="B1434" t="str">
        <f>IFERROR(IF(A1434="","",VLOOKUP(A1434,CadProd!$A:$B,2,0)),"")</f>
        <v/>
      </c>
      <c r="C1434" t="str">
        <f>IFERROR(IF(A1434="","",VLOOKUP(A1434,CadProd!$A:$C,3,0)),"")</f>
        <v/>
      </c>
    </row>
    <row r="1435" spans="2:3" x14ac:dyDescent="0.3">
      <c r="B1435" t="str">
        <f>IFERROR(IF(A1435="","",VLOOKUP(A1435,CadProd!$A:$B,2,0)),"")</f>
        <v/>
      </c>
      <c r="C1435" t="str">
        <f>IFERROR(IF(A1435="","",VLOOKUP(A1435,CadProd!$A:$C,3,0)),"")</f>
        <v/>
      </c>
    </row>
    <row r="1436" spans="2:3" x14ac:dyDescent="0.3">
      <c r="B1436" t="str">
        <f>IFERROR(IF(A1436="","",VLOOKUP(A1436,CadProd!$A:$B,2,0)),"")</f>
        <v/>
      </c>
      <c r="C1436" t="str">
        <f>IFERROR(IF(A1436="","",VLOOKUP(A1436,CadProd!$A:$C,3,0)),"")</f>
        <v/>
      </c>
    </row>
    <row r="1437" spans="2:3" x14ac:dyDescent="0.3">
      <c r="B1437" t="str">
        <f>IFERROR(IF(A1437="","",VLOOKUP(A1437,CadProd!$A:$B,2,0)),"")</f>
        <v/>
      </c>
      <c r="C1437" t="str">
        <f>IFERROR(IF(A1437="","",VLOOKUP(A1437,CadProd!$A:$C,3,0)),"")</f>
        <v/>
      </c>
    </row>
    <row r="1438" spans="2:3" x14ac:dyDescent="0.3">
      <c r="B1438" t="str">
        <f>IFERROR(IF(A1438="","",VLOOKUP(A1438,CadProd!$A:$B,2,0)),"")</f>
        <v/>
      </c>
      <c r="C1438" t="str">
        <f>IFERROR(IF(A1438="","",VLOOKUP(A1438,CadProd!$A:$C,3,0)),"")</f>
        <v/>
      </c>
    </row>
    <row r="1439" spans="2:3" x14ac:dyDescent="0.3">
      <c r="B1439" t="str">
        <f>IFERROR(IF(A1439="","",VLOOKUP(A1439,CadProd!$A:$B,2,0)),"")</f>
        <v/>
      </c>
      <c r="C1439" t="str">
        <f>IFERROR(IF(A1439="","",VLOOKUP(A1439,CadProd!$A:$C,3,0)),"")</f>
        <v/>
      </c>
    </row>
    <row r="1440" spans="2:3" x14ac:dyDescent="0.3">
      <c r="B1440" t="str">
        <f>IFERROR(IF(A1440="","",VLOOKUP(A1440,CadProd!$A:$B,2,0)),"")</f>
        <v/>
      </c>
      <c r="C1440" t="str">
        <f>IFERROR(IF(A1440="","",VLOOKUP(A1440,CadProd!$A:$C,3,0)),"")</f>
        <v/>
      </c>
    </row>
    <row r="1441" spans="2:3" x14ac:dyDescent="0.3">
      <c r="B1441" t="str">
        <f>IFERROR(IF(A1441="","",VLOOKUP(A1441,CadProd!$A:$B,2,0)),"")</f>
        <v/>
      </c>
      <c r="C1441" t="str">
        <f>IFERROR(IF(A1441="","",VLOOKUP(A1441,CadProd!$A:$C,3,0)),"")</f>
        <v/>
      </c>
    </row>
    <row r="1442" spans="2:3" x14ac:dyDescent="0.3">
      <c r="B1442" t="str">
        <f>IFERROR(IF(A1442="","",VLOOKUP(A1442,CadProd!$A:$B,2,0)),"")</f>
        <v/>
      </c>
      <c r="C1442" t="str">
        <f>IFERROR(IF(A1442="","",VLOOKUP(A1442,CadProd!$A:$C,3,0)),"")</f>
        <v/>
      </c>
    </row>
    <row r="1443" spans="2:3" x14ac:dyDescent="0.3">
      <c r="B1443" t="str">
        <f>IFERROR(IF(A1443="","",VLOOKUP(A1443,CadProd!$A:$B,2,0)),"")</f>
        <v/>
      </c>
      <c r="C1443" t="str">
        <f>IFERROR(IF(A1443="","",VLOOKUP(A1443,CadProd!$A:$C,3,0)),"")</f>
        <v/>
      </c>
    </row>
    <row r="1444" spans="2:3" x14ac:dyDescent="0.3">
      <c r="B1444" t="str">
        <f>IFERROR(IF(A1444="","",VLOOKUP(A1444,CadProd!$A:$B,2,0)),"")</f>
        <v/>
      </c>
      <c r="C1444" t="str">
        <f>IFERROR(IF(A1444="","",VLOOKUP(A1444,CadProd!$A:$C,3,0)),"")</f>
        <v/>
      </c>
    </row>
    <row r="1445" spans="2:3" x14ac:dyDescent="0.3">
      <c r="B1445" t="str">
        <f>IFERROR(IF(A1445="","",VLOOKUP(A1445,CadProd!$A:$B,2,0)),"")</f>
        <v/>
      </c>
      <c r="C1445" t="str">
        <f>IFERROR(IF(A1445="","",VLOOKUP(A1445,CadProd!$A:$C,3,0)),"")</f>
        <v/>
      </c>
    </row>
    <row r="1446" spans="2:3" x14ac:dyDescent="0.3">
      <c r="B1446" t="str">
        <f>IFERROR(IF(A1446="","",VLOOKUP(A1446,CadProd!$A:$B,2,0)),"")</f>
        <v/>
      </c>
      <c r="C1446" t="str">
        <f>IFERROR(IF(A1446="","",VLOOKUP(A1446,CadProd!$A:$C,3,0)),"")</f>
        <v/>
      </c>
    </row>
    <row r="1447" spans="2:3" x14ac:dyDescent="0.3">
      <c r="B1447" t="str">
        <f>IFERROR(IF(A1447="","",VLOOKUP(A1447,CadProd!$A:$B,2,0)),"")</f>
        <v/>
      </c>
      <c r="C1447" t="str">
        <f>IFERROR(IF(A1447="","",VLOOKUP(A1447,CadProd!$A:$C,3,0)),"")</f>
        <v/>
      </c>
    </row>
    <row r="1448" spans="2:3" x14ac:dyDescent="0.3">
      <c r="B1448" t="str">
        <f>IFERROR(IF(A1448="","",VLOOKUP(A1448,CadProd!$A:$B,2,0)),"")</f>
        <v/>
      </c>
      <c r="C1448" t="str">
        <f>IFERROR(IF(A1448="","",VLOOKUP(A1448,CadProd!$A:$C,3,0)),"")</f>
        <v/>
      </c>
    </row>
    <row r="1449" spans="2:3" x14ac:dyDescent="0.3">
      <c r="B1449" t="str">
        <f>IFERROR(IF(A1449="","",VLOOKUP(A1449,CadProd!$A:$B,2,0)),"")</f>
        <v/>
      </c>
      <c r="C1449" t="str">
        <f>IFERROR(IF(A1449="","",VLOOKUP(A1449,CadProd!$A:$C,3,0)),"")</f>
        <v/>
      </c>
    </row>
    <row r="1450" spans="2:3" x14ac:dyDescent="0.3">
      <c r="B1450" t="str">
        <f>IFERROR(IF(A1450="","",VLOOKUP(A1450,CadProd!$A:$B,2,0)),"")</f>
        <v/>
      </c>
      <c r="C1450" t="str">
        <f>IFERROR(IF(A1450="","",VLOOKUP(A1450,CadProd!$A:$C,3,0)),"")</f>
        <v/>
      </c>
    </row>
    <row r="1451" spans="2:3" x14ac:dyDescent="0.3">
      <c r="B1451" t="str">
        <f>IFERROR(IF(A1451="","",VLOOKUP(A1451,CadProd!$A:$B,2,0)),"")</f>
        <v/>
      </c>
      <c r="C1451" t="str">
        <f>IFERROR(IF(A1451="","",VLOOKUP(A1451,CadProd!$A:$C,3,0)),"")</f>
        <v/>
      </c>
    </row>
    <row r="1452" spans="2:3" x14ac:dyDescent="0.3">
      <c r="B1452" t="str">
        <f>IFERROR(IF(A1452="","",VLOOKUP(A1452,CadProd!$A:$B,2,0)),"")</f>
        <v/>
      </c>
      <c r="C1452" t="str">
        <f>IFERROR(IF(A1452="","",VLOOKUP(A1452,CadProd!$A:$C,3,0)),"")</f>
        <v/>
      </c>
    </row>
    <row r="1453" spans="2:3" x14ac:dyDescent="0.3">
      <c r="B1453" t="str">
        <f>IFERROR(IF(A1453="","",VLOOKUP(A1453,CadProd!$A:$B,2,0)),"")</f>
        <v/>
      </c>
      <c r="C1453" t="str">
        <f>IFERROR(IF(A1453="","",VLOOKUP(A1453,CadProd!$A:$C,3,0)),"")</f>
        <v/>
      </c>
    </row>
    <row r="1454" spans="2:3" x14ac:dyDescent="0.3">
      <c r="B1454" t="str">
        <f>IFERROR(IF(A1454="","",VLOOKUP(A1454,CadProd!$A:$B,2,0)),"")</f>
        <v/>
      </c>
      <c r="C1454" t="str">
        <f>IFERROR(IF(A1454="","",VLOOKUP(A1454,CadProd!$A:$C,3,0)),"")</f>
        <v/>
      </c>
    </row>
    <row r="1455" spans="2:3" x14ac:dyDescent="0.3">
      <c r="B1455" t="str">
        <f>IFERROR(IF(A1455="","",VLOOKUP(A1455,CadProd!$A:$B,2,0)),"")</f>
        <v/>
      </c>
      <c r="C1455" t="str">
        <f>IFERROR(IF(A1455="","",VLOOKUP(A1455,CadProd!$A:$C,3,0)),"")</f>
        <v/>
      </c>
    </row>
    <row r="1456" spans="2:3" x14ac:dyDescent="0.3">
      <c r="B1456" t="str">
        <f>IFERROR(IF(A1456="","",VLOOKUP(A1456,CadProd!$A:$B,2,0)),"")</f>
        <v/>
      </c>
      <c r="C1456" t="str">
        <f>IFERROR(IF(A1456="","",VLOOKUP(A1456,CadProd!$A:$C,3,0)),"")</f>
        <v/>
      </c>
    </row>
    <row r="1457" spans="2:3" x14ac:dyDescent="0.3">
      <c r="B1457" t="str">
        <f>IFERROR(IF(A1457="","",VLOOKUP(A1457,CadProd!$A:$B,2,0)),"")</f>
        <v/>
      </c>
      <c r="C1457" t="str">
        <f>IFERROR(IF(A1457="","",VLOOKUP(A1457,CadProd!$A:$C,3,0)),"")</f>
        <v/>
      </c>
    </row>
    <row r="1458" spans="2:3" x14ac:dyDescent="0.3">
      <c r="B1458" t="str">
        <f>IFERROR(IF(A1458="","",VLOOKUP(A1458,CadProd!$A:$B,2,0)),"")</f>
        <v/>
      </c>
      <c r="C1458" t="str">
        <f>IFERROR(IF(A1458="","",VLOOKUP(A1458,CadProd!$A:$C,3,0)),"")</f>
        <v/>
      </c>
    </row>
    <row r="1459" spans="2:3" x14ac:dyDescent="0.3">
      <c r="B1459" t="str">
        <f>IFERROR(IF(A1459="","",VLOOKUP(A1459,CadProd!$A:$B,2,0)),"")</f>
        <v/>
      </c>
      <c r="C1459" t="str">
        <f>IFERROR(IF(A1459="","",VLOOKUP(A1459,CadProd!$A:$C,3,0)),"")</f>
        <v/>
      </c>
    </row>
    <row r="1460" spans="2:3" x14ac:dyDescent="0.3">
      <c r="B1460" t="str">
        <f>IFERROR(IF(A1460="","",VLOOKUP(A1460,CadProd!$A:$B,2,0)),"")</f>
        <v/>
      </c>
      <c r="C1460" t="str">
        <f>IFERROR(IF(A1460="","",VLOOKUP(A1460,CadProd!$A:$C,3,0)),"")</f>
        <v/>
      </c>
    </row>
    <row r="1461" spans="2:3" x14ac:dyDescent="0.3">
      <c r="B1461" t="str">
        <f>IFERROR(IF(A1461="","",VLOOKUP(A1461,CadProd!$A:$B,2,0)),"")</f>
        <v/>
      </c>
      <c r="C1461" t="str">
        <f>IFERROR(IF(A1461="","",VLOOKUP(A1461,CadProd!$A:$C,3,0)),"")</f>
        <v/>
      </c>
    </row>
    <row r="1462" spans="2:3" x14ac:dyDescent="0.3">
      <c r="B1462" t="str">
        <f>IFERROR(IF(A1462="","",VLOOKUP(A1462,CadProd!$A:$B,2,0)),"")</f>
        <v/>
      </c>
      <c r="C1462" t="str">
        <f>IFERROR(IF(A1462="","",VLOOKUP(A1462,CadProd!$A:$C,3,0)),"")</f>
        <v/>
      </c>
    </row>
    <row r="1463" spans="2:3" x14ac:dyDescent="0.3">
      <c r="B1463" t="str">
        <f>IFERROR(IF(A1463="","",VLOOKUP(A1463,CadProd!$A:$B,2,0)),"")</f>
        <v/>
      </c>
      <c r="C1463" t="str">
        <f>IFERROR(IF(A1463="","",VLOOKUP(A1463,CadProd!$A:$C,3,0)),"")</f>
        <v/>
      </c>
    </row>
    <row r="1464" spans="2:3" x14ac:dyDescent="0.3">
      <c r="B1464" t="str">
        <f>IFERROR(IF(A1464="","",VLOOKUP(A1464,CadProd!$A:$B,2,0)),"")</f>
        <v/>
      </c>
      <c r="C1464" t="str">
        <f>IFERROR(IF(A1464="","",VLOOKUP(A1464,CadProd!$A:$C,3,0)),"")</f>
        <v/>
      </c>
    </row>
    <row r="1465" spans="2:3" x14ac:dyDescent="0.3">
      <c r="B1465" t="str">
        <f>IFERROR(IF(A1465="","",VLOOKUP(A1465,CadProd!$A:$B,2,0)),"")</f>
        <v/>
      </c>
      <c r="C1465" t="str">
        <f>IFERROR(IF(A1465="","",VLOOKUP(A1465,CadProd!$A:$C,3,0)),"")</f>
        <v/>
      </c>
    </row>
    <row r="1466" spans="2:3" x14ac:dyDescent="0.3">
      <c r="B1466" t="str">
        <f>IFERROR(IF(A1466="","",VLOOKUP(A1466,CadProd!$A:$B,2,0)),"")</f>
        <v/>
      </c>
      <c r="C1466" t="str">
        <f>IFERROR(IF(A1466="","",VLOOKUP(A1466,CadProd!$A:$C,3,0)),"")</f>
        <v/>
      </c>
    </row>
    <row r="1467" spans="2:3" x14ac:dyDescent="0.3">
      <c r="B1467" t="str">
        <f>IFERROR(IF(A1467="","",VLOOKUP(A1467,CadProd!$A:$B,2,0)),"")</f>
        <v/>
      </c>
      <c r="C1467" t="str">
        <f>IFERROR(IF(A1467="","",VLOOKUP(A1467,CadProd!$A:$C,3,0)),"")</f>
        <v/>
      </c>
    </row>
    <row r="1468" spans="2:3" x14ac:dyDescent="0.3">
      <c r="B1468" t="str">
        <f>IFERROR(IF(A1468="","",VLOOKUP(A1468,CadProd!$A:$B,2,0)),"")</f>
        <v/>
      </c>
      <c r="C1468" t="str">
        <f>IFERROR(IF(A1468="","",VLOOKUP(A1468,CadProd!$A:$C,3,0)),"")</f>
        <v/>
      </c>
    </row>
    <row r="1469" spans="2:3" x14ac:dyDescent="0.3">
      <c r="B1469" t="str">
        <f>IFERROR(IF(A1469="","",VLOOKUP(A1469,CadProd!$A:$B,2,0)),"")</f>
        <v/>
      </c>
      <c r="C1469" t="str">
        <f>IFERROR(IF(A1469="","",VLOOKUP(A1469,CadProd!$A:$C,3,0)),"")</f>
        <v/>
      </c>
    </row>
    <row r="1470" spans="2:3" x14ac:dyDescent="0.3">
      <c r="B1470" t="str">
        <f>IFERROR(IF(A1470="","",VLOOKUP(A1470,CadProd!$A:$B,2,0)),"")</f>
        <v/>
      </c>
      <c r="C1470" t="str">
        <f>IFERROR(IF(A1470="","",VLOOKUP(A1470,CadProd!$A:$C,3,0)),"")</f>
        <v/>
      </c>
    </row>
    <row r="1471" spans="2:3" x14ac:dyDescent="0.3">
      <c r="B1471" t="str">
        <f>IFERROR(IF(A1471="","",VLOOKUP(A1471,CadProd!$A:$B,2,0)),"")</f>
        <v/>
      </c>
      <c r="C1471" t="str">
        <f>IFERROR(IF(A1471="","",VLOOKUP(A1471,CadProd!$A:$C,3,0)),"")</f>
        <v/>
      </c>
    </row>
    <row r="1472" spans="2:3" x14ac:dyDescent="0.3">
      <c r="B1472" t="str">
        <f>IFERROR(IF(A1472="","",VLOOKUP(A1472,CadProd!$A:$B,2,0)),"")</f>
        <v/>
      </c>
      <c r="C1472" t="str">
        <f>IFERROR(IF(A1472="","",VLOOKUP(A1472,CadProd!$A:$C,3,0)),"")</f>
        <v/>
      </c>
    </row>
    <row r="1473" spans="2:3" x14ac:dyDescent="0.3">
      <c r="B1473" t="str">
        <f>IFERROR(IF(A1473="","",VLOOKUP(A1473,CadProd!$A:$B,2,0)),"")</f>
        <v/>
      </c>
      <c r="C1473" t="str">
        <f>IFERROR(IF(A1473="","",VLOOKUP(A1473,CadProd!$A:$C,3,0)),"")</f>
        <v/>
      </c>
    </row>
    <row r="1474" spans="2:3" x14ac:dyDescent="0.3">
      <c r="B1474" t="str">
        <f>IFERROR(IF(A1474="","",VLOOKUP(A1474,CadProd!$A:$B,2,0)),"")</f>
        <v/>
      </c>
      <c r="C1474" t="str">
        <f>IFERROR(IF(A1474="","",VLOOKUP(A1474,CadProd!$A:$C,3,0)),"")</f>
        <v/>
      </c>
    </row>
    <row r="1475" spans="2:3" x14ac:dyDescent="0.3">
      <c r="B1475" t="str">
        <f>IFERROR(IF(A1475="","",VLOOKUP(A1475,CadProd!$A:$B,2,0)),"")</f>
        <v/>
      </c>
      <c r="C1475" t="str">
        <f>IFERROR(IF(A1475="","",VLOOKUP(A1475,CadProd!$A:$C,3,0)),"")</f>
        <v/>
      </c>
    </row>
    <row r="1476" spans="2:3" x14ac:dyDescent="0.3">
      <c r="B1476" t="str">
        <f>IFERROR(IF(A1476="","",VLOOKUP(A1476,CadProd!$A:$B,2,0)),"")</f>
        <v/>
      </c>
      <c r="C1476" t="str">
        <f>IFERROR(IF(A1476="","",VLOOKUP(A1476,CadProd!$A:$C,3,0)),"")</f>
        <v/>
      </c>
    </row>
    <row r="1477" spans="2:3" x14ac:dyDescent="0.3">
      <c r="B1477" t="str">
        <f>IFERROR(IF(A1477="","",VLOOKUP(A1477,CadProd!$A:$B,2,0)),"")</f>
        <v/>
      </c>
      <c r="C1477" t="str">
        <f>IFERROR(IF(A1477="","",VLOOKUP(A1477,CadProd!$A:$C,3,0)),"")</f>
        <v/>
      </c>
    </row>
    <row r="1478" spans="2:3" x14ac:dyDescent="0.3">
      <c r="B1478" t="str">
        <f>IFERROR(IF(A1478="","",VLOOKUP(A1478,CadProd!$A:$B,2,0)),"")</f>
        <v/>
      </c>
      <c r="C1478" t="str">
        <f>IFERROR(IF(A1478="","",VLOOKUP(A1478,CadProd!$A:$C,3,0)),"")</f>
        <v/>
      </c>
    </row>
    <row r="1479" spans="2:3" x14ac:dyDescent="0.3">
      <c r="B1479" t="str">
        <f>IFERROR(IF(A1479="","",VLOOKUP(A1479,CadProd!$A:$B,2,0)),"")</f>
        <v/>
      </c>
      <c r="C1479" t="str">
        <f>IFERROR(IF(A1479="","",VLOOKUP(A1479,CadProd!$A:$C,3,0)),"")</f>
        <v/>
      </c>
    </row>
    <row r="1480" spans="2:3" x14ac:dyDescent="0.3">
      <c r="B1480" t="str">
        <f>IFERROR(IF(A1480="","",VLOOKUP(A1480,CadProd!$A:$B,2,0)),"")</f>
        <v/>
      </c>
      <c r="C1480" t="str">
        <f>IFERROR(IF(A1480="","",VLOOKUP(A1480,CadProd!$A:$C,3,0)),"")</f>
        <v/>
      </c>
    </row>
    <row r="1481" spans="2:3" x14ac:dyDescent="0.3">
      <c r="B1481" t="str">
        <f>IFERROR(IF(A1481="","",VLOOKUP(A1481,CadProd!$A:$B,2,0)),"")</f>
        <v/>
      </c>
      <c r="C1481" t="str">
        <f>IFERROR(IF(A1481="","",VLOOKUP(A1481,CadProd!$A:$C,3,0)),"")</f>
        <v/>
      </c>
    </row>
    <row r="1482" spans="2:3" x14ac:dyDescent="0.3">
      <c r="B1482" t="str">
        <f>IFERROR(IF(A1482="","",VLOOKUP(A1482,CadProd!$A:$B,2,0)),"")</f>
        <v/>
      </c>
      <c r="C1482" t="str">
        <f>IFERROR(IF(A1482="","",VLOOKUP(A1482,CadProd!$A:$C,3,0)),"")</f>
        <v/>
      </c>
    </row>
    <row r="1483" spans="2:3" x14ac:dyDescent="0.3">
      <c r="B1483" t="str">
        <f>IFERROR(IF(A1483="","",VLOOKUP(A1483,CadProd!$A:$B,2,0)),"")</f>
        <v/>
      </c>
      <c r="C1483" t="str">
        <f>IFERROR(IF(A1483="","",VLOOKUP(A1483,CadProd!$A:$C,3,0)),"")</f>
        <v/>
      </c>
    </row>
    <row r="1484" spans="2:3" x14ac:dyDescent="0.3">
      <c r="B1484" t="str">
        <f>IFERROR(IF(A1484="","",VLOOKUP(A1484,CadProd!$A:$B,2,0)),"")</f>
        <v/>
      </c>
      <c r="C1484" t="str">
        <f>IFERROR(IF(A1484="","",VLOOKUP(A1484,CadProd!$A:$C,3,0)),"")</f>
        <v/>
      </c>
    </row>
    <row r="1485" spans="2:3" x14ac:dyDescent="0.3">
      <c r="B1485" t="str">
        <f>IFERROR(IF(A1485="","",VLOOKUP(A1485,CadProd!$A:$B,2,0)),"")</f>
        <v/>
      </c>
      <c r="C1485" t="str">
        <f>IFERROR(IF(A1485="","",VLOOKUP(A1485,CadProd!$A:$C,3,0)),"")</f>
        <v/>
      </c>
    </row>
    <row r="1486" spans="2:3" x14ac:dyDescent="0.3">
      <c r="B1486" t="str">
        <f>IFERROR(IF(A1486="","",VLOOKUP(A1486,CadProd!$A:$B,2,0)),"")</f>
        <v/>
      </c>
      <c r="C1486" t="str">
        <f>IFERROR(IF(A1486="","",VLOOKUP(A1486,CadProd!$A:$C,3,0)),"")</f>
        <v/>
      </c>
    </row>
    <row r="1487" spans="2:3" x14ac:dyDescent="0.3">
      <c r="B1487" t="str">
        <f>IFERROR(IF(A1487="","",VLOOKUP(A1487,CadProd!$A:$B,2,0)),"")</f>
        <v/>
      </c>
      <c r="C1487" t="str">
        <f>IFERROR(IF(A1487="","",VLOOKUP(A1487,CadProd!$A:$C,3,0)),"")</f>
        <v/>
      </c>
    </row>
    <row r="1488" spans="2:3" x14ac:dyDescent="0.3">
      <c r="B1488" t="str">
        <f>IFERROR(IF(A1488="","",VLOOKUP(A1488,CadProd!$A:$B,2,0)),"")</f>
        <v/>
      </c>
      <c r="C1488" t="str">
        <f>IFERROR(IF(A1488="","",VLOOKUP(A1488,CadProd!$A:$C,3,0)),"")</f>
        <v/>
      </c>
    </row>
    <row r="1489" spans="2:3" x14ac:dyDescent="0.3">
      <c r="B1489" t="str">
        <f>IFERROR(IF(A1489="","",VLOOKUP(A1489,CadProd!$A:$B,2,0)),"")</f>
        <v/>
      </c>
      <c r="C1489" t="str">
        <f>IFERROR(IF(A1489="","",VLOOKUP(A1489,CadProd!$A:$C,3,0)),"")</f>
        <v/>
      </c>
    </row>
    <row r="1490" spans="2:3" x14ac:dyDescent="0.3">
      <c r="B1490" t="str">
        <f>IFERROR(IF(A1490="","",VLOOKUP(A1490,CadProd!$A:$B,2,0)),"")</f>
        <v/>
      </c>
      <c r="C1490" t="str">
        <f>IFERROR(IF(A1490="","",VLOOKUP(A1490,CadProd!$A:$C,3,0)),"")</f>
        <v/>
      </c>
    </row>
    <row r="1491" spans="2:3" x14ac:dyDescent="0.3">
      <c r="B1491" t="str">
        <f>IFERROR(IF(A1491="","",VLOOKUP(A1491,CadProd!$A:$B,2,0)),"")</f>
        <v/>
      </c>
      <c r="C1491" t="str">
        <f>IFERROR(IF(A1491="","",VLOOKUP(A1491,CadProd!$A:$C,3,0)),"")</f>
        <v/>
      </c>
    </row>
    <row r="1492" spans="2:3" x14ac:dyDescent="0.3">
      <c r="B1492" t="str">
        <f>IFERROR(IF(A1492="","",VLOOKUP(A1492,CadProd!$A:$B,2,0)),"")</f>
        <v/>
      </c>
      <c r="C1492" t="str">
        <f>IFERROR(IF(A1492="","",VLOOKUP(A1492,CadProd!$A:$C,3,0)),"")</f>
        <v/>
      </c>
    </row>
    <row r="1493" spans="2:3" x14ac:dyDescent="0.3">
      <c r="B1493" t="str">
        <f>IFERROR(IF(A1493="","",VLOOKUP(A1493,CadProd!$A:$B,2,0)),"")</f>
        <v/>
      </c>
      <c r="C1493" t="str">
        <f>IFERROR(IF(A1493="","",VLOOKUP(A1493,CadProd!$A:$C,3,0)),"")</f>
        <v/>
      </c>
    </row>
    <row r="1494" spans="2:3" x14ac:dyDescent="0.3">
      <c r="B1494" t="str">
        <f>IFERROR(IF(A1494="","",VLOOKUP(A1494,CadProd!$A:$B,2,0)),"")</f>
        <v/>
      </c>
      <c r="C1494" t="str">
        <f>IFERROR(IF(A1494="","",VLOOKUP(A1494,CadProd!$A:$C,3,0)),"")</f>
        <v/>
      </c>
    </row>
    <row r="1495" spans="2:3" x14ac:dyDescent="0.3">
      <c r="B1495" t="str">
        <f>IFERROR(IF(A1495="","",VLOOKUP(A1495,CadProd!$A:$B,2,0)),"")</f>
        <v/>
      </c>
      <c r="C1495" t="str">
        <f>IFERROR(IF(A1495="","",VLOOKUP(A1495,CadProd!$A:$C,3,0)),"")</f>
        <v/>
      </c>
    </row>
    <row r="1496" spans="2:3" x14ac:dyDescent="0.3">
      <c r="B1496" t="str">
        <f>IFERROR(IF(A1496="","",VLOOKUP(A1496,CadProd!$A:$B,2,0)),"")</f>
        <v/>
      </c>
      <c r="C1496" t="str">
        <f>IFERROR(IF(A1496="","",VLOOKUP(A1496,CadProd!$A:$C,3,0)),"")</f>
        <v/>
      </c>
    </row>
    <row r="1497" spans="2:3" x14ac:dyDescent="0.3">
      <c r="B1497" t="str">
        <f>IFERROR(IF(A1497="","",VLOOKUP(A1497,CadProd!$A:$B,2,0)),"")</f>
        <v/>
      </c>
      <c r="C1497" t="str">
        <f>IFERROR(IF(A1497="","",VLOOKUP(A1497,CadProd!$A:$C,3,0)),"")</f>
        <v/>
      </c>
    </row>
    <row r="1498" spans="2:3" x14ac:dyDescent="0.3">
      <c r="B1498" t="str">
        <f>IFERROR(IF(A1498="","",VLOOKUP(A1498,CadProd!$A:$B,2,0)),"")</f>
        <v/>
      </c>
      <c r="C1498" t="str">
        <f>IFERROR(IF(A1498="","",VLOOKUP(A1498,CadProd!$A:$C,3,0)),"")</f>
        <v/>
      </c>
    </row>
    <row r="1499" spans="2:3" x14ac:dyDescent="0.3">
      <c r="B1499" t="str">
        <f>IFERROR(IF(A1499="","",VLOOKUP(A1499,CadProd!$A:$B,2,0)),"")</f>
        <v/>
      </c>
      <c r="C1499" t="str">
        <f>IFERROR(IF(A1499="","",VLOOKUP(A1499,CadProd!$A:$C,3,0)),"")</f>
        <v/>
      </c>
    </row>
    <row r="1500" spans="2:3" x14ac:dyDescent="0.3">
      <c r="B1500" t="str">
        <f>IFERROR(IF(A1500="","",VLOOKUP(A1500,CadProd!$A:$B,2,0)),"")</f>
        <v/>
      </c>
      <c r="C1500" t="str">
        <f>IFERROR(IF(A1500="","",VLOOKUP(A1500,CadProd!$A:$C,3,0)),"")</f>
        <v/>
      </c>
    </row>
    <row r="1501" spans="2:3" x14ac:dyDescent="0.3">
      <c r="B1501" t="str">
        <f>IFERROR(IF(A1501="","",VLOOKUP(A1501,CadProd!$A:$B,2,0)),"")</f>
        <v/>
      </c>
      <c r="C1501" t="str">
        <f>IFERROR(IF(A1501="","",VLOOKUP(A1501,CadProd!$A:$C,3,0)),"")</f>
        <v/>
      </c>
    </row>
    <row r="1502" spans="2:3" x14ac:dyDescent="0.3">
      <c r="B1502" t="str">
        <f>IFERROR(IF(A1502="","",VLOOKUP(A1502,CadProd!$A:$B,2,0)),"")</f>
        <v/>
      </c>
      <c r="C1502" t="str">
        <f>IFERROR(IF(A1502="","",VLOOKUP(A1502,CadProd!$A:$C,3,0)),"")</f>
        <v/>
      </c>
    </row>
    <row r="1503" spans="2:3" x14ac:dyDescent="0.3">
      <c r="B1503" t="str">
        <f>IFERROR(IF(A1503="","",VLOOKUP(A1503,CadProd!$A:$B,2,0)),"")</f>
        <v/>
      </c>
      <c r="C1503" t="str">
        <f>IFERROR(IF(A1503="","",VLOOKUP(A1503,CadProd!$A:$C,3,0)),"")</f>
        <v/>
      </c>
    </row>
    <row r="1504" spans="2:3" x14ac:dyDescent="0.3">
      <c r="B1504" t="str">
        <f>IFERROR(IF(A1504="","",VLOOKUP(A1504,CadProd!$A:$B,2,0)),"")</f>
        <v/>
      </c>
      <c r="C1504" t="str">
        <f>IFERROR(IF(A1504="","",VLOOKUP(A1504,CadProd!$A:$C,3,0)),"")</f>
        <v/>
      </c>
    </row>
    <row r="1505" spans="2:3" x14ac:dyDescent="0.3">
      <c r="B1505" t="str">
        <f>IFERROR(IF(A1505="","",VLOOKUP(A1505,CadProd!$A:$B,2,0)),"")</f>
        <v/>
      </c>
      <c r="C1505" t="str">
        <f>IFERROR(IF(A1505="","",VLOOKUP(A1505,CadProd!$A:$C,3,0)),"")</f>
        <v/>
      </c>
    </row>
    <row r="1506" spans="2:3" x14ac:dyDescent="0.3">
      <c r="B1506" t="str">
        <f>IFERROR(IF(A1506="","",VLOOKUP(A1506,CadProd!$A:$B,2,0)),"")</f>
        <v/>
      </c>
      <c r="C1506" t="str">
        <f>IFERROR(IF(A1506="","",VLOOKUP(A1506,CadProd!$A:$C,3,0)),"")</f>
        <v/>
      </c>
    </row>
    <row r="1507" spans="2:3" x14ac:dyDescent="0.3">
      <c r="B1507" t="str">
        <f>IFERROR(IF(A1507="","",VLOOKUP(A1507,CadProd!$A:$B,2,0)),"")</f>
        <v/>
      </c>
      <c r="C1507" t="str">
        <f>IFERROR(IF(A1507="","",VLOOKUP(A1507,CadProd!$A:$C,3,0)),"")</f>
        <v/>
      </c>
    </row>
    <row r="1508" spans="2:3" x14ac:dyDescent="0.3">
      <c r="B1508" t="str">
        <f>IFERROR(IF(A1508="","",VLOOKUP(A1508,CadProd!$A:$B,2,0)),"")</f>
        <v/>
      </c>
      <c r="C1508" t="str">
        <f>IFERROR(IF(A1508="","",VLOOKUP(A1508,CadProd!$A:$C,3,0)),"")</f>
        <v/>
      </c>
    </row>
    <row r="1509" spans="2:3" x14ac:dyDescent="0.3">
      <c r="B1509" t="str">
        <f>IFERROR(IF(A1509="","",VLOOKUP(A1509,CadProd!$A:$B,2,0)),"")</f>
        <v/>
      </c>
      <c r="C1509" t="str">
        <f>IFERROR(IF(A1509="","",VLOOKUP(A1509,CadProd!$A:$C,3,0)),"")</f>
        <v/>
      </c>
    </row>
    <row r="1510" spans="2:3" x14ac:dyDescent="0.3">
      <c r="B1510" t="str">
        <f>IFERROR(IF(A1510="","",VLOOKUP(A1510,CadProd!$A:$B,2,0)),"")</f>
        <v/>
      </c>
      <c r="C1510" t="str">
        <f>IFERROR(IF(A1510="","",VLOOKUP(A1510,CadProd!$A:$C,3,0)),"")</f>
        <v/>
      </c>
    </row>
    <row r="1511" spans="2:3" x14ac:dyDescent="0.3">
      <c r="B1511" t="str">
        <f>IFERROR(IF(A1511="","",VLOOKUP(A1511,CadProd!$A:$B,2,0)),"")</f>
        <v/>
      </c>
      <c r="C1511" t="str">
        <f>IFERROR(IF(A1511="","",VLOOKUP(A1511,CadProd!$A:$C,3,0)),"")</f>
        <v/>
      </c>
    </row>
    <row r="1512" spans="2:3" x14ac:dyDescent="0.3">
      <c r="B1512" t="str">
        <f>IFERROR(IF(A1512="","",VLOOKUP(A1512,CadProd!$A:$B,2,0)),"")</f>
        <v/>
      </c>
      <c r="C1512" t="str">
        <f>IFERROR(IF(A1512="","",VLOOKUP(A1512,CadProd!$A:$C,3,0)),"")</f>
        <v/>
      </c>
    </row>
    <row r="1513" spans="2:3" x14ac:dyDescent="0.3">
      <c r="B1513" t="str">
        <f>IFERROR(IF(A1513="","",VLOOKUP(A1513,CadProd!$A:$B,2,0)),"")</f>
        <v/>
      </c>
      <c r="C1513" t="str">
        <f>IFERROR(IF(A1513="","",VLOOKUP(A1513,CadProd!$A:$C,3,0)),"")</f>
        <v/>
      </c>
    </row>
    <row r="1514" spans="2:3" x14ac:dyDescent="0.3">
      <c r="B1514" t="str">
        <f>IFERROR(IF(A1514="","",VLOOKUP(A1514,CadProd!$A:$B,2,0)),"")</f>
        <v/>
      </c>
      <c r="C1514" t="str">
        <f>IFERROR(IF(A1514="","",VLOOKUP(A1514,CadProd!$A:$C,3,0)),"")</f>
        <v/>
      </c>
    </row>
    <row r="1515" spans="2:3" x14ac:dyDescent="0.3">
      <c r="B1515" t="str">
        <f>IFERROR(IF(A1515="","",VLOOKUP(A1515,CadProd!$A:$B,2,0)),"")</f>
        <v/>
      </c>
      <c r="C1515" t="str">
        <f>IFERROR(IF(A1515="","",VLOOKUP(A1515,CadProd!$A:$C,3,0)),"")</f>
        <v/>
      </c>
    </row>
    <row r="1516" spans="2:3" x14ac:dyDescent="0.3">
      <c r="B1516" t="str">
        <f>IFERROR(IF(A1516="","",VLOOKUP(A1516,CadProd!$A:$B,2,0)),"")</f>
        <v/>
      </c>
      <c r="C1516" t="str">
        <f>IFERROR(IF(A1516="","",VLOOKUP(A1516,CadProd!$A:$C,3,0)),"")</f>
        <v/>
      </c>
    </row>
    <row r="1517" spans="2:3" x14ac:dyDescent="0.3">
      <c r="B1517" t="str">
        <f>IFERROR(IF(A1517="","",VLOOKUP(A1517,CadProd!$A:$B,2,0)),"")</f>
        <v/>
      </c>
      <c r="C1517" t="str">
        <f>IFERROR(IF(A1517="","",VLOOKUP(A1517,CadProd!$A:$C,3,0)),"")</f>
        <v/>
      </c>
    </row>
    <row r="1518" spans="2:3" x14ac:dyDescent="0.3">
      <c r="B1518" t="str">
        <f>IFERROR(IF(A1518="","",VLOOKUP(A1518,CadProd!$A:$B,2,0)),"")</f>
        <v/>
      </c>
      <c r="C1518" t="str">
        <f>IFERROR(IF(A1518="","",VLOOKUP(A1518,CadProd!$A:$C,3,0)),"")</f>
        <v/>
      </c>
    </row>
    <row r="1519" spans="2:3" x14ac:dyDescent="0.3">
      <c r="B1519" t="str">
        <f>IFERROR(IF(A1519="","",VLOOKUP(A1519,CadProd!$A:$B,2,0)),"")</f>
        <v/>
      </c>
      <c r="C1519" t="str">
        <f>IFERROR(IF(A1519="","",VLOOKUP(A1519,CadProd!$A:$C,3,0)),"")</f>
        <v/>
      </c>
    </row>
    <row r="1520" spans="2:3" x14ac:dyDescent="0.3">
      <c r="B1520" t="str">
        <f>IFERROR(IF(A1520="","",VLOOKUP(A1520,CadProd!$A:$B,2,0)),"")</f>
        <v/>
      </c>
      <c r="C1520" t="str">
        <f>IFERROR(IF(A1520="","",VLOOKUP(A1520,CadProd!$A:$C,3,0)),"")</f>
        <v/>
      </c>
    </row>
    <row r="1521" spans="2:3" x14ac:dyDescent="0.3">
      <c r="B1521" t="str">
        <f>IFERROR(IF(A1521="","",VLOOKUP(A1521,CadProd!$A:$B,2,0)),"")</f>
        <v/>
      </c>
      <c r="C1521" t="str">
        <f>IFERROR(IF(A1521="","",VLOOKUP(A1521,CadProd!$A:$C,3,0)),"")</f>
        <v/>
      </c>
    </row>
    <row r="1522" spans="2:3" x14ac:dyDescent="0.3">
      <c r="B1522" t="str">
        <f>IFERROR(IF(A1522="","",VLOOKUP(A1522,CadProd!$A:$B,2,0)),"")</f>
        <v/>
      </c>
      <c r="C1522" t="str">
        <f>IFERROR(IF(A1522="","",VLOOKUP(A1522,CadProd!$A:$C,3,0)),"")</f>
        <v/>
      </c>
    </row>
    <row r="1523" spans="2:3" x14ac:dyDescent="0.3">
      <c r="B1523" t="str">
        <f>IFERROR(IF(A1523="","",VLOOKUP(A1523,CadProd!$A:$B,2,0)),"")</f>
        <v/>
      </c>
      <c r="C1523" t="str">
        <f>IFERROR(IF(A1523="","",VLOOKUP(A1523,CadProd!$A:$C,3,0)),"")</f>
        <v/>
      </c>
    </row>
    <row r="1524" spans="2:3" x14ac:dyDescent="0.3">
      <c r="B1524" t="str">
        <f>IFERROR(IF(A1524="","",VLOOKUP(A1524,CadProd!$A:$B,2,0)),"")</f>
        <v/>
      </c>
      <c r="C1524" t="str">
        <f>IFERROR(IF(A1524="","",VLOOKUP(A1524,CadProd!$A:$C,3,0)),"")</f>
        <v/>
      </c>
    </row>
    <row r="1525" spans="2:3" x14ac:dyDescent="0.3">
      <c r="B1525" t="str">
        <f>IFERROR(IF(A1525="","",VLOOKUP(A1525,CadProd!$A:$B,2,0)),"")</f>
        <v/>
      </c>
      <c r="C1525" t="str">
        <f>IFERROR(IF(A1525="","",VLOOKUP(A1525,CadProd!$A:$C,3,0)),"")</f>
        <v/>
      </c>
    </row>
    <row r="1526" spans="2:3" x14ac:dyDescent="0.3">
      <c r="B1526" t="str">
        <f>IFERROR(IF(A1526="","",VLOOKUP(A1526,CadProd!$A:$B,2,0)),"")</f>
        <v/>
      </c>
      <c r="C1526" t="str">
        <f>IFERROR(IF(A1526="","",VLOOKUP(A1526,CadProd!$A:$C,3,0)),"")</f>
        <v/>
      </c>
    </row>
    <row r="1527" spans="2:3" x14ac:dyDescent="0.3">
      <c r="B1527" t="str">
        <f>IFERROR(IF(A1527="","",VLOOKUP(A1527,CadProd!$A:$B,2,0)),"")</f>
        <v/>
      </c>
      <c r="C1527" t="str">
        <f>IFERROR(IF(A1527="","",VLOOKUP(A1527,CadProd!$A:$C,3,0)),"")</f>
        <v/>
      </c>
    </row>
    <row r="1528" spans="2:3" x14ac:dyDescent="0.3">
      <c r="B1528" t="str">
        <f>IFERROR(IF(A1528="","",VLOOKUP(A1528,CadProd!$A:$B,2,0)),"")</f>
        <v/>
      </c>
      <c r="C1528" t="str">
        <f>IFERROR(IF(A1528="","",VLOOKUP(A1528,CadProd!$A:$C,3,0)),"")</f>
        <v/>
      </c>
    </row>
    <row r="1529" spans="2:3" x14ac:dyDescent="0.3">
      <c r="B1529" t="str">
        <f>IFERROR(IF(A1529="","",VLOOKUP(A1529,CadProd!$A:$B,2,0)),"")</f>
        <v/>
      </c>
      <c r="C1529" t="str">
        <f>IFERROR(IF(A1529="","",VLOOKUP(A1529,CadProd!$A:$C,3,0)),"")</f>
        <v/>
      </c>
    </row>
    <row r="1530" spans="2:3" x14ac:dyDescent="0.3">
      <c r="B1530" t="str">
        <f>IFERROR(IF(A1530="","",VLOOKUP(A1530,CadProd!$A:$B,2,0)),"")</f>
        <v/>
      </c>
      <c r="C1530" t="str">
        <f>IFERROR(IF(A1530="","",VLOOKUP(A1530,CadProd!$A:$C,3,0)),"")</f>
        <v/>
      </c>
    </row>
    <row r="1531" spans="2:3" x14ac:dyDescent="0.3">
      <c r="B1531" t="str">
        <f>IFERROR(IF(A1531="","",VLOOKUP(A1531,CadProd!$A:$B,2,0)),"")</f>
        <v/>
      </c>
      <c r="C1531" t="str">
        <f>IFERROR(IF(A1531="","",VLOOKUP(A1531,CadProd!$A:$C,3,0)),"")</f>
        <v/>
      </c>
    </row>
    <row r="1532" spans="2:3" x14ac:dyDescent="0.3">
      <c r="B1532" t="str">
        <f>IFERROR(IF(A1532="","",VLOOKUP(A1532,CadProd!$A:$B,2,0)),"")</f>
        <v/>
      </c>
      <c r="C1532" t="str">
        <f>IFERROR(IF(A1532="","",VLOOKUP(A1532,CadProd!$A:$C,3,0)),"")</f>
        <v/>
      </c>
    </row>
    <row r="1533" spans="2:3" x14ac:dyDescent="0.3">
      <c r="B1533" t="str">
        <f>IFERROR(IF(A1533="","",VLOOKUP(A1533,CadProd!$A:$B,2,0)),"")</f>
        <v/>
      </c>
      <c r="C1533" t="str">
        <f>IFERROR(IF(A1533="","",VLOOKUP(A1533,CadProd!$A:$C,3,0)),"")</f>
        <v/>
      </c>
    </row>
    <row r="1534" spans="2:3" x14ac:dyDescent="0.3">
      <c r="B1534" t="str">
        <f>IFERROR(IF(A1534="","",VLOOKUP(A1534,CadProd!$A:$B,2,0)),"")</f>
        <v/>
      </c>
      <c r="C1534" t="str">
        <f>IFERROR(IF(A1534="","",VLOOKUP(A1534,CadProd!$A:$C,3,0)),"")</f>
        <v/>
      </c>
    </row>
    <row r="1535" spans="2:3" x14ac:dyDescent="0.3">
      <c r="B1535" t="str">
        <f>IFERROR(IF(A1535="","",VLOOKUP(A1535,CadProd!$A:$B,2,0)),"")</f>
        <v/>
      </c>
      <c r="C1535" t="str">
        <f>IFERROR(IF(A1535="","",VLOOKUP(A1535,CadProd!$A:$C,3,0)),"")</f>
        <v/>
      </c>
    </row>
    <row r="1536" spans="2:3" x14ac:dyDescent="0.3">
      <c r="B1536" t="str">
        <f>IFERROR(IF(A1536="","",VLOOKUP(A1536,CadProd!$A:$B,2,0)),"")</f>
        <v/>
      </c>
      <c r="C1536" t="str">
        <f>IFERROR(IF(A1536="","",VLOOKUP(A1536,CadProd!$A:$C,3,0)),"")</f>
        <v/>
      </c>
    </row>
    <row r="1537" spans="2:3" x14ac:dyDescent="0.3">
      <c r="B1537" t="str">
        <f>IFERROR(IF(A1537="","",VLOOKUP(A1537,CadProd!$A:$B,2,0)),"")</f>
        <v/>
      </c>
      <c r="C1537" t="str">
        <f>IFERROR(IF(A1537="","",VLOOKUP(A1537,CadProd!$A:$C,3,0)),"")</f>
        <v/>
      </c>
    </row>
    <row r="1538" spans="2:3" x14ac:dyDescent="0.3">
      <c r="B1538" t="str">
        <f>IFERROR(IF(A1538="","",VLOOKUP(A1538,CadProd!$A:$B,2,0)),"")</f>
        <v/>
      </c>
      <c r="C1538" t="str">
        <f>IFERROR(IF(A1538="","",VLOOKUP(A1538,CadProd!$A:$C,3,0)),"")</f>
        <v/>
      </c>
    </row>
    <row r="1539" spans="2:3" x14ac:dyDescent="0.3">
      <c r="B1539" t="str">
        <f>IFERROR(IF(A1539="","",VLOOKUP(A1539,CadProd!$A:$B,2,0)),"")</f>
        <v/>
      </c>
      <c r="C1539" t="str">
        <f>IFERROR(IF(A1539="","",VLOOKUP(A1539,CadProd!$A:$C,3,0)),"")</f>
        <v/>
      </c>
    </row>
    <row r="1540" spans="2:3" x14ac:dyDescent="0.3">
      <c r="B1540" t="str">
        <f>IFERROR(IF(A1540="","",VLOOKUP(A1540,CadProd!$A:$B,2,0)),"")</f>
        <v/>
      </c>
      <c r="C1540" t="str">
        <f>IFERROR(IF(A1540="","",VLOOKUP(A1540,CadProd!$A:$C,3,0)),"")</f>
        <v/>
      </c>
    </row>
    <row r="1541" spans="2:3" x14ac:dyDescent="0.3">
      <c r="B1541" t="str">
        <f>IFERROR(IF(A1541="","",VLOOKUP(A1541,CadProd!$A:$B,2,0)),"")</f>
        <v/>
      </c>
      <c r="C1541" t="str">
        <f>IFERROR(IF(A1541="","",VLOOKUP(A1541,CadProd!$A:$C,3,0)),"")</f>
        <v/>
      </c>
    </row>
    <row r="1542" spans="2:3" x14ac:dyDescent="0.3">
      <c r="B1542" t="str">
        <f>IFERROR(IF(A1542="","",VLOOKUP(A1542,CadProd!$A:$B,2,0)),"")</f>
        <v/>
      </c>
      <c r="C1542" t="str">
        <f>IFERROR(IF(A1542="","",VLOOKUP(A1542,CadProd!$A:$C,3,0)),"")</f>
        <v/>
      </c>
    </row>
    <row r="1543" spans="2:3" x14ac:dyDescent="0.3">
      <c r="B1543" t="str">
        <f>IFERROR(IF(A1543="","",VLOOKUP(A1543,CadProd!$A:$B,2,0)),"")</f>
        <v/>
      </c>
      <c r="C1543" t="str">
        <f>IFERROR(IF(A1543="","",VLOOKUP(A1543,CadProd!$A:$C,3,0)),"")</f>
        <v/>
      </c>
    </row>
    <row r="1544" spans="2:3" x14ac:dyDescent="0.3">
      <c r="B1544" t="str">
        <f>IFERROR(IF(A1544="","",VLOOKUP(A1544,CadProd!$A:$B,2,0)),"")</f>
        <v/>
      </c>
      <c r="C1544" t="str">
        <f>IFERROR(IF(A1544="","",VLOOKUP(A1544,CadProd!$A:$C,3,0)),"")</f>
        <v/>
      </c>
    </row>
    <row r="1545" spans="2:3" x14ac:dyDescent="0.3">
      <c r="B1545" t="str">
        <f>IFERROR(IF(A1545="","",VLOOKUP(A1545,CadProd!$A:$B,2,0)),"")</f>
        <v/>
      </c>
      <c r="C1545" t="str">
        <f>IFERROR(IF(A1545="","",VLOOKUP(A1545,CadProd!$A:$C,3,0)),"")</f>
        <v/>
      </c>
    </row>
    <row r="1546" spans="2:3" x14ac:dyDescent="0.3">
      <c r="B1546" t="str">
        <f>IFERROR(IF(A1546="","",VLOOKUP(A1546,CadProd!$A:$B,2,0)),"")</f>
        <v/>
      </c>
      <c r="C1546" t="str">
        <f>IFERROR(IF(A1546="","",VLOOKUP(A1546,CadProd!$A:$C,3,0)),"")</f>
        <v/>
      </c>
    </row>
    <row r="1547" spans="2:3" x14ac:dyDescent="0.3">
      <c r="B1547" t="str">
        <f>IFERROR(IF(A1547="","",VLOOKUP(A1547,CadProd!$A:$B,2,0)),"")</f>
        <v/>
      </c>
      <c r="C1547" t="str">
        <f>IFERROR(IF(A1547="","",VLOOKUP(A1547,CadProd!$A:$C,3,0)),"")</f>
        <v/>
      </c>
    </row>
    <row r="1548" spans="2:3" x14ac:dyDescent="0.3">
      <c r="B1548" t="str">
        <f>IFERROR(IF(A1548="","",VLOOKUP(A1548,CadProd!$A:$B,2,0)),"")</f>
        <v/>
      </c>
      <c r="C1548" t="str">
        <f>IFERROR(IF(A1548="","",VLOOKUP(A1548,CadProd!$A:$C,3,0)),"")</f>
        <v/>
      </c>
    </row>
    <row r="1549" spans="2:3" x14ac:dyDescent="0.3">
      <c r="B1549" t="str">
        <f>IFERROR(IF(A1549="","",VLOOKUP(A1549,CadProd!$A:$B,2,0)),"")</f>
        <v/>
      </c>
      <c r="C1549" t="str">
        <f>IFERROR(IF(A1549="","",VLOOKUP(A1549,CadProd!$A:$C,3,0)),"")</f>
        <v/>
      </c>
    </row>
    <row r="1550" spans="2:3" x14ac:dyDescent="0.3">
      <c r="B1550" t="str">
        <f>IFERROR(IF(A1550="","",VLOOKUP(A1550,CadProd!$A:$B,2,0)),"")</f>
        <v/>
      </c>
      <c r="C1550" t="str">
        <f>IFERROR(IF(A1550="","",VLOOKUP(A1550,CadProd!$A:$C,3,0)),"")</f>
        <v/>
      </c>
    </row>
    <row r="1551" spans="2:3" x14ac:dyDescent="0.3">
      <c r="B1551" t="str">
        <f>IFERROR(IF(A1551="","",VLOOKUP(A1551,CadProd!$A:$B,2,0)),"")</f>
        <v/>
      </c>
      <c r="C1551" t="str">
        <f>IFERROR(IF(A1551="","",VLOOKUP(A1551,CadProd!$A:$C,3,0)),"")</f>
        <v/>
      </c>
    </row>
    <row r="1552" spans="2:3" x14ac:dyDescent="0.3">
      <c r="B1552" t="str">
        <f>IFERROR(IF(A1552="","",VLOOKUP(A1552,CadProd!$A:$B,2,0)),"")</f>
        <v/>
      </c>
      <c r="C1552" t="str">
        <f>IFERROR(IF(A1552="","",VLOOKUP(A1552,CadProd!$A:$C,3,0)),"")</f>
        <v/>
      </c>
    </row>
    <row r="1553" spans="2:3" x14ac:dyDescent="0.3">
      <c r="B1553" t="str">
        <f>IFERROR(IF(A1553="","",VLOOKUP(A1553,CadProd!$A:$B,2,0)),"")</f>
        <v/>
      </c>
      <c r="C1553" t="str">
        <f>IFERROR(IF(A1553="","",VLOOKUP(A1553,CadProd!$A:$C,3,0)),"")</f>
        <v/>
      </c>
    </row>
    <row r="1554" spans="2:3" x14ac:dyDescent="0.3">
      <c r="B1554" t="str">
        <f>IFERROR(IF(A1554="","",VLOOKUP(A1554,CadProd!$A:$B,2,0)),"")</f>
        <v/>
      </c>
      <c r="C1554" t="str">
        <f>IFERROR(IF(A1554="","",VLOOKUP(A1554,CadProd!$A:$C,3,0)),"")</f>
        <v/>
      </c>
    </row>
    <row r="1555" spans="2:3" x14ac:dyDescent="0.3">
      <c r="B1555" t="str">
        <f>IFERROR(IF(A1555="","",VLOOKUP(A1555,CadProd!$A:$B,2,0)),"")</f>
        <v/>
      </c>
      <c r="C1555" t="str">
        <f>IFERROR(IF(A1555="","",VLOOKUP(A1555,CadProd!$A:$C,3,0)),"")</f>
        <v/>
      </c>
    </row>
    <row r="1556" spans="2:3" x14ac:dyDescent="0.3">
      <c r="B1556" t="str">
        <f>IFERROR(IF(A1556="","",VLOOKUP(A1556,CadProd!$A:$B,2,0)),"")</f>
        <v/>
      </c>
      <c r="C1556" t="str">
        <f>IFERROR(IF(A1556="","",VLOOKUP(A1556,CadProd!$A:$C,3,0)),"")</f>
        <v/>
      </c>
    </row>
    <row r="1557" spans="2:3" x14ac:dyDescent="0.3">
      <c r="B1557" t="str">
        <f>IFERROR(IF(A1557="","",VLOOKUP(A1557,CadProd!$A:$B,2,0)),"")</f>
        <v/>
      </c>
      <c r="C1557" t="str">
        <f>IFERROR(IF(A1557="","",VLOOKUP(A1557,CadProd!$A:$C,3,0)),"")</f>
        <v/>
      </c>
    </row>
    <row r="1558" spans="2:3" x14ac:dyDescent="0.3">
      <c r="B1558" t="str">
        <f>IFERROR(IF(A1558="","",VLOOKUP(A1558,CadProd!$A:$B,2,0)),"")</f>
        <v/>
      </c>
      <c r="C1558" t="str">
        <f>IFERROR(IF(A1558="","",VLOOKUP(A1558,CadProd!$A:$C,3,0)),"")</f>
        <v/>
      </c>
    </row>
    <row r="1559" spans="2:3" x14ac:dyDescent="0.3">
      <c r="B1559" t="str">
        <f>IFERROR(IF(A1559="","",VLOOKUP(A1559,CadProd!$A:$B,2,0)),"")</f>
        <v/>
      </c>
      <c r="C1559" t="str">
        <f>IFERROR(IF(A1559="","",VLOOKUP(A1559,CadProd!$A:$C,3,0)),"")</f>
        <v/>
      </c>
    </row>
    <row r="1560" spans="2:3" x14ac:dyDescent="0.3">
      <c r="B1560" t="str">
        <f>IFERROR(IF(A1560="","",VLOOKUP(A1560,CadProd!$A:$B,2,0)),"")</f>
        <v/>
      </c>
      <c r="C1560" t="str">
        <f>IFERROR(IF(A1560="","",VLOOKUP(A1560,CadProd!$A:$C,3,0)),"")</f>
        <v/>
      </c>
    </row>
    <row r="1561" spans="2:3" x14ac:dyDescent="0.3">
      <c r="B1561" t="str">
        <f>IFERROR(IF(A1561="","",VLOOKUP(A1561,CadProd!$A:$B,2,0)),"")</f>
        <v/>
      </c>
      <c r="C1561" t="str">
        <f>IFERROR(IF(A1561="","",VLOOKUP(A1561,CadProd!$A:$C,3,0)),"")</f>
        <v/>
      </c>
    </row>
    <row r="1562" spans="2:3" x14ac:dyDescent="0.3">
      <c r="B1562" t="str">
        <f>IFERROR(IF(A1562="","",VLOOKUP(A1562,CadProd!$A:$B,2,0)),"")</f>
        <v/>
      </c>
      <c r="C1562" t="str">
        <f>IFERROR(IF(A1562="","",VLOOKUP(A1562,CadProd!$A:$C,3,0)),"")</f>
        <v/>
      </c>
    </row>
    <row r="1563" spans="2:3" x14ac:dyDescent="0.3">
      <c r="B1563" t="str">
        <f>IFERROR(IF(A1563="","",VLOOKUP(A1563,CadProd!$A:$B,2,0)),"")</f>
        <v/>
      </c>
      <c r="C1563" t="str">
        <f>IFERROR(IF(A1563="","",VLOOKUP(A1563,CadProd!$A:$C,3,0)),"")</f>
        <v/>
      </c>
    </row>
    <row r="1564" spans="2:3" x14ac:dyDescent="0.3">
      <c r="B1564" t="str">
        <f>IFERROR(IF(A1564="","",VLOOKUP(A1564,CadProd!$A:$B,2,0)),"")</f>
        <v/>
      </c>
      <c r="C1564" t="str">
        <f>IFERROR(IF(A1564="","",VLOOKUP(A1564,CadProd!$A:$C,3,0)),"")</f>
        <v/>
      </c>
    </row>
    <row r="1565" spans="2:3" x14ac:dyDescent="0.3">
      <c r="B1565" t="str">
        <f>IFERROR(IF(A1565="","",VLOOKUP(A1565,CadProd!$A:$B,2,0)),"")</f>
        <v/>
      </c>
      <c r="C1565" t="str">
        <f>IFERROR(IF(A1565="","",VLOOKUP(A1565,CadProd!$A:$C,3,0)),"")</f>
        <v/>
      </c>
    </row>
    <row r="1566" spans="2:3" x14ac:dyDescent="0.3">
      <c r="B1566" t="str">
        <f>IFERROR(IF(A1566="","",VLOOKUP(A1566,CadProd!$A:$B,2,0)),"")</f>
        <v/>
      </c>
      <c r="C1566" t="str">
        <f>IFERROR(IF(A1566="","",VLOOKUP(A1566,CadProd!$A:$C,3,0)),"")</f>
        <v/>
      </c>
    </row>
    <row r="1567" spans="2:3" x14ac:dyDescent="0.3">
      <c r="B1567" t="str">
        <f>IFERROR(IF(A1567="","",VLOOKUP(A1567,CadProd!$A:$B,2,0)),"")</f>
        <v/>
      </c>
      <c r="C1567" t="str">
        <f>IFERROR(IF(A1567="","",VLOOKUP(A1567,CadProd!$A:$C,3,0)),"")</f>
        <v/>
      </c>
    </row>
    <row r="1568" spans="2:3" x14ac:dyDescent="0.3">
      <c r="B1568" t="str">
        <f>IFERROR(IF(A1568="","",VLOOKUP(A1568,CadProd!$A:$B,2,0)),"")</f>
        <v/>
      </c>
      <c r="C1568" t="str">
        <f>IFERROR(IF(A1568="","",VLOOKUP(A1568,CadProd!$A:$C,3,0)),"")</f>
        <v/>
      </c>
    </row>
    <row r="1569" spans="2:3" x14ac:dyDescent="0.3">
      <c r="B1569" t="str">
        <f>IFERROR(IF(A1569="","",VLOOKUP(A1569,CadProd!$A:$B,2,0)),"")</f>
        <v/>
      </c>
      <c r="C1569" t="str">
        <f>IFERROR(IF(A1569="","",VLOOKUP(A1569,CadProd!$A:$C,3,0)),"")</f>
        <v/>
      </c>
    </row>
    <row r="1570" spans="2:3" x14ac:dyDescent="0.3">
      <c r="B1570" t="str">
        <f>IFERROR(IF(A1570="","",VLOOKUP(A1570,CadProd!$A:$B,2,0)),"")</f>
        <v/>
      </c>
      <c r="C1570" t="str">
        <f>IFERROR(IF(A1570="","",VLOOKUP(A1570,CadProd!$A:$C,3,0)),"")</f>
        <v/>
      </c>
    </row>
    <row r="1571" spans="2:3" x14ac:dyDescent="0.3">
      <c r="B1571" t="str">
        <f>IFERROR(IF(A1571="","",VLOOKUP(A1571,CadProd!$A:$B,2,0)),"")</f>
        <v/>
      </c>
      <c r="C1571" t="str">
        <f>IFERROR(IF(A1571="","",VLOOKUP(A1571,CadProd!$A:$C,3,0)),"")</f>
        <v/>
      </c>
    </row>
    <row r="1572" spans="2:3" x14ac:dyDescent="0.3">
      <c r="B1572" t="str">
        <f>IFERROR(IF(A1572="","",VLOOKUP(A1572,CadProd!$A:$B,2,0)),"")</f>
        <v/>
      </c>
      <c r="C1572" t="str">
        <f>IFERROR(IF(A1572="","",VLOOKUP(A1572,CadProd!$A:$C,3,0)),"")</f>
        <v/>
      </c>
    </row>
    <row r="1573" spans="2:3" x14ac:dyDescent="0.3">
      <c r="B1573" t="str">
        <f>IFERROR(IF(A1573="","",VLOOKUP(A1573,CadProd!$A:$B,2,0)),"")</f>
        <v/>
      </c>
      <c r="C1573" t="str">
        <f>IFERROR(IF(A1573="","",VLOOKUP(A1573,CadProd!$A:$C,3,0)),"")</f>
        <v/>
      </c>
    </row>
    <row r="1574" spans="2:3" x14ac:dyDescent="0.3">
      <c r="B1574" t="str">
        <f>IFERROR(IF(A1574="","",VLOOKUP(A1574,CadProd!$A:$B,2,0)),"")</f>
        <v/>
      </c>
      <c r="C1574" t="str">
        <f>IFERROR(IF(A1574="","",VLOOKUP(A1574,CadProd!$A:$C,3,0)),"")</f>
        <v/>
      </c>
    </row>
    <row r="1575" spans="2:3" x14ac:dyDescent="0.3">
      <c r="B1575" t="str">
        <f>IFERROR(IF(A1575="","",VLOOKUP(A1575,CadProd!$A:$B,2,0)),"")</f>
        <v/>
      </c>
      <c r="C1575" t="str">
        <f>IFERROR(IF(A1575="","",VLOOKUP(A1575,CadProd!$A:$C,3,0)),"")</f>
        <v/>
      </c>
    </row>
    <row r="1576" spans="2:3" x14ac:dyDescent="0.3">
      <c r="B1576" t="str">
        <f>IFERROR(IF(A1576="","",VLOOKUP(A1576,CadProd!$A:$B,2,0)),"")</f>
        <v/>
      </c>
      <c r="C1576" t="str">
        <f>IFERROR(IF(A1576="","",VLOOKUP(A1576,CadProd!$A:$C,3,0)),"")</f>
        <v/>
      </c>
    </row>
    <row r="1577" spans="2:3" x14ac:dyDescent="0.3">
      <c r="B1577" t="str">
        <f>IFERROR(IF(A1577="","",VLOOKUP(A1577,CadProd!$A:$B,2,0)),"")</f>
        <v/>
      </c>
      <c r="C1577" t="str">
        <f>IFERROR(IF(A1577="","",VLOOKUP(A1577,CadProd!$A:$C,3,0)),"")</f>
        <v/>
      </c>
    </row>
    <row r="1578" spans="2:3" x14ac:dyDescent="0.3">
      <c r="B1578" t="str">
        <f>IFERROR(IF(A1578="","",VLOOKUP(A1578,CadProd!$A:$B,2,0)),"")</f>
        <v/>
      </c>
      <c r="C1578" t="str">
        <f>IFERROR(IF(A1578="","",VLOOKUP(A1578,CadProd!$A:$C,3,0)),"")</f>
        <v/>
      </c>
    </row>
    <row r="1579" spans="2:3" x14ac:dyDescent="0.3">
      <c r="B1579" t="str">
        <f>IFERROR(IF(A1579="","",VLOOKUP(A1579,CadProd!$A:$B,2,0)),"")</f>
        <v/>
      </c>
      <c r="C1579" t="str">
        <f>IFERROR(IF(A1579="","",VLOOKUP(A1579,CadProd!$A:$C,3,0)),"")</f>
        <v/>
      </c>
    </row>
    <row r="1580" spans="2:3" x14ac:dyDescent="0.3">
      <c r="B1580" t="str">
        <f>IFERROR(IF(A1580="","",VLOOKUP(A1580,CadProd!$A:$B,2,0)),"")</f>
        <v/>
      </c>
      <c r="C1580" t="str">
        <f>IFERROR(IF(A1580="","",VLOOKUP(A1580,CadProd!$A:$C,3,0)),"")</f>
        <v/>
      </c>
    </row>
    <row r="1581" spans="2:3" x14ac:dyDescent="0.3">
      <c r="B1581" t="str">
        <f>IFERROR(IF(A1581="","",VLOOKUP(A1581,CadProd!$A:$B,2,0)),"")</f>
        <v/>
      </c>
      <c r="C1581" t="str">
        <f>IFERROR(IF(A1581="","",VLOOKUP(A1581,CadProd!$A:$C,3,0)),"")</f>
        <v/>
      </c>
    </row>
    <row r="1582" spans="2:3" x14ac:dyDescent="0.3">
      <c r="B1582" t="str">
        <f>IFERROR(IF(A1582="","",VLOOKUP(A1582,CadProd!$A:$B,2,0)),"")</f>
        <v/>
      </c>
      <c r="C1582" t="str">
        <f>IFERROR(IF(A1582="","",VLOOKUP(A1582,CadProd!$A:$C,3,0)),"")</f>
        <v/>
      </c>
    </row>
    <row r="1583" spans="2:3" x14ac:dyDescent="0.3">
      <c r="B1583" t="str">
        <f>IFERROR(IF(A1583="","",VLOOKUP(A1583,CadProd!$A:$B,2,0)),"")</f>
        <v/>
      </c>
      <c r="C1583" t="str">
        <f>IFERROR(IF(A1583="","",VLOOKUP(A1583,CadProd!$A:$C,3,0)),"")</f>
        <v/>
      </c>
    </row>
    <row r="1584" spans="2:3" x14ac:dyDescent="0.3">
      <c r="B1584" t="str">
        <f>IFERROR(IF(A1584="","",VLOOKUP(A1584,CadProd!$A:$B,2,0)),"")</f>
        <v/>
      </c>
      <c r="C1584" t="str">
        <f>IFERROR(IF(A1584="","",VLOOKUP(A1584,CadProd!$A:$C,3,0)),"")</f>
        <v/>
      </c>
    </row>
    <row r="1585" spans="2:3" x14ac:dyDescent="0.3">
      <c r="B1585" t="str">
        <f>IFERROR(IF(A1585="","",VLOOKUP(A1585,CadProd!$A:$B,2,0)),"")</f>
        <v/>
      </c>
      <c r="C1585" t="str">
        <f>IFERROR(IF(A1585="","",VLOOKUP(A1585,CadProd!$A:$C,3,0)),"")</f>
        <v/>
      </c>
    </row>
    <row r="1586" spans="2:3" x14ac:dyDescent="0.3">
      <c r="B1586" t="str">
        <f>IFERROR(IF(A1586="","",VLOOKUP(A1586,CadProd!$A:$B,2,0)),"")</f>
        <v/>
      </c>
      <c r="C1586" t="str">
        <f>IFERROR(IF(A1586="","",VLOOKUP(A1586,CadProd!$A:$C,3,0)),"")</f>
        <v/>
      </c>
    </row>
    <row r="1587" spans="2:3" x14ac:dyDescent="0.3">
      <c r="B1587" t="str">
        <f>IFERROR(IF(A1587="","",VLOOKUP(A1587,CadProd!$A:$B,2,0)),"")</f>
        <v/>
      </c>
      <c r="C1587" t="str">
        <f>IFERROR(IF(A1587="","",VLOOKUP(A1587,CadProd!$A:$C,3,0)),"")</f>
        <v/>
      </c>
    </row>
    <row r="1588" spans="2:3" x14ac:dyDescent="0.3">
      <c r="B1588" t="str">
        <f>IFERROR(IF(A1588="","",VLOOKUP(A1588,CadProd!$A:$B,2,0)),"")</f>
        <v/>
      </c>
      <c r="C1588" t="str">
        <f>IFERROR(IF(A1588="","",VLOOKUP(A1588,CadProd!$A:$C,3,0)),"")</f>
        <v/>
      </c>
    </row>
    <row r="1589" spans="2:3" x14ac:dyDescent="0.3">
      <c r="B1589" t="str">
        <f>IFERROR(IF(A1589="","",VLOOKUP(A1589,CadProd!$A:$B,2,0)),"")</f>
        <v/>
      </c>
      <c r="C1589" t="str">
        <f>IFERROR(IF(A1589="","",VLOOKUP(A1589,CadProd!$A:$C,3,0)),"")</f>
        <v/>
      </c>
    </row>
    <row r="1590" spans="2:3" x14ac:dyDescent="0.3">
      <c r="B1590" t="str">
        <f>IFERROR(IF(A1590="","",VLOOKUP(A1590,CadProd!$A:$B,2,0)),"")</f>
        <v/>
      </c>
      <c r="C1590" t="str">
        <f>IFERROR(IF(A1590="","",VLOOKUP(A1590,CadProd!$A:$C,3,0)),"")</f>
        <v/>
      </c>
    </row>
    <row r="1591" spans="2:3" x14ac:dyDescent="0.3">
      <c r="B1591" t="str">
        <f>IFERROR(IF(A1591="","",VLOOKUP(A1591,CadProd!$A:$B,2,0)),"")</f>
        <v/>
      </c>
      <c r="C1591" t="str">
        <f>IFERROR(IF(A1591="","",VLOOKUP(A1591,CadProd!$A:$C,3,0)),"")</f>
        <v/>
      </c>
    </row>
    <row r="1592" spans="2:3" x14ac:dyDescent="0.3">
      <c r="B1592" t="str">
        <f>IFERROR(IF(A1592="","",VLOOKUP(A1592,CadProd!$A:$B,2,0)),"")</f>
        <v/>
      </c>
      <c r="C1592" t="str">
        <f>IFERROR(IF(A1592="","",VLOOKUP(A1592,CadProd!$A:$C,3,0)),"")</f>
        <v/>
      </c>
    </row>
    <row r="1593" spans="2:3" x14ac:dyDescent="0.3">
      <c r="B1593" t="str">
        <f>IFERROR(IF(A1593="","",VLOOKUP(A1593,CadProd!$A:$B,2,0)),"")</f>
        <v/>
      </c>
      <c r="C1593" t="str">
        <f>IFERROR(IF(A1593="","",VLOOKUP(A1593,CadProd!$A:$C,3,0)),"")</f>
        <v/>
      </c>
    </row>
    <row r="1594" spans="2:3" x14ac:dyDescent="0.3">
      <c r="B1594" t="str">
        <f>IFERROR(IF(A1594="","",VLOOKUP(A1594,CadProd!$A:$B,2,0)),"")</f>
        <v/>
      </c>
      <c r="C1594" t="str">
        <f>IFERROR(IF(A1594="","",VLOOKUP(A1594,CadProd!$A:$C,3,0)),"")</f>
        <v/>
      </c>
    </row>
    <row r="1595" spans="2:3" x14ac:dyDescent="0.3">
      <c r="B1595" t="str">
        <f>IFERROR(IF(A1595="","",VLOOKUP(A1595,CadProd!$A:$B,2,0)),"")</f>
        <v/>
      </c>
      <c r="C1595" t="str">
        <f>IFERROR(IF(A1595="","",VLOOKUP(A1595,CadProd!$A:$C,3,0)),"")</f>
        <v/>
      </c>
    </row>
    <row r="1596" spans="2:3" x14ac:dyDescent="0.3">
      <c r="B1596" t="str">
        <f>IFERROR(IF(A1596="","",VLOOKUP(A1596,CadProd!$A:$B,2,0)),"")</f>
        <v/>
      </c>
      <c r="C1596" t="str">
        <f>IFERROR(IF(A1596="","",VLOOKUP(A1596,CadProd!$A:$C,3,0)),"")</f>
        <v/>
      </c>
    </row>
    <row r="1597" spans="2:3" x14ac:dyDescent="0.3">
      <c r="B1597" t="str">
        <f>IFERROR(IF(A1597="","",VLOOKUP(A1597,CadProd!$A:$B,2,0)),"")</f>
        <v/>
      </c>
      <c r="C1597" t="str">
        <f>IFERROR(IF(A1597="","",VLOOKUP(A1597,CadProd!$A:$C,3,0)),"")</f>
        <v/>
      </c>
    </row>
    <row r="1598" spans="2:3" x14ac:dyDescent="0.3">
      <c r="B1598" t="str">
        <f>IFERROR(IF(A1598="","",VLOOKUP(A1598,CadProd!$A:$B,2,0)),"")</f>
        <v/>
      </c>
      <c r="C1598" t="str">
        <f>IFERROR(IF(A1598="","",VLOOKUP(A1598,CadProd!$A:$C,3,0)),"")</f>
        <v/>
      </c>
    </row>
    <row r="1599" spans="2:3" x14ac:dyDescent="0.3">
      <c r="B1599" t="str">
        <f>IFERROR(IF(A1599="","",VLOOKUP(A1599,CadProd!$A:$B,2,0)),"")</f>
        <v/>
      </c>
      <c r="C1599" t="str">
        <f>IFERROR(IF(A1599="","",VLOOKUP(A1599,CadProd!$A:$C,3,0)),"")</f>
        <v/>
      </c>
    </row>
    <row r="1600" spans="2:3" x14ac:dyDescent="0.3">
      <c r="B1600" t="str">
        <f>IFERROR(IF(A1600="","",VLOOKUP(A1600,CadProd!$A:$B,2,0)),"")</f>
        <v/>
      </c>
      <c r="C1600" t="str">
        <f>IFERROR(IF(A1600="","",VLOOKUP(A1600,CadProd!$A:$C,3,0)),"")</f>
        <v/>
      </c>
    </row>
    <row r="1601" spans="2:3" x14ac:dyDescent="0.3">
      <c r="B1601" t="str">
        <f>IFERROR(IF(A1601="","",VLOOKUP(A1601,CadProd!$A:$B,2,0)),"")</f>
        <v/>
      </c>
      <c r="C1601" t="str">
        <f>IFERROR(IF(A1601="","",VLOOKUP(A1601,CadProd!$A:$C,3,0)),"")</f>
        <v/>
      </c>
    </row>
    <row r="1602" spans="2:3" x14ac:dyDescent="0.3">
      <c r="B1602" t="str">
        <f>IFERROR(IF(A1602="","",VLOOKUP(A1602,CadProd!$A:$B,2,0)),"")</f>
        <v/>
      </c>
      <c r="C1602" t="str">
        <f>IFERROR(IF(A1602="","",VLOOKUP(A1602,CadProd!$A:$C,3,0)),"")</f>
        <v/>
      </c>
    </row>
    <row r="1603" spans="2:3" x14ac:dyDescent="0.3">
      <c r="B1603" t="str">
        <f>IFERROR(IF(A1603="","",VLOOKUP(A1603,CadProd!$A:$B,2,0)),"")</f>
        <v/>
      </c>
      <c r="C1603" t="str">
        <f>IFERROR(IF(A1603="","",VLOOKUP(A1603,CadProd!$A:$C,3,0)),"")</f>
        <v/>
      </c>
    </row>
    <row r="1604" spans="2:3" x14ac:dyDescent="0.3">
      <c r="B1604" t="str">
        <f>IFERROR(IF(A1604="","",VLOOKUP(A1604,CadProd!$A:$B,2,0)),"")</f>
        <v/>
      </c>
      <c r="C1604" t="str">
        <f>IFERROR(IF(A1604="","",VLOOKUP(A1604,CadProd!$A:$C,3,0)),"")</f>
        <v/>
      </c>
    </row>
    <row r="1605" spans="2:3" x14ac:dyDescent="0.3">
      <c r="B1605" t="str">
        <f>IFERROR(IF(A1605="","",VLOOKUP(A1605,CadProd!$A:$B,2,0)),"")</f>
        <v/>
      </c>
      <c r="C1605" t="str">
        <f>IFERROR(IF(A1605="","",VLOOKUP(A1605,CadProd!$A:$C,3,0)),"")</f>
        <v/>
      </c>
    </row>
    <row r="1606" spans="2:3" x14ac:dyDescent="0.3">
      <c r="B1606" t="str">
        <f>IFERROR(IF(A1606="","",VLOOKUP(A1606,CadProd!$A:$B,2,0)),"")</f>
        <v/>
      </c>
      <c r="C1606" t="str">
        <f>IFERROR(IF(A1606="","",VLOOKUP(A1606,CadProd!$A:$C,3,0)),"")</f>
        <v/>
      </c>
    </row>
    <row r="1607" spans="2:3" x14ac:dyDescent="0.3">
      <c r="B1607" t="str">
        <f>IFERROR(IF(A1607="","",VLOOKUP(A1607,CadProd!$A:$B,2,0)),"")</f>
        <v/>
      </c>
      <c r="C1607" t="str">
        <f>IFERROR(IF(A1607="","",VLOOKUP(A1607,CadProd!$A:$C,3,0)),"")</f>
        <v/>
      </c>
    </row>
    <row r="1608" spans="2:3" x14ac:dyDescent="0.3">
      <c r="B1608" t="str">
        <f>IFERROR(IF(A1608="","",VLOOKUP(A1608,CadProd!$A:$B,2,0)),"")</f>
        <v/>
      </c>
      <c r="C1608" t="str">
        <f>IFERROR(IF(A1608="","",VLOOKUP(A1608,CadProd!$A:$C,3,0)),"")</f>
        <v/>
      </c>
    </row>
    <row r="1609" spans="2:3" x14ac:dyDescent="0.3">
      <c r="B1609" t="str">
        <f>IFERROR(IF(A1609="","",VLOOKUP(A1609,CadProd!$A:$B,2,0)),"")</f>
        <v/>
      </c>
      <c r="C1609" t="str">
        <f>IFERROR(IF(A1609="","",VLOOKUP(A1609,CadProd!$A:$C,3,0)),"")</f>
        <v/>
      </c>
    </row>
    <row r="1610" spans="2:3" x14ac:dyDescent="0.3">
      <c r="B1610" t="str">
        <f>IFERROR(IF(A1610="","",VLOOKUP(A1610,CadProd!$A:$B,2,0)),"")</f>
        <v/>
      </c>
      <c r="C1610" t="str">
        <f>IFERROR(IF(A1610="","",VLOOKUP(A1610,CadProd!$A:$C,3,0)),"")</f>
        <v/>
      </c>
    </row>
    <row r="1611" spans="2:3" x14ac:dyDescent="0.3">
      <c r="B1611" t="str">
        <f>IFERROR(IF(A1611="","",VLOOKUP(A1611,CadProd!$A:$B,2,0)),"")</f>
        <v/>
      </c>
      <c r="C1611" t="str">
        <f>IFERROR(IF(A1611="","",VLOOKUP(A1611,CadProd!$A:$C,3,0)),"")</f>
        <v/>
      </c>
    </row>
    <row r="1612" spans="2:3" x14ac:dyDescent="0.3">
      <c r="B1612" t="str">
        <f>IFERROR(IF(A1612="","",VLOOKUP(A1612,CadProd!$A:$B,2,0)),"")</f>
        <v/>
      </c>
      <c r="C1612" t="str">
        <f>IFERROR(IF(A1612="","",VLOOKUP(A1612,CadProd!$A:$C,3,0)),"")</f>
        <v/>
      </c>
    </row>
    <row r="1613" spans="2:3" x14ac:dyDescent="0.3">
      <c r="B1613" t="str">
        <f>IFERROR(IF(A1613="","",VLOOKUP(A1613,CadProd!$A:$B,2,0)),"")</f>
        <v/>
      </c>
      <c r="C1613" t="str">
        <f>IFERROR(IF(A1613="","",VLOOKUP(A1613,CadProd!$A:$C,3,0)),"")</f>
        <v/>
      </c>
    </row>
    <row r="1614" spans="2:3" x14ac:dyDescent="0.3">
      <c r="B1614" t="str">
        <f>IFERROR(IF(A1614="","",VLOOKUP(A1614,CadProd!$A:$B,2,0)),"")</f>
        <v/>
      </c>
      <c r="C1614" t="str">
        <f>IFERROR(IF(A1614="","",VLOOKUP(A1614,CadProd!$A:$C,3,0)),"")</f>
        <v/>
      </c>
    </row>
    <row r="1615" spans="2:3" x14ac:dyDescent="0.3">
      <c r="B1615" t="str">
        <f>IFERROR(IF(A1615="","",VLOOKUP(A1615,CadProd!$A:$B,2,0)),"")</f>
        <v/>
      </c>
      <c r="C1615" t="str">
        <f>IFERROR(IF(A1615="","",VLOOKUP(A1615,CadProd!$A:$C,3,0)),"")</f>
        <v/>
      </c>
    </row>
    <row r="1616" spans="2:3" x14ac:dyDescent="0.3">
      <c r="B1616" t="str">
        <f>IFERROR(IF(A1616="","",VLOOKUP(A1616,CadProd!$A:$B,2,0)),"")</f>
        <v/>
      </c>
      <c r="C1616" t="str">
        <f>IFERROR(IF(A1616="","",VLOOKUP(A1616,CadProd!$A:$C,3,0)),"")</f>
        <v/>
      </c>
    </row>
    <row r="1617" spans="2:3" x14ac:dyDescent="0.3">
      <c r="B1617" t="str">
        <f>IFERROR(IF(A1617="","",VLOOKUP(A1617,CadProd!$A:$B,2,0)),"")</f>
        <v/>
      </c>
      <c r="C1617" t="str">
        <f>IFERROR(IF(A1617="","",VLOOKUP(A1617,CadProd!$A:$C,3,0)),"")</f>
        <v/>
      </c>
    </row>
    <row r="1618" spans="2:3" x14ac:dyDescent="0.3">
      <c r="B1618" t="str">
        <f>IFERROR(IF(A1618="","",VLOOKUP(A1618,CadProd!$A:$B,2,0)),"")</f>
        <v/>
      </c>
      <c r="C1618" t="str">
        <f>IFERROR(IF(A1618="","",VLOOKUP(A1618,CadProd!$A:$C,3,0)),"")</f>
        <v/>
      </c>
    </row>
    <row r="1619" spans="2:3" x14ac:dyDescent="0.3">
      <c r="B1619" t="str">
        <f>IFERROR(IF(A1619="","",VLOOKUP(A1619,CadProd!$A:$B,2,0)),"")</f>
        <v/>
      </c>
      <c r="C1619" t="str">
        <f>IFERROR(IF(A1619="","",VLOOKUP(A1619,CadProd!$A:$C,3,0)),"")</f>
        <v/>
      </c>
    </row>
    <row r="1620" spans="2:3" x14ac:dyDescent="0.3">
      <c r="B1620" t="str">
        <f>IFERROR(IF(A1620="","",VLOOKUP(A1620,CadProd!$A:$B,2,0)),"")</f>
        <v/>
      </c>
      <c r="C1620" t="str">
        <f>IFERROR(IF(A1620="","",VLOOKUP(A1620,CadProd!$A:$C,3,0)),"")</f>
        <v/>
      </c>
    </row>
    <row r="1621" spans="2:3" x14ac:dyDescent="0.3">
      <c r="B1621" t="str">
        <f>IFERROR(IF(A1621="","",VLOOKUP(A1621,CadProd!$A:$B,2,0)),"")</f>
        <v/>
      </c>
      <c r="C1621" t="str">
        <f>IFERROR(IF(A1621="","",VLOOKUP(A1621,CadProd!$A:$C,3,0)),"")</f>
        <v/>
      </c>
    </row>
    <row r="1622" spans="2:3" x14ac:dyDescent="0.3">
      <c r="B1622" t="str">
        <f>IFERROR(IF(A1622="","",VLOOKUP(A1622,CadProd!$A:$B,2,0)),"")</f>
        <v/>
      </c>
      <c r="C1622" t="str">
        <f>IFERROR(IF(A1622="","",VLOOKUP(A1622,CadProd!$A:$C,3,0)),"")</f>
        <v/>
      </c>
    </row>
    <row r="1623" spans="2:3" x14ac:dyDescent="0.3">
      <c r="B1623" t="str">
        <f>IFERROR(IF(A1623="","",VLOOKUP(A1623,CadProd!$A:$B,2,0)),"")</f>
        <v/>
      </c>
      <c r="C1623" t="str">
        <f>IFERROR(IF(A1623="","",VLOOKUP(A1623,CadProd!$A:$C,3,0)),"")</f>
        <v/>
      </c>
    </row>
    <row r="1624" spans="2:3" x14ac:dyDescent="0.3">
      <c r="B1624" t="str">
        <f>IFERROR(IF(A1624="","",VLOOKUP(A1624,CadProd!$A:$B,2,0)),"")</f>
        <v/>
      </c>
      <c r="C1624" t="str">
        <f>IFERROR(IF(A1624="","",VLOOKUP(A1624,CadProd!$A:$C,3,0)),"")</f>
        <v/>
      </c>
    </row>
    <row r="1625" spans="2:3" x14ac:dyDescent="0.3">
      <c r="B1625" t="str">
        <f>IFERROR(IF(A1625="","",VLOOKUP(A1625,CadProd!$A:$B,2,0)),"")</f>
        <v/>
      </c>
      <c r="C1625" t="str">
        <f>IFERROR(IF(A1625="","",VLOOKUP(A1625,CadProd!$A:$C,3,0)),"")</f>
        <v/>
      </c>
    </row>
    <row r="1626" spans="2:3" x14ac:dyDescent="0.3">
      <c r="B1626" t="str">
        <f>IFERROR(IF(A1626="","",VLOOKUP(A1626,CadProd!$A:$B,2,0)),"")</f>
        <v/>
      </c>
      <c r="C1626" t="str">
        <f>IFERROR(IF(A1626="","",VLOOKUP(A1626,CadProd!$A:$C,3,0)),"")</f>
        <v/>
      </c>
    </row>
    <row r="1627" spans="2:3" x14ac:dyDescent="0.3">
      <c r="B1627" t="str">
        <f>IFERROR(IF(A1627="","",VLOOKUP(A1627,CadProd!$A:$B,2,0)),"")</f>
        <v/>
      </c>
      <c r="C1627" t="str">
        <f>IFERROR(IF(A1627="","",VLOOKUP(A1627,CadProd!$A:$C,3,0)),"")</f>
        <v/>
      </c>
    </row>
    <row r="1628" spans="2:3" x14ac:dyDescent="0.3">
      <c r="B1628" t="str">
        <f>IFERROR(IF(A1628="","",VLOOKUP(A1628,CadProd!$A:$B,2,0)),"")</f>
        <v/>
      </c>
      <c r="C1628" t="str">
        <f>IFERROR(IF(A1628="","",VLOOKUP(A1628,CadProd!$A:$C,3,0)),"")</f>
        <v/>
      </c>
    </row>
    <row r="1629" spans="2:3" x14ac:dyDescent="0.3">
      <c r="B1629" t="str">
        <f>IFERROR(IF(A1629="","",VLOOKUP(A1629,CadProd!$A:$B,2,0)),"")</f>
        <v/>
      </c>
      <c r="C1629" t="str">
        <f>IFERROR(IF(A1629="","",VLOOKUP(A1629,CadProd!$A:$C,3,0)),"")</f>
        <v/>
      </c>
    </row>
    <row r="1630" spans="2:3" x14ac:dyDescent="0.3">
      <c r="B1630" t="str">
        <f>IFERROR(IF(A1630="","",VLOOKUP(A1630,CadProd!$A:$B,2,0)),"")</f>
        <v/>
      </c>
      <c r="C1630" t="str">
        <f>IFERROR(IF(A1630="","",VLOOKUP(A1630,CadProd!$A:$C,3,0)),"")</f>
        <v/>
      </c>
    </row>
    <row r="1631" spans="2:3" x14ac:dyDescent="0.3">
      <c r="B1631" t="str">
        <f>IFERROR(IF(A1631="","",VLOOKUP(A1631,CadProd!$A:$B,2,0)),"")</f>
        <v/>
      </c>
      <c r="C1631" t="str">
        <f>IFERROR(IF(A1631="","",VLOOKUP(A1631,CadProd!$A:$C,3,0)),"")</f>
        <v/>
      </c>
    </row>
    <row r="1632" spans="2:3" x14ac:dyDescent="0.3">
      <c r="B1632" t="str">
        <f>IFERROR(IF(A1632="","",VLOOKUP(A1632,CadProd!$A:$B,2,0)),"")</f>
        <v/>
      </c>
      <c r="C1632" t="str">
        <f>IFERROR(IF(A1632="","",VLOOKUP(A1632,CadProd!$A:$C,3,0)),"")</f>
        <v/>
      </c>
    </row>
    <row r="1633" spans="2:3" x14ac:dyDescent="0.3">
      <c r="B1633" t="str">
        <f>IFERROR(IF(A1633="","",VLOOKUP(A1633,CadProd!$A:$B,2,0)),"")</f>
        <v/>
      </c>
      <c r="C1633" t="str">
        <f>IFERROR(IF(A1633="","",VLOOKUP(A1633,CadProd!$A:$C,3,0)),"")</f>
        <v/>
      </c>
    </row>
    <row r="1634" spans="2:3" x14ac:dyDescent="0.3">
      <c r="B1634" t="str">
        <f>IFERROR(IF(A1634="","",VLOOKUP(A1634,CadProd!$A:$B,2,0)),"")</f>
        <v/>
      </c>
      <c r="C1634" t="str">
        <f>IFERROR(IF(A1634="","",VLOOKUP(A1634,CadProd!$A:$C,3,0)),"")</f>
        <v/>
      </c>
    </row>
    <row r="1635" spans="2:3" x14ac:dyDescent="0.3">
      <c r="B1635" t="str">
        <f>IFERROR(IF(A1635="","",VLOOKUP(A1635,CadProd!$A:$B,2,0)),"")</f>
        <v/>
      </c>
      <c r="C1635" t="str">
        <f>IFERROR(IF(A1635="","",VLOOKUP(A1635,CadProd!$A:$C,3,0)),"")</f>
        <v/>
      </c>
    </row>
    <row r="1636" spans="2:3" x14ac:dyDescent="0.3">
      <c r="B1636" t="str">
        <f>IFERROR(IF(A1636="","",VLOOKUP(A1636,CadProd!$A:$B,2,0)),"")</f>
        <v/>
      </c>
      <c r="C1636" t="str">
        <f>IFERROR(IF(A1636="","",VLOOKUP(A1636,CadProd!$A:$C,3,0)),"")</f>
        <v/>
      </c>
    </row>
    <row r="1637" spans="2:3" x14ac:dyDescent="0.3">
      <c r="B1637" t="str">
        <f>IFERROR(IF(A1637="","",VLOOKUP(A1637,CadProd!$A:$B,2,0)),"")</f>
        <v/>
      </c>
      <c r="C1637" t="str">
        <f>IFERROR(IF(A1637="","",VLOOKUP(A1637,CadProd!$A:$C,3,0)),"")</f>
        <v/>
      </c>
    </row>
    <row r="1638" spans="2:3" x14ac:dyDescent="0.3">
      <c r="B1638" t="str">
        <f>IFERROR(IF(A1638="","",VLOOKUP(A1638,CadProd!$A:$B,2,0)),"")</f>
        <v/>
      </c>
      <c r="C1638" t="str">
        <f>IFERROR(IF(A1638="","",VLOOKUP(A1638,CadProd!$A:$C,3,0)),"")</f>
        <v/>
      </c>
    </row>
    <row r="1639" spans="2:3" x14ac:dyDescent="0.3">
      <c r="B1639" t="str">
        <f>IFERROR(IF(A1639="","",VLOOKUP(A1639,CadProd!$A:$B,2,0)),"")</f>
        <v/>
      </c>
      <c r="C1639" t="str">
        <f>IFERROR(IF(A1639="","",VLOOKUP(A1639,CadProd!$A:$C,3,0)),"")</f>
        <v/>
      </c>
    </row>
    <row r="1640" spans="2:3" x14ac:dyDescent="0.3">
      <c r="B1640" t="str">
        <f>IFERROR(IF(A1640="","",VLOOKUP(A1640,CadProd!$A:$B,2,0)),"")</f>
        <v/>
      </c>
      <c r="C1640" t="str">
        <f>IFERROR(IF(A1640="","",VLOOKUP(A1640,CadProd!$A:$C,3,0)),"")</f>
        <v/>
      </c>
    </row>
    <row r="1641" spans="2:3" x14ac:dyDescent="0.3">
      <c r="B1641" t="str">
        <f>IFERROR(IF(A1641="","",VLOOKUP(A1641,CadProd!$A:$B,2,0)),"")</f>
        <v/>
      </c>
      <c r="C1641" t="str">
        <f>IFERROR(IF(A1641="","",VLOOKUP(A1641,CadProd!$A:$C,3,0)),"")</f>
        <v/>
      </c>
    </row>
    <row r="1642" spans="2:3" x14ac:dyDescent="0.3">
      <c r="B1642" t="str">
        <f>IFERROR(IF(A1642="","",VLOOKUP(A1642,CadProd!$A:$B,2,0)),"")</f>
        <v/>
      </c>
      <c r="C1642" t="str">
        <f>IFERROR(IF(A1642="","",VLOOKUP(A1642,CadProd!$A:$C,3,0)),"")</f>
        <v/>
      </c>
    </row>
    <row r="1643" spans="2:3" x14ac:dyDescent="0.3">
      <c r="B1643" t="str">
        <f>IFERROR(IF(A1643="","",VLOOKUP(A1643,CadProd!$A:$B,2,0)),"")</f>
        <v/>
      </c>
      <c r="C1643" t="str">
        <f>IFERROR(IF(A1643="","",VLOOKUP(A1643,CadProd!$A:$C,3,0)),"")</f>
        <v/>
      </c>
    </row>
    <row r="1644" spans="2:3" x14ac:dyDescent="0.3">
      <c r="B1644" t="str">
        <f>IFERROR(IF(A1644="","",VLOOKUP(A1644,CadProd!$A:$B,2,0)),"")</f>
        <v/>
      </c>
      <c r="C1644" t="str">
        <f>IFERROR(IF(A1644="","",VLOOKUP(A1644,CadProd!$A:$C,3,0)),"")</f>
        <v/>
      </c>
    </row>
    <row r="1645" spans="2:3" x14ac:dyDescent="0.3">
      <c r="B1645" t="str">
        <f>IFERROR(IF(A1645="","",VLOOKUP(A1645,CadProd!$A:$B,2,0)),"")</f>
        <v/>
      </c>
      <c r="C1645" t="str">
        <f>IFERROR(IF(A1645="","",VLOOKUP(A1645,CadProd!$A:$C,3,0)),"")</f>
        <v/>
      </c>
    </row>
    <row r="1646" spans="2:3" x14ac:dyDescent="0.3">
      <c r="B1646" t="str">
        <f>IFERROR(IF(A1646="","",VLOOKUP(A1646,CadProd!$A:$B,2,0)),"")</f>
        <v/>
      </c>
      <c r="C1646" t="str">
        <f>IFERROR(IF(A1646="","",VLOOKUP(A1646,CadProd!$A:$C,3,0)),"")</f>
        <v/>
      </c>
    </row>
    <row r="1647" spans="2:3" x14ac:dyDescent="0.3">
      <c r="B1647" t="str">
        <f>IFERROR(IF(A1647="","",VLOOKUP(A1647,CadProd!$A:$B,2,0)),"")</f>
        <v/>
      </c>
      <c r="C1647" t="str">
        <f>IFERROR(IF(A1647="","",VLOOKUP(A1647,CadProd!$A:$C,3,0)),"")</f>
        <v/>
      </c>
    </row>
    <row r="1648" spans="2:3" x14ac:dyDescent="0.3">
      <c r="B1648" t="str">
        <f>IFERROR(IF(A1648="","",VLOOKUP(A1648,CadProd!$A:$B,2,0)),"")</f>
        <v/>
      </c>
      <c r="C1648" t="str">
        <f>IFERROR(IF(A1648="","",VLOOKUP(A1648,CadProd!$A:$C,3,0)),"")</f>
        <v/>
      </c>
    </row>
    <row r="1649" spans="2:3" x14ac:dyDescent="0.3">
      <c r="B1649" t="str">
        <f>IFERROR(IF(A1649="","",VLOOKUP(A1649,CadProd!$A:$B,2,0)),"")</f>
        <v/>
      </c>
      <c r="C1649" t="str">
        <f>IFERROR(IF(A1649="","",VLOOKUP(A1649,CadProd!$A:$C,3,0)),"")</f>
        <v/>
      </c>
    </row>
    <row r="1650" spans="2:3" x14ac:dyDescent="0.3">
      <c r="B1650" t="str">
        <f>IFERROR(IF(A1650="","",VLOOKUP(A1650,CadProd!$A:$B,2,0)),"")</f>
        <v/>
      </c>
      <c r="C1650" t="str">
        <f>IFERROR(IF(A1650="","",VLOOKUP(A1650,CadProd!$A:$C,3,0)),"")</f>
        <v/>
      </c>
    </row>
    <row r="1651" spans="2:3" x14ac:dyDescent="0.3">
      <c r="B1651" t="str">
        <f>IFERROR(IF(A1651="","",VLOOKUP(A1651,CadProd!$A:$B,2,0)),"")</f>
        <v/>
      </c>
      <c r="C1651" t="str">
        <f>IFERROR(IF(A1651="","",VLOOKUP(A1651,CadProd!$A:$C,3,0)),"")</f>
        <v/>
      </c>
    </row>
    <row r="1652" spans="2:3" x14ac:dyDescent="0.3">
      <c r="B1652" t="str">
        <f>IFERROR(IF(A1652="","",VLOOKUP(A1652,CadProd!$A:$B,2,0)),"")</f>
        <v/>
      </c>
      <c r="C1652" t="str">
        <f>IFERROR(IF(A1652="","",VLOOKUP(A1652,CadProd!$A:$C,3,0)),"")</f>
        <v/>
      </c>
    </row>
    <row r="1653" spans="2:3" x14ac:dyDescent="0.3">
      <c r="B1653" t="str">
        <f>IFERROR(IF(A1653="","",VLOOKUP(A1653,CadProd!$A:$B,2,0)),"")</f>
        <v/>
      </c>
      <c r="C1653" t="str">
        <f>IFERROR(IF(A1653="","",VLOOKUP(A1653,CadProd!$A:$C,3,0)),"")</f>
        <v/>
      </c>
    </row>
    <row r="1654" spans="2:3" x14ac:dyDescent="0.3">
      <c r="B1654" t="str">
        <f>IFERROR(IF(A1654="","",VLOOKUP(A1654,CadProd!$A:$B,2,0)),"")</f>
        <v/>
      </c>
      <c r="C1654" t="str">
        <f>IFERROR(IF(A1654="","",VLOOKUP(A1654,CadProd!$A:$C,3,0)),"")</f>
        <v/>
      </c>
    </row>
    <row r="1655" spans="2:3" x14ac:dyDescent="0.3">
      <c r="B1655" t="str">
        <f>IFERROR(IF(A1655="","",VLOOKUP(A1655,CadProd!$A:$B,2,0)),"")</f>
        <v/>
      </c>
      <c r="C1655" t="str">
        <f>IFERROR(IF(A1655="","",VLOOKUP(A1655,CadProd!$A:$C,3,0)),"")</f>
        <v/>
      </c>
    </row>
    <row r="1656" spans="2:3" x14ac:dyDescent="0.3">
      <c r="B1656" t="str">
        <f>IFERROR(IF(A1656="","",VLOOKUP(A1656,CadProd!$A:$B,2,0)),"")</f>
        <v/>
      </c>
      <c r="C1656" t="str">
        <f>IFERROR(IF(A1656="","",VLOOKUP(A1656,CadProd!$A:$C,3,0)),"")</f>
        <v/>
      </c>
    </row>
    <row r="1657" spans="2:3" x14ac:dyDescent="0.3">
      <c r="B1657" t="str">
        <f>IFERROR(IF(A1657="","",VLOOKUP(A1657,CadProd!$A:$B,2,0)),"")</f>
        <v/>
      </c>
      <c r="C1657" t="str">
        <f>IFERROR(IF(A1657="","",VLOOKUP(A1657,CadProd!$A:$C,3,0)),"")</f>
        <v/>
      </c>
    </row>
    <row r="1658" spans="2:3" x14ac:dyDescent="0.3">
      <c r="B1658" t="str">
        <f>IFERROR(IF(A1658="","",VLOOKUP(A1658,CadProd!$A:$B,2,0)),"")</f>
        <v/>
      </c>
      <c r="C1658" t="str">
        <f>IFERROR(IF(A1658="","",VLOOKUP(A1658,CadProd!$A:$C,3,0)),"")</f>
        <v/>
      </c>
    </row>
    <row r="1659" spans="2:3" x14ac:dyDescent="0.3">
      <c r="B1659" t="str">
        <f>IFERROR(IF(A1659="","",VLOOKUP(A1659,CadProd!$A:$B,2,0)),"")</f>
        <v/>
      </c>
      <c r="C1659" t="str">
        <f>IFERROR(IF(A1659="","",VLOOKUP(A1659,CadProd!$A:$C,3,0)),"")</f>
        <v/>
      </c>
    </row>
    <row r="1660" spans="2:3" x14ac:dyDescent="0.3">
      <c r="B1660" t="str">
        <f>IFERROR(IF(A1660="","",VLOOKUP(A1660,CadProd!$A:$B,2,0)),"")</f>
        <v/>
      </c>
      <c r="C1660" t="str">
        <f>IFERROR(IF(A1660="","",VLOOKUP(A1660,CadProd!$A:$C,3,0)),"")</f>
        <v/>
      </c>
    </row>
    <row r="1661" spans="2:3" x14ac:dyDescent="0.3">
      <c r="B1661" t="str">
        <f>IFERROR(IF(A1661="","",VLOOKUP(A1661,CadProd!$A:$B,2,0)),"")</f>
        <v/>
      </c>
      <c r="C1661" t="str">
        <f>IFERROR(IF(A1661="","",VLOOKUP(A1661,CadProd!$A:$C,3,0)),"")</f>
        <v/>
      </c>
    </row>
    <row r="1662" spans="2:3" x14ac:dyDescent="0.3">
      <c r="B1662" t="str">
        <f>IFERROR(IF(A1662="","",VLOOKUP(A1662,CadProd!$A:$B,2,0)),"")</f>
        <v/>
      </c>
      <c r="C1662" t="str">
        <f>IFERROR(IF(A1662="","",VLOOKUP(A1662,CadProd!$A:$C,3,0)),"")</f>
        <v/>
      </c>
    </row>
    <row r="1663" spans="2:3" x14ac:dyDescent="0.3">
      <c r="B1663" t="str">
        <f>IFERROR(IF(A1663="","",VLOOKUP(A1663,CadProd!$A:$B,2,0)),"")</f>
        <v/>
      </c>
      <c r="C1663" t="str">
        <f>IFERROR(IF(A1663="","",VLOOKUP(A1663,CadProd!$A:$C,3,0)),"")</f>
        <v/>
      </c>
    </row>
    <row r="1664" spans="2:3" x14ac:dyDescent="0.3">
      <c r="B1664" t="str">
        <f>IFERROR(IF(A1664="","",VLOOKUP(A1664,CadProd!$A:$B,2,0)),"")</f>
        <v/>
      </c>
      <c r="C1664" t="str">
        <f>IFERROR(IF(A1664="","",VLOOKUP(A1664,CadProd!$A:$C,3,0)),"")</f>
        <v/>
      </c>
    </row>
    <row r="1665" spans="2:3" x14ac:dyDescent="0.3">
      <c r="B1665" t="str">
        <f>IFERROR(IF(A1665="","",VLOOKUP(A1665,CadProd!$A:$B,2,0)),"")</f>
        <v/>
      </c>
      <c r="C1665" t="str">
        <f>IFERROR(IF(A1665="","",VLOOKUP(A1665,CadProd!$A:$C,3,0)),"")</f>
        <v/>
      </c>
    </row>
    <row r="1666" spans="2:3" x14ac:dyDescent="0.3">
      <c r="B1666" t="str">
        <f>IFERROR(IF(A1666="","",VLOOKUP(A1666,CadProd!$A:$B,2,0)),"")</f>
        <v/>
      </c>
      <c r="C1666" t="str">
        <f>IFERROR(IF(A1666="","",VLOOKUP(A1666,CadProd!$A:$C,3,0)),"")</f>
        <v/>
      </c>
    </row>
    <row r="1667" spans="2:3" x14ac:dyDescent="0.3">
      <c r="B1667" t="str">
        <f>IFERROR(IF(A1667="","",VLOOKUP(A1667,CadProd!$A:$B,2,0)),"")</f>
        <v/>
      </c>
      <c r="C1667" t="str">
        <f>IFERROR(IF(A1667="","",VLOOKUP(A1667,CadProd!$A:$C,3,0)),"")</f>
        <v/>
      </c>
    </row>
    <row r="1668" spans="2:3" x14ac:dyDescent="0.3">
      <c r="B1668" t="str">
        <f>IFERROR(IF(A1668="","",VLOOKUP(A1668,CadProd!$A:$B,2,0)),"")</f>
        <v/>
      </c>
      <c r="C1668" t="str">
        <f>IFERROR(IF(A1668="","",VLOOKUP(A1668,CadProd!$A:$C,3,0)),"")</f>
        <v/>
      </c>
    </row>
    <row r="1669" spans="2:3" x14ac:dyDescent="0.3">
      <c r="B1669" t="str">
        <f>IFERROR(IF(A1669="","",VLOOKUP(A1669,CadProd!$A:$B,2,0)),"")</f>
        <v/>
      </c>
      <c r="C1669" t="str">
        <f>IFERROR(IF(A1669="","",VLOOKUP(A1669,CadProd!$A:$C,3,0)),"")</f>
        <v/>
      </c>
    </row>
    <row r="1670" spans="2:3" x14ac:dyDescent="0.3">
      <c r="B1670" t="str">
        <f>IFERROR(IF(A1670="","",VLOOKUP(A1670,CadProd!$A:$B,2,0)),"")</f>
        <v/>
      </c>
      <c r="C1670" t="str">
        <f>IFERROR(IF(A1670="","",VLOOKUP(A1670,CadProd!$A:$C,3,0)),"")</f>
        <v/>
      </c>
    </row>
    <row r="1671" spans="2:3" x14ac:dyDescent="0.3">
      <c r="B1671" t="str">
        <f>IFERROR(IF(A1671="","",VLOOKUP(A1671,CadProd!$A:$B,2,0)),"")</f>
        <v/>
      </c>
      <c r="C1671" t="str">
        <f>IFERROR(IF(A1671="","",VLOOKUP(A1671,CadProd!$A:$C,3,0)),"")</f>
        <v/>
      </c>
    </row>
    <row r="1672" spans="2:3" x14ac:dyDescent="0.3">
      <c r="B1672" t="str">
        <f>IFERROR(IF(A1672="","",VLOOKUP(A1672,CadProd!$A:$B,2,0)),"")</f>
        <v/>
      </c>
      <c r="C1672" t="str">
        <f>IFERROR(IF(A1672="","",VLOOKUP(A1672,CadProd!$A:$C,3,0)),"")</f>
        <v/>
      </c>
    </row>
    <row r="1673" spans="2:3" x14ac:dyDescent="0.3">
      <c r="B1673" t="str">
        <f>IFERROR(IF(A1673="","",VLOOKUP(A1673,CadProd!$A:$B,2,0)),"")</f>
        <v/>
      </c>
      <c r="C1673" t="str">
        <f>IFERROR(IF(A1673="","",VLOOKUP(A1673,CadProd!$A:$C,3,0)),"")</f>
        <v/>
      </c>
    </row>
    <row r="1674" spans="2:3" x14ac:dyDescent="0.3">
      <c r="B1674" t="str">
        <f>IFERROR(IF(A1674="","",VLOOKUP(A1674,CadProd!$A:$B,2,0)),"")</f>
        <v/>
      </c>
      <c r="C1674" t="str">
        <f>IFERROR(IF(A1674="","",VLOOKUP(A1674,CadProd!$A:$C,3,0)),"")</f>
        <v/>
      </c>
    </row>
    <row r="1675" spans="2:3" x14ac:dyDescent="0.3">
      <c r="B1675" t="str">
        <f>IFERROR(IF(A1675="","",VLOOKUP(A1675,CadProd!$A:$B,2,0)),"")</f>
        <v/>
      </c>
      <c r="C1675" t="str">
        <f>IFERROR(IF(A1675="","",VLOOKUP(A1675,CadProd!$A:$C,3,0)),"")</f>
        <v/>
      </c>
    </row>
    <row r="1676" spans="2:3" x14ac:dyDescent="0.3">
      <c r="B1676" t="str">
        <f>IFERROR(IF(A1676="","",VLOOKUP(A1676,CadProd!$A:$B,2,0)),"")</f>
        <v/>
      </c>
      <c r="C1676" t="str">
        <f>IFERROR(IF(A1676="","",VLOOKUP(A1676,CadProd!$A:$C,3,0)),"")</f>
        <v/>
      </c>
    </row>
    <row r="1677" spans="2:3" x14ac:dyDescent="0.3">
      <c r="B1677" t="str">
        <f>IFERROR(IF(A1677="","",VLOOKUP(A1677,CadProd!$A:$B,2,0)),"")</f>
        <v/>
      </c>
      <c r="C1677" t="str">
        <f>IFERROR(IF(A1677="","",VLOOKUP(A1677,CadProd!$A:$C,3,0)),"")</f>
        <v/>
      </c>
    </row>
    <row r="1678" spans="2:3" x14ac:dyDescent="0.3">
      <c r="B1678" t="str">
        <f>IFERROR(IF(A1678="","",VLOOKUP(A1678,CadProd!$A:$B,2,0)),"")</f>
        <v/>
      </c>
      <c r="C1678" t="str">
        <f>IFERROR(IF(A1678="","",VLOOKUP(A1678,CadProd!$A:$C,3,0)),"")</f>
        <v/>
      </c>
    </row>
    <row r="1679" spans="2:3" x14ac:dyDescent="0.3">
      <c r="B1679" t="str">
        <f>IFERROR(IF(A1679="","",VLOOKUP(A1679,CadProd!$A:$B,2,0)),"")</f>
        <v/>
      </c>
      <c r="C1679" t="str">
        <f>IFERROR(IF(A1679="","",VLOOKUP(A1679,CadProd!$A:$C,3,0)),"")</f>
        <v/>
      </c>
    </row>
    <row r="1680" spans="2:3" x14ac:dyDescent="0.3">
      <c r="B1680" t="str">
        <f>IFERROR(IF(A1680="","",VLOOKUP(A1680,CadProd!$A:$B,2,0)),"")</f>
        <v/>
      </c>
      <c r="C1680" t="str">
        <f>IFERROR(IF(A1680="","",VLOOKUP(A1680,CadProd!$A:$C,3,0)),"")</f>
        <v/>
      </c>
    </row>
    <row r="1681" spans="2:3" x14ac:dyDescent="0.3">
      <c r="B1681" t="str">
        <f>IFERROR(IF(A1681="","",VLOOKUP(A1681,CadProd!$A:$B,2,0)),"")</f>
        <v/>
      </c>
      <c r="C1681" t="str">
        <f>IFERROR(IF(A1681="","",VLOOKUP(A1681,CadProd!$A:$C,3,0)),"")</f>
        <v/>
      </c>
    </row>
    <row r="1682" spans="2:3" x14ac:dyDescent="0.3">
      <c r="B1682" t="str">
        <f>IFERROR(IF(A1682="","",VLOOKUP(A1682,CadProd!$A:$B,2,0)),"")</f>
        <v/>
      </c>
      <c r="C1682" t="str">
        <f>IFERROR(IF(A1682="","",VLOOKUP(A1682,CadProd!$A:$C,3,0)),"")</f>
        <v/>
      </c>
    </row>
    <row r="1683" spans="2:3" x14ac:dyDescent="0.3">
      <c r="B1683" t="str">
        <f>IFERROR(IF(A1683="","",VLOOKUP(A1683,CadProd!$A:$B,2,0)),"")</f>
        <v/>
      </c>
      <c r="C1683" t="str">
        <f>IFERROR(IF(A1683="","",VLOOKUP(A1683,CadProd!$A:$C,3,0)),"")</f>
        <v/>
      </c>
    </row>
    <row r="1684" spans="2:3" x14ac:dyDescent="0.3">
      <c r="B1684" t="str">
        <f>IFERROR(IF(A1684="","",VLOOKUP(A1684,CadProd!$A:$B,2,0)),"")</f>
        <v/>
      </c>
      <c r="C1684" t="str">
        <f>IFERROR(IF(A1684="","",VLOOKUP(A1684,CadProd!$A:$C,3,0)),"")</f>
        <v/>
      </c>
    </row>
    <row r="1685" spans="2:3" x14ac:dyDescent="0.3">
      <c r="B1685" t="str">
        <f>IFERROR(IF(A1685="","",VLOOKUP(A1685,CadProd!$A:$B,2,0)),"")</f>
        <v/>
      </c>
      <c r="C1685" t="str">
        <f>IFERROR(IF(A1685="","",VLOOKUP(A1685,CadProd!$A:$C,3,0)),"")</f>
        <v/>
      </c>
    </row>
    <row r="1686" spans="2:3" x14ac:dyDescent="0.3">
      <c r="B1686" t="str">
        <f>IFERROR(IF(A1686="","",VLOOKUP(A1686,CadProd!$A:$B,2,0)),"")</f>
        <v/>
      </c>
      <c r="C1686" t="str">
        <f>IFERROR(IF(A1686="","",VLOOKUP(A1686,CadProd!$A:$C,3,0)),"")</f>
        <v/>
      </c>
    </row>
    <row r="1687" spans="2:3" x14ac:dyDescent="0.3">
      <c r="B1687" t="str">
        <f>IFERROR(IF(A1687="","",VLOOKUP(A1687,CadProd!$A:$B,2,0)),"")</f>
        <v/>
      </c>
      <c r="C1687" t="str">
        <f>IFERROR(IF(A1687="","",VLOOKUP(A1687,CadProd!$A:$C,3,0)),"")</f>
        <v/>
      </c>
    </row>
    <row r="1688" spans="2:3" x14ac:dyDescent="0.3">
      <c r="B1688" t="str">
        <f>IFERROR(IF(A1688="","",VLOOKUP(A1688,CadProd!$A:$B,2,0)),"")</f>
        <v/>
      </c>
      <c r="C1688" t="str">
        <f>IFERROR(IF(A1688="","",VLOOKUP(A1688,CadProd!$A:$C,3,0)),"")</f>
        <v/>
      </c>
    </row>
    <row r="1689" spans="2:3" x14ac:dyDescent="0.3">
      <c r="B1689" t="str">
        <f>IFERROR(IF(A1689="","",VLOOKUP(A1689,CadProd!$A:$B,2,0)),"")</f>
        <v/>
      </c>
      <c r="C1689" t="str">
        <f>IFERROR(IF(A1689="","",VLOOKUP(A1689,CadProd!$A:$C,3,0)),"")</f>
        <v/>
      </c>
    </row>
    <row r="1690" spans="2:3" x14ac:dyDescent="0.3">
      <c r="B1690" t="str">
        <f>IFERROR(IF(A1690="","",VLOOKUP(A1690,CadProd!$A:$B,2,0)),"")</f>
        <v/>
      </c>
      <c r="C1690" t="str">
        <f>IFERROR(IF(A1690="","",VLOOKUP(A1690,CadProd!$A:$C,3,0)),"")</f>
        <v/>
      </c>
    </row>
    <row r="1691" spans="2:3" x14ac:dyDescent="0.3">
      <c r="B1691" t="str">
        <f>IFERROR(IF(A1691="","",VLOOKUP(A1691,CadProd!$A:$B,2,0)),"")</f>
        <v/>
      </c>
      <c r="C1691" t="str">
        <f>IFERROR(IF(A1691="","",VLOOKUP(A1691,CadProd!$A:$C,3,0)),"")</f>
        <v/>
      </c>
    </row>
    <row r="1692" spans="2:3" x14ac:dyDescent="0.3">
      <c r="B1692" t="str">
        <f>IFERROR(IF(A1692="","",VLOOKUP(A1692,CadProd!$A:$B,2,0)),"")</f>
        <v/>
      </c>
      <c r="C1692" t="str">
        <f>IFERROR(IF(A1692="","",VLOOKUP(A1692,CadProd!$A:$C,3,0)),"")</f>
        <v/>
      </c>
    </row>
    <row r="1693" spans="2:3" x14ac:dyDescent="0.3">
      <c r="B1693" t="str">
        <f>IFERROR(IF(A1693="","",VLOOKUP(A1693,CadProd!$A:$B,2,0)),"")</f>
        <v/>
      </c>
      <c r="C1693" t="str">
        <f>IFERROR(IF(A1693="","",VLOOKUP(A1693,CadProd!$A:$C,3,0)),"")</f>
        <v/>
      </c>
    </row>
    <row r="1694" spans="2:3" x14ac:dyDescent="0.3">
      <c r="B1694" t="str">
        <f>IFERROR(IF(A1694="","",VLOOKUP(A1694,CadProd!$A:$B,2,0)),"")</f>
        <v/>
      </c>
      <c r="C1694" t="str">
        <f>IFERROR(IF(A1694="","",VLOOKUP(A1694,CadProd!$A:$C,3,0)),"")</f>
        <v/>
      </c>
    </row>
    <row r="1695" spans="2:3" x14ac:dyDescent="0.3">
      <c r="B1695" t="str">
        <f>IFERROR(IF(A1695="","",VLOOKUP(A1695,CadProd!$A:$B,2,0)),"")</f>
        <v/>
      </c>
      <c r="C1695" t="str">
        <f>IFERROR(IF(A1695="","",VLOOKUP(A1695,CadProd!$A:$C,3,0)),"")</f>
        <v/>
      </c>
    </row>
    <row r="1696" spans="2:3" x14ac:dyDescent="0.3">
      <c r="B1696" t="str">
        <f>IFERROR(IF(A1696="","",VLOOKUP(A1696,CadProd!$A:$B,2,0)),"")</f>
        <v/>
      </c>
      <c r="C1696" t="str">
        <f>IFERROR(IF(A1696="","",VLOOKUP(A1696,CadProd!$A:$C,3,0)),"")</f>
        <v/>
      </c>
    </row>
    <row r="1697" spans="2:3" x14ac:dyDescent="0.3">
      <c r="B1697" t="str">
        <f>IFERROR(IF(A1697="","",VLOOKUP(A1697,CadProd!$A:$B,2,0)),"")</f>
        <v/>
      </c>
      <c r="C1697" t="str">
        <f>IFERROR(IF(A1697="","",VLOOKUP(A1697,CadProd!$A:$C,3,0)),"")</f>
        <v/>
      </c>
    </row>
    <row r="1698" spans="2:3" x14ac:dyDescent="0.3">
      <c r="B1698" t="str">
        <f>IFERROR(IF(A1698="","",VLOOKUP(A1698,CadProd!$A:$B,2,0)),"")</f>
        <v/>
      </c>
      <c r="C1698" t="str">
        <f>IFERROR(IF(A1698="","",VLOOKUP(A1698,CadProd!$A:$C,3,0)),"")</f>
        <v/>
      </c>
    </row>
    <row r="1699" spans="2:3" x14ac:dyDescent="0.3">
      <c r="B1699" t="str">
        <f>IFERROR(IF(A1699="","",VLOOKUP(A1699,CadProd!$A:$B,2,0)),"")</f>
        <v/>
      </c>
      <c r="C1699" t="str">
        <f>IFERROR(IF(A1699="","",VLOOKUP(A1699,CadProd!$A:$C,3,0)),"")</f>
        <v/>
      </c>
    </row>
    <row r="1700" spans="2:3" x14ac:dyDescent="0.3">
      <c r="B1700" t="str">
        <f>IFERROR(IF(A1700="","",VLOOKUP(A1700,CadProd!$A:$B,2,0)),"")</f>
        <v/>
      </c>
      <c r="C1700" t="str">
        <f>IFERROR(IF(A1700="","",VLOOKUP(A1700,CadProd!$A:$C,3,0)),"")</f>
        <v/>
      </c>
    </row>
    <row r="1701" spans="2:3" x14ac:dyDescent="0.3">
      <c r="B1701" t="str">
        <f>IFERROR(IF(A1701="","",VLOOKUP(A1701,CadProd!$A:$B,2,0)),"")</f>
        <v/>
      </c>
      <c r="C1701" t="str">
        <f>IFERROR(IF(A1701="","",VLOOKUP(A1701,CadProd!$A:$C,3,0)),"")</f>
        <v/>
      </c>
    </row>
    <row r="1702" spans="2:3" x14ac:dyDescent="0.3">
      <c r="B1702" t="str">
        <f>IFERROR(IF(A1702="","",VLOOKUP(A1702,CadProd!$A:$B,2,0)),"")</f>
        <v/>
      </c>
      <c r="C1702" t="str">
        <f>IFERROR(IF(A1702="","",VLOOKUP(A1702,CadProd!$A:$C,3,0)),"")</f>
        <v/>
      </c>
    </row>
    <row r="1703" spans="2:3" x14ac:dyDescent="0.3">
      <c r="B1703" t="str">
        <f>IFERROR(IF(A1703="","",VLOOKUP(A1703,CadProd!$A:$B,2,0)),"")</f>
        <v/>
      </c>
      <c r="C1703" t="str">
        <f>IFERROR(IF(A1703="","",VLOOKUP(A1703,CadProd!$A:$C,3,0)),"")</f>
        <v/>
      </c>
    </row>
    <row r="1704" spans="2:3" x14ac:dyDescent="0.3">
      <c r="B1704" t="str">
        <f>IFERROR(IF(A1704="","",VLOOKUP(A1704,CadProd!$A:$B,2,0)),"")</f>
        <v/>
      </c>
      <c r="C1704" t="str">
        <f>IFERROR(IF(A1704="","",VLOOKUP(A1704,CadProd!$A:$C,3,0)),"")</f>
        <v/>
      </c>
    </row>
    <row r="1705" spans="2:3" x14ac:dyDescent="0.3">
      <c r="B1705" t="str">
        <f>IFERROR(IF(A1705="","",VLOOKUP(A1705,CadProd!$A:$B,2,0)),"")</f>
        <v/>
      </c>
      <c r="C1705" t="str">
        <f>IFERROR(IF(A1705="","",VLOOKUP(A1705,CadProd!$A:$C,3,0)),"")</f>
        <v/>
      </c>
    </row>
    <row r="1706" spans="2:3" x14ac:dyDescent="0.3">
      <c r="B1706" t="str">
        <f>IFERROR(IF(A1706="","",VLOOKUP(A1706,CadProd!$A:$B,2,0)),"")</f>
        <v/>
      </c>
      <c r="C1706" t="str">
        <f>IFERROR(IF(A1706="","",VLOOKUP(A1706,CadProd!$A:$C,3,0)),"")</f>
        <v/>
      </c>
    </row>
    <row r="1707" spans="2:3" x14ac:dyDescent="0.3">
      <c r="B1707" t="str">
        <f>IFERROR(IF(A1707="","",VLOOKUP(A1707,CadProd!$A:$B,2,0)),"")</f>
        <v/>
      </c>
      <c r="C1707" t="str">
        <f>IFERROR(IF(A1707="","",VLOOKUP(A1707,CadProd!$A:$C,3,0)),"")</f>
        <v/>
      </c>
    </row>
    <row r="1708" spans="2:3" x14ac:dyDescent="0.3">
      <c r="B1708" t="str">
        <f>IFERROR(IF(A1708="","",VLOOKUP(A1708,CadProd!$A:$B,2,0)),"")</f>
        <v/>
      </c>
      <c r="C1708" t="str">
        <f>IFERROR(IF(A1708="","",VLOOKUP(A1708,CadProd!$A:$C,3,0)),"")</f>
        <v/>
      </c>
    </row>
    <row r="1709" spans="2:3" x14ac:dyDescent="0.3">
      <c r="B1709" t="str">
        <f>IFERROR(IF(A1709="","",VLOOKUP(A1709,CadProd!$A:$B,2,0)),"")</f>
        <v/>
      </c>
      <c r="C1709" t="str">
        <f>IFERROR(IF(A1709="","",VLOOKUP(A1709,CadProd!$A:$C,3,0)),"")</f>
        <v/>
      </c>
    </row>
    <row r="1710" spans="2:3" x14ac:dyDescent="0.3">
      <c r="B1710" t="str">
        <f>IFERROR(IF(A1710="","",VLOOKUP(A1710,CadProd!$A:$B,2,0)),"")</f>
        <v/>
      </c>
      <c r="C1710" t="str">
        <f>IFERROR(IF(A1710="","",VLOOKUP(A1710,CadProd!$A:$C,3,0)),"")</f>
        <v/>
      </c>
    </row>
    <row r="1711" spans="2:3" x14ac:dyDescent="0.3">
      <c r="B1711" t="str">
        <f>IFERROR(IF(A1711="","",VLOOKUP(A1711,CadProd!$A:$B,2,0)),"")</f>
        <v/>
      </c>
      <c r="C1711" t="str">
        <f>IFERROR(IF(A1711="","",VLOOKUP(A1711,CadProd!$A:$C,3,0)),"")</f>
        <v/>
      </c>
    </row>
    <row r="1712" spans="2:3" x14ac:dyDescent="0.3">
      <c r="B1712" t="str">
        <f>IFERROR(IF(A1712="","",VLOOKUP(A1712,CadProd!$A:$B,2,0)),"")</f>
        <v/>
      </c>
      <c r="C1712" t="str">
        <f>IFERROR(IF(A1712="","",VLOOKUP(A1712,CadProd!$A:$C,3,0)),"")</f>
        <v/>
      </c>
    </row>
    <row r="1713" spans="2:3" x14ac:dyDescent="0.3">
      <c r="B1713" t="str">
        <f>IFERROR(IF(A1713="","",VLOOKUP(A1713,CadProd!$A:$B,2,0)),"")</f>
        <v/>
      </c>
      <c r="C1713" t="str">
        <f>IFERROR(IF(A1713="","",VLOOKUP(A1713,CadProd!$A:$C,3,0)),"")</f>
        <v/>
      </c>
    </row>
    <row r="1714" spans="2:3" x14ac:dyDescent="0.3">
      <c r="B1714" t="str">
        <f>IFERROR(IF(A1714="","",VLOOKUP(A1714,CadProd!$A:$B,2,0)),"")</f>
        <v/>
      </c>
      <c r="C1714" t="str">
        <f>IFERROR(IF(A1714="","",VLOOKUP(A1714,CadProd!$A:$C,3,0)),"")</f>
        <v/>
      </c>
    </row>
    <row r="1715" spans="2:3" x14ac:dyDescent="0.3">
      <c r="B1715" t="str">
        <f>IFERROR(IF(A1715="","",VLOOKUP(A1715,CadProd!$A:$B,2,0)),"")</f>
        <v/>
      </c>
      <c r="C1715" t="str">
        <f>IFERROR(IF(A1715="","",VLOOKUP(A1715,CadProd!$A:$C,3,0)),"")</f>
        <v/>
      </c>
    </row>
    <row r="1716" spans="2:3" x14ac:dyDescent="0.3">
      <c r="B1716" t="str">
        <f>IFERROR(IF(A1716="","",VLOOKUP(A1716,CadProd!$A:$B,2,0)),"")</f>
        <v/>
      </c>
      <c r="C1716" t="str">
        <f>IFERROR(IF(A1716="","",VLOOKUP(A1716,CadProd!$A:$C,3,0)),"")</f>
        <v/>
      </c>
    </row>
    <row r="1717" spans="2:3" x14ac:dyDescent="0.3">
      <c r="B1717" t="str">
        <f>IFERROR(IF(A1717="","",VLOOKUP(A1717,CadProd!$A:$B,2,0)),"")</f>
        <v/>
      </c>
      <c r="C1717" t="str">
        <f>IFERROR(IF(A1717="","",VLOOKUP(A1717,CadProd!$A:$C,3,0)),"")</f>
        <v/>
      </c>
    </row>
    <row r="1718" spans="2:3" x14ac:dyDescent="0.3">
      <c r="B1718" t="str">
        <f>IFERROR(IF(A1718="","",VLOOKUP(A1718,CadProd!$A:$B,2,0)),"")</f>
        <v/>
      </c>
      <c r="C1718" t="str">
        <f>IFERROR(IF(A1718="","",VLOOKUP(A1718,CadProd!$A:$C,3,0)),"")</f>
        <v/>
      </c>
    </row>
    <row r="1719" spans="2:3" x14ac:dyDescent="0.3">
      <c r="B1719" t="str">
        <f>IFERROR(IF(A1719="","",VLOOKUP(A1719,CadProd!$A:$B,2,0)),"")</f>
        <v/>
      </c>
      <c r="C1719" t="str">
        <f>IFERROR(IF(A1719="","",VLOOKUP(A1719,CadProd!$A:$C,3,0)),"")</f>
        <v/>
      </c>
    </row>
    <row r="1720" spans="2:3" x14ac:dyDescent="0.3">
      <c r="B1720" t="str">
        <f>IFERROR(IF(A1720="","",VLOOKUP(A1720,CadProd!$A:$B,2,0)),"")</f>
        <v/>
      </c>
      <c r="C1720" t="str">
        <f>IFERROR(IF(A1720="","",VLOOKUP(A1720,CadProd!$A:$C,3,0)),"")</f>
        <v/>
      </c>
    </row>
    <row r="1721" spans="2:3" x14ac:dyDescent="0.3">
      <c r="B1721" t="str">
        <f>IFERROR(IF(A1721="","",VLOOKUP(A1721,CadProd!$A:$B,2,0)),"")</f>
        <v/>
      </c>
      <c r="C1721" t="str">
        <f>IFERROR(IF(A1721="","",VLOOKUP(A1721,CadProd!$A:$C,3,0)),"")</f>
        <v/>
      </c>
    </row>
    <row r="1722" spans="2:3" x14ac:dyDescent="0.3">
      <c r="B1722" t="str">
        <f>IFERROR(IF(A1722="","",VLOOKUP(A1722,CadProd!$A:$B,2,0)),"")</f>
        <v/>
      </c>
      <c r="C1722" t="str">
        <f>IFERROR(IF(A1722="","",VLOOKUP(A1722,CadProd!$A:$C,3,0)),"")</f>
        <v/>
      </c>
    </row>
    <row r="1723" spans="2:3" x14ac:dyDescent="0.3">
      <c r="B1723" t="str">
        <f>IFERROR(IF(A1723="","",VLOOKUP(A1723,CadProd!$A:$B,2,0)),"")</f>
        <v/>
      </c>
      <c r="C1723" t="str">
        <f>IFERROR(IF(A1723="","",VLOOKUP(A1723,CadProd!$A:$C,3,0)),"")</f>
        <v/>
      </c>
    </row>
    <row r="1724" spans="2:3" x14ac:dyDescent="0.3">
      <c r="B1724" t="str">
        <f>IFERROR(IF(A1724="","",VLOOKUP(A1724,CadProd!$A:$B,2,0)),"")</f>
        <v/>
      </c>
      <c r="C1724" t="str">
        <f>IFERROR(IF(A1724="","",VLOOKUP(A1724,CadProd!$A:$C,3,0)),"")</f>
        <v/>
      </c>
    </row>
    <row r="1725" spans="2:3" x14ac:dyDescent="0.3">
      <c r="B1725" t="str">
        <f>IFERROR(IF(A1725="","",VLOOKUP(A1725,CadProd!$A:$B,2,0)),"")</f>
        <v/>
      </c>
      <c r="C1725" t="str">
        <f>IFERROR(IF(A1725="","",VLOOKUP(A1725,CadProd!$A:$C,3,0)),"")</f>
        <v/>
      </c>
    </row>
    <row r="1726" spans="2:3" x14ac:dyDescent="0.3">
      <c r="B1726" t="str">
        <f>IFERROR(IF(A1726="","",VLOOKUP(A1726,CadProd!$A:$B,2,0)),"")</f>
        <v/>
      </c>
      <c r="C1726" t="str">
        <f>IFERROR(IF(A1726="","",VLOOKUP(A1726,CadProd!$A:$C,3,0)),"")</f>
        <v/>
      </c>
    </row>
    <row r="1727" spans="2:3" x14ac:dyDescent="0.3">
      <c r="B1727" t="str">
        <f>IFERROR(IF(A1727="","",VLOOKUP(A1727,CadProd!$A:$B,2,0)),"")</f>
        <v/>
      </c>
      <c r="C1727" t="str">
        <f>IFERROR(IF(A1727="","",VLOOKUP(A1727,CadProd!$A:$C,3,0)),"")</f>
        <v/>
      </c>
    </row>
    <row r="1728" spans="2:3" x14ac:dyDescent="0.3">
      <c r="B1728" t="str">
        <f>IFERROR(IF(A1728="","",VLOOKUP(A1728,CadProd!$A:$B,2,0)),"")</f>
        <v/>
      </c>
      <c r="C1728" t="str">
        <f>IFERROR(IF(A1728="","",VLOOKUP(A1728,CadProd!$A:$C,3,0)),"")</f>
        <v/>
      </c>
    </row>
    <row r="1729" spans="2:3" x14ac:dyDescent="0.3">
      <c r="B1729" t="str">
        <f>IFERROR(IF(A1729="","",VLOOKUP(A1729,CadProd!$A:$B,2,0)),"")</f>
        <v/>
      </c>
      <c r="C1729" t="str">
        <f>IFERROR(IF(A1729="","",VLOOKUP(A1729,CadProd!$A:$C,3,0)),"")</f>
        <v/>
      </c>
    </row>
    <row r="1730" spans="2:3" x14ac:dyDescent="0.3">
      <c r="B1730" t="str">
        <f>IFERROR(IF(A1730="","",VLOOKUP(A1730,CadProd!$A:$B,2,0)),"")</f>
        <v/>
      </c>
      <c r="C1730" t="str">
        <f>IFERROR(IF(A1730="","",VLOOKUP(A1730,CadProd!$A:$C,3,0)),"")</f>
        <v/>
      </c>
    </row>
    <row r="1731" spans="2:3" x14ac:dyDescent="0.3">
      <c r="B1731" t="str">
        <f>IFERROR(IF(A1731="","",VLOOKUP(A1731,CadProd!$A:$B,2,0)),"")</f>
        <v/>
      </c>
      <c r="C1731" t="str">
        <f>IFERROR(IF(A1731="","",VLOOKUP(A1731,CadProd!$A:$C,3,0)),"")</f>
        <v/>
      </c>
    </row>
    <row r="1732" spans="2:3" x14ac:dyDescent="0.3">
      <c r="B1732" t="str">
        <f>IFERROR(IF(A1732="","",VLOOKUP(A1732,CadProd!$A:$B,2,0)),"")</f>
        <v/>
      </c>
      <c r="C1732" t="str">
        <f>IFERROR(IF(A1732="","",VLOOKUP(A1732,CadProd!$A:$C,3,0)),"")</f>
        <v/>
      </c>
    </row>
    <row r="1733" spans="2:3" x14ac:dyDescent="0.3">
      <c r="B1733" t="str">
        <f>IFERROR(IF(A1733="","",VLOOKUP(A1733,CadProd!$A:$B,2,0)),"")</f>
        <v/>
      </c>
      <c r="C1733" t="str">
        <f>IFERROR(IF(A1733="","",VLOOKUP(A1733,CadProd!$A:$C,3,0)),"")</f>
        <v/>
      </c>
    </row>
    <row r="1734" spans="2:3" x14ac:dyDescent="0.3">
      <c r="B1734" t="str">
        <f>IFERROR(IF(A1734="","",VLOOKUP(A1734,CadProd!$A:$B,2,0)),"")</f>
        <v/>
      </c>
      <c r="C1734" t="str">
        <f>IFERROR(IF(A1734="","",VLOOKUP(A1734,CadProd!$A:$C,3,0)),"")</f>
        <v/>
      </c>
    </row>
    <row r="1735" spans="2:3" x14ac:dyDescent="0.3">
      <c r="B1735" t="str">
        <f>IFERROR(IF(A1735="","",VLOOKUP(A1735,CadProd!$A:$B,2,0)),"")</f>
        <v/>
      </c>
      <c r="C1735" t="str">
        <f>IFERROR(IF(A1735="","",VLOOKUP(A1735,CadProd!$A:$C,3,0)),"")</f>
        <v/>
      </c>
    </row>
    <row r="1736" spans="2:3" x14ac:dyDescent="0.3">
      <c r="B1736" t="str">
        <f>IFERROR(IF(A1736="","",VLOOKUP(A1736,CadProd!$A:$B,2,0)),"")</f>
        <v/>
      </c>
      <c r="C1736" t="str">
        <f>IFERROR(IF(A1736="","",VLOOKUP(A1736,CadProd!$A:$C,3,0)),"")</f>
        <v/>
      </c>
    </row>
    <row r="1737" spans="2:3" x14ac:dyDescent="0.3">
      <c r="B1737" t="str">
        <f>IFERROR(IF(A1737="","",VLOOKUP(A1737,CadProd!$A:$B,2,0)),"")</f>
        <v/>
      </c>
      <c r="C1737" t="str">
        <f>IFERROR(IF(A1737="","",VLOOKUP(A1737,CadProd!$A:$C,3,0)),"")</f>
        <v/>
      </c>
    </row>
    <row r="1738" spans="2:3" x14ac:dyDescent="0.3">
      <c r="B1738" t="str">
        <f>IFERROR(IF(A1738="","",VLOOKUP(A1738,CadProd!$A:$B,2,0)),"")</f>
        <v/>
      </c>
      <c r="C1738" t="str">
        <f>IFERROR(IF(A1738="","",VLOOKUP(A1738,CadProd!$A:$C,3,0)),"")</f>
        <v/>
      </c>
    </row>
    <row r="1739" spans="2:3" x14ac:dyDescent="0.3">
      <c r="B1739" t="str">
        <f>IFERROR(IF(A1739="","",VLOOKUP(A1739,CadProd!$A:$B,2,0)),"")</f>
        <v/>
      </c>
      <c r="C1739" t="str">
        <f>IFERROR(IF(A1739="","",VLOOKUP(A1739,CadProd!$A:$C,3,0)),"")</f>
        <v/>
      </c>
    </row>
    <row r="1740" spans="2:3" x14ac:dyDescent="0.3">
      <c r="B1740" t="str">
        <f>IFERROR(IF(A1740="","",VLOOKUP(A1740,CadProd!$A:$B,2,0)),"")</f>
        <v/>
      </c>
      <c r="C1740" t="str">
        <f>IFERROR(IF(A1740="","",VLOOKUP(A1740,CadProd!$A:$C,3,0)),"")</f>
        <v/>
      </c>
    </row>
    <row r="1741" spans="2:3" x14ac:dyDescent="0.3">
      <c r="B1741" t="str">
        <f>IFERROR(IF(A1741="","",VLOOKUP(A1741,CadProd!$A:$B,2,0)),"")</f>
        <v/>
      </c>
      <c r="C1741" t="str">
        <f>IFERROR(IF(A1741="","",VLOOKUP(A1741,CadProd!$A:$C,3,0)),"")</f>
        <v/>
      </c>
    </row>
    <row r="1742" spans="2:3" x14ac:dyDescent="0.3">
      <c r="B1742" t="str">
        <f>IFERROR(IF(A1742="","",VLOOKUP(A1742,CadProd!$A:$B,2,0)),"")</f>
        <v/>
      </c>
      <c r="C1742" t="str">
        <f>IFERROR(IF(A1742="","",VLOOKUP(A1742,CadProd!$A:$C,3,0)),"")</f>
        <v/>
      </c>
    </row>
    <row r="1743" spans="2:3" x14ac:dyDescent="0.3">
      <c r="B1743" t="str">
        <f>IFERROR(IF(A1743="","",VLOOKUP(A1743,CadProd!$A:$B,2,0)),"")</f>
        <v/>
      </c>
      <c r="C1743" t="str">
        <f>IFERROR(IF(A1743="","",VLOOKUP(A1743,CadProd!$A:$C,3,0)),"")</f>
        <v/>
      </c>
    </row>
    <row r="1744" spans="2:3" x14ac:dyDescent="0.3">
      <c r="B1744" t="str">
        <f>IFERROR(IF(A1744="","",VLOOKUP(A1744,CadProd!$A:$B,2,0)),"")</f>
        <v/>
      </c>
      <c r="C1744" t="str">
        <f>IFERROR(IF(A1744="","",VLOOKUP(A1744,CadProd!$A:$C,3,0)),"")</f>
        <v/>
      </c>
    </row>
    <row r="1745" spans="2:3" x14ac:dyDescent="0.3">
      <c r="B1745" t="str">
        <f>IFERROR(IF(A1745="","",VLOOKUP(A1745,CadProd!$A:$B,2,0)),"")</f>
        <v/>
      </c>
      <c r="C1745" t="str">
        <f>IFERROR(IF(A1745="","",VLOOKUP(A1745,CadProd!$A:$C,3,0)),"")</f>
        <v/>
      </c>
    </row>
    <row r="1746" spans="2:3" x14ac:dyDescent="0.3">
      <c r="B1746" t="str">
        <f>IFERROR(IF(A1746="","",VLOOKUP(A1746,CadProd!$A:$B,2,0)),"")</f>
        <v/>
      </c>
      <c r="C1746" t="str">
        <f>IFERROR(IF(A1746="","",VLOOKUP(A1746,CadProd!$A:$C,3,0)),"")</f>
        <v/>
      </c>
    </row>
    <row r="1747" spans="2:3" x14ac:dyDescent="0.3">
      <c r="B1747" t="str">
        <f>IFERROR(IF(A1747="","",VLOOKUP(A1747,CadProd!$A:$B,2,0)),"")</f>
        <v/>
      </c>
      <c r="C1747" t="str">
        <f>IFERROR(IF(A1747="","",VLOOKUP(A1747,CadProd!$A:$C,3,0)),"")</f>
        <v/>
      </c>
    </row>
    <row r="1748" spans="2:3" x14ac:dyDescent="0.3">
      <c r="B1748" t="str">
        <f>IFERROR(IF(A1748="","",VLOOKUP(A1748,CadProd!$A:$B,2,0)),"")</f>
        <v/>
      </c>
      <c r="C1748" t="str">
        <f>IFERROR(IF(A1748="","",VLOOKUP(A1748,CadProd!$A:$C,3,0)),"")</f>
        <v/>
      </c>
    </row>
    <row r="1749" spans="2:3" x14ac:dyDescent="0.3">
      <c r="B1749" t="str">
        <f>IFERROR(IF(A1749="","",VLOOKUP(A1749,CadProd!$A:$B,2,0)),"")</f>
        <v/>
      </c>
      <c r="C1749" t="str">
        <f>IFERROR(IF(A1749="","",VLOOKUP(A1749,CadProd!$A:$C,3,0)),"")</f>
        <v/>
      </c>
    </row>
    <row r="1750" spans="2:3" x14ac:dyDescent="0.3">
      <c r="B1750" t="str">
        <f>IFERROR(IF(A1750="","",VLOOKUP(A1750,CadProd!$A:$B,2,0)),"")</f>
        <v/>
      </c>
      <c r="C1750" t="str">
        <f>IFERROR(IF(A1750="","",VLOOKUP(A1750,CadProd!$A:$C,3,0)),"")</f>
        <v/>
      </c>
    </row>
    <row r="1751" spans="2:3" x14ac:dyDescent="0.3">
      <c r="B1751" t="str">
        <f>IFERROR(IF(A1751="","",VLOOKUP(A1751,CadProd!$A:$B,2,0)),"")</f>
        <v/>
      </c>
      <c r="C1751" t="str">
        <f>IFERROR(IF(A1751="","",VLOOKUP(A1751,CadProd!$A:$C,3,0)),"")</f>
        <v/>
      </c>
    </row>
    <row r="1752" spans="2:3" x14ac:dyDescent="0.3">
      <c r="B1752" t="str">
        <f>IFERROR(IF(A1752="","",VLOOKUP(A1752,CadProd!$A:$B,2,0)),"")</f>
        <v/>
      </c>
      <c r="C1752" t="str">
        <f>IFERROR(IF(A1752="","",VLOOKUP(A1752,CadProd!$A:$C,3,0)),"")</f>
        <v/>
      </c>
    </row>
    <row r="1753" spans="2:3" x14ac:dyDescent="0.3">
      <c r="B1753" t="str">
        <f>IFERROR(IF(A1753="","",VLOOKUP(A1753,CadProd!$A:$B,2,0)),"")</f>
        <v/>
      </c>
      <c r="C1753" t="str">
        <f>IFERROR(IF(A1753="","",VLOOKUP(A1753,CadProd!$A:$C,3,0)),"")</f>
        <v/>
      </c>
    </row>
    <row r="1754" spans="2:3" x14ac:dyDescent="0.3">
      <c r="B1754" t="str">
        <f>IFERROR(IF(A1754="","",VLOOKUP(A1754,CadProd!$A:$B,2,0)),"")</f>
        <v/>
      </c>
      <c r="C1754" t="str">
        <f>IFERROR(IF(A1754="","",VLOOKUP(A1754,CadProd!$A:$C,3,0)),"")</f>
        <v/>
      </c>
    </row>
    <row r="1755" spans="2:3" x14ac:dyDescent="0.3">
      <c r="B1755" t="str">
        <f>IFERROR(IF(A1755="","",VLOOKUP(A1755,CadProd!$A:$B,2,0)),"")</f>
        <v/>
      </c>
      <c r="C1755" t="str">
        <f>IFERROR(IF(A1755="","",VLOOKUP(A1755,CadProd!$A:$C,3,0)),"")</f>
        <v/>
      </c>
    </row>
    <row r="1756" spans="2:3" x14ac:dyDescent="0.3">
      <c r="B1756" t="str">
        <f>IFERROR(IF(A1756="","",VLOOKUP(A1756,CadProd!$A:$B,2,0)),"")</f>
        <v/>
      </c>
      <c r="C1756" t="str">
        <f>IFERROR(IF(A1756="","",VLOOKUP(A1756,CadProd!$A:$C,3,0)),"")</f>
        <v/>
      </c>
    </row>
    <row r="1757" spans="2:3" x14ac:dyDescent="0.3">
      <c r="B1757" t="str">
        <f>IFERROR(IF(A1757="","",VLOOKUP(A1757,CadProd!$A:$B,2,0)),"")</f>
        <v/>
      </c>
      <c r="C1757" t="str">
        <f>IFERROR(IF(A1757="","",VLOOKUP(A1757,CadProd!$A:$C,3,0)),"")</f>
        <v/>
      </c>
    </row>
    <row r="1758" spans="2:3" x14ac:dyDescent="0.3">
      <c r="B1758" t="str">
        <f>IFERROR(IF(A1758="","",VLOOKUP(A1758,CadProd!$A:$B,2,0)),"")</f>
        <v/>
      </c>
      <c r="C1758" t="str">
        <f>IFERROR(IF(A1758="","",VLOOKUP(A1758,CadProd!$A:$C,3,0)),"")</f>
        <v/>
      </c>
    </row>
    <row r="1759" spans="2:3" x14ac:dyDescent="0.3">
      <c r="B1759" t="str">
        <f>IFERROR(IF(A1759="","",VLOOKUP(A1759,CadProd!$A:$B,2,0)),"")</f>
        <v/>
      </c>
      <c r="C1759" t="str">
        <f>IFERROR(IF(A1759="","",VLOOKUP(A1759,CadProd!$A:$C,3,0)),"")</f>
        <v/>
      </c>
    </row>
    <row r="1760" spans="2:3" x14ac:dyDescent="0.3">
      <c r="B1760" t="str">
        <f>IFERROR(IF(A1760="","",VLOOKUP(A1760,CadProd!$A:$B,2,0)),"")</f>
        <v/>
      </c>
      <c r="C1760" t="str">
        <f>IFERROR(IF(A1760="","",VLOOKUP(A1760,CadProd!$A:$C,3,0)),"")</f>
        <v/>
      </c>
    </row>
    <row r="1761" spans="2:3" x14ac:dyDescent="0.3">
      <c r="B1761" t="str">
        <f>IFERROR(IF(A1761="","",VLOOKUP(A1761,CadProd!$A:$B,2,0)),"")</f>
        <v/>
      </c>
      <c r="C1761" t="str">
        <f>IFERROR(IF(A1761="","",VLOOKUP(A1761,CadProd!$A:$C,3,0)),"")</f>
        <v/>
      </c>
    </row>
    <row r="1762" spans="2:3" x14ac:dyDescent="0.3">
      <c r="B1762" t="str">
        <f>IFERROR(IF(A1762="","",VLOOKUP(A1762,CadProd!$A:$B,2,0)),"")</f>
        <v/>
      </c>
      <c r="C1762" t="str">
        <f>IFERROR(IF(A1762="","",VLOOKUP(A1762,CadProd!$A:$C,3,0)),"")</f>
        <v/>
      </c>
    </row>
    <row r="1763" spans="2:3" x14ac:dyDescent="0.3">
      <c r="B1763" t="str">
        <f>IFERROR(IF(A1763="","",VLOOKUP(A1763,CadProd!$A:$B,2,0)),"")</f>
        <v/>
      </c>
      <c r="C1763" t="str">
        <f>IFERROR(IF(A1763="","",VLOOKUP(A1763,CadProd!$A:$C,3,0)),"")</f>
        <v/>
      </c>
    </row>
    <row r="1764" spans="2:3" x14ac:dyDescent="0.3">
      <c r="B1764" t="str">
        <f>IFERROR(IF(A1764="","",VLOOKUP(A1764,CadProd!$A:$B,2,0)),"")</f>
        <v/>
      </c>
      <c r="C1764" t="str">
        <f>IFERROR(IF(A1764="","",VLOOKUP(A1764,CadProd!$A:$C,3,0)),"")</f>
        <v/>
      </c>
    </row>
    <row r="1765" spans="2:3" x14ac:dyDescent="0.3">
      <c r="B1765" t="str">
        <f>IFERROR(IF(A1765="","",VLOOKUP(A1765,CadProd!$A:$B,2,0)),"")</f>
        <v/>
      </c>
      <c r="C1765" t="str">
        <f>IFERROR(IF(A1765="","",VLOOKUP(A1765,CadProd!$A:$C,3,0)),"")</f>
        <v/>
      </c>
    </row>
    <row r="1766" spans="2:3" x14ac:dyDescent="0.3">
      <c r="B1766" t="str">
        <f>IFERROR(IF(A1766="","",VLOOKUP(A1766,CadProd!$A:$B,2,0)),"")</f>
        <v/>
      </c>
      <c r="C1766" t="str">
        <f>IFERROR(IF(A1766="","",VLOOKUP(A1766,CadProd!$A:$C,3,0)),"")</f>
        <v/>
      </c>
    </row>
    <row r="1767" spans="2:3" x14ac:dyDescent="0.3">
      <c r="B1767" t="str">
        <f>IFERROR(IF(A1767="","",VLOOKUP(A1767,CadProd!$A:$B,2,0)),"")</f>
        <v/>
      </c>
      <c r="C1767" t="str">
        <f>IFERROR(IF(A1767="","",VLOOKUP(A1767,CadProd!$A:$C,3,0)),"")</f>
        <v/>
      </c>
    </row>
    <row r="1768" spans="2:3" x14ac:dyDescent="0.3">
      <c r="B1768" t="str">
        <f>IFERROR(IF(A1768="","",VLOOKUP(A1768,CadProd!$A:$B,2,0)),"")</f>
        <v/>
      </c>
      <c r="C1768" t="str">
        <f>IFERROR(IF(A1768="","",VLOOKUP(A1768,CadProd!$A:$C,3,0)),"")</f>
        <v/>
      </c>
    </row>
    <row r="1769" spans="2:3" x14ac:dyDescent="0.3">
      <c r="B1769" t="str">
        <f>IFERROR(IF(A1769="","",VLOOKUP(A1769,CadProd!$A:$B,2,0)),"")</f>
        <v/>
      </c>
      <c r="C1769" t="str">
        <f>IFERROR(IF(A1769="","",VLOOKUP(A1769,CadProd!$A:$C,3,0)),"")</f>
        <v/>
      </c>
    </row>
    <row r="1770" spans="2:3" x14ac:dyDescent="0.3">
      <c r="B1770" t="str">
        <f>IFERROR(IF(A1770="","",VLOOKUP(A1770,CadProd!$A:$B,2,0)),"")</f>
        <v/>
      </c>
      <c r="C1770" t="str">
        <f>IFERROR(IF(A1770="","",VLOOKUP(A1770,CadProd!$A:$C,3,0)),"")</f>
        <v/>
      </c>
    </row>
    <row r="1771" spans="2:3" x14ac:dyDescent="0.3">
      <c r="B1771" t="str">
        <f>IFERROR(IF(A1771="","",VLOOKUP(A1771,CadProd!$A:$B,2,0)),"")</f>
        <v/>
      </c>
      <c r="C1771" t="str">
        <f>IFERROR(IF(A1771="","",VLOOKUP(A1771,CadProd!$A:$C,3,0)),"")</f>
        <v/>
      </c>
    </row>
    <row r="1772" spans="2:3" x14ac:dyDescent="0.3">
      <c r="B1772" t="str">
        <f>IFERROR(IF(A1772="","",VLOOKUP(A1772,CadProd!$A:$B,2,0)),"")</f>
        <v/>
      </c>
      <c r="C1772" t="str">
        <f>IFERROR(IF(A1772="","",VLOOKUP(A1772,CadProd!$A:$C,3,0)),"")</f>
        <v/>
      </c>
    </row>
    <row r="1773" spans="2:3" x14ac:dyDescent="0.3">
      <c r="B1773" t="str">
        <f>IFERROR(IF(A1773="","",VLOOKUP(A1773,CadProd!$A:$B,2,0)),"")</f>
        <v/>
      </c>
      <c r="C1773" t="str">
        <f>IFERROR(IF(A1773="","",VLOOKUP(A1773,CadProd!$A:$C,3,0)),"")</f>
        <v/>
      </c>
    </row>
    <row r="1774" spans="2:3" x14ac:dyDescent="0.3">
      <c r="B1774" t="str">
        <f>IFERROR(IF(A1774="","",VLOOKUP(A1774,CadProd!$A:$B,2,0)),"")</f>
        <v/>
      </c>
      <c r="C1774" t="str">
        <f>IFERROR(IF(A1774="","",VLOOKUP(A1774,CadProd!$A:$C,3,0)),"")</f>
        <v/>
      </c>
    </row>
    <row r="1775" spans="2:3" x14ac:dyDescent="0.3">
      <c r="B1775" t="str">
        <f>IFERROR(IF(A1775="","",VLOOKUP(A1775,CadProd!$A:$B,2,0)),"")</f>
        <v/>
      </c>
      <c r="C1775" t="str">
        <f>IFERROR(IF(A1775="","",VLOOKUP(A1775,CadProd!$A:$C,3,0)),"")</f>
        <v/>
      </c>
    </row>
    <row r="1776" spans="2:3" x14ac:dyDescent="0.3">
      <c r="B1776" t="str">
        <f>IFERROR(IF(A1776="","",VLOOKUP(A1776,CadProd!$A:$B,2,0)),"")</f>
        <v/>
      </c>
      <c r="C1776" t="str">
        <f>IFERROR(IF(A1776="","",VLOOKUP(A1776,CadProd!$A:$C,3,0)),"")</f>
        <v/>
      </c>
    </row>
    <row r="1777" spans="2:3" x14ac:dyDescent="0.3">
      <c r="B1777" t="str">
        <f>IFERROR(IF(A1777="","",VLOOKUP(A1777,CadProd!$A:$B,2,0)),"")</f>
        <v/>
      </c>
      <c r="C1777" t="str">
        <f>IFERROR(IF(A1777="","",VLOOKUP(A1777,CadProd!$A:$C,3,0)),"")</f>
        <v/>
      </c>
    </row>
    <row r="1778" spans="2:3" x14ac:dyDescent="0.3">
      <c r="B1778" t="str">
        <f>IFERROR(IF(A1778="","",VLOOKUP(A1778,CadProd!$A:$B,2,0)),"")</f>
        <v/>
      </c>
      <c r="C1778" t="str">
        <f>IFERROR(IF(A1778="","",VLOOKUP(A1778,CadProd!$A:$C,3,0)),"")</f>
        <v/>
      </c>
    </row>
    <row r="1779" spans="2:3" x14ac:dyDescent="0.3">
      <c r="B1779" t="str">
        <f>IFERROR(IF(A1779="","",VLOOKUP(A1779,CadProd!$A:$B,2,0)),"")</f>
        <v/>
      </c>
      <c r="C1779" t="str">
        <f>IFERROR(IF(A1779="","",VLOOKUP(A1779,CadProd!$A:$C,3,0)),"")</f>
        <v/>
      </c>
    </row>
    <row r="1780" spans="2:3" x14ac:dyDescent="0.3">
      <c r="B1780" t="str">
        <f>IFERROR(IF(A1780="","",VLOOKUP(A1780,CadProd!$A:$B,2,0)),"")</f>
        <v/>
      </c>
      <c r="C1780" t="str">
        <f>IFERROR(IF(A1780="","",VLOOKUP(A1780,CadProd!$A:$C,3,0)),"")</f>
        <v/>
      </c>
    </row>
    <row r="1781" spans="2:3" x14ac:dyDescent="0.3">
      <c r="B1781" t="str">
        <f>IFERROR(IF(A1781="","",VLOOKUP(A1781,CadProd!$A:$B,2,0)),"")</f>
        <v/>
      </c>
      <c r="C1781" t="str">
        <f>IFERROR(IF(A1781="","",VLOOKUP(A1781,CadProd!$A:$C,3,0)),"")</f>
        <v/>
      </c>
    </row>
    <row r="1782" spans="2:3" x14ac:dyDescent="0.3">
      <c r="B1782" t="str">
        <f>IFERROR(IF(A1782="","",VLOOKUP(A1782,CadProd!$A:$B,2,0)),"")</f>
        <v/>
      </c>
      <c r="C1782" t="str">
        <f>IFERROR(IF(A1782="","",VLOOKUP(A1782,CadProd!$A:$C,3,0)),"")</f>
        <v/>
      </c>
    </row>
    <row r="1783" spans="2:3" x14ac:dyDescent="0.3">
      <c r="B1783" t="str">
        <f>IFERROR(IF(A1783="","",VLOOKUP(A1783,CadProd!$A:$B,2,0)),"")</f>
        <v/>
      </c>
      <c r="C1783" t="str">
        <f>IFERROR(IF(A1783="","",VLOOKUP(A1783,CadProd!$A:$C,3,0)),"")</f>
        <v/>
      </c>
    </row>
    <row r="1784" spans="2:3" x14ac:dyDescent="0.3">
      <c r="B1784" t="str">
        <f>IFERROR(IF(A1784="","",VLOOKUP(A1784,CadProd!$A:$B,2,0)),"")</f>
        <v/>
      </c>
      <c r="C1784" t="str">
        <f>IFERROR(IF(A1784="","",VLOOKUP(A1784,CadProd!$A:$C,3,0)),"")</f>
        <v/>
      </c>
    </row>
    <row r="1785" spans="2:3" x14ac:dyDescent="0.3">
      <c r="B1785" t="str">
        <f>IFERROR(IF(A1785="","",VLOOKUP(A1785,CadProd!$A:$B,2,0)),"")</f>
        <v/>
      </c>
      <c r="C1785" t="str">
        <f>IFERROR(IF(A1785="","",VLOOKUP(A1785,CadProd!$A:$C,3,0)),"")</f>
        <v/>
      </c>
    </row>
    <row r="1786" spans="2:3" x14ac:dyDescent="0.3">
      <c r="B1786" t="str">
        <f>IFERROR(IF(A1786="","",VLOOKUP(A1786,CadProd!$A:$B,2,0)),"")</f>
        <v/>
      </c>
      <c r="C1786" t="str">
        <f>IFERROR(IF(A1786="","",VLOOKUP(A1786,CadProd!$A:$C,3,0)),"")</f>
        <v/>
      </c>
    </row>
    <row r="1787" spans="2:3" x14ac:dyDescent="0.3">
      <c r="B1787" t="str">
        <f>IFERROR(IF(A1787="","",VLOOKUP(A1787,CadProd!$A:$B,2,0)),"")</f>
        <v/>
      </c>
      <c r="C1787" t="str">
        <f>IFERROR(IF(A1787="","",VLOOKUP(A1787,CadProd!$A:$C,3,0)),"")</f>
        <v/>
      </c>
    </row>
    <row r="1788" spans="2:3" x14ac:dyDescent="0.3">
      <c r="B1788" t="str">
        <f>IFERROR(IF(A1788="","",VLOOKUP(A1788,CadProd!$A:$B,2,0)),"")</f>
        <v/>
      </c>
      <c r="C1788" t="str">
        <f>IFERROR(IF(A1788="","",VLOOKUP(A1788,CadProd!$A:$C,3,0)),"")</f>
        <v/>
      </c>
    </row>
    <row r="1789" spans="2:3" x14ac:dyDescent="0.3">
      <c r="B1789" t="str">
        <f>IFERROR(IF(A1789="","",VLOOKUP(A1789,CadProd!$A:$B,2,0)),"")</f>
        <v/>
      </c>
      <c r="C1789" t="str">
        <f>IFERROR(IF(A1789="","",VLOOKUP(A1789,CadProd!$A:$C,3,0)),"")</f>
        <v/>
      </c>
    </row>
    <row r="1790" spans="2:3" x14ac:dyDescent="0.3">
      <c r="B1790" t="str">
        <f>IFERROR(IF(A1790="","",VLOOKUP(A1790,CadProd!$A:$B,2,0)),"")</f>
        <v/>
      </c>
      <c r="C1790" t="str">
        <f>IFERROR(IF(A1790="","",VLOOKUP(A1790,CadProd!$A:$C,3,0)),"")</f>
        <v/>
      </c>
    </row>
    <row r="1791" spans="2:3" x14ac:dyDescent="0.3">
      <c r="B1791" t="str">
        <f>IFERROR(IF(A1791="","",VLOOKUP(A1791,CadProd!$A:$B,2,0)),"")</f>
        <v/>
      </c>
      <c r="C1791" t="str">
        <f>IFERROR(IF(A1791="","",VLOOKUP(A1791,CadProd!$A:$C,3,0)),"")</f>
        <v/>
      </c>
    </row>
    <row r="1792" spans="2:3" x14ac:dyDescent="0.3">
      <c r="B1792" t="str">
        <f>IFERROR(IF(A1792="","",VLOOKUP(A1792,CadProd!$A:$B,2,0)),"")</f>
        <v/>
      </c>
      <c r="C1792" t="str">
        <f>IFERROR(IF(A1792="","",VLOOKUP(A1792,CadProd!$A:$C,3,0)),"")</f>
        <v/>
      </c>
    </row>
    <row r="1793" spans="2:3" x14ac:dyDescent="0.3">
      <c r="B1793" t="str">
        <f>IFERROR(IF(A1793="","",VLOOKUP(A1793,CadProd!$A:$B,2,0)),"")</f>
        <v/>
      </c>
      <c r="C1793" t="str">
        <f>IFERROR(IF(A1793="","",VLOOKUP(A1793,CadProd!$A:$C,3,0)),"")</f>
        <v/>
      </c>
    </row>
    <row r="1794" spans="2:3" x14ac:dyDescent="0.3">
      <c r="B1794" t="str">
        <f>IFERROR(IF(A1794="","",VLOOKUP(A1794,CadProd!$A:$B,2,0)),"")</f>
        <v/>
      </c>
      <c r="C1794" t="str">
        <f>IFERROR(IF(A1794="","",VLOOKUP(A1794,CadProd!$A:$C,3,0)),"")</f>
        <v/>
      </c>
    </row>
    <row r="1795" spans="2:3" x14ac:dyDescent="0.3">
      <c r="B1795" t="str">
        <f>IFERROR(IF(A1795="","",VLOOKUP(A1795,CadProd!$A:$B,2,0)),"")</f>
        <v/>
      </c>
      <c r="C1795" t="str">
        <f>IFERROR(IF(A1795="","",VLOOKUP(A1795,CadProd!$A:$C,3,0)),"")</f>
        <v/>
      </c>
    </row>
    <row r="1796" spans="2:3" x14ac:dyDescent="0.3">
      <c r="B1796" t="str">
        <f>IFERROR(IF(A1796="","",VLOOKUP(A1796,CadProd!$A:$B,2,0)),"")</f>
        <v/>
      </c>
      <c r="C1796" t="str">
        <f>IFERROR(IF(A1796="","",VLOOKUP(A1796,CadProd!$A:$C,3,0)),"")</f>
        <v/>
      </c>
    </row>
    <row r="1797" spans="2:3" x14ac:dyDescent="0.3">
      <c r="B1797" t="str">
        <f>IFERROR(IF(A1797="","",VLOOKUP(A1797,CadProd!$A:$B,2,0)),"")</f>
        <v/>
      </c>
      <c r="C1797" t="str">
        <f>IFERROR(IF(A1797="","",VLOOKUP(A1797,CadProd!$A:$C,3,0)),"")</f>
        <v/>
      </c>
    </row>
    <row r="1798" spans="2:3" x14ac:dyDescent="0.3">
      <c r="B1798" t="str">
        <f>IFERROR(IF(A1798="","",VLOOKUP(A1798,CadProd!$A:$B,2,0)),"")</f>
        <v/>
      </c>
      <c r="C1798" t="str">
        <f>IFERROR(IF(A1798="","",VLOOKUP(A1798,CadProd!$A:$C,3,0)),"")</f>
        <v/>
      </c>
    </row>
    <row r="1799" spans="2:3" x14ac:dyDescent="0.3">
      <c r="B1799" t="str">
        <f>IFERROR(IF(A1799="","",VLOOKUP(A1799,CadProd!$A:$B,2,0)),"")</f>
        <v/>
      </c>
      <c r="C1799" t="str">
        <f>IFERROR(IF(A1799="","",VLOOKUP(A1799,CadProd!$A:$C,3,0)),"")</f>
        <v/>
      </c>
    </row>
    <row r="1800" spans="2:3" x14ac:dyDescent="0.3">
      <c r="B1800" t="str">
        <f>IFERROR(IF(A1800="","",VLOOKUP(A1800,CadProd!$A:$B,2,0)),"")</f>
        <v/>
      </c>
      <c r="C1800" t="str">
        <f>IFERROR(IF(A1800="","",VLOOKUP(A1800,CadProd!$A:$C,3,0)),"")</f>
        <v/>
      </c>
    </row>
    <row r="1801" spans="2:3" x14ac:dyDescent="0.3">
      <c r="B1801" t="str">
        <f>IFERROR(IF(A1801="","",VLOOKUP(A1801,CadProd!$A:$B,2,0)),"")</f>
        <v/>
      </c>
      <c r="C1801" t="str">
        <f>IFERROR(IF(A1801="","",VLOOKUP(A1801,CadProd!$A:$C,3,0)),"")</f>
        <v/>
      </c>
    </row>
    <row r="1802" spans="2:3" x14ac:dyDescent="0.3">
      <c r="B1802" t="str">
        <f>IFERROR(IF(A1802="","",VLOOKUP(A1802,CadProd!$A:$B,2,0)),"")</f>
        <v/>
      </c>
      <c r="C1802" t="str">
        <f>IFERROR(IF(A1802="","",VLOOKUP(A1802,CadProd!$A:$C,3,0)),"")</f>
        <v/>
      </c>
    </row>
    <row r="1803" spans="2:3" x14ac:dyDescent="0.3">
      <c r="B1803" t="str">
        <f>IFERROR(IF(A1803="","",VLOOKUP(A1803,CadProd!$A:$B,2,0)),"")</f>
        <v/>
      </c>
      <c r="C1803" t="str">
        <f>IFERROR(IF(A1803="","",VLOOKUP(A1803,CadProd!$A:$C,3,0)),"")</f>
        <v/>
      </c>
    </row>
    <row r="1804" spans="2:3" x14ac:dyDescent="0.3">
      <c r="B1804" t="str">
        <f>IFERROR(IF(A1804="","",VLOOKUP(A1804,CadProd!$A:$B,2,0)),"")</f>
        <v/>
      </c>
      <c r="C1804" t="str">
        <f>IFERROR(IF(A1804="","",VLOOKUP(A1804,CadProd!$A:$C,3,0)),"")</f>
        <v/>
      </c>
    </row>
    <row r="1805" spans="2:3" x14ac:dyDescent="0.3">
      <c r="B1805" t="str">
        <f>IFERROR(IF(A1805="","",VLOOKUP(A1805,CadProd!$A:$B,2,0)),"")</f>
        <v/>
      </c>
      <c r="C1805" t="str">
        <f>IFERROR(IF(A1805="","",VLOOKUP(A1805,CadProd!$A:$C,3,0)),"")</f>
        <v/>
      </c>
    </row>
    <row r="1806" spans="2:3" x14ac:dyDescent="0.3">
      <c r="B1806" t="str">
        <f>IFERROR(IF(A1806="","",VLOOKUP(A1806,CadProd!$A:$B,2,0)),"")</f>
        <v/>
      </c>
      <c r="C1806" t="str">
        <f>IFERROR(IF(A1806="","",VLOOKUP(A1806,CadProd!$A:$C,3,0)),"")</f>
        <v/>
      </c>
    </row>
    <row r="1807" spans="2:3" x14ac:dyDescent="0.3">
      <c r="B1807" t="str">
        <f>IFERROR(IF(A1807="","",VLOOKUP(A1807,CadProd!$A:$B,2,0)),"")</f>
        <v/>
      </c>
      <c r="C1807" t="str">
        <f>IFERROR(IF(A1807="","",VLOOKUP(A1807,CadProd!$A:$C,3,0)),"")</f>
        <v/>
      </c>
    </row>
    <row r="1808" spans="2:3" x14ac:dyDescent="0.3">
      <c r="B1808" t="str">
        <f>IFERROR(IF(A1808="","",VLOOKUP(A1808,CadProd!$A:$B,2,0)),"")</f>
        <v/>
      </c>
      <c r="C1808" t="str">
        <f>IFERROR(IF(A1808="","",VLOOKUP(A1808,CadProd!$A:$C,3,0)),"")</f>
        <v/>
      </c>
    </row>
    <row r="1809" spans="2:3" x14ac:dyDescent="0.3">
      <c r="B1809" t="str">
        <f>IFERROR(IF(A1809="","",VLOOKUP(A1809,CadProd!$A:$B,2,0)),"")</f>
        <v/>
      </c>
      <c r="C1809" t="str">
        <f>IFERROR(IF(A1809="","",VLOOKUP(A1809,CadProd!$A:$C,3,0)),"")</f>
        <v/>
      </c>
    </row>
    <row r="1810" spans="2:3" x14ac:dyDescent="0.3">
      <c r="B1810" t="str">
        <f>IFERROR(IF(A1810="","",VLOOKUP(A1810,CadProd!$A:$B,2,0)),"")</f>
        <v/>
      </c>
      <c r="C1810" t="str">
        <f>IFERROR(IF(A1810="","",VLOOKUP(A1810,CadProd!$A:$C,3,0)),"")</f>
        <v/>
      </c>
    </row>
    <row r="1811" spans="2:3" x14ac:dyDescent="0.3">
      <c r="B1811" t="str">
        <f>IFERROR(IF(A1811="","",VLOOKUP(A1811,CadProd!$A:$B,2,0)),"")</f>
        <v/>
      </c>
      <c r="C1811" t="str">
        <f>IFERROR(IF(A1811="","",VLOOKUP(A1811,CadProd!$A:$C,3,0)),"")</f>
        <v/>
      </c>
    </row>
    <row r="1812" spans="2:3" x14ac:dyDescent="0.3">
      <c r="B1812" t="str">
        <f>IFERROR(IF(A1812="","",VLOOKUP(A1812,CadProd!$A:$B,2,0)),"")</f>
        <v/>
      </c>
      <c r="C1812" t="str">
        <f>IFERROR(IF(A1812="","",VLOOKUP(A1812,CadProd!$A:$C,3,0)),"")</f>
        <v/>
      </c>
    </row>
    <row r="1813" spans="2:3" x14ac:dyDescent="0.3">
      <c r="B1813" t="str">
        <f>IFERROR(IF(A1813="","",VLOOKUP(A1813,CadProd!$A:$B,2,0)),"")</f>
        <v/>
      </c>
      <c r="C1813" t="str">
        <f>IFERROR(IF(A1813="","",VLOOKUP(A1813,CadProd!$A:$C,3,0)),"")</f>
        <v/>
      </c>
    </row>
    <row r="1814" spans="2:3" x14ac:dyDescent="0.3">
      <c r="B1814" t="str">
        <f>IFERROR(IF(A1814="","",VLOOKUP(A1814,CadProd!$A:$B,2,0)),"")</f>
        <v/>
      </c>
      <c r="C1814" t="str">
        <f>IFERROR(IF(A1814="","",VLOOKUP(A1814,CadProd!$A:$C,3,0)),"")</f>
        <v/>
      </c>
    </row>
    <row r="1815" spans="2:3" x14ac:dyDescent="0.3">
      <c r="B1815" t="str">
        <f>IFERROR(IF(A1815="","",VLOOKUP(A1815,CadProd!$A:$B,2,0)),"")</f>
        <v/>
      </c>
      <c r="C1815" t="str">
        <f>IFERROR(IF(A1815="","",VLOOKUP(A1815,CadProd!$A:$C,3,0)),"")</f>
        <v/>
      </c>
    </row>
    <row r="1816" spans="2:3" x14ac:dyDescent="0.3">
      <c r="B1816" t="str">
        <f>IFERROR(IF(A1816="","",VLOOKUP(A1816,CadProd!$A:$B,2,0)),"")</f>
        <v/>
      </c>
      <c r="C1816" t="str">
        <f>IFERROR(IF(A1816="","",VLOOKUP(A1816,CadProd!$A:$C,3,0)),"")</f>
        <v/>
      </c>
    </row>
    <row r="1817" spans="2:3" x14ac:dyDescent="0.3">
      <c r="B1817" t="str">
        <f>IFERROR(IF(A1817="","",VLOOKUP(A1817,CadProd!$A:$B,2,0)),"")</f>
        <v/>
      </c>
      <c r="C1817" t="str">
        <f>IFERROR(IF(A1817="","",VLOOKUP(A1817,CadProd!$A:$C,3,0)),"")</f>
        <v/>
      </c>
    </row>
    <row r="1818" spans="2:3" x14ac:dyDescent="0.3">
      <c r="B1818" t="str">
        <f>IFERROR(IF(A1818="","",VLOOKUP(A1818,CadProd!$A:$B,2,0)),"")</f>
        <v/>
      </c>
      <c r="C1818" t="str">
        <f>IFERROR(IF(A1818="","",VLOOKUP(A1818,CadProd!$A:$C,3,0)),"")</f>
        <v/>
      </c>
    </row>
    <row r="1819" spans="2:3" x14ac:dyDescent="0.3">
      <c r="B1819" t="str">
        <f>IFERROR(IF(A1819="","",VLOOKUP(A1819,CadProd!$A:$B,2,0)),"")</f>
        <v/>
      </c>
      <c r="C1819" t="str">
        <f>IFERROR(IF(A1819="","",VLOOKUP(A1819,CadProd!$A:$C,3,0)),"")</f>
        <v/>
      </c>
    </row>
    <row r="1820" spans="2:3" x14ac:dyDescent="0.3">
      <c r="B1820" t="str">
        <f>IFERROR(IF(A1820="","",VLOOKUP(A1820,CadProd!$A:$B,2,0)),"")</f>
        <v/>
      </c>
      <c r="C1820" t="str">
        <f>IFERROR(IF(A1820="","",VLOOKUP(A1820,CadProd!$A:$C,3,0)),"")</f>
        <v/>
      </c>
    </row>
    <row r="1821" spans="2:3" x14ac:dyDescent="0.3">
      <c r="B1821" t="str">
        <f>IFERROR(IF(A1821="","",VLOOKUP(A1821,CadProd!$A:$B,2,0)),"")</f>
        <v/>
      </c>
      <c r="C1821" t="str">
        <f>IFERROR(IF(A1821="","",VLOOKUP(A1821,CadProd!$A:$C,3,0)),"")</f>
        <v/>
      </c>
    </row>
    <row r="1822" spans="2:3" x14ac:dyDescent="0.3">
      <c r="B1822" t="str">
        <f>IFERROR(IF(A1822="","",VLOOKUP(A1822,CadProd!$A:$B,2,0)),"")</f>
        <v/>
      </c>
      <c r="C1822" t="str">
        <f>IFERROR(IF(A1822="","",VLOOKUP(A1822,CadProd!$A:$C,3,0)),"")</f>
        <v/>
      </c>
    </row>
    <row r="1823" spans="2:3" x14ac:dyDescent="0.3">
      <c r="B1823" t="str">
        <f>IFERROR(IF(A1823="","",VLOOKUP(A1823,CadProd!$A:$B,2,0)),"")</f>
        <v/>
      </c>
      <c r="C1823" t="str">
        <f>IFERROR(IF(A1823="","",VLOOKUP(A1823,CadProd!$A:$C,3,0)),"")</f>
        <v/>
      </c>
    </row>
    <row r="1824" spans="2:3" x14ac:dyDescent="0.3">
      <c r="B1824" t="str">
        <f>IFERROR(IF(A1824="","",VLOOKUP(A1824,CadProd!$A:$B,2,0)),"")</f>
        <v/>
      </c>
      <c r="C1824" t="str">
        <f>IFERROR(IF(A1824="","",VLOOKUP(A1824,CadProd!$A:$C,3,0)),"")</f>
        <v/>
      </c>
    </row>
    <row r="1825" spans="2:3" x14ac:dyDescent="0.3">
      <c r="B1825" t="str">
        <f>IFERROR(IF(A1825="","",VLOOKUP(A1825,CadProd!$A:$B,2,0)),"")</f>
        <v/>
      </c>
      <c r="C1825" t="str">
        <f>IFERROR(IF(A1825="","",VLOOKUP(A1825,CadProd!$A:$C,3,0)),"")</f>
        <v/>
      </c>
    </row>
    <row r="1826" spans="2:3" x14ac:dyDescent="0.3">
      <c r="B1826" t="str">
        <f>IFERROR(IF(A1826="","",VLOOKUP(A1826,CadProd!$A:$B,2,0)),"")</f>
        <v/>
      </c>
      <c r="C1826" t="str">
        <f>IFERROR(IF(A1826="","",VLOOKUP(A1826,CadProd!$A:$C,3,0)),"")</f>
        <v/>
      </c>
    </row>
    <row r="1827" spans="2:3" x14ac:dyDescent="0.3">
      <c r="B1827" t="str">
        <f>IFERROR(IF(A1827="","",VLOOKUP(A1827,CadProd!$A:$B,2,0)),"")</f>
        <v/>
      </c>
      <c r="C1827" t="str">
        <f>IFERROR(IF(A1827="","",VLOOKUP(A1827,CadProd!$A:$C,3,0)),"")</f>
        <v/>
      </c>
    </row>
    <row r="1828" spans="2:3" x14ac:dyDescent="0.3">
      <c r="B1828" t="str">
        <f>IFERROR(IF(A1828="","",VLOOKUP(A1828,CadProd!$A:$B,2,0)),"")</f>
        <v/>
      </c>
      <c r="C1828" t="str">
        <f>IFERROR(IF(A1828="","",VLOOKUP(A1828,CadProd!$A:$C,3,0)),"")</f>
        <v/>
      </c>
    </row>
    <row r="1829" spans="2:3" x14ac:dyDescent="0.3">
      <c r="B1829" t="str">
        <f>IFERROR(IF(A1829="","",VLOOKUP(A1829,CadProd!$A:$B,2,0)),"")</f>
        <v/>
      </c>
      <c r="C1829" t="str">
        <f>IFERROR(IF(A1829="","",VLOOKUP(A1829,CadProd!$A:$C,3,0)),"")</f>
        <v/>
      </c>
    </row>
    <row r="1830" spans="2:3" x14ac:dyDescent="0.3">
      <c r="B1830" t="str">
        <f>IFERROR(IF(A1830="","",VLOOKUP(A1830,CadProd!$A:$B,2,0)),"")</f>
        <v/>
      </c>
      <c r="C1830" t="str">
        <f>IFERROR(IF(A1830="","",VLOOKUP(A1830,CadProd!$A:$C,3,0)),"")</f>
        <v/>
      </c>
    </row>
    <row r="1831" spans="2:3" x14ac:dyDescent="0.3">
      <c r="B1831" t="str">
        <f>IFERROR(IF(A1831="","",VLOOKUP(A1831,CadProd!$A:$B,2,0)),"")</f>
        <v/>
      </c>
      <c r="C1831" t="str">
        <f>IFERROR(IF(A1831="","",VLOOKUP(A1831,CadProd!$A:$C,3,0)),"")</f>
        <v/>
      </c>
    </row>
    <row r="1832" spans="2:3" x14ac:dyDescent="0.3">
      <c r="B1832" t="str">
        <f>IFERROR(IF(A1832="","",VLOOKUP(A1832,CadProd!$A:$B,2,0)),"")</f>
        <v/>
      </c>
      <c r="C1832" t="str">
        <f>IFERROR(IF(A1832="","",VLOOKUP(A1832,CadProd!$A:$C,3,0)),"")</f>
        <v/>
      </c>
    </row>
    <row r="1833" spans="2:3" x14ac:dyDescent="0.3">
      <c r="B1833" t="str">
        <f>IFERROR(IF(A1833="","",VLOOKUP(A1833,CadProd!$A:$B,2,0)),"")</f>
        <v/>
      </c>
      <c r="C1833" t="str">
        <f>IFERROR(IF(A1833="","",VLOOKUP(A1833,CadProd!$A:$C,3,0)),"")</f>
        <v/>
      </c>
    </row>
    <row r="1834" spans="2:3" x14ac:dyDescent="0.3">
      <c r="B1834" t="str">
        <f>IFERROR(IF(A1834="","",VLOOKUP(A1834,CadProd!$A:$B,2,0)),"")</f>
        <v/>
      </c>
      <c r="C1834" t="str">
        <f>IFERROR(IF(A1834="","",VLOOKUP(A1834,CadProd!$A:$C,3,0)),"")</f>
        <v/>
      </c>
    </row>
    <row r="1835" spans="2:3" x14ac:dyDescent="0.3">
      <c r="B1835" t="str">
        <f>IFERROR(IF(A1835="","",VLOOKUP(A1835,CadProd!$A:$B,2,0)),"")</f>
        <v/>
      </c>
      <c r="C1835" t="str">
        <f>IFERROR(IF(A1835="","",VLOOKUP(A1835,CadProd!$A:$C,3,0)),"")</f>
        <v/>
      </c>
    </row>
    <row r="1836" spans="2:3" x14ac:dyDescent="0.3">
      <c r="B1836" t="str">
        <f>IFERROR(IF(A1836="","",VLOOKUP(A1836,CadProd!$A:$B,2,0)),"")</f>
        <v/>
      </c>
      <c r="C1836" t="str">
        <f>IFERROR(IF(A1836="","",VLOOKUP(A1836,CadProd!$A:$C,3,0)),"")</f>
        <v/>
      </c>
    </row>
    <row r="1837" spans="2:3" x14ac:dyDescent="0.3">
      <c r="B1837" t="str">
        <f>IFERROR(IF(A1837="","",VLOOKUP(A1837,CadProd!$A:$B,2,0)),"")</f>
        <v/>
      </c>
      <c r="C1837" t="str">
        <f>IFERROR(IF(A1837="","",VLOOKUP(A1837,CadProd!$A:$C,3,0)),"")</f>
        <v/>
      </c>
    </row>
    <row r="1838" spans="2:3" x14ac:dyDescent="0.3">
      <c r="B1838" t="str">
        <f>IFERROR(IF(A1838="","",VLOOKUP(A1838,CadProd!$A:$B,2,0)),"")</f>
        <v/>
      </c>
      <c r="C1838" t="str">
        <f>IFERROR(IF(A1838="","",VLOOKUP(A1838,CadProd!$A:$C,3,0)),"")</f>
        <v/>
      </c>
    </row>
    <row r="1839" spans="2:3" x14ac:dyDescent="0.3">
      <c r="B1839" t="str">
        <f>IFERROR(IF(A1839="","",VLOOKUP(A1839,CadProd!$A:$B,2,0)),"")</f>
        <v/>
      </c>
      <c r="C1839" t="str">
        <f>IFERROR(IF(A1839="","",VLOOKUP(A1839,CadProd!$A:$C,3,0)),"")</f>
        <v/>
      </c>
    </row>
    <row r="1840" spans="2:3" x14ac:dyDescent="0.3">
      <c r="B1840" t="str">
        <f>IFERROR(IF(A1840="","",VLOOKUP(A1840,CadProd!$A:$B,2,0)),"")</f>
        <v/>
      </c>
      <c r="C1840" t="str">
        <f>IFERROR(IF(A1840="","",VLOOKUP(A1840,CadProd!$A:$C,3,0)),"")</f>
        <v/>
      </c>
    </row>
    <row r="1841" spans="2:3" x14ac:dyDescent="0.3">
      <c r="B1841" t="str">
        <f>IFERROR(IF(A1841="","",VLOOKUP(A1841,CadProd!$A:$B,2,0)),"")</f>
        <v/>
      </c>
      <c r="C1841" t="str">
        <f>IFERROR(IF(A1841="","",VLOOKUP(A1841,CadProd!$A:$C,3,0)),"")</f>
        <v/>
      </c>
    </row>
    <row r="1842" spans="2:3" x14ac:dyDescent="0.3">
      <c r="B1842" t="str">
        <f>IFERROR(IF(A1842="","",VLOOKUP(A1842,CadProd!$A:$B,2,0)),"")</f>
        <v/>
      </c>
      <c r="C1842" t="str">
        <f>IFERROR(IF(A1842="","",VLOOKUP(A1842,CadProd!$A:$C,3,0)),"")</f>
        <v/>
      </c>
    </row>
    <row r="1843" spans="2:3" x14ac:dyDescent="0.3">
      <c r="B1843" t="str">
        <f>IFERROR(IF(A1843="","",VLOOKUP(A1843,CadProd!$A:$B,2,0)),"")</f>
        <v/>
      </c>
      <c r="C1843" t="str">
        <f>IFERROR(IF(A1843="","",VLOOKUP(A1843,CadProd!$A:$C,3,0)),"")</f>
        <v/>
      </c>
    </row>
    <row r="1844" spans="2:3" x14ac:dyDescent="0.3">
      <c r="B1844" t="str">
        <f>IFERROR(IF(A1844="","",VLOOKUP(A1844,CadProd!$A:$B,2,0)),"")</f>
        <v/>
      </c>
      <c r="C1844" t="str">
        <f>IFERROR(IF(A1844="","",VLOOKUP(A1844,CadProd!$A:$C,3,0)),"")</f>
        <v/>
      </c>
    </row>
    <row r="1845" spans="2:3" x14ac:dyDescent="0.3">
      <c r="B1845" t="str">
        <f>IFERROR(IF(A1845="","",VLOOKUP(A1845,CadProd!$A:$B,2,0)),"")</f>
        <v/>
      </c>
      <c r="C1845" t="str">
        <f>IFERROR(IF(A1845="","",VLOOKUP(A1845,CadProd!$A:$C,3,0)),"")</f>
        <v/>
      </c>
    </row>
    <row r="1846" spans="2:3" x14ac:dyDescent="0.3">
      <c r="B1846" t="str">
        <f>IFERROR(IF(A1846="","",VLOOKUP(A1846,CadProd!$A:$B,2,0)),"")</f>
        <v/>
      </c>
      <c r="C1846" t="str">
        <f>IFERROR(IF(A1846="","",VLOOKUP(A1846,CadProd!$A:$C,3,0)),"")</f>
        <v/>
      </c>
    </row>
    <row r="1847" spans="2:3" x14ac:dyDescent="0.3">
      <c r="B1847" t="str">
        <f>IFERROR(IF(A1847="","",VLOOKUP(A1847,CadProd!$A:$B,2,0)),"")</f>
        <v/>
      </c>
      <c r="C1847" t="str">
        <f>IFERROR(IF(A1847="","",VLOOKUP(A1847,CadProd!$A:$C,3,0)),"")</f>
        <v/>
      </c>
    </row>
    <row r="1848" spans="2:3" x14ac:dyDescent="0.3">
      <c r="B1848" t="str">
        <f>IFERROR(IF(A1848="","",VLOOKUP(A1848,CadProd!$A:$B,2,0)),"")</f>
        <v/>
      </c>
      <c r="C1848" t="str">
        <f>IFERROR(IF(A1848="","",VLOOKUP(A1848,CadProd!$A:$C,3,0)),"")</f>
        <v/>
      </c>
    </row>
    <row r="1849" spans="2:3" x14ac:dyDescent="0.3">
      <c r="B1849" t="str">
        <f>IFERROR(IF(A1849="","",VLOOKUP(A1849,CadProd!$A:$B,2,0)),"")</f>
        <v/>
      </c>
      <c r="C1849" t="str">
        <f>IFERROR(IF(A1849="","",VLOOKUP(A1849,CadProd!$A:$C,3,0)),"")</f>
        <v/>
      </c>
    </row>
    <row r="1850" spans="2:3" x14ac:dyDescent="0.3">
      <c r="B1850" t="str">
        <f>IFERROR(IF(A1850="","",VLOOKUP(A1850,CadProd!$A:$B,2,0)),"")</f>
        <v/>
      </c>
      <c r="C1850" t="str">
        <f>IFERROR(IF(A1850="","",VLOOKUP(A1850,CadProd!$A:$C,3,0)),"")</f>
        <v/>
      </c>
    </row>
    <row r="1851" spans="2:3" x14ac:dyDescent="0.3">
      <c r="B1851" t="str">
        <f>IFERROR(IF(A1851="","",VLOOKUP(A1851,CadProd!$A:$B,2,0)),"")</f>
        <v/>
      </c>
      <c r="C1851" t="str">
        <f>IFERROR(IF(A1851="","",VLOOKUP(A1851,CadProd!$A:$C,3,0)),"")</f>
        <v/>
      </c>
    </row>
    <row r="1852" spans="2:3" x14ac:dyDescent="0.3">
      <c r="B1852" t="str">
        <f>IFERROR(IF(A1852="","",VLOOKUP(A1852,CadProd!$A:$B,2,0)),"")</f>
        <v/>
      </c>
      <c r="C1852" t="str">
        <f>IFERROR(IF(A1852="","",VLOOKUP(A1852,CadProd!$A:$C,3,0)),"")</f>
        <v/>
      </c>
    </row>
    <row r="1853" spans="2:3" x14ac:dyDescent="0.3">
      <c r="B1853" t="str">
        <f>IFERROR(IF(A1853="","",VLOOKUP(A1853,CadProd!$A:$B,2,0)),"")</f>
        <v/>
      </c>
      <c r="C1853" t="str">
        <f>IFERROR(IF(A1853="","",VLOOKUP(A1853,CadProd!$A:$C,3,0)),"")</f>
        <v/>
      </c>
    </row>
    <row r="1854" spans="2:3" x14ac:dyDescent="0.3">
      <c r="B1854" t="str">
        <f>IFERROR(IF(A1854="","",VLOOKUP(A1854,CadProd!$A:$B,2,0)),"")</f>
        <v/>
      </c>
      <c r="C1854" t="str">
        <f>IFERROR(IF(A1854="","",VLOOKUP(A1854,CadProd!$A:$C,3,0)),"")</f>
        <v/>
      </c>
    </row>
    <row r="1855" spans="2:3" x14ac:dyDescent="0.3">
      <c r="B1855" t="str">
        <f>IFERROR(IF(A1855="","",VLOOKUP(A1855,CadProd!$A:$B,2,0)),"")</f>
        <v/>
      </c>
      <c r="C1855" t="str">
        <f>IFERROR(IF(A1855="","",VLOOKUP(A1855,CadProd!$A:$C,3,0)),"")</f>
        <v/>
      </c>
    </row>
    <row r="1856" spans="2:3" x14ac:dyDescent="0.3">
      <c r="B1856" t="str">
        <f>IFERROR(IF(A1856="","",VLOOKUP(A1856,CadProd!$A:$B,2,0)),"")</f>
        <v/>
      </c>
      <c r="C1856" t="str">
        <f>IFERROR(IF(A1856="","",VLOOKUP(A1856,CadProd!$A:$C,3,0)),"")</f>
        <v/>
      </c>
    </row>
    <row r="1857" spans="2:3" x14ac:dyDescent="0.3">
      <c r="B1857" t="str">
        <f>IFERROR(IF(A1857="","",VLOOKUP(A1857,CadProd!$A:$B,2,0)),"")</f>
        <v/>
      </c>
      <c r="C1857" t="str">
        <f>IFERROR(IF(A1857="","",VLOOKUP(A1857,CadProd!$A:$C,3,0)),"")</f>
        <v/>
      </c>
    </row>
    <row r="1858" spans="2:3" x14ac:dyDescent="0.3">
      <c r="B1858" t="str">
        <f>IFERROR(IF(A1858="","",VLOOKUP(A1858,CadProd!$A:$B,2,0)),"")</f>
        <v/>
      </c>
      <c r="C1858" t="str">
        <f>IFERROR(IF(A1858="","",VLOOKUP(A1858,CadProd!$A:$C,3,0)),"")</f>
        <v/>
      </c>
    </row>
    <row r="1859" spans="2:3" x14ac:dyDescent="0.3">
      <c r="B1859" t="str">
        <f>IFERROR(IF(A1859="","",VLOOKUP(A1859,CadProd!$A:$B,2,0)),"")</f>
        <v/>
      </c>
      <c r="C1859" t="str">
        <f>IFERROR(IF(A1859="","",VLOOKUP(A1859,CadProd!$A:$C,3,0)),"")</f>
        <v/>
      </c>
    </row>
    <row r="1860" spans="2:3" x14ac:dyDescent="0.3">
      <c r="B1860" t="str">
        <f>IFERROR(IF(A1860="","",VLOOKUP(A1860,CadProd!$A:$B,2,0)),"")</f>
        <v/>
      </c>
      <c r="C1860" t="str">
        <f>IFERROR(IF(A1860="","",VLOOKUP(A1860,CadProd!$A:$C,3,0)),"")</f>
        <v/>
      </c>
    </row>
    <row r="1861" spans="2:3" x14ac:dyDescent="0.3">
      <c r="B1861" t="str">
        <f>IFERROR(IF(A1861="","",VLOOKUP(A1861,CadProd!$A:$B,2,0)),"")</f>
        <v/>
      </c>
      <c r="C1861" t="str">
        <f>IFERROR(IF(A1861="","",VLOOKUP(A1861,CadProd!$A:$C,3,0)),"")</f>
        <v/>
      </c>
    </row>
    <row r="1862" spans="2:3" x14ac:dyDescent="0.3">
      <c r="B1862" t="str">
        <f>IFERROR(IF(A1862="","",VLOOKUP(A1862,CadProd!$A:$B,2,0)),"")</f>
        <v/>
      </c>
      <c r="C1862" t="str">
        <f>IFERROR(IF(A1862="","",VLOOKUP(A1862,CadProd!$A:$C,3,0)),"")</f>
        <v/>
      </c>
    </row>
    <row r="1863" spans="2:3" x14ac:dyDescent="0.3">
      <c r="B1863" t="str">
        <f>IFERROR(IF(A1863="","",VLOOKUP(A1863,CadProd!$A:$B,2,0)),"")</f>
        <v/>
      </c>
      <c r="C1863" t="str">
        <f>IFERROR(IF(A1863="","",VLOOKUP(A1863,CadProd!$A:$C,3,0)),"")</f>
        <v/>
      </c>
    </row>
    <row r="1864" spans="2:3" x14ac:dyDescent="0.3">
      <c r="B1864" t="str">
        <f>IFERROR(IF(A1864="","",VLOOKUP(A1864,CadProd!$A:$B,2,0)),"")</f>
        <v/>
      </c>
      <c r="C1864" t="str">
        <f>IFERROR(IF(A1864="","",VLOOKUP(A1864,CadProd!$A:$C,3,0)),"")</f>
        <v/>
      </c>
    </row>
    <row r="1865" spans="2:3" x14ac:dyDescent="0.3">
      <c r="B1865" t="str">
        <f>IFERROR(IF(A1865="","",VLOOKUP(A1865,CadProd!$A:$B,2,0)),"")</f>
        <v/>
      </c>
      <c r="C1865" t="str">
        <f>IFERROR(IF(A1865="","",VLOOKUP(A1865,CadProd!$A:$C,3,0)),"")</f>
        <v/>
      </c>
    </row>
    <row r="1866" spans="2:3" x14ac:dyDescent="0.3">
      <c r="B1866" t="str">
        <f>IFERROR(IF(A1866="","",VLOOKUP(A1866,CadProd!$A:$B,2,0)),"")</f>
        <v/>
      </c>
      <c r="C1866" t="str">
        <f>IFERROR(IF(A1866="","",VLOOKUP(A1866,CadProd!$A:$C,3,0)),"")</f>
        <v/>
      </c>
    </row>
    <row r="1867" spans="2:3" x14ac:dyDescent="0.3">
      <c r="B1867" t="str">
        <f>IFERROR(IF(A1867="","",VLOOKUP(A1867,CadProd!$A:$B,2,0)),"")</f>
        <v/>
      </c>
      <c r="C1867" t="str">
        <f>IFERROR(IF(A1867="","",VLOOKUP(A1867,CadProd!$A:$C,3,0)),"")</f>
        <v/>
      </c>
    </row>
    <row r="1868" spans="2:3" x14ac:dyDescent="0.3">
      <c r="B1868" t="str">
        <f>IFERROR(IF(A1868="","",VLOOKUP(A1868,CadProd!$A:$B,2,0)),"")</f>
        <v/>
      </c>
      <c r="C1868" t="str">
        <f>IFERROR(IF(A1868="","",VLOOKUP(A1868,CadProd!$A:$C,3,0)),"")</f>
        <v/>
      </c>
    </row>
    <row r="1869" spans="2:3" x14ac:dyDescent="0.3">
      <c r="B1869" t="str">
        <f>IFERROR(IF(A1869="","",VLOOKUP(A1869,CadProd!$A:$B,2,0)),"")</f>
        <v/>
      </c>
      <c r="C1869" t="str">
        <f>IFERROR(IF(A1869="","",VLOOKUP(A1869,CadProd!$A:$C,3,0)),"")</f>
        <v/>
      </c>
    </row>
    <row r="1870" spans="2:3" x14ac:dyDescent="0.3">
      <c r="B1870" t="str">
        <f>IFERROR(IF(A1870="","",VLOOKUP(A1870,CadProd!$A:$B,2,0)),"")</f>
        <v/>
      </c>
      <c r="C1870" t="str">
        <f>IFERROR(IF(A1870="","",VLOOKUP(A1870,CadProd!$A:$C,3,0)),"")</f>
        <v/>
      </c>
    </row>
    <row r="1871" spans="2:3" x14ac:dyDescent="0.3">
      <c r="B1871" t="str">
        <f>IFERROR(IF(A1871="","",VLOOKUP(A1871,CadProd!$A:$B,2,0)),"")</f>
        <v/>
      </c>
      <c r="C1871" t="str">
        <f>IFERROR(IF(A1871="","",VLOOKUP(A1871,CadProd!$A:$C,3,0)),"")</f>
        <v/>
      </c>
    </row>
    <row r="1872" spans="2:3" x14ac:dyDescent="0.3">
      <c r="B1872" t="str">
        <f>IFERROR(IF(A1872="","",VLOOKUP(A1872,CadProd!$A:$B,2,0)),"")</f>
        <v/>
      </c>
      <c r="C1872" t="str">
        <f>IFERROR(IF(A1872="","",VLOOKUP(A1872,CadProd!$A:$C,3,0)),"")</f>
        <v/>
      </c>
    </row>
    <row r="1873" spans="2:3" x14ac:dyDescent="0.3">
      <c r="B1873" t="str">
        <f>IFERROR(IF(A1873="","",VLOOKUP(A1873,CadProd!$A:$B,2,0)),"")</f>
        <v/>
      </c>
      <c r="C1873" t="str">
        <f>IFERROR(IF(A1873="","",VLOOKUP(A1873,CadProd!$A:$C,3,0)),"")</f>
        <v/>
      </c>
    </row>
    <row r="1874" spans="2:3" x14ac:dyDescent="0.3">
      <c r="B1874" t="str">
        <f>IFERROR(IF(A1874="","",VLOOKUP(A1874,CadProd!$A:$B,2,0)),"")</f>
        <v/>
      </c>
      <c r="C1874" t="str">
        <f>IFERROR(IF(A1874="","",VLOOKUP(A1874,CadProd!$A:$C,3,0)),"")</f>
        <v/>
      </c>
    </row>
    <row r="1875" spans="2:3" x14ac:dyDescent="0.3">
      <c r="B1875" t="str">
        <f>IFERROR(IF(A1875="","",VLOOKUP(A1875,CadProd!$A:$B,2,0)),"")</f>
        <v/>
      </c>
      <c r="C1875" t="str">
        <f>IFERROR(IF(A1875="","",VLOOKUP(A1875,CadProd!$A:$C,3,0)),"")</f>
        <v/>
      </c>
    </row>
    <row r="1876" spans="2:3" x14ac:dyDescent="0.3">
      <c r="B1876" t="str">
        <f>IFERROR(IF(A1876="","",VLOOKUP(A1876,CadProd!$A:$B,2,0)),"")</f>
        <v/>
      </c>
      <c r="C1876" t="str">
        <f>IFERROR(IF(A1876="","",VLOOKUP(A1876,CadProd!$A:$C,3,0)),"")</f>
        <v/>
      </c>
    </row>
    <row r="1877" spans="2:3" x14ac:dyDescent="0.3">
      <c r="B1877" t="str">
        <f>IFERROR(IF(A1877="","",VLOOKUP(A1877,CadProd!$A:$B,2,0)),"")</f>
        <v/>
      </c>
      <c r="C1877" t="str">
        <f>IFERROR(IF(A1877="","",VLOOKUP(A1877,CadProd!$A:$C,3,0)),"")</f>
        <v/>
      </c>
    </row>
    <row r="1878" spans="2:3" x14ac:dyDescent="0.3">
      <c r="B1878" t="str">
        <f>IFERROR(IF(A1878="","",VLOOKUP(A1878,CadProd!$A:$B,2,0)),"")</f>
        <v/>
      </c>
      <c r="C1878" t="str">
        <f>IFERROR(IF(A1878="","",VLOOKUP(A1878,CadProd!$A:$C,3,0)),"")</f>
        <v/>
      </c>
    </row>
    <row r="1879" spans="2:3" x14ac:dyDescent="0.3">
      <c r="B1879" t="str">
        <f>IFERROR(IF(A1879="","",VLOOKUP(A1879,CadProd!$A:$B,2,0)),"")</f>
        <v/>
      </c>
      <c r="C1879" t="str">
        <f>IFERROR(IF(A1879="","",VLOOKUP(A1879,CadProd!$A:$C,3,0)),"")</f>
        <v/>
      </c>
    </row>
    <row r="1880" spans="2:3" x14ac:dyDescent="0.3">
      <c r="B1880" t="str">
        <f>IFERROR(IF(A1880="","",VLOOKUP(A1880,CadProd!$A:$B,2,0)),"")</f>
        <v/>
      </c>
      <c r="C1880" t="str">
        <f>IFERROR(IF(A1880="","",VLOOKUP(A1880,CadProd!$A:$C,3,0)),"")</f>
        <v/>
      </c>
    </row>
    <row r="1881" spans="2:3" x14ac:dyDescent="0.3">
      <c r="B1881" t="str">
        <f>IFERROR(IF(A1881="","",VLOOKUP(A1881,CadProd!$A:$B,2,0)),"")</f>
        <v/>
      </c>
      <c r="C1881" t="str">
        <f>IFERROR(IF(A1881="","",VLOOKUP(A1881,CadProd!$A:$C,3,0)),"")</f>
        <v/>
      </c>
    </row>
    <row r="1882" spans="2:3" x14ac:dyDescent="0.3">
      <c r="B1882" t="str">
        <f>IFERROR(IF(A1882="","",VLOOKUP(A1882,CadProd!$A:$B,2,0)),"")</f>
        <v/>
      </c>
      <c r="C1882" t="str">
        <f>IFERROR(IF(A1882="","",VLOOKUP(A1882,CadProd!$A:$C,3,0)),"")</f>
        <v/>
      </c>
    </row>
    <row r="1883" spans="2:3" x14ac:dyDescent="0.3">
      <c r="B1883" t="str">
        <f>IFERROR(IF(A1883="","",VLOOKUP(A1883,CadProd!$A:$B,2,0)),"")</f>
        <v/>
      </c>
      <c r="C1883" t="str">
        <f>IFERROR(IF(A1883="","",VLOOKUP(A1883,CadProd!$A:$C,3,0)),"")</f>
        <v/>
      </c>
    </row>
    <row r="1884" spans="2:3" x14ac:dyDescent="0.3">
      <c r="B1884" t="str">
        <f>IFERROR(IF(A1884="","",VLOOKUP(A1884,CadProd!$A:$B,2,0)),"")</f>
        <v/>
      </c>
      <c r="C1884" t="str">
        <f>IFERROR(IF(A1884="","",VLOOKUP(A1884,CadProd!$A:$C,3,0)),"")</f>
        <v/>
      </c>
    </row>
    <row r="1885" spans="2:3" x14ac:dyDescent="0.3">
      <c r="B1885" t="str">
        <f>IFERROR(IF(A1885="","",VLOOKUP(A1885,CadProd!$A:$B,2,0)),"")</f>
        <v/>
      </c>
      <c r="C1885" t="str">
        <f>IFERROR(IF(A1885="","",VLOOKUP(A1885,CadProd!$A:$C,3,0)),"")</f>
        <v/>
      </c>
    </row>
    <row r="1886" spans="2:3" x14ac:dyDescent="0.3">
      <c r="B1886" t="str">
        <f>IFERROR(IF(A1886="","",VLOOKUP(A1886,CadProd!$A:$B,2,0)),"")</f>
        <v/>
      </c>
      <c r="C1886" t="str">
        <f>IFERROR(IF(A1886="","",VLOOKUP(A1886,CadProd!$A:$C,3,0)),"")</f>
        <v/>
      </c>
    </row>
    <row r="1887" spans="2:3" x14ac:dyDescent="0.3">
      <c r="B1887" t="str">
        <f>IFERROR(IF(A1887="","",VLOOKUP(A1887,CadProd!$A:$B,2,0)),"")</f>
        <v/>
      </c>
      <c r="C1887" t="str">
        <f>IFERROR(IF(A1887="","",VLOOKUP(A1887,CadProd!$A:$C,3,0)),"")</f>
        <v/>
      </c>
    </row>
    <row r="1888" spans="2:3" x14ac:dyDescent="0.3">
      <c r="B1888" t="str">
        <f>IFERROR(IF(A1888="","",VLOOKUP(A1888,CadProd!$A:$B,2,0)),"")</f>
        <v/>
      </c>
      <c r="C1888" t="str">
        <f>IFERROR(IF(A1888="","",VLOOKUP(A1888,CadProd!$A:$C,3,0)),"")</f>
        <v/>
      </c>
    </row>
    <row r="1889" spans="2:3" x14ac:dyDescent="0.3">
      <c r="B1889" t="str">
        <f>IFERROR(IF(A1889="","",VLOOKUP(A1889,CadProd!$A:$B,2,0)),"")</f>
        <v/>
      </c>
      <c r="C1889" t="str">
        <f>IFERROR(IF(A1889="","",VLOOKUP(A1889,CadProd!$A:$C,3,0)),"")</f>
        <v/>
      </c>
    </row>
    <row r="1890" spans="2:3" x14ac:dyDescent="0.3">
      <c r="B1890" t="str">
        <f>IFERROR(IF(A1890="","",VLOOKUP(A1890,CadProd!$A:$B,2,0)),"")</f>
        <v/>
      </c>
      <c r="C1890" t="str">
        <f>IFERROR(IF(A1890="","",VLOOKUP(A1890,CadProd!$A:$C,3,0)),"")</f>
        <v/>
      </c>
    </row>
    <row r="1891" spans="2:3" x14ac:dyDescent="0.3">
      <c r="B1891" t="str">
        <f>IFERROR(IF(A1891="","",VLOOKUP(A1891,CadProd!$A:$B,2,0)),"")</f>
        <v/>
      </c>
      <c r="C1891" t="str">
        <f>IFERROR(IF(A1891="","",VLOOKUP(A1891,CadProd!$A:$C,3,0)),"")</f>
        <v/>
      </c>
    </row>
    <row r="1892" spans="2:3" x14ac:dyDescent="0.3">
      <c r="B1892" t="str">
        <f>IFERROR(IF(A1892="","",VLOOKUP(A1892,CadProd!$A:$B,2,0)),"")</f>
        <v/>
      </c>
      <c r="C1892" t="str">
        <f>IFERROR(IF(A1892="","",VLOOKUP(A1892,CadProd!$A:$C,3,0)),"")</f>
        <v/>
      </c>
    </row>
    <row r="1893" spans="2:3" x14ac:dyDescent="0.3">
      <c r="B1893" t="str">
        <f>IFERROR(IF(A1893="","",VLOOKUP(A1893,CadProd!$A:$B,2,0)),"")</f>
        <v/>
      </c>
      <c r="C1893" t="str">
        <f>IFERROR(IF(A1893="","",VLOOKUP(A1893,CadProd!$A:$C,3,0)),"")</f>
        <v/>
      </c>
    </row>
    <row r="1894" spans="2:3" x14ac:dyDescent="0.3">
      <c r="B1894" t="str">
        <f>IFERROR(IF(A1894="","",VLOOKUP(A1894,CadProd!$A:$B,2,0)),"")</f>
        <v/>
      </c>
      <c r="C1894" t="str">
        <f>IFERROR(IF(A1894="","",VLOOKUP(A1894,CadProd!$A:$C,3,0)),"")</f>
        <v/>
      </c>
    </row>
    <row r="1895" spans="2:3" x14ac:dyDescent="0.3">
      <c r="B1895" t="str">
        <f>IFERROR(IF(A1895="","",VLOOKUP(A1895,CadProd!$A:$B,2,0)),"")</f>
        <v/>
      </c>
      <c r="C1895" t="str">
        <f>IFERROR(IF(A1895="","",VLOOKUP(A1895,CadProd!$A:$C,3,0)),"")</f>
        <v/>
      </c>
    </row>
    <row r="1896" spans="2:3" x14ac:dyDescent="0.3">
      <c r="B1896" t="str">
        <f>IFERROR(IF(A1896="","",VLOOKUP(A1896,CadProd!$A:$B,2,0)),"")</f>
        <v/>
      </c>
      <c r="C1896" t="str">
        <f>IFERROR(IF(A1896="","",VLOOKUP(A1896,CadProd!$A:$C,3,0)),"")</f>
        <v/>
      </c>
    </row>
    <row r="1897" spans="2:3" x14ac:dyDescent="0.3">
      <c r="B1897" t="str">
        <f>IFERROR(IF(A1897="","",VLOOKUP(A1897,CadProd!$A:$B,2,0)),"")</f>
        <v/>
      </c>
      <c r="C1897" t="str">
        <f>IFERROR(IF(A1897="","",VLOOKUP(A1897,CadProd!$A:$C,3,0)),"")</f>
        <v/>
      </c>
    </row>
    <row r="1898" spans="2:3" x14ac:dyDescent="0.3">
      <c r="B1898" t="str">
        <f>IFERROR(IF(A1898="","",VLOOKUP(A1898,CadProd!$A:$B,2,0)),"")</f>
        <v/>
      </c>
      <c r="C1898" t="str">
        <f>IFERROR(IF(A1898="","",VLOOKUP(A1898,CadProd!$A:$C,3,0)),"")</f>
        <v/>
      </c>
    </row>
    <row r="1899" spans="2:3" x14ac:dyDescent="0.3">
      <c r="B1899" t="str">
        <f>IFERROR(IF(A1899="","",VLOOKUP(A1899,CadProd!$A:$B,2,0)),"")</f>
        <v/>
      </c>
      <c r="C1899" t="str">
        <f>IFERROR(IF(A1899="","",VLOOKUP(A1899,CadProd!$A:$C,3,0)),"")</f>
        <v/>
      </c>
    </row>
    <row r="1900" spans="2:3" x14ac:dyDescent="0.3">
      <c r="B1900" t="str">
        <f>IFERROR(IF(A1900="","",VLOOKUP(A1900,CadProd!$A:$B,2,0)),"")</f>
        <v/>
      </c>
      <c r="C1900" t="str">
        <f>IFERROR(IF(A1900="","",VLOOKUP(A1900,CadProd!$A:$C,3,0)),"")</f>
        <v/>
      </c>
    </row>
    <row r="1901" spans="2:3" x14ac:dyDescent="0.3">
      <c r="B1901" t="str">
        <f>IFERROR(IF(A1901="","",VLOOKUP(A1901,CadProd!$A:$B,2,0)),"")</f>
        <v/>
      </c>
      <c r="C1901" t="str">
        <f>IFERROR(IF(A1901="","",VLOOKUP(A1901,CadProd!$A:$C,3,0)),"")</f>
        <v/>
      </c>
    </row>
    <row r="1902" spans="2:3" x14ac:dyDescent="0.3">
      <c r="B1902" t="str">
        <f>IFERROR(IF(A1902="","",VLOOKUP(A1902,CadProd!$A:$B,2,0)),"")</f>
        <v/>
      </c>
      <c r="C1902" t="str">
        <f>IFERROR(IF(A1902="","",VLOOKUP(A1902,CadProd!$A:$C,3,0)),"")</f>
        <v/>
      </c>
    </row>
    <row r="1903" spans="2:3" x14ac:dyDescent="0.3">
      <c r="B1903" t="str">
        <f>IFERROR(IF(A1903="","",VLOOKUP(A1903,CadProd!$A:$B,2,0)),"")</f>
        <v/>
      </c>
      <c r="C1903" t="str">
        <f>IFERROR(IF(A1903="","",VLOOKUP(A1903,CadProd!$A:$C,3,0)),"")</f>
        <v/>
      </c>
    </row>
    <row r="1904" spans="2:3" x14ac:dyDescent="0.3">
      <c r="B1904" t="str">
        <f>IFERROR(IF(A1904="","",VLOOKUP(A1904,CadProd!$A:$B,2,0)),"")</f>
        <v/>
      </c>
      <c r="C1904" t="str">
        <f>IFERROR(IF(A1904="","",VLOOKUP(A1904,CadProd!$A:$C,3,0)),"")</f>
        <v/>
      </c>
    </row>
    <row r="1905" spans="2:3" x14ac:dyDescent="0.3">
      <c r="B1905" t="str">
        <f>IFERROR(IF(A1905="","",VLOOKUP(A1905,CadProd!$A:$B,2,0)),"")</f>
        <v/>
      </c>
      <c r="C1905" t="str">
        <f>IFERROR(IF(A1905="","",VLOOKUP(A1905,CadProd!$A:$C,3,0)),"")</f>
        <v/>
      </c>
    </row>
    <row r="1906" spans="2:3" x14ac:dyDescent="0.3">
      <c r="B1906" t="str">
        <f>IFERROR(IF(A1906="","",VLOOKUP(A1906,CadProd!$A:$B,2,0)),"")</f>
        <v/>
      </c>
      <c r="C1906" t="str">
        <f>IFERROR(IF(A1906="","",VLOOKUP(A1906,CadProd!$A:$C,3,0)),"")</f>
        <v/>
      </c>
    </row>
    <row r="1907" spans="2:3" x14ac:dyDescent="0.3">
      <c r="B1907" t="str">
        <f>IFERROR(IF(A1907="","",VLOOKUP(A1907,CadProd!$A:$B,2,0)),"")</f>
        <v/>
      </c>
      <c r="C1907" t="str">
        <f>IFERROR(IF(A1907="","",VLOOKUP(A1907,CadProd!$A:$C,3,0)),"")</f>
        <v/>
      </c>
    </row>
    <row r="1908" spans="2:3" x14ac:dyDescent="0.3">
      <c r="B1908" t="str">
        <f>IFERROR(IF(A1908="","",VLOOKUP(A1908,CadProd!$A:$B,2,0)),"")</f>
        <v/>
      </c>
      <c r="C1908" t="str">
        <f>IFERROR(IF(A1908="","",VLOOKUP(A1908,CadProd!$A:$C,3,0)),"")</f>
        <v/>
      </c>
    </row>
    <row r="1909" spans="2:3" x14ac:dyDescent="0.3">
      <c r="B1909" t="str">
        <f>IFERROR(IF(A1909="","",VLOOKUP(A1909,CadProd!$A:$B,2,0)),"")</f>
        <v/>
      </c>
      <c r="C1909" t="str">
        <f>IFERROR(IF(A1909="","",VLOOKUP(A1909,CadProd!$A:$C,3,0)),"")</f>
        <v/>
      </c>
    </row>
    <row r="1910" spans="2:3" x14ac:dyDescent="0.3">
      <c r="B1910" t="str">
        <f>IFERROR(IF(A1910="","",VLOOKUP(A1910,CadProd!$A:$B,2,0)),"")</f>
        <v/>
      </c>
      <c r="C1910" t="str">
        <f>IFERROR(IF(A1910="","",VLOOKUP(A1910,CadProd!$A:$C,3,0)),"")</f>
        <v/>
      </c>
    </row>
    <row r="1911" spans="2:3" x14ac:dyDescent="0.3">
      <c r="B1911" t="str">
        <f>IFERROR(IF(A1911="","",VLOOKUP(A1911,CadProd!$A:$B,2,0)),"")</f>
        <v/>
      </c>
      <c r="C1911" t="str">
        <f>IFERROR(IF(A1911="","",VLOOKUP(A1911,CadProd!$A:$C,3,0)),"")</f>
        <v/>
      </c>
    </row>
    <row r="1912" spans="2:3" x14ac:dyDescent="0.3">
      <c r="B1912" t="str">
        <f>IFERROR(IF(A1912="","",VLOOKUP(A1912,CadProd!$A:$B,2,0)),"")</f>
        <v/>
      </c>
      <c r="C1912" t="str">
        <f>IFERROR(IF(A1912="","",VLOOKUP(A1912,CadProd!$A:$C,3,0)),"")</f>
        <v/>
      </c>
    </row>
    <row r="1913" spans="2:3" x14ac:dyDescent="0.3">
      <c r="B1913" t="str">
        <f>IFERROR(IF(A1913="","",VLOOKUP(A1913,CadProd!$A:$B,2,0)),"")</f>
        <v/>
      </c>
      <c r="C1913" t="str">
        <f>IFERROR(IF(A1913="","",VLOOKUP(A1913,CadProd!$A:$C,3,0)),"")</f>
        <v/>
      </c>
    </row>
    <row r="1914" spans="2:3" x14ac:dyDescent="0.3">
      <c r="B1914" t="str">
        <f>IFERROR(IF(A1914="","",VLOOKUP(A1914,CadProd!$A:$B,2,0)),"")</f>
        <v/>
      </c>
      <c r="C1914" t="str">
        <f>IFERROR(IF(A1914="","",VLOOKUP(A1914,CadProd!$A:$C,3,0)),"")</f>
        <v/>
      </c>
    </row>
    <row r="1915" spans="2:3" x14ac:dyDescent="0.3">
      <c r="B1915" t="str">
        <f>IFERROR(IF(A1915="","",VLOOKUP(A1915,CadProd!$A:$B,2,0)),"")</f>
        <v/>
      </c>
      <c r="C1915" t="str">
        <f>IFERROR(IF(A1915="","",VLOOKUP(A1915,CadProd!$A:$C,3,0)),"")</f>
        <v/>
      </c>
    </row>
    <row r="1916" spans="2:3" x14ac:dyDescent="0.3">
      <c r="B1916" t="str">
        <f>IFERROR(IF(A1916="","",VLOOKUP(A1916,CadProd!$A:$B,2,0)),"")</f>
        <v/>
      </c>
      <c r="C1916" t="str">
        <f>IFERROR(IF(A1916="","",VLOOKUP(A1916,CadProd!$A:$C,3,0)),"")</f>
        <v/>
      </c>
    </row>
    <row r="1917" spans="2:3" x14ac:dyDescent="0.3">
      <c r="B1917" t="str">
        <f>IFERROR(IF(A1917="","",VLOOKUP(A1917,CadProd!$A:$B,2,0)),"")</f>
        <v/>
      </c>
      <c r="C1917" t="str">
        <f>IFERROR(IF(A1917="","",VLOOKUP(A1917,CadProd!$A:$C,3,0)),"")</f>
        <v/>
      </c>
    </row>
    <row r="1918" spans="2:3" x14ac:dyDescent="0.3">
      <c r="B1918" t="str">
        <f>IFERROR(IF(A1918="","",VLOOKUP(A1918,CadProd!$A:$B,2,0)),"")</f>
        <v/>
      </c>
      <c r="C1918" t="str">
        <f>IFERROR(IF(A1918="","",VLOOKUP(A1918,CadProd!$A:$C,3,0)),"")</f>
        <v/>
      </c>
    </row>
    <row r="1919" spans="2:3" x14ac:dyDescent="0.3">
      <c r="B1919" t="str">
        <f>IFERROR(IF(A1919="","",VLOOKUP(A1919,CadProd!$A:$B,2,0)),"")</f>
        <v/>
      </c>
      <c r="C1919" t="str">
        <f>IFERROR(IF(A1919="","",VLOOKUP(A1919,CadProd!$A:$C,3,0)),"")</f>
        <v/>
      </c>
    </row>
    <row r="1920" spans="2:3" x14ac:dyDescent="0.3">
      <c r="B1920" t="str">
        <f>IFERROR(IF(A1920="","",VLOOKUP(A1920,CadProd!$A:$B,2,0)),"")</f>
        <v/>
      </c>
      <c r="C1920" t="str">
        <f>IFERROR(IF(A1920="","",VLOOKUP(A1920,CadProd!$A:$C,3,0)),"")</f>
        <v/>
      </c>
    </row>
    <row r="1921" spans="2:3" x14ac:dyDescent="0.3">
      <c r="B1921" t="str">
        <f>IFERROR(IF(A1921="","",VLOOKUP(A1921,CadProd!$A:$B,2,0)),"")</f>
        <v/>
      </c>
      <c r="C1921" t="str">
        <f>IFERROR(IF(A1921="","",VLOOKUP(A1921,CadProd!$A:$C,3,0)),"")</f>
        <v/>
      </c>
    </row>
    <row r="1922" spans="2:3" x14ac:dyDescent="0.3">
      <c r="B1922" t="str">
        <f>IFERROR(IF(A1922="","",VLOOKUP(A1922,CadProd!$A:$B,2,0)),"")</f>
        <v/>
      </c>
      <c r="C1922" t="str">
        <f>IFERROR(IF(A1922="","",VLOOKUP(A1922,CadProd!$A:$C,3,0)),"")</f>
        <v/>
      </c>
    </row>
    <row r="1923" spans="2:3" x14ac:dyDescent="0.3">
      <c r="B1923" t="str">
        <f>IFERROR(IF(A1923="","",VLOOKUP(A1923,CadProd!$A:$B,2,0)),"")</f>
        <v/>
      </c>
      <c r="C1923" t="str">
        <f>IFERROR(IF(A1923="","",VLOOKUP(A1923,CadProd!$A:$C,3,0)),"")</f>
        <v/>
      </c>
    </row>
    <row r="1924" spans="2:3" x14ac:dyDescent="0.3">
      <c r="B1924" t="str">
        <f>IFERROR(IF(A1924="","",VLOOKUP(A1924,CadProd!$A:$B,2,0)),"")</f>
        <v/>
      </c>
      <c r="C1924" t="str">
        <f>IFERROR(IF(A1924="","",VLOOKUP(A1924,CadProd!$A:$C,3,0)),"")</f>
        <v/>
      </c>
    </row>
    <row r="1925" spans="2:3" x14ac:dyDescent="0.3">
      <c r="B1925" t="str">
        <f>IFERROR(IF(A1925="","",VLOOKUP(A1925,CadProd!$A:$B,2,0)),"")</f>
        <v/>
      </c>
      <c r="C1925" t="str">
        <f>IFERROR(IF(A1925="","",VLOOKUP(A1925,CadProd!$A:$C,3,0)),"")</f>
        <v/>
      </c>
    </row>
    <row r="1926" spans="2:3" x14ac:dyDescent="0.3">
      <c r="B1926" t="str">
        <f>IFERROR(IF(A1926="","",VLOOKUP(A1926,CadProd!$A:$B,2,0)),"")</f>
        <v/>
      </c>
      <c r="C1926" t="str">
        <f>IFERROR(IF(A1926="","",VLOOKUP(A1926,CadProd!$A:$C,3,0)),"")</f>
        <v/>
      </c>
    </row>
    <row r="1927" spans="2:3" x14ac:dyDescent="0.3">
      <c r="B1927" t="str">
        <f>IFERROR(IF(A1927="","",VLOOKUP(A1927,CadProd!$A:$B,2,0)),"")</f>
        <v/>
      </c>
      <c r="C1927" t="str">
        <f>IFERROR(IF(A1927="","",VLOOKUP(A1927,CadProd!$A:$C,3,0)),"")</f>
        <v/>
      </c>
    </row>
    <row r="1928" spans="2:3" x14ac:dyDescent="0.3">
      <c r="B1928" t="str">
        <f>IFERROR(IF(A1928="","",VLOOKUP(A1928,CadProd!$A:$B,2,0)),"")</f>
        <v/>
      </c>
      <c r="C1928" t="str">
        <f>IFERROR(IF(A1928="","",VLOOKUP(A1928,CadProd!$A:$C,3,0)),"")</f>
        <v/>
      </c>
    </row>
    <row r="1929" spans="2:3" x14ac:dyDescent="0.3">
      <c r="B1929" t="str">
        <f>IFERROR(IF(A1929="","",VLOOKUP(A1929,CadProd!$A:$B,2,0)),"")</f>
        <v/>
      </c>
      <c r="C1929" t="str">
        <f>IFERROR(IF(A1929="","",VLOOKUP(A1929,CadProd!$A:$C,3,0)),"")</f>
        <v/>
      </c>
    </row>
    <row r="1930" spans="2:3" x14ac:dyDescent="0.3">
      <c r="B1930" t="str">
        <f>IFERROR(IF(A1930="","",VLOOKUP(A1930,CadProd!$A:$B,2,0)),"")</f>
        <v/>
      </c>
      <c r="C1930" t="str">
        <f>IFERROR(IF(A1930="","",VLOOKUP(A1930,CadProd!$A:$C,3,0)),"")</f>
        <v/>
      </c>
    </row>
    <row r="1931" spans="2:3" x14ac:dyDescent="0.3">
      <c r="B1931" t="str">
        <f>IFERROR(IF(A1931="","",VLOOKUP(A1931,CadProd!$A:$B,2,0)),"")</f>
        <v/>
      </c>
      <c r="C1931" t="str">
        <f>IFERROR(IF(A1931="","",VLOOKUP(A1931,CadProd!$A:$C,3,0)),"")</f>
        <v/>
      </c>
    </row>
    <row r="1932" spans="2:3" x14ac:dyDescent="0.3">
      <c r="B1932" t="str">
        <f>IFERROR(IF(A1932="","",VLOOKUP(A1932,CadProd!$A:$B,2,0)),"")</f>
        <v/>
      </c>
      <c r="C1932" t="str">
        <f>IFERROR(IF(A1932="","",VLOOKUP(A1932,CadProd!$A:$C,3,0)),"")</f>
        <v/>
      </c>
    </row>
    <row r="1933" spans="2:3" x14ac:dyDescent="0.3">
      <c r="B1933" t="str">
        <f>IFERROR(IF(A1933="","",VLOOKUP(A1933,CadProd!$A:$B,2,0)),"")</f>
        <v/>
      </c>
      <c r="C1933" t="str">
        <f>IFERROR(IF(A1933="","",VLOOKUP(A1933,CadProd!$A:$C,3,0)),"")</f>
        <v/>
      </c>
    </row>
    <row r="1934" spans="2:3" x14ac:dyDescent="0.3">
      <c r="B1934" t="str">
        <f>IFERROR(IF(A1934="","",VLOOKUP(A1934,CadProd!$A:$B,2,0)),"")</f>
        <v/>
      </c>
      <c r="C1934" t="str">
        <f>IFERROR(IF(A1934="","",VLOOKUP(A1934,CadProd!$A:$C,3,0)),"")</f>
        <v/>
      </c>
    </row>
    <row r="1935" spans="2:3" x14ac:dyDescent="0.3">
      <c r="B1935" t="str">
        <f>IFERROR(IF(A1935="","",VLOOKUP(A1935,CadProd!$A:$B,2,0)),"")</f>
        <v/>
      </c>
      <c r="C1935" t="str">
        <f>IFERROR(IF(A1935="","",VLOOKUP(A1935,CadProd!$A:$C,3,0)),"")</f>
        <v/>
      </c>
    </row>
    <row r="1936" spans="2:3" x14ac:dyDescent="0.3">
      <c r="B1936" t="str">
        <f>IFERROR(IF(A1936="","",VLOOKUP(A1936,CadProd!$A:$B,2,0)),"")</f>
        <v/>
      </c>
      <c r="C1936" t="str">
        <f>IFERROR(IF(A1936="","",VLOOKUP(A1936,CadProd!$A:$C,3,0)),"")</f>
        <v/>
      </c>
    </row>
    <row r="1937" spans="2:3" x14ac:dyDescent="0.3">
      <c r="B1937" t="str">
        <f>IFERROR(IF(A1937="","",VLOOKUP(A1937,CadProd!$A:$B,2,0)),"")</f>
        <v/>
      </c>
      <c r="C1937" t="str">
        <f>IFERROR(IF(A1937="","",VLOOKUP(A1937,CadProd!$A:$C,3,0)),"")</f>
        <v/>
      </c>
    </row>
    <row r="1938" spans="2:3" x14ac:dyDescent="0.3">
      <c r="B1938" t="str">
        <f>IFERROR(IF(A1938="","",VLOOKUP(A1938,CadProd!$A:$B,2,0)),"")</f>
        <v/>
      </c>
      <c r="C1938" t="str">
        <f>IFERROR(IF(A1938="","",VLOOKUP(A1938,CadProd!$A:$C,3,0)),"")</f>
        <v/>
      </c>
    </row>
    <row r="1939" spans="2:3" x14ac:dyDescent="0.3">
      <c r="B1939" t="str">
        <f>IFERROR(IF(A1939="","",VLOOKUP(A1939,CadProd!$A:$B,2,0)),"")</f>
        <v/>
      </c>
      <c r="C1939" t="str">
        <f>IFERROR(IF(A1939="","",VLOOKUP(A1939,CadProd!$A:$C,3,0)),"")</f>
        <v/>
      </c>
    </row>
    <row r="1940" spans="2:3" x14ac:dyDescent="0.3">
      <c r="B1940" t="str">
        <f>IFERROR(IF(A1940="","",VLOOKUP(A1940,CadProd!$A:$B,2,0)),"")</f>
        <v/>
      </c>
      <c r="C1940" t="str">
        <f>IFERROR(IF(A1940="","",VLOOKUP(A1940,CadProd!$A:$C,3,0)),"")</f>
        <v/>
      </c>
    </row>
    <row r="1941" spans="2:3" x14ac:dyDescent="0.3">
      <c r="B1941" t="str">
        <f>IFERROR(IF(A1941="","",VLOOKUP(A1941,CadProd!$A:$B,2,0)),"")</f>
        <v/>
      </c>
      <c r="C1941" t="str">
        <f>IFERROR(IF(A1941="","",VLOOKUP(A1941,CadProd!$A:$C,3,0)),"")</f>
        <v/>
      </c>
    </row>
    <row r="1942" spans="2:3" x14ac:dyDescent="0.3">
      <c r="B1942" t="str">
        <f>IFERROR(IF(A1942="","",VLOOKUP(A1942,CadProd!$A:$B,2,0)),"")</f>
        <v/>
      </c>
      <c r="C1942" t="str">
        <f>IFERROR(IF(A1942="","",VLOOKUP(A1942,CadProd!$A:$C,3,0)),"")</f>
        <v/>
      </c>
    </row>
    <row r="1943" spans="2:3" x14ac:dyDescent="0.3">
      <c r="B1943" t="str">
        <f>IFERROR(IF(A1943="","",VLOOKUP(A1943,CadProd!$A:$B,2,0)),"")</f>
        <v/>
      </c>
      <c r="C1943" t="str">
        <f>IFERROR(IF(A1943="","",VLOOKUP(A1943,CadProd!$A:$C,3,0)),"")</f>
        <v/>
      </c>
    </row>
    <row r="1944" spans="2:3" x14ac:dyDescent="0.3">
      <c r="B1944" t="str">
        <f>IFERROR(IF(A1944="","",VLOOKUP(A1944,CadProd!$A:$B,2,0)),"")</f>
        <v/>
      </c>
      <c r="C1944" t="str">
        <f>IFERROR(IF(A1944="","",VLOOKUP(A1944,CadProd!$A:$C,3,0)),"")</f>
        <v/>
      </c>
    </row>
    <row r="1945" spans="2:3" x14ac:dyDescent="0.3">
      <c r="B1945" t="str">
        <f>IFERROR(IF(A1945="","",VLOOKUP(A1945,CadProd!$A:$B,2,0)),"")</f>
        <v/>
      </c>
      <c r="C1945" t="str">
        <f>IFERROR(IF(A1945="","",VLOOKUP(A1945,CadProd!$A:$C,3,0)),"")</f>
        <v/>
      </c>
    </row>
    <row r="1946" spans="2:3" x14ac:dyDescent="0.3">
      <c r="B1946" t="str">
        <f>IFERROR(IF(A1946="","",VLOOKUP(A1946,CadProd!$A:$B,2,0)),"")</f>
        <v/>
      </c>
      <c r="C1946" t="str">
        <f>IFERROR(IF(A1946="","",VLOOKUP(A1946,CadProd!$A:$C,3,0)),"")</f>
        <v/>
      </c>
    </row>
    <row r="1947" spans="2:3" x14ac:dyDescent="0.3">
      <c r="B1947" t="str">
        <f>IFERROR(IF(A1947="","",VLOOKUP(A1947,CadProd!$A:$B,2,0)),"")</f>
        <v/>
      </c>
      <c r="C1947" t="str">
        <f>IFERROR(IF(A1947="","",VLOOKUP(A1947,CadProd!$A:$C,3,0)),"")</f>
        <v/>
      </c>
    </row>
    <row r="1948" spans="2:3" x14ac:dyDescent="0.3">
      <c r="B1948" t="str">
        <f>IFERROR(IF(A1948="","",VLOOKUP(A1948,CadProd!$A:$B,2,0)),"")</f>
        <v/>
      </c>
      <c r="C1948" t="str">
        <f>IFERROR(IF(A1948="","",VLOOKUP(A1948,CadProd!$A:$C,3,0)),"")</f>
        <v/>
      </c>
    </row>
    <row r="1949" spans="2:3" x14ac:dyDescent="0.3">
      <c r="B1949" t="str">
        <f>IFERROR(IF(A1949="","",VLOOKUP(A1949,CadProd!$A:$B,2,0)),"")</f>
        <v/>
      </c>
      <c r="C1949" t="str">
        <f>IFERROR(IF(A1949="","",VLOOKUP(A1949,CadProd!$A:$C,3,0)),"")</f>
        <v/>
      </c>
    </row>
    <row r="1950" spans="2:3" x14ac:dyDescent="0.3">
      <c r="B1950" t="str">
        <f>IFERROR(IF(A1950="","",VLOOKUP(A1950,CadProd!$A:$B,2,0)),"")</f>
        <v/>
      </c>
      <c r="C1950" t="str">
        <f>IFERROR(IF(A1950="","",VLOOKUP(A1950,CadProd!$A:$C,3,0)),"")</f>
        <v/>
      </c>
    </row>
    <row r="1951" spans="2:3" x14ac:dyDescent="0.3">
      <c r="B1951" t="str">
        <f>IFERROR(IF(A1951="","",VLOOKUP(A1951,CadProd!$A:$B,2,0)),"")</f>
        <v/>
      </c>
      <c r="C1951" t="str">
        <f>IFERROR(IF(A1951="","",VLOOKUP(A1951,CadProd!$A:$C,3,0)),"")</f>
        <v/>
      </c>
    </row>
    <row r="1952" spans="2:3" x14ac:dyDescent="0.3">
      <c r="B1952" t="str">
        <f>IFERROR(IF(A1952="","",VLOOKUP(A1952,CadProd!$A:$B,2,0)),"")</f>
        <v/>
      </c>
      <c r="C1952" t="str">
        <f>IFERROR(IF(A1952="","",VLOOKUP(A1952,CadProd!$A:$C,3,0)),"")</f>
        <v/>
      </c>
    </row>
    <row r="1953" spans="2:3" x14ac:dyDescent="0.3">
      <c r="B1953" t="str">
        <f>IFERROR(IF(A1953="","",VLOOKUP(A1953,CadProd!$A:$B,2,0)),"")</f>
        <v/>
      </c>
      <c r="C1953" t="str">
        <f>IFERROR(IF(A1953="","",VLOOKUP(A1953,CadProd!$A:$C,3,0)),"")</f>
        <v/>
      </c>
    </row>
    <row r="1954" spans="2:3" x14ac:dyDescent="0.3">
      <c r="B1954" t="str">
        <f>IFERROR(IF(A1954="","",VLOOKUP(A1954,CadProd!$A:$B,2,0)),"")</f>
        <v/>
      </c>
      <c r="C1954" t="str">
        <f>IFERROR(IF(A1954="","",VLOOKUP(A1954,CadProd!$A:$C,3,0)),"")</f>
        <v/>
      </c>
    </row>
    <row r="1955" spans="2:3" x14ac:dyDescent="0.3">
      <c r="B1955" t="str">
        <f>IFERROR(IF(A1955="","",VLOOKUP(A1955,CadProd!$A:$B,2,0)),"")</f>
        <v/>
      </c>
      <c r="C1955" t="str">
        <f>IFERROR(IF(A1955="","",VLOOKUP(A1955,CadProd!$A:$C,3,0)),"")</f>
        <v/>
      </c>
    </row>
    <row r="1956" spans="2:3" x14ac:dyDescent="0.3">
      <c r="B1956" t="str">
        <f>IFERROR(IF(A1956="","",VLOOKUP(A1956,CadProd!$A:$B,2,0)),"")</f>
        <v/>
      </c>
      <c r="C1956" t="str">
        <f>IFERROR(IF(A1956="","",VLOOKUP(A1956,CadProd!$A:$C,3,0)),"")</f>
        <v/>
      </c>
    </row>
    <row r="1957" spans="2:3" x14ac:dyDescent="0.3">
      <c r="B1957" t="str">
        <f>IFERROR(IF(A1957="","",VLOOKUP(A1957,CadProd!$A:$B,2,0)),"")</f>
        <v/>
      </c>
      <c r="C1957" t="str">
        <f>IFERROR(IF(A1957="","",VLOOKUP(A1957,CadProd!$A:$C,3,0)),"")</f>
        <v/>
      </c>
    </row>
    <row r="1958" spans="2:3" x14ac:dyDescent="0.3">
      <c r="B1958" t="str">
        <f>IFERROR(IF(A1958="","",VLOOKUP(A1958,CadProd!$A:$B,2,0)),"")</f>
        <v/>
      </c>
      <c r="C1958" t="str">
        <f>IFERROR(IF(A1958="","",VLOOKUP(A1958,CadProd!$A:$C,3,0)),"")</f>
        <v/>
      </c>
    </row>
    <row r="1959" spans="2:3" x14ac:dyDescent="0.3">
      <c r="B1959" t="str">
        <f>IFERROR(IF(A1959="","",VLOOKUP(A1959,CadProd!$A:$B,2,0)),"")</f>
        <v/>
      </c>
      <c r="C1959" t="str">
        <f>IFERROR(IF(A1959="","",VLOOKUP(A1959,CadProd!$A:$C,3,0)),"")</f>
        <v/>
      </c>
    </row>
    <row r="1960" spans="2:3" x14ac:dyDescent="0.3">
      <c r="B1960" t="str">
        <f>IFERROR(IF(A1960="","",VLOOKUP(A1960,CadProd!$A:$B,2,0)),"")</f>
        <v/>
      </c>
      <c r="C1960" t="str">
        <f>IFERROR(IF(A1960="","",VLOOKUP(A1960,CadProd!$A:$C,3,0)),"")</f>
        <v/>
      </c>
    </row>
    <row r="1961" spans="2:3" x14ac:dyDescent="0.3">
      <c r="B1961" t="str">
        <f>IFERROR(IF(A1961="","",VLOOKUP(A1961,CadProd!$A:$B,2,0)),"")</f>
        <v/>
      </c>
      <c r="C1961" t="str">
        <f>IFERROR(IF(A1961="","",VLOOKUP(A1961,CadProd!$A:$C,3,0)),"")</f>
        <v/>
      </c>
    </row>
    <row r="1962" spans="2:3" x14ac:dyDescent="0.3">
      <c r="B1962" t="str">
        <f>IFERROR(IF(A1962="","",VLOOKUP(A1962,CadProd!$A:$B,2,0)),"")</f>
        <v/>
      </c>
      <c r="C1962" t="str">
        <f>IFERROR(IF(A1962="","",VLOOKUP(A1962,CadProd!$A:$C,3,0)),"")</f>
        <v/>
      </c>
    </row>
    <row r="1963" spans="2:3" x14ac:dyDescent="0.3">
      <c r="B1963" t="str">
        <f>IFERROR(IF(A1963="","",VLOOKUP(A1963,CadProd!$A:$B,2,0)),"")</f>
        <v/>
      </c>
      <c r="C1963" t="str">
        <f>IFERROR(IF(A1963="","",VLOOKUP(A1963,CadProd!$A:$C,3,0)),"")</f>
        <v/>
      </c>
    </row>
    <row r="1964" spans="2:3" x14ac:dyDescent="0.3">
      <c r="B1964" t="str">
        <f>IFERROR(IF(A1964="","",VLOOKUP(A1964,CadProd!$A:$B,2,0)),"")</f>
        <v/>
      </c>
      <c r="C1964" t="str">
        <f>IFERROR(IF(A1964="","",VLOOKUP(A1964,CadProd!$A:$C,3,0)),"")</f>
        <v/>
      </c>
    </row>
    <row r="1965" spans="2:3" x14ac:dyDescent="0.3">
      <c r="B1965" t="str">
        <f>IFERROR(IF(A1965="","",VLOOKUP(A1965,CadProd!$A:$B,2,0)),"")</f>
        <v/>
      </c>
      <c r="C1965" t="str">
        <f>IFERROR(IF(A1965="","",VLOOKUP(A1965,CadProd!$A:$C,3,0)),"")</f>
        <v/>
      </c>
    </row>
    <row r="1966" spans="2:3" x14ac:dyDescent="0.3">
      <c r="B1966" t="str">
        <f>IFERROR(IF(A1966="","",VLOOKUP(A1966,CadProd!$A:$B,2,0)),"")</f>
        <v/>
      </c>
      <c r="C1966" t="str">
        <f>IFERROR(IF(A1966="","",VLOOKUP(A1966,CadProd!$A:$C,3,0)),"")</f>
        <v/>
      </c>
    </row>
    <row r="1967" spans="2:3" x14ac:dyDescent="0.3">
      <c r="B1967" t="str">
        <f>IFERROR(IF(A1967="","",VLOOKUP(A1967,CadProd!$A:$B,2,0)),"")</f>
        <v/>
      </c>
      <c r="C1967" t="str">
        <f>IFERROR(IF(A1967="","",VLOOKUP(A1967,CadProd!$A:$C,3,0)),"")</f>
        <v/>
      </c>
    </row>
    <row r="1968" spans="2:3" x14ac:dyDescent="0.3">
      <c r="B1968" t="str">
        <f>IFERROR(IF(A1968="","",VLOOKUP(A1968,CadProd!$A:$B,2,0)),"")</f>
        <v/>
      </c>
      <c r="C1968" t="str">
        <f>IFERROR(IF(A1968="","",VLOOKUP(A1968,CadProd!$A:$C,3,0)),"")</f>
        <v/>
      </c>
    </row>
    <row r="1969" spans="2:3" x14ac:dyDescent="0.3">
      <c r="B1969" t="str">
        <f>IFERROR(IF(A1969="","",VLOOKUP(A1969,CadProd!$A:$B,2,0)),"")</f>
        <v/>
      </c>
      <c r="C1969" t="str">
        <f>IFERROR(IF(A1969="","",VLOOKUP(A1969,CadProd!$A:$C,3,0)),"")</f>
        <v/>
      </c>
    </row>
    <row r="1970" spans="2:3" x14ac:dyDescent="0.3">
      <c r="B1970" t="str">
        <f>IFERROR(IF(A1970="","",VLOOKUP(A1970,CadProd!$A:$B,2,0)),"")</f>
        <v/>
      </c>
      <c r="C1970" t="str">
        <f>IFERROR(IF(A1970="","",VLOOKUP(A1970,CadProd!$A:$C,3,0)),"")</f>
        <v/>
      </c>
    </row>
    <row r="1971" spans="2:3" x14ac:dyDescent="0.3">
      <c r="B1971" t="str">
        <f>IFERROR(IF(A1971="","",VLOOKUP(A1971,CadProd!$A:$B,2,0)),"")</f>
        <v/>
      </c>
      <c r="C1971" t="str">
        <f>IFERROR(IF(A1971="","",VLOOKUP(A1971,CadProd!$A:$C,3,0)),"")</f>
        <v/>
      </c>
    </row>
    <row r="1972" spans="2:3" x14ac:dyDescent="0.3">
      <c r="B1972" t="str">
        <f>IFERROR(IF(A1972="","",VLOOKUP(A1972,CadProd!$A:$B,2,0)),"")</f>
        <v/>
      </c>
      <c r="C1972" t="str">
        <f>IFERROR(IF(A1972="","",VLOOKUP(A1972,CadProd!$A:$C,3,0)),"")</f>
        <v/>
      </c>
    </row>
    <row r="1973" spans="2:3" x14ac:dyDescent="0.3">
      <c r="B1973" t="str">
        <f>IFERROR(IF(A1973="","",VLOOKUP(A1973,CadProd!$A:$B,2,0)),"")</f>
        <v/>
      </c>
      <c r="C1973" t="str">
        <f>IFERROR(IF(A1973="","",VLOOKUP(A1973,CadProd!$A:$C,3,0)),"")</f>
        <v/>
      </c>
    </row>
    <row r="1974" spans="2:3" x14ac:dyDescent="0.3">
      <c r="B1974" t="str">
        <f>IFERROR(IF(A1974="","",VLOOKUP(A1974,CadProd!$A:$B,2,0)),"")</f>
        <v/>
      </c>
      <c r="C1974" t="str">
        <f>IFERROR(IF(A1974="","",VLOOKUP(A1974,CadProd!$A:$C,3,0)),"")</f>
        <v/>
      </c>
    </row>
    <row r="1975" spans="2:3" x14ac:dyDescent="0.3">
      <c r="B1975" t="str">
        <f>IFERROR(IF(A1975="","",VLOOKUP(A1975,CadProd!$A:$B,2,0)),"")</f>
        <v/>
      </c>
      <c r="C1975" t="str">
        <f>IFERROR(IF(A1975="","",VLOOKUP(A1975,CadProd!$A:$C,3,0)),"")</f>
        <v/>
      </c>
    </row>
    <row r="1976" spans="2:3" x14ac:dyDescent="0.3">
      <c r="B1976" t="str">
        <f>IFERROR(IF(A1976="","",VLOOKUP(A1976,CadProd!$A:$B,2,0)),"")</f>
        <v/>
      </c>
      <c r="C1976" t="str">
        <f>IFERROR(IF(A1976="","",VLOOKUP(A1976,CadProd!$A:$C,3,0)),"")</f>
        <v/>
      </c>
    </row>
    <row r="1977" spans="2:3" x14ac:dyDescent="0.3">
      <c r="B1977" t="str">
        <f>IFERROR(IF(A1977="","",VLOOKUP(A1977,CadProd!$A:$B,2,0)),"")</f>
        <v/>
      </c>
      <c r="C1977" t="str">
        <f>IFERROR(IF(A1977="","",VLOOKUP(A1977,CadProd!$A:$C,3,0)),"")</f>
        <v/>
      </c>
    </row>
    <row r="1978" spans="2:3" x14ac:dyDescent="0.3">
      <c r="B1978" t="str">
        <f>IFERROR(IF(A1978="","",VLOOKUP(A1978,CadProd!$A:$B,2,0)),"")</f>
        <v/>
      </c>
      <c r="C1978" t="str">
        <f>IFERROR(IF(A1978="","",VLOOKUP(A1978,CadProd!$A:$C,3,0)),"")</f>
        <v/>
      </c>
    </row>
    <row r="1979" spans="2:3" x14ac:dyDescent="0.3">
      <c r="B1979" t="str">
        <f>IFERROR(IF(A1979="","",VLOOKUP(A1979,CadProd!$A:$B,2,0)),"")</f>
        <v/>
      </c>
      <c r="C1979" t="str">
        <f>IFERROR(IF(A1979="","",VLOOKUP(A1979,CadProd!$A:$C,3,0)),"")</f>
        <v/>
      </c>
    </row>
    <row r="1980" spans="2:3" x14ac:dyDescent="0.3">
      <c r="B1980" t="str">
        <f>IFERROR(IF(A1980="","",VLOOKUP(A1980,CadProd!$A:$B,2,0)),"")</f>
        <v/>
      </c>
      <c r="C1980" t="str">
        <f>IFERROR(IF(A1980="","",VLOOKUP(A1980,CadProd!$A:$C,3,0)),"")</f>
        <v/>
      </c>
    </row>
    <row r="1981" spans="2:3" x14ac:dyDescent="0.3">
      <c r="B1981" t="str">
        <f>IFERROR(IF(A1981="","",VLOOKUP(A1981,CadProd!$A:$B,2,0)),"")</f>
        <v/>
      </c>
      <c r="C1981" t="str">
        <f>IFERROR(IF(A1981="","",VLOOKUP(A1981,CadProd!$A:$C,3,0)),"")</f>
        <v/>
      </c>
    </row>
    <row r="1982" spans="2:3" x14ac:dyDescent="0.3">
      <c r="B1982" t="str">
        <f>IFERROR(IF(A1982="","",VLOOKUP(A1982,CadProd!$A:$B,2,0)),"")</f>
        <v/>
      </c>
      <c r="C1982" t="str">
        <f>IFERROR(IF(A1982="","",VLOOKUP(A1982,CadProd!$A:$C,3,0)),"")</f>
        <v/>
      </c>
    </row>
    <row r="1983" spans="2:3" x14ac:dyDescent="0.3">
      <c r="B1983" t="str">
        <f>IFERROR(IF(A1983="","",VLOOKUP(A1983,CadProd!$A:$B,2,0)),"")</f>
        <v/>
      </c>
      <c r="C1983" t="str">
        <f>IFERROR(IF(A1983="","",VLOOKUP(A1983,CadProd!$A:$C,3,0)),"")</f>
        <v/>
      </c>
    </row>
    <row r="1984" spans="2:3" x14ac:dyDescent="0.3">
      <c r="B1984" t="str">
        <f>IFERROR(IF(A1984="","",VLOOKUP(A1984,CadProd!$A:$B,2,0)),"")</f>
        <v/>
      </c>
      <c r="C1984" t="str">
        <f>IFERROR(IF(A1984="","",VLOOKUP(A1984,CadProd!$A:$C,3,0)),"")</f>
        <v/>
      </c>
    </row>
    <row r="1985" spans="2:3" x14ac:dyDescent="0.3">
      <c r="B1985" t="str">
        <f>IFERROR(IF(A1985="","",VLOOKUP(A1985,CadProd!$A:$B,2,0)),"")</f>
        <v/>
      </c>
      <c r="C1985" t="str">
        <f>IFERROR(IF(A1985="","",VLOOKUP(A1985,CadProd!$A:$C,3,0)),"")</f>
        <v/>
      </c>
    </row>
    <row r="1986" spans="2:3" x14ac:dyDescent="0.3">
      <c r="B1986" t="str">
        <f>IFERROR(IF(A1986="","",VLOOKUP(A1986,CadProd!$A:$B,2,0)),"")</f>
        <v/>
      </c>
      <c r="C1986" t="str">
        <f>IFERROR(IF(A1986="","",VLOOKUP(A1986,CadProd!$A:$C,3,0)),"")</f>
        <v/>
      </c>
    </row>
    <row r="1987" spans="2:3" x14ac:dyDescent="0.3">
      <c r="B1987" t="str">
        <f>IFERROR(IF(A1987="","",VLOOKUP(A1987,CadProd!$A:$B,2,0)),"")</f>
        <v/>
      </c>
      <c r="C1987" t="str">
        <f>IFERROR(IF(A1987="","",VLOOKUP(A1987,CadProd!$A:$C,3,0)),"")</f>
        <v/>
      </c>
    </row>
    <row r="1988" spans="2:3" x14ac:dyDescent="0.3">
      <c r="B1988" t="str">
        <f>IFERROR(IF(A1988="","",VLOOKUP(A1988,CadProd!$A:$B,2,0)),"")</f>
        <v/>
      </c>
      <c r="C1988" t="str">
        <f>IFERROR(IF(A1988="","",VLOOKUP(A1988,CadProd!$A:$C,3,0)),"")</f>
        <v/>
      </c>
    </row>
    <row r="1989" spans="2:3" x14ac:dyDescent="0.3">
      <c r="B1989" t="str">
        <f>IFERROR(IF(A1989="","",VLOOKUP(A1989,CadProd!$A:$B,2,0)),"")</f>
        <v/>
      </c>
      <c r="C1989" t="str">
        <f>IFERROR(IF(A1989="","",VLOOKUP(A1989,CadProd!$A:$C,3,0)),"")</f>
        <v/>
      </c>
    </row>
    <row r="1990" spans="2:3" x14ac:dyDescent="0.3">
      <c r="B1990" t="str">
        <f>IFERROR(IF(A1990="","",VLOOKUP(A1990,CadProd!$A:$B,2,0)),"")</f>
        <v/>
      </c>
      <c r="C1990" t="str">
        <f>IFERROR(IF(A1990="","",VLOOKUP(A1990,CadProd!$A:$C,3,0)),"")</f>
        <v/>
      </c>
    </row>
    <row r="1991" spans="2:3" x14ac:dyDescent="0.3">
      <c r="B1991" t="str">
        <f>IFERROR(IF(A1991="","",VLOOKUP(A1991,CadProd!$A:$B,2,0)),"")</f>
        <v/>
      </c>
      <c r="C1991" t="str">
        <f>IFERROR(IF(A1991="","",VLOOKUP(A1991,CadProd!$A:$C,3,0)),"")</f>
        <v/>
      </c>
    </row>
    <row r="1992" spans="2:3" x14ac:dyDescent="0.3">
      <c r="B1992" t="str">
        <f>IFERROR(IF(A1992="","",VLOOKUP(A1992,CadProd!$A:$B,2,0)),"")</f>
        <v/>
      </c>
      <c r="C1992" t="str">
        <f>IFERROR(IF(A1992="","",VLOOKUP(A1992,CadProd!$A:$C,3,0)),"")</f>
        <v/>
      </c>
    </row>
    <row r="1993" spans="2:3" x14ac:dyDescent="0.3">
      <c r="B1993" t="str">
        <f>IFERROR(IF(A1993="","",VLOOKUP(A1993,CadProd!$A:$B,2,0)),"")</f>
        <v/>
      </c>
      <c r="C1993" t="str">
        <f>IFERROR(IF(A1993="","",VLOOKUP(A1993,CadProd!$A:$C,3,0)),"")</f>
        <v/>
      </c>
    </row>
    <row r="1994" spans="2:3" x14ac:dyDescent="0.3">
      <c r="B1994" t="str">
        <f>IFERROR(IF(A1994="","",VLOOKUP(A1994,CadProd!$A:$B,2,0)),"")</f>
        <v/>
      </c>
      <c r="C1994" t="str">
        <f>IFERROR(IF(A1994="","",VLOOKUP(A1994,CadProd!$A:$C,3,0)),"")</f>
        <v/>
      </c>
    </row>
    <row r="1995" spans="2:3" x14ac:dyDescent="0.3">
      <c r="B1995" t="str">
        <f>IFERROR(IF(A1995="","",VLOOKUP(A1995,CadProd!$A:$B,2,0)),"")</f>
        <v/>
      </c>
      <c r="C1995" t="str">
        <f>IFERROR(IF(A1995="","",VLOOKUP(A1995,CadProd!$A:$C,3,0)),"")</f>
        <v/>
      </c>
    </row>
    <row r="1996" spans="2:3" x14ac:dyDescent="0.3">
      <c r="B1996" t="str">
        <f>IFERROR(IF(A1996="","",VLOOKUP(A1996,CadProd!$A:$B,2,0)),"")</f>
        <v/>
      </c>
      <c r="C1996" t="str">
        <f>IFERROR(IF(A1996="","",VLOOKUP(A1996,CadProd!$A:$C,3,0)),"")</f>
        <v/>
      </c>
    </row>
    <row r="1997" spans="2:3" x14ac:dyDescent="0.3">
      <c r="B1997" t="str">
        <f>IFERROR(IF(A1997="","",VLOOKUP(A1997,CadProd!$A:$B,2,0)),"")</f>
        <v/>
      </c>
      <c r="C1997" t="str">
        <f>IFERROR(IF(A1997="","",VLOOKUP(A1997,CadProd!$A:$C,3,0)),"")</f>
        <v/>
      </c>
    </row>
    <row r="1998" spans="2:3" x14ac:dyDescent="0.3">
      <c r="B1998" t="str">
        <f>IFERROR(IF(A1998="","",VLOOKUP(A1998,CadProd!$A:$B,2,0)),"")</f>
        <v/>
      </c>
      <c r="C1998" t="str">
        <f>IFERROR(IF(A1998="","",VLOOKUP(A1998,CadProd!$A:$C,3,0)),"")</f>
        <v/>
      </c>
    </row>
    <row r="1999" spans="2:3" x14ac:dyDescent="0.3">
      <c r="B1999" t="str">
        <f>IFERROR(IF(A1999="","",VLOOKUP(A1999,CadProd!$A:$B,2,0)),"")</f>
        <v/>
      </c>
      <c r="C1999" t="str">
        <f>IFERROR(IF(A1999="","",VLOOKUP(A1999,CadProd!$A:$C,3,0)),"")</f>
        <v/>
      </c>
    </row>
    <row r="2000" spans="2:3" x14ac:dyDescent="0.3">
      <c r="B2000" t="str">
        <f>IFERROR(IF(A2000="","",VLOOKUP(A2000,CadProd!$A:$B,2,0)),"")</f>
        <v/>
      </c>
      <c r="C2000" t="str">
        <f>IFERROR(IF(A2000="","",VLOOKUP(A2000,CadProd!$A:$C,3,0)),"")</f>
        <v/>
      </c>
    </row>
    <row r="2001" spans="2:3" x14ac:dyDescent="0.3">
      <c r="B2001" t="str">
        <f>IFERROR(IF(A2001="","",VLOOKUP(A2001,CadProd!$A:$B,2,0)),"")</f>
        <v/>
      </c>
      <c r="C2001" t="str">
        <f>IFERROR(IF(A2001="","",VLOOKUP(A2001,CadProd!$A:$C,3,0)),"")</f>
        <v/>
      </c>
    </row>
    <row r="2002" spans="2:3" x14ac:dyDescent="0.3">
      <c r="B2002" t="str">
        <f>IFERROR(IF(A2002="","",VLOOKUP(A2002,CadProd!$A:$B,2,0)),"")</f>
        <v/>
      </c>
      <c r="C2002" t="str">
        <f>IFERROR(IF(A2002="","",VLOOKUP(A2002,CadProd!$A:$C,3,0)),"")</f>
        <v/>
      </c>
    </row>
    <row r="2003" spans="2:3" x14ac:dyDescent="0.3">
      <c r="B2003" t="str">
        <f>IFERROR(IF(A2003="","",VLOOKUP(A2003,CadProd!$A:$B,2,0)),"")</f>
        <v/>
      </c>
      <c r="C2003" t="str">
        <f>IFERROR(IF(A2003="","",VLOOKUP(A2003,CadProd!$A:$C,3,0)),"")</f>
        <v/>
      </c>
    </row>
    <row r="2004" spans="2:3" x14ac:dyDescent="0.3">
      <c r="B2004" t="str">
        <f>IFERROR(IF(A2004="","",VLOOKUP(A2004,CadProd!$A:$B,2,0)),"")</f>
        <v/>
      </c>
      <c r="C2004" t="str">
        <f>IFERROR(IF(A2004="","",VLOOKUP(A2004,CadProd!$A:$C,3,0)),"")</f>
        <v/>
      </c>
    </row>
    <row r="2005" spans="2:3" x14ac:dyDescent="0.3">
      <c r="B2005" t="str">
        <f>IFERROR(IF(A2005="","",VLOOKUP(A2005,CadProd!$A:$B,2,0)),"")</f>
        <v/>
      </c>
      <c r="C2005" t="str">
        <f>IFERROR(IF(A2005="","",VLOOKUP(A2005,CadProd!$A:$C,3,0)),"")</f>
        <v/>
      </c>
    </row>
    <row r="2006" spans="2:3" x14ac:dyDescent="0.3">
      <c r="B2006" t="str">
        <f>IFERROR(IF(A2006="","",VLOOKUP(A2006,CadProd!$A:$B,2,0)),"")</f>
        <v/>
      </c>
      <c r="C2006" t="str">
        <f>IFERROR(IF(A2006="","",VLOOKUP(A2006,CadProd!$A:$C,3,0)),"")</f>
        <v/>
      </c>
    </row>
    <row r="2007" spans="2:3" x14ac:dyDescent="0.3">
      <c r="B2007" t="str">
        <f>IFERROR(IF(A2007="","",VLOOKUP(A2007,CadProd!$A:$B,2,0)),"")</f>
        <v/>
      </c>
      <c r="C2007" t="str">
        <f>IFERROR(IF(A2007="","",VLOOKUP(A2007,CadProd!$A:$C,3,0)),"")</f>
        <v/>
      </c>
    </row>
    <row r="2008" spans="2:3" x14ac:dyDescent="0.3">
      <c r="B2008" t="str">
        <f>IFERROR(IF(A2008="","",VLOOKUP(A2008,CadProd!$A:$B,2,0)),"")</f>
        <v/>
      </c>
      <c r="C2008" t="str">
        <f>IFERROR(IF(A2008="","",VLOOKUP(A2008,CadProd!$A:$C,3,0)),"")</f>
        <v/>
      </c>
    </row>
    <row r="2009" spans="2:3" x14ac:dyDescent="0.3">
      <c r="B2009" t="str">
        <f>IFERROR(IF(A2009="","",VLOOKUP(A2009,CadProd!$A:$B,2,0)),"")</f>
        <v/>
      </c>
      <c r="C2009" t="str">
        <f>IFERROR(IF(A2009="","",VLOOKUP(A2009,CadProd!$A:$C,3,0)),"")</f>
        <v/>
      </c>
    </row>
    <row r="2010" spans="2:3" x14ac:dyDescent="0.3">
      <c r="B2010" t="str">
        <f>IFERROR(IF(A2010="","",VLOOKUP(A2010,CadProd!$A:$B,2,0)),"")</f>
        <v/>
      </c>
      <c r="C2010" t="str">
        <f>IFERROR(IF(A2010="","",VLOOKUP(A2010,CadProd!$A:$C,3,0)),"")</f>
        <v/>
      </c>
    </row>
    <row r="2011" spans="2:3" x14ac:dyDescent="0.3">
      <c r="B2011" t="str">
        <f>IFERROR(IF(A2011="","",VLOOKUP(A2011,CadProd!$A:$B,2,0)),"")</f>
        <v/>
      </c>
      <c r="C2011" t="str">
        <f>IFERROR(IF(A2011="","",VLOOKUP(A2011,CadProd!$A:$C,3,0)),"")</f>
        <v/>
      </c>
    </row>
    <row r="2012" spans="2:3" x14ac:dyDescent="0.3">
      <c r="B2012" t="str">
        <f>IFERROR(IF(A2012="","",VLOOKUP(A2012,CadProd!$A:$B,2,0)),"")</f>
        <v/>
      </c>
      <c r="C2012" t="str">
        <f>IFERROR(IF(A2012="","",VLOOKUP(A2012,CadProd!$A:$C,3,0)),"")</f>
        <v/>
      </c>
    </row>
    <row r="2013" spans="2:3" x14ac:dyDescent="0.3">
      <c r="B2013" t="str">
        <f>IFERROR(IF(A2013="","",VLOOKUP(A2013,CadProd!$A:$B,2,0)),"")</f>
        <v/>
      </c>
      <c r="C2013" t="str">
        <f>IFERROR(IF(A2013="","",VLOOKUP(A2013,CadProd!$A:$C,3,0)),"")</f>
        <v/>
      </c>
    </row>
    <row r="2014" spans="2:3" x14ac:dyDescent="0.3">
      <c r="B2014" t="str">
        <f>IFERROR(IF(A2014="","",VLOOKUP(A2014,CadProd!$A:$B,2,0)),"")</f>
        <v/>
      </c>
      <c r="C2014" t="str">
        <f>IFERROR(IF(A2014="","",VLOOKUP(A2014,CadProd!$A:$C,3,0)),"")</f>
        <v/>
      </c>
    </row>
    <row r="2015" spans="2:3" x14ac:dyDescent="0.3">
      <c r="B2015" t="str">
        <f>IFERROR(IF(A2015="","",VLOOKUP(A2015,CadProd!$A:$B,2,0)),"")</f>
        <v/>
      </c>
      <c r="C2015" t="str">
        <f>IFERROR(IF(A2015="","",VLOOKUP(A2015,CadProd!$A:$C,3,0)),"")</f>
        <v/>
      </c>
    </row>
    <row r="2016" spans="2:3" x14ac:dyDescent="0.3">
      <c r="B2016" t="str">
        <f>IFERROR(IF(A2016="","",VLOOKUP(A2016,CadProd!$A:$B,2,0)),"")</f>
        <v/>
      </c>
      <c r="C2016" t="str">
        <f>IFERROR(IF(A2016="","",VLOOKUP(A2016,CadProd!$A:$C,3,0)),"")</f>
        <v/>
      </c>
    </row>
    <row r="2017" spans="2:3" x14ac:dyDescent="0.3">
      <c r="B2017" t="str">
        <f>IFERROR(IF(A2017="","",VLOOKUP(A2017,CadProd!$A:$B,2,0)),"")</f>
        <v/>
      </c>
      <c r="C2017" t="str">
        <f>IFERROR(IF(A2017="","",VLOOKUP(A2017,CadProd!$A:$C,3,0)),"")</f>
        <v/>
      </c>
    </row>
    <row r="2018" spans="2:3" x14ac:dyDescent="0.3">
      <c r="B2018" t="str">
        <f>IFERROR(IF(A2018="","",VLOOKUP(A2018,CadProd!$A:$B,2,0)),"")</f>
        <v/>
      </c>
      <c r="C2018" t="str">
        <f>IFERROR(IF(A2018="","",VLOOKUP(A2018,CadProd!$A:$C,3,0)),"")</f>
        <v/>
      </c>
    </row>
    <row r="2019" spans="2:3" x14ac:dyDescent="0.3">
      <c r="B2019" t="str">
        <f>IFERROR(IF(A2019="","",VLOOKUP(A2019,CadProd!$A:$B,2,0)),"")</f>
        <v/>
      </c>
      <c r="C2019" t="str">
        <f>IFERROR(IF(A2019="","",VLOOKUP(A2019,CadProd!$A:$C,3,0)),"")</f>
        <v/>
      </c>
    </row>
    <row r="2020" spans="2:3" x14ac:dyDescent="0.3">
      <c r="B2020" t="str">
        <f>IFERROR(IF(A2020="","",VLOOKUP(A2020,CadProd!$A:$B,2,0)),"")</f>
        <v/>
      </c>
      <c r="C2020" t="str">
        <f>IFERROR(IF(A2020="","",VLOOKUP(A2020,CadProd!$A:$C,3,0)),"")</f>
        <v/>
      </c>
    </row>
    <row r="2021" spans="2:3" x14ac:dyDescent="0.3">
      <c r="B2021" t="str">
        <f>IFERROR(IF(A2021="","",VLOOKUP(A2021,CadProd!$A:$B,2,0)),"")</f>
        <v/>
      </c>
      <c r="C2021" t="str">
        <f>IFERROR(IF(A2021="","",VLOOKUP(A2021,CadProd!$A:$C,3,0)),"")</f>
        <v/>
      </c>
    </row>
    <row r="2022" spans="2:3" x14ac:dyDescent="0.3">
      <c r="B2022" t="str">
        <f>IFERROR(IF(A2022="","",VLOOKUP(A2022,CadProd!$A:$B,2,0)),"")</f>
        <v/>
      </c>
      <c r="C2022" t="str">
        <f>IFERROR(IF(A2022="","",VLOOKUP(A2022,CadProd!$A:$C,3,0)),"")</f>
        <v/>
      </c>
    </row>
    <row r="2023" spans="2:3" x14ac:dyDescent="0.3">
      <c r="B2023" t="str">
        <f>IFERROR(IF(A2023="","",VLOOKUP(A2023,CadProd!$A:$B,2,0)),"")</f>
        <v/>
      </c>
      <c r="C2023" t="str">
        <f>IFERROR(IF(A2023="","",VLOOKUP(A2023,CadProd!$A:$C,3,0)),"")</f>
        <v/>
      </c>
    </row>
    <row r="2024" spans="2:3" x14ac:dyDescent="0.3">
      <c r="B2024" t="str">
        <f>IFERROR(IF(A2024="","",VLOOKUP(A2024,CadProd!$A:$B,2,0)),"")</f>
        <v/>
      </c>
      <c r="C2024" t="str">
        <f>IFERROR(IF(A2024="","",VLOOKUP(A2024,CadProd!$A:$C,3,0)),"")</f>
        <v/>
      </c>
    </row>
    <row r="2025" spans="2:3" x14ac:dyDescent="0.3">
      <c r="B2025" t="str">
        <f>IFERROR(IF(A2025="","",VLOOKUP(A2025,CadProd!$A:$B,2,0)),"")</f>
        <v/>
      </c>
      <c r="C2025" t="str">
        <f>IFERROR(IF(A2025="","",VLOOKUP(A2025,CadProd!$A:$C,3,0)),"")</f>
        <v/>
      </c>
    </row>
    <row r="2026" spans="2:3" x14ac:dyDescent="0.3">
      <c r="B2026" t="str">
        <f>IFERROR(IF(A2026="","",VLOOKUP(A2026,CadProd!$A:$B,2,0)),"")</f>
        <v/>
      </c>
      <c r="C2026" t="str">
        <f>IFERROR(IF(A2026="","",VLOOKUP(A2026,CadProd!$A:$C,3,0)),"")</f>
        <v/>
      </c>
    </row>
    <row r="2027" spans="2:3" x14ac:dyDescent="0.3">
      <c r="B2027" t="str">
        <f>IFERROR(IF(A2027="","",VLOOKUP(A2027,CadProd!$A:$B,2,0)),"")</f>
        <v/>
      </c>
      <c r="C2027" t="str">
        <f>IFERROR(IF(A2027="","",VLOOKUP(A2027,CadProd!$A:$C,3,0)),"")</f>
        <v/>
      </c>
    </row>
    <row r="2028" spans="2:3" x14ac:dyDescent="0.3">
      <c r="B2028" t="str">
        <f>IFERROR(IF(A2028="","",VLOOKUP(A2028,CadProd!$A:$B,2,0)),"")</f>
        <v/>
      </c>
      <c r="C2028" t="str">
        <f>IFERROR(IF(A2028="","",VLOOKUP(A2028,CadProd!$A:$C,3,0)),"")</f>
        <v/>
      </c>
    </row>
    <row r="2029" spans="2:3" x14ac:dyDescent="0.3">
      <c r="B2029" t="str">
        <f>IFERROR(IF(A2029="","",VLOOKUP(A2029,CadProd!$A:$B,2,0)),"")</f>
        <v/>
      </c>
      <c r="C2029" t="str">
        <f>IFERROR(IF(A2029="","",VLOOKUP(A2029,CadProd!$A:$C,3,0)),"")</f>
        <v/>
      </c>
    </row>
    <row r="2030" spans="2:3" x14ac:dyDescent="0.3">
      <c r="B2030" t="str">
        <f>IFERROR(IF(A2030="","",VLOOKUP(A2030,CadProd!$A:$B,2,0)),"")</f>
        <v/>
      </c>
      <c r="C2030" t="str">
        <f>IFERROR(IF(A2030="","",VLOOKUP(A2030,CadProd!$A:$C,3,0)),"")</f>
        <v/>
      </c>
    </row>
    <row r="2031" spans="2:3" x14ac:dyDescent="0.3">
      <c r="B2031" t="str">
        <f>IFERROR(IF(A2031="","",VLOOKUP(A2031,CadProd!$A:$B,2,0)),"")</f>
        <v/>
      </c>
      <c r="C2031" t="str">
        <f>IFERROR(IF(A2031="","",VLOOKUP(A2031,CadProd!$A:$C,3,0)),"")</f>
        <v/>
      </c>
    </row>
    <row r="2032" spans="2:3" x14ac:dyDescent="0.3">
      <c r="B2032" t="str">
        <f>IFERROR(IF(A2032="","",VLOOKUP(A2032,CadProd!$A:$B,2,0)),"")</f>
        <v/>
      </c>
      <c r="C2032" t="str">
        <f>IFERROR(IF(A2032="","",VLOOKUP(A2032,CadProd!$A:$C,3,0)),"")</f>
        <v/>
      </c>
    </row>
    <row r="2033" spans="2:3" x14ac:dyDescent="0.3">
      <c r="B2033" t="str">
        <f>IFERROR(IF(A2033="","",VLOOKUP(A2033,CadProd!$A:$B,2,0)),"")</f>
        <v/>
      </c>
      <c r="C2033" t="str">
        <f>IFERROR(IF(A2033="","",VLOOKUP(A2033,CadProd!$A:$C,3,0)),"")</f>
        <v/>
      </c>
    </row>
    <row r="2034" spans="2:3" x14ac:dyDescent="0.3">
      <c r="B2034" t="str">
        <f>IFERROR(IF(A2034="","",VLOOKUP(A2034,CadProd!$A:$B,2,0)),"")</f>
        <v/>
      </c>
      <c r="C2034" t="str">
        <f>IFERROR(IF(A2034="","",VLOOKUP(A2034,CadProd!$A:$C,3,0)),"")</f>
        <v/>
      </c>
    </row>
    <row r="2035" spans="2:3" x14ac:dyDescent="0.3">
      <c r="B2035" t="str">
        <f>IFERROR(IF(A2035="","",VLOOKUP(A2035,CadProd!$A:$B,2,0)),"")</f>
        <v/>
      </c>
      <c r="C2035" t="str">
        <f>IFERROR(IF(A2035="","",VLOOKUP(A2035,CadProd!$A:$C,3,0)),"")</f>
        <v/>
      </c>
    </row>
    <row r="2036" spans="2:3" x14ac:dyDescent="0.3">
      <c r="B2036" t="str">
        <f>IFERROR(IF(A2036="","",VLOOKUP(A2036,CadProd!$A:$B,2,0)),"")</f>
        <v/>
      </c>
      <c r="C2036" t="str">
        <f>IFERROR(IF(A2036="","",VLOOKUP(A2036,CadProd!$A:$C,3,0)),"")</f>
        <v/>
      </c>
    </row>
    <row r="2037" spans="2:3" x14ac:dyDescent="0.3">
      <c r="B2037" t="str">
        <f>IFERROR(IF(A2037="","",VLOOKUP(A2037,CadProd!$A:$B,2,0)),"")</f>
        <v/>
      </c>
      <c r="C2037" t="str">
        <f>IFERROR(IF(A2037="","",VLOOKUP(A2037,CadProd!$A:$C,3,0)),"")</f>
        <v/>
      </c>
    </row>
    <row r="2038" spans="2:3" x14ac:dyDescent="0.3">
      <c r="B2038" t="str">
        <f>IFERROR(IF(A2038="","",VLOOKUP(A2038,CadProd!$A:$B,2,0)),"")</f>
        <v/>
      </c>
      <c r="C2038" t="str">
        <f>IFERROR(IF(A2038="","",VLOOKUP(A2038,CadProd!$A:$C,3,0)),"")</f>
        <v/>
      </c>
    </row>
    <row r="2039" spans="2:3" x14ac:dyDescent="0.3">
      <c r="B2039" t="str">
        <f>IFERROR(IF(A2039="","",VLOOKUP(A2039,CadProd!$A:$B,2,0)),"")</f>
        <v/>
      </c>
      <c r="C2039" t="str">
        <f>IFERROR(IF(A2039="","",VLOOKUP(A2039,CadProd!$A:$C,3,0)),"")</f>
        <v/>
      </c>
    </row>
    <row r="2040" spans="2:3" x14ac:dyDescent="0.3">
      <c r="B2040" t="str">
        <f>IFERROR(IF(A2040="","",VLOOKUP(A2040,CadProd!$A:$B,2,0)),"")</f>
        <v/>
      </c>
      <c r="C2040" t="str">
        <f>IFERROR(IF(A2040="","",VLOOKUP(A2040,CadProd!$A:$C,3,0)),"")</f>
        <v/>
      </c>
    </row>
    <row r="2041" spans="2:3" x14ac:dyDescent="0.3">
      <c r="B2041" t="str">
        <f>IFERROR(IF(A2041="","",VLOOKUP(A2041,CadProd!$A:$B,2,0)),"")</f>
        <v/>
      </c>
      <c r="C2041" t="str">
        <f>IFERROR(IF(A2041="","",VLOOKUP(A2041,CadProd!$A:$C,3,0)),"")</f>
        <v/>
      </c>
    </row>
    <row r="2042" spans="2:3" x14ac:dyDescent="0.3">
      <c r="B2042" t="str">
        <f>IFERROR(IF(A2042="","",VLOOKUP(A2042,CadProd!$A:$B,2,0)),"")</f>
        <v/>
      </c>
      <c r="C2042" t="str">
        <f>IFERROR(IF(A2042="","",VLOOKUP(A2042,CadProd!$A:$C,3,0)),"")</f>
        <v/>
      </c>
    </row>
    <row r="2043" spans="2:3" x14ac:dyDescent="0.3">
      <c r="B2043" t="str">
        <f>IFERROR(IF(A2043="","",VLOOKUP(A2043,CadProd!$A:$B,2,0)),"")</f>
        <v/>
      </c>
      <c r="C2043" t="str">
        <f>IFERROR(IF(A2043="","",VLOOKUP(A2043,CadProd!$A:$C,3,0)),"")</f>
        <v/>
      </c>
    </row>
    <row r="2044" spans="2:3" x14ac:dyDescent="0.3">
      <c r="B2044" t="str">
        <f>IFERROR(IF(A2044="","",VLOOKUP(A2044,CadProd!$A:$B,2,0)),"")</f>
        <v/>
      </c>
      <c r="C2044" t="str">
        <f>IFERROR(IF(A2044="","",VLOOKUP(A2044,CadProd!$A:$C,3,0)),"")</f>
        <v/>
      </c>
    </row>
    <row r="2045" spans="2:3" x14ac:dyDescent="0.3">
      <c r="B2045" t="str">
        <f>IFERROR(IF(A2045="","",VLOOKUP(A2045,CadProd!$A:$B,2,0)),"")</f>
        <v/>
      </c>
      <c r="C2045" t="str">
        <f>IFERROR(IF(A2045="","",VLOOKUP(A2045,CadProd!$A:$C,3,0)),"")</f>
        <v/>
      </c>
    </row>
    <row r="2046" spans="2:3" x14ac:dyDescent="0.3">
      <c r="B2046" t="str">
        <f>IFERROR(IF(A2046="","",VLOOKUP(A2046,CadProd!$A:$B,2,0)),"")</f>
        <v/>
      </c>
      <c r="C2046" t="str">
        <f>IFERROR(IF(A2046="","",VLOOKUP(A2046,CadProd!$A:$C,3,0)),"")</f>
        <v/>
      </c>
    </row>
    <row r="2047" spans="2:3" x14ac:dyDescent="0.3">
      <c r="B2047" t="str">
        <f>IFERROR(IF(A2047="","",VLOOKUP(A2047,CadProd!$A:$B,2,0)),"")</f>
        <v/>
      </c>
      <c r="C2047" t="str">
        <f>IFERROR(IF(A2047="","",VLOOKUP(A2047,CadProd!$A:$C,3,0)),"")</f>
        <v/>
      </c>
    </row>
    <row r="2048" spans="2:3" x14ac:dyDescent="0.3">
      <c r="B2048" t="str">
        <f>IFERROR(IF(A2048="","",VLOOKUP(A2048,CadProd!$A:$B,2,0)),"")</f>
        <v/>
      </c>
      <c r="C2048" t="str">
        <f>IFERROR(IF(A2048="","",VLOOKUP(A2048,CadProd!$A:$C,3,0)),"")</f>
        <v/>
      </c>
    </row>
    <row r="2049" spans="2:3" x14ac:dyDescent="0.3">
      <c r="B2049" t="str">
        <f>IFERROR(IF(A2049="","",VLOOKUP(A2049,CadProd!$A:$B,2,0)),"")</f>
        <v/>
      </c>
      <c r="C2049" t="str">
        <f>IFERROR(IF(A2049="","",VLOOKUP(A2049,CadProd!$A:$C,3,0)),"")</f>
        <v/>
      </c>
    </row>
    <row r="2050" spans="2:3" x14ac:dyDescent="0.3">
      <c r="B2050" t="str">
        <f>IFERROR(IF(A2050="","",VLOOKUP(A2050,CadProd!$A:$B,2,0)),"")</f>
        <v/>
      </c>
      <c r="C2050" t="str">
        <f>IFERROR(IF(A2050="","",VLOOKUP(A2050,CadProd!$A:$C,3,0)),"")</f>
        <v/>
      </c>
    </row>
    <row r="2051" spans="2:3" x14ac:dyDescent="0.3">
      <c r="B2051" t="str">
        <f>IFERROR(IF(A2051="","",VLOOKUP(A2051,CadProd!$A:$B,2,0)),"")</f>
        <v/>
      </c>
      <c r="C2051" t="str">
        <f>IFERROR(IF(A2051="","",VLOOKUP(A2051,CadProd!$A:$C,3,0)),"")</f>
        <v/>
      </c>
    </row>
    <row r="2052" spans="2:3" x14ac:dyDescent="0.3">
      <c r="B2052" t="str">
        <f>IFERROR(IF(A2052="","",VLOOKUP(A2052,CadProd!$A:$B,2,0)),"")</f>
        <v/>
      </c>
      <c r="C2052" t="str">
        <f>IFERROR(IF(A2052="","",VLOOKUP(A2052,CadProd!$A:$C,3,0)),"")</f>
        <v/>
      </c>
    </row>
    <row r="2053" spans="2:3" x14ac:dyDescent="0.3">
      <c r="B2053" t="str">
        <f>IFERROR(IF(A2053="","",VLOOKUP(A2053,CadProd!$A:$B,2,0)),"")</f>
        <v/>
      </c>
      <c r="C2053" t="str">
        <f>IFERROR(IF(A2053="","",VLOOKUP(A2053,CadProd!$A:$C,3,0)),"")</f>
        <v/>
      </c>
    </row>
    <row r="2054" spans="2:3" x14ac:dyDescent="0.3">
      <c r="B2054" t="str">
        <f>IFERROR(IF(A2054="","",VLOOKUP(A2054,CadProd!$A:$B,2,0)),"")</f>
        <v/>
      </c>
      <c r="C2054" t="str">
        <f>IFERROR(IF(A2054="","",VLOOKUP(A2054,CadProd!$A:$C,3,0)),"")</f>
        <v/>
      </c>
    </row>
    <row r="2055" spans="2:3" x14ac:dyDescent="0.3">
      <c r="B2055" t="str">
        <f>IFERROR(IF(A2055="","",VLOOKUP(A2055,CadProd!$A:$B,2,0)),"")</f>
        <v/>
      </c>
      <c r="C2055" t="str">
        <f>IFERROR(IF(A2055="","",VLOOKUP(A2055,CadProd!$A:$C,3,0)),"")</f>
        <v/>
      </c>
    </row>
    <row r="2056" spans="2:3" x14ac:dyDescent="0.3">
      <c r="B2056" t="str">
        <f>IFERROR(IF(A2056="","",VLOOKUP(A2056,CadProd!$A:$B,2,0)),"")</f>
        <v/>
      </c>
      <c r="C2056" t="str">
        <f>IFERROR(IF(A2056="","",VLOOKUP(A2056,CadProd!$A:$C,3,0)),"")</f>
        <v/>
      </c>
    </row>
    <row r="2057" spans="2:3" x14ac:dyDescent="0.3">
      <c r="B2057" t="str">
        <f>IFERROR(IF(A2057="","",VLOOKUP(A2057,CadProd!$A:$B,2,0)),"")</f>
        <v/>
      </c>
      <c r="C2057" t="str">
        <f>IFERROR(IF(A2057="","",VLOOKUP(A2057,CadProd!$A:$C,3,0)),"")</f>
        <v/>
      </c>
    </row>
    <row r="2058" spans="2:3" x14ac:dyDescent="0.3">
      <c r="B2058" t="str">
        <f>IFERROR(IF(A2058="","",VLOOKUP(A2058,CadProd!$A:$B,2,0)),"")</f>
        <v/>
      </c>
      <c r="C2058" t="str">
        <f>IFERROR(IF(A2058="","",VLOOKUP(A2058,CadProd!$A:$C,3,0)),"")</f>
        <v/>
      </c>
    </row>
    <row r="2059" spans="2:3" x14ac:dyDescent="0.3">
      <c r="B2059" t="str">
        <f>IFERROR(IF(A2059="","",VLOOKUP(A2059,CadProd!$A:$B,2,0)),"")</f>
        <v/>
      </c>
      <c r="C2059" t="str">
        <f>IFERROR(IF(A2059="","",VLOOKUP(A2059,CadProd!$A:$C,3,0)),"")</f>
        <v/>
      </c>
    </row>
    <row r="2060" spans="2:3" x14ac:dyDescent="0.3">
      <c r="B2060" t="str">
        <f>IFERROR(IF(A2060="","",VLOOKUP(A2060,CadProd!$A:$B,2,0)),"")</f>
        <v/>
      </c>
      <c r="C2060" t="str">
        <f>IFERROR(IF(A2060="","",VLOOKUP(A2060,CadProd!$A:$C,3,0)),"")</f>
        <v/>
      </c>
    </row>
    <row r="2061" spans="2:3" x14ac:dyDescent="0.3">
      <c r="B2061" t="str">
        <f>IFERROR(IF(A2061="","",VLOOKUP(A2061,CadProd!$A:$B,2,0)),"")</f>
        <v/>
      </c>
      <c r="C2061" t="str">
        <f>IFERROR(IF(A2061="","",VLOOKUP(A2061,CadProd!$A:$C,3,0)),"")</f>
        <v/>
      </c>
    </row>
    <row r="2062" spans="2:3" x14ac:dyDescent="0.3">
      <c r="B2062" t="str">
        <f>IFERROR(IF(A2062="","",VLOOKUP(A2062,CadProd!$A:$B,2,0)),"")</f>
        <v/>
      </c>
      <c r="C2062" t="str">
        <f>IFERROR(IF(A2062="","",VLOOKUP(A2062,CadProd!$A:$C,3,0)),"")</f>
        <v/>
      </c>
    </row>
    <row r="2063" spans="2:3" x14ac:dyDescent="0.3">
      <c r="B2063" t="str">
        <f>IFERROR(IF(A2063="","",VLOOKUP(A2063,CadProd!$A:$B,2,0)),"")</f>
        <v/>
      </c>
      <c r="C2063" t="str">
        <f>IFERROR(IF(A2063="","",VLOOKUP(A2063,CadProd!$A:$C,3,0)),"")</f>
        <v/>
      </c>
    </row>
    <row r="2064" spans="2:3" x14ac:dyDescent="0.3">
      <c r="B2064" t="str">
        <f>IFERROR(IF(A2064="","",VLOOKUP(A2064,CadProd!$A:$B,2,0)),"")</f>
        <v/>
      </c>
      <c r="C2064" t="str">
        <f>IFERROR(IF(A2064="","",VLOOKUP(A2064,CadProd!$A:$C,3,0)),"")</f>
        <v/>
      </c>
    </row>
    <row r="2065" spans="2:3" x14ac:dyDescent="0.3">
      <c r="B2065" t="str">
        <f>IFERROR(IF(A2065="","",VLOOKUP(A2065,CadProd!$A:$B,2,0)),"")</f>
        <v/>
      </c>
      <c r="C2065" t="str">
        <f>IFERROR(IF(A2065="","",VLOOKUP(A2065,CadProd!$A:$C,3,0)),"")</f>
        <v/>
      </c>
    </row>
    <row r="2066" spans="2:3" x14ac:dyDescent="0.3">
      <c r="B2066" t="str">
        <f>IFERROR(IF(A2066="","",VLOOKUP(A2066,CadProd!$A:$B,2,0)),"")</f>
        <v/>
      </c>
      <c r="C2066" t="str">
        <f>IFERROR(IF(A2066="","",VLOOKUP(A2066,CadProd!$A:$C,3,0)),"")</f>
        <v/>
      </c>
    </row>
    <row r="2067" spans="2:3" x14ac:dyDescent="0.3">
      <c r="B2067" t="str">
        <f>IFERROR(IF(A2067="","",VLOOKUP(A2067,CadProd!$A:$B,2,0)),"")</f>
        <v/>
      </c>
      <c r="C2067" t="str">
        <f>IFERROR(IF(A2067="","",VLOOKUP(A2067,CadProd!$A:$C,3,0)),"")</f>
        <v/>
      </c>
    </row>
    <row r="2068" spans="2:3" x14ac:dyDescent="0.3">
      <c r="B2068" t="str">
        <f>IFERROR(IF(A2068="","",VLOOKUP(A2068,CadProd!$A:$B,2,0)),"")</f>
        <v/>
      </c>
      <c r="C2068" t="str">
        <f>IFERROR(IF(A2068="","",VLOOKUP(A2068,CadProd!$A:$C,3,0)),"")</f>
        <v/>
      </c>
    </row>
    <row r="2069" spans="2:3" x14ac:dyDescent="0.3">
      <c r="B2069" t="str">
        <f>IFERROR(IF(A2069="","",VLOOKUP(A2069,CadProd!$A:$B,2,0)),"")</f>
        <v/>
      </c>
      <c r="C2069" t="str">
        <f>IFERROR(IF(A2069="","",VLOOKUP(A2069,CadProd!$A:$C,3,0)),"")</f>
        <v/>
      </c>
    </row>
    <row r="2070" spans="2:3" x14ac:dyDescent="0.3">
      <c r="B2070" t="str">
        <f>IFERROR(IF(A2070="","",VLOOKUP(A2070,CadProd!$A:$B,2,0)),"")</f>
        <v/>
      </c>
      <c r="C2070" t="str">
        <f>IFERROR(IF(A2070="","",VLOOKUP(A2070,CadProd!$A:$C,3,0)),"")</f>
        <v/>
      </c>
    </row>
    <row r="2071" spans="2:3" x14ac:dyDescent="0.3">
      <c r="B2071" t="str">
        <f>IFERROR(IF(A2071="","",VLOOKUP(A2071,CadProd!$A:$B,2,0)),"")</f>
        <v/>
      </c>
      <c r="C2071" t="str">
        <f>IFERROR(IF(A2071="","",VLOOKUP(A2071,CadProd!$A:$C,3,0)),"")</f>
        <v/>
      </c>
    </row>
    <row r="2072" spans="2:3" x14ac:dyDescent="0.3">
      <c r="B2072" t="str">
        <f>IFERROR(IF(A2072="","",VLOOKUP(A2072,CadProd!$A:$B,2,0)),"")</f>
        <v/>
      </c>
      <c r="C2072" t="str">
        <f>IFERROR(IF(A2072="","",VLOOKUP(A2072,CadProd!$A:$C,3,0)),"")</f>
        <v/>
      </c>
    </row>
    <row r="2073" spans="2:3" x14ac:dyDescent="0.3">
      <c r="B2073" t="str">
        <f>IFERROR(IF(A2073="","",VLOOKUP(A2073,CadProd!$A:$B,2,0)),"")</f>
        <v/>
      </c>
      <c r="C2073" t="str">
        <f>IFERROR(IF(A2073="","",VLOOKUP(A2073,CadProd!$A:$C,3,0)),"")</f>
        <v/>
      </c>
    </row>
    <row r="2074" spans="2:3" x14ac:dyDescent="0.3">
      <c r="B2074" t="str">
        <f>IFERROR(IF(A2074="","",VLOOKUP(A2074,CadProd!$A:$B,2,0)),"")</f>
        <v/>
      </c>
      <c r="C2074" t="str">
        <f>IFERROR(IF(A2074="","",VLOOKUP(A2074,CadProd!$A:$C,3,0)),"")</f>
        <v/>
      </c>
    </row>
    <row r="2075" spans="2:3" x14ac:dyDescent="0.3">
      <c r="B2075" t="str">
        <f>IFERROR(IF(A2075="","",VLOOKUP(A2075,CadProd!$A:$B,2,0)),"")</f>
        <v/>
      </c>
      <c r="C2075" t="str">
        <f>IFERROR(IF(A2075="","",VLOOKUP(A2075,CadProd!$A:$C,3,0)),"")</f>
        <v/>
      </c>
    </row>
    <row r="2076" spans="2:3" x14ac:dyDescent="0.3">
      <c r="B2076" t="str">
        <f>IFERROR(IF(A2076="","",VLOOKUP(A2076,CadProd!$A:$B,2,0)),"")</f>
        <v/>
      </c>
      <c r="C2076" t="str">
        <f>IFERROR(IF(A2076="","",VLOOKUP(A2076,CadProd!$A:$C,3,0)),"")</f>
        <v/>
      </c>
    </row>
    <row r="2077" spans="2:3" x14ac:dyDescent="0.3">
      <c r="B2077" t="str">
        <f>IFERROR(IF(A2077="","",VLOOKUP(A2077,CadProd!$A:$B,2,0)),"")</f>
        <v/>
      </c>
      <c r="C2077" t="str">
        <f>IFERROR(IF(A2077="","",VLOOKUP(A2077,CadProd!$A:$C,3,0)),"")</f>
        <v/>
      </c>
    </row>
    <row r="2078" spans="2:3" x14ac:dyDescent="0.3">
      <c r="B2078" t="str">
        <f>IFERROR(IF(A2078="","",VLOOKUP(A2078,CadProd!$A:$B,2,0)),"")</f>
        <v/>
      </c>
      <c r="C2078" t="str">
        <f>IFERROR(IF(A2078="","",VLOOKUP(A2078,CadProd!$A:$C,3,0)),"")</f>
        <v/>
      </c>
    </row>
    <row r="2079" spans="2:3" x14ac:dyDescent="0.3">
      <c r="B2079" t="str">
        <f>IFERROR(IF(A2079="","",VLOOKUP(A2079,CadProd!$A:$B,2,0)),"")</f>
        <v/>
      </c>
      <c r="C2079" t="str">
        <f>IFERROR(IF(A2079="","",VLOOKUP(A2079,CadProd!$A:$C,3,0)),"")</f>
        <v/>
      </c>
    </row>
    <row r="2080" spans="2:3" x14ac:dyDescent="0.3">
      <c r="B2080" t="str">
        <f>IFERROR(IF(A2080="","",VLOOKUP(A2080,CadProd!$A:$B,2,0)),"")</f>
        <v/>
      </c>
      <c r="C2080" t="str">
        <f>IFERROR(IF(A2080="","",VLOOKUP(A2080,CadProd!$A:$C,3,0)),"")</f>
        <v/>
      </c>
    </row>
    <row r="2081" spans="2:3" x14ac:dyDescent="0.3">
      <c r="B2081" t="str">
        <f>IFERROR(IF(A2081="","",VLOOKUP(A2081,CadProd!$A:$B,2,0)),"")</f>
        <v/>
      </c>
      <c r="C2081" t="str">
        <f>IFERROR(IF(A2081="","",VLOOKUP(A2081,CadProd!$A:$C,3,0)),"")</f>
        <v/>
      </c>
    </row>
    <row r="2082" spans="2:3" x14ac:dyDescent="0.3">
      <c r="B2082" t="str">
        <f>IFERROR(IF(A2082="","",VLOOKUP(A2082,CadProd!$A:$B,2,0)),"")</f>
        <v/>
      </c>
      <c r="C2082" t="str">
        <f>IFERROR(IF(A2082="","",VLOOKUP(A2082,CadProd!$A:$C,3,0)),"")</f>
        <v/>
      </c>
    </row>
    <row r="2083" spans="2:3" x14ac:dyDescent="0.3">
      <c r="B2083" t="str">
        <f>IFERROR(IF(A2083="","",VLOOKUP(A2083,CadProd!$A:$B,2,0)),"")</f>
        <v/>
      </c>
      <c r="C2083" t="str">
        <f>IFERROR(IF(A2083="","",VLOOKUP(A2083,CadProd!$A:$C,3,0)),"")</f>
        <v/>
      </c>
    </row>
    <row r="2084" spans="2:3" x14ac:dyDescent="0.3">
      <c r="B2084" t="str">
        <f>IFERROR(IF(A2084="","",VLOOKUP(A2084,CadProd!$A:$B,2,0)),"")</f>
        <v/>
      </c>
      <c r="C2084" t="str">
        <f>IFERROR(IF(A2084="","",VLOOKUP(A2084,CadProd!$A:$C,3,0)),"")</f>
        <v/>
      </c>
    </row>
    <row r="2085" spans="2:3" x14ac:dyDescent="0.3">
      <c r="B2085" t="str">
        <f>IFERROR(IF(A2085="","",VLOOKUP(A2085,CadProd!$A:$B,2,0)),"")</f>
        <v/>
      </c>
      <c r="C2085" t="str">
        <f>IFERROR(IF(A2085="","",VLOOKUP(A2085,CadProd!$A:$C,3,0)),"")</f>
        <v/>
      </c>
    </row>
    <row r="2086" spans="2:3" x14ac:dyDescent="0.3">
      <c r="B2086" t="str">
        <f>IFERROR(IF(A2086="","",VLOOKUP(A2086,CadProd!$A:$B,2,0)),"")</f>
        <v/>
      </c>
      <c r="C2086" t="str">
        <f>IFERROR(IF(A2086="","",VLOOKUP(A2086,CadProd!$A:$C,3,0)),"")</f>
        <v/>
      </c>
    </row>
    <row r="2087" spans="2:3" x14ac:dyDescent="0.3">
      <c r="B2087" t="str">
        <f>IFERROR(IF(A2087="","",VLOOKUP(A2087,CadProd!$A:$B,2,0)),"")</f>
        <v/>
      </c>
      <c r="C2087" t="str">
        <f>IFERROR(IF(A2087="","",VLOOKUP(A2087,CadProd!$A:$C,3,0)),"")</f>
        <v/>
      </c>
    </row>
    <row r="2088" spans="2:3" x14ac:dyDescent="0.3">
      <c r="B2088" t="str">
        <f>IFERROR(IF(A2088="","",VLOOKUP(A2088,CadProd!$A:$B,2,0)),"")</f>
        <v/>
      </c>
      <c r="C2088" t="str">
        <f>IFERROR(IF(A2088="","",VLOOKUP(A2088,CadProd!$A:$C,3,0)),"")</f>
        <v/>
      </c>
    </row>
    <row r="2089" spans="2:3" x14ac:dyDescent="0.3">
      <c r="B2089" t="str">
        <f>IFERROR(IF(A2089="","",VLOOKUP(A2089,CadProd!$A:$B,2,0)),"")</f>
        <v/>
      </c>
      <c r="C2089" t="str">
        <f>IFERROR(IF(A2089="","",VLOOKUP(A2089,CadProd!$A:$C,3,0)),"")</f>
        <v/>
      </c>
    </row>
    <row r="2090" spans="2:3" x14ac:dyDescent="0.3">
      <c r="B2090" t="str">
        <f>IFERROR(IF(A2090="","",VLOOKUP(A2090,CadProd!$A:$B,2,0)),"")</f>
        <v/>
      </c>
      <c r="C2090" t="str">
        <f>IFERROR(IF(A2090="","",VLOOKUP(A2090,CadProd!$A:$C,3,0)),"")</f>
        <v/>
      </c>
    </row>
    <row r="2091" spans="2:3" x14ac:dyDescent="0.3">
      <c r="B2091" t="str">
        <f>IFERROR(IF(A2091="","",VLOOKUP(A2091,CadProd!$A:$B,2,0)),"")</f>
        <v/>
      </c>
      <c r="C2091" t="str">
        <f>IFERROR(IF(A2091="","",VLOOKUP(A2091,CadProd!$A:$C,3,0)),"")</f>
        <v/>
      </c>
    </row>
    <row r="2092" spans="2:3" x14ac:dyDescent="0.3">
      <c r="B2092" t="str">
        <f>IFERROR(IF(A2092="","",VLOOKUP(A2092,CadProd!$A:$B,2,0)),"")</f>
        <v/>
      </c>
      <c r="C2092" t="str">
        <f>IFERROR(IF(A2092="","",VLOOKUP(A2092,CadProd!$A:$C,3,0)),"")</f>
        <v/>
      </c>
    </row>
    <row r="2093" spans="2:3" x14ac:dyDescent="0.3">
      <c r="B2093" t="str">
        <f>IFERROR(IF(A2093="","",VLOOKUP(A2093,CadProd!$A:$B,2,0)),"")</f>
        <v/>
      </c>
      <c r="C2093" t="str">
        <f>IFERROR(IF(A2093="","",VLOOKUP(A2093,CadProd!$A:$C,3,0)),"")</f>
        <v/>
      </c>
    </row>
    <row r="2094" spans="2:3" x14ac:dyDescent="0.3">
      <c r="B2094" t="str">
        <f>IFERROR(IF(A2094="","",VLOOKUP(A2094,CadProd!$A:$B,2,0)),"")</f>
        <v/>
      </c>
      <c r="C2094" t="str">
        <f>IFERROR(IF(A2094="","",VLOOKUP(A2094,CadProd!$A:$C,3,0)),"")</f>
        <v/>
      </c>
    </row>
    <row r="2095" spans="2:3" x14ac:dyDescent="0.3">
      <c r="B2095" t="str">
        <f>IFERROR(IF(A2095="","",VLOOKUP(A2095,CadProd!$A:$B,2,0)),"")</f>
        <v/>
      </c>
      <c r="C2095" t="str">
        <f>IFERROR(IF(A2095="","",VLOOKUP(A2095,CadProd!$A:$C,3,0)),"")</f>
        <v/>
      </c>
    </row>
    <row r="2096" spans="2:3" x14ac:dyDescent="0.3">
      <c r="B2096" t="str">
        <f>IFERROR(IF(A2096="","",VLOOKUP(A2096,CadProd!$A:$B,2,0)),"")</f>
        <v/>
      </c>
      <c r="C2096" t="str">
        <f>IFERROR(IF(A2096="","",VLOOKUP(A2096,CadProd!$A:$C,3,0)),"")</f>
        <v/>
      </c>
    </row>
    <row r="2097" spans="2:3" x14ac:dyDescent="0.3">
      <c r="B2097" t="str">
        <f>IFERROR(IF(A2097="","",VLOOKUP(A2097,CadProd!$A:$B,2,0)),"")</f>
        <v/>
      </c>
      <c r="C2097" t="str">
        <f>IFERROR(IF(A2097="","",VLOOKUP(A2097,CadProd!$A:$C,3,0)),"")</f>
        <v/>
      </c>
    </row>
    <row r="2098" spans="2:3" x14ac:dyDescent="0.3">
      <c r="B2098" t="str">
        <f>IFERROR(IF(A2098="","",VLOOKUP(A2098,CadProd!$A:$B,2,0)),"")</f>
        <v/>
      </c>
      <c r="C2098" t="str">
        <f>IFERROR(IF(A2098="","",VLOOKUP(A2098,CadProd!$A:$C,3,0)),"")</f>
        <v/>
      </c>
    </row>
    <row r="2099" spans="2:3" x14ac:dyDescent="0.3">
      <c r="B2099" t="str">
        <f>IFERROR(IF(A2099="","",VLOOKUP(A2099,CadProd!$A:$B,2,0)),"")</f>
        <v/>
      </c>
      <c r="C2099" t="str">
        <f>IFERROR(IF(A2099="","",VLOOKUP(A2099,CadProd!$A:$C,3,0)),"")</f>
        <v/>
      </c>
    </row>
    <row r="2100" spans="2:3" x14ac:dyDescent="0.3">
      <c r="B2100" t="str">
        <f>IFERROR(IF(A2100="","",VLOOKUP(A2100,CadProd!$A:$B,2,0)),"")</f>
        <v/>
      </c>
      <c r="C2100" t="str">
        <f>IFERROR(IF(A2100="","",VLOOKUP(A2100,CadProd!$A:$C,3,0)),"")</f>
        <v/>
      </c>
    </row>
    <row r="2101" spans="2:3" x14ac:dyDescent="0.3">
      <c r="B2101" t="str">
        <f>IFERROR(IF(A2101="","",VLOOKUP(A2101,CadProd!$A:$B,2,0)),"")</f>
        <v/>
      </c>
      <c r="C2101" t="str">
        <f>IFERROR(IF(A2101="","",VLOOKUP(A2101,CadProd!$A:$C,3,0)),"")</f>
        <v/>
      </c>
    </row>
    <row r="2102" spans="2:3" x14ac:dyDescent="0.3">
      <c r="B2102" t="str">
        <f>IFERROR(IF(A2102="","",VLOOKUP(A2102,CadProd!$A:$B,2,0)),"")</f>
        <v/>
      </c>
      <c r="C2102" t="str">
        <f>IFERROR(IF(A2102="","",VLOOKUP(A2102,CadProd!$A:$C,3,0)),"")</f>
        <v/>
      </c>
    </row>
    <row r="2103" spans="2:3" x14ac:dyDescent="0.3">
      <c r="B2103" t="str">
        <f>IFERROR(IF(A2103="","",VLOOKUP(A2103,CadProd!$A:$B,2,0)),"")</f>
        <v/>
      </c>
      <c r="C2103" t="str">
        <f>IFERROR(IF(A2103="","",VLOOKUP(A2103,CadProd!$A:$C,3,0)),"")</f>
        <v/>
      </c>
    </row>
    <row r="2104" spans="2:3" x14ac:dyDescent="0.3">
      <c r="B2104" t="str">
        <f>IFERROR(IF(A2104="","",VLOOKUP(A2104,CadProd!$A:$B,2,0)),"")</f>
        <v/>
      </c>
      <c r="C2104" t="str">
        <f>IFERROR(IF(A2104="","",VLOOKUP(A2104,CadProd!$A:$C,3,0)),"")</f>
        <v/>
      </c>
    </row>
    <row r="2105" spans="2:3" x14ac:dyDescent="0.3">
      <c r="B2105" t="str">
        <f>IFERROR(IF(A2105="","",VLOOKUP(A2105,CadProd!$A:$B,2,0)),"")</f>
        <v/>
      </c>
      <c r="C2105" t="str">
        <f>IFERROR(IF(A2105="","",VLOOKUP(A2105,CadProd!$A:$C,3,0)),"")</f>
        <v/>
      </c>
    </row>
    <row r="2106" spans="2:3" x14ac:dyDescent="0.3">
      <c r="B2106" t="str">
        <f>IFERROR(IF(A2106="","",VLOOKUP(A2106,CadProd!$A:$B,2,0)),"")</f>
        <v/>
      </c>
      <c r="C2106" t="str">
        <f>IFERROR(IF(A2106="","",VLOOKUP(A2106,CadProd!$A:$C,3,0)),"")</f>
        <v/>
      </c>
    </row>
    <row r="2107" spans="2:3" x14ac:dyDescent="0.3">
      <c r="B2107" t="str">
        <f>IFERROR(IF(A2107="","",VLOOKUP(A2107,CadProd!$A:$B,2,0)),"")</f>
        <v/>
      </c>
      <c r="C2107" t="str">
        <f>IFERROR(IF(A2107="","",VLOOKUP(A2107,CadProd!$A:$C,3,0)),"")</f>
        <v/>
      </c>
    </row>
    <row r="2108" spans="2:3" x14ac:dyDescent="0.3">
      <c r="B2108" t="str">
        <f>IFERROR(IF(A2108="","",VLOOKUP(A2108,CadProd!$A:$B,2,0)),"")</f>
        <v/>
      </c>
      <c r="C2108" t="str">
        <f>IFERROR(IF(A2108="","",VLOOKUP(A2108,CadProd!$A:$C,3,0)),"")</f>
        <v/>
      </c>
    </row>
    <row r="2109" spans="2:3" x14ac:dyDescent="0.3">
      <c r="B2109" t="str">
        <f>IFERROR(IF(A2109="","",VLOOKUP(A2109,CadProd!$A:$B,2,0)),"")</f>
        <v/>
      </c>
      <c r="C2109" t="str">
        <f>IFERROR(IF(A2109="","",VLOOKUP(A2109,CadProd!$A:$C,3,0)),"")</f>
        <v/>
      </c>
    </row>
    <row r="2110" spans="2:3" x14ac:dyDescent="0.3">
      <c r="B2110" t="str">
        <f>IFERROR(IF(A2110="","",VLOOKUP(A2110,CadProd!$A:$B,2,0)),"")</f>
        <v/>
      </c>
      <c r="C2110" t="str">
        <f>IFERROR(IF(A2110="","",VLOOKUP(A2110,CadProd!$A:$C,3,0)),"")</f>
        <v/>
      </c>
    </row>
    <row r="2111" spans="2:3" x14ac:dyDescent="0.3">
      <c r="B2111" t="str">
        <f>IFERROR(IF(A2111="","",VLOOKUP(A2111,CadProd!$A:$B,2,0)),"")</f>
        <v/>
      </c>
      <c r="C2111" t="str">
        <f>IFERROR(IF(A2111="","",VLOOKUP(A2111,CadProd!$A:$C,3,0)),"")</f>
        <v/>
      </c>
    </row>
    <row r="2112" spans="2:3" x14ac:dyDescent="0.3">
      <c r="B2112" t="str">
        <f>IFERROR(IF(A2112="","",VLOOKUP(A2112,CadProd!$A:$B,2,0)),"")</f>
        <v/>
      </c>
      <c r="C2112" t="str">
        <f>IFERROR(IF(A2112="","",VLOOKUP(A2112,CadProd!$A:$C,3,0)),"")</f>
        <v/>
      </c>
    </row>
    <row r="2113" spans="2:3" x14ac:dyDescent="0.3">
      <c r="B2113" t="str">
        <f>IFERROR(IF(A2113="","",VLOOKUP(A2113,CadProd!$A:$B,2,0)),"")</f>
        <v/>
      </c>
      <c r="C2113" t="str">
        <f>IFERROR(IF(A2113="","",VLOOKUP(A2113,CadProd!$A:$C,3,0)),"")</f>
        <v/>
      </c>
    </row>
    <row r="2114" spans="2:3" x14ac:dyDescent="0.3">
      <c r="B2114" t="str">
        <f>IFERROR(IF(A2114="","",VLOOKUP(A2114,CadProd!$A:$B,2,0)),"")</f>
        <v/>
      </c>
      <c r="C2114" t="str">
        <f>IFERROR(IF(A2114="","",VLOOKUP(A2114,CadProd!$A:$C,3,0)),"")</f>
        <v/>
      </c>
    </row>
    <row r="2115" spans="2:3" x14ac:dyDescent="0.3">
      <c r="B2115" t="str">
        <f>IFERROR(IF(A2115="","",VLOOKUP(A2115,CadProd!$A:$B,2,0)),"")</f>
        <v/>
      </c>
      <c r="C2115" t="str">
        <f>IFERROR(IF(A2115="","",VLOOKUP(A2115,CadProd!$A:$C,3,0)),"")</f>
        <v/>
      </c>
    </row>
    <row r="2116" spans="2:3" x14ac:dyDescent="0.3">
      <c r="B2116" t="str">
        <f>IFERROR(IF(A2116="","",VLOOKUP(A2116,CadProd!$A:$B,2,0)),"")</f>
        <v/>
      </c>
      <c r="C2116" t="str">
        <f>IFERROR(IF(A2116="","",VLOOKUP(A2116,CadProd!$A:$C,3,0)),"")</f>
        <v/>
      </c>
    </row>
    <row r="2117" spans="2:3" x14ac:dyDescent="0.3">
      <c r="B2117" t="str">
        <f>IFERROR(IF(A2117="","",VLOOKUP(A2117,CadProd!$A:$B,2,0)),"")</f>
        <v/>
      </c>
      <c r="C2117" t="str">
        <f>IFERROR(IF(A2117="","",VLOOKUP(A2117,CadProd!$A:$C,3,0)),"")</f>
        <v/>
      </c>
    </row>
    <row r="2118" spans="2:3" x14ac:dyDescent="0.3">
      <c r="B2118" t="str">
        <f>IFERROR(IF(A2118="","",VLOOKUP(A2118,CadProd!$A:$B,2,0)),"")</f>
        <v/>
      </c>
      <c r="C2118" t="str">
        <f>IFERROR(IF(A2118="","",VLOOKUP(A2118,CadProd!$A:$C,3,0)),"")</f>
        <v/>
      </c>
    </row>
    <row r="2119" spans="2:3" x14ac:dyDescent="0.3">
      <c r="B2119" t="str">
        <f>IFERROR(IF(A2119="","",VLOOKUP(A2119,CadProd!$A:$B,2,0)),"")</f>
        <v/>
      </c>
      <c r="C2119" t="str">
        <f>IFERROR(IF(A2119="","",VLOOKUP(A2119,CadProd!$A:$C,3,0)),"")</f>
        <v/>
      </c>
    </row>
    <row r="2120" spans="2:3" x14ac:dyDescent="0.3">
      <c r="B2120" t="str">
        <f>IFERROR(IF(A2120="","",VLOOKUP(A2120,CadProd!$A:$B,2,0)),"")</f>
        <v/>
      </c>
      <c r="C2120" t="str">
        <f>IFERROR(IF(A2120="","",VLOOKUP(A2120,CadProd!$A:$C,3,0)),"")</f>
        <v/>
      </c>
    </row>
    <row r="2121" spans="2:3" x14ac:dyDescent="0.3">
      <c r="B2121" t="str">
        <f>IFERROR(IF(A2121="","",VLOOKUP(A2121,CadProd!$A:$B,2,0)),"")</f>
        <v/>
      </c>
      <c r="C2121" t="str">
        <f>IFERROR(IF(A2121="","",VLOOKUP(A2121,CadProd!$A:$C,3,0)),"")</f>
        <v/>
      </c>
    </row>
    <row r="2122" spans="2:3" x14ac:dyDescent="0.3">
      <c r="B2122" t="str">
        <f>IFERROR(IF(A2122="","",VLOOKUP(A2122,CadProd!$A:$B,2,0)),"")</f>
        <v/>
      </c>
      <c r="C2122" t="str">
        <f>IFERROR(IF(A2122="","",VLOOKUP(A2122,CadProd!$A:$C,3,0)),"")</f>
        <v/>
      </c>
    </row>
    <row r="2123" spans="2:3" x14ac:dyDescent="0.3">
      <c r="B2123" t="str">
        <f>IFERROR(IF(A2123="","",VLOOKUP(A2123,CadProd!$A:$B,2,0)),"")</f>
        <v/>
      </c>
      <c r="C2123" t="str">
        <f>IFERROR(IF(A2123="","",VLOOKUP(A2123,CadProd!$A:$C,3,0)),"")</f>
        <v/>
      </c>
    </row>
    <row r="2124" spans="2:3" x14ac:dyDescent="0.3">
      <c r="B2124" t="str">
        <f>IFERROR(IF(A2124="","",VLOOKUP(A2124,CadProd!$A:$B,2,0)),"")</f>
        <v/>
      </c>
      <c r="C2124" t="str">
        <f>IFERROR(IF(A2124="","",VLOOKUP(A2124,CadProd!$A:$C,3,0)),"")</f>
        <v/>
      </c>
    </row>
    <row r="2125" spans="2:3" x14ac:dyDescent="0.3">
      <c r="B2125" t="str">
        <f>IFERROR(IF(A2125="","",VLOOKUP(A2125,CadProd!$A:$B,2,0)),"")</f>
        <v/>
      </c>
      <c r="C2125" t="str">
        <f>IFERROR(IF(A2125="","",VLOOKUP(A2125,CadProd!$A:$C,3,0)),"")</f>
        <v/>
      </c>
    </row>
    <row r="2126" spans="2:3" x14ac:dyDescent="0.3">
      <c r="B2126" t="str">
        <f>IFERROR(IF(A2126="","",VLOOKUP(A2126,CadProd!$A:$B,2,0)),"")</f>
        <v/>
      </c>
      <c r="C2126" t="str">
        <f>IFERROR(IF(A2126="","",VLOOKUP(A2126,CadProd!$A:$C,3,0)),"")</f>
        <v/>
      </c>
    </row>
    <row r="2127" spans="2:3" x14ac:dyDescent="0.3">
      <c r="B2127" t="str">
        <f>IFERROR(IF(A2127="","",VLOOKUP(A2127,CadProd!$A:$B,2,0)),"")</f>
        <v/>
      </c>
      <c r="C2127" t="str">
        <f>IFERROR(IF(A2127="","",VLOOKUP(A2127,CadProd!$A:$C,3,0)),"")</f>
        <v/>
      </c>
    </row>
    <row r="2128" spans="2:3" x14ac:dyDescent="0.3">
      <c r="B2128" t="str">
        <f>IFERROR(IF(A2128="","",VLOOKUP(A2128,CadProd!$A:$B,2,0)),"")</f>
        <v/>
      </c>
      <c r="C2128" t="str">
        <f>IFERROR(IF(A2128="","",VLOOKUP(A2128,CadProd!$A:$C,3,0)),"")</f>
        <v/>
      </c>
    </row>
    <row r="2129" spans="2:3" x14ac:dyDescent="0.3">
      <c r="B2129" t="str">
        <f>IFERROR(IF(A2129="","",VLOOKUP(A2129,CadProd!$A:$B,2,0)),"")</f>
        <v/>
      </c>
      <c r="C2129" t="str">
        <f>IFERROR(IF(A2129="","",VLOOKUP(A2129,CadProd!$A:$C,3,0)),"")</f>
        <v/>
      </c>
    </row>
    <row r="2130" spans="2:3" x14ac:dyDescent="0.3">
      <c r="B2130" t="str">
        <f>IFERROR(IF(A2130="","",VLOOKUP(A2130,CadProd!$A:$B,2,0)),"")</f>
        <v/>
      </c>
      <c r="C2130" t="str">
        <f>IFERROR(IF(A2130="","",VLOOKUP(A2130,CadProd!$A:$C,3,0)),"")</f>
        <v/>
      </c>
    </row>
    <row r="2131" spans="2:3" x14ac:dyDescent="0.3">
      <c r="B2131" t="str">
        <f>IFERROR(IF(A2131="","",VLOOKUP(A2131,CadProd!$A:$B,2,0)),"")</f>
        <v/>
      </c>
      <c r="C2131" t="str">
        <f>IFERROR(IF(A2131="","",VLOOKUP(A2131,CadProd!$A:$C,3,0)),"")</f>
        <v/>
      </c>
    </row>
    <row r="2132" spans="2:3" x14ac:dyDescent="0.3">
      <c r="B2132" t="str">
        <f>IFERROR(IF(A2132="","",VLOOKUP(A2132,CadProd!$A:$B,2,0)),"")</f>
        <v/>
      </c>
      <c r="C2132" t="str">
        <f>IFERROR(IF(A2132="","",VLOOKUP(A2132,CadProd!$A:$C,3,0)),"")</f>
        <v/>
      </c>
    </row>
    <row r="2133" spans="2:3" x14ac:dyDescent="0.3">
      <c r="B2133" t="str">
        <f>IFERROR(IF(A2133="","",VLOOKUP(A2133,CadProd!$A:$B,2,0)),"")</f>
        <v/>
      </c>
      <c r="C2133" t="str">
        <f>IFERROR(IF(A2133="","",VLOOKUP(A2133,CadProd!$A:$C,3,0)),"")</f>
        <v/>
      </c>
    </row>
    <row r="2134" spans="2:3" x14ac:dyDescent="0.3">
      <c r="B2134" t="str">
        <f>IFERROR(IF(A2134="","",VLOOKUP(A2134,CadProd!$A:$B,2,0)),"")</f>
        <v/>
      </c>
      <c r="C2134" t="str">
        <f>IFERROR(IF(A2134="","",VLOOKUP(A2134,CadProd!$A:$C,3,0)),"")</f>
        <v/>
      </c>
    </row>
    <row r="2135" spans="2:3" x14ac:dyDescent="0.3">
      <c r="B2135" t="str">
        <f>IFERROR(IF(A2135="","",VLOOKUP(A2135,CadProd!$A:$B,2,0)),"")</f>
        <v/>
      </c>
      <c r="C2135" t="str">
        <f>IFERROR(IF(A2135="","",VLOOKUP(A2135,CadProd!$A:$C,3,0)),"")</f>
        <v/>
      </c>
    </row>
    <row r="2136" spans="2:3" x14ac:dyDescent="0.3">
      <c r="B2136" t="str">
        <f>IFERROR(IF(A2136="","",VLOOKUP(A2136,CadProd!$A:$B,2,0)),"")</f>
        <v/>
      </c>
      <c r="C2136" t="str">
        <f>IFERROR(IF(A2136="","",VLOOKUP(A2136,CadProd!$A:$C,3,0)),"")</f>
        <v/>
      </c>
    </row>
    <row r="2137" spans="2:3" x14ac:dyDescent="0.3">
      <c r="B2137" t="str">
        <f>IFERROR(IF(A2137="","",VLOOKUP(A2137,CadProd!$A:$B,2,0)),"")</f>
        <v/>
      </c>
      <c r="C2137" t="str">
        <f>IFERROR(IF(A2137="","",VLOOKUP(A2137,CadProd!$A:$C,3,0)),"")</f>
        <v/>
      </c>
    </row>
    <row r="2138" spans="2:3" x14ac:dyDescent="0.3">
      <c r="B2138" t="str">
        <f>IFERROR(IF(A2138="","",VLOOKUP(A2138,CadProd!$A:$B,2,0)),"")</f>
        <v/>
      </c>
      <c r="C2138" t="str">
        <f>IFERROR(IF(A2138="","",VLOOKUP(A2138,CadProd!$A:$C,3,0)),"")</f>
        <v/>
      </c>
    </row>
    <row r="2139" spans="2:3" x14ac:dyDescent="0.3">
      <c r="B2139" t="str">
        <f>IFERROR(IF(A2139="","",VLOOKUP(A2139,CadProd!$A:$B,2,0)),"")</f>
        <v/>
      </c>
      <c r="C2139" t="str">
        <f>IFERROR(IF(A2139="","",VLOOKUP(A2139,CadProd!$A:$C,3,0)),"")</f>
        <v/>
      </c>
    </row>
    <row r="2140" spans="2:3" x14ac:dyDescent="0.3">
      <c r="B2140" t="str">
        <f>IFERROR(IF(A2140="","",VLOOKUP(A2140,CadProd!$A:$B,2,0)),"")</f>
        <v/>
      </c>
      <c r="C2140" t="str">
        <f>IFERROR(IF(A2140="","",VLOOKUP(A2140,CadProd!$A:$C,3,0)),"")</f>
        <v/>
      </c>
    </row>
    <row r="2141" spans="2:3" x14ac:dyDescent="0.3">
      <c r="B2141" t="str">
        <f>IFERROR(IF(A2141="","",VLOOKUP(A2141,CadProd!$A:$B,2,0)),"")</f>
        <v/>
      </c>
      <c r="C2141" t="str">
        <f>IFERROR(IF(A2141="","",VLOOKUP(A2141,CadProd!$A:$C,3,0)),"")</f>
        <v/>
      </c>
    </row>
    <row r="2142" spans="2:3" x14ac:dyDescent="0.3">
      <c r="B2142" t="str">
        <f>IFERROR(IF(A2142="","",VLOOKUP(A2142,CadProd!$A:$B,2,0)),"")</f>
        <v/>
      </c>
      <c r="C2142" t="str">
        <f>IFERROR(IF(A2142="","",VLOOKUP(A2142,CadProd!$A:$C,3,0)),"")</f>
        <v/>
      </c>
    </row>
    <row r="2143" spans="2:3" x14ac:dyDescent="0.3">
      <c r="B2143" t="str">
        <f>IFERROR(IF(A2143="","",VLOOKUP(A2143,CadProd!$A:$B,2,0)),"")</f>
        <v/>
      </c>
      <c r="C2143" t="str">
        <f>IFERROR(IF(A2143="","",VLOOKUP(A2143,CadProd!$A:$C,3,0)),"")</f>
        <v/>
      </c>
    </row>
    <row r="2144" spans="2:3" x14ac:dyDescent="0.3">
      <c r="B2144" t="str">
        <f>IFERROR(IF(A2144="","",VLOOKUP(A2144,CadProd!$A:$B,2,0)),"")</f>
        <v/>
      </c>
      <c r="C2144" t="str">
        <f>IFERROR(IF(A2144="","",VLOOKUP(A2144,CadProd!$A:$C,3,0)),"")</f>
        <v/>
      </c>
    </row>
    <row r="2145" spans="2:3" x14ac:dyDescent="0.3">
      <c r="B2145" t="str">
        <f>IFERROR(IF(A2145="","",VLOOKUP(A2145,CadProd!$A:$B,2,0)),"")</f>
        <v/>
      </c>
      <c r="C2145" t="str">
        <f>IFERROR(IF(A2145="","",VLOOKUP(A2145,CadProd!$A:$C,3,0)),"")</f>
        <v/>
      </c>
    </row>
    <row r="2146" spans="2:3" x14ac:dyDescent="0.3">
      <c r="B2146" t="str">
        <f>IFERROR(IF(A2146="","",VLOOKUP(A2146,CadProd!$A:$B,2,0)),"")</f>
        <v/>
      </c>
      <c r="C2146" t="str">
        <f>IFERROR(IF(A2146="","",VLOOKUP(A2146,CadProd!$A:$C,3,0)),"")</f>
        <v/>
      </c>
    </row>
    <row r="2147" spans="2:3" x14ac:dyDescent="0.3">
      <c r="B2147" t="str">
        <f>IFERROR(IF(A2147="","",VLOOKUP(A2147,CadProd!$A:$B,2,0)),"")</f>
        <v/>
      </c>
      <c r="C2147" t="str">
        <f>IFERROR(IF(A2147="","",VLOOKUP(A2147,CadProd!$A:$C,3,0)),"")</f>
        <v/>
      </c>
    </row>
    <row r="2148" spans="2:3" x14ac:dyDescent="0.3">
      <c r="B2148" t="str">
        <f>IFERROR(IF(A2148="","",VLOOKUP(A2148,CadProd!$A:$B,2,0)),"")</f>
        <v/>
      </c>
      <c r="C2148" t="str">
        <f>IFERROR(IF(A2148="","",VLOOKUP(A2148,CadProd!$A:$C,3,0)),"")</f>
        <v/>
      </c>
    </row>
    <row r="2149" spans="2:3" x14ac:dyDescent="0.3">
      <c r="B2149" t="str">
        <f>IFERROR(IF(A2149="","",VLOOKUP(A2149,CadProd!$A:$B,2,0)),"")</f>
        <v/>
      </c>
      <c r="C2149" t="str">
        <f>IFERROR(IF(A2149="","",VLOOKUP(A2149,CadProd!$A:$C,3,0)),"")</f>
        <v/>
      </c>
    </row>
    <row r="2150" spans="2:3" x14ac:dyDescent="0.3">
      <c r="B2150" t="str">
        <f>IFERROR(IF(A2150="","",VLOOKUP(A2150,CadProd!$A:$B,2,0)),"")</f>
        <v/>
      </c>
      <c r="C2150" t="str">
        <f>IFERROR(IF(A2150="","",VLOOKUP(A2150,CadProd!$A:$C,3,0)),"")</f>
        <v/>
      </c>
    </row>
    <row r="2151" spans="2:3" x14ac:dyDescent="0.3">
      <c r="B2151" t="str">
        <f>IFERROR(IF(A2151="","",VLOOKUP(A2151,CadProd!$A:$B,2,0)),"")</f>
        <v/>
      </c>
      <c r="C2151" t="str">
        <f>IFERROR(IF(A2151="","",VLOOKUP(A2151,CadProd!$A:$C,3,0)),"")</f>
        <v/>
      </c>
    </row>
    <row r="2152" spans="2:3" x14ac:dyDescent="0.3">
      <c r="B2152" t="str">
        <f>IFERROR(IF(A2152="","",VLOOKUP(A2152,CadProd!$A:$B,2,0)),"")</f>
        <v/>
      </c>
      <c r="C2152" t="str">
        <f>IFERROR(IF(A2152="","",VLOOKUP(A2152,CadProd!$A:$C,3,0)),"")</f>
        <v/>
      </c>
    </row>
    <row r="2153" spans="2:3" x14ac:dyDescent="0.3">
      <c r="B2153" t="str">
        <f>IFERROR(IF(A2153="","",VLOOKUP(A2153,CadProd!$A:$B,2,0)),"")</f>
        <v/>
      </c>
      <c r="C2153" t="str">
        <f>IFERROR(IF(A2153="","",VLOOKUP(A2153,CadProd!$A:$C,3,0)),"")</f>
        <v/>
      </c>
    </row>
    <row r="2154" spans="2:3" x14ac:dyDescent="0.3">
      <c r="B2154" t="str">
        <f>IFERROR(IF(A2154="","",VLOOKUP(A2154,CadProd!$A:$B,2,0)),"")</f>
        <v/>
      </c>
      <c r="C2154" t="str">
        <f>IFERROR(IF(A2154="","",VLOOKUP(A2154,CadProd!$A:$C,3,0)),"")</f>
        <v/>
      </c>
    </row>
    <row r="2155" spans="2:3" x14ac:dyDescent="0.3">
      <c r="B2155" t="str">
        <f>IFERROR(IF(A2155="","",VLOOKUP(A2155,CadProd!$A:$B,2,0)),"")</f>
        <v/>
      </c>
      <c r="C2155" t="str">
        <f>IFERROR(IF(A2155="","",VLOOKUP(A2155,CadProd!$A:$C,3,0)),"")</f>
        <v/>
      </c>
    </row>
    <row r="2156" spans="2:3" x14ac:dyDescent="0.3">
      <c r="B2156" t="str">
        <f>IFERROR(IF(A2156="","",VLOOKUP(A2156,CadProd!$A:$B,2,0)),"")</f>
        <v/>
      </c>
      <c r="C2156" t="str">
        <f>IFERROR(IF(A2156="","",VLOOKUP(A2156,CadProd!$A:$C,3,0)),"")</f>
        <v/>
      </c>
    </row>
    <row r="2157" spans="2:3" x14ac:dyDescent="0.3">
      <c r="B2157" t="str">
        <f>IFERROR(IF(A2157="","",VLOOKUP(A2157,CadProd!$A:$B,2,0)),"")</f>
        <v/>
      </c>
      <c r="C2157" t="str">
        <f>IFERROR(IF(A2157="","",VLOOKUP(A2157,CadProd!$A:$C,3,0)),"")</f>
        <v/>
      </c>
    </row>
    <row r="2158" spans="2:3" x14ac:dyDescent="0.3">
      <c r="B2158" t="str">
        <f>IFERROR(IF(A2158="","",VLOOKUP(A2158,CadProd!$A:$B,2,0)),"")</f>
        <v/>
      </c>
      <c r="C2158" t="str">
        <f>IFERROR(IF(A2158="","",VLOOKUP(A2158,CadProd!$A:$C,3,0)),"")</f>
        <v/>
      </c>
    </row>
    <row r="2159" spans="2:3" x14ac:dyDescent="0.3">
      <c r="B2159" t="str">
        <f>IFERROR(IF(A2159="","",VLOOKUP(A2159,CadProd!$A:$B,2,0)),"")</f>
        <v/>
      </c>
      <c r="C2159" t="str">
        <f>IFERROR(IF(A2159="","",VLOOKUP(A2159,CadProd!$A:$C,3,0)),"")</f>
        <v/>
      </c>
    </row>
    <row r="2160" spans="2:3" x14ac:dyDescent="0.3">
      <c r="B2160" t="str">
        <f>IFERROR(IF(A2160="","",VLOOKUP(A2160,CadProd!$A:$B,2,0)),"")</f>
        <v/>
      </c>
      <c r="C2160" t="str">
        <f>IFERROR(IF(A2160="","",VLOOKUP(A2160,CadProd!$A:$C,3,0)),"")</f>
        <v/>
      </c>
    </row>
    <row r="2161" spans="2:3" x14ac:dyDescent="0.3">
      <c r="B2161" t="str">
        <f>IFERROR(IF(A2161="","",VLOOKUP(A2161,CadProd!$A:$B,2,0)),"")</f>
        <v/>
      </c>
      <c r="C2161" t="str">
        <f>IFERROR(IF(A2161="","",VLOOKUP(A2161,CadProd!$A:$C,3,0)),"")</f>
        <v/>
      </c>
    </row>
    <row r="2162" spans="2:3" x14ac:dyDescent="0.3">
      <c r="B2162" t="str">
        <f>IFERROR(IF(A2162="","",VLOOKUP(A2162,CadProd!$A:$B,2,0)),"")</f>
        <v/>
      </c>
      <c r="C2162" t="str">
        <f>IFERROR(IF(A2162="","",VLOOKUP(A2162,CadProd!$A:$C,3,0)),"")</f>
        <v/>
      </c>
    </row>
    <row r="2163" spans="2:3" x14ac:dyDescent="0.3">
      <c r="B2163" t="str">
        <f>IFERROR(IF(A2163="","",VLOOKUP(A2163,CadProd!$A:$B,2,0)),"")</f>
        <v/>
      </c>
      <c r="C2163" t="str">
        <f>IFERROR(IF(A2163="","",VLOOKUP(A2163,CadProd!$A:$C,3,0)),"")</f>
        <v/>
      </c>
    </row>
    <row r="2164" spans="2:3" x14ac:dyDescent="0.3">
      <c r="B2164" t="str">
        <f>IFERROR(IF(A2164="","",VLOOKUP(A2164,CadProd!$A:$B,2,0)),"")</f>
        <v/>
      </c>
      <c r="C2164" t="str">
        <f>IFERROR(IF(A2164="","",VLOOKUP(A2164,CadProd!$A:$C,3,0)),"")</f>
        <v/>
      </c>
    </row>
    <row r="2165" spans="2:3" x14ac:dyDescent="0.3">
      <c r="B2165" t="str">
        <f>IFERROR(IF(A2165="","",VLOOKUP(A2165,CadProd!$A:$B,2,0)),"")</f>
        <v/>
      </c>
      <c r="C2165" t="str">
        <f>IFERROR(IF(A2165="","",VLOOKUP(A2165,CadProd!$A:$C,3,0)),"")</f>
        <v/>
      </c>
    </row>
    <row r="2166" spans="2:3" x14ac:dyDescent="0.3">
      <c r="B2166" t="str">
        <f>IFERROR(IF(A2166="","",VLOOKUP(A2166,CadProd!$A:$B,2,0)),"")</f>
        <v/>
      </c>
      <c r="C2166" t="str">
        <f>IFERROR(IF(A2166="","",VLOOKUP(A2166,CadProd!$A:$C,3,0)),"")</f>
        <v/>
      </c>
    </row>
    <row r="2167" spans="2:3" x14ac:dyDescent="0.3">
      <c r="B2167" t="str">
        <f>IFERROR(IF(A2167="","",VLOOKUP(A2167,CadProd!$A:$B,2,0)),"")</f>
        <v/>
      </c>
      <c r="C2167" t="str">
        <f>IFERROR(IF(A2167="","",VLOOKUP(A2167,CadProd!$A:$C,3,0)),"")</f>
        <v/>
      </c>
    </row>
    <row r="2168" spans="2:3" x14ac:dyDescent="0.3">
      <c r="B2168" t="str">
        <f>IFERROR(IF(A2168="","",VLOOKUP(A2168,CadProd!$A:$B,2,0)),"")</f>
        <v/>
      </c>
      <c r="C2168" t="str">
        <f>IFERROR(IF(A2168="","",VLOOKUP(A2168,CadProd!$A:$C,3,0)),"")</f>
        <v/>
      </c>
    </row>
    <row r="2169" spans="2:3" x14ac:dyDescent="0.3">
      <c r="B2169" t="str">
        <f>IFERROR(IF(A2169="","",VLOOKUP(A2169,CadProd!$A:$B,2,0)),"")</f>
        <v/>
      </c>
      <c r="C2169" t="str">
        <f>IFERROR(IF(A2169="","",VLOOKUP(A2169,CadProd!$A:$C,3,0)),"")</f>
        <v/>
      </c>
    </row>
    <row r="2170" spans="2:3" x14ac:dyDescent="0.3">
      <c r="B2170" t="str">
        <f>IFERROR(IF(A2170="","",VLOOKUP(A2170,CadProd!$A:$B,2,0)),"")</f>
        <v/>
      </c>
      <c r="C2170" t="str">
        <f>IFERROR(IF(A2170="","",VLOOKUP(A2170,CadProd!$A:$C,3,0)),"")</f>
        <v/>
      </c>
    </row>
    <row r="2171" spans="2:3" x14ac:dyDescent="0.3">
      <c r="B2171" t="str">
        <f>IFERROR(IF(A2171="","",VLOOKUP(A2171,CadProd!$A:$B,2,0)),"")</f>
        <v/>
      </c>
      <c r="C2171" t="str">
        <f>IFERROR(IF(A2171="","",VLOOKUP(A2171,CadProd!$A:$C,3,0)),"")</f>
        <v/>
      </c>
    </row>
    <row r="2172" spans="2:3" x14ac:dyDescent="0.3">
      <c r="B2172" t="str">
        <f>IFERROR(IF(A2172="","",VLOOKUP(A2172,CadProd!$A:$B,2,0)),"")</f>
        <v/>
      </c>
      <c r="C2172" t="str">
        <f>IFERROR(IF(A2172="","",VLOOKUP(A2172,CadProd!$A:$C,3,0)),"")</f>
        <v/>
      </c>
    </row>
    <row r="2173" spans="2:3" x14ac:dyDescent="0.3">
      <c r="B2173" t="str">
        <f>IFERROR(IF(A2173="","",VLOOKUP(A2173,CadProd!$A:$B,2,0)),"")</f>
        <v/>
      </c>
      <c r="C2173" t="str">
        <f>IFERROR(IF(A2173="","",VLOOKUP(A2173,CadProd!$A:$C,3,0)),"")</f>
        <v/>
      </c>
    </row>
    <row r="2174" spans="2:3" x14ac:dyDescent="0.3">
      <c r="B2174" t="str">
        <f>IFERROR(IF(A2174="","",VLOOKUP(A2174,CadProd!$A:$B,2,0)),"")</f>
        <v/>
      </c>
      <c r="C2174" t="str">
        <f>IFERROR(IF(A2174="","",VLOOKUP(A2174,CadProd!$A:$C,3,0)),"")</f>
        <v/>
      </c>
    </row>
    <row r="2175" spans="2:3" x14ac:dyDescent="0.3">
      <c r="B2175" t="str">
        <f>IFERROR(IF(A2175="","",VLOOKUP(A2175,CadProd!$A:$B,2,0)),"")</f>
        <v/>
      </c>
      <c r="C2175" t="str">
        <f>IFERROR(IF(A2175="","",VLOOKUP(A2175,CadProd!$A:$C,3,0)),"")</f>
        <v/>
      </c>
    </row>
    <row r="2176" spans="2:3" x14ac:dyDescent="0.3">
      <c r="B2176" t="str">
        <f>IFERROR(IF(A2176="","",VLOOKUP(A2176,CadProd!$A:$B,2,0)),"")</f>
        <v/>
      </c>
      <c r="C2176" t="str">
        <f>IFERROR(IF(A2176="","",VLOOKUP(A2176,CadProd!$A:$C,3,0)),"")</f>
        <v/>
      </c>
    </row>
    <row r="2177" spans="2:3" x14ac:dyDescent="0.3">
      <c r="B2177" t="str">
        <f>IFERROR(IF(A2177="","",VLOOKUP(A2177,CadProd!$A:$B,2,0)),"")</f>
        <v/>
      </c>
      <c r="C2177" t="str">
        <f>IFERROR(IF(A2177="","",VLOOKUP(A2177,CadProd!$A:$C,3,0)),"")</f>
        <v/>
      </c>
    </row>
    <row r="2178" spans="2:3" x14ac:dyDescent="0.3">
      <c r="B2178" t="str">
        <f>IFERROR(IF(A2178="","",VLOOKUP(A2178,CadProd!$A:$B,2,0)),"")</f>
        <v/>
      </c>
      <c r="C2178" t="str">
        <f>IFERROR(IF(A2178="","",VLOOKUP(A2178,CadProd!$A:$C,3,0)),"")</f>
        <v/>
      </c>
    </row>
    <row r="2179" spans="2:3" x14ac:dyDescent="0.3">
      <c r="B2179" t="str">
        <f>IFERROR(IF(A2179="","",VLOOKUP(A2179,CadProd!$A:$B,2,0)),"")</f>
        <v/>
      </c>
      <c r="C2179" t="str">
        <f>IFERROR(IF(A2179="","",VLOOKUP(A2179,CadProd!$A:$C,3,0)),"")</f>
        <v/>
      </c>
    </row>
    <row r="2180" spans="2:3" x14ac:dyDescent="0.3">
      <c r="B2180" t="str">
        <f>IFERROR(IF(A2180="","",VLOOKUP(A2180,CadProd!$A:$B,2,0)),"")</f>
        <v/>
      </c>
      <c r="C2180" t="str">
        <f>IFERROR(IF(A2180="","",VLOOKUP(A2180,CadProd!$A:$C,3,0)),"")</f>
        <v/>
      </c>
    </row>
    <row r="2181" spans="2:3" x14ac:dyDescent="0.3">
      <c r="B2181" t="str">
        <f>IFERROR(IF(A2181="","",VLOOKUP(A2181,CadProd!$A:$B,2,0)),"")</f>
        <v/>
      </c>
      <c r="C2181" t="str">
        <f>IFERROR(IF(A2181="","",VLOOKUP(A2181,CadProd!$A:$C,3,0)),"")</f>
        <v/>
      </c>
    </row>
    <row r="2182" spans="2:3" x14ac:dyDescent="0.3">
      <c r="B2182" t="str">
        <f>IFERROR(IF(A2182="","",VLOOKUP(A2182,CadProd!$A:$B,2,0)),"")</f>
        <v/>
      </c>
      <c r="C2182" t="str">
        <f>IFERROR(IF(A2182="","",VLOOKUP(A2182,CadProd!$A:$C,3,0)),"")</f>
        <v/>
      </c>
    </row>
    <row r="2183" spans="2:3" x14ac:dyDescent="0.3">
      <c r="B2183" t="str">
        <f>IFERROR(IF(A2183="","",VLOOKUP(A2183,CadProd!$A:$B,2,0)),"")</f>
        <v/>
      </c>
      <c r="C2183" t="str">
        <f>IFERROR(IF(A2183="","",VLOOKUP(A2183,CadProd!$A:$C,3,0)),"")</f>
        <v/>
      </c>
    </row>
    <row r="2184" spans="2:3" x14ac:dyDescent="0.3">
      <c r="B2184" t="str">
        <f>IFERROR(IF(A2184="","",VLOOKUP(A2184,CadProd!$A:$B,2,0)),"")</f>
        <v/>
      </c>
      <c r="C2184" t="str">
        <f>IFERROR(IF(A2184="","",VLOOKUP(A2184,CadProd!$A:$C,3,0)),"")</f>
        <v/>
      </c>
    </row>
    <row r="2185" spans="2:3" x14ac:dyDescent="0.3">
      <c r="B2185" t="str">
        <f>IFERROR(IF(A2185="","",VLOOKUP(A2185,CadProd!$A:$B,2,0)),"")</f>
        <v/>
      </c>
      <c r="C2185" t="str">
        <f>IFERROR(IF(A2185="","",VLOOKUP(A2185,CadProd!$A:$C,3,0)),"")</f>
        <v/>
      </c>
    </row>
    <row r="2186" spans="2:3" x14ac:dyDescent="0.3">
      <c r="B2186" t="str">
        <f>IFERROR(IF(A2186="","",VLOOKUP(A2186,CadProd!$A:$B,2,0)),"")</f>
        <v/>
      </c>
      <c r="C2186" t="str">
        <f>IFERROR(IF(A2186="","",VLOOKUP(A2186,CadProd!$A:$C,3,0)),"")</f>
        <v/>
      </c>
    </row>
    <row r="2187" spans="2:3" x14ac:dyDescent="0.3">
      <c r="B2187" t="str">
        <f>IFERROR(IF(A2187="","",VLOOKUP(A2187,CadProd!$A:$B,2,0)),"")</f>
        <v/>
      </c>
      <c r="C2187" t="str">
        <f>IFERROR(IF(A2187="","",VLOOKUP(A2187,CadProd!$A:$C,3,0)),"")</f>
        <v/>
      </c>
    </row>
    <row r="2188" spans="2:3" x14ac:dyDescent="0.3">
      <c r="B2188" t="str">
        <f>IFERROR(IF(A2188="","",VLOOKUP(A2188,CadProd!$A:$B,2,0)),"")</f>
        <v/>
      </c>
      <c r="C2188" t="str">
        <f>IFERROR(IF(A2188="","",VLOOKUP(A2188,CadProd!$A:$C,3,0)),"")</f>
        <v/>
      </c>
    </row>
    <row r="2189" spans="2:3" x14ac:dyDescent="0.3">
      <c r="B2189" t="str">
        <f>IFERROR(IF(A2189="","",VLOOKUP(A2189,CadProd!$A:$B,2,0)),"")</f>
        <v/>
      </c>
      <c r="C2189" t="str">
        <f>IFERROR(IF(A2189="","",VLOOKUP(A2189,CadProd!$A:$C,3,0)),"")</f>
        <v/>
      </c>
    </row>
    <row r="2190" spans="2:3" x14ac:dyDescent="0.3">
      <c r="B2190" t="str">
        <f>IFERROR(IF(A2190="","",VLOOKUP(A2190,CadProd!$A:$B,2,0)),"")</f>
        <v/>
      </c>
      <c r="C2190" t="str">
        <f>IFERROR(IF(A2190="","",VLOOKUP(A2190,CadProd!$A:$C,3,0)),"")</f>
        <v/>
      </c>
    </row>
    <row r="2191" spans="2:3" x14ac:dyDescent="0.3">
      <c r="B2191" t="str">
        <f>IFERROR(IF(A2191="","",VLOOKUP(A2191,CadProd!$A:$B,2,0)),"")</f>
        <v/>
      </c>
      <c r="C2191" t="str">
        <f>IFERROR(IF(A2191="","",VLOOKUP(A2191,CadProd!$A:$C,3,0)),"")</f>
        <v/>
      </c>
    </row>
    <row r="2192" spans="2:3" x14ac:dyDescent="0.3">
      <c r="B2192" t="str">
        <f>IFERROR(IF(A2192="","",VLOOKUP(A2192,CadProd!$A:$B,2,0)),"")</f>
        <v/>
      </c>
      <c r="C2192" t="str">
        <f>IFERROR(IF(A2192="","",VLOOKUP(A2192,CadProd!$A:$C,3,0)),"")</f>
        <v/>
      </c>
    </row>
    <row r="2193" spans="2:3" x14ac:dyDescent="0.3">
      <c r="B2193" t="str">
        <f>IFERROR(IF(A2193="","",VLOOKUP(A2193,CadProd!$A:$B,2,0)),"")</f>
        <v/>
      </c>
      <c r="C2193" t="str">
        <f>IFERROR(IF(A2193="","",VLOOKUP(A2193,CadProd!$A:$C,3,0)),"")</f>
        <v/>
      </c>
    </row>
    <row r="2194" spans="2:3" x14ac:dyDescent="0.3">
      <c r="B2194" t="str">
        <f>IFERROR(IF(A2194="","",VLOOKUP(A2194,CadProd!$A:$B,2,0)),"")</f>
        <v/>
      </c>
      <c r="C2194" t="str">
        <f>IFERROR(IF(A2194="","",VLOOKUP(A2194,CadProd!$A:$C,3,0)),"")</f>
        <v/>
      </c>
    </row>
    <row r="2195" spans="2:3" x14ac:dyDescent="0.3">
      <c r="B2195" t="str">
        <f>IFERROR(IF(A2195="","",VLOOKUP(A2195,CadProd!$A:$B,2,0)),"")</f>
        <v/>
      </c>
      <c r="C2195" t="str">
        <f>IFERROR(IF(A2195="","",VLOOKUP(A2195,CadProd!$A:$C,3,0)),"")</f>
        <v/>
      </c>
    </row>
    <row r="2196" spans="2:3" x14ac:dyDescent="0.3">
      <c r="B2196" t="str">
        <f>IFERROR(IF(A2196="","",VLOOKUP(A2196,CadProd!$A:$B,2,0)),"")</f>
        <v/>
      </c>
      <c r="C2196" t="str">
        <f>IFERROR(IF(A2196="","",VLOOKUP(A2196,CadProd!$A:$C,3,0)),"")</f>
        <v/>
      </c>
    </row>
    <row r="2197" spans="2:3" x14ac:dyDescent="0.3">
      <c r="B2197" t="str">
        <f>IFERROR(IF(A2197="","",VLOOKUP(A2197,CadProd!$A:$B,2,0)),"")</f>
        <v/>
      </c>
      <c r="C2197" t="str">
        <f>IFERROR(IF(A2197="","",VLOOKUP(A2197,CadProd!$A:$C,3,0)),"")</f>
        <v/>
      </c>
    </row>
    <row r="2198" spans="2:3" x14ac:dyDescent="0.3">
      <c r="B2198" t="str">
        <f>IFERROR(IF(A2198="","",VLOOKUP(A2198,CadProd!$A:$B,2,0)),"")</f>
        <v/>
      </c>
      <c r="C2198" t="str">
        <f>IFERROR(IF(A2198="","",VLOOKUP(A2198,CadProd!$A:$C,3,0)),"")</f>
        <v/>
      </c>
    </row>
    <row r="2199" spans="2:3" x14ac:dyDescent="0.3">
      <c r="B2199" t="str">
        <f>IFERROR(IF(A2199="","",VLOOKUP(A2199,CadProd!$A:$B,2,0)),"")</f>
        <v/>
      </c>
      <c r="C2199" t="str">
        <f>IFERROR(IF(A2199="","",VLOOKUP(A2199,CadProd!$A:$C,3,0)),"")</f>
        <v/>
      </c>
    </row>
    <row r="2200" spans="2:3" x14ac:dyDescent="0.3">
      <c r="B2200" t="str">
        <f>IFERROR(IF(A2200="","",VLOOKUP(A2200,CadProd!$A:$B,2,0)),"")</f>
        <v/>
      </c>
      <c r="C2200" t="str">
        <f>IFERROR(IF(A2200="","",VLOOKUP(A2200,CadProd!$A:$C,3,0)),"")</f>
        <v/>
      </c>
    </row>
    <row r="2201" spans="2:3" x14ac:dyDescent="0.3">
      <c r="B2201" t="str">
        <f>IFERROR(IF(A2201="","",VLOOKUP(A2201,CadProd!$A:$B,2,0)),"")</f>
        <v/>
      </c>
      <c r="C2201" t="str">
        <f>IFERROR(IF(A2201="","",VLOOKUP(A2201,CadProd!$A:$C,3,0)),"")</f>
        <v/>
      </c>
    </row>
    <row r="2202" spans="2:3" x14ac:dyDescent="0.3">
      <c r="B2202" t="str">
        <f>IFERROR(IF(A2202="","",VLOOKUP(A2202,CadProd!$A:$B,2,0)),"")</f>
        <v/>
      </c>
      <c r="C2202" t="str">
        <f>IFERROR(IF(A2202="","",VLOOKUP(A2202,CadProd!$A:$C,3,0)),"")</f>
        <v/>
      </c>
    </row>
    <row r="2203" spans="2:3" x14ac:dyDescent="0.3">
      <c r="B2203" t="str">
        <f>IFERROR(IF(A2203="","",VLOOKUP(A2203,CadProd!$A:$B,2,0)),"")</f>
        <v/>
      </c>
      <c r="C2203" t="str">
        <f>IFERROR(IF(A2203="","",VLOOKUP(A2203,CadProd!$A:$C,3,0)),"")</f>
        <v/>
      </c>
    </row>
    <row r="2204" spans="2:3" x14ac:dyDescent="0.3">
      <c r="B2204" t="str">
        <f>IFERROR(IF(A2204="","",VLOOKUP(A2204,CadProd!$A:$B,2,0)),"")</f>
        <v/>
      </c>
      <c r="C2204" t="str">
        <f>IFERROR(IF(A2204="","",VLOOKUP(A2204,CadProd!$A:$C,3,0)),"")</f>
        <v/>
      </c>
    </row>
    <row r="2205" spans="2:3" x14ac:dyDescent="0.3">
      <c r="B2205" t="str">
        <f>IFERROR(IF(A2205="","",VLOOKUP(A2205,CadProd!$A:$B,2,0)),"")</f>
        <v/>
      </c>
      <c r="C2205" t="str">
        <f>IFERROR(IF(A2205="","",VLOOKUP(A2205,CadProd!$A:$C,3,0)),"")</f>
        <v/>
      </c>
    </row>
    <row r="2206" spans="2:3" x14ac:dyDescent="0.3">
      <c r="B2206" t="str">
        <f>IFERROR(IF(A2206="","",VLOOKUP(A2206,CadProd!$A:$B,2,0)),"")</f>
        <v/>
      </c>
      <c r="C2206" t="str">
        <f>IFERROR(IF(A2206="","",VLOOKUP(A2206,CadProd!$A:$C,3,0)),"")</f>
        <v/>
      </c>
    </row>
    <row r="2207" spans="2:3" x14ac:dyDescent="0.3">
      <c r="B2207" t="str">
        <f>IFERROR(IF(A2207="","",VLOOKUP(A2207,CadProd!$A:$B,2,0)),"")</f>
        <v/>
      </c>
      <c r="C2207" t="str">
        <f>IFERROR(IF(A2207="","",VLOOKUP(A2207,CadProd!$A:$C,3,0)),"")</f>
        <v/>
      </c>
    </row>
    <row r="2208" spans="2:3" x14ac:dyDescent="0.3">
      <c r="B2208" t="str">
        <f>IFERROR(IF(A2208="","",VLOOKUP(A2208,CadProd!$A:$B,2,0)),"")</f>
        <v/>
      </c>
      <c r="C2208" t="str">
        <f>IFERROR(IF(A2208="","",VLOOKUP(A2208,CadProd!$A:$C,3,0)),"")</f>
        <v/>
      </c>
    </row>
    <row r="2209" spans="2:3" x14ac:dyDescent="0.3">
      <c r="B2209" t="str">
        <f>IFERROR(IF(A2209="","",VLOOKUP(A2209,CadProd!$A:$B,2,0)),"")</f>
        <v/>
      </c>
      <c r="C2209" t="str">
        <f>IFERROR(IF(A2209="","",VLOOKUP(A2209,CadProd!$A:$C,3,0)),"")</f>
        <v/>
      </c>
    </row>
    <row r="2210" spans="2:3" x14ac:dyDescent="0.3">
      <c r="B2210" t="str">
        <f>IFERROR(IF(A2210="","",VLOOKUP(A2210,CadProd!$A:$B,2,0)),"")</f>
        <v/>
      </c>
      <c r="C2210" t="str">
        <f>IFERROR(IF(A2210="","",VLOOKUP(A2210,CadProd!$A:$C,3,0)),"")</f>
        <v/>
      </c>
    </row>
    <row r="2211" spans="2:3" x14ac:dyDescent="0.3">
      <c r="B2211" t="str">
        <f>IFERROR(IF(A2211="","",VLOOKUP(A2211,CadProd!$A:$B,2,0)),"")</f>
        <v/>
      </c>
      <c r="C2211" t="str">
        <f>IFERROR(IF(A2211="","",VLOOKUP(A2211,CadProd!$A:$C,3,0)),"")</f>
        <v/>
      </c>
    </row>
    <row r="2212" spans="2:3" x14ac:dyDescent="0.3">
      <c r="B2212" t="str">
        <f>IFERROR(IF(A2212="","",VLOOKUP(A2212,CadProd!$A:$B,2,0)),"")</f>
        <v/>
      </c>
      <c r="C2212" t="str">
        <f>IFERROR(IF(A2212="","",VLOOKUP(A2212,CadProd!$A:$C,3,0)),"")</f>
        <v/>
      </c>
    </row>
    <row r="2213" spans="2:3" x14ac:dyDescent="0.3">
      <c r="B2213" t="str">
        <f>IFERROR(IF(A2213="","",VLOOKUP(A2213,CadProd!$A:$B,2,0)),"")</f>
        <v/>
      </c>
      <c r="C2213" t="str">
        <f>IFERROR(IF(A2213="","",VLOOKUP(A2213,CadProd!$A:$C,3,0)),"")</f>
        <v/>
      </c>
    </row>
    <row r="2214" spans="2:3" x14ac:dyDescent="0.3">
      <c r="B2214" t="str">
        <f>IFERROR(IF(A2214="","",VLOOKUP(A2214,CadProd!$A:$B,2,0)),"")</f>
        <v/>
      </c>
      <c r="C2214" t="str">
        <f>IFERROR(IF(A2214="","",VLOOKUP(A2214,CadProd!$A:$C,3,0)),"")</f>
        <v/>
      </c>
    </row>
    <row r="2215" spans="2:3" x14ac:dyDescent="0.3">
      <c r="B2215" t="str">
        <f>IFERROR(IF(A2215="","",VLOOKUP(A2215,CadProd!$A:$B,2,0)),"")</f>
        <v/>
      </c>
      <c r="C2215" t="str">
        <f>IFERROR(IF(A2215="","",VLOOKUP(A2215,CadProd!$A:$C,3,0)),"")</f>
        <v/>
      </c>
    </row>
    <row r="2216" spans="2:3" x14ac:dyDescent="0.3">
      <c r="B2216" t="str">
        <f>IFERROR(IF(A2216="","",VLOOKUP(A2216,CadProd!$A:$B,2,0)),"")</f>
        <v/>
      </c>
      <c r="C2216" t="str">
        <f>IFERROR(IF(A2216="","",VLOOKUP(A2216,CadProd!$A:$C,3,0)),"")</f>
        <v/>
      </c>
    </row>
    <row r="2217" spans="2:3" x14ac:dyDescent="0.3">
      <c r="B2217" t="str">
        <f>IFERROR(IF(A2217="","",VLOOKUP(A2217,CadProd!$A:$B,2,0)),"")</f>
        <v/>
      </c>
      <c r="C2217" t="str">
        <f>IFERROR(IF(A2217="","",VLOOKUP(A2217,CadProd!$A:$C,3,0)),"")</f>
        <v/>
      </c>
    </row>
    <row r="2218" spans="2:3" x14ac:dyDescent="0.3">
      <c r="B2218" t="str">
        <f>IFERROR(IF(A2218="","",VLOOKUP(A2218,CadProd!$A:$B,2,0)),"")</f>
        <v/>
      </c>
      <c r="C2218" t="str">
        <f>IFERROR(IF(A2218="","",VLOOKUP(A2218,CadProd!$A:$C,3,0)),"")</f>
        <v/>
      </c>
    </row>
    <row r="2219" spans="2:3" x14ac:dyDescent="0.3">
      <c r="B2219" t="str">
        <f>IFERROR(IF(A2219="","",VLOOKUP(A2219,CadProd!$A:$B,2,0)),"")</f>
        <v/>
      </c>
      <c r="C2219" t="str">
        <f>IFERROR(IF(A2219="","",VLOOKUP(A2219,CadProd!$A:$C,3,0)),"")</f>
        <v/>
      </c>
    </row>
    <row r="2220" spans="2:3" x14ac:dyDescent="0.3">
      <c r="B2220" t="str">
        <f>IFERROR(IF(A2220="","",VLOOKUP(A2220,CadProd!$A:$B,2,0)),"")</f>
        <v/>
      </c>
      <c r="C2220" t="str">
        <f>IFERROR(IF(A2220="","",VLOOKUP(A2220,CadProd!$A:$C,3,0)),"")</f>
        <v/>
      </c>
    </row>
    <row r="2221" spans="2:3" x14ac:dyDescent="0.3">
      <c r="B2221" t="str">
        <f>IFERROR(IF(A2221="","",VLOOKUP(A2221,CadProd!$A:$B,2,0)),"")</f>
        <v/>
      </c>
      <c r="C2221" t="str">
        <f>IFERROR(IF(A2221="","",VLOOKUP(A2221,CadProd!$A:$C,3,0)),"")</f>
        <v/>
      </c>
    </row>
    <row r="2222" spans="2:3" x14ac:dyDescent="0.3">
      <c r="B2222" t="str">
        <f>IFERROR(IF(A2222="","",VLOOKUP(A2222,CadProd!$A:$B,2,0)),"")</f>
        <v/>
      </c>
      <c r="C2222" t="str">
        <f>IFERROR(IF(A2222="","",VLOOKUP(A2222,CadProd!$A:$C,3,0)),"")</f>
        <v/>
      </c>
    </row>
    <row r="2223" spans="2:3" x14ac:dyDescent="0.3">
      <c r="B2223" t="str">
        <f>IFERROR(IF(A2223="","",VLOOKUP(A2223,CadProd!$A:$B,2,0)),"")</f>
        <v/>
      </c>
      <c r="C2223" t="str">
        <f>IFERROR(IF(A2223="","",VLOOKUP(A2223,CadProd!$A:$C,3,0)),"")</f>
        <v/>
      </c>
    </row>
    <row r="2224" spans="2:3" x14ac:dyDescent="0.3">
      <c r="B2224" t="str">
        <f>IFERROR(IF(A2224="","",VLOOKUP(A2224,CadProd!$A:$B,2,0)),"")</f>
        <v/>
      </c>
      <c r="C2224" t="str">
        <f>IFERROR(IF(A2224="","",VLOOKUP(A2224,CadProd!$A:$C,3,0)),"")</f>
        <v/>
      </c>
    </row>
    <row r="2225" spans="2:3" x14ac:dyDescent="0.3">
      <c r="B2225" t="str">
        <f>IFERROR(IF(A2225="","",VLOOKUP(A2225,CadProd!$A:$B,2,0)),"")</f>
        <v/>
      </c>
      <c r="C2225" t="str">
        <f>IFERROR(IF(A2225="","",VLOOKUP(A2225,CadProd!$A:$C,3,0)),"")</f>
        <v/>
      </c>
    </row>
    <row r="2226" spans="2:3" x14ac:dyDescent="0.3">
      <c r="B2226" t="str">
        <f>IFERROR(IF(A2226="","",VLOOKUP(A2226,CadProd!$A:$B,2,0)),"")</f>
        <v/>
      </c>
      <c r="C2226" t="str">
        <f>IFERROR(IF(A2226="","",VLOOKUP(A2226,CadProd!$A:$C,3,0)),"")</f>
        <v/>
      </c>
    </row>
    <row r="2227" spans="2:3" x14ac:dyDescent="0.3">
      <c r="B2227" t="str">
        <f>IFERROR(IF(A2227="","",VLOOKUP(A2227,CadProd!$A:$B,2,0)),"")</f>
        <v/>
      </c>
      <c r="C2227" t="str">
        <f>IFERROR(IF(A2227="","",VLOOKUP(A2227,CadProd!$A:$C,3,0)),"")</f>
        <v/>
      </c>
    </row>
    <row r="2228" spans="2:3" x14ac:dyDescent="0.3">
      <c r="B2228" t="str">
        <f>IFERROR(IF(A2228="","",VLOOKUP(A2228,CadProd!$A:$B,2,0)),"")</f>
        <v/>
      </c>
      <c r="C2228" t="str">
        <f>IFERROR(IF(A2228="","",VLOOKUP(A2228,CadProd!$A:$C,3,0)),"")</f>
        <v/>
      </c>
    </row>
    <row r="2229" spans="2:3" x14ac:dyDescent="0.3">
      <c r="B2229" t="str">
        <f>IFERROR(IF(A2229="","",VLOOKUP(A2229,CadProd!$A:$B,2,0)),"")</f>
        <v/>
      </c>
      <c r="C2229" t="str">
        <f>IFERROR(IF(A2229="","",VLOOKUP(A2229,CadProd!$A:$C,3,0)),"")</f>
        <v/>
      </c>
    </row>
    <row r="2230" spans="2:3" x14ac:dyDescent="0.3">
      <c r="B2230" t="str">
        <f>IFERROR(IF(A2230="","",VLOOKUP(A2230,CadProd!$A:$B,2,0)),"")</f>
        <v/>
      </c>
      <c r="C2230" t="str">
        <f>IFERROR(IF(A2230="","",VLOOKUP(A2230,CadProd!$A:$C,3,0)),"")</f>
        <v/>
      </c>
    </row>
    <row r="2231" spans="2:3" x14ac:dyDescent="0.3">
      <c r="B2231" t="str">
        <f>IFERROR(IF(A2231="","",VLOOKUP(A2231,CadProd!$A:$B,2,0)),"")</f>
        <v/>
      </c>
      <c r="C2231" t="str">
        <f>IFERROR(IF(A2231="","",VLOOKUP(A2231,CadProd!$A:$C,3,0)),"")</f>
        <v/>
      </c>
    </row>
    <row r="2232" spans="2:3" x14ac:dyDescent="0.3">
      <c r="B2232" t="str">
        <f>IFERROR(IF(A2232="","",VLOOKUP(A2232,CadProd!$A:$B,2,0)),"")</f>
        <v/>
      </c>
      <c r="C2232" t="str">
        <f>IFERROR(IF(A2232="","",VLOOKUP(A2232,CadProd!$A:$C,3,0)),"")</f>
        <v/>
      </c>
    </row>
    <row r="2233" spans="2:3" x14ac:dyDescent="0.3">
      <c r="B2233" t="str">
        <f>IFERROR(IF(A2233="","",VLOOKUP(A2233,CadProd!$A:$B,2,0)),"")</f>
        <v/>
      </c>
      <c r="C2233" t="str">
        <f>IFERROR(IF(A2233="","",VLOOKUP(A2233,CadProd!$A:$C,3,0)),"")</f>
        <v/>
      </c>
    </row>
    <row r="2234" spans="2:3" x14ac:dyDescent="0.3">
      <c r="B2234" t="str">
        <f>IFERROR(IF(A2234="","",VLOOKUP(A2234,CadProd!$A:$B,2,0)),"")</f>
        <v/>
      </c>
      <c r="C2234" t="str">
        <f>IFERROR(IF(A2234="","",VLOOKUP(A2234,CadProd!$A:$C,3,0)),"")</f>
        <v/>
      </c>
    </row>
    <row r="2235" spans="2:3" x14ac:dyDescent="0.3">
      <c r="B2235" t="str">
        <f>IFERROR(IF(A2235="","",VLOOKUP(A2235,CadProd!$A:$B,2,0)),"")</f>
        <v/>
      </c>
      <c r="C2235" t="str">
        <f>IFERROR(IF(A2235="","",VLOOKUP(A2235,CadProd!$A:$C,3,0)),"")</f>
        <v/>
      </c>
    </row>
    <row r="2236" spans="2:3" x14ac:dyDescent="0.3">
      <c r="B2236" t="str">
        <f>IFERROR(IF(A2236="","",VLOOKUP(A2236,CadProd!$A:$B,2,0)),"")</f>
        <v/>
      </c>
      <c r="C2236" t="str">
        <f>IFERROR(IF(A2236="","",VLOOKUP(A2236,CadProd!$A:$C,3,0)),"")</f>
        <v/>
      </c>
    </row>
    <row r="2237" spans="2:3" x14ac:dyDescent="0.3">
      <c r="B2237" t="str">
        <f>IFERROR(IF(A2237="","",VLOOKUP(A2237,CadProd!$A:$B,2,0)),"")</f>
        <v/>
      </c>
      <c r="C2237" t="str">
        <f>IFERROR(IF(A2237="","",VLOOKUP(A2237,CadProd!$A:$C,3,0)),"")</f>
        <v/>
      </c>
    </row>
    <row r="2238" spans="2:3" x14ac:dyDescent="0.3">
      <c r="B2238" t="str">
        <f>IFERROR(IF(A2238="","",VLOOKUP(A2238,CadProd!$A:$B,2,0)),"")</f>
        <v/>
      </c>
      <c r="C2238" t="str">
        <f>IFERROR(IF(A2238="","",VLOOKUP(A2238,CadProd!$A:$C,3,0)),"")</f>
        <v/>
      </c>
    </row>
    <row r="2239" spans="2:3" x14ac:dyDescent="0.3">
      <c r="B2239" t="str">
        <f>IFERROR(IF(A2239="","",VLOOKUP(A2239,CadProd!$A:$B,2,0)),"")</f>
        <v/>
      </c>
      <c r="C2239" t="str">
        <f>IFERROR(IF(A2239="","",VLOOKUP(A2239,CadProd!$A:$C,3,0)),"")</f>
        <v/>
      </c>
    </row>
    <row r="2240" spans="2:3" x14ac:dyDescent="0.3">
      <c r="B2240" t="str">
        <f>IFERROR(IF(A2240="","",VLOOKUP(A2240,CadProd!$A:$B,2,0)),"")</f>
        <v/>
      </c>
      <c r="C2240" t="str">
        <f>IFERROR(IF(A2240="","",VLOOKUP(A2240,CadProd!$A:$C,3,0)),"")</f>
        <v/>
      </c>
    </row>
    <row r="2241" spans="2:3" x14ac:dyDescent="0.3">
      <c r="B2241" t="str">
        <f>IFERROR(IF(A2241="","",VLOOKUP(A2241,CadProd!$A:$B,2,0)),"")</f>
        <v/>
      </c>
      <c r="C2241" t="str">
        <f>IFERROR(IF(A2241="","",VLOOKUP(A2241,CadProd!$A:$C,3,0)),"")</f>
        <v/>
      </c>
    </row>
    <row r="2242" spans="2:3" x14ac:dyDescent="0.3">
      <c r="B2242" t="str">
        <f>IFERROR(IF(A2242="","",VLOOKUP(A2242,CadProd!$A:$B,2,0)),"")</f>
        <v/>
      </c>
      <c r="C2242" t="str">
        <f>IFERROR(IF(A2242="","",VLOOKUP(A2242,CadProd!$A:$C,3,0)),"")</f>
        <v/>
      </c>
    </row>
    <row r="2243" spans="2:3" x14ac:dyDescent="0.3">
      <c r="B2243" t="str">
        <f>IFERROR(IF(A2243="","",VLOOKUP(A2243,CadProd!$A:$B,2,0)),"")</f>
        <v/>
      </c>
      <c r="C2243" t="str">
        <f>IFERROR(IF(A2243="","",VLOOKUP(A2243,CadProd!$A:$C,3,0)),"")</f>
        <v/>
      </c>
    </row>
    <row r="2244" spans="2:3" x14ac:dyDescent="0.3">
      <c r="B2244" t="str">
        <f>IFERROR(IF(A2244="","",VLOOKUP(A2244,CadProd!$A:$B,2,0)),"")</f>
        <v/>
      </c>
      <c r="C2244" t="str">
        <f>IFERROR(IF(A2244="","",VLOOKUP(A2244,CadProd!$A:$C,3,0)),"")</f>
        <v/>
      </c>
    </row>
    <row r="2245" spans="2:3" x14ac:dyDescent="0.3">
      <c r="B2245" t="str">
        <f>IFERROR(IF(A2245="","",VLOOKUP(A2245,CadProd!$A:$B,2,0)),"")</f>
        <v/>
      </c>
      <c r="C2245" t="str">
        <f>IFERROR(IF(A2245="","",VLOOKUP(A2245,CadProd!$A:$C,3,0)),"")</f>
        <v/>
      </c>
    </row>
    <row r="2246" spans="2:3" x14ac:dyDescent="0.3">
      <c r="B2246" t="str">
        <f>IFERROR(IF(A2246="","",VLOOKUP(A2246,CadProd!$A:$B,2,0)),"")</f>
        <v/>
      </c>
      <c r="C2246" t="str">
        <f>IFERROR(IF(A2246="","",VLOOKUP(A2246,CadProd!$A:$C,3,0)),"")</f>
        <v/>
      </c>
    </row>
    <row r="2247" spans="2:3" x14ac:dyDescent="0.3">
      <c r="B2247" t="str">
        <f>IFERROR(IF(A2247="","",VLOOKUP(A2247,CadProd!$A:$B,2,0)),"")</f>
        <v/>
      </c>
      <c r="C2247" t="str">
        <f>IFERROR(IF(A2247="","",VLOOKUP(A2247,CadProd!$A:$C,3,0)),"")</f>
        <v/>
      </c>
    </row>
    <row r="2248" spans="2:3" x14ac:dyDescent="0.3">
      <c r="B2248" t="str">
        <f>IFERROR(IF(A2248="","",VLOOKUP(A2248,CadProd!$A:$B,2,0)),"")</f>
        <v/>
      </c>
      <c r="C2248" t="str">
        <f>IFERROR(IF(A2248="","",VLOOKUP(A2248,CadProd!$A:$C,3,0)),"")</f>
        <v/>
      </c>
    </row>
    <row r="2249" spans="2:3" x14ac:dyDescent="0.3">
      <c r="B2249" t="str">
        <f>IFERROR(IF(A2249="","",VLOOKUP(A2249,CadProd!$A:$B,2,0)),"")</f>
        <v/>
      </c>
      <c r="C2249" t="str">
        <f>IFERROR(IF(A2249="","",VLOOKUP(A2249,CadProd!$A:$C,3,0)),"")</f>
        <v/>
      </c>
    </row>
    <row r="2250" spans="2:3" x14ac:dyDescent="0.3">
      <c r="B2250" t="str">
        <f>IFERROR(IF(A2250="","",VLOOKUP(A2250,CadProd!$A:$B,2,0)),"")</f>
        <v/>
      </c>
      <c r="C2250" t="str">
        <f>IFERROR(IF(A2250="","",VLOOKUP(A2250,CadProd!$A:$C,3,0)),"")</f>
        <v/>
      </c>
    </row>
    <row r="2251" spans="2:3" x14ac:dyDescent="0.3">
      <c r="B2251" t="str">
        <f>IFERROR(IF(A2251="","",VLOOKUP(A2251,CadProd!$A:$B,2,0)),"")</f>
        <v/>
      </c>
      <c r="C2251" t="str">
        <f>IFERROR(IF(A2251="","",VLOOKUP(A2251,CadProd!$A:$C,3,0)),"")</f>
        <v/>
      </c>
    </row>
    <row r="2252" spans="2:3" x14ac:dyDescent="0.3">
      <c r="B2252" t="str">
        <f>IFERROR(IF(A2252="","",VLOOKUP(A2252,CadProd!$A:$B,2,0)),"")</f>
        <v/>
      </c>
      <c r="C2252" t="str">
        <f>IFERROR(IF(A2252="","",VLOOKUP(A2252,CadProd!$A:$C,3,0)),"")</f>
        <v/>
      </c>
    </row>
    <row r="2253" spans="2:3" x14ac:dyDescent="0.3">
      <c r="B2253" t="str">
        <f>IFERROR(IF(A2253="","",VLOOKUP(A2253,CadProd!$A:$B,2,0)),"")</f>
        <v/>
      </c>
      <c r="C2253" t="str">
        <f>IFERROR(IF(A2253="","",VLOOKUP(A2253,CadProd!$A:$C,3,0)),"")</f>
        <v/>
      </c>
    </row>
    <row r="2254" spans="2:3" x14ac:dyDescent="0.3">
      <c r="B2254" t="str">
        <f>IFERROR(IF(A2254="","",VLOOKUP(A2254,CadProd!$A:$B,2,0)),"")</f>
        <v/>
      </c>
      <c r="C2254" t="str">
        <f>IFERROR(IF(A2254="","",VLOOKUP(A2254,CadProd!$A:$C,3,0)),"")</f>
        <v/>
      </c>
    </row>
    <row r="2255" spans="2:3" x14ac:dyDescent="0.3">
      <c r="B2255" t="str">
        <f>IFERROR(IF(A2255="","",VLOOKUP(A2255,CadProd!$A:$B,2,0)),"")</f>
        <v/>
      </c>
      <c r="C2255" t="str">
        <f>IFERROR(IF(A2255="","",VLOOKUP(A2255,CadProd!$A:$C,3,0)),"")</f>
        <v/>
      </c>
    </row>
    <row r="2256" spans="2:3" x14ac:dyDescent="0.3">
      <c r="B2256" t="str">
        <f>IFERROR(IF(A2256="","",VLOOKUP(A2256,CadProd!$A:$B,2,0)),"")</f>
        <v/>
      </c>
      <c r="C2256" t="str">
        <f>IFERROR(IF(A2256="","",VLOOKUP(A2256,CadProd!$A:$C,3,0)),"")</f>
        <v/>
      </c>
    </row>
    <row r="2257" spans="2:3" x14ac:dyDescent="0.3">
      <c r="B2257" t="str">
        <f>IFERROR(IF(A2257="","",VLOOKUP(A2257,CadProd!$A:$B,2,0)),"")</f>
        <v/>
      </c>
      <c r="C2257" t="str">
        <f>IFERROR(IF(A2257="","",VLOOKUP(A2257,CadProd!$A:$C,3,0)),"")</f>
        <v/>
      </c>
    </row>
    <row r="2258" spans="2:3" x14ac:dyDescent="0.3">
      <c r="B2258" t="str">
        <f>IFERROR(IF(A2258="","",VLOOKUP(A2258,CadProd!$A:$B,2,0)),"")</f>
        <v/>
      </c>
      <c r="C2258" t="str">
        <f>IFERROR(IF(A2258="","",VLOOKUP(A2258,CadProd!$A:$C,3,0)),"")</f>
        <v/>
      </c>
    </row>
    <row r="2259" spans="2:3" x14ac:dyDescent="0.3">
      <c r="B2259" t="str">
        <f>IFERROR(IF(A2259="","",VLOOKUP(A2259,CadProd!$A:$B,2,0)),"")</f>
        <v/>
      </c>
      <c r="C2259" t="str">
        <f>IFERROR(IF(A2259="","",VLOOKUP(A2259,CadProd!$A:$C,3,0)),"")</f>
        <v/>
      </c>
    </row>
    <row r="2260" spans="2:3" x14ac:dyDescent="0.3">
      <c r="B2260" t="str">
        <f>IFERROR(IF(A2260="","",VLOOKUP(A2260,CadProd!$A:$B,2,0)),"")</f>
        <v/>
      </c>
      <c r="C2260" t="str">
        <f>IFERROR(IF(A2260="","",VLOOKUP(A2260,CadProd!$A:$C,3,0)),"")</f>
        <v/>
      </c>
    </row>
    <row r="2261" spans="2:3" x14ac:dyDescent="0.3">
      <c r="B2261" t="str">
        <f>IFERROR(IF(A2261="","",VLOOKUP(A2261,CadProd!$A:$B,2,0)),"")</f>
        <v/>
      </c>
      <c r="C2261" t="str">
        <f>IFERROR(IF(A2261="","",VLOOKUP(A2261,CadProd!$A:$C,3,0)),"")</f>
        <v/>
      </c>
    </row>
    <row r="2262" spans="2:3" x14ac:dyDescent="0.3">
      <c r="B2262" t="str">
        <f>IFERROR(IF(A2262="","",VLOOKUP(A2262,CadProd!$A:$B,2,0)),"")</f>
        <v/>
      </c>
      <c r="C2262" t="str">
        <f>IFERROR(IF(A2262="","",VLOOKUP(A2262,CadProd!$A:$C,3,0)),"")</f>
        <v/>
      </c>
    </row>
    <row r="2263" spans="2:3" x14ac:dyDescent="0.3">
      <c r="B2263" t="str">
        <f>IFERROR(IF(A2263="","",VLOOKUP(A2263,CadProd!$A:$B,2,0)),"")</f>
        <v/>
      </c>
      <c r="C2263" t="str">
        <f>IFERROR(IF(A2263="","",VLOOKUP(A2263,CadProd!$A:$C,3,0)),"")</f>
        <v/>
      </c>
    </row>
    <row r="2264" spans="2:3" x14ac:dyDescent="0.3">
      <c r="B2264" t="str">
        <f>IFERROR(IF(A2264="","",VLOOKUP(A2264,CadProd!$A:$B,2,0)),"")</f>
        <v/>
      </c>
      <c r="C2264" t="str">
        <f>IFERROR(IF(A2264="","",VLOOKUP(A2264,CadProd!$A:$C,3,0)),"")</f>
        <v/>
      </c>
    </row>
    <row r="2265" spans="2:3" x14ac:dyDescent="0.3">
      <c r="B2265" t="str">
        <f>IFERROR(IF(A2265="","",VLOOKUP(A2265,CadProd!$A:$B,2,0)),"")</f>
        <v/>
      </c>
      <c r="C2265" t="str">
        <f>IFERROR(IF(A2265="","",VLOOKUP(A2265,CadProd!$A:$C,3,0)),"")</f>
        <v/>
      </c>
    </row>
    <row r="2266" spans="2:3" x14ac:dyDescent="0.3">
      <c r="B2266" t="str">
        <f>IFERROR(IF(A2266="","",VLOOKUP(A2266,CadProd!$A:$B,2,0)),"")</f>
        <v/>
      </c>
      <c r="C2266" t="str">
        <f>IFERROR(IF(A2266="","",VLOOKUP(A2266,CadProd!$A:$C,3,0)),"")</f>
        <v/>
      </c>
    </row>
    <row r="2267" spans="2:3" x14ac:dyDescent="0.3">
      <c r="B2267" t="str">
        <f>IFERROR(IF(A2267="","",VLOOKUP(A2267,CadProd!$A:$B,2,0)),"")</f>
        <v/>
      </c>
      <c r="C2267" t="str">
        <f>IFERROR(IF(A2267="","",VLOOKUP(A2267,CadProd!$A:$C,3,0)),"")</f>
        <v/>
      </c>
    </row>
    <row r="2268" spans="2:3" x14ac:dyDescent="0.3">
      <c r="B2268" t="str">
        <f>IFERROR(IF(A2268="","",VLOOKUP(A2268,CadProd!$A:$B,2,0)),"")</f>
        <v/>
      </c>
      <c r="C2268" t="str">
        <f>IFERROR(IF(A2268="","",VLOOKUP(A2268,CadProd!$A:$C,3,0)),"")</f>
        <v/>
      </c>
    </row>
    <row r="2269" spans="2:3" x14ac:dyDescent="0.3">
      <c r="B2269" t="str">
        <f>IFERROR(IF(A2269="","",VLOOKUP(A2269,CadProd!$A:$B,2,0)),"")</f>
        <v/>
      </c>
      <c r="C2269" t="str">
        <f>IFERROR(IF(A2269="","",VLOOKUP(A2269,CadProd!$A:$C,3,0)),"")</f>
        <v/>
      </c>
    </row>
    <row r="2270" spans="2:3" x14ac:dyDescent="0.3">
      <c r="B2270" t="str">
        <f>IFERROR(IF(A2270="","",VLOOKUP(A2270,CadProd!$A:$B,2,0)),"")</f>
        <v/>
      </c>
      <c r="C2270" t="str">
        <f>IFERROR(IF(A2270="","",VLOOKUP(A2270,CadProd!$A:$C,3,0)),"")</f>
        <v/>
      </c>
    </row>
    <row r="2271" spans="2:3" x14ac:dyDescent="0.3">
      <c r="B2271" t="str">
        <f>IFERROR(IF(A2271="","",VLOOKUP(A2271,CadProd!$A:$B,2,0)),"")</f>
        <v/>
      </c>
      <c r="C2271" t="str">
        <f>IFERROR(IF(A2271="","",VLOOKUP(A2271,CadProd!$A:$C,3,0)),"")</f>
        <v/>
      </c>
    </row>
    <row r="2272" spans="2:3" x14ac:dyDescent="0.3">
      <c r="B2272" t="str">
        <f>IFERROR(IF(A2272="","",VLOOKUP(A2272,CadProd!$A:$B,2,0)),"")</f>
        <v/>
      </c>
      <c r="C2272" t="str">
        <f>IFERROR(IF(A2272="","",VLOOKUP(A2272,CadProd!$A:$C,3,0)),"")</f>
        <v/>
      </c>
    </row>
    <row r="2273" spans="2:3" x14ac:dyDescent="0.3">
      <c r="B2273" t="str">
        <f>IFERROR(IF(A2273="","",VLOOKUP(A2273,CadProd!$A:$B,2,0)),"")</f>
        <v/>
      </c>
      <c r="C2273" t="str">
        <f>IFERROR(IF(A2273="","",VLOOKUP(A2273,CadProd!$A:$C,3,0)),"")</f>
        <v/>
      </c>
    </row>
    <row r="2274" spans="2:3" x14ac:dyDescent="0.3">
      <c r="B2274" t="str">
        <f>IFERROR(IF(A2274="","",VLOOKUP(A2274,CadProd!$A:$B,2,0)),"")</f>
        <v/>
      </c>
      <c r="C2274" t="str">
        <f>IFERROR(IF(A2274="","",VLOOKUP(A2274,CadProd!$A:$C,3,0)),"")</f>
        <v/>
      </c>
    </row>
    <row r="2275" spans="2:3" x14ac:dyDescent="0.3">
      <c r="B2275" t="str">
        <f>IFERROR(IF(A2275="","",VLOOKUP(A2275,CadProd!$A:$B,2,0)),"")</f>
        <v/>
      </c>
      <c r="C2275" t="str">
        <f>IFERROR(IF(A2275="","",VLOOKUP(A2275,CadProd!$A:$C,3,0)),"")</f>
        <v/>
      </c>
    </row>
    <row r="2276" spans="2:3" x14ac:dyDescent="0.3">
      <c r="B2276" t="str">
        <f>IFERROR(IF(A2276="","",VLOOKUP(A2276,CadProd!$A:$B,2,0)),"")</f>
        <v/>
      </c>
      <c r="C2276" t="str">
        <f>IFERROR(IF(A2276="","",VLOOKUP(A2276,CadProd!$A:$C,3,0)),"")</f>
        <v/>
      </c>
    </row>
    <row r="2277" spans="2:3" x14ac:dyDescent="0.3">
      <c r="B2277" t="str">
        <f>IFERROR(IF(A2277="","",VLOOKUP(A2277,CadProd!$A:$B,2,0)),"")</f>
        <v/>
      </c>
      <c r="C2277" t="str">
        <f>IFERROR(IF(A2277="","",VLOOKUP(A2277,CadProd!$A:$C,3,0)),"")</f>
        <v/>
      </c>
    </row>
    <row r="2278" spans="2:3" x14ac:dyDescent="0.3">
      <c r="B2278" t="str">
        <f>IFERROR(IF(A2278="","",VLOOKUP(A2278,CadProd!$A:$B,2,0)),"")</f>
        <v/>
      </c>
      <c r="C2278" t="str">
        <f>IFERROR(IF(A2278="","",VLOOKUP(A2278,CadProd!$A:$C,3,0)),"")</f>
        <v/>
      </c>
    </row>
    <row r="2279" spans="2:3" x14ac:dyDescent="0.3">
      <c r="B2279" t="str">
        <f>IFERROR(IF(A2279="","",VLOOKUP(A2279,CadProd!$A:$B,2,0)),"")</f>
        <v/>
      </c>
      <c r="C2279" t="str">
        <f>IFERROR(IF(A2279="","",VLOOKUP(A2279,CadProd!$A:$C,3,0)),"")</f>
        <v/>
      </c>
    </row>
    <row r="2280" spans="2:3" x14ac:dyDescent="0.3">
      <c r="B2280" t="str">
        <f>IFERROR(IF(A2280="","",VLOOKUP(A2280,CadProd!$A:$B,2,0)),"")</f>
        <v/>
      </c>
      <c r="C2280" t="str">
        <f>IFERROR(IF(A2280="","",VLOOKUP(A2280,CadProd!$A:$C,3,0)),"")</f>
        <v/>
      </c>
    </row>
    <row r="2281" spans="2:3" x14ac:dyDescent="0.3">
      <c r="B2281" t="str">
        <f>IFERROR(IF(A2281="","",VLOOKUP(A2281,CadProd!$A:$B,2,0)),"")</f>
        <v/>
      </c>
      <c r="C2281" t="str">
        <f>IFERROR(IF(A2281="","",VLOOKUP(A2281,CadProd!$A:$C,3,0)),"")</f>
        <v/>
      </c>
    </row>
    <row r="2282" spans="2:3" x14ac:dyDescent="0.3">
      <c r="B2282" t="str">
        <f>IFERROR(IF(A2282="","",VLOOKUP(A2282,CadProd!$A:$B,2,0)),"")</f>
        <v/>
      </c>
      <c r="C2282" t="str">
        <f>IFERROR(IF(A2282="","",VLOOKUP(A2282,CadProd!$A:$C,3,0)),"")</f>
        <v/>
      </c>
    </row>
    <row r="2283" spans="2:3" x14ac:dyDescent="0.3">
      <c r="B2283" t="str">
        <f>IFERROR(IF(A2283="","",VLOOKUP(A2283,CadProd!$A:$B,2,0)),"")</f>
        <v/>
      </c>
      <c r="C2283" t="str">
        <f>IFERROR(IF(A2283="","",VLOOKUP(A2283,CadProd!$A:$C,3,0)),"")</f>
        <v/>
      </c>
    </row>
    <row r="2284" spans="2:3" x14ac:dyDescent="0.3">
      <c r="B2284" t="str">
        <f>IFERROR(IF(A2284="","",VLOOKUP(A2284,CadProd!$A:$B,2,0)),"")</f>
        <v/>
      </c>
      <c r="C2284" t="str">
        <f>IFERROR(IF(A2284="","",VLOOKUP(A2284,CadProd!$A:$C,3,0)),"")</f>
        <v/>
      </c>
    </row>
    <row r="2285" spans="2:3" x14ac:dyDescent="0.3">
      <c r="B2285" t="str">
        <f>IFERROR(IF(A2285="","",VLOOKUP(A2285,CadProd!$A:$B,2,0)),"")</f>
        <v/>
      </c>
      <c r="C2285" t="str">
        <f>IFERROR(IF(A2285="","",VLOOKUP(A2285,CadProd!$A:$C,3,0)),"")</f>
        <v/>
      </c>
    </row>
    <row r="2286" spans="2:3" x14ac:dyDescent="0.3">
      <c r="B2286" t="str">
        <f>IFERROR(IF(A2286="","",VLOOKUP(A2286,CadProd!$A:$B,2,0)),"")</f>
        <v/>
      </c>
      <c r="C2286" t="str">
        <f>IFERROR(IF(A2286="","",VLOOKUP(A2286,CadProd!$A:$C,3,0)),"")</f>
        <v/>
      </c>
    </row>
    <row r="2287" spans="2:3" x14ac:dyDescent="0.3">
      <c r="B2287" t="str">
        <f>IFERROR(IF(A2287="","",VLOOKUP(A2287,CadProd!$A:$B,2,0)),"")</f>
        <v/>
      </c>
      <c r="C2287" t="str">
        <f>IFERROR(IF(A2287="","",VLOOKUP(A2287,CadProd!$A:$C,3,0)),"")</f>
        <v/>
      </c>
    </row>
    <row r="2288" spans="2:3" x14ac:dyDescent="0.3">
      <c r="B2288" t="str">
        <f>IFERROR(IF(A2288="","",VLOOKUP(A2288,CadProd!$A:$B,2,0)),"")</f>
        <v/>
      </c>
      <c r="C2288" t="str">
        <f>IFERROR(IF(A2288="","",VLOOKUP(A2288,CadProd!$A:$C,3,0)),"")</f>
        <v/>
      </c>
    </row>
    <row r="2289" spans="2:3" x14ac:dyDescent="0.3">
      <c r="B2289" t="str">
        <f>IFERROR(IF(A2289="","",VLOOKUP(A2289,CadProd!$A:$B,2,0)),"")</f>
        <v/>
      </c>
      <c r="C2289" t="str">
        <f>IFERROR(IF(A2289="","",VLOOKUP(A2289,CadProd!$A:$C,3,0)),"")</f>
        <v/>
      </c>
    </row>
    <row r="2290" spans="2:3" x14ac:dyDescent="0.3">
      <c r="B2290" t="str">
        <f>IFERROR(IF(A2290="","",VLOOKUP(A2290,CadProd!$A:$B,2,0)),"")</f>
        <v/>
      </c>
      <c r="C2290" t="str">
        <f>IFERROR(IF(A2290="","",VLOOKUP(A2290,CadProd!$A:$C,3,0)),"")</f>
        <v/>
      </c>
    </row>
    <row r="2291" spans="2:3" x14ac:dyDescent="0.3">
      <c r="B2291" t="str">
        <f>IFERROR(IF(A2291="","",VLOOKUP(A2291,CadProd!$A:$B,2,0)),"")</f>
        <v/>
      </c>
      <c r="C2291" t="str">
        <f>IFERROR(IF(A2291="","",VLOOKUP(A2291,CadProd!$A:$C,3,0)),"")</f>
        <v/>
      </c>
    </row>
    <row r="2292" spans="2:3" x14ac:dyDescent="0.3">
      <c r="B2292" t="str">
        <f>IFERROR(IF(A2292="","",VLOOKUP(A2292,CadProd!$A:$B,2,0)),"")</f>
        <v/>
      </c>
      <c r="C2292" t="str">
        <f>IFERROR(IF(A2292="","",VLOOKUP(A2292,CadProd!$A:$C,3,0)),"")</f>
        <v/>
      </c>
    </row>
    <row r="2293" spans="2:3" x14ac:dyDescent="0.3">
      <c r="B2293" t="str">
        <f>IFERROR(IF(A2293="","",VLOOKUP(A2293,CadProd!$A:$B,2,0)),"")</f>
        <v/>
      </c>
      <c r="C2293" t="str">
        <f>IFERROR(IF(A2293="","",VLOOKUP(A2293,CadProd!$A:$C,3,0)),"")</f>
        <v/>
      </c>
    </row>
    <row r="2294" spans="2:3" x14ac:dyDescent="0.3">
      <c r="B2294" t="str">
        <f>IFERROR(IF(A2294="","",VLOOKUP(A2294,CadProd!$A:$B,2,0)),"")</f>
        <v/>
      </c>
      <c r="C2294" t="str">
        <f>IFERROR(IF(A2294="","",VLOOKUP(A2294,CadProd!$A:$C,3,0)),"")</f>
        <v/>
      </c>
    </row>
    <row r="2295" spans="2:3" x14ac:dyDescent="0.3">
      <c r="B2295" t="str">
        <f>IFERROR(IF(A2295="","",VLOOKUP(A2295,CadProd!$A:$B,2,0)),"")</f>
        <v/>
      </c>
      <c r="C2295" t="str">
        <f>IFERROR(IF(A2295="","",VLOOKUP(A2295,CadProd!$A:$C,3,0)),"")</f>
        <v/>
      </c>
    </row>
    <row r="2296" spans="2:3" x14ac:dyDescent="0.3">
      <c r="B2296" t="str">
        <f>IFERROR(IF(A2296="","",VLOOKUP(A2296,CadProd!$A:$B,2,0)),"")</f>
        <v/>
      </c>
      <c r="C2296" t="str">
        <f>IFERROR(IF(A2296="","",VLOOKUP(A2296,CadProd!$A:$C,3,0)),"")</f>
        <v/>
      </c>
    </row>
    <row r="2297" spans="2:3" x14ac:dyDescent="0.3">
      <c r="B2297" t="str">
        <f>IFERROR(IF(A2297="","",VLOOKUP(A2297,CadProd!$A:$B,2,0)),"")</f>
        <v/>
      </c>
      <c r="C2297" t="str">
        <f>IFERROR(IF(A2297="","",VLOOKUP(A2297,CadProd!$A:$C,3,0)),"")</f>
        <v/>
      </c>
    </row>
    <row r="2298" spans="2:3" x14ac:dyDescent="0.3">
      <c r="B2298" t="str">
        <f>IFERROR(IF(A2298="","",VLOOKUP(A2298,CadProd!$A:$B,2,0)),"")</f>
        <v/>
      </c>
      <c r="C2298" t="str">
        <f>IFERROR(IF(A2298="","",VLOOKUP(A2298,CadProd!$A:$C,3,0)),"")</f>
        <v/>
      </c>
    </row>
    <row r="2299" spans="2:3" x14ac:dyDescent="0.3">
      <c r="B2299" t="str">
        <f>IFERROR(IF(A2299="","",VLOOKUP(A2299,CadProd!$A:$B,2,0)),"")</f>
        <v/>
      </c>
      <c r="C2299" t="str">
        <f>IFERROR(IF(A2299="","",VLOOKUP(A2299,CadProd!$A:$C,3,0)),"")</f>
        <v/>
      </c>
    </row>
    <row r="2300" spans="2:3" x14ac:dyDescent="0.3">
      <c r="B2300" t="str">
        <f>IFERROR(IF(A2300="","",VLOOKUP(A2300,CadProd!$A:$B,2,0)),"")</f>
        <v/>
      </c>
      <c r="C2300" t="str">
        <f>IFERROR(IF(A2300="","",VLOOKUP(A2300,CadProd!$A:$C,3,0)),"")</f>
        <v/>
      </c>
    </row>
    <row r="2301" spans="2:3" x14ac:dyDescent="0.3">
      <c r="B2301" t="str">
        <f>IFERROR(IF(A2301="","",VLOOKUP(A2301,CadProd!$A:$B,2,0)),"")</f>
        <v/>
      </c>
      <c r="C2301" t="str">
        <f>IFERROR(IF(A2301="","",VLOOKUP(A2301,CadProd!$A:$C,3,0)),"")</f>
        <v/>
      </c>
    </row>
    <row r="2302" spans="2:3" x14ac:dyDescent="0.3">
      <c r="B2302" t="str">
        <f>IFERROR(IF(A2302="","",VLOOKUP(A2302,CadProd!$A:$B,2,0)),"")</f>
        <v/>
      </c>
      <c r="C2302" t="str">
        <f>IFERROR(IF(A2302="","",VLOOKUP(A2302,CadProd!$A:$C,3,0)),"")</f>
        <v/>
      </c>
    </row>
    <row r="2303" spans="2:3" x14ac:dyDescent="0.3">
      <c r="B2303" t="str">
        <f>IFERROR(IF(A2303="","",VLOOKUP(A2303,CadProd!$A:$B,2,0)),"")</f>
        <v/>
      </c>
      <c r="C2303" t="str">
        <f>IFERROR(IF(A2303="","",VLOOKUP(A2303,CadProd!$A:$C,3,0)),"")</f>
        <v/>
      </c>
    </row>
    <row r="2304" spans="2:3" x14ac:dyDescent="0.3">
      <c r="B2304" t="str">
        <f>IFERROR(IF(A2304="","",VLOOKUP(A2304,CadProd!$A:$B,2,0)),"")</f>
        <v/>
      </c>
      <c r="C2304" t="str">
        <f>IFERROR(IF(A2304="","",VLOOKUP(A2304,CadProd!$A:$C,3,0)),"")</f>
        <v/>
      </c>
    </row>
    <row r="2305" spans="2:3" x14ac:dyDescent="0.3">
      <c r="B2305" t="str">
        <f>IFERROR(IF(A2305="","",VLOOKUP(A2305,CadProd!$A:$B,2,0)),"")</f>
        <v/>
      </c>
      <c r="C2305" t="str">
        <f>IFERROR(IF(A2305="","",VLOOKUP(A2305,CadProd!$A:$C,3,0)),"")</f>
        <v/>
      </c>
    </row>
    <row r="2306" spans="2:3" x14ac:dyDescent="0.3">
      <c r="B2306" t="str">
        <f>IFERROR(IF(A2306="","",VLOOKUP(A2306,CadProd!$A:$B,2,0)),"")</f>
        <v/>
      </c>
      <c r="C2306" t="str">
        <f>IFERROR(IF(A2306="","",VLOOKUP(A2306,CadProd!$A:$C,3,0)),"")</f>
        <v/>
      </c>
    </row>
    <row r="2307" spans="2:3" x14ac:dyDescent="0.3">
      <c r="B2307" t="str">
        <f>IFERROR(IF(A2307="","",VLOOKUP(A2307,CadProd!$A:$B,2,0)),"")</f>
        <v/>
      </c>
      <c r="C2307" t="str">
        <f>IFERROR(IF(A2307="","",VLOOKUP(A2307,CadProd!$A:$C,3,0)),"")</f>
        <v/>
      </c>
    </row>
    <row r="2308" spans="2:3" x14ac:dyDescent="0.3">
      <c r="B2308" t="str">
        <f>IFERROR(IF(A2308="","",VLOOKUP(A2308,CadProd!$A:$B,2,0)),"")</f>
        <v/>
      </c>
      <c r="C2308" t="str">
        <f>IFERROR(IF(A2308="","",VLOOKUP(A2308,CadProd!$A:$C,3,0)),"")</f>
        <v/>
      </c>
    </row>
    <row r="2309" spans="2:3" x14ac:dyDescent="0.3">
      <c r="B2309" t="str">
        <f>IFERROR(IF(A2309="","",VLOOKUP(A2309,CadProd!$A:$B,2,0)),"")</f>
        <v/>
      </c>
      <c r="C2309" t="str">
        <f>IFERROR(IF(A2309="","",VLOOKUP(A2309,CadProd!$A:$C,3,0)),"")</f>
        <v/>
      </c>
    </row>
    <row r="2310" spans="2:3" x14ac:dyDescent="0.3">
      <c r="B2310" t="str">
        <f>IFERROR(IF(A2310="","",VLOOKUP(A2310,CadProd!$A:$B,2,0)),"")</f>
        <v/>
      </c>
      <c r="C2310" t="str">
        <f>IFERROR(IF(A2310="","",VLOOKUP(A2310,CadProd!$A:$C,3,0)),"")</f>
        <v/>
      </c>
    </row>
    <row r="2311" spans="2:3" x14ac:dyDescent="0.3">
      <c r="B2311" t="str">
        <f>IFERROR(IF(A2311="","",VLOOKUP(A2311,CadProd!$A:$B,2,0)),"")</f>
        <v/>
      </c>
      <c r="C2311" t="str">
        <f>IFERROR(IF(A2311="","",VLOOKUP(A2311,CadProd!$A:$C,3,0)),"")</f>
        <v/>
      </c>
    </row>
    <row r="2312" spans="2:3" x14ac:dyDescent="0.3">
      <c r="B2312" t="str">
        <f>IFERROR(IF(A2312="","",VLOOKUP(A2312,CadProd!$A:$B,2,0)),"")</f>
        <v/>
      </c>
      <c r="C2312" t="str">
        <f>IFERROR(IF(A2312="","",VLOOKUP(A2312,CadProd!$A:$C,3,0)),"")</f>
        <v/>
      </c>
    </row>
    <row r="2313" spans="2:3" x14ac:dyDescent="0.3">
      <c r="B2313" t="str">
        <f>IFERROR(IF(A2313="","",VLOOKUP(A2313,CadProd!$A:$B,2,0)),"")</f>
        <v/>
      </c>
      <c r="C2313" t="str">
        <f>IFERROR(IF(A2313="","",VLOOKUP(A2313,CadProd!$A:$C,3,0)),"")</f>
        <v/>
      </c>
    </row>
    <row r="2314" spans="2:3" x14ac:dyDescent="0.3">
      <c r="B2314" t="str">
        <f>IFERROR(IF(A2314="","",VLOOKUP(A2314,CadProd!$A:$B,2,0)),"")</f>
        <v/>
      </c>
      <c r="C2314" t="str">
        <f>IFERROR(IF(A2314="","",VLOOKUP(A2314,CadProd!$A:$C,3,0)),"")</f>
        <v/>
      </c>
    </row>
    <row r="2315" spans="2:3" x14ac:dyDescent="0.3">
      <c r="B2315" t="str">
        <f>IFERROR(IF(A2315="","",VLOOKUP(A2315,CadProd!$A:$B,2,0)),"")</f>
        <v/>
      </c>
      <c r="C2315" t="str">
        <f>IFERROR(IF(A2315="","",VLOOKUP(A2315,CadProd!$A:$C,3,0)),"")</f>
        <v/>
      </c>
    </row>
    <row r="2316" spans="2:3" x14ac:dyDescent="0.3">
      <c r="B2316" t="str">
        <f>IFERROR(IF(A2316="","",VLOOKUP(A2316,CadProd!$A:$B,2,0)),"")</f>
        <v/>
      </c>
      <c r="C2316" t="str">
        <f>IFERROR(IF(A2316="","",VLOOKUP(A2316,CadProd!$A:$C,3,0)),"")</f>
        <v/>
      </c>
    </row>
    <row r="2317" spans="2:3" x14ac:dyDescent="0.3">
      <c r="B2317" t="str">
        <f>IFERROR(IF(A2317="","",VLOOKUP(A2317,CadProd!$A:$B,2,0)),"")</f>
        <v/>
      </c>
      <c r="C2317" t="str">
        <f>IFERROR(IF(A2317="","",VLOOKUP(A2317,CadProd!$A:$C,3,0)),"")</f>
        <v/>
      </c>
    </row>
    <row r="2318" spans="2:3" x14ac:dyDescent="0.3">
      <c r="B2318" t="str">
        <f>IFERROR(IF(A2318="","",VLOOKUP(A2318,CadProd!$A:$B,2,0)),"")</f>
        <v/>
      </c>
      <c r="C2318" t="str">
        <f>IFERROR(IF(A2318="","",VLOOKUP(A2318,CadProd!$A:$C,3,0)),"")</f>
        <v/>
      </c>
    </row>
    <row r="2319" spans="2:3" x14ac:dyDescent="0.3">
      <c r="B2319" t="str">
        <f>IFERROR(IF(A2319="","",VLOOKUP(A2319,CadProd!$A:$B,2,0)),"")</f>
        <v/>
      </c>
      <c r="C2319" t="str">
        <f>IFERROR(IF(A2319="","",VLOOKUP(A2319,CadProd!$A:$C,3,0)),"")</f>
        <v/>
      </c>
    </row>
    <row r="2320" spans="2:3" x14ac:dyDescent="0.3">
      <c r="B2320" t="str">
        <f>IFERROR(IF(A2320="","",VLOOKUP(A2320,CadProd!$A:$B,2,0)),"")</f>
        <v/>
      </c>
      <c r="C2320" t="str">
        <f>IFERROR(IF(A2320="","",VLOOKUP(A2320,CadProd!$A:$C,3,0)),"")</f>
        <v/>
      </c>
    </row>
    <row r="2321" spans="2:3" x14ac:dyDescent="0.3">
      <c r="B2321" t="str">
        <f>IFERROR(IF(A2321="","",VLOOKUP(A2321,CadProd!$A:$B,2,0)),"")</f>
        <v/>
      </c>
      <c r="C2321" t="str">
        <f>IFERROR(IF(A2321="","",VLOOKUP(A2321,CadProd!$A:$C,3,0)),"")</f>
        <v/>
      </c>
    </row>
    <row r="2322" spans="2:3" x14ac:dyDescent="0.3">
      <c r="B2322" t="str">
        <f>IFERROR(IF(A2322="","",VLOOKUP(A2322,CadProd!$A:$B,2,0)),"")</f>
        <v/>
      </c>
      <c r="C2322" t="str">
        <f>IFERROR(IF(A2322="","",VLOOKUP(A2322,CadProd!$A:$C,3,0)),"")</f>
        <v/>
      </c>
    </row>
    <row r="2323" spans="2:3" x14ac:dyDescent="0.3">
      <c r="B2323" t="str">
        <f>IFERROR(IF(A2323="","",VLOOKUP(A2323,CadProd!$A:$B,2,0)),"")</f>
        <v/>
      </c>
      <c r="C2323" t="str">
        <f>IFERROR(IF(A2323="","",VLOOKUP(A2323,CadProd!$A:$C,3,0)),"")</f>
        <v/>
      </c>
    </row>
    <row r="2324" spans="2:3" x14ac:dyDescent="0.3">
      <c r="B2324" t="str">
        <f>IFERROR(IF(A2324="","",VLOOKUP(A2324,CadProd!$A:$B,2,0)),"")</f>
        <v/>
      </c>
      <c r="C2324" t="str">
        <f>IFERROR(IF(A2324="","",VLOOKUP(A2324,CadProd!$A:$C,3,0)),"")</f>
        <v/>
      </c>
    </row>
    <row r="2325" spans="2:3" x14ac:dyDescent="0.3">
      <c r="B2325" t="str">
        <f>IFERROR(IF(A2325="","",VLOOKUP(A2325,CadProd!$A:$B,2,0)),"")</f>
        <v/>
      </c>
      <c r="C2325" t="str">
        <f>IFERROR(IF(A2325="","",VLOOKUP(A2325,CadProd!$A:$C,3,0)),"")</f>
        <v/>
      </c>
    </row>
    <row r="2326" spans="2:3" x14ac:dyDescent="0.3">
      <c r="B2326" t="str">
        <f>IFERROR(IF(A2326="","",VLOOKUP(A2326,CadProd!$A:$B,2,0)),"")</f>
        <v/>
      </c>
      <c r="C2326" t="str">
        <f>IFERROR(IF(A2326="","",VLOOKUP(A2326,CadProd!$A:$C,3,0)),"")</f>
        <v/>
      </c>
    </row>
    <row r="2327" spans="2:3" x14ac:dyDescent="0.3">
      <c r="B2327" t="str">
        <f>IFERROR(IF(A2327="","",VLOOKUP(A2327,CadProd!$A:$B,2,0)),"")</f>
        <v/>
      </c>
      <c r="C2327" t="str">
        <f>IFERROR(IF(A2327="","",VLOOKUP(A2327,CadProd!$A:$C,3,0)),"")</f>
        <v/>
      </c>
    </row>
    <row r="2328" spans="2:3" x14ac:dyDescent="0.3">
      <c r="B2328" t="str">
        <f>IFERROR(IF(A2328="","",VLOOKUP(A2328,CadProd!$A:$B,2,0)),"")</f>
        <v/>
      </c>
      <c r="C2328" t="str">
        <f>IFERROR(IF(A2328="","",VLOOKUP(A2328,CadProd!$A:$C,3,0)),"")</f>
        <v/>
      </c>
    </row>
    <row r="2329" spans="2:3" x14ac:dyDescent="0.3">
      <c r="B2329" t="str">
        <f>IFERROR(IF(A2329="","",VLOOKUP(A2329,CadProd!$A:$B,2,0)),"")</f>
        <v/>
      </c>
      <c r="C2329" t="str">
        <f>IFERROR(IF(A2329="","",VLOOKUP(A2329,CadProd!$A:$C,3,0)),"")</f>
        <v/>
      </c>
    </row>
    <row r="2330" spans="2:3" x14ac:dyDescent="0.3">
      <c r="B2330" t="str">
        <f>IFERROR(IF(A2330="","",VLOOKUP(A2330,CadProd!$A:$B,2,0)),"")</f>
        <v/>
      </c>
      <c r="C2330" t="str">
        <f>IFERROR(IF(A2330="","",VLOOKUP(A2330,CadProd!$A:$C,3,0)),"")</f>
        <v/>
      </c>
    </row>
    <row r="2331" spans="2:3" x14ac:dyDescent="0.3">
      <c r="B2331" t="str">
        <f>IFERROR(IF(A2331="","",VLOOKUP(A2331,CadProd!$A:$B,2,0)),"")</f>
        <v/>
      </c>
      <c r="C2331" t="str">
        <f>IFERROR(IF(A2331="","",VLOOKUP(A2331,CadProd!$A:$C,3,0)),"")</f>
        <v/>
      </c>
    </row>
    <row r="2332" spans="2:3" x14ac:dyDescent="0.3">
      <c r="B2332" t="str">
        <f>IFERROR(IF(A2332="","",VLOOKUP(A2332,CadProd!$A:$B,2,0)),"")</f>
        <v/>
      </c>
      <c r="C2332" t="str">
        <f>IFERROR(IF(A2332="","",VLOOKUP(A2332,CadProd!$A:$C,3,0)),"")</f>
        <v/>
      </c>
    </row>
    <row r="2333" spans="2:3" x14ac:dyDescent="0.3">
      <c r="B2333" t="str">
        <f>IFERROR(IF(A2333="","",VLOOKUP(A2333,CadProd!$A:$B,2,0)),"")</f>
        <v/>
      </c>
      <c r="C2333" t="str">
        <f>IFERROR(IF(A2333="","",VLOOKUP(A2333,CadProd!$A:$C,3,0)),"")</f>
        <v/>
      </c>
    </row>
    <row r="2334" spans="2:3" x14ac:dyDescent="0.3">
      <c r="B2334" t="str">
        <f>IFERROR(IF(A2334="","",VLOOKUP(A2334,CadProd!$A:$B,2,0)),"")</f>
        <v/>
      </c>
      <c r="C2334" t="str">
        <f>IFERROR(IF(A2334="","",VLOOKUP(A2334,CadProd!$A:$C,3,0)),"")</f>
        <v/>
      </c>
    </row>
    <row r="2335" spans="2:3" x14ac:dyDescent="0.3">
      <c r="B2335" t="str">
        <f>IFERROR(IF(A2335="","",VLOOKUP(A2335,CadProd!$A:$B,2,0)),"")</f>
        <v/>
      </c>
      <c r="C2335" t="str">
        <f>IFERROR(IF(A2335="","",VLOOKUP(A2335,CadProd!$A:$C,3,0)),"")</f>
        <v/>
      </c>
    </row>
    <row r="2336" spans="2:3" x14ac:dyDescent="0.3">
      <c r="B2336" t="str">
        <f>IFERROR(IF(A2336="","",VLOOKUP(A2336,CadProd!$A:$B,2,0)),"")</f>
        <v/>
      </c>
      <c r="C2336" t="str">
        <f>IFERROR(IF(A2336="","",VLOOKUP(A2336,CadProd!$A:$C,3,0)),"")</f>
        <v/>
      </c>
    </row>
    <row r="2337" spans="2:3" x14ac:dyDescent="0.3">
      <c r="B2337" t="str">
        <f>IFERROR(IF(A2337="","",VLOOKUP(A2337,CadProd!$A:$B,2,0)),"")</f>
        <v/>
      </c>
      <c r="C2337" t="str">
        <f>IFERROR(IF(A2337="","",VLOOKUP(A2337,CadProd!$A:$C,3,0)),"")</f>
        <v/>
      </c>
    </row>
    <row r="2338" spans="2:3" x14ac:dyDescent="0.3">
      <c r="B2338" t="str">
        <f>IFERROR(IF(A2338="","",VLOOKUP(A2338,CadProd!$A:$B,2,0)),"")</f>
        <v/>
      </c>
      <c r="C2338" t="str">
        <f>IFERROR(IF(A2338="","",VLOOKUP(A2338,CadProd!$A:$C,3,0)),"")</f>
        <v/>
      </c>
    </row>
    <row r="2339" spans="2:3" x14ac:dyDescent="0.3">
      <c r="B2339" t="str">
        <f>IFERROR(IF(A2339="","",VLOOKUP(A2339,CadProd!$A:$B,2,0)),"")</f>
        <v/>
      </c>
      <c r="C2339" t="str">
        <f>IFERROR(IF(A2339="","",VLOOKUP(A2339,CadProd!$A:$C,3,0)),"")</f>
        <v/>
      </c>
    </row>
    <row r="2340" spans="2:3" x14ac:dyDescent="0.3">
      <c r="B2340" t="str">
        <f>IFERROR(IF(A2340="","",VLOOKUP(A2340,CadProd!$A:$B,2,0)),"")</f>
        <v/>
      </c>
      <c r="C2340" t="str">
        <f>IFERROR(IF(A2340="","",VLOOKUP(A2340,CadProd!$A:$C,3,0)),"")</f>
        <v/>
      </c>
    </row>
    <row r="2341" spans="2:3" x14ac:dyDescent="0.3">
      <c r="B2341" t="str">
        <f>IFERROR(IF(A2341="","",VLOOKUP(A2341,CadProd!$A:$B,2,0)),"")</f>
        <v/>
      </c>
      <c r="C2341" t="str">
        <f>IFERROR(IF(A2341="","",VLOOKUP(A2341,CadProd!$A:$C,3,0)),"")</f>
        <v/>
      </c>
    </row>
    <row r="2342" spans="2:3" x14ac:dyDescent="0.3">
      <c r="B2342" t="str">
        <f>IFERROR(IF(A2342="","",VLOOKUP(A2342,CadProd!$A:$B,2,0)),"")</f>
        <v/>
      </c>
      <c r="C2342" t="str">
        <f>IFERROR(IF(A2342="","",VLOOKUP(A2342,CadProd!$A:$C,3,0)),"")</f>
        <v/>
      </c>
    </row>
    <row r="2343" spans="2:3" x14ac:dyDescent="0.3">
      <c r="B2343" t="str">
        <f>IFERROR(IF(A2343="","",VLOOKUP(A2343,CadProd!$A:$B,2,0)),"")</f>
        <v/>
      </c>
      <c r="C2343" t="str">
        <f>IFERROR(IF(A2343="","",VLOOKUP(A2343,CadProd!$A:$C,3,0)),"")</f>
        <v/>
      </c>
    </row>
    <row r="2344" spans="2:3" x14ac:dyDescent="0.3">
      <c r="B2344" t="str">
        <f>IFERROR(IF(A2344="","",VLOOKUP(A2344,CadProd!$A:$B,2,0)),"")</f>
        <v/>
      </c>
      <c r="C2344" t="str">
        <f>IFERROR(IF(A2344="","",VLOOKUP(A2344,CadProd!$A:$C,3,0)),"")</f>
        <v/>
      </c>
    </row>
    <row r="2345" spans="2:3" x14ac:dyDescent="0.3">
      <c r="B2345" t="str">
        <f>IFERROR(IF(A2345="","",VLOOKUP(A2345,CadProd!$A:$B,2,0)),"")</f>
        <v/>
      </c>
      <c r="C2345" t="str">
        <f>IFERROR(IF(A2345="","",VLOOKUP(A2345,CadProd!$A:$C,3,0)),"")</f>
        <v/>
      </c>
    </row>
    <row r="2346" spans="2:3" x14ac:dyDescent="0.3">
      <c r="B2346" t="str">
        <f>IFERROR(IF(A2346="","",VLOOKUP(A2346,CadProd!$A:$B,2,0)),"")</f>
        <v/>
      </c>
      <c r="C2346" t="str">
        <f>IFERROR(IF(A2346="","",VLOOKUP(A2346,CadProd!$A:$C,3,0)),"")</f>
        <v/>
      </c>
    </row>
    <row r="2347" spans="2:3" x14ac:dyDescent="0.3">
      <c r="B2347" t="str">
        <f>IFERROR(IF(A2347="","",VLOOKUP(A2347,CadProd!$A:$B,2,0)),"")</f>
        <v/>
      </c>
      <c r="C2347" t="str">
        <f>IFERROR(IF(A2347="","",VLOOKUP(A2347,CadProd!$A:$C,3,0)),"")</f>
        <v/>
      </c>
    </row>
    <row r="2348" spans="2:3" x14ac:dyDescent="0.3">
      <c r="B2348" t="str">
        <f>IFERROR(IF(A2348="","",VLOOKUP(A2348,CadProd!$A:$B,2,0)),"")</f>
        <v/>
      </c>
      <c r="C2348" t="str">
        <f>IFERROR(IF(A2348="","",VLOOKUP(A2348,CadProd!$A:$C,3,0)),"")</f>
        <v/>
      </c>
    </row>
    <row r="2349" spans="2:3" x14ac:dyDescent="0.3">
      <c r="B2349" t="str">
        <f>IFERROR(IF(A2349="","",VLOOKUP(A2349,CadProd!$A:$B,2,0)),"")</f>
        <v/>
      </c>
      <c r="C2349" t="str">
        <f>IFERROR(IF(A2349="","",VLOOKUP(A2349,CadProd!$A:$C,3,0)),"")</f>
        <v/>
      </c>
    </row>
    <row r="2350" spans="2:3" x14ac:dyDescent="0.3">
      <c r="B2350" t="str">
        <f>IFERROR(IF(A2350="","",VLOOKUP(A2350,CadProd!$A:$B,2,0)),"")</f>
        <v/>
      </c>
      <c r="C2350" t="str">
        <f>IFERROR(IF(A2350="","",VLOOKUP(A2350,CadProd!$A:$C,3,0)),"")</f>
        <v/>
      </c>
    </row>
    <row r="2351" spans="2:3" x14ac:dyDescent="0.3">
      <c r="B2351" t="str">
        <f>IFERROR(IF(A2351="","",VLOOKUP(A2351,CadProd!$A:$B,2,0)),"")</f>
        <v/>
      </c>
      <c r="C2351" t="str">
        <f>IFERROR(IF(A2351="","",VLOOKUP(A2351,CadProd!$A:$C,3,0)),"")</f>
        <v/>
      </c>
    </row>
    <row r="2352" spans="2:3" x14ac:dyDescent="0.3">
      <c r="B2352" t="str">
        <f>IFERROR(IF(A2352="","",VLOOKUP(A2352,CadProd!$A:$B,2,0)),"")</f>
        <v/>
      </c>
      <c r="C2352" t="str">
        <f>IFERROR(IF(A2352="","",VLOOKUP(A2352,CadProd!$A:$C,3,0)),"")</f>
        <v/>
      </c>
    </row>
    <row r="2353" spans="2:3" x14ac:dyDescent="0.3">
      <c r="B2353" t="str">
        <f>IFERROR(IF(A2353="","",VLOOKUP(A2353,CadProd!$A:$B,2,0)),"")</f>
        <v/>
      </c>
      <c r="C2353" t="str">
        <f>IFERROR(IF(A2353="","",VLOOKUP(A2353,CadProd!$A:$C,3,0)),"")</f>
        <v/>
      </c>
    </row>
    <row r="2354" spans="2:3" x14ac:dyDescent="0.3">
      <c r="B2354" t="str">
        <f>IFERROR(IF(A2354="","",VLOOKUP(A2354,CadProd!$A:$B,2,0)),"")</f>
        <v/>
      </c>
      <c r="C2354" t="str">
        <f>IFERROR(IF(A2354="","",VLOOKUP(A2354,CadProd!$A:$C,3,0)),"")</f>
        <v/>
      </c>
    </row>
    <row r="2355" spans="2:3" x14ac:dyDescent="0.3">
      <c r="B2355" t="str">
        <f>IFERROR(IF(A2355="","",VLOOKUP(A2355,CadProd!$A:$B,2,0)),"")</f>
        <v/>
      </c>
      <c r="C2355" t="str">
        <f>IFERROR(IF(A2355="","",VLOOKUP(A2355,CadProd!$A:$C,3,0)),"")</f>
        <v/>
      </c>
    </row>
    <row r="2356" spans="2:3" x14ac:dyDescent="0.3">
      <c r="B2356" t="str">
        <f>IFERROR(IF(A2356="","",VLOOKUP(A2356,CadProd!$A:$B,2,0)),"")</f>
        <v/>
      </c>
      <c r="C2356" t="str">
        <f>IFERROR(IF(A2356="","",VLOOKUP(A2356,CadProd!$A:$C,3,0)),"")</f>
        <v/>
      </c>
    </row>
    <row r="2357" spans="2:3" x14ac:dyDescent="0.3">
      <c r="B2357" t="str">
        <f>IFERROR(IF(A2357="","",VLOOKUP(A2357,CadProd!$A:$B,2,0)),"")</f>
        <v/>
      </c>
      <c r="C2357" t="str">
        <f>IFERROR(IF(A2357="","",VLOOKUP(A2357,CadProd!$A:$C,3,0)),"")</f>
        <v/>
      </c>
    </row>
    <row r="2358" spans="2:3" x14ac:dyDescent="0.3">
      <c r="B2358" t="str">
        <f>IFERROR(IF(A2358="","",VLOOKUP(A2358,CadProd!$A:$B,2,0)),"")</f>
        <v/>
      </c>
      <c r="C2358" t="str">
        <f>IFERROR(IF(A2358="","",VLOOKUP(A2358,CadProd!$A:$C,3,0)),"")</f>
        <v/>
      </c>
    </row>
    <row r="2359" spans="2:3" x14ac:dyDescent="0.3">
      <c r="B2359" t="str">
        <f>IFERROR(IF(A2359="","",VLOOKUP(A2359,CadProd!$A:$B,2,0)),"")</f>
        <v/>
      </c>
      <c r="C2359" t="str">
        <f>IFERROR(IF(A2359="","",VLOOKUP(A2359,CadProd!$A:$C,3,0)),"")</f>
        <v/>
      </c>
    </row>
    <row r="2360" spans="2:3" x14ac:dyDescent="0.3">
      <c r="B2360" t="str">
        <f>IFERROR(IF(A2360="","",VLOOKUP(A2360,CadProd!$A:$B,2,0)),"")</f>
        <v/>
      </c>
      <c r="C2360" t="str">
        <f>IFERROR(IF(A2360="","",VLOOKUP(A2360,CadProd!$A:$C,3,0)),"")</f>
        <v/>
      </c>
    </row>
    <row r="2361" spans="2:3" x14ac:dyDescent="0.3">
      <c r="B2361" t="str">
        <f>IFERROR(IF(A2361="","",VLOOKUP(A2361,CadProd!$A:$B,2,0)),"")</f>
        <v/>
      </c>
      <c r="C2361" t="str">
        <f>IFERROR(IF(A2361="","",VLOOKUP(A2361,CadProd!$A:$C,3,0)),"")</f>
        <v/>
      </c>
    </row>
    <row r="2362" spans="2:3" x14ac:dyDescent="0.3">
      <c r="B2362" t="str">
        <f>IFERROR(IF(A2362="","",VLOOKUP(A2362,CadProd!$A:$B,2,0)),"")</f>
        <v/>
      </c>
      <c r="C2362" t="str">
        <f>IFERROR(IF(A2362="","",VLOOKUP(A2362,CadProd!$A:$C,3,0)),"")</f>
        <v/>
      </c>
    </row>
    <row r="2363" spans="2:3" x14ac:dyDescent="0.3">
      <c r="B2363" t="str">
        <f>IFERROR(IF(A2363="","",VLOOKUP(A2363,CadProd!$A:$B,2,0)),"")</f>
        <v/>
      </c>
      <c r="C2363" t="str">
        <f>IFERROR(IF(A2363="","",VLOOKUP(A2363,CadProd!$A:$C,3,0)),"")</f>
        <v/>
      </c>
    </row>
    <row r="2364" spans="2:3" x14ac:dyDescent="0.3">
      <c r="B2364" t="str">
        <f>IFERROR(IF(A2364="","",VLOOKUP(A2364,CadProd!$A:$B,2,0)),"")</f>
        <v/>
      </c>
      <c r="C2364" t="str">
        <f>IFERROR(IF(A2364="","",VLOOKUP(A2364,CadProd!$A:$C,3,0)),"")</f>
        <v/>
      </c>
    </row>
    <row r="2365" spans="2:3" x14ac:dyDescent="0.3">
      <c r="B2365" t="str">
        <f>IFERROR(IF(A2365="","",VLOOKUP(A2365,CadProd!$A:$B,2,0)),"")</f>
        <v/>
      </c>
      <c r="C2365" t="str">
        <f>IFERROR(IF(A2365="","",VLOOKUP(A2365,CadProd!$A:$C,3,0)),"")</f>
        <v/>
      </c>
    </row>
    <row r="2366" spans="2:3" x14ac:dyDescent="0.3">
      <c r="B2366" t="str">
        <f>IFERROR(IF(A2366="","",VLOOKUP(A2366,CadProd!$A:$B,2,0)),"")</f>
        <v/>
      </c>
      <c r="C2366" t="str">
        <f>IFERROR(IF(A2366="","",VLOOKUP(A2366,CadProd!$A:$C,3,0)),"")</f>
        <v/>
      </c>
    </row>
    <row r="2367" spans="2:3" x14ac:dyDescent="0.3">
      <c r="B2367" t="str">
        <f>IFERROR(IF(A2367="","",VLOOKUP(A2367,CadProd!$A:$B,2,0)),"")</f>
        <v/>
      </c>
      <c r="C2367" t="str">
        <f>IFERROR(IF(A2367="","",VLOOKUP(A2367,CadProd!$A:$C,3,0)),"")</f>
        <v/>
      </c>
    </row>
    <row r="2368" spans="2:3" x14ac:dyDescent="0.3">
      <c r="B2368" t="str">
        <f>IFERROR(IF(A2368="","",VLOOKUP(A2368,CadProd!$A:$B,2,0)),"")</f>
        <v/>
      </c>
      <c r="C2368" t="str">
        <f>IFERROR(IF(A2368="","",VLOOKUP(A2368,CadProd!$A:$C,3,0)),"")</f>
        <v/>
      </c>
    </row>
    <row r="2369" spans="2:3" x14ac:dyDescent="0.3">
      <c r="B2369" t="str">
        <f>IFERROR(IF(A2369="","",VLOOKUP(A2369,CadProd!$A:$B,2,0)),"")</f>
        <v/>
      </c>
      <c r="C2369" t="str">
        <f>IFERROR(IF(A2369="","",VLOOKUP(A2369,CadProd!$A:$C,3,0)),"")</f>
        <v/>
      </c>
    </row>
    <row r="2370" spans="2:3" x14ac:dyDescent="0.3">
      <c r="B2370" t="str">
        <f>IFERROR(IF(A2370="","",VLOOKUP(A2370,CadProd!$A:$B,2,0)),"")</f>
        <v/>
      </c>
      <c r="C2370" t="str">
        <f>IFERROR(IF(A2370="","",VLOOKUP(A2370,CadProd!$A:$C,3,0)),"")</f>
        <v/>
      </c>
    </row>
    <row r="2371" spans="2:3" x14ac:dyDescent="0.3">
      <c r="B2371" t="str">
        <f>IFERROR(IF(A2371="","",VLOOKUP(A2371,CadProd!$A:$B,2,0)),"")</f>
        <v/>
      </c>
      <c r="C2371" t="str">
        <f>IFERROR(IF(A2371="","",VLOOKUP(A2371,CadProd!$A:$C,3,0)),"")</f>
        <v/>
      </c>
    </row>
    <row r="2372" spans="2:3" x14ac:dyDescent="0.3">
      <c r="B2372" t="str">
        <f>IFERROR(IF(A2372="","",VLOOKUP(A2372,CadProd!$A:$B,2,0)),"")</f>
        <v/>
      </c>
      <c r="C2372" t="str">
        <f>IFERROR(IF(A2372="","",VLOOKUP(A2372,CadProd!$A:$C,3,0)),"")</f>
        <v/>
      </c>
    </row>
    <row r="2373" spans="2:3" x14ac:dyDescent="0.3">
      <c r="B2373" t="str">
        <f>IFERROR(IF(A2373="","",VLOOKUP(A2373,CadProd!$A:$B,2,0)),"")</f>
        <v/>
      </c>
      <c r="C2373" t="str">
        <f>IFERROR(IF(A2373="","",VLOOKUP(A2373,CadProd!$A:$C,3,0)),"")</f>
        <v/>
      </c>
    </row>
    <row r="2374" spans="2:3" x14ac:dyDescent="0.3">
      <c r="B2374" t="str">
        <f>IFERROR(IF(A2374="","",VLOOKUP(A2374,CadProd!$A:$B,2,0)),"")</f>
        <v/>
      </c>
      <c r="C2374" t="str">
        <f>IFERROR(IF(A2374="","",VLOOKUP(A2374,CadProd!$A:$C,3,0)),"")</f>
        <v/>
      </c>
    </row>
    <row r="2375" spans="2:3" x14ac:dyDescent="0.3">
      <c r="B2375" t="str">
        <f>IFERROR(IF(A2375="","",VLOOKUP(A2375,CadProd!$A:$B,2,0)),"")</f>
        <v/>
      </c>
      <c r="C2375" t="str">
        <f>IFERROR(IF(A2375="","",VLOOKUP(A2375,CadProd!$A:$C,3,0)),"")</f>
        <v/>
      </c>
    </row>
    <row r="2376" spans="2:3" x14ac:dyDescent="0.3">
      <c r="B2376" t="str">
        <f>IFERROR(IF(A2376="","",VLOOKUP(A2376,CadProd!$A:$B,2,0)),"")</f>
        <v/>
      </c>
      <c r="C2376" t="str">
        <f>IFERROR(IF(A2376="","",VLOOKUP(A2376,CadProd!$A:$C,3,0)),"")</f>
        <v/>
      </c>
    </row>
    <row r="2377" spans="2:3" x14ac:dyDescent="0.3">
      <c r="B2377" t="str">
        <f>IFERROR(IF(A2377="","",VLOOKUP(A2377,CadProd!$A:$B,2,0)),"")</f>
        <v/>
      </c>
      <c r="C2377" t="str">
        <f>IFERROR(IF(A2377="","",VLOOKUP(A2377,CadProd!$A:$C,3,0)),"")</f>
        <v/>
      </c>
    </row>
    <row r="2378" spans="2:3" x14ac:dyDescent="0.3">
      <c r="B2378" t="str">
        <f>IFERROR(IF(A2378="","",VLOOKUP(A2378,CadProd!$A:$B,2,0)),"")</f>
        <v/>
      </c>
      <c r="C2378" t="str">
        <f>IFERROR(IF(A2378="","",VLOOKUP(A2378,CadProd!$A:$C,3,0)),"")</f>
        <v/>
      </c>
    </row>
    <row r="2379" spans="2:3" x14ac:dyDescent="0.3">
      <c r="B2379" t="str">
        <f>IFERROR(IF(A2379="","",VLOOKUP(A2379,CadProd!$A:$B,2,0)),"")</f>
        <v/>
      </c>
      <c r="C2379" t="str">
        <f>IFERROR(IF(A2379="","",VLOOKUP(A2379,CadProd!$A:$C,3,0)),"")</f>
        <v/>
      </c>
    </row>
    <row r="2380" spans="2:3" x14ac:dyDescent="0.3">
      <c r="B2380" t="str">
        <f>IFERROR(IF(A2380="","",VLOOKUP(A2380,CadProd!$A:$B,2,0)),"")</f>
        <v/>
      </c>
      <c r="C2380" t="str">
        <f>IFERROR(IF(A2380="","",VLOOKUP(A2380,CadProd!$A:$C,3,0)),"")</f>
        <v/>
      </c>
    </row>
    <row r="2381" spans="2:3" x14ac:dyDescent="0.3">
      <c r="B2381" t="str">
        <f>IFERROR(IF(A2381="","",VLOOKUP(A2381,CadProd!$A:$B,2,0)),"")</f>
        <v/>
      </c>
      <c r="C2381" t="str">
        <f>IFERROR(IF(A2381="","",VLOOKUP(A2381,CadProd!$A:$C,3,0)),"")</f>
        <v/>
      </c>
    </row>
    <row r="2382" spans="2:3" x14ac:dyDescent="0.3">
      <c r="B2382" t="str">
        <f>IFERROR(IF(A2382="","",VLOOKUP(A2382,CadProd!$A:$B,2,0)),"")</f>
        <v/>
      </c>
      <c r="C2382" t="str">
        <f>IFERROR(IF(A2382="","",VLOOKUP(A2382,CadProd!$A:$C,3,0)),"")</f>
        <v/>
      </c>
    </row>
    <row r="2383" spans="2:3" x14ac:dyDescent="0.3">
      <c r="B2383" t="str">
        <f>IFERROR(IF(A2383="","",VLOOKUP(A2383,CadProd!$A:$B,2,0)),"")</f>
        <v/>
      </c>
      <c r="C2383" t="str">
        <f>IFERROR(IF(A2383="","",VLOOKUP(A2383,CadProd!$A:$C,3,0)),"")</f>
        <v/>
      </c>
    </row>
    <row r="2384" spans="2:3" x14ac:dyDescent="0.3">
      <c r="B2384" t="str">
        <f>IFERROR(IF(A2384="","",VLOOKUP(A2384,CadProd!$A:$B,2,0)),"")</f>
        <v/>
      </c>
      <c r="C2384" t="str">
        <f>IFERROR(IF(A2384="","",VLOOKUP(A2384,CadProd!$A:$C,3,0)),"")</f>
        <v/>
      </c>
    </row>
    <row r="2385" spans="2:3" x14ac:dyDescent="0.3">
      <c r="B2385" t="str">
        <f>IFERROR(IF(A2385="","",VLOOKUP(A2385,CadProd!$A:$B,2,0)),"")</f>
        <v/>
      </c>
      <c r="C2385" t="str">
        <f>IFERROR(IF(A2385="","",VLOOKUP(A2385,CadProd!$A:$C,3,0)),"")</f>
        <v/>
      </c>
    </row>
    <row r="2386" spans="2:3" x14ac:dyDescent="0.3">
      <c r="B2386" t="str">
        <f>IFERROR(IF(A2386="","",VLOOKUP(A2386,CadProd!$A:$B,2,0)),"")</f>
        <v/>
      </c>
      <c r="C2386" t="str">
        <f>IFERROR(IF(A2386="","",VLOOKUP(A2386,CadProd!$A:$C,3,0)),"")</f>
        <v/>
      </c>
    </row>
    <row r="2387" spans="2:3" x14ac:dyDescent="0.3">
      <c r="B2387" t="str">
        <f>IFERROR(IF(A2387="","",VLOOKUP(A2387,CadProd!$A:$B,2,0)),"")</f>
        <v/>
      </c>
      <c r="C2387" t="str">
        <f>IFERROR(IF(A2387="","",VLOOKUP(A2387,CadProd!$A:$C,3,0)),"")</f>
        <v/>
      </c>
    </row>
    <row r="2388" spans="2:3" x14ac:dyDescent="0.3">
      <c r="B2388" t="str">
        <f>IFERROR(IF(A2388="","",VLOOKUP(A2388,CadProd!$A:$B,2,0)),"")</f>
        <v/>
      </c>
      <c r="C2388" t="str">
        <f>IFERROR(IF(A2388="","",VLOOKUP(A2388,CadProd!$A:$C,3,0)),"")</f>
        <v/>
      </c>
    </row>
    <row r="2389" spans="2:3" x14ac:dyDescent="0.3">
      <c r="B2389" t="str">
        <f>IFERROR(IF(A2389="","",VLOOKUP(A2389,CadProd!$A:$B,2,0)),"")</f>
        <v/>
      </c>
      <c r="C2389" t="str">
        <f>IFERROR(IF(A2389="","",VLOOKUP(A2389,CadProd!$A:$C,3,0)),"")</f>
        <v/>
      </c>
    </row>
    <row r="2390" spans="2:3" x14ac:dyDescent="0.3">
      <c r="B2390" t="str">
        <f>IFERROR(IF(A2390="","",VLOOKUP(A2390,CadProd!$A:$B,2,0)),"")</f>
        <v/>
      </c>
      <c r="C2390" t="str">
        <f>IFERROR(IF(A2390="","",VLOOKUP(A2390,CadProd!$A:$C,3,0)),"")</f>
        <v/>
      </c>
    </row>
    <row r="2391" spans="2:3" x14ac:dyDescent="0.3">
      <c r="B2391" t="str">
        <f>IFERROR(IF(A2391="","",VLOOKUP(A2391,CadProd!$A:$B,2,0)),"")</f>
        <v/>
      </c>
      <c r="C2391" t="str">
        <f>IFERROR(IF(A2391="","",VLOOKUP(A2391,CadProd!$A:$C,3,0)),"")</f>
        <v/>
      </c>
    </row>
    <row r="2392" spans="2:3" x14ac:dyDescent="0.3">
      <c r="B2392" t="str">
        <f>IFERROR(IF(A2392="","",VLOOKUP(A2392,CadProd!$A:$B,2,0)),"")</f>
        <v/>
      </c>
      <c r="C2392" t="str">
        <f>IFERROR(IF(A2392="","",VLOOKUP(A2392,CadProd!$A:$C,3,0)),"")</f>
        <v/>
      </c>
    </row>
    <row r="2393" spans="2:3" x14ac:dyDescent="0.3">
      <c r="B2393" t="str">
        <f>IFERROR(IF(A2393="","",VLOOKUP(A2393,CadProd!$A:$B,2,0)),"")</f>
        <v/>
      </c>
      <c r="C2393" t="str">
        <f>IFERROR(IF(A2393="","",VLOOKUP(A2393,CadProd!$A:$C,3,0)),"")</f>
        <v/>
      </c>
    </row>
    <row r="2394" spans="2:3" x14ac:dyDescent="0.3">
      <c r="B2394" t="str">
        <f>IFERROR(IF(A2394="","",VLOOKUP(A2394,CadProd!$A:$B,2,0)),"")</f>
        <v/>
      </c>
      <c r="C2394" t="str">
        <f>IFERROR(IF(A2394="","",VLOOKUP(A2394,CadProd!$A:$C,3,0)),"")</f>
        <v/>
      </c>
    </row>
    <row r="2395" spans="2:3" x14ac:dyDescent="0.3">
      <c r="B2395" t="str">
        <f>IFERROR(IF(A2395="","",VLOOKUP(A2395,CadProd!$A:$B,2,0)),"")</f>
        <v/>
      </c>
      <c r="C2395" t="str">
        <f>IFERROR(IF(A2395="","",VLOOKUP(A2395,CadProd!$A:$C,3,0)),"")</f>
        <v/>
      </c>
    </row>
    <row r="2396" spans="2:3" x14ac:dyDescent="0.3">
      <c r="B2396" t="str">
        <f>IFERROR(IF(A2396="","",VLOOKUP(A2396,CadProd!$A:$B,2,0)),"")</f>
        <v/>
      </c>
      <c r="C2396" t="str">
        <f>IFERROR(IF(A2396="","",VLOOKUP(A2396,CadProd!$A:$C,3,0)),"")</f>
        <v/>
      </c>
    </row>
    <row r="2397" spans="2:3" x14ac:dyDescent="0.3">
      <c r="B2397" t="str">
        <f>IFERROR(IF(A2397="","",VLOOKUP(A2397,CadProd!$A:$B,2,0)),"")</f>
        <v/>
      </c>
      <c r="C2397" t="str">
        <f>IFERROR(IF(A2397="","",VLOOKUP(A2397,CadProd!$A:$C,3,0)),"")</f>
        <v/>
      </c>
    </row>
    <row r="2398" spans="2:3" x14ac:dyDescent="0.3">
      <c r="B2398" t="str">
        <f>IFERROR(IF(A2398="","",VLOOKUP(A2398,CadProd!$A:$B,2,0)),"")</f>
        <v/>
      </c>
      <c r="C2398" t="str">
        <f>IFERROR(IF(A2398="","",VLOOKUP(A2398,CadProd!$A:$C,3,0)),"")</f>
        <v/>
      </c>
    </row>
    <row r="2399" spans="2:3" x14ac:dyDescent="0.3">
      <c r="B2399" t="str">
        <f>IFERROR(IF(A2399="","",VLOOKUP(A2399,CadProd!$A:$B,2,0)),"")</f>
        <v/>
      </c>
      <c r="C2399" t="str">
        <f>IFERROR(IF(A2399="","",VLOOKUP(A2399,CadProd!$A:$C,3,0)),"")</f>
        <v/>
      </c>
    </row>
    <row r="2400" spans="2:3" x14ac:dyDescent="0.3">
      <c r="B2400" t="str">
        <f>IFERROR(IF(A2400="","",VLOOKUP(A2400,CadProd!$A:$B,2,0)),"")</f>
        <v/>
      </c>
      <c r="C2400" t="str">
        <f>IFERROR(IF(A2400="","",VLOOKUP(A2400,CadProd!$A:$C,3,0)),"")</f>
        <v/>
      </c>
    </row>
    <row r="2401" spans="2:3" x14ac:dyDescent="0.3">
      <c r="B2401" t="str">
        <f>IFERROR(IF(A2401="","",VLOOKUP(A2401,CadProd!$A:$B,2,0)),"")</f>
        <v/>
      </c>
      <c r="C2401" t="str">
        <f>IFERROR(IF(A2401="","",VLOOKUP(A2401,CadProd!$A:$C,3,0)),"")</f>
        <v/>
      </c>
    </row>
    <row r="2402" spans="2:3" x14ac:dyDescent="0.3">
      <c r="B2402" t="str">
        <f>IFERROR(IF(A2402="","",VLOOKUP(A2402,CadProd!$A:$B,2,0)),"")</f>
        <v/>
      </c>
      <c r="C2402" t="str">
        <f>IFERROR(IF(A2402="","",VLOOKUP(A2402,CadProd!$A:$C,3,0)),"")</f>
        <v/>
      </c>
    </row>
    <row r="2403" spans="2:3" x14ac:dyDescent="0.3">
      <c r="B2403" t="str">
        <f>IFERROR(IF(A2403="","",VLOOKUP(A2403,CadProd!$A:$B,2,0)),"")</f>
        <v/>
      </c>
      <c r="C2403" t="str">
        <f>IFERROR(IF(A2403="","",VLOOKUP(A2403,CadProd!$A:$C,3,0)),"")</f>
        <v/>
      </c>
    </row>
    <row r="2404" spans="2:3" x14ac:dyDescent="0.3">
      <c r="B2404" t="str">
        <f>IFERROR(IF(A2404="","",VLOOKUP(A2404,CadProd!$A:$B,2,0)),"")</f>
        <v/>
      </c>
      <c r="C2404" t="str">
        <f>IFERROR(IF(A2404="","",VLOOKUP(A2404,CadProd!$A:$C,3,0)),"")</f>
        <v/>
      </c>
    </row>
    <row r="2405" spans="2:3" x14ac:dyDescent="0.3">
      <c r="B2405" t="str">
        <f>IFERROR(IF(A2405="","",VLOOKUP(A2405,CadProd!$A:$B,2,0)),"")</f>
        <v/>
      </c>
      <c r="C2405" t="str">
        <f>IFERROR(IF(A2405="","",VLOOKUP(A2405,CadProd!$A:$C,3,0)),"")</f>
        <v/>
      </c>
    </row>
    <row r="2406" spans="2:3" x14ac:dyDescent="0.3">
      <c r="B2406" t="str">
        <f>IFERROR(IF(A2406="","",VLOOKUP(A2406,CadProd!$A:$B,2,0)),"")</f>
        <v/>
      </c>
      <c r="C2406" t="str">
        <f>IFERROR(IF(A2406="","",VLOOKUP(A2406,CadProd!$A:$C,3,0)),"")</f>
        <v/>
      </c>
    </row>
    <row r="2407" spans="2:3" x14ac:dyDescent="0.3">
      <c r="B2407" t="str">
        <f>IFERROR(IF(A2407="","",VLOOKUP(A2407,CadProd!$A:$B,2,0)),"")</f>
        <v/>
      </c>
      <c r="C2407" t="str">
        <f>IFERROR(IF(A2407="","",VLOOKUP(A2407,CadProd!$A:$C,3,0)),"")</f>
        <v/>
      </c>
    </row>
    <row r="2408" spans="2:3" x14ac:dyDescent="0.3">
      <c r="B2408" t="str">
        <f>IFERROR(IF(A2408="","",VLOOKUP(A2408,CadProd!$A:$B,2,0)),"")</f>
        <v/>
      </c>
      <c r="C2408" t="str">
        <f>IFERROR(IF(A2408="","",VLOOKUP(A2408,CadProd!$A:$C,3,0)),"")</f>
        <v/>
      </c>
    </row>
    <row r="2409" spans="2:3" x14ac:dyDescent="0.3">
      <c r="B2409" t="str">
        <f>IFERROR(IF(A2409="","",VLOOKUP(A2409,CadProd!$A:$B,2,0)),"")</f>
        <v/>
      </c>
      <c r="C2409" t="str">
        <f>IFERROR(IF(A2409="","",VLOOKUP(A2409,CadProd!$A:$C,3,0)),"")</f>
        <v/>
      </c>
    </row>
    <row r="2410" spans="2:3" x14ac:dyDescent="0.3">
      <c r="B2410" t="str">
        <f>IFERROR(IF(A2410="","",VLOOKUP(A2410,CadProd!$A:$B,2,0)),"")</f>
        <v/>
      </c>
      <c r="C2410" t="str">
        <f>IFERROR(IF(A2410="","",VLOOKUP(A2410,CadProd!$A:$C,3,0)),"")</f>
        <v/>
      </c>
    </row>
    <row r="2411" spans="2:3" x14ac:dyDescent="0.3">
      <c r="B2411" t="str">
        <f>IFERROR(IF(A2411="","",VLOOKUP(A2411,CadProd!$A:$B,2,0)),"")</f>
        <v/>
      </c>
      <c r="C2411" t="str">
        <f>IFERROR(IF(A2411="","",VLOOKUP(A2411,CadProd!$A:$C,3,0)),"")</f>
        <v/>
      </c>
    </row>
    <row r="2412" spans="2:3" x14ac:dyDescent="0.3">
      <c r="B2412" t="str">
        <f>IFERROR(IF(A2412="","",VLOOKUP(A2412,CadProd!$A:$B,2,0)),"")</f>
        <v/>
      </c>
      <c r="C2412" t="str">
        <f>IFERROR(IF(A2412="","",VLOOKUP(A2412,CadProd!$A:$C,3,0)),"")</f>
        <v/>
      </c>
    </row>
    <row r="2413" spans="2:3" x14ac:dyDescent="0.3">
      <c r="B2413" t="str">
        <f>IFERROR(IF(A2413="","",VLOOKUP(A2413,CadProd!$A:$B,2,0)),"")</f>
        <v/>
      </c>
      <c r="C2413" t="str">
        <f>IFERROR(IF(A2413="","",VLOOKUP(A2413,CadProd!$A:$C,3,0)),"")</f>
        <v/>
      </c>
    </row>
    <row r="2414" spans="2:3" x14ac:dyDescent="0.3">
      <c r="B2414" t="str">
        <f>IFERROR(IF(A2414="","",VLOOKUP(A2414,CadProd!$A:$B,2,0)),"")</f>
        <v/>
      </c>
      <c r="C2414" t="str">
        <f>IFERROR(IF(A2414="","",VLOOKUP(A2414,CadProd!$A:$C,3,0)),"")</f>
        <v/>
      </c>
    </row>
    <row r="2415" spans="2:3" x14ac:dyDescent="0.3">
      <c r="B2415" t="str">
        <f>IFERROR(IF(A2415="","",VLOOKUP(A2415,CadProd!$A:$B,2,0)),"")</f>
        <v/>
      </c>
      <c r="C2415" t="str">
        <f>IFERROR(IF(A2415="","",VLOOKUP(A2415,CadProd!$A:$C,3,0)),"")</f>
        <v/>
      </c>
    </row>
    <row r="2416" spans="2:3" x14ac:dyDescent="0.3">
      <c r="B2416" t="str">
        <f>IFERROR(IF(A2416="","",VLOOKUP(A2416,CadProd!$A:$B,2,0)),"")</f>
        <v/>
      </c>
      <c r="C2416" t="str">
        <f>IFERROR(IF(A2416="","",VLOOKUP(A2416,CadProd!$A:$C,3,0)),"")</f>
        <v/>
      </c>
    </row>
    <row r="2417" spans="2:3" x14ac:dyDescent="0.3">
      <c r="B2417" t="str">
        <f>IFERROR(IF(A2417="","",VLOOKUP(A2417,CadProd!$A:$B,2,0)),"")</f>
        <v/>
      </c>
      <c r="C2417" t="str">
        <f>IFERROR(IF(A2417="","",VLOOKUP(A2417,CadProd!$A:$C,3,0)),"")</f>
        <v/>
      </c>
    </row>
    <row r="2418" spans="2:3" x14ac:dyDescent="0.3">
      <c r="B2418" t="str">
        <f>IFERROR(IF(A2418="","",VLOOKUP(A2418,CadProd!$A:$B,2,0)),"")</f>
        <v/>
      </c>
      <c r="C2418" t="str">
        <f>IFERROR(IF(A2418="","",VLOOKUP(A2418,CadProd!$A:$C,3,0)),"")</f>
        <v/>
      </c>
    </row>
    <row r="2419" spans="2:3" x14ac:dyDescent="0.3">
      <c r="B2419" t="str">
        <f>IFERROR(IF(A2419="","",VLOOKUP(A2419,CadProd!$A:$B,2,0)),"")</f>
        <v/>
      </c>
      <c r="C2419" t="str">
        <f>IFERROR(IF(A2419="","",VLOOKUP(A2419,CadProd!$A:$C,3,0)),"")</f>
        <v/>
      </c>
    </row>
    <row r="2420" spans="2:3" x14ac:dyDescent="0.3">
      <c r="B2420" t="str">
        <f>IFERROR(IF(A2420="","",VLOOKUP(A2420,CadProd!$A:$B,2,0)),"")</f>
        <v/>
      </c>
      <c r="C2420" t="str">
        <f>IFERROR(IF(A2420="","",VLOOKUP(A2420,CadProd!$A:$C,3,0)),"")</f>
        <v/>
      </c>
    </row>
    <row r="2421" spans="2:3" x14ac:dyDescent="0.3">
      <c r="B2421" t="str">
        <f>IFERROR(IF(A2421="","",VLOOKUP(A2421,CadProd!$A:$B,2,0)),"")</f>
        <v/>
      </c>
      <c r="C2421" t="str">
        <f>IFERROR(IF(A2421="","",VLOOKUP(A2421,CadProd!$A:$C,3,0)),"")</f>
        <v/>
      </c>
    </row>
    <row r="2422" spans="2:3" x14ac:dyDescent="0.3">
      <c r="B2422" t="str">
        <f>IFERROR(IF(A2422="","",VLOOKUP(A2422,CadProd!$A:$B,2,0)),"")</f>
        <v/>
      </c>
      <c r="C2422" t="str">
        <f>IFERROR(IF(A2422="","",VLOOKUP(A2422,CadProd!$A:$C,3,0)),"")</f>
        <v/>
      </c>
    </row>
    <row r="2423" spans="2:3" x14ac:dyDescent="0.3">
      <c r="B2423" t="str">
        <f>IFERROR(IF(A2423="","",VLOOKUP(A2423,CadProd!$A:$B,2,0)),"")</f>
        <v/>
      </c>
      <c r="C2423" t="str">
        <f>IFERROR(IF(A2423="","",VLOOKUP(A2423,CadProd!$A:$C,3,0)),"")</f>
        <v/>
      </c>
    </row>
    <row r="2424" spans="2:3" x14ac:dyDescent="0.3">
      <c r="B2424" t="str">
        <f>IFERROR(IF(A2424="","",VLOOKUP(A2424,CadProd!$A:$B,2,0)),"")</f>
        <v/>
      </c>
      <c r="C2424" t="str">
        <f>IFERROR(IF(A2424="","",VLOOKUP(A2424,CadProd!$A:$C,3,0)),"")</f>
        <v/>
      </c>
    </row>
    <row r="2425" spans="2:3" x14ac:dyDescent="0.3">
      <c r="B2425" t="str">
        <f>IFERROR(IF(A2425="","",VLOOKUP(A2425,CadProd!$A:$B,2,0)),"")</f>
        <v/>
      </c>
      <c r="C2425" t="str">
        <f>IFERROR(IF(A2425="","",VLOOKUP(A2425,CadProd!$A:$C,3,0)),"")</f>
        <v/>
      </c>
    </row>
    <row r="2426" spans="2:3" x14ac:dyDescent="0.3">
      <c r="B2426" t="str">
        <f>IFERROR(IF(A2426="","",VLOOKUP(A2426,CadProd!$A:$B,2,0)),"")</f>
        <v/>
      </c>
      <c r="C2426" t="str">
        <f>IFERROR(IF(A2426="","",VLOOKUP(A2426,CadProd!$A:$C,3,0)),"")</f>
        <v/>
      </c>
    </row>
    <row r="2427" spans="2:3" x14ac:dyDescent="0.3">
      <c r="B2427" t="str">
        <f>IFERROR(IF(A2427="","",VLOOKUP(A2427,CadProd!$A:$B,2,0)),"")</f>
        <v/>
      </c>
      <c r="C2427" t="str">
        <f>IFERROR(IF(A2427="","",VLOOKUP(A2427,CadProd!$A:$C,3,0)),"")</f>
        <v/>
      </c>
    </row>
    <row r="2428" spans="2:3" x14ac:dyDescent="0.3">
      <c r="B2428" t="str">
        <f>IFERROR(IF(A2428="","",VLOOKUP(A2428,CadProd!$A:$B,2,0)),"")</f>
        <v/>
      </c>
      <c r="C2428" t="str">
        <f>IFERROR(IF(A2428="","",VLOOKUP(A2428,CadProd!$A:$C,3,0)),"")</f>
        <v/>
      </c>
    </row>
    <row r="2429" spans="2:3" x14ac:dyDescent="0.3">
      <c r="B2429" t="str">
        <f>IFERROR(IF(A2429="","",VLOOKUP(A2429,CadProd!$A:$B,2,0)),"")</f>
        <v/>
      </c>
      <c r="C2429" t="str">
        <f>IFERROR(IF(A2429="","",VLOOKUP(A2429,CadProd!$A:$C,3,0)),"")</f>
        <v/>
      </c>
    </row>
    <row r="2430" spans="2:3" x14ac:dyDescent="0.3">
      <c r="B2430" t="str">
        <f>IFERROR(IF(A2430="","",VLOOKUP(A2430,CadProd!$A:$B,2,0)),"")</f>
        <v/>
      </c>
      <c r="C2430" t="str">
        <f>IFERROR(IF(A2430="","",VLOOKUP(A2430,CadProd!$A:$C,3,0)),"")</f>
        <v/>
      </c>
    </row>
    <row r="2431" spans="2:3" x14ac:dyDescent="0.3">
      <c r="B2431" t="str">
        <f>IFERROR(IF(A2431="","",VLOOKUP(A2431,CadProd!$A:$B,2,0)),"")</f>
        <v/>
      </c>
      <c r="C2431" t="str">
        <f>IFERROR(IF(A2431="","",VLOOKUP(A2431,CadProd!$A:$C,3,0)),"")</f>
        <v/>
      </c>
    </row>
    <row r="2432" spans="2:3" x14ac:dyDescent="0.3">
      <c r="B2432" t="str">
        <f>IFERROR(IF(A2432="","",VLOOKUP(A2432,CadProd!$A:$B,2,0)),"")</f>
        <v/>
      </c>
      <c r="C2432" t="str">
        <f>IFERROR(IF(A2432="","",VLOOKUP(A2432,CadProd!$A:$C,3,0)),"")</f>
        <v/>
      </c>
    </row>
    <row r="2433" spans="2:3" x14ac:dyDescent="0.3">
      <c r="B2433" t="str">
        <f>IFERROR(IF(A2433="","",VLOOKUP(A2433,CadProd!$A:$B,2,0)),"")</f>
        <v/>
      </c>
      <c r="C2433" t="str">
        <f>IFERROR(IF(A2433="","",VLOOKUP(A2433,CadProd!$A:$C,3,0)),"")</f>
        <v/>
      </c>
    </row>
    <row r="2434" spans="2:3" x14ac:dyDescent="0.3">
      <c r="B2434" t="str">
        <f>IFERROR(IF(A2434="","",VLOOKUP(A2434,CadProd!$A:$B,2,0)),"")</f>
        <v/>
      </c>
      <c r="C2434" t="str">
        <f>IFERROR(IF(A2434="","",VLOOKUP(A2434,CadProd!$A:$C,3,0)),"")</f>
        <v/>
      </c>
    </row>
    <row r="2435" spans="2:3" x14ac:dyDescent="0.3">
      <c r="B2435" t="str">
        <f>IFERROR(IF(A2435="","",VLOOKUP(A2435,CadProd!$A:$B,2,0)),"")</f>
        <v/>
      </c>
      <c r="C2435" t="str">
        <f>IFERROR(IF(A2435="","",VLOOKUP(A2435,CadProd!$A:$C,3,0)),"")</f>
        <v/>
      </c>
    </row>
    <row r="2436" spans="2:3" x14ac:dyDescent="0.3">
      <c r="B2436" t="str">
        <f>IFERROR(IF(A2436="","",VLOOKUP(A2436,CadProd!$A:$B,2,0)),"")</f>
        <v/>
      </c>
      <c r="C2436" t="str">
        <f>IFERROR(IF(A2436="","",VLOOKUP(A2436,CadProd!$A:$C,3,0)),"")</f>
        <v/>
      </c>
    </row>
    <row r="2437" spans="2:3" x14ac:dyDescent="0.3">
      <c r="B2437" t="str">
        <f>IFERROR(IF(A2437="","",VLOOKUP(A2437,CadProd!$A:$B,2,0)),"")</f>
        <v/>
      </c>
      <c r="C2437" t="str">
        <f>IFERROR(IF(A2437="","",VLOOKUP(A2437,CadProd!$A:$C,3,0)),"")</f>
        <v/>
      </c>
    </row>
    <row r="2438" spans="2:3" x14ac:dyDescent="0.3">
      <c r="B2438" t="str">
        <f>IFERROR(IF(A2438="","",VLOOKUP(A2438,CadProd!$A:$B,2,0)),"")</f>
        <v/>
      </c>
      <c r="C2438" t="str">
        <f>IFERROR(IF(A2438="","",VLOOKUP(A2438,CadProd!$A:$C,3,0)),"")</f>
        <v/>
      </c>
    </row>
    <row r="2439" spans="2:3" x14ac:dyDescent="0.3">
      <c r="B2439" t="str">
        <f>IFERROR(IF(A2439="","",VLOOKUP(A2439,CadProd!$A:$B,2,0)),"")</f>
        <v/>
      </c>
      <c r="C2439" t="str">
        <f>IFERROR(IF(A2439="","",VLOOKUP(A2439,CadProd!$A:$C,3,0)),"")</f>
        <v/>
      </c>
    </row>
    <row r="2440" spans="2:3" x14ac:dyDescent="0.3">
      <c r="B2440" t="str">
        <f>IFERROR(IF(A2440="","",VLOOKUP(A2440,CadProd!$A:$B,2,0)),"")</f>
        <v/>
      </c>
      <c r="C2440" t="str">
        <f>IFERROR(IF(A2440="","",VLOOKUP(A2440,CadProd!$A:$C,3,0)),"")</f>
        <v/>
      </c>
    </row>
    <row r="2441" spans="2:3" x14ac:dyDescent="0.3">
      <c r="B2441" t="str">
        <f>IFERROR(IF(A2441="","",VLOOKUP(A2441,CadProd!$A:$B,2,0)),"")</f>
        <v/>
      </c>
      <c r="C2441" t="str">
        <f>IFERROR(IF(A2441="","",VLOOKUP(A2441,CadProd!$A:$C,3,0)),"")</f>
        <v/>
      </c>
    </row>
    <row r="2442" spans="2:3" x14ac:dyDescent="0.3">
      <c r="B2442" t="str">
        <f>IFERROR(IF(A2442="","",VLOOKUP(A2442,CadProd!$A:$B,2,0)),"")</f>
        <v/>
      </c>
      <c r="C2442" t="str">
        <f>IFERROR(IF(A2442="","",VLOOKUP(A2442,CadProd!$A:$C,3,0)),"")</f>
        <v/>
      </c>
    </row>
    <row r="2443" spans="2:3" x14ac:dyDescent="0.3">
      <c r="B2443" t="str">
        <f>IFERROR(IF(A2443="","",VLOOKUP(A2443,CadProd!$A:$B,2,0)),"")</f>
        <v/>
      </c>
      <c r="C2443" t="str">
        <f>IFERROR(IF(A2443="","",VLOOKUP(A2443,CadProd!$A:$C,3,0)),"")</f>
        <v/>
      </c>
    </row>
    <row r="2444" spans="2:3" x14ac:dyDescent="0.3">
      <c r="B2444" t="str">
        <f>IFERROR(IF(A2444="","",VLOOKUP(A2444,CadProd!$A:$B,2,0)),"")</f>
        <v/>
      </c>
      <c r="C2444" t="str">
        <f>IFERROR(IF(A2444="","",VLOOKUP(A2444,CadProd!$A:$C,3,0)),"")</f>
        <v/>
      </c>
    </row>
    <row r="2445" spans="2:3" x14ac:dyDescent="0.3">
      <c r="B2445" t="str">
        <f>IFERROR(IF(A2445="","",VLOOKUP(A2445,CadProd!$A:$B,2,0)),"")</f>
        <v/>
      </c>
      <c r="C2445" t="str">
        <f>IFERROR(IF(A2445="","",VLOOKUP(A2445,CadProd!$A:$C,3,0)),"")</f>
        <v/>
      </c>
    </row>
    <row r="2446" spans="2:3" x14ac:dyDescent="0.3">
      <c r="B2446" t="str">
        <f>IFERROR(IF(A2446="","",VLOOKUP(A2446,CadProd!$A:$B,2,0)),"")</f>
        <v/>
      </c>
      <c r="C2446" t="str">
        <f>IFERROR(IF(A2446="","",VLOOKUP(A2446,CadProd!$A:$C,3,0)),"")</f>
        <v/>
      </c>
    </row>
    <row r="2447" spans="2:3" x14ac:dyDescent="0.3">
      <c r="B2447" t="str">
        <f>IFERROR(IF(A2447="","",VLOOKUP(A2447,CadProd!$A:$B,2,0)),"")</f>
        <v/>
      </c>
      <c r="C2447" t="str">
        <f>IFERROR(IF(A2447="","",VLOOKUP(A2447,CadProd!$A:$C,3,0)),"")</f>
        <v/>
      </c>
    </row>
    <row r="2448" spans="2:3" x14ac:dyDescent="0.3">
      <c r="B2448" t="str">
        <f>IFERROR(IF(A2448="","",VLOOKUP(A2448,CadProd!$A:$B,2,0)),"")</f>
        <v/>
      </c>
      <c r="C2448" t="str">
        <f>IFERROR(IF(A2448="","",VLOOKUP(A2448,CadProd!$A:$C,3,0)),"")</f>
        <v/>
      </c>
    </row>
    <row r="2449" spans="2:3" x14ac:dyDescent="0.3">
      <c r="B2449" t="str">
        <f>IFERROR(IF(A2449="","",VLOOKUP(A2449,CadProd!$A:$B,2,0)),"")</f>
        <v/>
      </c>
      <c r="C2449" t="str">
        <f>IFERROR(IF(A2449="","",VLOOKUP(A2449,CadProd!$A:$C,3,0)),"")</f>
        <v/>
      </c>
    </row>
    <row r="2450" spans="2:3" x14ac:dyDescent="0.3">
      <c r="B2450" t="str">
        <f>IFERROR(IF(A2450="","",VLOOKUP(A2450,CadProd!$A:$B,2,0)),"")</f>
        <v/>
      </c>
      <c r="C2450" t="str">
        <f>IFERROR(IF(A2450="","",VLOOKUP(A2450,CadProd!$A:$C,3,0)),"")</f>
        <v/>
      </c>
    </row>
    <row r="2451" spans="2:3" x14ac:dyDescent="0.3">
      <c r="B2451" t="str">
        <f>IFERROR(IF(A2451="","",VLOOKUP(A2451,CadProd!$A:$B,2,0)),"")</f>
        <v/>
      </c>
      <c r="C2451" t="str">
        <f>IFERROR(IF(A2451="","",VLOOKUP(A2451,CadProd!$A:$C,3,0)),"")</f>
        <v/>
      </c>
    </row>
    <row r="2452" spans="2:3" x14ac:dyDescent="0.3">
      <c r="B2452" t="str">
        <f>IFERROR(IF(A2452="","",VLOOKUP(A2452,CadProd!$A:$B,2,0)),"")</f>
        <v/>
      </c>
      <c r="C2452" t="str">
        <f>IFERROR(IF(A2452="","",VLOOKUP(A2452,CadProd!$A:$C,3,0)),"")</f>
        <v/>
      </c>
    </row>
    <row r="2453" spans="2:3" x14ac:dyDescent="0.3">
      <c r="B2453" t="str">
        <f>IFERROR(IF(A2453="","",VLOOKUP(A2453,CadProd!$A:$B,2,0)),"")</f>
        <v/>
      </c>
      <c r="C2453" t="str">
        <f>IFERROR(IF(A2453="","",VLOOKUP(A2453,CadProd!$A:$C,3,0)),"")</f>
        <v/>
      </c>
    </row>
    <row r="2454" spans="2:3" x14ac:dyDescent="0.3">
      <c r="B2454" t="str">
        <f>IFERROR(IF(A2454="","",VLOOKUP(A2454,CadProd!$A:$B,2,0)),"")</f>
        <v/>
      </c>
      <c r="C2454" t="str">
        <f>IFERROR(IF(A2454="","",VLOOKUP(A2454,CadProd!$A:$C,3,0)),"")</f>
        <v/>
      </c>
    </row>
    <row r="2455" spans="2:3" x14ac:dyDescent="0.3">
      <c r="B2455" t="str">
        <f>IFERROR(IF(A2455="","",VLOOKUP(A2455,CadProd!$A:$B,2,0)),"")</f>
        <v/>
      </c>
      <c r="C2455" t="str">
        <f>IFERROR(IF(A2455="","",VLOOKUP(A2455,CadProd!$A:$C,3,0)),"")</f>
        <v/>
      </c>
    </row>
    <row r="2456" spans="2:3" x14ac:dyDescent="0.3">
      <c r="B2456" t="str">
        <f>IFERROR(IF(A2456="","",VLOOKUP(A2456,CadProd!$A:$B,2,0)),"")</f>
        <v/>
      </c>
      <c r="C2456" t="str">
        <f>IFERROR(IF(A2456="","",VLOOKUP(A2456,CadProd!$A:$C,3,0)),"")</f>
        <v/>
      </c>
    </row>
    <row r="2457" spans="2:3" x14ac:dyDescent="0.3">
      <c r="B2457" t="str">
        <f>IFERROR(IF(A2457="","",VLOOKUP(A2457,CadProd!$A:$B,2,0)),"")</f>
        <v/>
      </c>
      <c r="C2457" t="str">
        <f>IFERROR(IF(A2457="","",VLOOKUP(A2457,CadProd!$A:$C,3,0)),"")</f>
        <v/>
      </c>
    </row>
    <row r="2458" spans="2:3" x14ac:dyDescent="0.3">
      <c r="B2458" t="str">
        <f>IFERROR(IF(A2458="","",VLOOKUP(A2458,CadProd!$A:$B,2,0)),"")</f>
        <v/>
      </c>
      <c r="C2458" t="str">
        <f>IFERROR(IF(A2458="","",VLOOKUP(A2458,CadProd!$A:$C,3,0)),"")</f>
        <v/>
      </c>
    </row>
    <row r="2459" spans="2:3" x14ac:dyDescent="0.3">
      <c r="B2459" t="str">
        <f>IFERROR(IF(A2459="","",VLOOKUP(A2459,CadProd!$A:$B,2,0)),"")</f>
        <v/>
      </c>
      <c r="C2459" t="str">
        <f>IFERROR(IF(A2459="","",VLOOKUP(A2459,CadProd!$A:$C,3,0)),"")</f>
        <v/>
      </c>
    </row>
    <row r="2460" spans="2:3" x14ac:dyDescent="0.3">
      <c r="B2460" t="str">
        <f>IFERROR(IF(A2460="","",VLOOKUP(A2460,CadProd!$A:$B,2,0)),"")</f>
        <v/>
      </c>
      <c r="C2460" t="str">
        <f>IFERROR(IF(A2460="","",VLOOKUP(A2460,CadProd!$A:$C,3,0)),"")</f>
        <v/>
      </c>
    </row>
    <row r="2461" spans="2:3" x14ac:dyDescent="0.3">
      <c r="B2461" t="str">
        <f>IFERROR(IF(A2461="","",VLOOKUP(A2461,CadProd!$A:$B,2,0)),"")</f>
        <v/>
      </c>
      <c r="C2461" t="str">
        <f>IFERROR(IF(A2461="","",VLOOKUP(A2461,CadProd!$A:$C,3,0)),"")</f>
        <v/>
      </c>
    </row>
    <row r="2462" spans="2:3" x14ac:dyDescent="0.3">
      <c r="B2462" t="str">
        <f>IFERROR(IF(A2462="","",VLOOKUP(A2462,CadProd!$A:$B,2,0)),"")</f>
        <v/>
      </c>
      <c r="C2462" t="str">
        <f>IFERROR(IF(A2462="","",VLOOKUP(A2462,CadProd!$A:$C,3,0)),"")</f>
        <v/>
      </c>
    </row>
    <row r="2463" spans="2:3" x14ac:dyDescent="0.3">
      <c r="B2463" t="str">
        <f>IFERROR(IF(A2463="","",VLOOKUP(A2463,CadProd!$A:$B,2,0)),"")</f>
        <v/>
      </c>
      <c r="C2463" t="str">
        <f>IFERROR(IF(A2463="","",VLOOKUP(A2463,CadProd!$A:$C,3,0)),"")</f>
        <v/>
      </c>
    </row>
    <row r="2464" spans="2:3" x14ac:dyDescent="0.3">
      <c r="B2464" t="str">
        <f>IFERROR(IF(A2464="","",VLOOKUP(A2464,CadProd!$A:$B,2,0)),"")</f>
        <v/>
      </c>
      <c r="C2464" t="str">
        <f>IFERROR(IF(A2464="","",VLOOKUP(A2464,CadProd!$A:$C,3,0)),"")</f>
        <v/>
      </c>
    </row>
    <row r="2465" spans="2:3" x14ac:dyDescent="0.3">
      <c r="B2465" t="str">
        <f>IFERROR(IF(A2465="","",VLOOKUP(A2465,CadProd!$A:$B,2,0)),"")</f>
        <v/>
      </c>
      <c r="C2465" t="str">
        <f>IFERROR(IF(A2465="","",VLOOKUP(A2465,CadProd!$A:$C,3,0)),"")</f>
        <v/>
      </c>
    </row>
    <row r="2466" spans="2:3" x14ac:dyDescent="0.3">
      <c r="B2466" t="str">
        <f>IFERROR(IF(A2466="","",VLOOKUP(A2466,CadProd!$A:$B,2,0)),"")</f>
        <v/>
      </c>
      <c r="C2466" t="str">
        <f>IFERROR(IF(A2466="","",VLOOKUP(A2466,CadProd!$A:$C,3,0)),"")</f>
        <v/>
      </c>
    </row>
    <row r="2467" spans="2:3" x14ac:dyDescent="0.3">
      <c r="B2467" t="str">
        <f>IFERROR(IF(A2467="","",VLOOKUP(A2467,CadProd!$A:$B,2,0)),"")</f>
        <v/>
      </c>
      <c r="C2467" t="str">
        <f>IFERROR(IF(A2467="","",VLOOKUP(A2467,CadProd!$A:$C,3,0)),"")</f>
        <v/>
      </c>
    </row>
    <row r="2468" spans="2:3" x14ac:dyDescent="0.3">
      <c r="B2468" t="str">
        <f>IFERROR(IF(A2468="","",VLOOKUP(A2468,CadProd!$A:$B,2,0)),"")</f>
        <v/>
      </c>
      <c r="C2468" t="str">
        <f>IFERROR(IF(A2468="","",VLOOKUP(A2468,CadProd!$A:$C,3,0)),"")</f>
        <v/>
      </c>
    </row>
    <row r="2469" spans="2:3" x14ac:dyDescent="0.3">
      <c r="B2469" t="str">
        <f>IFERROR(IF(A2469="","",VLOOKUP(A2469,CadProd!$A:$B,2,0)),"")</f>
        <v/>
      </c>
      <c r="C2469" t="str">
        <f>IFERROR(IF(A2469="","",VLOOKUP(A2469,CadProd!$A:$C,3,0)),"")</f>
        <v/>
      </c>
    </row>
    <row r="2470" spans="2:3" x14ac:dyDescent="0.3">
      <c r="B2470" t="str">
        <f>IFERROR(IF(A2470="","",VLOOKUP(A2470,CadProd!$A:$B,2,0)),"")</f>
        <v/>
      </c>
      <c r="C2470" t="str">
        <f>IFERROR(IF(A2470="","",VLOOKUP(A2470,CadProd!$A:$C,3,0)),"")</f>
        <v/>
      </c>
    </row>
    <row r="2471" spans="2:3" x14ac:dyDescent="0.3">
      <c r="B2471" t="str">
        <f>IFERROR(IF(A2471="","",VLOOKUP(A2471,CadProd!$A:$B,2,0)),"")</f>
        <v/>
      </c>
      <c r="C2471" t="str">
        <f>IFERROR(IF(A2471="","",VLOOKUP(A2471,CadProd!$A:$C,3,0)),"")</f>
        <v/>
      </c>
    </row>
    <row r="2472" spans="2:3" x14ac:dyDescent="0.3">
      <c r="B2472" t="str">
        <f>IFERROR(IF(A2472="","",VLOOKUP(A2472,CadProd!$A:$B,2,0)),"")</f>
        <v/>
      </c>
      <c r="C2472" t="str">
        <f>IFERROR(IF(A2472="","",VLOOKUP(A2472,CadProd!$A:$C,3,0)),"")</f>
        <v/>
      </c>
    </row>
    <row r="2473" spans="2:3" x14ac:dyDescent="0.3">
      <c r="B2473" t="str">
        <f>IFERROR(IF(A2473="","",VLOOKUP(A2473,CadProd!$A:$B,2,0)),"")</f>
        <v/>
      </c>
      <c r="C2473" t="str">
        <f>IFERROR(IF(A2473="","",VLOOKUP(A2473,CadProd!$A:$C,3,0)),"")</f>
        <v/>
      </c>
    </row>
    <row r="2474" spans="2:3" x14ac:dyDescent="0.3">
      <c r="B2474" t="str">
        <f>IFERROR(IF(A2474="","",VLOOKUP(A2474,CadProd!$A:$B,2,0)),"")</f>
        <v/>
      </c>
      <c r="C2474" t="str">
        <f>IFERROR(IF(A2474="","",VLOOKUP(A2474,CadProd!$A:$C,3,0)),"")</f>
        <v/>
      </c>
    </row>
    <row r="2475" spans="2:3" x14ac:dyDescent="0.3">
      <c r="B2475" t="str">
        <f>IFERROR(IF(A2475="","",VLOOKUP(A2475,CadProd!$A:$B,2,0)),"")</f>
        <v/>
      </c>
      <c r="C2475" t="str">
        <f>IFERROR(IF(A2475="","",VLOOKUP(A2475,CadProd!$A:$C,3,0)),"")</f>
        <v/>
      </c>
    </row>
    <row r="2476" spans="2:3" x14ac:dyDescent="0.3">
      <c r="B2476" t="str">
        <f>IFERROR(IF(A2476="","",VLOOKUP(A2476,CadProd!$A:$B,2,0)),"")</f>
        <v/>
      </c>
      <c r="C2476" t="str">
        <f>IFERROR(IF(A2476="","",VLOOKUP(A2476,CadProd!$A:$C,3,0)),"")</f>
        <v/>
      </c>
    </row>
    <row r="2477" spans="2:3" x14ac:dyDescent="0.3">
      <c r="B2477" t="str">
        <f>IFERROR(IF(A2477="","",VLOOKUP(A2477,CadProd!$A:$B,2,0)),"")</f>
        <v/>
      </c>
      <c r="C2477" t="str">
        <f>IFERROR(IF(A2477="","",VLOOKUP(A2477,CadProd!$A:$C,3,0)),"")</f>
        <v/>
      </c>
    </row>
    <row r="2478" spans="2:3" x14ac:dyDescent="0.3">
      <c r="B2478" t="str">
        <f>IFERROR(IF(A2478="","",VLOOKUP(A2478,CadProd!$A:$B,2,0)),"")</f>
        <v/>
      </c>
      <c r="C2478" t="str">
        <f>IFERROR(IF(A2478="","",VLOOKUP(A2478,CadProd!$A:$C,3,0)),"")</f>
        <v/>
      </c>
    </row>
    <row r="2479" spans="2:3" x14ac:dyDescent="0.3">
      <c r="B2479" t="str">
        <f>IFERROR(IF(A2479="","",VLOOKUP(A2479,CadProd!$A:$B,2,0)),"")</f>
        <v/>
      </c>
      <c r="C2479" t="str">
        <f>IFERROR(IF(A2479="","",VLOOKUP(A2479,CadProd!$A:$C,3,0)),"")</f>
        <v/>
      </c>
    </row>
    <row r="2480" spans="2:3" x14ac:dyDescent="0.3">
      <c r="B2480" t="str">
        <f>IFERROR(IF(A2480="","",VLOOKUP(A2480,CadProd!$A:$B,2,0)),"")</f>
        <v/>
      </c>
      <c r="C2480" t="str">
        <f>IFERROR(IF(A2480="","",VLOOKUP(A2480,CadProd!$A:$C,3,0)),"")</f>
        <v/>
      </c>
    </row>
    <row r="2481" spans="2:3" x14ac:dyDescent="0.3">
      <c r="B2481" t="str">
        <f>IFERROR(IF(A2481="","",VLOOKUP(A2481,CadProd!$A:$B,2,0)),"")</f>
        <v/>
      </c>
      <c r="C2481" t="str">
        <f>IFERROR(IF(A2481="","",VLOOKUP(A2481,CadProd!$A:$C,3,0)),"")</f>
        <v/>
      </c>
    </row>
    <row r="2482" spans="2:3" x14ac:dyDescent="0.3">
      <c r="B2482" t="str">
        <f>IFERROR(IF(A2482="","",VLOOKUP(A2482,CadProd!$A:$B,2,0)),"")</f>
        <v/>
      </c>
      <c r="C2482" t="str">
        <f>IFERROR(IF(A2482="","",VLOOKUP(A2482,CadProd!$A:$C,3,0)),"")</f>
        <v/>
      </c>
    </row>
    <row r="2483" spans="2:3" x14ac:dyDescent="0.3">
      <c r="B2483" t="str">
        <f>IFERROR(IF(A2483="","",VLOOKUP(A2483,CadProd!$A:$B,2,0)),"")</f>
        <v/>
      </c>
      <c r="C2483" t="str">
        <f>IFERROR(IF(A2483="","",VLOOKUP(A2483,CadProd!$A:$C,3,0)),"")</f>
        <v/>
      </c>
    </row>
    <row r="2484" spans="2:3" x14ac:dyDescent="0.3">
      <c r="B2484" t="str">
        <f>IFERROR(IF(A2484="","",VLOOKUP(A2484,CadProd!$A:$B,2,0)),"")</f>
        <v/>
      </c>
      <c r="C2484" t="str">
        <f>IFERROR(IF(A2484="","",VLOOKUP(A2484,CadProd!$A:$C,3,0)),"")</f>
        <v/>
      </c>
    </row>
    <row r="2485" spans="2:3" x14ac:dyDescent="0.3">
      <c r="B2485" t="str">
        <f>IFERROR(IF(A2485="","",VLOOKUP(A2485,CadProd!$A:$B,2,0)),"")</f>
        <v/>
      </c>
      <c r="C2485" t="str">
        <f>IFERROR(IF(A2485="","",VLOOKUP(A2485,CadProd!$A:$C,3,0)),"")</f>
        <v/>
      </c>
    </row>
    <row r="2486" spans="2:3" x14ac:dyDescent="0.3">
      <c r="B2486" t="str">
        <f>IFERROR(IF(A2486="","",VLOOKUP(A2486,CadProd!$A:$B,2,0)),"")</f>
        <v/>
      </c>
      <c r="C2486" t="str">
        <f>IFERROR(IF(A2486="","",VLOOKUP(A2486,CadProd!$A:$C,3,0)),"")</f>
        <v/>
      </c>
    </row>
    <row r="2487" spans="2:3" x14ac:dyDescent="0.3">
      <c r="B2487" t="str">
        <f>IFERROR(IF(A2487="","",VLOOKUP(A2487,CadProd!$A:$B,2,0)),"")</f>
        <v/>
      </c>
      <c r="C2487" t="str">
        <f>IFERROR(IF(A2487="","",VLOOKUP(A2487,CadProd!$A:$C,3,0)),"")</f>
        <v/>
      </c>
    </row>
    <row r="2488" spans="2:3" x14ac:dyDescent="0.3">
      <c r="B2488" t="str">
        <f>IFERROR(IF(A2488="","",VLOOKUP(A2488,CadProd!$A:$B,2,0)),"")</f>
        <v/>
      </c>
      <c r="C2488" t="str">
        <f>IFERROR(IF(A2488="","",VLOOKUP(A2488,CadProd!$A:$C,3,0)),"")</f>
        <v/>
      </c>
    </row>
    <row r="2489" spans="2:3" x14ac:dyDescent="0.3">
      <c r="B2489" t="str">
        <f>IFERROR(IF(A2489="","",VLOOKUP(A2489,CadProd!$A:$B,2,0)),"")</f>
        <v/>
      </c>
      <c r="C2489" t="str">
        <f>IFERROR(IF(A2489="","",VLOOKUP(A2489,CadProd!$A:$C,3,0)),"")</f>
        <v/>
      </c>
    </row>
    <row r="2490" spans="2:3" x14ac:dyDescent="0.3">
      <c r="B2490" t="str">
        <f>IFERROR(IF(A2490="","",VLOOKUP(A2490,CadProd!$A:$B,2,0)),"")</f>
        <v/>
      </c>
      <c r="C2490" t="str">
        <f>IFERROR(IF(A2490="","",VLOOKUP(A2490,CadProd!$A:$C,3,0)),"")</f>
        <v/>
      </c>
    </row>
    <row r="2491" spans="2:3" x14ac:dyDescent="0.3">
      <c r="B2491" t="str">
        <f>IFERROR(IF(A2491="","",VLOOKUP(A2491,CadProd!$A:$B,2,0)),"")</f>
        <v/>
      </c>
      <c r="C2491" t="str">
        <f>IFERROR(IF(A2491="","",VLOOKUP(A2491,CadProd!$A:$C,3,0)),"")</f>
        <v/>
      </c>
    </row>
    <row r="2492" spans="2:3" x14ac:dyDescent="0.3">
      <c r="B2492" t="str">
        <f>IFERROR(IF(A2492="","",VLOOKUP(A2492,CadProd!$A:$B,2,0)),"")</f>
        <v/>
      </c>
      <c r="C2492" t="str">
        <f>IFERROR(IF(A2492="","",VLOOKUP(A2492,CadProd!$A:$C,3,0)),"")</f>
        <v/>
      </c>
    </row>
    <row r="2493" spans="2:3" x14ac:dyDescent="0.3">
      <c r="B2493" t="str">
        <f>IFERROR(IF(A2493="","",VLOOKUP(A2493,CadProd!$A:$B,2,0)),"")</f>
        <v/>
      </c>
      <c r="C2493" t="str">
        <f>IFERROR(IF(A2493="","",VLOOKUP(A2493,CadProd!$A:$C,3,0)),"")</f>
        <v/>
      </c>
    </row>
    <row r="2494" spans="2:3" x14ac:dyDescent="0.3">
      <c r="B2494" t="str">
        <f>IFERROR(IF(A2494="","",VLOOKUP(A2494,CadProd!$A:$B,2,0)),"")</f>
        <v/>
      </c>
      <c r="C2494" t="str">
        <f>IFERROR(IF(A2494="","",VLOOKUP(A2494,CadProd!$A:$C,3,0)),"")</f>
        <v/>
      </c>
    </row>
    <row r="2495" spans="2:3" x14ac:dyDescent="0.3">
      <c r="B2495" t="str">
        <f>IFERROR(IF(A2495="","",VLOOKUP(A2495,CadProd!$A:$B,2,0)),"")</f>
        <v/>
      </c>
      <c r="C2495" t="str">
        <f>IFERROR(IF(A2495="","",VLOOKUP(A2495,CadProd!$A:$C,3,0)),"")</f>
        <v/>
      </c>
    </row>
    <row r="2496" spans="2:3" x14ac:dyDescent="0.3">
      <c r="B2496" t="str">
        <f>IFERROR(IF(A2496="","",VLOOKUP(A2496,CadProd!$A:$B,2,0)),"")</f>
        <v/>
      </c>
      <c r="C2496" t="str">
        <f>IFERROR(IF(A2496="","",VLOOKUP(A2496,CadProd!$A:$C,3,0)),"")</f>
        <v/>
      </c>
    </row>
    <row r="2497" spans="2:3" x14ac:dyDescent="0.3">
      <c r="B2497" t="str">
        <f>IFERROR(IF(A2497="","",VLOOKUP(A2497,CadProd!$A:$B,2,0)),"")</f>
        <v/>
      </c>
      <c r="C2497" t="str">
        <f>IFERROR(IF(A2497="","",VLOOKUP(A2497,CadProd!$A:$C,3,0)),"")</f>
        <v/>
      </c>
    </row>
    <row r="2498" spans="2:3" x14ac:dyDescent="0.3">
      <c r="B2498" t="str">
        <f>IFERROR(IF(A2498="","",VLOOKUP(A2498,CadProd!$A:$B,2,0)),"")</f>
        <v/>
      </c>
      <c r="C2498" t="str">
        <f>IFERROR(IF(A2498="","",VLOOKUP(A2498,CadProd!$A:$C,3,0)),"")</f>
        <v/>
      </c>
    </row>
    <row r="2499" spans="2:3" x14ac:dyDescent="0.3">
      <c r="B2499" t="str">
        <f>IFERROR(IF(A2499="","",VLOOKUP(A2499,CadProd!$A:$B,2,0)),"")</f>
        <v/>
      </c>
      <c r="C2499" t="str">
        <f>IFERROR(IF(A2499="","",VLOOKUP(A2499,CadProd!$A:$C,3,0)),"")</f>
        <v/>
      </c>
    </row>
    <row r="2500" spans="2:3" x14ac:dyDescent="0.3">
      <c r="B2500" t="str">
        <f>IFERROR(IF(A2500="","",VLOOKUP(A2500,CadProd!$A:$B,2,0)),"")</f>
        <v/>
      </c>
      <c r="C2500" t="str">
        <f>IFERROR(IF(A2500="","",VLOOKUP(A2500,CadProd!$A:$C,3,0)),"")</f>
        <v/>
      </c>
    </row>
    <row r="2501" spans="2:3" x14ac:dyDescent="0.3">
      <c r="B2501" t="str">
        <f>IFERROR(IF(A2501="","",VLOOKUP(A2501,CadProd!$A:$B,2,0)),"")</f>
        <v/>
      </c>
      <c r="C2501" t="str">
        <f>IFERROR(IF(A2501="","",VLOOKUP(A2501,CadProd!$A:$C,3,0)),"")</f>
        <v/>
      </c>
    </row>
    <row r="2502" spans="2:3" x14ac:dyDescent="0.3">
      <c r="B2502" t="str">
        <f>IFERROR(IF(A2502="","",VLOOKUP(A2502,CadProd!$A:$B,2,0)),"")</f>
        <v/>
      </c>
      <c r="C2502" t="str">
        <f>IFERROR(IF(A2502="","",VLOOKUP(A2502,CadProd!$A:$C,3,0)),"")</f>
        <v/>
      </c>
    </row>
    <row r="2503" spans="2:3" x14ac:dyDescent="0.3">
      <c r="B2503" t="str">
        <f>IFERROR(IF(A2503="","",VLOOKUP(A2503,CadProd!$A:$B,2,0)),"")</f>
        <v/>
      </c>
      <c r="C2503" t="str">
        <f>IFERROR(IF(A2503="","",VLOOKUP(A2503,CadProd!$A:$C,3,0)),"")</f>
        <v/>
      </c>
    </row>
    <row r="2504" spans="2:3" x14ac:dyDescent="0.3">
      <c r="B2504" t="str">
        <f>IFERROR(IF(A2504="","",VLOOKUP(A2504,CadProd!$A:$B,2,0)),"")</f>
        <v/>
      </c>
      <c r="C2504" t="str">
        <f>IFERROR(IF(A2504="","",VLOOKUP(A2504,CadProd!$A:$C,3,0)),"")</f>
        <v/>
      </c>
    </row>
    <row r="2505" spans="2:3" x14ac:dyDescent="0.3">
      <c r="B2505" t="str">
        <f>IFERROR(IF(A2505="","",VLOOKUP(A2505,CadProd!$A:$B,2,0)),"")</f>
        <v/>
      </c>
      <c r="C2505" t="str">
        <f>IFERROR(IF(A2505="","",VLOOKUP(A2505,CadProd!$A:$C,3,0)),"")</f>
        <v/>
      </c>
    </row>
    <row r="2506" spans="2:3" x14ac:dyDescent="0.3">
      <c r="B2506" t="str">
        <f>IFERROR(IF(A2506="","",VLOOKUP(A2506,CadProd!$A:$B,2,0)),"")</f>
        <v/>
      </c>
      <c r="C2506" t="str">
        <f>IFERROR(IF(A2506="","",VLOOKUP(A2506,CadProd!$A:$C,3,0)),"")</f>
        <v/>
      </c>
    </row>
    <row r="2507" spans="2:3" x14ac:dyDescent="0.3">
      <c r="B2507" t="str">
        <f>IFERROR(IF(A2507="","",VLOOKUP(A2507,CadProd!$A:$B,2,0)),"")</f>
        <v/>
      </c>
      <c r="C2507" t="str">
        <f>IFERROR(IF(A2507="","",VLOOKUP(A2507,CadProd!$A:$C,3,0)),"")</f>
        <v/>
      </c>
    </row>
    <row r="2508" spans="2:3" x14ac:dyDescent="0.3">
      <c r="B2508" t="str">
        <f>IFERROR(IF(A2508="","",VLOOKUP(A2508,CadProd!$A:$B,2,0)),"")</f>
        <v/>
      </c>
      <c r="C2508" t="str">
        <f>IFERROR(IF(A2508="","",VLOOKUP(A2508,CadProd!$A:$C,3,0)),"")</f>
        <v/>
      </c>
    </row>
    <row r="2509" spans="2:3" x14ac:dyDescent="0.3">
      <c r="B2509" t="str">
        <f>IFERROR(IF(A2509="","",VLOOKUP(A2509,CadProd!$A:$B,2,0)),"")</f>
        <v/>
      </c>
      <c r="C2509" t="str">
        <f>IFERROR(IF(A2509="","",VLOOKUP(A2509,CadProd!$A:$C,3,0)),"")</f>
        <v/>
      </c>
    </row>
    <row r="2510" spans="2:3" x14ac:dyDescent="0.3">
      <c r="B2510" t="str">
        <f>IFERROR(IF(A2510="","",VLOOKUP(A2510,CadProd!$A:$B,2,0)),"")</f>
        <v/>
      </c>
      <c r="C2510" t="str">
        <f>IFERROR(IF(A2510="","",VLOOKUP(A2510,CadProd!$A:$C,3,0)),"")</f>
        <v/>
      </c>
    </row>
    <row r="2511" spans="2:3" x14ac:dyDescent="0.3">
      <c r="B2511" t="str">
        <f>IFERROR(IF(A2511="","",VLOOKUP(A2511,CadProd!$A:$B,2,0)),"")</f>
        <v/>
      </c>
      <c r="C2511" t="str">
        <f>IFERROR(IF(A2511="","",VLOOKUP(A2511,CadProd!$A:$C,3,0)),"")</f>
        <v/>
      </c>
    </row>
    <row r="2512" spans="2:3" x14ac:dyDescent="0.3">
      <c r="B2512" t="str">
        <f>IFERROR(IF(A2512="","",VLOOKUP(A2512,CadProd!$A:$B,2,0)),"")</f>
        <v/>
      </c>
      <c r="C2512" t="str">
        <f>IFERROR(IF(A2512="","",VLOOKUP(A2512,CadProd!$A:$C,3,0)),"")</f>
        <v/>
      </c>
    </row>
    <row r="2513" spans="2:3" x14ac:dyDescent="0.3">
      <c r="B2513" t="str">
        <f>IFERROR(IF(A2513="","",VLOOKUP(A2513,CadProd!$A:$B,2,0)),"")</f>
        <v/>
      </c>
      <c r="C2513" t="str">
        <f>IFERROR(IF(A2513="","",VLOOKUP(A2513,CadProd!$A:$C,3,0)),"")</f>
        <v/>
      </c>
    </row>
    <row r="2514" spans="2:3" x14ac:dyDescent="0.3">
      <c r="B2514" t="str">
        <f>IFERROR(IF(A2514="","",VLOOKUP(A2514,CadProd!$A:$B,2,0)),"")</f>
        <v/>
      </c>
      <c r="C2514" t="str">
        <f>IFERROR(IF(A2514="","",VLOOKUP(A2514,CadProd!$A:$C,3,0)),"")</f>
        <v/>
      </c>
    </row>
    <row r="2515" spans="2:3" x14ac:dyDescent="0.3">
      <c r="B2515" t="str">
        <f>IFERROR(IF(A2515="","",VLOOKUP(A2515,CadProd!$A:$B,2,0)),"")</f>
        <v/>
      </c>
      <c r="C2515" t="str">
        <f>IFERROR(IF(A2515="","",VLOOKUP(A2515,CadProd!$A:$C,3,0)),"")</f>
        <v/>
      </c>
    </row>
    <row r="2516" spans="2:3" x14ac:dyDescent="0.3">
      <c r="B2516" t="str">
        <f>IFERROR(IF(A2516="","",VLOOKUP(A2516,CadProd!$A:$B,2,0)),"")</f>
        <v/>
      </c>
      <c r="C2516" t="str">
        <f>IFERROR(IF(A2516="","",VLOOKUP(A2516,CadProd!$A:$C,3,0)),"")</f>
        <v/>
      </c>
    </row>
    <row r="2517" spans="2:3" x14ac:dyDescent="0.3">
      <c r="B2517" t="str">
        <f>IFERROR(IF(A2517="","",VLOOKUP(A2517,CadProd!$A:$B,2,0)),"")</f>
        <v/>
      </c>
      <c r="C2517" t="str">
        <f>IFERROR(IF(A2517="","",VLOOKUP(A2517,CadProd!$A:$C,3,0)),"")</f>
        <v/>
      </c>
    </row>
    <row r="2518" spans="2:3" x14ac:dyDescent="0.3">
      <c r="B2518" t="str">
        <f>IFERROR(IF(A2518="","",VLOOKUP(A2518,CadProd!$A:$B,2,0)),"")</f>
        <v/>
      </c>
      <c r="C2518" t="str">
        <f>IFERROR(IF(A2518="","",VLOOKUP(A2518,CadProd!$A:$C,3,0)),"")</f>
        <v/>
      </c>
    </row>
    <row r="2519" spans="2:3" x14ac:dyDescent="0.3">
      <c r="B2519" t="str">
        <f>IFERROR(IF(A2519="","",VLOOKUP(A2519,CadProd!$A:$B,2,0)),"")</f>
        <v/>
      </c>
      <c r="C2519" t="str">
        <f>IFERROR(IF(A2519="","",VLOOKUP(A2519,CadProd!$A:$C,3,0)),"")</f>
        <v/>
      </c>
    </row>
    <row r="2520" spans="2:3" x14ac:dyDescent="0.3">
      <c r="B2520" t="str">
        <f>IFERROR(IF(A2520="","",VLOOKUP(A2520,CadProd!$A:$B,2,0)),"")</f>
        <v/>
      </c>
      <c r="C2520" t="str">
        <f>IFERROR(IF(A2520="","",VLOOKUP(A2520,CadProd!$A:$C,3,0)),"")</f>
        <v/>
      </c>
    </row>
    <row r="2521" spans="2:3" x14ac:dyDescent="0.3">
      <c r="B2521" t="str">
        <f>IFERROR(IF(A2521="","",VLOOKUP(A2521,CadProd!$A:$B,2,0)),"")</f>
        <v/>
      </c>
      <c r="C2521" t="str">
        <f>IFERROR(IF(A2521="","",VLOOKUP(A2521,CadProd!$A:$C,3,0)),"")</f>
        <v/>
      </c>
    </row>
    <row r="2522" spans="2:3" x14ac:dyDescent="0.3">
      <c r="B2522" t="str">
        <f>IFERROR(IF(A2522="","",VLOOKUP(A2522,CadProd!$A:$B,2,0)),"")</f>
        <v/>
      </c>
      <c r="C2522" t="str">
        <f>IFERROR(IF(A2522="","",VLOOKUP(A2522,CadProd!$A:$C,3,0)),"")</f>
        <v/>
      </c>
    </row>
    <row r="2523" spans="2:3" x14ac:dyDescent="0.3">
      <c r="B2523" t="str">
        <f>IFERROR(IF(A2523="","",VLOOKUP(A2523,CadProd!$A:$B,2,0)),"")</f>
        <v/>
      </c>
      <c r="C2523" t="str">
        <f>IFERROR(IF(A2523="","",VLOOKUP(A2523,CadProd!$A:$C,3,0)),"")</f>
        <v/>
      </c>
    </row>
    <row r="2524" spans="2:3" x14ac:dyDescent="0.3">
      <c r="B2524" t="str">
        <f>IFERROR(IF(A2524="","",VLOOKUP(A2524,CadProd!$A:$B,2,0)),"")</f>
        <v/>
      </c>
      <c r="C2524" t="str">
        <f>IFERROR(IF(A2524="","",VLOOKUP(A2524,CadProd!$A:$C,3,0)),"")</f>
        <v/>
      </c>
    </row>
    <row r="2525" spans="2:3" x14ac:dyDescent="0.3">
      <c r="B2525" t="str">
        <f>IFERROR(IF(A2525="","",VLOOKUP(A2525,CadProd!$A:$B,2,0)),"")</f>
        <v/>
      </c>
      <c r="C2525" t="str">
        <f>IFERROR(IF(A2525="","",VLOOKUP(A2525,CadProd!$A:$C,3,0)),"")</f>
        <v/>
      </c>
    </row>
    <row r="2526" spans="2:3" x14ac:dyDescent="0.3">
      <c r="B2526" t="str">
        <f>IFERROR(IF(A2526="","",VLOOKUP(A2526,CadProd!$A:$B,2,0)),"")</f>
        <v/>
      </c>
      <c r="C2526" t="str">
        <f>IFERROR(IF(A2526="","",VLOOKUP(A2526,CadProd!$A:$C,3,0)),"")</f>
        <v/>
      </c>
    </row>
    <row r="2527" spans="2:3" x14ac:dyDescent="0.3">
      <c r="B2527" t="str">
        <f>IFERROR(IF(A2527="","",VLOOKUP(A2527,CadProd!$A:$B,2,0)),"")</f>
        <v/>
      </c>
      <c r="C2527" t="str">
        <f>IFERROR(IF(A2527="","",VLOOKUP(A2527,CadProd!$A:$C,3,0)),"")</f>
        <v/>
      </c>
    </row>
    <row r="2528" spans="2:3" x14ac:dyDescent="0.3">
      <c r="B2528" t="str">
        <f>IFERROR(IF(A2528="","",VLOOKUP(A2528,CadProd!$A:$B,2,0)),"")</f>
        <v/>
      </c>
      <c r="C2528" t="str">
        <f>IFERROR(IF(A2528="","",VLOOKUP(A2528,CadProd!$A:$C,3,0)),"")</f>
        <v/>
      </c>
    </row>
    <row r="2529" spans="2:3" x14ac:dyDescent="0.3">
      <c r="B2529" t="str">
        <f>IFERROR(IF(A2529="","",VLOOKUP(A2529,CadProd!$A:$B,2,0)),"")</f>
        <v/>
      </c>
      <c r="C2529" t="str">
        <f>IFERROR(IF(A2529="","",VLOOKUP(A2529,CadProd!$A:$C,3,0)),"")</f>
        <v/>
      </c>
    </row>
    <row r="2530" spans="2:3" x14ac:dyDescent="0.3">
      <c r="B2530" t="str">
        <f>IFERROR(IF(A2530="","",VLOOKUP(A2530,CadProd!$A:$B,2,0)),"")</f>
        <v/>
      </c>
      <c r="C2530" t="str">
        <f>IFERROR(IF(A2530="","",VLOOKUP(A2530,CadProd!$A:$C,3,0)),"")</f>
        <v/>
      </c>
    </row>
    <row r="2531" spans="2:3" x14ac:dyDescent="0.3">
      <c r="B2531" t="str">
        <f>IFERROR(IF(A2531="","",VLOOKUP(A2531,CadProd!$A:$B,2,0)),"")</f>
        <v/>
      </c>
      <c r="C2531" t="str">
        <f>IFERROR(IF(A2531="","",VLOOKUP(A2531,CadProd!$A:$C,3,0)),"")</f>
        <v/>
      </c>
    </row>
    <row r="2532" spans="2:3" x14ac:dyDescent="0.3">
      <c r="B2532" t="str">
        <f>IFERROR(IF(A2532="","",VLOOKUP(A2532,CadProd!$A:$B,2,0)),"")</f>
        <v/>
      </c>
      <c r="C2532" t="str">
        <f>IFERROR(IF(A2532="","",VLOOKUP(A2532,CadProd!$A:$C,3,0)),"")</f>
        <v/>
      </c>
    </row>
    <row r="2533" spans="2:3" x14ac:dyDescent="0.3">
      <c r="B2533" t="str">
        <f>IFERROR(IF(A2533="","",VLOOKUP(A2533,CadProd!$A:$B,2,0)),"")</f>
        <v/>
      </c>
      <c r="C2533" t="str">
        <f>IFERROR(IF(A2533="","",VLOOKUP(A2533,CadProd!$A:$C,3,0)),"")</f>
        <v/>
      </c>
    </row>
    <row r="2534" spans="2:3" x14ac:dyDescent="0.3">
      <c r="B2534" t="str">
        <f>IFERROR(IF(A2534="","",VLOOKUP(A2534,CadProd!$A:$B,2,0)),"")</f>
        <v/>
      </c>
      <c r="C2534" t="str">
        <f>IFERROR(IF(A2534="","",VLOOKUP(A2534,CadProd!$A:$C,3,0)),"")</f>
        <v/>
      </c>
    </row>
    <row r="2535" spans="2:3" x14ac:dyDescent="0.3">
      <c r="B2535" t="str">
        <f>IFERROR(IF(A2535="","",VLOOKUP(A2535,CadProd!$A:$B,2,0)),"")</f>
        <v/>
      </c>
      <c r="C2535" t="str">
        <f>IFERROR(IF(A2535="","",VLOOKUP(A2535,CadProd!$A:$C,3,0)),"")</f>
        <v/>
      </c>
    </row>
    <row r="2536" spans="2:3" x14ac:dyDescent="0.3">
      <c r="B2536" t="str">
        <f>IFERROR(IF(A2536="","",VLOOKUP(A2536,CadProd!$A:$B,2,0)),"")</f>
        <v/>
      </c>
      <c r="C2536" t="str">
        <f>IFERROR(IF(A2536="","",VLOOKUP(A2536,CadProd!$A:$C,3,0)),"")</f>
        <v/>
      </c>
    </row>
    <row r="2537" spans="2:3" x14ac:dyDescent="0.3">
      <c r="B2537" t="str">
        <f>IFERROR(IF(A2537="","",VLOOKUP(A2537,CadProd!$A:$B,2,0)),"")</f>
        <v/>
      </c>
      <c r="C2537" t="str">
        <f>IFERROR(IF(A2537="","",VLOOKUP(A2537,CadProd!$A:$C,3,0)),"")</f>
        <v/>
      </c>
    </row>
    <row r="2538" spans="2:3" x14ac:dyDescent="0.3">
      <c r="B2538" t="str">
        <f>IFERROR(IF(A2538="","",VLOOKUP(A2538,CadProd!$A:$B,2,0)),"")</f>
        <v/>
      </c>
      <c r="C2538" t="str">
        <f>IFERROR(IF(A2538="","",VLOOKUP(A2538,CadProd!$A:$C,3,0)),"")</f>
        <v/>
      </c>
    </row>
    <row r="2539" spans="2:3" x14ac:dyDescent="0.3">
      <c r="B2539" t="str">
        <f>IFERROR(IF(A2539="","",VLOOKUP(A2539,CadProd!$A:$B,2,0)),"")</f>
        <v/>
      </c>
      <c r="C2539" t="str">
        <f>IFERROR(IF(A2539="","",VLOOKUP(A2539,CadProd!$A:$C,3,0)),"")</f>
        <v/>
      </c>
    </row>
    <row r="2540" spans="2:3" x14ac:dyDescent="0.3">
      <c r="B2540" t="str">
        <f>IFERROR(IF(A2540="","",VLOOKUP(A2540,CadProd!$A:$B,2,0)),"")</f>
        <v/>
      </c>
      <c r="C2540" t="str">
        <f>IFERROR(IF(A2540="","",VLOOKUP(A2540,CadProd!$A:$C,3,0)),"")</f>
        <v/>
      </c>
    </row>
    <row r="2541" spans="2:3" x14ac:dyDescent="0.3">
      <c r="B2541" t="str">
        <f>IFERROR(IF(A2541="","",VLOOKUP(A2541,CadProd!$A:$B,2,0)),"")</f>
        <v/>
      </c>
      <c r="C2541" t="str">
        <f>IFERROR(IF(A2541="","",VLOOKUP(A2541,CadProd!$A:$C,3,0)),"")</f>
        <v/>
      </c>
    </row>
    <row r="2542" spans="2:3" x14ac:dyDescent="0.3">
      <c r="B2542" t="str">
        <f>IFERROR(IF(A2542="","",VLOOKUP(A2542,CadProd!$A:$B,2,0)),"")</f>
        <v/>
      </c>
      <c r="C2542" t="str">
        <f>IFERROR(IF(A2542="","",VLOOKUP(A2542,CadProd!$A:$C,3,0)),"")</f>
        <v/>
      </c>
    </row>
    <row r="2543" spans="2:3" x14ac:dyDescent="0.3">
      <c r="B2543" t="str">
        <f>IFERROR(IF(A2543="","",VLOOKUP(A2543,CadProd!$A:$B,2,0)),"")</f>
        <v/>
      </c>
      <c r="C2543" t="str">
        <f>IFERROR(IF(A2543="","",VLOOKUP(A2543,CadProd!$A:$C,3,0)),"")</f>
        <v/>
      </c>
    </row>
    <row r="2544" spans="2:3" x14ac:dyDescent="0.3">
      <c r="B2544" t="str">
        <f>IFERROR(IF(A2544="","",VLOOKUP(A2544,CadProd!$A:$B,2,0)),"")</f>
        <v/>
      </c>
      <c r="C2544" t="str">
        <f>IFERROR(IF(A2544="","",VLOOKUP(A2544,CadProd!$A:$C,3,0)),"")</f>
        <v/>
      </c>
    </row>
    <row r="2545" spans="2:3" x14ac:dyDescent="0.3">
      <c r="B2545" t="str">
        <f>IFERROR(IF(A2545="","",VLOOKUP(A2545,CadProd!$A:$B,2,0)),"")</f>
        <v/>
      </c>
      <c r="C2545" t="str">
        <f>IFERROR(IF(A2545="","",VLOOKUP(A2545,CadProd!$A:$C,3,0)),"")</f>
        <v/>
      </c>
    </row>
    <row r="2546" spans="2:3" x14ac:dyDescent="0.3">
      <c r="B2546" t="str">
        <f>IFERROR(IF(A2546="","",VLOOKUP(A2546,CadProd!$A:$B,2,0)),"")</f>
        <v/>
      </c>
      <c r="C2546" t="str">
        <f>IFERROR(IF(A2546="","",VLOOKUP(A2546,CadProd!$A:$C,3,0)),"")</f>
        <v/>
      </c>
    </row>
    <row r="2547" spans="2:3" x14ac:dyDescent="0.3">
      <c r="B2547" t="str">
        <f>IFERROR(IF(A2547="","",VLOOKUP(A2547,CadProd!$A:$B,2,0)),"")</f>
        <v/>
      </c>
      <c r="C2547" t="str">
        <f>IFERROR(IF(A2547="","",VLOOKUP(A2547,CadProd!$A:$C,3,0)),"")</f>
        <v/>
      </c>
    </row>
    <row r="2548" spans="2:3" x14ac:dyDescent="0.3">
      <c r="B2548" t="str">
        <f>IFERROR(IF(A2548="","",VLOOKUP(A2548,CadProd!$A:$B,2,0)),"")</f>
        <v/>
      </c>
      <c r="C2548" t="str">
        <f>IFERROR(IF(A2548="","",VLOOKUP(A2548,CadProd!$A:$C,3,0)),"")</f>
        <v/>
      </c>
    </row>
    <row r="2549" spans="2:3" x14ac:dyDescent="0.3">
      <c r="B2549" t="str">
        <f>IFERROR(IF(A2549="","",VLOOKUP(A2549,CadProd!$A:$B,2,0)),"")</f>
        <v/>
      </c>
      <c r="C2549" t="str">
        <f>IFERROR(IF(A2549="","",VLOOKUP(A2549,CadProd!$A:$C,3,0)),"")</f>
        <v/>
      </c>
    </row>
    <row r="2550" spans="2:3" x14ac:dyDescent="0.3">
      <c r="B2550" t="str">
        <f>IFERROR(IF(A2550="","",VLOOKUP(A2550,CadProd!$A:$B,2,0)),"")</f>
        <v/>
      </c>
      <c r="C2550" t="str">
        <f>IFERROR(IF(A2550="","",VLOOKUP(A2550,CadProd!$A:$C,3,0)),"")</f>
        <v/>
      </c>
    </row>
    <row r="2551" spans="2:3" x14ac:dyDescent="0.3">
      <c r="B2551" t="str">
        <f>IFERROR(IF(A2551="","",VLOOKUP(A2551,CadProd!$A:$B,2,0)),"")</f>
        <v/>
      </c>
      <c r="C2551" t="str">
        <f>IFERROR(IF(A2551="","",VLOOKUP(A2551,CadProd!$A:$C,3,0)),"")</f>
        <v/>
      </c>
    </row>
    <row r="2552" spans="2:3" x14ac:dyDescent="0.3">
      <c r="B2552" t="str">
        <f>IFERROR(IF(A2552="","",VLOOKUP(A2552,CadProd!$A:$B,2,0)),"")</f>
        <v/>
      </c>
      <c r="C2552" t="str">
        <f>IFERROR(IF(A2552="","",VLOOKUP(A2552,CadProd!$A:$C,3,0)),"")</f>
        <v/>
      </c>
    </row>
    <row r="2553" spans="2:3" x14ac:dyDescent="0.3">
      <c r="B2553" t="str">
        <f>IFERROR(IF(A2553="","",VLOOKUP(A2553,CadProd!$A:$B,2,0)),"")</f>
        <v/>
      </c>
      <c r="C2553" t="str">
        <f>IFERROR(IF(A2553="","",VLOOKUP(A2553,CadProd!$A:$C,3,0)),"")</f>
        <v/>
      </c>
    </row>
    <row r="2554" spans="2:3" x14ac:dyDescent="0.3">
      <c r="B2554" t="str">
        <f>IFERROR(IF(A2554="","",VLOOKUP(A2554,CadProd!$A:$B,2,0)),"")</f>
        <v/>
      </c>
      <c r="C2554" t="str">
        <f>IFERROR(IF(A2554="","",VLOOKUP(A2554,CadProd!$A:$C,3,0)),"")</f>
        <v/>
      </c>
    </row>
    <row r="2555" spans="2:3" x14ac:dyDescent="0.3">
      <c r="B2555" t="str">
        <f>IFERROR(IF(A2555="","",VLOOKUP(A2555,CadProd!$A:$B,2,0)),"")</f>
        <v/>
      </c>
      <c r="C2555" t="str">
        <f>IFERROR(IF(A2555="","",VLOOKUP(A2555,CadProd!$A:$C,3,0)),"")</f>
        <v/>
      </c>
    </row>
    <row r="2556" spans="2:3" x14ac:dyDescent="0.3">
      <c r="B2556" t="str">
        <f>IFERROR(IF(A2556="","",VLOOKUP(A2556,CadProd!$A:$B,2,0)),"")</f>
        <v/>
      </c>
      <c r="C2556" t="str">
        <f>IFERROR(IF(A2556="","",VLOOKUP(A2556,CadProd!$A:$C,3,0)),"")</f>
        <v/>
      </c>
    </row>
    <row r="2557" spans="2:3" x14ac:dyDescent="0.3">
      <c r="B2557" t="str">
        <f>IFERROR(IF(A2557="","",VLOOKUP(A2557,CadProd!$A:$B,2,0)),"")</f>
        <v/>
      </c>
      <c r="C2557" t="str">
        <f>IFERROR(IF(A2557="","",VLOOKUP(A2557,CadProd!$A:$C,3,0)),"")</f>
        <v/>
      </c>
    </row>
    <row r="2558" spans="2:3" x14ac:dyDescent="0.3">
      <c r="B2558" t="str">
        <f>IFERROR(IF(A2558="","",VLOOKUP(A2558,CadProd!$A:$B,2,0)),"")</f>
        <v/>
      </c>
      <c r="C2558" t="str">
        <f>IFERROR(IF(A2558="","",VLOOKUP(A2558,CadProd!$A:$C,3,0)),"")</f>
        <v/>
      </c>
    </row>
    <row r="2559" spans="2:3" x14ac:dyDescent="0.3">
      <c r="B2559" t="str">
        <f>IFERROR(IF(A2559="","",VLOOKUP(A2559,CadProd!$A:$B,2,0)),"")</f>
        <v/>
      </c>
      <c r="C2559" t="str">
        <f>IFERROR(IF(A2559="","",VLOOKUP(A2559,CadProd!$A:$C,3,0)),"")</f>
        <v/>
      </c>
    </row>
    <row r="2560" spans="2:3" x14ac:dyDescent="0.3">
      <c r="B2560" t="str">
        <f>IFERROR(IF(A2560="","",VLOOKUP(A2560,CadProd!$A:$B,2,0)),"")</f>
        <v/>
      </c>
      <c r="C2560" t="str">
        <f>IFERROR(IF(A2560="","",VLOOKUP(A2560,CadProd!$A:$C,3,0)),"")</f>
        <v/>
      </c>
    </row>
    <row r="2561" spans="2:3" x14ac:dyDescent="0.3">
      <c r="B2561" t="str">
        <f>IFERROR(IF(A2561="","",VLOOKUP(A2561,CadProd!$A:$B,2,0)),"")</f>
        <v/>
      </c>
      <c r="C2561" t="str">
        <f>IFERROR(IF(A2561="","",VLOOKUP(A2561,CadProd!$A:$C,3,0)),"")</f>
        <v/>
      </c>
    </row>
    <row r="2562" spans="2:3" x14ac:dyDescent="0.3">
      <c r="B2562" t="str">
        <f>IFERROR(IF(A2562="","",VLOOKUP(A2562,CadProd!$A:$B,2,0)),"")</f>
        <v/>
      </c>
      <c r="C2562" t="str">
        <f>IFERROR(IF(A2562="","",VLOOKUP(A2562,CadProd!$A:$C,3,0)),"")</f>
        <v/>
      </c>
    </row>
    <row r="2563" spans="2:3" x14ac:dyDescent="0.3">
      <c r="B2563" t="str">
        <f>IFERROR(IF(A2563="","",VLOOKUP(A2563,CadProd!$A:$B,2,0)),"")</f>
        <v/>
      </c>
      <c r="C2563" t="str">
        <f>IFERROR(IF(A2563="","",VLOOKUP(A2563,CadProd!$A:$C,3,0)),"")</f>
        <v/>
      </c>
    </row>
    <row r="2564" spans="2:3" x14ac:dyDescent="0.3">
      <c r="B2564" t="str">
        <f>IFERROR(IF(A2564="","",VLOOKUP(A2564,CadProd!$A:$B,2,0)),"")</f>
        <v/>
      </c>
      <c r="C2564" t="str">
        <f>IFERROR(IF(A2564="","",VLOOKUP(A2564,CadProd!$A:$C,3,0)),"")</f>
        <v/>
      </c>
    </row>
    <row r="2565" spans="2:3" x14ac:dyDescent="0.3">
      <c r="B2565" t="str">
        <f>IFERROR(IF(A2565="","",VLOOKUP(A2565,CadProd!$A:$B,2,0)),"")</f>
        <v/>
      </c>
      <c r="C2565" t="str">
        <f>IFERROR(IF(A2565="","",VLOOKUP(A2565,CadProd!$A:$C,3,0)),"")</f>
        <v/>
      </c>
    </row>
    <row r="2566" spans="2:3" x14ac:dyDescent="0.3">
      <c r="B2566" t="str">
        <f>IFERROR(IF(A2566="","",VLOOKUP(A2566,CadProd!$A:$B,2,0)),"")</f>
        <v/>
      </c>
      <c r="C2566" t="str">
        <f>IFERROR(IF(A2566="","",VLOOKUP(A2566,CadProd!$A:$C,3,0)),"")</f>
        <v/>
      </c>
    </row>
    <row r="2567" spans="2:3" x14ac:dyDescent="0.3">
      <c r="B2567" t="str">
        <f>IFERROR(IF(A2567="","",VLOOKUP(A2567,CadProd!$A:$B,2,0)),"")</f>
        <v/>
      </c>
      <c r="C2567" t="str">
        <f>IFERROR(IF(A2567="","",VLOOKUP(A2567,CadProd!$A:$C,3,0)),"")</f>
        <v/>
      </c>
    </row>
    <row r="2568" spans="2:3" x14ac:dyDescent="0.3">
      <c r="B2568" t="str">
        <f>IFERROR(IF(A2568="","",VLOOKUP(A2568,CadProd!$A:$B,2,0)),"")</f>
        <v/>
      </c>
      <c r="C2568" t="str">
        <f>IFERROR(IF(A2568="","",VLOOKUP(A2568,CadProd!$A:$C,3,0)),"")</f>
        <v/>
      </c>
    </row>
    <row r="2569" spans="2:3" x14ac:dyDescent="0.3">
      <c r="B2569" t="str">
        <f>IFERROR(IF(A2569="","",VLOOKUP(A2569,CadProd!$A:$B,2,0)),"")</f>
        <v/>
      </c>
      <c r="C2569" t="str">
        <f>IFERROR(IF(A2569="","",VLOOKUP(A2569,CadProd!$A:$C,3,0)),"")</f>
        <v/>
      </c>
    </row>
    <row r="2570" spans="2:3" x14ac:dyDescent="0.3">
      <c r="B2570" t="str">
        <f>IFERROR(IF(A2570="","",VLOOKUP(A2570,CadProd!$A:$B,2,0)),"")</f>
        <v/>
      </c>
      <c r="C2570" t="str">
        <f>IFERROR(IF(A2570="","",VLOOKUP(A2570,CadProd!$A:$C,3,0)),"")</f>
        <v/>
      </c>
    </row>
    <row r="2571" spans="2:3" x14ac:dyDescent="0.3">
      <c r="B2571" t="str">
        <f>IFERROR(IF(A2571="","",VLOOKUP(A2571,CadProd!$A:$B,2,0)),"")</f>
        <v/>
      </c>
      <c r="C2571" t="str">
        <f>IFERROR(IF(A2571="","",VLOOKUP(A2571,CadProd!$A:$C,3,0)),"")</f>
        <v/>
      </c>
    </row>
    <row r="2572" spans="2:3" x14ac:dyDescent="0.3">
      <c r="B2572" t="str">
        <f>IFERROR(IF(A2572="","",VLOOKUP(A2572,CadProd!$A:$B,2,0)),"")</f>
        <v/>
      </c>
      <c r="C2572" t="str">
        <f>IFERROR(IF(A2572="","",VLOOKUP(A2572,CadProd!$A:$C,3,0)),"")</f>
        <v/>
      </c>
    </row>
    <row r="2573" spans="2:3" x14ac:dyDescent="0.3">
      <c r="B2573" t="str">
        <f>IFERROR(IF(A2573="","",VLOOKUP(A2573,CadProd!$A:$B,2,0)),"")</f>
        <v/>
      </c>
      <c r="C2573" t="str">
        <f>IFERROR(IF(A2573="","",VLOOKUP(A2573,CadProd!$A:$C,3,0)),"")</f>
        <v/>
      </c>
    </row>
    <row r="2574" spans="2:3" x14ac:dyDescent="0.3">
      <c r="B2574" t="str">
        <f>IFERROR(IF(A2574="","",VLOOKUP(A2574,CadProd!$A:$B,2,0)),"")</f>
        <v/>
      </c>
      <c r="C2574" t="str">
        <f>IFERROR(IF(A2574="","",VLOOKUP(A2574,CadProd!$A:$C,3,0)),"")</f>
        <v/>
      </c>
    </row>
    <row r="2575" spans="2:3" x14ac:dyDescent="0.3">
      <c r="B2575" t="str">
        <f>IFERROR(IF(A2575="","",VLOOKUP(A2575,CadProd!$A:$B,2,0)),"")</f>
        <v/>
      </c>
      <c r="C2575" t="str">
        <f>IFERROR(IF(A2575="","",VLOOKUP(A2575,CadProd!$A:$C,3,0)),"")</f>
        <v/>
      </c>
    </row>
    <row r="2576" spans="2:3" x14ac:dyDescent="0.3">
      <c r="B2576" t="str">
        <f>IFERROR(IF(A2576="","",VLOOKUP(A2576,CadProd!$A:$B,2,0)),"")</f>
        <v/>
      </c>
      <c r="C2576" t="str">
        <f>IFERROR(IF(A2576="","",VLOOKUP(A2576,CadProd!$A:$C,3,0)),"")</f>
        <v/>
      </c>
    </row>
    <row r="2577" spans="2:3" x14ac:dyDescent="0.3">
      <c r="B2577" t="str">
        <f>IFERROR(IF(A2577="","",VLOOKUP(A2577,CadProd!$A:$B,2,0)),"")</f>
        <v/>
      </c>
      <c r="C2577" t="str">
        <f>IFERROR(IF(A2577="","",VLOOKUP(A2577,CadProd!$A:$C,3,0)),"")</f>
        <v/>
      </c>
    </row>
    <row r="2578" spans="2:3" x14ac:dyDescent="0.3">
      <c r="B2578" t="str">
        <f>IFERROR(IF(A2578="","",VLOOKUP(A2578,CadProd!$A:$B,2,0)),"")</f>
        <v/>
      </c>
      <c r="C2578" t="str">
        <f>IFERROR(IF(A2578="","",VLOOKUP(A2578,CadProd!$A:$C,3,0)),"")</f>
        <v/>
      </c>
    </row>
    <row r="2579" spans="2:3" x14ac:dyDescent="0.3">
      <c r="B2579" t="str">
        <f>IFERROR(IF(A2579="","",VLOOKUP(A2579,CadProd!$A:$B,2,0)),"")</f>
        <v/>
      </c>
      <c r="C2579" t="str">
        <f>IFERROR(IF(A2579="","",VLOOKUP(A2579,CadProd!$A:$C,3,0)),"")</f>
        <v/>
      </c>
    </row>
    <row r="2580" spans="2:3" x14ac:dyDescent="0.3">
      <c r="B2580" t="str">
        <f>IFERROR(IF(A2580="","",VLOOKUP(A2580,CadProd!$A:$B,2,0)),"")</f>
        <v/>
      </c>
      <c r="C2580" t="str">
        <f>IFERROR(IF(A2580="","",VLOOKUP(A2580,CadProd!$A:$C,3,0)),"")</f>
        <v/>
      </c>
    </row>
    <row r="2581" spans="2:3" x14ac:dyDescent="0.3">
      <c r="B2581" t="str">
        <f>IFERROR(IF(A2581="","",VLOOKUP(A2581,CadProd!$A:$B,2,0)),"")</f>
        <v/>
      </c>
      <c r="C2581" t="str">
        <f>IFERROR(IF(A2581="","",VLOOKUP(A2581,CadProd!$A:$C,3,0)),"")</f>
        <v/>
      </c>
    </row>
    <row r="2582" spans="2:3" x14ac:dyDescent="0.3">
      <c r="B2582" t="str">
        <f>IFERROR(IF(A2582="","",VLOOKUP(A2582,CadProd!$A:$B,2,0)),"")</f>
        <v/>
      </c>
      <c r="C2582" t="str">
        <f>IFERROR(IF(A2582="","",VLOOKUP(A2582,CadProd!$A:$C,3,0)),"")</f>
        <v/>
      </c>
    </row>
    <row r="2583" spans="2:3" x14ac:dyDescent="0.3">
      <c r="B2583" t="str">
        <f>IFERROR(IF(A2583="","",VLOOKUP(A2583,CadProd!$A:$B,2,0)),"")</f>
        <v/>
      </c>
      <c r="C2583" t="str">
        <f>IFERROR(IF(A2583="","",VLOOKUP(A2583,CadProd!$A:$C,3,0)),"")</f>
        <v/>
      </c>
    </row>
    <row r="2584" spans="2:3" x14ac:dyDescent="0.3">
      <c r="B2584" t="str">
        <f>IFERROR(IF(A2584="","",VLOOKUP(A2584,CadProd!$A:$B,2,0)),"")</f>
        <v/>
      </c>
      <c r="C2584" t="str">
        <f>IFERROR(IF(A2584="","",VLOOKUP(A2584,CadProd!$A:$C,3,0)),"")</f>
        <v/>
      </c>
    </row>
    <row r="2585" spans="2:3" x14ac:dyDescent="0.3">
      <c r="B2585" t="str">
        <f>IFERROR(IF(A2585="","",VLOOKUP(A2585,CadProd!$A:$B,2,0)),"")</f>
        <v/>
      </c>
      <c r="C2585" t="str">
        <f>IFERROR(IF(A2585="","",VLOOKUP(A2585,CadProd!$A:$C,3,0)),"")</f>
        <v/>
      </c>
    </row>
    <row r="2586" spans="2:3" x14ac:dyDescent="0.3">
      <c r="B2586" t="str">
        <f>IFERROR(IF(A2586="","",VLOOKUP(A2586,CadProd!$A:$B,2,0)),"")</f>
        <v/>
      </c>
      <c r="C2586" t="str">
        <f>IFERROR(IF(A2586="","",VLOOKUP(A2586,CadProd!$A:$C,3,0)),"")</f>
        <v/>
      </c>
    </row>
    <row r="2587" spans="2:3" x14ac:dyDescent="0.3">
      <c r="B2587" t="str">
        <f>IFERROR(IF(A2587="","",VLOOKUP(A2587,CadProd!$A:$B,2,0)),"")</f>
        <v/>
      </c>
      <c r="C2587" t="str">
        <f>IFERROR(IF(A2587="","",VLOOKUP(A2587,CadProd!$A:$C,3,0)),"")</f>
        <v/>
      </c>
    </row>
    <row r="2588" spans="2:3" x14ac:dyDescent="0.3">
      <c r="B2588" t="str">
        <f>IFERROR(IF(A2588="","",VLOOKUP(A2588,CadProd!$A:$B,2,0)),"")</f>
        <v/>
      </c>
      <c r="C2588" t="str">
        <f>IFERROR(IF(A2588="","",VLOOKUP(A2588,CadProd!$A:$C,3,0)),"")</f>
        <v/>
      </c>
    </row>
    <row r="2589" spans="2:3" x14ac:dyDescent="0.3">
      <c r="B2589" t="str">
        <f>IFERROR(IF(A2589="","",VLOOKUP(A2589,CadProd!$A:$B,2,0)),"")</f>
        <v/>
      </c>
      <c r="C2589" t="str">
        <f>IFERROR(IF(A2589="","",VLOOKUP(A2589,CadProd!$A:$C,3,0)),"")</f>
        <v/>
      </c>
    </row>
    <row r="2590" spans="2:3" x14ac:dyDescent="0.3">
      <c r="B2590" t="str">
        <f>IFERROR(IF(A2590="","",VLOOKUP(A2590,CadProd!$A:$B,2,0)),"")</f>
        <v/>
      </c>
      <c r="C2590" t="str">
        <f>IFERROR(IF(A2590="","",VLOOKUP(A2590,CadProd!$A:$C,3,0)),"")</f>
        <v/>
      </c>
    </row>
    <row r="2591" spans="2:3" x14ac:dyDescent="0.3">
      <c r="B2591" t="str">
        <f>IFERROR(IF(A2591="","",VLOOKUP(A2591,CadProd!$A:$B,2,0)),"")</f>
        <v/>
      </c>
      <c r="C2591" t="str">
        <f>IFERROR(IF(A2591="","",VLOOKUP(A2591,CadProd!$A:$C,3,0)),"")</f>
        <v/>
      </c>
    </row>
    <row r="2592" spans="2:3" x14ac:dyDescent="0.3">
      <c r="B2592" t="str">
        <f>IFERROR(IF(A2592="","",VLOOKUP(A2592,CadProd!$A:$B,2,0)),"")</f>
        <v/>
      </c>
      <c r="C2592" t="str">
        <f>IFERROR(IF(A2592="","",VLOOKUP(A2592,CadProd!$A:$C,3,0)),"")</f>
        <v/>
      </c>
    </row>
    <row r="2593" spans="2:3" x14ac:dyDescent="0.3">
      <c r="B2593" t="str">
        <f>IFERROR(IF(A2593="","",VLOOKUP(A2593,CadProd!$A:$B,2,0)),"")</f>
        <v/>
      </c>
      <c r="C2593" t="str">
        <f>IFERROR(IF(A2593="","",VLOOKUP(A2593,CadProd!$A:$C,3,0)),"")</f>
        <v/>
      </c>
    </row>
    <row r="2594" spans="2:3" x14ac:dyDescent="0.3">
      <c r="B2594" t="str">
        <f>IFERROR(IF(A2594="","",VLOOKUP(A2594,CadProd!$A:$B,2,0)),"")</f>
        <v/>
      </c>
      <c r="C2594" t="str">
        <f>IFERROR(IF(A2594="","",VLOOKUP(A2594,CadProd!$A:$C,3,0)),"")</f>
        <v/>
      </c>
    </row>
    <row r="2595" spans="2:3" x14ac:dyDescent="0.3">
      <c r="B2595" t="str">
        <f>IFERROR(IF(A2595="","",VLOOKUP(A2595,CadProd!$A:$B,2,0)),"")</f>
        <v/>
      </c>
      <c r="C2595" t="str">
        <f>IFERROR(IF(A2595="","",VLOOKUP(A2595,CadProd!$A:$C,3,0)),"")</f>
        <v/>
      </c>
    </row>
    <row r="2596" spans="2:3" x14ac:dyDescent="0.3">
      <c r="B2596" t="str">
        <f>IFERROR(IF(A2596="","",VLOOKUP(A2596,CadProd!$A:$B,2,0)),"")</f>
        <v/>
      </c>
      <c r="C2596" t="str">
        <f>IFERROR(IF(A2596="","",VLOOKUP(A2596,CadProd!$A:$C,3,0)),"")</f>
        <v/>
      </c>
    </row>
    <row r="2597" spans="2:3" x14ac:dyDescent="0.3">
      <c r="B2597" t="str">
        <f>IFERROR(IF(A2597="","",VLOOKUP(A2597,CadProd!$A:$B,2,0)),"")</f>
        <v/>
      </c>
      <c r="C2597" t="str">
        <f>IFERROR(IF(A2597="","",VLOOKUP(A2597,CadProd!$A:$C,3,0)),"")</f>
        <v/>
      </c>
    </row>
    <row r="2598" spans="2:3" x14ac:dyDescent="0.3">
      <c r="B2598" t="str">
        <f>IFERROR(IF(A2598="","",VLOOKUP(A2598,CadProd!$A:$B,2,0)),"")</f>
        <v/>
      </c>
      <c r="C2598" t="str">
        <f>IFERROR(IF(A2598="","",VLOOKUP(A2598,CadProd!$A:$C,3,0)),"")</f>
        <v/>
      </c>
    </row>
    <row r="2599" spans="2:3" x14ac:dyDescent="0.3">
      <c r="B2599" t="str">
        <f>IFERROR(IF(A2599="","",VLOOKUP(A2599,CadProd!$A:$B,2,0)),"")</f>
        <v/>
      </c>
      <c r="C2599" t="str">
        <f>IFERROR(IF(A2599="","",VLOOKUP(A2599,CadProd!$A:$C,3,0)),"")</f>
        <v/>
      </c>
    </row>
    <row r="2600" spans="2:3" x14ac:dyDescent="0.3">
      <c r="B2600" t="str">
        <f>IFERROR(IF(A2600="","",VLOOKUP(A2600,CadProd!$A:$B,2,0)),"")</f>
        <v/>
      </c>
      <c r="C2600" t="str">
        <f>IFERROR(IF(A2600="","",VLOOKUP(A2600,CadProd!$A:$C,3,0)),"")</f>
        <v/>
      </c>
    </row>
    <row r="2601" spans="2:3" x14ac:dyDescent="0.3">
      <c r="B2601" t="str">
        <f>IFERROR(IF(A2601="","",VLOOKUP(A2601,CadProd!$A:$B,2,0)),"")</f>
        <v/>
      </c>
      <c r="C2601" t="str">
        <f>IFERROR(IF(A2601="","",VLOOKUP(A2601,CadProd!$A:$C,3,0)),"")</f>
        <v/>
      </c>
    </row>
    <row r="2602" spans="2:3" x14ac:dyDescent="0.3">
      <c r="B2602" t="str">
        <f>IFERROR(IF(A2602="","",VLOOKUP(A2602,CadProd!$A:$B,2,0)),"")</f>
        <v/>
      </c>
      <c r="C2602" t="str">
        <f>IFERROR(IF(A2602="","",VLOOKUP(A2602,CadProd!$A:$C,3,0)),"")</f>
        <v/>
      </c>
    </row>
    <row r="2603" spans="2:3" x14ac:dyDescent="0.3">
      <c r="B2603" t="str">
        <f>IFERROR(IF(A2603="","",VLOOKUP(A2603,CadProd!$A:$B,2,0)),"")</f>
        <v/>
      </c>
      <c r="C2603" t="str">
        <f>IFERROR(IF(A2603="","",VLOOKUP(A2603,CadProd!$A:$C,3,0)),"")</f>
        <v/>
      </c>
    </row>
    <row r="2604" spans="2:3" x14ac:dyDescent="0.3">
      <c r="B2604" t="str">
        <f>IFERROR(IF(A2604="","",VLOOKUP(A2604,CadProd!$A:$B,2,0)),"")</f>
        <v/>
      </c>
      <c r="C2604" t="str">
        <f>IFERROR(IF(A2604="","",VLOOKUP(A2604,CadProd!$A:$C,3,0)),"")</f>
        <v/>
      </c>
    </row>
    <row r="2605" spans="2:3" x14ac:dyDescent="0.3">
      <c r="B2605" t="str">
        <f>IFERROR(IF(A2605="","",VLOOKUP(A2605,CadProd!$A:$B,2,0)),"")</f>
        <v/>
      </c>
      <c r="C2605" t="str">
        <f>IFERROR(IF(A2605="","",VLOOKUP(A2605,CadProd!$A:$C,3,0)),"")</f>
        <v/>
      </c>
    </row>
    <row r="2606" spans="2:3" x14ac:dyDescent="0.3">
      <c r="B2606" t="str">
        <f>IFERROR(IF(A2606="","",VLOOKUP(A2606,CadProd!$A:$B,2,0)),"")</f>
        <v/>
      </c>
      <c r="C2606" t="str">
        <f>IFERROR(IF(A2606="","",VLOOKUP(A2606,CadProd!$A:$C,3,0)),"")</f>
        <v/>
      </c>
    </row>
    <row r="2607" spans="2:3" x14ac:dyDescent="0.3">
      <c r="B2607" t="str">
        <f>IFERROR(IF(A2607="","",VLOOKUP(A2607,CadProd!$A:$B,2,0)),"")</f>
        <v/>
      </c>
      <c r="C2607" t="str">
        <f>IFERROR(IF(A2607="","",VLOOKUP(A2607,CadProd!$A:$C,3,0)),"")</f>
        <v/>
      </c>
    </row>
    <row r="2608" spans="2:3" x14ac:dyDescent="0.3">
      <c r="B2608" t="str">
        <f>IFERROR(IF(A2608="","",VLOOKUP(A2608,CadProd!$A:$B,2,0)),"")</f>
        <v/>
      </c>
      <c r="C2608" t="str">
        <f>IFERROR(IF(A2608="","",VLOOKUP(A2608,CadProd!$A:$C,3,0)),"")</f>
        <v/>
      </c>
    </row>
    <row r="2609" spans="2:3" x14ac:dyDescent="0.3">
      <c r="B2609" t="str">
        <f>IFERROR(IF(A2609="","",VLOOKUP(A2609,CadProd!$A:$B,2,0)),"")</f>
        <v/>
      </c>
      <c r="C2609" t="str">
        <f>IFERROR(IF(A2609="","",VLOOKUP(A2609,CadProd!$A:$C,3,0)),"")</f>
        <v/>
      </c>
    </row>
    <row r="2610" spans="2:3" x14ac:dyDescent="0.3">
      <c r="B2610" t="str">
        <f>IFERROR(IF(A2610="","",VLOOKUP(A2610,CadProd!$A:$B,2,0)),"")</f>
        <v/>
      </c>
      <c r="C2610" t="str">
        <f>IFERROR(IF(A2610="","",VLOOKUP(A2610,CadProd!$A:$C,3,0)),"")</f>
        <v/>
      </c>
    </row>
    <row r="2611" spans="2:3" x14ac:dyDescent="0.3">
      <c r="B2611" t="str">
        <f>IFERROR(IF(A2611="","",VLOOKUP(A2611,CadProd!$A:$B,2,0)),"")</f>
        <v/>
      </c>
      <c r="C2611" t="str">
        <f>IFERROR(IF(A2611="","",VLOOKUP(A2611,CadProd!$A:$C,3,0)),"")</f>
        <v/>
      </c>
    </row>
    <row r="2612" spans="2:3" x14ac:dyDescent="0.3">
      <c r="B2612" t="str">
        <f>IFERROR(IF(A2612="","",VLOOKUP(A2612,CadProd!$A:$B,2,0)),"")</f>
        <v/>
      </c>
      <c r="C2612" t="str">
        <f>IFERROR(IF(A2612="","",VLOOKUP(A2612,CadProd!$A:$C,3,0)),"")</f>
        <v/>
      </c>
    </row>
    <row r="2613" spans="2:3" x14ac:dyDescent="0.3">
      <c r="B2613" t="str">
        <f>IFERROR(IF(A2613="","",VLOOKUP(A2613,CadProd!$A:$B,2,0)),"")</f>
        <v/>
      </c>
      <c r="C2613" t="str">
        <f>IFERROR(IF(A2613="","",VLOOKUP(A2613,CadProd!$A:$C,3,0)),"")</f>
        <v/>
      </c>
    </row>
    <row r="2614" spans="2:3" x14ac:dyDescent="0.3">
      <c r="B2614" t="str">
        <f>IFERROR(IF(A2614="","",VLOOKUP(A2614,CadProd!$A:$B,2,0)),"")</f>
        <v/>
      </c>
      <c r="C2614" t="str">
        <f>IFERROR(IF(A2614="","",VLOOKUP(A2614,CadProd!$A:$C,3,0)),"")</f>
        <v/>
      </c>
    </row>
    <row r="2615" spans="2:3" x14ac:dyDescent="0.3">
      <c r="B2615" t="str">
        <f>IFERROR(IF(A2615="","",VLOOKUP(A2615,CadProd!$A:$B,2,0)),"")</f>
        <v/>
      </c>
      <c r="C2615" t="str">
        <f>IFERROR(IF(A2615="","",VLOOKUP(A2615,CadProd!$A:$C,3,0)),"")</f>
        <v/>
      </c>
    </row>
    <row r="2616" spans="2:3" x14ac:dyDescent="0.3">
      <c r="B2616" t="str">
        <f>IFERROR(IF(A2616="","",VLOOKUP(A2616,CadProd!$A:$B,2,0)),"")</f>
        <v/>
      </c>
      <c r="C2616" t="str">
        <f>IFERROR(IF(A2616="","",VLOOKUP(A2616,CadProd!$A:$C,3,0)),"")</f>
        <v/>
      </c>
    </row>
    <row r="2617" spans="2:3" x14ac:dyDescent="0.3">
      <c r="B2617" t="str">
        <f>IFERROR(IF(A2617="","",VLOOKUP(A2617,CadProd!$A:$B,2,0)),"")</f>
        <v/>
      </c>
      <c r="C2617" t="str">
        <f>IFERROR(IF(A2617="","",VLOOKUP(A2617,CadProd!$A:$C,3,0)),"")</f>
        <v/>
      </c>
    </row>
    <row r="2618" spans="2:3" x14ac:dyDescent="0.3">
      <c r="B2618" t="str">
        <f>IFERROR(IF(A2618="","",VLOOKUP(A2618,CadProd!$A:$B,2,0)),"")</f>
        <v/>
      </c>
      <c r="C2618" t="str">
        <f>IFERROR(IF(A2618="","",VLOOKUP(A2618,CadProd!$A:$C,3,0)),"")</f>
        <v/>
      </c>
    </row>
    <row r="2619" spans="2:3" x14ac:dyDescent="0.3">
      <c r="B2619" t="str">
        <f>IFERROR(IF(A2619="","",VLOOKUP(A2619,CadProd!$A:$B,2,0)),"")</f>
        <v/>
      </c>
      <c r="C2619" t="str">
        <f>IFERROR(IF(A2619="","",VLOOKUP(A2619,CadProd!$A:$C,3,0)),"")</f>
        <v/>
      </c>
    </row>
    <row r="2620" spans="2:3" x14ac:dyDescent="0.3">
      <c r="B2620" t="str">
        <f>IFERROR(IF(A2620="","",VLOOKUP(A2620,CadProd!$A:$B,2,0)),"")</f>
        <v/>
      </c>
      <c r="C2620" t="str">
        <f>IFERROR(IF(A2620="","",VLOOKUP(A2620,CadProd!$A:$C,3,0)),"")</f>
        <v/>
      </c>
    </row>
    <row r="2621" spans="2:3" x14ac:dyDescent="0.3">
      <c r="B2621" t="str">
        <f>IFERROR(IF(A2621="","",VLOOKUP(A2621,CadProd!$A:$B,2,0)),"")</f>
        <v/>
      </c>
      <c r="C2621" t="str">
        <f>IFERROR(IF(A2621="","",VLOOKUP(A2621,CadProd!$A:$C,3,0)),"")</f>
        <v/>
      </c>
    </row>
    <row r="2622" spans="2:3" x14ac:dyDescent="0.3">
      <c r="B2622" t="str">
        <f>IFERROR(IF(A2622="","",VLOOKUP(A2622,CadProd!$A:$B,2,0)),"")</f>
        <v/>
      </c>
      <c r="C2622" t="str">
        <f>IFERROR(IF(A2622="","",VLOOKUP(A2622,CadProd!$A:$C,3,0)),"")</f>
        <v/>
      </c>
    </row>
    <row r="2623" spans="2:3" x14ac:dyDescent="0.3">
      <c r="B2623" t="str">
        <f>IFERROR(IF(A2623="","",VLOOKUP(A2623,CadProd!$A:$B,2,0)),"")</f>
        <v/>
      </c>
      <c r="C2623" t="str">
        <f>IFERROR(IF(A2623="","",VLOOKUP(A2623,CadProd!$A:$C,3,0)),"")</f>
        <v/>
      </c>
    </row>
    <row r="2624" spans="2:3" x14ac:dyDescent="0.3">
      <c r="B2624" t="str">
        <f>IFERROR(IF(A2624="","",VLOOKUP(A2624,CadProd!$A:$B,2,0)),"")</f>
        <v/>
      </c>
      <c r="C2624" t="str">
        <f>IFERROR(IF(A2624="","",VLOOKUP(A2624,CadProd!$A:$C,3,0)),"")</f>
        <v/>
      </c>
    </row>
    <row r="2625" spans="2:3" x14ac:dyDescent="0.3">
      <c r="B2625" t="str">
        <f>IFERROR(IF(A2625="","",VLOOKUP(A2625,CadProd!$A:$B,2,0)),"")</f>
        <v/>
      </c>
      <c r="C2625" t="str">
        <f>IFERROR(IF(A2625="","",VLOOKUP(A2625,CadProd!$A:$C,3,0)),"")</f>
        <v/>
      </c>
    </row>
    <row r="2626" spans="2:3" x14ac:dyDescent="0.3">
      <c r="B2626" t="str">
        <f>IFERROR(IF(A2626="","",VLOOKUP(A2626,CadProd!$A:$B,2,0)),"")</f>
        <v/>
      </c>
      <c r="C2626" t="str">
        <f>IFERROR(IF(A2626="","",VLOOKUP(A2626,CadProd!$A:$C,3,0)),"")</f>
        <v/>
      </c>
    </row>
    <row r="2627" spans="2:3" x14ac:dyDescent="0.3">
      <c r="B2627" t="str">
        <f>IFERROR(IF(A2627="","",VLOOKUP(A2627,CadProd!$A:$B,2,0)),"")</f>
        <v/>
      </c>
      <c r="C2627" t="str">
        <f>IFERROR(IF(A2627="","",VLOOKUP(A2627,CadProd!$A:$C,3,0)),"")</f>
        <v/>
      </c>
    </row>
    <row r="2628" spans="2:3" x14ac:dyDescent="0.3">
      <c r="B2628" t="str">
        <f>IFERROR(IF(A2628="","",VLOOKUP(A2628,CadProd!$A:$B,2,0)),"")</f>
        <v/>
      </c>
      <c r="C2628" t="str">
        <f>IFERROR(IF(A2628="","",VLOOKUP(A2628,CadProd!$A:$C,3,0)),"")</f>
        <v/>
      </c>
    </row>
    <row r="2629" spans="2:3" x14ac:dyDescent="0.3">
      <c r="B2629" t="str">
        <f>IFERROR(IF(A2629="","",VLOOKUP(A2629,CadProd!$A:$B,2,0)),"")</f>
        <v/>
      </c>
      <c r="C2629" t="str">
        <f>IFERROR(IF(A2629="","",VLOOKUP(A2629,CadProd!$A:$C,3,0)),"")</f>
        <v/>
      </c>
    </row>
    <row r="2630" spans="2:3" x14ac:dyDescent="0.3">
      <c r="B2630" t="str">
        <f>IFERROR(IF(A2630="","",VLOOKUP(A2630,CadProd!$A:$B,2,0)),"")</f>
        <v/>
      </c>
      <c r="C2630" t="str">
        <f>IFERROR(IF(A2630="","",VLOOKUP(A2630,CadProd!$A:$C,3,0)),"")</f>
        <v/>
      </c>
    </row>
    <row r="2631" spans="2:3" x14ac:dyDescent="0.3">
      <c r="B2631" t="str">
        <f>IFERROR(IF(A2631="","",VLOOKUP(A2631,CadProd!$A:$B,2,0)),"")</f>
        <v/>
      </c>
      <c r="C2631" t="str">
        <f>IFERROR(IF(A2631="","",VLOOKUP(A2631,CadProd!$A:$C,3,0)),"")</f>
        <v/>
      </c>
    </row>
    <row r="2632" spans="2:3" x14ac:dyDescent="0.3">
      <c r="B2632" t="str">
        <f>IFERROR(IF(A2632="","",VLOOKUP(A2632,CadProd!$A:$B,2,0)),"")</f>
        <v/>
      </c>
      <c r="C2632" t="str">
        <f>IFERROR(IF(A2632="","",VLOOKUP(A2632,CadProd!$A:$C,3,0)),"")</f>
        <v/>
      </c>
    </row>
    <row r="2633" spans="2:3" x14ac:dyDescent="0.3">
      <c r="B2633" t="str">
        <f>IFERROR(IF(A2633="","",VLOOKUP(A2633,CadProd!$A:$B,2,0)),"")</f>
        <v/>
      </c>
      <c r="C2633" t="str">
        <f>IFERROR(IF(A2633="","",VLOOKUP(A2633,CadProd!$A:$C,3,0)),"")</f>
        <v/>
      </c>
    </row>
    <row r="2634" spans="2:3" x14ac:dyDescent="0.3">
      <c r="B2634" t="str">
        <f>IFERROR(IF(A2634="","",VLOOKUP(A2634,CadProd!$A:$B,2,0)),"")</f>
        <v/>
      </c>
      <c r="C2634" t="str">
        <f>IFERROR(IF(A2634="","",VLOOKUP(A2634,CadProd!$A:$C,3,0)),"")</f>
        <v/>
      </c>
    </row>
    <row r="2635" spans="2:3" x14ac:dyDescent="0.3">
      <c r="B2635" t="str">
        <f>IFERROR(IF(A2635="","",VLOOKUP(A2635,CadProd!$A:$B,2,0)),"")</f>
        <v/>
      </c>
      <c r="C2635" t="str">
        <f>IFERROR(IF(A2635="","",VLOOKUP(A2635,CadProd!$A:$C,3,0)),"")</f>
        <v/>
      </c>
    </row>
    <row r="2636" spans="2:3" x14ac:dyDescent="0.3">
      <c r="B2636" t="str">
        <f>IFERROR(IF(A2636="","",VLOOKUP(A2636,CadProd!$A:$B,2,0)),"")</f>
        <v/>
      </c>
      <c r="C2636" t="str">
        <f>IFERROR(IF(A2636="","",VLOOKUP(A2636,CadProd!$A:$C,3,0)),"")</f>
        <v/>
      </c>
    </row>
    <row r="2637" spans="2:3" x14ac:dyDescent="0.3">
      <c r="B2637" t="str">
        <f>IFERROR(IF(A2637="","",VLOOKUP(A2637,CadProd!$A:$B,2,0)),"")</f>
        <v/>
      </c>
      <c r="C2637" t="str">
        <f>IFERROR(IF(A2637="","",VLOOKUP(A2637,CadProd!$A:$C,3,0)),"")</f>
        <v/>
      </c>
    </row>
    <row r="2638" spans="2:3" x14ac:dyDescent="0.3">
      <c r="B2638" t="str">
        <f>IFERROR(IF(A2638="","",VLOOKUP(A2638,CadProd!$A:$B,2,0)),"")</f>
        <v/>
      </c>
      <c r="C2638" t="str">
        <f>IFERROR(IF(A2638="","",VLOOKUP(A2638,CadProd!$A:$C,3,0)),"")</f>
        <v/>
      </c>
    </row>
    <row r="2639" spans="2:3" x14ac:dyDescent="0.3">
      <c r="B2639" t="str">
        <f>IFERROR(IF(A2639="","",VLOOKUP(A2639,CadProd!$A:$B,2,0)),"")</f>
        <v/>
      </c>
      <c r="C2639" t="str">
        <f>IFERROR(IF(A2639="","",VLOOKUP(A2639,CadProd!$A:$C,3,0)),"")</f>
        <v/>
      </c>
    </row>
    <row r="2640" spans="2:3" x14ac:dyDescent="0.3">
      <c r="B2640" t="str">
        <f>IFERROR(IF(A2640="","",VLOOKUP(A2640,CadProd!$A:$B,2,0)),"")</f>
        <v/>
      </c>
      <c r="C2640" t="str">
        <f>IFERROR(IF(A2640="","",VLOOKUP(A2640,CadProd!$A:$C,3,0)),"")</f>
        <v/>
      </c>
    </row>
    <row r="2641" spans="2:3" x14ac:dyDescent="0.3">
      <c r="B2641" t="str">
        <f>IFERROR(IF(A2641="","",VLOOKUP(A2641,CadProd!$A:$B,2,0)),"")</f>
        <v/>
      </c>
      <c r="C2641" t="str">
        <f>IFERROR(IF(A2641="","",VLOOKUP(A2641,CadProd!$A:$C,3,0)),"")</f>
        <v/>
      </c>
    </row>
    <row r="2642" spans="2:3" x14ac:dyDescent="0.3">
      <c r="B2642" t="str">
        <f>IFERROR(IF(A2642="","",VLOOKUP(A2642,CadProd!$A:$B,2,0)),"")</f>
        <v/>
      </c>
      <c r="C2642" t="str">
        <f>IFERROR(IF(A2642="","",VLOOKUP(A2642,CadProd!$A:$C,3,0)),"")</f>
        <v/>
      </c>
    </row>
    <row r="2643" spans="2:3" x14ac:dyDescent="0.3">
      <c r="B2643" t="str">
        <f>IFERROR(IF(A2643="","",VLOOKUP(A2643,CadProd!$A:$B,2,0)),"")</f>
        <v/>
      </c>
      <c r="C2643" t="str">
        <f>IFERROR(IF(A2643="","",VLOOKUP(A2643,CadProd!$A:$C,3,0)),"")</f>
        <v/>
      </c>
    </row>
    <row r="2644" spans="2:3" x14ac:dyDescent="0.3">
      <c r="B2644" t="str">
        <f>IFERROR(IF(A2644="","",VLOOKUP(A2644,CadProd!$A:$B,2,0)),"")</f>
        <v/>
      </c>
      <c r="C2644" t="str">
        <f>IFERROR(IF(A2644="","",VLOOKUP(A2644,CadProd!$A:$C,3,0)),"")</f>
        <v/>
      </c>
    </row>
    <row r="2645" spans="2:3" x14ac:dyDescent="0.3">
      <c r="B2645" t="str">
        <f>IFERROR(IF(A2645="","",VLOOKUP(A2645,CadProd!$A:$B,2,0)),"")</f>
        <v/>
      </c>
      <c r="C2645" t="str">
        <f>IFERROR(IF(A2645="","",VLOOKUP(A2645,CadProd!$A:$C,3,0)),"")</f>
        <v/>
      </c>
    </row>
    <row r="2646" spans="2:3" x14ac:dyDescent="0.3">
      <c r="B2646" t="str">
        <f>IFERROR(IF(A2646="","",VLOOKUP(A2646,CadProd!$A:$B,2,0)),"")</f>
        <v/>
      </c>
      <c r="C2646" t="str">
        <f>IFERROR(IF(A2646="","",VLOOKUP(A2646,CadProd!$A:$C,3,0)),"")</f>
        <v/>
      </c>
    </row>
    <row r="2647" spans="2:3" x14ac:dyDescent="0.3">
      <c r="B2647" t="str">
        <f>IFERROR(IF(A2647="","",VLOOKUP(A2647,CadProd!$A:$B,2,0)),"")</f>
        <v/>
      </c>
      <c r="C2647" t="str">
        <f>IFERROR(IF(A2647="","",VLOOKUP(A2647,CadProd!$A:$C,3,0)),"")</f>
        <v/>
      </c>
    </row>
    <row r="2648" spans="2:3" x14ac:dyDescent="0.3">
      <c r="B2648" t="str">
        <f>IFERROR(IF(A2648="","",VLOOKUP(A2648,CadProd!$A:$B,2,0)),"")</f>
        <v/>
      </c>
      <c r="C2648" t="str">
        <f>IFERROR(IF(A2648="","",VLOOKUP(A2648,CadProd!$A:$C,3,0)),"")</f>
        <v/>
      </c>
    </row>
    <row r="2649" spans="2:3" x14ac:dyDescent="0.3">
      <c r="B2649" t="str">
        <f>IFERROR(IF(A2649="","",VLOOKUP(A2649,CadProd!$A:$B,2,0)),"")</f>
        <v/>
      </c>
      <c r="C2649" t="str">
        <f>IFERROR(IF(A2649="","",VLOOKUP(A2649,CadProd!$A:$C,3,0)),"")</f>
        <v/>
      </c>
    </row>
    <row r="2650" spans="2:3" x14ac:dyDescent="0.3">
      <c r="B2650" t="str">
        <f>IFERROR(IF(A2650="","",VLOOKUP(A2650,CadProd!$A:$B,2,0)),"")</f>
        <v/>
      </c>
      <c r="C2650" t="str">
        <f>IFERROR(IF(A2650="","",VLOOKUP(A2650,CadProd!$A:$C,3,0)),"")</f>
        <v/>
      </c>
    </row>
    <row r="2651" spans="2:3" x14ac:dyDescent="0.3">
      <c r="B2651" t="str">
        <f>IFERROR(IF(A2651="","",VLOOKUP(A2651,CadProd!$A:$B,2,0)),"")</f>
        <v/>
      </c>
      <c r="C2651" t="str">
        <f>IFERROR(IF(A2651="","",VLOOKUP(A2651,CadProd!$A:$C,3,0)),"")</f>
        <v/>
      </c>
    </row>
    <row r="2652" spans="2:3" x14ac:dyDescent="0.3">
      <c r="B2652" t="str">
        <f>IFERROR(IF(A2652="","",VLOOKUP(A2652,CadProd!$A:$B,2,0)),"")</f>
        <v/>
      </c>
      <c r="C2652" t="str">
        <f>IFERROR(IF(A2652="","",VLOOKUP(A2652,CadProd!$A:$C,3,0)),"")</f>
        <v/>
      </c>
    </row>
    <row r="2653" spans="2:3" x14ac:dyDescent="0.3">
      <c r="B2653" t="str">
        <f>IFERROR(IF(A2653="","",VLOOKUP(A2653,CadProd!$A:$B,2,0)),"")</f>
        <v/>
      </c>
      <c r="C2653" t="str">
        <f>IFERROR(IF(A2653="","",VLOOKUP(A2653,CadProd!$A:$C,3,0)),"")</f>
        <v/>
      </c>
    </row>
    <row r="2654" spans="2:3" x14ac:dyDescent="0.3">
      <c r="B2654" t="str">
        <f>IFERROR(IF(A2654="","",VLOOKUP(A2654,CadProd!$A:$B,2,0)),"")</f>
        <v/>
      </c>
      <c r="C2654" t="str">
        <f>IFERROR(IF(A2654="","",VLOOKUP(A2654,CadProd!$A:$C,3,0)),"")</f>
        <v/>
      </c>
    </row>
    <row r="2655" spans="2:3" x14ac:dyDescent="0.3">
      <c r="B2655" t="str">
        <f>IFERROR(IF(A2655="","",VLOOKUP(A2655,CadProd!$A:$B,2,0)),"")</f>
        <v/>
      </c>
      <c r="C2655" t="str">
        <f>IFERROR(IF(A2655="","",VLOOKUP(A2655,CadProd!$A:$C,3,0)),"")</f>
        <v/>
      </c>
    </row>
    <row r="2656" spans="2:3" x14ac:dyDescent="0.3">
      <c r="B2656" t="str">
        <f>IFERROR(IF(A2656="","",VLOOKUP(A2656,CadProd!$A:$B,2,0)),"")</f>
        <v/>
      </c>
      <c r="C2656" t="str">
        <f>IFERROR(IF(A2656="","",VLOOKUP(A2656,CadProd!$A:$C,3,0)),"")</f>
        <v/>
      </c>
    </row>
    <row r="2657" spans="2:3" x14ac:dyDescent="0.3">
      <c r="B2657" t="str">
        <f>IFERROR(IF(A2657="","",VLOOKUP(A2657,CadProd!$A:$B,2,0)),"")</f>
        <v/>
      </c>
      <c r="C2657" t="str">
        <f>IFERROR(IF(A2657="","",VLOOKUP(A2657,CadProd!$A:$C,3,0)),"")</f>
        <v/>
      </c>
    </row>
    <row r="2658" spans="2:3" x14ac:dyDescent="0.3">
      <c r="B2658" t="str">
        <f>IFERROR(IF(A2658="","",VLOOKUP(A2658,CadProd!$A:$B,2,0)),"")</f>
        <v/>
      </c>
      <c r="C2658" t="str">
        <f>IFERROR(IF(A2658="","",VLOOKUP(A2658,CadProd!$A:$C,3,0)),"")</f>
        <v/>
      </c>
    </row>
    <row r="2659" spans="2:3" x14ac:dyDescent="0.3">
      <c r="B2659" t="str">
        <f>IFERROR(IF(A2659="","",VLOOKUP(A2659,CadProd!$A:$B,2,0)),"")</f>
        <v/>
      </c>
      <c r="C2659" t="str">
        <f>IFERROR(IF(A2659="","",VLOOKUP(A2659,CadProd!$A:$C,3,0)),"")</f>
        <v/>
      </c>
    </row>
    <row r="2660" spans="2:3" x14ac:dyDescent="0.3">
      <c r="B2660" t="str">
        <f>IFERROR(IF(A2660="","",VLOOKUP(A2660,CadProd!$A:$B,2,0)),"")</f>
        <v/>
      </c>
      <c r="C2660" t="str">
        <f>IFERROR(IF(A2660="","",VLOOKUP(A2660,CadProd!$A:$C,3,0)),"")</f>
        <v/>
      </c>
    </row>
    <row r="2661" spans="2:3" x14ac:dyDescent="0.3">
      <c r="B2661" t="str">
        <f>IFERROR(IF(A2661="","",VLOOKUP(A2661,CadProd!$A:$B,2,0)),"")</f>
        <v/>
      </c>
      <c r="C2661" t="str">
        <f>IFERROR(IF(A2661="","",VLOOKUP(A2661,CadProd!$A:$C,3,0)),"")</f>
        <v/>
      </c>
    </row>
    <row r="2662" spans="2:3" x14ac:dyDescent="0.3">
      <c r="B2662" t="str">
        <f>IFERROR(IF(A2662="","",VLOOKUP(A2662,CadProd!$A:$B,2,0)),"")</f>
        <v/>
      </c>
      <c r="C2662" t="str">
        <f>IFERROR(IF(A2662="","",VLOOKUP(A2662,CadProd!$A:$C,3,0)),"")</f>
        <v/>
      </c>
    </row>
    <row r="2663" spans="2:3" x14ac:dyDescent="0.3">
      <c r="B2663" t="str">
        <f>IFERROR(IF(A2663="","",VLOOKUP(A2663,CadProd!$A:$B,2,0)),"")</f>
        <v/>
      </c>
      <c r="C2663" t="str">
        <f>IFERROR(IF(A2663="","",VLOOKUP(A2663,CadProd!$A:$C,3,0)),"")</f>
        <v/>
      </c>
    </row>
    <row r="2664" spans="2:3" x14ac:dyDescent="0.3">
      <c r="B2664" t="str">
        <f>IFERROR(IF(A2664="","",VLOOKUP(A2664,CadProd!$A:$B,2,0)),"")</f>
        <v/>
      </c>
      <c r="C2664" t="str">
        <f>IFERROR(IF(A2664="","",VLOOKUP(A2664,CadProd!$A:$C,3,0)),"")</f>
        <v/>
      </c>
    </row>
    <row r="2665" spans="2:3" x14ac:dyDescent="0.3">
      <c r="B2665" t="str">
        <f>IFERROR(IF(A2665="","",VLOOKUP(A2665,CadProd!$A:$B,2,0)),"")</f>
        <v/>
      </c>
      <c r="C2665" t="str">
        <f>IFERROR(IF(A2665="","",VLOOKUP(A2665,CadProd!$A:$C,3,0)),"")</f>
        <v/>
      </c>
    </row>
    <row r="2666" spans="2:3" x14ac:dyDescent="0.3">
      <c r="B2666" t="str">
        <f>IFERROR(IF(A2666="","",VLOOKUP(A2666,CadProd!$A:$B,2,0)),"")</f>
        <v/>
      </c>
      <c r="C2666" t="str">
        <f>IFERROR(IF(A2666="","",VLOOKUP(A2666,CadProd!$A:$C,3,0)),"")</f>
        <v/>
      </c>
    </row>
    <row r="2667" spans="2:3" x14ac:dyDescent="0.3">
      <c r="B2667" t="str">
        <f>IFERROR(IF(A2667="","",VLOOKUP(A2667,CadProd!$A:$B,2,0)),"")</f>
        <v/>
      </c>
      <c r="C2667" t="str">
        <f>IFERROR(IF(A2667="","",VLOOKUP(A2667,CadProd!$A:$C,3,0)),"")</f>
        <v/>
      </c>
    </row>
    <row r="2668" spans="2:3" x14ac:dyDescent="0.3">
      <c r="B2668" t="str">
        <f>IFERROR(IF(A2668="","",VLOOKUP(A2668,CadProd!$A:$B,2,0)),"")</f>
        <v/>
      </c>
      <c r="C2668" t="str">
        <f>IFERROR(IF(A2668="","",VLOOKUP(A2668,CadProd!$A:$C,3,0)),"")</f>
        <v/>
      </c>
    </row>
    <row r="2669" spans="2:3" x14ac:dyDescent="0.3">
      <c r="B2669" t="str">
        <f>IFERROR(IF(A2669="","",VLOOKUP(A2669,CadProd!$A:$B,2,0)),"")</f>
        <v/>
      </c>
      <c r="C2669" t="str">
        <f>IFERROR(IF(A2669="","",VLOOKUP(A2669,CadProd!$A:$C,3,0)),"")</f>
        <v/>
      </c>
    </row>
    <row r="2670" spans="2:3" x14ac:dyDescent="0.3">
      <c r="B2670" t="str">
        <f>IFERROR(IF(A2670="","",VLOOKUP(A2670,CadProd!$A:$B,2,0)),"")</f>
        <v/>
      </c>
      <c r="C2670" t="str">
        <f>IFERROR(IF(A2670="","",VLOOKUP(A2670,CadProd!$A:$C,3,0)),"")</f>
        <v/>
      </c>
    </row>
    <row r="2671" spans="2:3" x14ac:dyDescent="0.3">
      <c r="B2671" t="str">
        <f>IFERROR(IF(A2671="","",VLOOKUP(A2671,CadProd!$A:$B,2,0)),"")</f>
        <v/>
      </c>
      <c r="C2671" t="str">
        <f>IFERROR(IF(A2671="","",VLOOKUP(A2671,CadProd!$A:$C,3,0)),"")</f>
        <v/>
      </c>
    </row>
    <row r="2672" spans="2:3" x14ac:dyDescent="0.3">
      <c r="B2672" t="str">
        <f>IFERROR(IF(A2672="","",VLOOKUP(A2672,CadProd!$A:$B,2,0)),"")</f>
        <v/>
      </c>
      <c r="C2672" t="str">
        <f>IFERROR(IF(A2672="","",VLOOKUP(A2672,CadProd!$A:$C,3,0)),"")</f>
        <v/>
      </c>
    </row>
    <row r="2673" spans="2:3" x14ac:dyDescent="0.3">
      <c r="B2673" t="str">
        <f>IFERROR(IF(A2673="","",VLOOKUP(A2673,CadProd!$A:$B,2,0)),"")</f>
        <v/>
      </c>
      <c r="C2673" t="str">
        <f>IFERROR(IF(A2673="","",VLOOKUP(A2673,CadProd!$A:$C,3,0)),"")</f>
        <v/>
      </c>
    </row>
    <row r="2674" spans="2:3" x14ac:dyDescent="0.3">
      <c r="B2674" t="str">
        <f>IFERROR(IF(A2674="","",VLOOKUP(A2674,CadProd!$A:$B,2,0)),"")</f>
        <v/>
      </c>
      <c r="C2674" t="str">
        <f>IFERROR(IF(A2674="","",VLOOKUP(A2674,CadProd!$A:$C,3,0)),"")</f>
        <v/>
      </c>
    </row>
    <row r="2675" spans="2:3" x14ac:dyDescent="0.3">
      <c r="B2675" t="str">
        <f>IFERROR(IF(A2675="","",VLOOKUP(A2675,CadProd!$A:$B,2,0)),"")</f>
        <v/>
      </c>
      <c r="C2675" t="str">
        <f>IFERROR(IF(A2675="","",VLOOKUP(A2675,CadProd!$A:$C,3,0)),"")</f>
        <v/>
      </c>
    </row>
    <row r="2676" spans="2:3" x14ac:dyDescent="0.3">
      <c r="B2676" t="str">
        <f>IFERROR(IF(A2676="","",VLOOKUP(A2676,CadProd!$A:$B,2,0)),"")</f>
        <v/>
      </c>
      <c r="C2676" t="str">
        <f>IFERROR(IF(A2676="","",VLOOKUP(A2676,CadProd!$A:$C,3,0)),"")</f>
        <v/>
      </c>
    </row>
    <row r="2677" spans="2:3" x14ac:dyDescent="0.3">
      <c r="B2677" t="str">
        <f>IFERROR(IF(A2677="","",VLOOKUP(A2677,CadProd!$A:$B,2,0)),"")</f>
        <v/>
      </c>
      <c r="C2677" t="str">
        <f>IFERROR(IF(A2677="","",VLOOKUP(A2677,CadProd!$A:$C,3,0)),"")</f>
        <v/>
      </c>
    </row>
    <row r="2678" spans="2:3" x14ac:dyDescent="0.3">
      <c r="B2678" t="str">
        <f>IFERROR(IF(A2678="","",VLOOKUP(A2678,CadProd!$A:$B,2,0)),"")</f>
        <v/>
      </c>
      <c r="C2678" t="str">
        <f>IFERROR(IF(A2678="","",VLOOKUP(A2678,CadProd!$A:$C,3,0)),"")</f>
        <v/>
      </c>
    </row>
    <row r="2679" spans="2:3" x14ac:dyDescent="0.3">
      <c r="B2679" t="str">
        <f>IFERROR(IF(A2679="","",VLOOKUP(A2679,CadProd!$A:$B,2,0)),"")</f>
        <v/>
      </c>
      <c r="C2679" t="str">
        <f>IFERROR(IF(A2679="","",VLOOKUP(A2679,CadProd!$A:$C,3,0)),"")</f>
        <v/>
      </c>
    </row>
    <row r="2680" spans="2:3" x14ac:dyDescent="0.3">
      <c r="B2680" t="str">
        <f>IFERROR(IF(A2680="","",VLOOKUP(A2680,CadProd!$A:$B,2,0)),"")</f>
        <v/>
      </c>
      <c r="C2680" t="str">
        <f>IFERROR(IF(A2680="","",VLOOKUP(A2680,CadProd!$A:$C,3,0)),"")</f>
        <v/>
      </c>
    </row>
    <row r="2681" spans="2:3" x14ac:dyDescent="0.3">
      <c r="B2681" t="str">
        <f>IFERROR(IF(A2681="","",VLOOKUP(A2681,CadProd!$A:$B,2,0)),"")</f>
        <v/>
      </c>
      <c r="C2681" t="str">
        <f>IFERROR(IF(A2681="","",VLOOKUP(A2681,CadProd!$A:$C,3,0)),"")</f>
        <v/>
      </c>
    </row>
    <row r="2682" spans="2:3" x14ac:dyDescent="0.3">
      <c r="B2682" t="str">
        <f>IFERROR(IF(A2682="","",VLOOKUP(A2682,CadProd!$A:$B,2,0)),"")</f>
        <v/>
      </c>
      <c r="C2682" t="str">
        <f>IFERROR(IF(A2682="","",VLOOKUP(A2682,CadProd!$A:$C,3,0)),"")</f>
        <v/>
      </c>
    </row>
    <row r="2683" spans="2:3" x14ac:dyDescent="0.3">
      <c r="B2683" t="str">
        <f>IFERROR(IF(A2683="","",VLOOKUP(A2683,CadProd!$A:$B,2,0)),"")</f>
        <v/>
      </c>
      <c r="C2683" t="str">
        <f>IFERROR(IF(A2683="","",VLOOKUP(A2683,CadProd!$A:$C,3,0)),"")</f>
        <v/>
      </c>
    </row>
    <row r="2684" spans="2:3" x14ac:dyDescent="0.3">
      <c r="B2684" t="str">
        <f>IFERROR(IF(A2684="","",VLOOKUP(A2684,CadProd!$A:$B,2,0)),"")</f>
        <v/>
      </c>
      <c r="C2684" t="str">
        <f>IFERROR(IF(A2684="","",VLOOKUP(A2684,CadProd!$A:$C,3,0)),"")</f>
        <v/>
      </c>
    </row>
    <row r="2685" spans="2:3" x14ac:dyDescent="0.3">
      <c r="B2685" t="str">
        <f>IFERROR(IF(A2685="","",VLOOKUP(A2685,CadProd!$A:$B,2,0)),"")</f>
        <v/>
      </c>
      <c r="C2685" t="str">
        <f>IFERROR(IF(A2685="","",VLOOKUP(A2685,CadProd!$A:$C,3,0)),"")</f>
        <v/>
      </c>
    </row>
    <row r="2686" spans="2:3" x14ac:dyDescent="0.3">
      <c r="B2686" t="str">
        <f>IFERROR(IF(A2686="","",VLOOKUP(A2686,CadProd!$A:$B,2,0)),"")</f>
        <v/>
      </c>
      <c r="C2686" t="str">
        <f>IFERROR(IF(A2686="","",VLOOKUP(A2686,CadProd!$A:$C,3,0)),"")</f>
        <v/>
      </c>
    </row>
    <row r="2687" spans="2:3" x14ac:dyDescent="0.3">
      <c r="B2687" t="str">
        <f>IFERROR(IF(A2687="","",VLOOKUP(A2687,CadProd!$A:$B,2,0)),"")</f>
        <v/>
      </c>
      <c r="C2687" t="str">
        <f>IFERROR(IF(A2687="","",VLOOKUP(A2687,CadProd!$A:$C,3,0)),"")</f>
        <v/>
      </c>
    </row>
    <row r="2688" spans="2:3" x14ac:dyDescent="0.3">
      <c r="B2688" t="str">
        <f>IFERROR(IF(A2688="","",VLOOKUP(A2688,CadProd!$A:$B,2,0)),"")</f>
        <v/>
      </c>
      <c r="C2688" t="str">
        <f>IFERROR(IF(A2688="","",VLOOKUP(A2688,CadProd!$A:$C,3,0)),"")</f>
        <v/>
      </c>
    </row>
    <row r="2689" spans="2:3" x14ac:dyDescent="0.3">
      <c r="B2689" t="str">
        <f>IFERROR(IF(A2689="","",VLOOKUP(A2689,CadProd!$A:$B,2,0)),"")</f>
        <v/>
      </c>
      <c r="C2689" t="str">
        <f>IFERROR(IF(A2689="","",VLOOKUP(A2689,CadProd!$A:$C,3,0)),"")</f>
        <v/>
      </c>
    </row>
    <row r="2690" spans="2:3" x14ac:dyDescent="0.3">
      <c r="B2690" t="str">
        <f>IFERROR(IF(A2690="","",VLOOKUP(A2690,CadProd!$A:$B,2,0)),"")</f>
        <v/>
      </c>
      <c r="C2690" t="str">
        <f>IFERROR(IF(A2690="","",VLOOKUP(A2690,CadProd!$A:$C,3,0)),"")</f>
        <v/>
      </c>
    </row>
    <row r="2691" spans="2:3" x14ac:dyDescent="0.3">
      <c r="B2691" t="str">
        <f>IFERROR(IF(A2691="","",VLOOKUP(A2691,CadProd!$A:$B,2,0)),"")</f>
        <v/>
      </c>
      <c r="C2691" t="str">
        <f>IFERROR(IF(A2691="","",VLOOKUP(A2691,CadProd!$A:$C,3,0)),"")</f>
        <v/>
      </c>
    </row>
    <row r="2692" spans="2:3" x14ac:dyDescent="0.3">
      <c r="B2692" t="str">
        <f>IFERROR(IF(A2692="","",VLOOKUP(A2692,CadProd!$A:$B,2,0)),"")</f>
        <v/>
      </c>
      <c r="C2692" t="str">
        <f>IFERROR(IF(A2692="","",VLOOKUP(A2692,CadProd!$A:$C,3,0)),"")</f>
        <v/>
      </c>
    </row>
    <row r="2693" spans="2:3" x14ac:dyDescent="0.3">
      <c r="B2693" t="str">
        <f>IFERROR(IF(A2693="","",VLOOKUP(A2693,CadProd!$A:$B,2,0)),"")</f>
        <v/>
      </c>
      <c r="C2693" t="str">
        <f>IFERROR(IF(A2693="","",VLOOKUP(A2693,CadProd!$A:$C,3,0)),"")</f>
        <v/>
      </c>
    </row>
    <row r="2694" spans="2:3" x14ac:dyDescent="0.3">
      <c r="B2694" t="str">
        <f>IFERROR(IF(A2694="","",VLOOKUP(A2694,CadProd!$A:$B,2,0)),"")</f>
        <v/>
      </c>
      <c r="C2694" t="str">
        <f>IFERROR(IF(A2694="","",VLOOKUP(A2694,CadProd!$A:$C,3,0)),"")</f>
        <v/>
      </c>
    </row>
    <row r="2695" spans="2:3" x14ac:dyDescent="0.3">
      <c r="B2695" t="str">
        <f>IFERROR(IF(A2695="","",VLOOKUP(A2695,CadProd!$A:$B,2,0)),"")</f>
        <v/>
      </c>
      <c r="C2695" t="str">
        <f>IFERROR(IF(A2695="","",VLOOKUP(A2695,CadProd!$A:$C,3,0)),"")</f>
        <v/>
      </c>
    </row>
    <row r="2696" spans="2:3" x14ac:dyDescent="0.3">
      <c r="B2696" t="str">
        <f>IFERROR(IF(A2696="","",VLOOKUP(A2696,CadProd!$A:$B,2,0)),"")</f>
        <v/>
      </c>
      <c r="C2696" t="str">
        <f>IFERROR(IF(A2696="","",VLOOKUP(A2696,CadProd!$A:$C,3,0)),"")</f>
        <v/>
      </c>
    </row>
    <row r="2697" spans="2:3" x14ac:dyDescent="0.3">
      <c r="B2697" t="str">
        <f>IFERROR(IF(A2697="","",VLOOKUP(A2697,CadProd!$A:$B,2,0)),"")</f>
        <v/>
      </c>
      <c r="C2697" t="str">
        <f>IFERROR(IF(A2697="","",VLOOKUP(A2697,CadProd!$A:$C,3,0)),"")</f>
        <v/>
      </c>
    </row>
    <row r="2698" spans="2:3" x14ac:dyDescent="0.3">
      <c r="B2698" t="str">
        <f>IFERROR(IF(A2698="","",VLOOKUP(A2698,CadProd!$A:$B,2,0)),"")</f>
        <v/>
      </c>
      <c r="C2698" t="str">
        <f>IFERROR(IF(A2698="","",VLOOKUP(A2698,CadProd!$A:$C,3,0)),"")</f>
        <v/>
      </c>
    </row>
    <row r="2699" spans="2:3" x14ac:dyDescent="0.3">
      <c r="B2699" t="str">
        <f>IFERROR(IF(A2699="","",VLOOKUP(A2699,CadProd!$A:$B,2,0)),"")</f>
        <v/>
      </c>
      <c r="C2699" t="str">
        <f>IFERROR(IF(A2699="","",VLOOKUP(A2699,CadProd!$A:$C,3,0)),"")</f>
        <v/>
      </c>
    </row>
    <row r="2700" spans="2:3" x14ac:dyDescent="0.3">
      <c r="B2700" t="str">
        <f>IFERROR(IF(A2700="","",VLOOKUP(A2700,CadProd!$A:$B,2,0)),"")</f>
        <v/>
      </c>
      <c r="C2700" t="str">
        <f>IFERROR(IF(A2700="","",VLOOKUP(A2700,CadProd!$A:$C,3,0)),"")</f>
        <v/>
      </c>
    </row>
    <row r="2701" spans="2:3" x14ac:dyDescent="0.3">
      <c r="B2701" t="str">
        <f>IFERROR(IF(A2701="","",VLOOKUP(A2701,CadProd!$A:$B,2,0)),"")</f>
        <v/>
      </c>
      <c r="C2701" t="str">
        <f>IFERROR(IF(A2701="","",VLOOKUP(A2701,CadProd!$A:$C,3,0)),"")</f>
        <v/>
      </c>
    </row>
    <row r="2702" spans="2:3" x14ac:dyDescent="0.3">
      <c r="B2702" t="str">
        <f>IFERROR(IF(A2702="","",VLOOKUP(A2702,CadProd!$A:$B,2,0)),"")</f>
        <v/>
      </c>
      <c r="C2702" t="str">
        <f>IFERROR(IF(A2702="","",VLOOKUP(A2702,CadProd!$A:$C,3,0)),"")</f>
        <v/>
      </c>
    </row>
    <row r="2703" spans="2:3" x14ac:dyDescent="0.3">
      <c r="B2703" t="str">
        <f>IFERROR(IF(A2703="","",VLOOKUP(A2703,CadProd!$A:$B,2,0)),"")</f>
        <v/>
      </c>
      <c r="C2703" t="str">
        <f>IFERROR(IF(A2703="","",VLOOKUP(A2703,CadProd!$A:$C,3,0)),"")</f>
        <v/>
      </c>
    </row>
    <row r="2704" spans="2:3" x14ac:dyDescent="0.3">
      <c r="B2704" t="str">
        <f>IFERROR(IF(A2704="","",VLOOKUP(A2704,CadProd!$A:$B,2,0)),"")</f>
        <v/>
      </c>
      <c r="C2704" t="str">
        <f>IFERROR(IF(A2704="","",VLOOKUP(A2704,CadProd!$A:$C,3,0)),"")</f>
        <v/>
      </c>
    </row>
    <row r="2705" spans="2:3" x14ac:dyDescent="0.3">
      <c r="B2705" t="str">
        <f>IFERROR(IF(A2705="","",VLOOKUP(A2705,CadProd!$A:$B,2,0)),"")</f>
        <v/>
      </c>
      <c r="C2705" t="str">
        <f>IFERROR(IF(A2705="","",VLOOKUP(A2705,CadProd!$A:$C,3,0)),"")</f>
        <v/>
      </c>
    </row>
    <row r="2706" spans="2:3" x14ac:dyDescent="0.3">
      <c r="B2706" t="str">
        <f>IFERROR(IF(A2706="","",VLOOKUP(A2706,CadProd!$A:$B,2,0)),"")</f>
        <v/>
      </c>
      <c r="C2706" t="str">
        <f>IFERROR(IF(A2706="","",VLOOKUP(A2706,CadProd!$A:$C,3,0)),"")</f>
        <v/>
      </c>
    </row>
    <row r="2707" spans="2:3" x14ac:dyDescent="0.3">
      <c r="B2707" t="str">
        <f>IFERROR(IF(A2707="","",VLOOKUP(A2707,CadProd!$A:$B,2,0)),"")</f>
        <v/>
      </c>
      <c r="C2707" t="str">
        <f>IFERROR(IF(A2707="","",VLOOKUP(A2707,CadProd!$A:$C,3,0)),"")</f>
        <v/>
      </c>
    </row>
    <row r="2708" spans="2:3" x14ac:dyDescent="0.3">
      <c r="B2708" t="str">
        <f>IFERROR(IF(A2708="","",VLOOKUP(A2708,CadProd!$A:$B,2,0)),"")</f>
        <v/>
      </c>
      <c r="C2708" t="str">
        <f>IFERROR(IF(A2708="","",VLOOKUP(A2708,CadProd!$A:$C,3,0)),"")</f>
        <v/>
      </c>
    </row>
    <row r="2709" spans="2:3" x14ac:dyDescent="0.3">
      <c r="B2709" t="str">
        <f>IFERROR(IF(A2709="","",VLOOKUP(A2709,CadProd!$A:$B,2,0)),"")</f>
        <v/>
      </c>
      <c r="C2709" t="str">
        <f>IFERROR(IF(A2709="","",VLOOKUP(A2709,CadProd!$A:$C,3,0)),"")</f>
        <v/>
      </c>
    </row>
    <row r="2710" spans="2:3" x14ac:dyDescent="0.3">
      <c r="B2710" t="str">
        <f>IFERROR(IF(A2710="","",VLOOKUP(A2710,CadProd!$A:$B,2,0)),"")</f>
        <v/>
      </c>
      <c r="C2710" t="str">
        <f>IFERROR(IF(A2710="","",VLOOKUP(A2710,CadProd!$A:$C,3,0)),"")</f>
        <v/>
      </c>
    </row>
    <row r="2711" spans="2:3" x14ac:dyDescent="0.3">
      <c r="B2711" t="str">
        <f>IFERROR(IF(A2711="","",VLOOKUP(A2711,CadProd!$A:$B,2,0)),"")</f>
        <v/>
      </c>
      <c r="C2711" t="str">
        <f>IFERROR(IF(A2711="","",VLOOKUP(A2711,CadProd!$A:$C,3,0)),"")</f>
        <v/>
      </c>
    </row>
    <row r="2712" spans="2:3" x14ac:dyDescent="0.3">
      <c r="B2712" t="str">
        <f>IFERROR(IF(A2712="","",VLOOKUP(A2712,CadProd!$A:$B,2,0)),"")</f>
        <v/>
      </c>
      <c r="C2712" t="str">
        <f>IFERROR(IF(A2712="","",VLOOKUP(A2712,CadProd!$A:$C,3,0)),"")</f>
        <v/>
      </c>
    </row>
    <row r="2713" spans="2:3" x14ac:dyDescent="0.3">
      <c r="B2713" t="str">
        <f>IFERROR(IF(A2713="","",VLOOKUP(A2713,CadProd!$A:$B,2,0)),"")</f>
        <v/>
      </c>
      <c r="C2713" t="str">
        <f>IFERROR(IF(A2713="","",VLOOKUP(A2713,CadProd!$A:$C,3,0)),"")</f>
        <v/>
      </c>
    </row>
    <row r="2714" spans="2:3" x14ac:dyDescent="0.3">
      <c r="B2714" t="str">
        <f>IFERROR(IF(A2714="","",VLOOKUP(A2714,CadProd!$A:$B,2,0)),"")</f>
        <v/>
      </c>
      <c r="C2714" t="str">
        <f>IFERROR(IF(A2714="","",VLOOKUP(A2714,CadProd!$A:$C,3,0)),"")</f>
        <v/>
      </c>
    </row>
    <row r="2715" spans="2:3" x14ac:dyDescent="0.3">
      <c r="B2715" t="str">
        <f>IFERROR(IF(A2715="","",VLOOKUP(A2715,CadProd!$A:$B,2,0)),"")</f>
        <v/>
      </c>
      <c r="C2715" t="str">
        <f>IFERROR(IF(A2715="","",VLOOKUP(A2715,CadProd!$A:$C,3,0)),"")</f>
        <v/>
      </c>
    </row>
    <row r="2716" spans="2:3" x14ac:dyDescent="0.3">
      <c r="B2716" t="str">
        <f>IFERROR(IF(A2716="","",VLOOKUP(A2716,CadProd!$A:$B,2,0)),"")</f>
        <v/>
      </c>
      <c r="C2716" t="str">
        <f>IFERROR(IF(A2716="","",VLOOKUP(A2716,CadProd!$A:$C,3,0)),"")</f>
        <v/>
      </c>
    </row>
    <row r="2717" spans="2:3" x14ac:dyDescent="0.3">
      <c r="B2717" t="str">
        <f>IFERROR(IF(A2717="","",VLOOKUP(A2717,CadProd!$A:$B,2,0)),"")</f>
        <v/>
      </c>
      <c r="C2717" t="str">
        <f>IFERROR(IF(A2717="","",VLOOKUP(A2717,CadProd!$A:$C,3,0)),"")</f>
        <v/>
      </c>
    </row>
    <row r="2718" spans="2:3" x14ac:dyDescent="0.3">
      <c r="B2718" t="str">
        <f>IFERROR(IF(A2718="","",VLOOKUP(A2718,CadProd!$A:$B,2,0)),"")</f>
        <v/>
      </c>
      <c r="C2718" t="str">
        <f>IFERROR(IF(A2718="","",VLOOKUP(A2718,CadProd!$A:$C,3,0)),"")</f>
        <v/>
      </c>
    </row>
    <row r="2719" spans="2:3" x14ac:dyDescent="0.3">
      <c r="B2719" t="str">
        <f>IFERROR(IF(A2719="","",VLOOKUP(A2719,CadProd!$A:$B,2,0)),"")</f>
        <v/>
      </c>
      <c r="C2719" t="str">
        <f>IFERROR(IF(A2719="","",VLOOKUP(A2719,CadProd!$A:$C,3,0)),"")</f>
        <v/>
      </c>
    </row>
    <row r="2720" spans="2:3" x14ac:dyDescent="0.3">
      <c r="B2720" t="str">
        <f>IFERROR(IF(A2720="","",VLOOKUP(A2720,CadProd!$A:$B,2,0)),"")</f>
        <v/>
      </c>
      <c r="C2720" t="str">
        <f>IFERROR(IF(A2720="","",VLOOKUP(A2720,CadProd!$A:$C,3,0)),"")</f>
        <v/>
      </c>
    </row>
    <row r="2721" spans="2:3" x14ac:dyDescent="0.3">
      <c r="B2721" t="str">
        <f>IFERROR(IF(A2721="","",VLOOKUP(A2721,CadProd!$A:$B,2,0)),"")</f>
        <v/>
      </c>
      <c r="C2721" t="str">
        <f>IFERROR(IF(A2721="","",VLOOKUP(A2721,CadProd!$A:$C,3,0)),"")</f>
        <v/>
      </c>
    </row>
    <row r="2722" spans="2:3" x14ac:dyDescent="0.3">
      <c r="B2722" t="str">
        <f>IFERROR(IF(A2722="","",VLOOKUP(A2722,CadProd!$A:$B,2,0)),"")</f>
        <v/>
      </c>
      <c r="C2722" t="str">
        <f>IFERROR(IF(A2722="","",VLOOKUP(A2722,CadProd!$A:$C,3,0)),"")</f>
        <v/>
      </c>
    </row>
    <row r="2723" spans="2:3" x14ac:dyDescent="0.3">
      <c r="B2723" t="str">
        <f>IFERROR(IF(A2723="","",VLOOKUP(A2723,CadProd!$A:$B,2,0)),"")</f>
        <v/>
      </c>
      <c r="C2723" t="str">
        <f>IFERROR(IF(A2723="","",VLOOKUP(A2723,CadProd!$A:$C,3,0)),"")</f>
        <v/>
      </c>
    </row>
    <row r="2724" spans="2:3" x14ac:dyDescent="0.3">
      <c r="B2724" t="str">
        <f>IFERROR(IF(A2724="","",VLOOKUP(A2724,CadProd!$A:$B,2,0)),"")</f>
        <v/>
      </c>
      <c r="C2724" t="str">
        <f>IFERROR(IF(A2724="","",VLOOKUP(A2724,CadProd!$A:$C,3,0)),"")</f>
        <v/>
      </c>
    </row>
    <row r="2725" spans="2:3" x14ac:dyDescent="0.3">
      <c r="B2725" t="str">
        <f>IFERROR(IF(A2725="","",VLOOKUP(A2725,CadProd!$A:$B,2,0)),"")</f>
        <v/>
      </c>
      <c r="C2725" t="str">
        <f>IFERROR(IF(A2725="","",VLOOKUP(A2725,CadProd!$A:$C,3,0)),"")</f>
        <v/>
      </c>
    </row>
    <row r="2726" spans="2:3" x14ac:dyDescent="0.3">
      <c r="B2726" t="str">
        <f>IFERROR(IF(A2726="","",VLOOKUP(A2726,CadProd!$A:$B,2,0)),"")</f>
        <v/>
      </c>
      <c r="C2726" t="str">
        <f>IFERROR(IF(A2726="","",VLOOKUP(A2726,CadProd!$A:$C,3,0)),"")</f>
        <v/>
      </c>
    </row>
    <row r="2727" spans="2:3" x14ac:dyDescent="0.3">
      <c r="B2727" t="str">
        <f>IFERROR(IF(A2727="","",VLOOKUP(A2727,CadProd!$A:$B,2,0)),"")</f>
        <v/>
      </c>
      <c r="C2727" t="str">
        <f>IFERROR(IF(A2727="","",VLOOKUP(A2727,CadProd!$A:$C,3,0)),"")</f>
        <v/>
      </c>
    </row>
    <row r="2728" spans="2:3" x14ac:dyDescent="0.3">
      <c r="B2728" t="str">
        <f>IFERROR(IF(A2728="","",VLOOKUP(A2728,CadProd!$A:$B,2,0)),"")</f>
        <v/>
      </c>
      <c r="C2728" t="str">
        <f>IFERROR(IF(A2728="","",VLOOKUP(A2728,CadProd!$A:$C,3,0)),"")</f>
        <v/>
      </c>
    </row>
    <row r="2729" spans="2:3" x14ac:dyDescent="0.3">
      <c r="B2729" t="str">
        <f>IFERROR(IF(A2729="","",VLOOKUP(A2729,CadProd!$A:$B,2,0)),"")</f>
        <v/>
      </c>
      <c r="C2729" t="str">
        <f>IFERROR(IF(A2729="","",VLOOKUP(A2729,CadProd!$A:$C,3,0)),"")</f>
        <v/>
      </c>
    </row>
    <row r="2730" spans="2:3" x14ac:dyDescent="0.3">
      <c r="B2730" t="str">
        <f>IFERROR(IF(A2730="","",VLOOKUP(A2730,CadProd!$A:$B,2,0)),"")</f>
        <v/>
      </c>
      <c r="C2730" t="str">
        <f>IFERROR(IF(A2730="","",VLOOKUP(A2730,CadProd!$A:$C,3,0)),"")</f>
        <v/>
      </c>
    </row>
    <row r="2731" spans="2:3" x14ac:dyDescent="0.3">
      <c r="B2731" t="str">
        <f>IFERROR(IF(A2731="","",VLOOKUP(A2731,CadProd!$A:$B,2,0)),"")</f>
        <v/>
      </c>
      <c r="C2731" t="str">
        <f>IFERROR(IF(A2731="","",VLOOKUP(A2731,CadProd!$A:$C,3,0)),"")</f>
        <v/>
      </c>
    </row>
    <row r="2732" spans="2:3" x14ac:dyDescent="0.3">
      <c r="B2732" t="str">
        <f>IFERROR(IF(A2732="","",VLOOKUP(A2732,CadProd!$A:$B,2,0)),"")</f>
        <v/>
      </c>
      <c r="C2732" t="str">
        <f>IFERROR(IF(A2732="","",VLOOKUP(A2732,CadProd!$A:$C,3,0)),"")</f>
        <v/>
      </c>
    </row>
    <row r="2733" spans="2:3" x14ac:dyDescent="0.3">
      <c r="B2733" t="str">
        <f>IFERROR(IF(A2733="","",VLOOKUP(A2733,CadProd!$A:$B,2,0)),"")</f>
        <v/>
      </c>
      <c r="C2733" t="str">
        <f>IFERROR(IF(A2733="","",VLOOKUP(A2733,CadProd!$A:$C,3,0)),"")</f>
        <v/>
      </c>
    </row>
    <row r="2734" spans="2:3" x14ac:dyDescent="0.3">
      <c r="B2734" t="str">
        <f>IFERROR(IF(A2734="","",VLOOKUP(A2734,CadProd!$A:$B,2,0)),"")</f>
        <v/>
      </c>
      <c r="C2734" t="str">
        <f>IFERROR(IF(A2734="","",VLOOKUP(A2734,CadProd!$A:$C,3,0)),"")</f>
        <v/>
      </c>
    </row>
    <row r="2735" spans="2:3" x14ac:dyDescent="0.3">
      <c r="B2735" t="str">
        <f>IFERROR(IF(A2735="","",VLOOKUP(A2735,CadProd!$A:$B,2,0)),"")</f>
        <v/>
      </c>
      <c r="C2735" t="str">
        <f>IFERROR(IF(A2735="","",VLOOKUP(A2735,CadProd!$A:$C,3,0)),"")</f>
        <v/>
      </c>
    </row>
    <row r="2736" spans="2:3" x14ac:dyDescent="0.3">
      <c r="B2736" t="str">
        <f>IFERROR(IF(A2736="","",VLOOKUP(A2736,CadProd!$A:$B,2,0)),"")</f>
        <v/>
      </c>
      <c r="C2736" t="str">
        <f>IFERROR(IF(A2736="","",VLOOKUP(A2736,CadProd!$A:$C,3,0)),"")</f>
        <v/>
      </c>
    </row>
    <row r="2737" spans="2:3" x14ac:dyDescent="0.3">
      <c r="B2737" t="str">
        <f>IFERROR(IF(A2737="","",VLOOKUP(A2737,CadProd!$A:$B,2,0)),"")</f>
        <v/>
      </c>
      <c r="C2737" t="str">
        <f>IFERROR(IF(A2737="","",VLOOKUP(A2737,CadProd!$A:$C,3,0)),"")</f>
        <v/>
      </c>
    </row>
    <row r="2738" spans="2:3" x14ac:dyDescent="0.3">
      <c r="B2738" t="str">
        <f>IFERROR(IF(A2738="","",VLOOKUP(A2738,CadProd!$A:$B,2,0)),"")</f>
        <v/>
      </c>
      <c r="C2738" t="str">
        <f>IFERROR(IF(A2738="","",VLOOKUP(A2738,CadProd!$A:$C,3,0)),"")</f>
        <v/>
      </c>
    </row>
    <row r="2739" spans="2:3" x14ac:dyDescent="0.3">
      <c r="B2739" t="str">
        <f>IFERROR(IF(A2739="","",VLOOKUP(A2739,CadProd!$A:$B,2,0)),"")</f>
        <v/>
      </c>
      <c r="C2739" t="str">
        <f>IFERROR(IF(A2739="","",VLOOKUP(A2739,CadProd!$A:$C,3,0)),"")</f>
        <v/>
      </c>
    </row>
    <row r="2740" spans="2:3" x14ac:dyDescent="0.3">
      <c r="B2740" t="str">
        <f>IFERROR(IF(A2740="","",VLOOKUP(A2740,CadProd!$A:$B,2,0)),"")</f>
        <v/>
      </c>
      <c r="C2740" t="str">
        <f>IFERROR(IF(A2740="","",VLOOKUP(A2740,CadProd!$A:$C,3,0)),"")</f>
        <v/>
      </c>
    </row>
    <row r="2741" spans="2:3" x14ac:dyDescent="0.3">
      <c r="B2741" t="str">
        <f>IFERROR(IF(A2741="","",VLOOKUP(A2741,CadProd!$A:$B,2,0)),"")</f>
        <v/>
      </c>
      <c r="C2741" t="str">
        <f>IFERROR(IF(A2741="","",VLOOKUP(A2741,CadProd!$A:$C,3,0)),"")</f>
        <v/>
      </c>
    </row>
    <row r="2742" spans="2:3" x14ac:dyDescent="0.3">
      <c r="B2742" t="str">
        <f>IFERROR(IF(A2742="","",VLOOKUP(A2742,CadProd!$A:$B,2,0)),"")</f>
        <v/>
      </c>
      <c r="C2742" t="str">
        <f>IFERROR(IF(A2742="","",VLOOKUP(A2742,CadProd!$A:$C,3,0)),"")</f>
        <v/>
      </c>
    </row>
    <row r="2743" spans="2:3" x14ac:dyDescent="0.3">
      <c r="B2743" t="str">
        <f>IFERROR(IF(A2743="","",VLOOKUP(A2743,CadProd!$A:$B,2,0)),"")</f>
        <v/>
      </c>
      <c r="C2743" t="str">
        <f>IFERROR(IF(A2743="","",VLOOKUP(A2743,CadProd!$A:$C,3,0)),"")</f>
        <v/>
      </c>
    </row>
    <row r="2744" spans="2:3" x14ac:dyDescent="0.3">
      <c r="B2744" t="str">
        <f>IFERROR(IF(A2744="","",VLOOKUP(A2744,CadProd!$A:$B,2,0)),"")</f>
        <v/>
      </c>
      <c r="C2744" t="str">
        <f>IFERROR(IF(A2744="","",VLOOKUP(A2744,CadProd!$A:$C,3,0)),"")</f>
        <v/>
      </c>
    </row>
    <row r="2745" spans="2:3" x14ac:dyDescent="0.3">
      <c r="B2745" t="str">
        <f>IFERROR(IF(A2745="","",VLOOKUP(A2745,CadProd!$A:$B,2,0)),"")</f>
        <v/>
      </c>
      <c r="C2745" t="str">
        <f>IFERROR(IF(A2745="","",VLOOKUP(A2745,CadProd!$A:$C,3,0)),"")</f>
        <v/>
      </c>
    </row>
    <row r="2746" spans="2:3" x14ac:dyDescent="0.3">
      <c r="B2746" t="str">
        <f>IFERROR(IF(A2746="","",VLOOKUP(A2746,CadProd!$A:$B,2,0)),"")</f>
        <v/>
      </c>
      <c r="C2746" t="str">
        <f>IFERROR(IF(A2746="","",VLOOKUP(A2746,CadProd!$A:$C,3,0)),"")</f>
        <v/>
      </c>
    </row>
    <row r="2747" spans="2:3" x14ac:dyDescent="0.3">
      <c r="B2747" t="str">
        <f>IFERROR(IF(A2747="","",VLOOKUP(A2747,CadProd!$A:$B,2,0)),"")</f>
        <v/>
      </c>
      <c r="C2747" t="str">
        <f>IFERROR(IF(A2747="","",VLOOKUP(A2747,CadProd!$A:$C,3,0)),"")</f>
        <v/>
      </c>
    </row>
    <row r="2748" spans="2:3" x14ac:dyDescent="0.3">
      <c r="B2748" t="str">
        <f>IFERROR(IF(A2748="","",VLOOKUP(A2748,CadProd!$A:$B,2,0)),"")</f>
        <v/>
      </c>
      <c r="C2748" t="str">
        <f>IFERROR(IF(A2748="","",VLOOKUP(A2748,CadProd!$A:$C,3,0)),"")</f>
        <v/>
      </c>
    </row>
    <row r="2749" spans="2:3" x14ac:dyDescent="0.3">
      <c r="B2749" t="str">
        <f>IFERROR(IF(A2749="","",VLOOKUP(A2749,CadProd!$A:$B,2,0)),"")</f>
        <v/>
      </c>
      <c r="C2749" t="str">
        <f>IFERROR(IF(A2749="","",VLOOKUP(A2749,CadProd!$A:$C,3,0)),"")</f>
        <v/>
      </c>
    </row>
    <row r="2750" spans="2:3" x14ac:dyDescent="0.3">
      <c r="B2750" t="str">
        <f>IFERROR(IF(A2750="","",VLOOKUP(A2750,CadProd!$A:$B,2,0)),"")</f>
        <v/>
      </c>
      <c r="C2750" t="str">
        <f>IFERROR(IF(A2750="","",VLOOKUP(A2750,CadProd!$A:$C,3,0)),"")</f>
        <v/>
      </c>
    </row>
    <row r="2751" spans="2:3" x14ac:dyDescent="0.3">
      <c r="B2751" t="str">
        <f>IFERROR(IF(A2751="","",VLOOKUP(A2751,CadProd!$A:$B,2,0)),"")</f>
        <v/>
      </c>
      <c r="C2751" t="str">
        <f>IFERROR(IF(A2751="","",VLOOKUP(A2751,CadProd!$A:$C,3,0)),"")</f>
        <v/>
      </c>
    </row>
    <row r="2752" spans="2:3" x14ac:dyDescent="0.3">
      <c r="B2752" t="str">
        <f>IFERROR(IF(A2752="","",VLOOKUP(A2752,CadProd!$A:$B,2,0)),"")</f>
        <v/>
      </c>
      <c r="C2752" t="str">
        <f>IFERROR(IF(A2752="","",VLOOKUP(A2752,CadProd!$A:$C,3,0)),"")</f>
        <v/>
      </c>
    </row>
    <row r="2753" spans="2:3" x14ac:dyDescent="0.3">
      <c r="B2753" t="str">
        <f>IFERROR(IF(A2753="","",VLOOKUP(A2753,CadProd!$A:$B,2,0)),"")</f>
        <v/>
      </c>
      <c r="C2753" t="str">
        <f>IFERROR(IF(A2753="","",VLOOKUP(A2753,CadProd!$A:$C,3,0)),"")</f>
        <v/>
      </c>
    </row>
    <row r="2754" spans="2:3" x14ac:dyDescent="0.3">
      <c r="B2754" t="str">
        <f>IFERROR(IF(A2754="","",VLOOKUP(A2754,CadProd!$A:$B,2,0)),"")</f>
        <v/>
      </c>
      <c r="C2754" t="str">
        <f>IFERROR(IF(A2754="","",VLOOKUP(A2754,CadProd!$A:$C,3,0)),"")</f>
        <v/>
      </c>
    </row>
    <row r="2755" spans="2:3" x14ac:dyDescent="0.3">
      <c r="B2755" t="str">
        <f>IFERROR(IF(A2755="","",VLOOKUP(A2755,CadProd!$A:$B,2,0)),"")</f>
        <v/>
      </c>
      <c r="C2755" t="str">
        <f>IFERROR(IF(A2755="","",VLOOKUP(A2755,CadProd!$A:$C,3,0)),"")</f>
        <v/>
      </c>
    </row>
    <row r="2756" spans="2:3" x14ac:dyDescent="0.3">
      <c r="B2756" t="str">
        <f>IFERROR(IF(A2756="","",VLOOKUP(A2756,CadProd!$A:$B,2,0)),"")</f>
        <v/>
      </c>
      <c r="C2756" t="str">
        <f>IFERROR(IF(A2756="","",VLOOKUP(A2756,CadProd!$A:$C,3,0)),"")</f>
        <v/>
      </c>
    </row>
    <row r="2757" spans="2:3" x14ac:dyDescent="0.3">
      <c r="B2757" t="str">
        <f>IFERROR(IF(A2757="","",VLOOKUP(A2757,CadProd!$A:$B,2,0)),"")</f>
        <v/>
      </c>
      <c r="C2757" t="str">
        <f>IFERROR(IF(A2757="","",VLOOKUP(A2757,CadProd!$A:$C,3,0)),"")</f>
        <v/>
      </c>
    </row>
    <row r="2758" spans="2:3" x14ac:dyDescent="0.3">
      <c r="B2758" t="str">
        <f>IFERROR(IF(A2758="","",VLOOKUP(A2758,CadProd!$A:$B,2,0)),"")</f>
        <v/>
      </c>
      <c r="C2758" t="str">
        <f>IFERROR(IF(A2758="","",VLOOKUP(A2758,CadProd!$A:$C,3,0)),"")</f>
        <v/>
      </c>
    </row>
    <row r="2759" spans="2:3" x14ac:dyDescent="0.3">
      <c r="B2759" t="str">
        <f>IFERROR(IF(A2759="","",VLOOKUP(A2759,CadProd!$A:$B,2,0)),"")</f>
        <v/>
      </c>
      <c r="C2759" t="str">
        <f>IFERROR(IF(A2759="","",VLOOKUP(A2759,CadProd!$A:$C,3,0)),"")</f>
        <v/>
      </c>
    </row>
    <row r="2760" spans="2:3" x14ac:dyDescent="0.3">
      <c r="B2760" t="str">
        <f>IFERROR(IF(A2760="","",VLOOKUP(A2760,CadProd!$A:$B,2,0)),"")</f>
        <v/>
      </c>
      <c r="C2760" t="str">
        <f>IFERROR(IF(A2760="","",VLOOKUP(A2760,CadProd!$A:$C,3,0)),"")</f>
        <v/>
      </c>
    </row>
    <row r="2761" spans="2:3" x14ac:dyDescent="0.3">
      <c r="B2761" t="str">
        <f>IFERROR(IF(A2761="","",VLOOKUP(A2761,CadProd!$A:$B,2,0)),"")</f>
        <v/>
      </c>
      <c r="C2761" t="str">
        <f>IFERROR(IF(A2761="","",VLOOKUP(A2761,CadProd!$A:$C,3,0)),"")</f>
        <v/>
      </c>
    </row>
    <row r="2762" spans="2:3" x14ac:dyDescent="0.3">
      <c r="B2762" t="str">
        <f>IFERROR(IF(A2762="","",VLOOKUP(A2762,CadProd!$A:$B,2,0)),"")</f>
        <v/>
      </c>
      <c r="C2762" t="str">
        <f>IFERROR(IF(A2762="","",VLOOKUP(A2762,CadProd!$A:$C,3,0)),"")</f>
        <v/>
      </c>
    </row>
    <row r="2763" spans="2:3" x14ac:dyDescent="0.3">
      <c r="B2763" t="str">
        <f>IFERROR(IF(A2763="","",VLOOKUP(A2763,CadProd!$A:$B,2,0)),"")</f>
        <v/>
      </c>
      <c r="C2763" t="str">
        <f>IFERROR(IF(A2763="","",VLOOKUP(A2763,CadProd!$A:$C,3,0)),"")</f>
        <v/>
      </c>
    </row>
    <row r="2764" spans="2:3" x14ac:dyDescent="0.3">
      <c r="B2764" t="str">
        <f>IFERROR(IF(A2764="","",VLOOKUP(A2764,CadProd!$A:$B,2,0)),"")</f>
        <v/>
      </c>
      <c r="C2764" t="str">
        <f>IFERROR(IF(A2764="","",VLOOKUP(A2764,CadProd!$A:$C,3,0)),"")</f>
        <v/>
      </c>
    </row>
    <row r="2765" spans="2:3" x14ac:dyDescent="0.3">
      <c r="B2765" t="str">
        <f>IFERROR(IF(A2765="","",VLOOKUP(A2765,CadProd!$A:$B,2,0)),"")</f>
        <v/>
      </c>
      <c r="C2765" t="str">
        <f>IFERROR(IF(A2765="","",VLOOKUP(A2765,CadProd!$A:$C,3,0)),"")</f>
        <v/>
      </c>
    </row>
    <row r="2766" spans="2:3" x14ac:dyDescent="0.3">
      <c r="B2766" t="str">
        <f>IFERROR(IF(A2766="","",VLOOKUP(A2766,CadProd!$A:$B,2,0)),"")</f>
        <v/>
      </c>
      <c r="C2766" t="str">
        <f>IFERROR(IF(A2766="","",VLOOKUP(A2766,CadProd!$A:$C,3,0)),"")</f>
        <v/>
      </c>
    </row>
    <row r="2767" spans="2:3" x14ac:dyDescent="0.3">
      <c r="B2767" t="str">
        <f>IFERROR(IF(A2767="","",VLOOKUP(A2767,CadProd!$A:$B,2,0)),"")</f>
        <v/>
      </c>
      <c r="C2767" t="str">
        <f>IFERROR(IF(A2767="","",VLOOKUP(A2767,CadProd!$A:$C,3,0)),"")</f>
        <v/>
      </c>
    </row>
    <row r="2768" spans="2:3" x14ac:dyDescent="0.3">
      <c r="B2768" t="str">
        <f>IFERROR(IF(A2768="","",VLOOKUP(A2768,CadProd!$A:$B,2,0)),"")</f>
        <v/>
      </c>
      <c r="C2768" t="str">
        <f>IFERROR(IF(A2768="","",VLOOKUP(A2768,CadProd!$A:$C,3,0)),"")</f>
        <v/>
      </c>
    </row>
    <row r="2769" spans="2:3" x14ac:dyDescent="0.3">
      <c r="B2769" t="str">
        <f>IFERROR(IF(A2769="","",VLOOKUP(A2769,CadProd!$A:$B,2,0)),"")</f>
        <v/>
      </c>
      <c r="C2769" t="str">
        <f>IFERROR(IF(A2769="","",VLOOKUP(A2769,CadProd!$A:$C,3,0)),"")</f>
        <v/>
      </c>
    </row>
    <row r="2770" spans="2:3" x14ac:dyDescent="0.3">
      <c r="B2770" t="str">
        <f>IFERROR(IF(A2770="","",VLOOKUP(A2770,CadProd!$A:$B,2,0)),"")</f>
        <v/>
      </c>
      <c r="C2770" t="str">
        <f>IFERROR(IF(A2770="","",VLOOKUP(A2770,CadProd!$A:$C,3,0)),"")</f>
        <v/>
      </c>
    </row>
    <row r="2771" spans="2:3" x14ac:dyDescent="0.3">
      <c r="B2771" t="str">
        <f>IFERROR(IF(A2771="","",VLOOKUP(A2771,CadProd!$A:$B,2,0)),"")</f>
        <v/>
      </c>
      <c r="C2771" t="str">
        <f>IFERROR(IF(A2771="","",VLOOKUP(A2771,CadProd!$A:$C,3,0)),"")</f>
        <v/>
      </c>
    </row>
    <row r="2772" spans="2:3" x14ac:dyDescent="0.3">
      <c r="B2772" t="str">
        <f>IFERROR(IF(A2772="","",VLOOKUP(A2772,CadProd!$A:$B,2,0)),"")</f>
        <v/>
      </c>
      <c r="C2772" t="str">
        <f>IFERROR(IF(A2772="","",VLOOKUP(A2772,CadProd!$A:$C,3,0)),"")</f>
        <v/>
      </c>
    </row>
    <row r="2773" spans="2:3" x14ac:dyDescent="0.3">
      <c r="B2773" t="str">
        <f>IFERROR(IF(A2773="","",VLOOKUP(A2773,CadProd!$A:$B,2,0)),"")</f>
        <v/>
      </c>
      <c r="C2773" t="str">
        <f>IFERROR(IF(A2773="","",VLOOKUP(A2773,CadProd!$A:$C,3,0)),"")</f>
        <v/>
      </c>
    </row>
    <row r="2774" spans="2:3" x14ac:dyDescent="0.3">
      <c r="B2774" t="str">
        <f>IFERROR(IF(A2774="","",VLOOKUP(A2774,CadProd!$A:$B,2,0)),"")</f>
        <v/>
      </c>
      <c r="C2774" t="str">
        <f>IFERROR(IF(A2774="","",VLOOKUP(A2774,CadProd!$A:$C,3,0)),"")</f>
        <v/>
      </c>
    </row>
    <row r="2775" spans="2:3" x14ac:dyDescent="0.3">
      <c r="B2775" t="str">
        <f>IFERROR(IF(A2775="","",VLOOKUP(A2775,CadProd!$A:$B,2,0)),"")</f>
        <v/>
      </c>
      <c r="C2775" t="str">
        <f>IFERROR(IF(A2775="","",VLOOKUP(A2775,CadProd!$A:$C,3,0)),"")</f>
        <v/>
      </c>
    </row>
    <row r="2776" spans="2:3" x14ac:dyDescent="0.3">
      <c r="B2776" t="str">
        <f>IFERROR(IF(A2776="","",VLOOKUP(A2776,CadProd!$A:$B,2,0)),"")</f>
        <v/>
      </c>
      <c r="C2776" t="str">
        <f>IFERROR(IF(A2776="","",VLOOKUP(A2776,CadProd!$A:$C,3,0)),"")</f>
        <v/>
      </c>
    </row>
    <row r="2777" spans="2:3" x14ac:dyDescent="0.3">
      <c r="B2777" t="str">
        <f>IFERROR(IF(A2777="","",VLOOKUP(A2777,CadProd!$A:$B,2,0)),"")</f>
        <v/>
      </c>
      <c r="C2777" t="str">
        <f>IFERROR(IF(A2777="","",VLOOKUP(A2777,CadProd!$A:$C,3,0)),"")</f>
        <v/>
      </c>
    </row>
    <row r="2778" spans="2:3" x14ac:dyDescent="0.3">
      <c r="B2778" t="str">
        <f>IFERROR(IF(A2778="","",VLOOKUP(A2778,CadProd!$A:$B,2,0)),"")</f>
        <v/>
      </c>
      <c r="C2778" t="str">
        <f>IFERROR(IF(A2778="","",VLOOKUP(A2778,CadProd!$A:$C,3,0)),"")</f>
        <v/>
      </c>
    </row>
    <row r="2779" spans="2:3" x14ac:dyDescent="0.3">
      <c r="B2779" t="str">
        <f>IFERROR(IF(A2779="","",VLOOKUP(A2779,CadProd!$A:$B,2,0)),"")</f>
        <v/>
      </c>
      <c r="C2779" t="str">
        <f>IFERROR(IF(A2779="","",VLOOKUP(A2779,CadProd!$A:$C,3,0)),"")</f>
        <v/>
      </c>
    </row>
    <row r="2780" spans="2:3" x14ac:dyDescent="0.3">
      <c r="B2780" t="str">
        <f>IFERROR(IF(A2780="","",VLOOKUP(A2780,CadProd!$A:$B,2,0)),"")</f>
        <v/>
      </c>
      <c r="C2780" t="str">
        <f>IFERROR(IF(A2780="","",VLOOKUP(A2780,CadProd!$A:$C,3,0)),"")</f>
        <v/>
      </c>
    </row>
    <row r="2781" spans="2:3" x14ac:dyDescent="0.3">
      <c r="B2781" t="str">
        <f>IFERROR(IF(A2781="","",VLOOKUP(A2781,CadProd!$A:$B,2,0)),"")</f>
        <v/>
      </c>
      <c r="C2781" t="str">
        <f>IFERROR(IF(A2781="","",VLOOKUP(A2781,CadProd!$A:$C,3,0)),"")</f>
        <v/>
      </c>
    </row>
    <row r="2782" spans="2:3" x14ac:dyDescent="0.3">
      <c r="B2782" t="str">
        <f>IFERROR(IF(A2782="","",VLOOKUP(A2782,CadProd!$A:$B,2,0)),"")</f>
        <v/>
      </c>
      <c r="C2782" t="str">
        <f>IFERROR(IF(A2782="","",VLOOKUP(A2782,CadProd!$A:$C,3,0)),"")</f>
        <v/>
      </c>
    </row>
    <row r="2783" spans="2:3" x14ac:dyDescent="0.3">
      <c r="B2783" t="str">
        <f>IFERROR(IF(A2783="","",VLOOKUP(A2783,CadProd!$A:$B,2,0)),"")</f>
        <v/>
      </c>
      <c r="C2783" t="str">
        <f>IFERROR(IF(A2783="","",VLOOKUP(A2783,CadProd!$A:$C,3,0)),"")</f>
        <v/>
      </c>
    </row>
    <row r="2784" spans="2:3" x14ac:dyDescent="0.3">
      <c r="B2784" t="str">
        <f>IFERROR(IF(A2784="","",VLOOKUP(A2784,CadProd!$A:$B,2,0)),"")</f>
        <v/>
      </c>
      <c r="C2784" t="str">
        <f>IFERROR(IF(A2784="","",VLOOKUP(A2784,CadProd!$A:$C,3,0)),"")</f>
        <v/>
      </c>
    </row>
    <row r="2785" spans="2:3" x14ac:dyDescent="0.3">
      <c r="B2785" t="str">
        <f>IFERROR(IF(A2785="","",VLOOKUP(A2785,CadProd!$A:$B,2,0)),"")</f>
        <v/>
      </c>
      <c r="C2785" t="str">
        <f>IFERROR(IF(A2785="","",VLOOKUP(A2785,CadProd!$A:$C,3,0)),"")</f>
        <v/>
      </c>
    </row>
    <row r="2786" spans="2:3" x14ac:dyDescent="0.3">
      <c r="B2786" t="str">
        <f>IFERROR(IF(A2786="","",VLOOKUP(A2786,CadProd!$A:$B,2,0)),"")</f>
        <v/>
      </c>
      <c r="C2786" t="str">
        <f>IFERROR(IF(A2786="","",VLOOKUP(A2786,CadProd!$A:$C,3,0)),"")</f>
        <v/>
      </c>
    </row>
    <row r="2787" spans="2:3" x14ac:dyDescent="0.3">
      <c r="B2787" t="str">
        <f>IFERROR(IF(A2787="","",VLOOKUP(A2787,CadProd!$A:$B,2,0)),"")</f>
        <v/>
      </c>
      <c r="C2787" t="str">
        <f>IFERROR(IF(A2787="","",VLOOKUP(A2787,CadProd!$A:$C,3,0)),"")</f>
        <v/>
      </c>
    </row>
    <row r="2788" spans="2:3" x14ac:dyDescent="0.3">
      <c r="B2788" t="str">
        <f>IFERROR(IF(A2788="","",VLOOKUP(A2788,CadProd!$A:$B,2,0)),"")</f>
        <v/>
      </c>
      <c r="C2788" t="str">
        <f>IFERROR(IF(A2788="","",VLOOKUP(A2788,CadProd!$A:$C,3,0)),"")</f>
        <v/>
      </c>
    </row>
    <row r="2789" spans="2:3" x14ac:dyDescent="0.3">
      <c r="B2789" t="str">
        <f>IFERROR(IF(A2789="","",VLOOKUP(A2789,CadProd!$A:$B,2,0)),"")</f>
        <v/>
      </c>
      <c r="C2789" t="str">
        <f>IFERROR(IF(A2789="","",VLOOKUP(A2789,CadProd!$A:$C,3,0)),"")</f>
        <v/>
      </c>
    </row>
    <row r="2790" spans="2:3" x14ac:dyDescent="0.3">
      <c r="B2790" t="str">
        <f>IFERROR(IF(A2790="","",VLOOKUP(A2790,CadProd!$A:$B,2,0)),"")</f>
        <v/>
      </c>
      <c r="C2790" t="str">
        <f>IFERROR(IF(A2790="","",VLOOKUP(A2790,CadProd!$A:$C,3,0)),"")</f>
        <v/>
      </c>
    </row>
    <row r="2791" spans="2:3" x14ac:dyDescent="0.3">
      <c r="B2791" t="str">
        <f>IFERROR(IF(A2791="","",VLOOKUP(A2791,CadProd!$A:$B,2,0)),"")</f>
        <v/>
      </c>
      <c r="C2791" t="str">
        <f>IFERROR(IF(A2791="","",VLOOKUP(A2791,CadProd!$A:$C,3,0)),"")</f>
        <v/>
      </c>
    </row>
    <row r="2792" spans="2:3" x14ac:dyDescent="0.3">
      <c r="B2792" t="str">
        <f>IFERROR(IF(A2792="","",VLOOKUP(A2792,CadProd!$A:$B,2,0)),"")</f>
        <v/>
      </c>
      <c r="C2792" t="str">
        <f>IFERROR(IF(A2792="","",VLOOKUP(A2792,CadProd!$A:$C,3,0)),"")</f>
        <v/>
      </c>
    </row>
    <row r="2793" spans="2:3" x14ac:dyDescent="0.3">
      <c r="B2793" t="str">
        <f>IFERROR(IF(A2793="","",VLOOKUP(A2793,CadProd!$A:$B,2,0)),"")</f>
        <v/>
      </c>
      <c r="C2793" t="str">
        <f>IFERROR(IF(A2793="","",VLOOKUP(A2793,CadProd!$A:$C,3,0)),"")</f>
        <v/>
      </c>
    </row>
    <row r="2794" spans="2:3" x14ac:dyDescent="0.3">
      <c r="B2794" t="str">
        <f>IFERROR(IF(A2794="","",VLOOKUP(A2794,CadProd!$A:$B,2,0)),"")</f>
        <v/>
      </c>
      <c r="C2794" t="str">
        <f>IFERROR(IF(A2794="","",VLOOKUP(A2794,CadProd!$A:$C,3,0)),"")</f>
        <v/>
      </c>
    </row>
    <row r="2795" spans="2:3" x14ac:dyDescent="0.3">
      <c r="B2795" t="str">
        <f>IFERROR(IF(A2795="","",VLOOKUP(A2795,CadProd!$A:$B,2,0)),"")</f>
        <v/>
      </c>
      <c r="C2795" t="str">
        <f>IFERROR(IF(A2795="","",VLOOKUP(A2795,CadProd!$A:$C,3,0)),"")</f>
        <v/>
      </c>
    </row>
    <row r="2796" spans="2:3" x14ac:dyDescent="0.3">
      <c r="B2796" t="str">
        <f>IFERROR(IF(A2796="","",VLOOKUP(A2796,CadProd!$A:$B,2,0)),"")</f>
        <v/>
      </c>
      <c r="C2796" t="str">
        <f>IFERROR(IF(A2796="","",VLOOKUP(A2796,CadProd!$A:$C,3,0)),"")</f>
        <v/>
      </c>
    </row>
    <row r="2797" spans="2:3" x14ac:dyDescent="0.3">
      <c r="B2797" t="str">
        <f>IFERROR(IF(A2797="","",VLOOKUP(A2797,CadProd!$A:$B,2,0)),"")</f>
        <v/>
      </c>
      <c r="C2797" t="str">
        <f>IFERROR(IF(A2797="","",VLOOKUP(A2797,CadProd!$A:$C,3,0)),"")</f>
        <v/>
      </c>
    </row>
    <row r="2798" spans="2:3" x14ac:dyDescent="0.3">
      <c r="B2798" t="str">
        <f>IFERROR(IF(A2798="","",VLOOKUP(A2798,CadProd!$A:$B,2,0)),"")</f>
        <v/>
      </c>
      <c r="C2798" t="str">
        <f>IFERROR(IF(A2798="","",VLOOKUP(A2798,CadProd!$A:$C,3,0)),"")</f>
        <v/>
      </c>
    </row>
    <row r="2799" spans="2:3" x14ac:dyDescent="0.3">
      <c r="B2799" t="str">
        <f>IFERROR(IF(A2799="","",VLOOKUP(A2799,CadProd!$A:$B,2,0)),"")</f>
        <v/>
      </c>
      <c r="C2799" t="str">
        <f>IFERROR(IF(A2799="","",VLOOKUP(A2799,CadProd!$A:$C,3,0)),"")</f>
        <v/>
      </c>
    </row>
    <row r="2800" spans="2:3" x14ac:dyDescent="0.3">
      <c r="B2800" t="str">
        <f>IFERROR(IF(A2800="","",VLOOKUP(A2800,CadProd!$A:$B,2,0)),"")</f>
        <v/>
      </c>
      <c r="C2800" t="str">
        <f>IFERROR(IF(A2800="","",VLOOKUP(A2800,CadProd!$A:$C,3,0)),"")</f>
        <v/>
      </c>
    </row>
    <row r="2801" spans="2:3" x14ac:dyDescent="0.3">
      <c r="B2801" t="str">
        <f>IFERROR(IF(A2801="","",VLOOKUP(A2801,CadProd!$A:$B,2,0)),"")</f>
        <v/>
      </c>
      <c r="C2801" t="str">
        <f>IFERROR(IF(A2801="","",VLOOKUP(A2801,CadProd!$A:$C,3,0)),"")</f>
        <v/>
      </c>
    </row>
    <row r="2802" spans="2:3" x14ac:dyDescent="0.3">
      <c r="B2802" t="str">
        <f>IFERROR(IF(A2802="","",VLOOKUP(A2802,CadProd!$A:$B,2,0)),"")</f>
        <v/>
      </c>
      <c r="C2802" t="str">
        <f>IFERROR(IF(A2802="","",VLOOKUP(A2802,CadProd!$A:$C,3,0)),"")</f>
        <v/>
      </c>
    </row>
    <row r="2803" spans="2:3" x14ac:dyDescent="0.3">
      <c r="B2803" t="str">
        <f>IFERROR(IF(A2803="","",VLOOKUP(A2803,CadProd!$A:$B,2,0)),"")</f>
        <v/>
      </c>
      <c r="C2803" t="str">
        <f>IFERROR(IF(A2803="","",VLOOKUP(A2803,CadProd!$A:$C,3,0)),"")</f>
        <v/>
      </c>
    </row>
    <row r="2804" spans="2:3" x14ac:dyDescent="0.3">
      <c r="B2804" t="str">
        <f>IFERROR(IF(A2804="","",VLOOKUP(A2804,CadProd!$A:$B,2,0)),"")</f>
        <v/>
      </c>
      <c r="C2804" t="str">
        <f>IFERROR(IF(A2804="","",VLOOKUP(A2804,CadProd!$A:$C,3,0)),"")</f>
        <v/>
      </c>
    </row>
    <row r="2805" spans="2:3" x14ac:dyDescent="0.3">
      <c r="B2805" t="str">
        <f>IFERROR(IF(A2805="","",VLOOKUP(A2805,CadProd!$A:$B,2,0)),"")</f>
        <v/>
      </c>
      <c r="C2805" t="str">
        <f>IFERROR(IF(A2805="","",VLOOKUP(A2805,CadProd!$A:$C,3,0)),"")</f>
        <v/>
      </c>
    </row>
    <row r="2806" spans="2:3" x14ac:dyDescent="0.3">
      <c r="B2806" t="str">
        <f>IFERROR(IF(A2806="","",VLOOKUP(A2806,CadProd!$A:$B,2,0)),"")</f>
        <v/>
      </c>
      <c r="C2806" t="str">
        <f>IFERROR(IF(A2806="","",VLOOKUP(A2806,CadProd!$A:$C,3,0)),"")</f>
        <v/>
      </c>
    </row>
    <row r="2807" spans="2:3" x14ac:dyDescent="0.3">
      <c r="B2807" t="str">
        <f>IFERROR(IF(A2807="","",VLOOKUP(A2807,CadProd!$A:$B,2,0)),"")</f>
        <v/>
      </c>
      <c r="C2807" t="str">
        <f>IFERROR(IF(A2807="","",VLOOKUP(A2807,CadProd!$A:$C,3,0)),"")</f>
        <v/>
      </c>
    </row>
    <row r="2808" spans="2:3" x14ac:dyDescent="0.3">
      <c r="B2808" t="str">
        <f>IFERROR(IF(A2808="","",VLOOKUP(A2808,CadProd!$A:$B,2,0)),"")</f>
        <v/>
      </c>
      <c r="C2808" t="str">
        <f>IFERROR(IF(A2808="","",VLOOKUP(A2808,CadProd!$A:$C,3,0)),"")</f>
        <v/>
      </c>
    </row>
    <row r="2809" spans="2:3" x14ac:dyDescent="0.3">
      <c r="B2809" t="str">
        <f>IFERROR(IF(A2809="","",VLOOKUP(A2809,CadProd!$A:$B,2,0)),"")</f>
        <v/>
      </c>
      <c r="C2809" t="str">
        <f>IFERROR(IF(A2809="","",VLOOKUP(A2809,CadProd!$A:$C,3,0)),"")</f>
        <v/>
      </c>
    </row>
    <row r="2810" spans="2:3" x14ac:dyDescent="0.3">
      <c r="B2810" t="str">
        <f>IFERROR(IF(A2810="","",VLOOKUP(A2810,CadProd!$A:$B,2,0)),"")</f>
        <v/>
      </c>
      <c r="C2810" t="str">
        <f>IFERROR(IF(A2810="","",VLOOKUP(A2810,CadProd!$A:$C,3,0)),"")</f>
        <v/>
      </c>
    </row>
    <row r="2811" spans="2:3" x14ac:dyDescent="0.3">
      <c r="B2811" t="str">
        <f>IFERROR(IF(A2811="","",VLOOKUP(A2811,CadProd!$A:$B,2,0)),"")</f>
        <v/>
      </c>
      <c r="C2811" t="str">
        <f>IFERROR(IF(A2811="","",VLOOKUP(A2811,CadProd!$A:$C,3,0)),"")</f>
        <v/>
      </c>
    </row>
    <row r="2812" spans="2:3" x14ac:dyDescent="0.3">
      <c r="B2812" t="str">
        <f>IFERROR(IF(A2812="","",VLOOKUP(A2812,CadProd!$A:$B,2,0)),"")</f>
        <v/>
      </c>
      <c r="C2812" t="str">
        <f>IFERROR(IF(A2812="","",VLOOKUP(A2812,CadProd!$A:$C,3,0)),"")</f>
        <v/>
      </c>
    </row>
    <row r="2813" spans="2:3" x14ac:dyDescent="0.3">
      <c r="B2813" t="str">
        <f>IFERROR(IF(A2813="","",VLOOKUP(A2813,CadProd!$A:$B,2,0)),"")</f>
        <v/>
      </c>
      <c r="C2813" t="str">
        <f>IFERROR(IF(A2813="","",VLOOKUP(A2813,CadProd!$A:$C,3,0)),"")</f>
        <v/>
      </c>
    </row>
    <row r="2814" spans="2:3" x14ac:dyDescent="0.3">
      <c r="B2814" t="str">
        <f>IFERROR(IF(A2814="","",VLOOKUP(A2814,CadProd!$A:$B,2,0)),"")</f>
        <v/>
      </c>
      <c r="C2814" t="str">
        <f>IFERROR(IF(A2814="","",VLOOKUP(A2814,CadProd!$A:$C,3,0)),"")</f>
        <v/>
      </c>
    </row>
    <row r="2815" spans="2:3" x14ac:dyDescent="0.3">
      <c r="B2815" t="str">
        <f>IFERROR(IF(A2815="","",VLOOKUP(A2815,CadProd!$A:$B,2,0)),"")</f>
        <v/>
      </c>
      <c r="C2815" t="str">
        <f>IFERROR(IF(A2815="","",VLOOKUP(A2815,CadProd!$A:$C,3,0)),"")</f>
        <v/>
      </c>
    </row>
    <row r="2816" spans="2:3" x14ac:dyDescent="0.3">
      <c r="B2816" t="str">
        <f>IFERROR(IF(A2816="","",VLOOKUP(A2816,CadProd!$A:$B,2,0)),"")</f>
        <v/>
      </c>
      <c r="C2816" t="str">
        <f>IFERROR(IF(A2816="","",VLOOKUP(A2816,CadProd!$A:$C,3,0)),"")</f>
        <v/>
      </c>
    </row>
    <row r="2817" spans="2:3" x14ac:dyDescent="0.3">
      <c r="B2817" t="str">
        <f>IFERROR(IF(A2817="","",VLOOKUP(A2817,CadProd!$A:$B,2,0)),"")</f>
        <v/>
      </c>
      <c r="C2817" t="str">
        <f>IFERROR(IF(A2817="","",VLOOKUP(A2817,CadProd!$A:$C,3,0)),"")</f>
        <v/>
      </c>
    </row>
    <row r="2818" spans="2:3" x14ac:dyDescent="0.3">
      <c r="B2818" t="str">
        <f>IFERROR(IF(A2818="","",VLOOKUP(A2818,CadProd!$A:$B,2,0)),"")</f>
        <v/>
      </c>
      <c r="C2818" t="str">
        <f>IFERROR(IF(A2818="","",VLOOKUP(A2818,CadProd!$A:$C,3,0)),"")</f>
        <v/>
      </c>
    </row>
    <row r="2819" spans="2:3" x14ac:dyDescent="0.3">
      <c r="B2819" t="str">
        <f>IFERROR(IF(A2819="","",VLOOKUP(A2819,CadProd!$A:$B,2,0)),"")</f>
        <v/>
      </c>
      <c r="C2819" t="str">
        <f>IFERROR(IF(A2819="","",VLOOKUP(A2819,CadProd!$A:$C,3,0)),"")</f>
        <v/>
      </c>
    </row>
    <row r="2820" spans="2:3" x14ac:dyDescent="0.3">
      <c r="B2820" t="str">
        <f>IFERROR(IF(A2820="","",VLOOKUP(A2820,CadProd!$A:$B,2,0)),"")</f>
        <v/>
      </c>
      <c r="C2820" t="str">
        <f>IFERROR(IF(A2820="","",VLOOKUP(A2820,CadProd!$A:$C,3,0)),"")</f>
        <v/>
      </c>
    </row>
    <row r="2821" spans="2:3" x14ac:dyDescent="0.3">
      <c r="B2821" t="str">
        <f>IFERROR(IF(A2821="","",VLOOKUP(A2821,CadProd!$A:$B,2,0)),"")</f>
        <v/>
      </c>
      <c r="C2821" t="str">
        <f>IFERROR(IF(A2821="","",VLOOKUP(A2821,CadProd!$A:$C,3,0)),"")</f>
        <v/>
      </c>
    </row>
    <row r="2822" spans="2:3" x14ac:dyDescent="0.3">
      <c r="B2822" t="str">
        <f>IFERROR(IF(A2822="","",VLOOKUP(A2822,CadProd!$A:$B,2,0)),"")</f>
        <v/>
      </c>
      <c r="C2822" t="str">
        <f>IFERROR(IF(A2822="","",VLOOKUP(A2822,CadProd!$A:$C,3,0)),"")</f>
        <v/>
      </c>
    </row>
    <row r="2823" spans="2:3" x14ac:dyDescent="0.3">
      <c r="B2823" t="str">
        <f>IFERROR(IF(A2823="","",VLOOKUP(A2823,CadProd!$A:$B,2,0)),"")</f>
        <v/>
      </c>
      <c r="C2823" t="str">
        <f>IFERROR(IF(A2823="","",VLOOKUP(A2823,CadProd!$A:$C,3,0)),"")</f>
        <v/>
      </c>
    </row>
    <row r="2824" spans="2:3" x14ac:dyDescent="0.3">
      <c r="B2824" t="str">
        <f>IFERROR(IF(A2824="","",VLOOKUP(A2824,CadProd!$A:$B,2,0)),"")</f>
        <v/>
      </c>
      <c r="C2824" t="str">
        <f>IFERROR(IF(A2824="","",VLOOKUP(A2824,CadProd!$A:$C,3,0)),"")</f>
        <v/>
      </c>
    </row>
    <row r="2825" spans="2:3" x14ac:dyDescent="0.3">
      <c r="B2825" t="str">
        <f>IFERROR(IF(A2825="","",VLOOKUP(A2825,CadProd!$A:$B,2,0)),"")</f>
        <v/>
      </c>
      <c r="C2825" t="str">
        <f>IFERROR(IF(A2825="","",VLOOKUP(A2825,CadProd!$A:$C,3,0)),"")</f>
        <v/>
      </c>
    </row>
    <row r="2826" spans="2:3" x14ac:dyDescent="0.3">
      <c r="B2826" t="str">
        <f>IFERROR(IF(A2826="","",VLOOKUP(A2826,CadProd!$A:$B,2,0)),"")</f>
        <v/>
      </c>
      <c r="C2826" t="str">
        <f>IFERROR(IF(A2826="","",VLOOKUP(A2826,CadProd!$A:$C,3,0)),"")</f>
        <v/>
      </c>
    </row>
    <row r="2827" spans="2:3" x14ac:dyDescent="0.3">
      <c r="B2827" t="str">
        <f>IFERROR(IF(A2827="","",VLOOKUP(A2827,CadProd!$A:$B,2,0)),"")</f>
        <v/>
      </c>
      <c r="C2827" t="str">
        <f>IFERROR(IF(A2827="","",VLOOKUP(A2827,CadProd!$A:$C,3,0)),"")</f>
        <v/>
      </c>
    </row>
    <row r="2828" spans="2:3" x14ac:dyDescent="0.3">
      <c r="B2828" t="str">
        <f>IFERROR(IF(A2828="","",VLOOKUP(A2828,CadProd!$A:$B,2,0)),"")</f>
        <v/>
      </c>
      <c r="C2828" t="str">
        <f>IFERROR(IF(A2828="","",VLOOKUP(A2828,CadProd!$A:$C,3,0)),"")</f>
        <v/>
      </c>
    </row>
    <row r="2829" spans="2:3" x14ac:dyDescent="0.3">
      <c r="B2829" t="str">
        <f>IFERROR(IF(A2829="","",VLOOKUP(A2829,CadProd!$A:$B,2,0)),"")</f>
        <v/>
      </c>
      <c r="C2829" t="str">
        <f>IFERROR(IF(A2829="","",VLOOKUP(A2829,CadProd!$A:$C,3,0)),"")</f>
        <v/>
      </c>
    </row>
    <row r="2830" spans="2:3" x14ac:dyDescent="0.3">
      <c r="B2830" t="str">
        <f>IFERROR(IF(A2830="","",VLOOKUP(A2830,CadProd!$A:$B,2,0)),"")</f>
        <v/>
      </c>
      <c r="C2830" t="str">
        <f>IFERROR(IF(A2830="","",VLOOKUP(A2830,CadProd!$A:$C,3,0)),"")</f>
        <v/>
      </c>
    </row>
    <row r="2831" spans="2:3" x14ac:dyDescent="0.3">
      <c r="B2831" t="str">
        <f>IFERROR(IF(A2831="","",VLOOKUP(A2831,CadProd!$A:$B,2,0)),"")</f>
        <v/>
      </c>
      <c r="C2831" t="str">
        <f>IFERROR(IF(A2831="","",VLOOKUP(A2831,CadProd!$A:$C,3,0)),"")</f>
        <v/>
      </c>
    </row>
    <row r="2832" spans="2:3" x14ac:dyDescent="0.3">
      <c r="B2832" t="str">
        <f>IFERROR(IF(A2832="","",VLOOKUP(A2832,CadProd!$A:$B,2,0)),"")</f>
        <v/>
      </c>
      <c r="C2832" t="str">
        <f>IFERROR(IF(A2832="","",VLOOKUP(A2832,CadProd!$A:$C,3,0)),"")</f>
        <v/>
      </c>
    </row>
    <row r="2833" spans="2:3" x14ac:dyDescent="0.3">
      <c r="B2833" t="str">
        <f>IFERROR(IF(A2833="","",VLOOKUP(A2833,CadProd!$A:$B,2,0)),"")</f>
        <v/>
      </c>
      <c r="C2833" t="str">
        <f>IFERROR(IF(A2833="","",VLOOKUP(A2833,CadProd!$A:$C,3,0)),"")</f>
        <v/>
      </c>
    </row>
    <row r="2834" spans="2:3" x14ac:dyDescent="0.3">
      <c r="B2834" t="str">
        <f>IFERROR(IF(A2834="","",VLOOKUP(A2834,CadProd!$A:$B,2,0)),"")</f>
        <v/>
      </c>
      <c r="C2834" t="str">
        <f>IFERROR(IF(A2834="","",VLOOKUP(A2834,CadProd!$A:$C,3,0)),"")</f>
        <v/>
      </c>
    </row>
    <row r="2835" spans="2:3" x14ac:dyDescent="0.3">
      <c r="B2835" t="str">
        <f>IFERROR(IF(A2835="","",VLOOKUP(A2835,CadProd!$A:$B,2,0)),"")</f>
        <v/>
      </c>
      <c r="C2835" t="str">
        <f>IFERROR(IF(A2835="","",VLOOKUP(A2835,CadProd!$A:$C,3,0)),"")</f>
        <v/>
      </c>
    </row>
    <row r="2836" spans="2:3" x14ac:dyDescent="0.3">
      <c r="B2836" t="str">
        <f>IFERROR(IF(A2836="","",VLOOKUP(A2836,CadProd!$A:$B,2,0)),"")</f>
        <v/>
      </c>
      <c r="C2836" t="str">
        <f>IFERROR(IF(A2836="","",VLOOKUP(A2836,CadProd!$A:$C,3,0)),"")</f>
        <v/>
      </c>
    </row>
    <row r="2837" spans="2:3" x14ac:dyDescent="0.3">
      <c r="B2837" t="str">
        <f>IFERROR(IF(A2837="","",VLOOKUP(A2837,CadProd!$A:$B,2,0)),"")</f>
        <v/>
      </c>
      <c r="C2837" t="str">
        <f>IFERROR(IF(A2837="","",VLOOKUP(A2837,CadProd!$A:$C,3,0)),"")</f>
        <v/>
      </c>
    </row>
    <row r="2838" spans="2:3" x14ac:dyDescent="0.3">
      <c r="B2838" t="str">
        <f>IFERROR(IF(A2838="","",VLOOKUP(A2838,CadProd!$A:$B,2,0)),"")</f>
        <v/>
      </c>
      <c r="C2838" t="str">
        <f>IFERROR(IF(A2838="","",VLOOKUP(A2838,CadProd!$A:$C,3,0)),"")</f>
        <v/>
      </c>
    </row>
    <row r="2839" spans="2:3" x14ac:dyDescent="0.3">
      <c r="B2839" t="str">
        <f>IFERROR(IF(A2839="","",VLOOKUP(A2839,CadProd!$A:$B,2,0)),"")</f>
        <v/>
      </c>
      <c r="C2839" t="str">
        <f>IFERROR(IF(A2839="","",VLOOKUP(A2839,CadProd!$A:$C,3,0)),"")</f>
        <v/>
      </c>
    </row>
    <row r="2840" spans="2:3" x14ac:dyDescent="0.3">
      <c r="B2840" t="str">
        <f>IFERROR(IF(A2840="","",VLOOKUP(A2840,CadProd!$A:$B,2,0)),"")</f>
        <v/>
      </c>
      <c r="C2840" t="str">
        <f>IFERROR(IF(A2840="","",VLOOKUP(A2840,CadProd!$A:$C,3,0)),"")</f>
        <v/>
      </c>
    </row>
    <row r="2841" spans="2:3" x14ac:dyDescent="0.3">
      <c r="B2841" t="str">
        <f>IFERROR(IF(A2841="","",VLOOKUP(A2841,CadProd!$A:$B,2,0)),"")</f>
        <v/>
      </c>
      <c r="C2841" t="str">
        <f>IFERROR(IF(A2841="","",VLOOKUP(A2841,CadProd!$A:$C,3,0)),"")</f>
        <v/>
      </c>
    </row>
    <row r="2842" spans="2:3" x14ac:dyDescent="0.3">
      <c r="B2842" t="str">
        <f>IFERROR(IF(A2842="","",VLOOKUP(A2842,CadProd!$A:$B,2,0)),"")</f>
        <v/>
      </c>
      <c r="C2842" t="str">
        <f>IFERROR(IF(A2842="","",VLOOKUP(A2842,CadProd!$A:$C,3,0)),"")</f>
        <v/>
      </c>
    </row>
    <row r="2843" spans="2:3" x14ac:dyDescent="0.3">
      <c r="B2843" t="str">
        <f>IFERROR(IF(A2843="","",VLOOKUP(A2843,CadProd!$A:$B,2,0)),"")</f>
        <v/>
      </c>
      <c r="C2843" t="str">
        <f>IFERROR(IF(A2843="","",VLOOKUP(A2843,CadProd!$A:$C,3,0)),"")</f>
        <v/>
      </c>
    </row>
    <row r="2844" spans="2:3" x14ac:dyDescent="0.3">
      <c r="B2844" t="str">
        <f>IFERROR(IF(A2844="","",VLOOKUP(A2844,CadProd!$A:$B,2,0)),"")</f>
        <v/>
      </c>
      <c r="C2844" t="str">
        <f>IFERROR(IF(A2844="","",VLOOKUP(A2844,CadProd!$A:$C,3,0)),"")</f>
        <v/>
      </c>
    </row>
    <row r="2845" spans="2:3" x14ac:dyDescent="0.3">
      <c r="B2845" t="str">
        <f>IFERROR(IF(A2845="","",VLOOKUP(A2845,CadProd!$A:$B,2,0)),"")</f>
        <v/>
      </c>
      <c r="C2845" t="str">
        <f>IFERROR(IF(A2845="","",VLOOKUP(A2845,CadProd!$A:$C,3,0)),"")</f>
        <v/>
      </c>
    </row>
    <row r="2846" spans="2:3" x14ac:dyDescent="0.3">
      <c r="B2846" t="str">
        <f>IFERROR(IF(A2846="","",VLOOKUP(A2846,CadProd!$A:$B,2,0)),"")</f>
        <v/>
      </c>
      <c r="C2846" t="str">
        <f>IFERROR(IF(A2846="","",VLOOKUP(A2846,CadProd!$A:$C,3,0)),"")</f>
        <v/>
      </c>
    </row>
    <row r="2847" spans="2:3" x14ac:dyDescent="0.3">
      <c r="B2847" t="str">
        <f>IFERROR(IF(A2847="","",VLOOKUP(A2847,CadProd!$A:$B,2,0)),"")</f>
        <v/>
      </c>
      <c r="C2847" t="str">
        <f>IFERROR(IF(A2847="","",VLOOKUP(A2847,CadProd!$A:$C,3,0)),"")</f>
        <v/>
      </c>
    </row>
    <row r="2848" spans="2:3" x14ac:dyDescent="0.3">
      <c r="B2848" t="str">
        <f>IFERROR(IF(A2848="","",VLOOKUP(A2848,CadProd!$A:$B,2,0)),"")</f>
        <v/>
      </c>
      <c r="C2848" t="str">
        <f>IFERROR(IF(A2848="","",VLOOKUP(A2848,CadProd!$A:$C,3,0)),"")</f>
        <v/>
      </c>
    </row>
    <row r="2849" spans="2:3" x14ac:dyDescent="0.3">
      <c r="B2849" t="str">
        <f>IFERROR(IF(A2849="","",VLOOKUP(A2849,CadProd!$A:$B,2,0)),"")</f>
        <v/>
      </c>
      <c r="C2849" t="str">
        <f>IFERROR(IF(A2849="","",VLOOKUP(A2849,CadProd!$A:$C,3,0)),"")</f>
        <v/>
      </c>
    </row>
    <row r="2850" spans="2:3" x14ac:dyDescent="0.3">
      <c r="B2850" t="str">
        <f>IFERROR(IF(A2850="","",VLOOKUP(A2850,CadProd!$A:$B,2,0)),"")</f>
        <v/>
      </c>
      <c r="C2850" t="str">
        <f>IFERROR(IF(A2850="","",VLOOKUP(A2850,CadProd!$A:$C,3,0)),"")</f>
        <v/>
      </c>
    </row>
    <row r="2851" spans="2:3" x14ac:dyDescent="0.3">
      <c r="B2851" t="str">
        <f>IFERROR(IF(A2851="","",VLOOKUP(A2851,CadProd!$A:$B,2,0)),"")</f>
        <v/>
      </c>
      <c r="C2851" t="str">
        <f>IFERROR(IF(A2851="","",VLOOKUP(A2851,CadProd!$A:$C,3,0)),"")</f>
        <v/>
      </c>
    </row>
    <row r="2852" spans="2:3" x14ac:dyDescent="0.3">
      <c r="B2852" t="str">
        <f>IFERROR(IF(A2852="","",VLOOKUP(A2852,CadProd!$A:$B,2,0)),"")</f>
        <v/>
      </c>
      <c r="C2852" t="str">
        <f>IFERROR(IF(A2852="","",VLOOKUP(A2852,CadProd!$A:$C,3,0)),"")</f>
        <v/>
      </c>
    </row>
    <row r="2853" spans="2:3" x14ac:dyDescent="0.3">
      <c r="B2853" t="str">
        <f>IFERROR(IF(A2853="","",VLOOKUP(A2853,CadProd!$A:$B,2,0)),"")</f>
        <v/>
      </c>
      <c r="C2853" t="str">
        <f>IFERROR(IF(A2853="","",VLOOKUP(A2853,CadProd!$A:$C,3,0)),"")</f>
        <v/>
      </c>
    </row>
    <row r="2854" spans="2:3" x14ac:dyDescent="0.3">
      <c r="B2854" t="str">
        <f>IFERROR(IF(A2854="","",VLOOKUP(A2854,CadProd!$A:$B,2,0)),"")</f>
        <v/>
      </c>
      <c r="C2854" t="str">
        <f>IFERROR(IF(A2854="","",VLOOKUP(A2854,CadProd!$A:$C,3,0)),"")</f>
        <v/>
      </c>
    </row>
    <row r="2855" spans="2:3" x14ac:dyDescent="0.3">
      <c r="B2855" t="str">
        <f>IFERROR(IF(A2855="","",VLOOKUP(A2855,CadProd!$A:$B,2,0)),"")</f>
        <v/>
      </c>
      <c r="C2855" t="str">
        <f>IFERROR(IF(A2855="","",VLOOKUP(A2855,CadProd!$A:$C,3,0)),"")</f>
        <v/>
      </c>
    </row>
    <row r="2856" spans="2:3" x14ac:dyDescent="0.3">
      <c r="B2856" t="str">
        <f>IFERROR(IF(A2856="","",VLOOKUP(A2856,CadProd!$A:$B,2,0)),"")</f>
        <v/>
      </c>
      <c r="C2856" t="str">
        <f>IFERROR(IF(A2856="","",VLOOKUP(A2856,CadProd!$A:$C,3,0)),"")</f>
        <v/>
      </c>
    </row>
    <row r="2857" spans="2:3" x14ac:dyDescent="0.3">
      <c r="B2857" t="str">
        <f>IFERROR(IF(A2857="","",VLOOKUP(A2857,CadProd!$A:$B,2,0)),"")</f>
        <v/>
      </c>
      <c r="C2857" t="str">
        <f>IFERROR(IF(A2857="","",VLOOKUP(A2857,CadProd!$A:$C,3,0)),"")</f>
        <v/>
      </c>
    </row>
    <row r="2858" spans="2:3" x14ac:dyDescent="0.3">
      <c r="B2858" t="str">
        <f>IFERROR(IF(A2858="","",VLOOKUP(A2858,CadProd!$A:$B,2,0)),"")</f>
        <v/>
      </c>
      <c r="C2858" t="str">
        <f>IFERROR(IF(A2858="","",VLOOKUP(A2858,CadProd!$A:$C,3,0)),"")</f>
        <v/>
      </c>
    </row>
    <row r="2859" spans="2:3" x14ac:dyDescent="0.3">
      <c r="B2859" t="str">
        <f>IFERROR(IF(A2859="","",VLOOKUP(A2859,CadProd!$A:$B,2,0)),"")</f>
        <v/>
      </c>
      <c r="C2859" t="str">
        <f>IFERROR(IF(A2859="","",VLOOKUP(A2859,CadProd!$A:$C,3,0)),"")</f>
        <v/>
      </c>
    </row>
    <row r="2860" spans="2:3" x14ac:dyDescent="0.3">
      <c r="B2860" t="str">
        <f>IFERROR(IF(A2860="","",VLOOKUP(A2860,CadProd!$A:$B,2,0)),"")</f>
        <v/>
      </c>
      <c r="C2860" t="str">
        <f>IFERROR(IF(A2860="","",VLOOKUP(A2860,CadProd!$A:$C,3,0)),"")</f>
        <v/>
      </c>
    </row>
    <row r="2861" spans="2:3" x14ac:dyDescent="0.3">
      <c r="B2861" t="str">
        <f>IFERROR(IF(A2861="","",VLOOKUP(A2861,CadProd!$A:$B,2,0)),"")</f>
        <v/>
      </c>
      <c r="C2861" t="str">
        <f>IFERROR(IF(A2861="","",VLOOKUP(A2861,CadProd!$A:$C,3,0)),"")</f>
        <v/>
      </c>
    </row>
    <row r="2862" spans="2:3" x14ac:dyDescent="0.3">
      <c r="B2862" t="str">
        <f>IFERROR(IF(A2862="","",VLOOKUP(A2862,CadProd!$A:$B,2,0)),"")</f>
        <v/>
      </c>
      <c r="C2862" t="str">
        <f>IFERROR(IF(A2862="","",VLOOKUP(A2862,CadProd!$A:$C,3,0)),"")</f>
        <v/>
      </c>
    </row>
    <row r="2863" spans="2:3" x14ac:dyDescent="0.3">
      <c r="B2863" t="str">
        <f>IFERROR(IF(A2863="","",VLOOKUP(A2863,CadProd!$A:$B,2,0)),"")</f>
        <v/>
      </c>
      <c r="C2863" t="str">
        <f>IFERROR(IF(A2863="","",VLOOKUP(A2863,CadProd!$A:$C,3,0)),"")</f>
        <v/>
      </c>
    </row>
    <row r="2864" spans="2:3" x14ac:dyDescent="0.3">
      <c r="B2864" t="str">
        <f>IFERROR(IF(A2864="","",VLOOKUP(A2864,CadProd!$A:$B,2,0)),"")</f>
        <v/>
      </c>
      <c r="C2864" t="str">
        <f>IFERROR(IF(A2864="","",VLOOKUP(A2864,CadProd!$A:$C,3,0)),"")</f>
        <v/>
      </c>
    </row>
    <row r="2865" spans="2:3" x14ac:dyDescent="0.3">
      <c r="B2865" t="str">
        <f>IFERROR(IF(A2865="","",VLOOKUP(A2865,CadProd!$A:$B,2,0)),"")</f>
        <v/>
      </c>
      <c r="C2865" t="str">
        <f>IFERROR(IF(A2865="","",VLOOKUP(A2865,CadProd!$A:$C,3,0)),"")</f>
        <v/>
      </c>
    </row>
    <row r="2866" spans="2:3" x14ac:dyDescent="0.3">
      <c r="B2866" t="str">
        <f>IFERROR(IF(A2866="","",VLOOKUP(A2866,CadProd!$A:$B,2,0)),"")</f>
        <v/>
      </c>
      <c r="C2866" t="str">
        <f>IFERROR(IF(A2866="","",VLOOKUP(A2866,CadProd!$A:$C,3,0)),"")</f>
        <v/>
      </c>
    </row>
    <row r="2867" spans="2:3" x14ac:dyDescent="0.3">
      <c r="B2867" t="str">
        <f>IFERROR(IF(A2867="","",VLOOKUP(A2867,CadProd!$A:$B,2,0)),"")</f>
        <v/>
      </c>
      <c r="C2867" t="str">
        <f>IFERROR(IF(A2867="","",VLOOKUP(A2867,CadProd!$A:$C,3,0)),"")</f>
        <v/>
      </c>
    </row>
    <row r="2868" spans="2:3" x14ac:dyDescent="0.3">
      <c r="B2868" t="str">
        <f>IFERROR(IF(A2868="","",VLOOKUP(A2868,CadProd!$A:$B,2,0)),"")</f>
        <v/>
      </c>
      <c r="C2868" t="str">
        <f>IFERROR(IF(A2868="","",VLOOKUP(A2868,CadProd!$A:$C,3,0)),"")</f>
        <v/>
      </c>
    </row>
    <row r="2869" spans="2:3" x14ac:dyDescent="0.3">
      <c r="B2869" t="str">
        <f>IFERROR(IF(A2869="","",VLOOKUP(A2869,CadProd!$A:$B,2,0)),"")</f>
        <v/>
      </c>
      <c r="C2869" t="str">
        <f>IFERROR(IF(A2869="","",VLOOKUP(A2869,CadProd!$A:$C,3,0)),"")</f>
        <v/>
      </c>
    </row>
    <row r="2870" spans="2:3" x14ac:dyDescent="0.3">
      <c r="B2870" t="str">
        <f>IFERROR(IF(A2870="","",VLOOKUP(A2870,CadProd!$A:$B,2,0)),"")</f>
        <v/>
      </c>
      <c r="C2870" t="str">
        <f>IFERROR(IF(A2870="","",VLOOKUP(A2870,CadProd!$A:$C,3,0)),"")</f>
        <v/>
      </c>
    </row>
    <row r="2871" spans="2:3" x14ac:dyDescent="0.3">
      <c r="B2871" t="str">
        <f>IFERROR(IF(A2871="","",VLOOKUP(A2871,CadProd!$A:$B,2,0)),"")</f>
        <v/>
      </c>
      <c r="C2871" t="str">
        <f>IFERROR(IF(A2871="","",VLOOKUP(A2871,CadProd!$A:$C,3,0)),"")</f>
        <v/>
      </c>
    </row>
    <row r="2872" spans="2:3" x14ac:dyDescent="0.3">
      <c r="B2872" t="str">
        <f>IFERROR(IF(A2872="","",VLOOKUP(A2872,CadProd!$A:$B,2,0)),"")</f>
        <v/>
      </c>
      <c r="C2872" t="str">
        <f>IFERROR(IF(A2872="","",VLOOKUP(A2872,CadProd!$A:$C,3,0)),"")</f>
        <v/>
      </c>
    </row>
    <row r="2873" spans="2:3" x14ac:dyDescent="0.3">
      <c r="B2873" t="str">
        <f>IFERROR(IF(A2873="","",VLOOKUP(A2873,CadProd!$A:$B,2,0)),"")</f>
        <v/>
      </c>
      <c r="C2873" t="str">
        <f>IFERROR(IF(A2873="","",VLOOKUP(A2873,CadProd!$A:$C,3,0)),"")</f>
        <v/>
      </c>
    </row>
    <row r="2874" spans="2:3" x14ac:dyDescent="0.3">
      <c r="B2874" t="str">
        <f>IFERROR(IF(A2874="","",VLOOKUP(A2874,CadProd!$A:$B,2,0)),"")</f>
        <v/>
      </c>
      <c r="C2874" t="str">
        <f>IFERROR(IF(A2874="","",VLOOKUP(A2874,CadProd!$A:$C,3,0)),"")</f>
        <v/>
      </c>
    </row>
    <row r="2875" spans="2:3" x14ac:dyDescent="0.3">
      <c r="B2875" t="str">
        <f>IFERROR(IF(A2875="","",VLOOKUP(A2875,CadProd!$A:$B,2,0)),"")</f>
        <v/>
      </c>
      <c r="C2875" t="str">
        <f>IFERROR(IF(A2875="","",VLOOKUP(A2875,CadProd!$A:$C,3,0)),"")</f>
        <v/>
      </c>
    </row>
    <row r="2876" spans="2:3" x14ac:dyDescent="0.3">
      <c r="B2876" t="str">
        <f>IFERROR(IF(A2876="","",VLOOKUP(A2876,CadProd!$A:$B,2,0)),"")</f>
        <v/>
      </c>
      <c r="C2876" t="str">
        <f>IFERROR(IF(A2876="","",VLOOKUP(A2876,CadProd!$A:$C,3,0)),"")</f>
        <v/>
      </c>
    </row>
    <row r="2877" spans="2:3" x14ac:dyDescent="0.3">
      <c r="B2877" t="str">
        <f>IFERROR(IF(A2877="","",VLOOKUP(A2877,CadProd!$A:$B,2,0)),"")</f>
        <v/>
      </c>
      <c r="C2877" t="str">
        <f>IFERROR(IF(A2877="","",VLOOKUP(A2877,CadProd!$A:$C,3,0)),"")</f>
        <v/>
      </c>
    </row>
    <row r="2878" spans="2:3" x14ac:dyDescent="0.3">
      <c r="B2878" t="str">
        <f>IFERROR(IF(A2878="","",VLOOKUP(A2878,CadProd!$A:$B,2,0)),"")</f>
        <v/>
      </c>
      <c r="C2878" t="str">
        <f>IFERROR(IF(A2878="","",VLOOKUP(A2878,CadProd!$A:$C,3,0)),"")</f>
        <v/>
      </c>
    </row>
    <row r="2879" spans="2:3" x14ac:dyDescent="0.3">
      <c r="B2879" t="str">
        <f>IFERROR(IF(A2879="","",VLOOKUP(A2879,CadProd!$A:$B,2,0)),"")</f>
        <v/>
      </c>
      <c r="C2879" t="str">
        <f>IFERROR(IF(A2879="","",VLOOKUP(A2879,CadProd!$A:$C,3,0)),"")</f>
        <v/>
      </c>
    </row>
    <row r="2880" spans="2:3" x14ac:dyDescent="0.3">
      <c r="B2880" t="str">
        <f>IFERROR(IF(A2880="","",VLOOKUP(A2880,CadProd!$A:$B,2,0)),"")</f>
        <v/>
      </c>
      <c r="C2880" t="str">
        <f>IFERROR(IF(A2880="","",VLOOKUP(A2880,CadProd!$A:$C,3,0)),"")</f>
        <v/>
      </c>
    </row>
    <row r="2881" spans="2:3" x14ac:dyDescent="0.3">
      <c r="B2881" t="str">
        <f>IFERROR(IF(A2881="","",VLOOKUP(A2881,CadProd!$A:$B,2,0)),"")</f>
        <v/>
      </c>
      <c r="C2881" t="str">
        <f>IFERROR(IF(A2881="","",VLOOKUP(A2881,CadProd!$A:$C,3,0)),"")</f>
        <v/>
      </c>
    </row>
    <row r="2882" spans="2:3" x14ac:dyDescent="0.3">
      <c r="B2882" t="str">
        <f>IFERROR(IF(A2882="","",VLOOKUP(A2882,CadProd!$A:$B,2,0)),"")</f>
        <v/>
      </c>
      <c r="C2882" t="str">
        <f>IFERROR(IF(A2882="","",VLOOKUP(A2882,CadProd!$A:$C,3,0)),"")</f>
        <v/>
      </c>
    </row>
    <row r="2883" spans="2:3" x14ac:dyDescent="0.3">
      <c r="B2883" t="str">
        <f>IFERROR(IF(A2883="","",VLOOKUP(A2883,CadProd!$A:$B,2,0)),"")</f>
        <v/>
      </c>
      <c r="C2883" t="str">
        <f>IFERROR(IF(A2883="","",VLOOKUP(A2883,CadProd!$A:$C,3,0)),"")</f>
        <v/>
      </c>
    </row>
    <row r="2884" spans="2:3" x14ac:dyDescent="0.3">
      <c r="B2884" t="str">
        <f>IFERROR(IF(A2884="","",VLOOKUP(A2884,CadProd!$A:$B,2,0)),"")</f>
        <v/>
      </c>
      <c r="C2884" t="str">
        <f>IFERROR(IF(A2884="","",VLOOKUP(A2884,CadProd!$A:$C,3,0)),"")</f>
        <v/>
      </c>
    </row>
    <row r="2885" spans="2:3" x14ac:dyDescent="0.3">
      <c r="B2885" t="str">
        <f>IFERROR(IF(A2885="","",VLOOKUP(A2885,CadProd!$A:$B,2,0)),"")</f>
        <v/>
      </c>
      <c r="C2885" t="str">
        <f>IFERROR(IF(A2885="","",VLOOKUP(A2885,CadProd!$A:$C,3,0)),"")</f>
        <v/>
      </c>
    </row>
    <row r="2886" spans="2:3" x14ac:dyDescent="0.3">
      <c r="B2886" t="str">
        <f>IFERROR(IF(A2886="","",VLOOKUP(A2886,CadProd!$A:$B,2,0)),"")</f>
        <v/>
      </c>
      <c r="C2886" t="str">
        <f>IFERROR(IF(A2886="","",VLOOKUP(A2886,CadProd!$A:$C,3,0)),"")</f>
        <v/>
      </c>
    </row>
    <row r="2887" spans="2:3" x14ac:dyDescent="0.3">
      <c r="B2887" t="str">
        <f>IFERROR(IF(A2887="","",VLOOKUP(A2887,CadProd!$A:$B,2,0)),"")</f>
        <v/>
      </c>
      <c r="C2887" t="str">
        <f>IFERROR(IF(A2887="","",VLOOKUP(A2887,CadProd!$A:$C,3,0)),"")</f>
        <v/>
      </c>
    </row>
    <row r="2888" spans="2:3" x14ac:dyDescent="0.3">
      <c r="B2888" t="str">
        <f>IFERROR(IF(A2888="","",VLOOKUP(A2888,CadProd!$A:$B,2,0)),"")</f>
        <v/>
      </c>
      <c r="C2888" t="str">
        <f>IFERROR(IF(A2888="","",VLOOKUP(A2888,CadProd!$A:$C,3,0)),"")</f>
        <v/>
      </c>
    </row>
    <row r="2889" spans="2:3" x14ac:dyDescent="0.3">
      <c r="B2889" t="str">
        <f>IFERROR(IF(A2889="","",VLOOKUP(A2889,CadProd!$A:$B,2,0)),"")</f>
        <v/>
      </c>
      <c r="C2889" t="str">
        <f>IFERROR(IF(A2889="","",VLOOKUP(A2889,CadProd!$A:$C,3,0)),"")</f>
        <v/>
      </c>
    </row>
    <row r="2890" spans="2:3" x14ac:dyDescent="0.3">
      <c r="B2890" t="str">
        <f>IFERROR(IF(A2890="","",VLOOKUP(A2890,CadProd!$A:$B,2,0)),"")</f>
        <v/>
      </c>
      <c r="C2890" t="str">
        <f>IFERROR(IF(A2890="","",VLOOKUP(A2890,CadProd!$A:$C,3,0)),"")</f>
        <v/>
      </c>
    </row>
    <row r="2891" spans="2:3" x14ac:dyDescent="0.3">
      <c r="B2891" t="str">
        <f>IFERROR(IF(A2891="","",VLOOKUP(A2891,CadProd!$A:$B,2,0)),"")</f>
        <v/>
      </c>
      <c r="C2891" t="str">
        <f>IFERROR(IF(A2891="","",VLOOKUP(A2891,CadProd!$A:$C,3,0)),"")</f>
        <v/>
      </c>
    </row>
    <row r="2892" spans="2:3" x14ac:dyDescent="0.3">
      <c r="B2892" t="str">
        <f>IFERROR(IF(A2892="","",VLOOKUP(A2892,CadProd!$A:$B,2,0)),"")</f>
        <v/>
      </c>
      <c r="C2892" t="str">
        <f>IFERROR(IF(A2892="","",VLOOKUP(A2892,CadProd!$A:$C,3,0)),"")</f>
        <v/>
      </c>
    </row>
    <row r="2893" spans="2:3" x14ac:dyDescent="0.3">
      <c r="B2893" t="str">
        <f>IFERROR(IF(A2893="","",VLOOKUP(A2893,CadProd!$A:$B,2,0)),"")</f>
        <v/>
      </c>
      <c r="C2893" t="str">
        <f>IFERROR(IF(A2893="","",VLOOKUP(A2893,CadProd!$A:$C,3,0)),"")</f>
        <v/>
      </c>
    </row>
    <row r="2894" spans="2:3" x14ac:dyDescent="0.3">
      <c r="B2894" t="str">
        <f>IFERROR(IF(A2894="","",VLOOKUP(A2894,CadProd!$A:$B,2,0)),"")</f>
        <v/>
      </c>
      <c r="C2894" t="str">
        <f>IFERROR(IF(A2894="","",VLOOKUP(A2894,CadProd!$A:$C,3,0)),"")</f>
        <v/>
      </c>
    </row>
    <row r="2895" spans="2:3" x14ac:dyDescent="0.3">
      <c r="B2895" t="str">
        <f>IFERROR(IF(A2895="","",VLOOKUP(A2895,CadProd!$A:$B,2,0)),"")</f>
        <v/>
      </c>
      <c r="C2895" t="str">
        <f>IFERROR(IF(A2895="","",VLOOKUP(A2895,CadProd!$A:$C,3,0)),"")</f>
        <v/>
      </c>
    </row>
    <row r="2896" spans="2:3" x14ac:dyDescent="0.3">
      <c r="B2896" t="str">
        <f>IFERROR(IF(A2896="","",VLOOKUP(A2896,CadProd!$A:$B,2,0)),"")</f>
        <v/>
      </c>
      <c r="C2896" t="str">
        <f>IFERROR(IF(A2896="","",VLOOKUP(A2896,CadProd!$A:$C,3,0)),"")</f>
        <v/>
      </c>
    </row>
    <row r="2897" spans="2:3" x14ac:dyDescent="0.3">
      <c r="B2897" t="str">
        <f>IFERROR(IF(A2897="","",VLOOKUP(A2897,CadProd!$A:$B,2,0)),"")</f>
        <v/>
      </c>
      <c r="C2897" t="str">
        <f>IFERROR(IF(A2897="","",VLOOKUP(A2897,CadProd!$A:$C,3,0)),"")</f>
        <v/>
      </c>
    </row>
    <row r="2898" spans="2:3" x14ac:dyDescent="0.3">
      <c r="B2898" t="str">
        <f>IFERROR(IF(A2898="","",VLOOKUP(A2898,CadProd!$A:$B,2,0)),"")</f>
        <v/>
      </c>
      <c r="C2898" t="str">
        <f>IFERROR(IF(A2898="","",VLOOKUP(A2898,CadProd!$A:$C,3,0)),"")</f>
        <v/>
      </c>
    </row>
    <row r="2899" spans="2:3" x14ac:dyDescent="0.3">
      <c r="B2899" t="str">
        <f>IFERROR(IF(A2899="","",VLOOKUP(A2899,CadProd!$A:$B,2,0)),"")</f>
        <v/>
      </c>
      <c r="C2899" t="str">
        <f>IFERROR(IF(A2899="","",VLOOKUP(A2899,CadProd!$A:$C,3,0)),"")</f>
        <v/>
      </c>
    </row>
    <row r="2900" spans="2:3" x14ac:dyDescent="0.3">
      <c r="B2900" t="str">
        <f>IFERROR(IF(A2900="","",VLOOKUP(A2900,CadProd!$A:$B,2,0)),"")</f>
        <v/>
      </c>
      <c r="C2900" t="str">
        <f>IFERROR(IF(A2900="","",VLOOKUP(A2900,CadProd!$A:$C,3,0)),"")</f>
        <v/>
      </c>
    </row>
    <row r="2901" spans="2:3" x14ac:dyDescent="0.3">
      <c r="B2901" t="str">
        <f>IFERROR(IF(A2901="","",VLOOKUP(A2901,CadProd!$A:$B,2,0)),"")</f>
        <v/>
      </c>
      <c r="C2901" t="str">
        <f>IFERROR(IF(A2901="","",VLOOKUP(A2901,CadProd!$A:$C,3,0)),"")</f>
        <v/>
      </c>
    </row>
    <row r="2902" spans="2:3" x14ac:dyDescent="0.3">
      <c r="B2902" t="str">
        <f>IFERROR(IF(A2902="","",VLOOKUP(A2902,CadProd!$A:$B,2,0)),"")</f>
        <v/>
      </c>
      <c r="C2902" t="str">
        <f>IFERROR(IF(A2902="","",VLOOKUP(A2902,CadProd!$A:$C,3,0)),"")</f>
        <v/>
      </c>
    </row>
    <row r="2903" spans="2:3" x14ac:dyDescent="0.3">
      <c r="B2903" t="str">
        <f>IFERROR(IF(A2903="","",VLOOKUP(A2903,CadProd!$A:$B,2,0)),"")</f>
        <v/>
      </c>
      <c r="C2903" t="str">
        <f>IFERROR(IF(A2903="","",VLOOKUP(A2903,CadProd!$A:$C,3,0)),"")</f>
        <v/>
      </c>
    </row>
    <row r="2904" spans="2:3" x14ac:dyDescent="0.3">
      <c r="B2904" t="str">
        <f>IFERROR(IF(A2904="","",VLOOKUP(A2904,CadProd!$A:$B,2,0)),"")</f>
        <v/>
      </c>
      <c r="C2904" t="str">
        <f>IFERROR(IF(A2904="","",VLOOKUP(A2904,CadProd!$A:$C,3,0)),"")</f>
        <v/>
      </c>
    </row>
    <row r="2905" spans="2:3" x14ac:dyDescent="0.3">
      <c r="B2905" t="str">
        <f>IFERROR(IF(A2905="","",VLOOKUP(A2905,CadProd!$A:$B,2,0)),"")</f>
        <v/>
      </c>
      <c r="C2905" t="str">
        <f>IFERROR(IF(A2905="","",VLOOKUP(A2905,CadProd!$A:$C,3,0)),"")</f>
        <v/>
      </c>
    </row>
    <row r="2906" spans="2:3" x14ac:dyDescent="0.3">
      <c r="B2906" t="str">
        <f>IFERROR(IF(A2906="","",VLOOKUP(A2906,CadProd!$A:$B,2,0)),"")</f>
        <v/>
      </c>
      <c r="C2906" t="str">
        <f>IFERROR(IF(A2906="","",VLOOKUP(A2906,CadProd!$A:$C,3,0)),"")</f>
        <v/>
      </c>
    </row>
    <row r="2907" spans="2:3" x14ac:dyDescent="0.3">
      <c r="B2907" t="str">
        <f>IFERROR(IF(A2907="","",VLOOKUP(A2907,CadProd!$A:$B,2,0)),"")</f>
        <v/>
      </c>
      <c r="C2907" t="str">
        <f>IFERROR(IF(A2907="","",VLOOKUP(A2907,CadProd!$A:$C,3,0)),"")</f>
        <v/>
      </c>
    </row>
    <row r="2908" spans="2:3" x14ac:dyDescent="0.3">
      <c r="B2908" t="str">
        <f>IFERROR(IF(A2908="","",VLOOKUP(A2908,CadProd!$A:$B,2,0)),"")</f>
        <v/>
      </c>
      <c r="C2908" t="str">
        <f>IFERROR(IF(A2908="","",VLOOKUP(A2908,CadProd!$A:$C,3,0)),"")</f>
        <v/>
      </c>
    </row>
    <row r="2909" spans="2:3" x14ac:dyDescent="0.3">
      <c r="B2909" t="str">
        <f>IFERROR(IF(A2909="","",VLOOKUP(A2909,CadProd!$A:$B,2,0)),"")</f>
        <v/>
      </c>
      <c r="C2909" t="str">
        <f>IFERROR(IF(A2909="","",VLOOKUP(A2909,CadProd!$A:$C,3,0)),"")</f>
        <v/>
      </c>
    </row>
    <row r="2910" spans="2:3" x14ac:dyDescent="0.3">
      <c r="B2910" t="str">
        <f>IFERROR(IF(A2910="","",VLOOKUP(A2910,CadProd!$A:$B,2,0)),"")</f>
        <v/>
      </c>
      <c r="C2910" t="str">
        <f>IFERROR(IF(A2910="","",VLOOKUP(A2910,CadProd!$A:$C,3,0)),"")</f>
        <v/>
      </c>
    </row>
    <row r="2911" spans="2:3" x14ac:dyDescent="0.3">
      <c r="B2911" t="str">
        <f>IFERROR(IF(A2911="","",VLOOKUP(A2911,CadProd!$A:$B,2,0)),"")</f>
        <v/>
      </c>
      <c r="C2911" t="str">
        <f>IFERROR(IF(A2911="","",VLOOKUP(A2911,CadProd!$A:$C,3,0)),"")</f>
        <v/>
      </c>
    </row>
    <row r="2912" spans="2:3" x14ac:dyDescent="0.3">
      <c r="B2912" t="str">
        <f>IFERROR(IF(A2912="","",VLOOKUP(A2912,CadProd!$A:$B,2,0)),"")</f>
        <v/>
      </c>
      <c r="C2912" t="str">
        <f>IFERROR(IF(A2912="","",VLOOKUP(A2912,CadProd!$A:$C,3,0)),"")</f>
        <v/>
      </c>
    </row>
    <row r="2913" spans="2:3" x14ac:dyDescent="0.3">
      <c r="B2913" t="str">
        <f>IFERROR(IF(A2913="","",VLOOKUP(A2913,CadProd!$A:$B,2,0)),"")</f>
        <v/>
      </c>
      <c r="C2913" t="str">
        <f>IFERROR(IF(A2913="","",VLOOKUP(A2913,CadProd!$A:$C,3,0)),"")</f>
        <v/>
      </c>
    </row>
    <row r="2914" spans="2:3" x14ac:dyDescent="0.3">
      <c r="B2914" t="str">
        <f>IFERROR(IF(A2914="","",VLOOKUP(A2914,CadProd!$A:$B,2,0)),"")</f>
        <v/>
      </c>
      <c r="C2914" t="str">
        <f>IFERROR(IF(A2914="","",VLOOKUP(A2914,CadProd!$A:$C,3,0)),"")</f>
        <v/>
      </c>
    </row>
    <row r="2915" spans="2:3" x14ac:dyDescent="0.3">
      <c r="B2915" t="str">
        <f>IFERROR(IF(A2915="","",VLOOKUP(A2915,CadProd!$A:$B,2,0)),"")</f>
        <v/>
      </c>
      <c r="C2915" t="str">
        <f>IFERROR(IF(A2915="","",VLOOKUP(A2915,CadProd!$A:$C,3,0)),"")</f>
        <v/>
      </c>
    </row>
    <row r="2916" spans="2:3" x14ac:dyDescent="0.3">
      <c r="B2916" t="str">
        <f>IFERROR(IF(A2916="","",VLOOKUP(A2916,CadProd!$A:$B,2,0)),"")</f>
        <v/>
      </c>
      <c r="C2916" t="str">
        <f>IFERROR(IF(A2916="","",VLOOKUP(A2916,CadProd!$A:$C,3,0)),"")</f>
        <v/>
      </c>
    </row>
    <row r="2917" spans="2:3" x14ac:dyDescent="0.3">
      <c r="B2917" t="str">
        <f>IFERROR(IF(A2917="","",VLOOKUP(A2917,CadProd!$A:$B,2,0)),"")</f>
        <v/>
      </c>
      <c r="C2917" t="str">
        <f>IFERROR(IF(A2917="","",VLOOKUP(A2917,CadProd!$A:$C,3,0)),"")</f>
        <v/>
      </c>
    </row>
    <row r="2918" spans="2:3" x14ac:dyDescent="0.3">
      <c r="B2918" t="str">
        <f>IFERROR(IF(A2918="","",VLOOKUP(A2918,CadProd!$A:$B,2,0)),"")</f>
        <v/>
      </c>
      <c r="C2918" t="str">
        <f>IFERROR(IF(A2918="","",VLOOKUP(A2918,CadProd!$A:$C,3,0)),"")</f>
        <v/>
      </c>
    </row>
    <row r="2919" spans="2:3" x14ac:dyDescent="0.3">
      <c r="B2919" t="str">
        <f>IFERROR(IF(A2919="","",VLOOKUP(A2919,CadProd!$A:$B,2,0)),"")</f>
        <v/>
      </c>
      <c r="C2919" t="str">
        <f>IFERROR(IF(A2919="","",VLOOKUP(A2919,CadProd!$A:$C,3,0)),"")</f>
        <v/>
      </c>
    </row>
    <row r="2920" spans="2:3" x14ac:dyDescent="0.3">
      <c r="B2920" t="str">
        <f>IFERROR(IF(A2920="","",VLOOKUP(A2920,CadProd!$A:$B,2,0)),"")</f>
        <v/>
      </c>
      <c r="C2920" t="str">
        <f>IFERROR(IF(A2920="","",VLOOKUP(A2920,CadProd!$A:$C,3,0)),"")</f>
        <v/>
      </c>
    </row>
    <row r="2921" spans="2:3" x14ac:dyDescent="0.3">
      <c r="B2921" t="str">
        <f>IFERROR(IF(A2921="","",VLOOKUP(A2921,CadProd!$A:$B,2,0)),"")</f>
        <v/>
      </c>
      <c r="C2921" t="str">
        <f>IFERROR(IF(A2921="","",VLOOKUP(A2921,CadProd!$A:$C,3,0)),"")</f>
        <v/>
      </c>
    </row>
    <row r="2922" spans="2:3" x14ac:dyDescent="0.3">
      <c r="B2922" t="str">
        <f>IFERROR(IF(A2922="","",VLOOKUP(A2922,CadProd!$A:$B,2,0)),"")</f>
        <v/>
      </c>
      <c r="C2922" t="str">
        <f>IFERROR(IF(A2922="","",VLOOKUP(A2922,CadProd!$A:$C,3,0)),"")</f>
        <v/>
      </c>
    </row>
    <row r="2923" spans="2:3" x14ac:dyDescent="0.3">
      <c r="B2923" t="str">
        <f>IFERROR(IF(A2923="","",VLOOKUP(A2923,CadProd!$A:$B,2,0)),"")</f>
        <v/>
      </c>
      <c r="C2923" t="str">
        <f>IFERROR(IF(A2923="","",VLOOKUP(A2923,CadProd!$A:$C,3,0)),"")</f>
        <v/>
      </c>
    </row>
    <row r="2924" spans="2:3" x14ac:dyDescent="0.3">
      <c r="B2924" t="str">
        <f>IFERROR(IF(A2924="","",VLOOKUP(A2924,CadProd!$A:$B,2,0)),"")</f>
        <v/>
      </c>
      <c r="C2924" t="str">
        <f>IFERROR(IF(A2924="","",VLOOKUP(A2924,CadProd!$A:$C,3,0)),"")</f>
        <v/>
      </c>
    </row>
    <row r="2925" spans="2:3" x14ac:dyDescent="0.3">
      <c r="B2925" t="str">
        <f>IFERROR(IF(A2925="","",VLOOKUP(A2925,CadProd!$A:$B,2,0)),"")</f>
        <v/>
      </c>
      <c r="C2925" t="str">
        <f>IFERROR(IF(A2925="","",VLOOKUP(A2925,CadProd!$A:$C,3,0)),"")</f>
        <v/>
      </c>
    </row>
    <row r="2926" spans="2:3" x14ac:dyDescent="0.3">
      <c r="B2926" t="str">
        <f>IFERROR(IF(A2926="","",VLOOKUP(A2926,CadProd!$A:$B,2,0)),"")</f>
        <v/>
      </c>
      <c r="C2926" t="str">
        <f>IFERROR(IF(A2926="","",VLOOKUP(A2926,CadProd!$A:$C,3,0)),"")</f>
        <v/>
      </c>
    </row>
    <row r="2927" spans="2:3" x14ac:dyDescent="0.3">
      <c r="B2927" t="str">
        <f>IFERROR(IF(A2927="","",VLOOKUP(A2927,CadProd!$A:$B,2,0)),"")</f>
        <v/>
      </c>
      <c r="C2927" t="str">
        <f>IFERROR(IF(A2927="","",VLOOKUP(A2927,CadProd!$A:$C,3,0)),"")</f>
        <v/>
      </c>
    </row>
    <row r="2928" spans="2:3" x14ac:dyDescent="0.3">
      <c r="B2928" t="str">
        <f>IFERROR(IF(A2928="","",VLOOKUP(A2928,CadProd!$A:$B,2,0)),"")</f>
        <v/>
      </c>
      <c r="C2928" t="str">
        <f>IFERROR(IF(A2928="","",VLOOKUP(A2928,CadProd!$A:$C,3,0)),"")</f>
        <v/>
      </c>
    </row>
    <row r="2929" spans="2:3" x14ac:dyDescent="0.3">
      <c r="B2929" t="str">
        <f>IFERROR(IF(A2929="","",VLOOKUP(A2929,CadProd!$A:$B,2,0)),"")</f>
        <v/>
      </c>
      <c r="C2929" t="str">
        <f>IFERROR(IF(A2929="","",VLOOKUP(A2929,CadProd!$A:$C,3,0)),"")</f>
        <v/>
      </c>
    </row>
    <row r="2930" spans="2:3" x14ac:dyDescent="0.3">
      <c r="B2930" t="str">
        <f>IFERROR(IF(A2930="","",VLOOKUP(A2930,CadProd!$A:$B,2,0)),"")</f>
        <v/>
      </c>
      <c r="C2930" t="str">
        <f>IFERROR(IF(A2930="","",VLOOKUP(A2930,CadProd!$A:$C,3,0)),"")</f>
        <v/>
      </c>
    </row>
    <row r="2931" spans="2:3" x14ac:dyDescent="0.3">
      <c r="B2931" t="str">
        <f>IFERROR(IF(A2931="","",VLOOKUP(A2931,CadProd!$A:$B,2,0)),"")</f>
        <v/>
      </c>
      <c r="C2931" t="str">
        <f>IFERROR(IF(A2931="","",VLOOKUP(A2931,CadProd!$A:$C,3,0)),"")</f>
        <v/>
      </c>
    </row>
    <row r="2932" spans="2:3" x14ac:dyDescent="0.3">
      <c r="B2932" t="str">
        <f>IFERROR(IF(A2932="","",VLOOKUP(A2932,CadProd!$A:$B,2,0)),"")</f>
        <v/>
      </c>
      <c r="C2932" t="str">
        <f>IFERROR(IF(A2932="","",VLOOKUP(A2932,CadProd!$A:$C,3,0)),"")</f>
        <v/>
      </c>
    </row>
    <row r="2933" spans="2:3" x14ac:dyDescent="0.3">
      <c r="B2933" t="str">
        <f>IFERROR(IF(A2933="","",VLOOKUP(A2933,CadProd!$A:$B,2,0)),"")</f>
        <v/>
      </c>
      <c r="C2933" t="str">
        <f>IFERROR(IF(A2933="","",VLOOKUP(A2933,CadProd!$A:$C,3,0)),"")</f>
        <v/>
      </c>
    </row>
    <row r="2934" spans="2:3" x14ac:dyDescent="0.3">
      <c r="B2934" t="str">
        <f>IFERROR(IF(A2934="","",VLOOKUP(A2934,CadProd!$A:$B,2,0)),"")</f>
        <v/>
      </c>
      <c r="C2934" t="str">
        <f>IFERROR(IF(A2934="","",VLOOKUP(A2934,CadProd!$A:$C,3,0)),"")</f>
        <v/>
      </c>
    </row>
    <row r="2935" spans="2:3" x14ac:dyDescent="0.3">
      <c r="B2935" t="str">
        <f>IFERROR(IF(A2935="","",VLOOKUP(A2935,CadProd!$A:$B,2,0)),"")</f>
        <v/>
      </c>
      <c r="C2935" t="str">
        <f>IFERROR(IF(A2935="","",VLOOKUP(A2935,CadProd!$A:$C,3,0)),"")</f>
        <v/>
      </c>
    </row>
    <row r="2936" spans="2:3" x14ac:dyDescent="0.3">
      <c r="B2936" t="str">
        <f>IFERROR(IF(A2936="","",VLOOKUP(A2936,CadProd!$A:$B,2,0)),"")</f>
        <v/>
      </c>
      <c r="C2936" t="str">
        <f>IFERROR(IF(A2936="","",VLOOKUP(A2936,CadProd!$A:$C,3,0)),"")</f>
        <v/>
      </c>
    </row>
    <row r="2937" spans="2:3" x14ac:dyDescent="0.3">
      <c r="B2937" t="str">
        <f>IFERROR(IF(A2937="","",VLOOKUP(A2937,CadProd!$A:$B,2,0)),"")</f>
        <v/>
      </c>
      <c r="C2937" t="str">
        <f>IFERROR(IF(A2937="","",VLOOKUP(A2937,CadProd!$A:$C,3,0)),"")</f>
        <v/>
      </c>
    </row>
    <row r="2938" spans="2:3" x14ac:dyDescent="0.3">
      <c r="B2938" t="str">
        <f>IFERROR(IF(A2938="","",VLOOKUP(A2938,CadProd!$A:$B,2,0)),"")</f>
        <v/>
      </c>
      <c r="C2938" t="str">
        <f>IFERROR(IF(A2938="","",VLOOKUP(A2938,CadProd!$A:$C,3,0)),"")</f>
        <v/>
      </c>
    </row>
    <row r="2939" spans="2:3" x14ac:dyDescent="0.3">
      <c r="B2939" t="str">
        <f>IFERROR(IF(A2939="","",VLOOKUP(A2939,CadProd!$A:$B,2,0)),"")</f>
        <v/>
      </c>
      <c r="C2939" t="str">
        <f>IFERROR(IF(A2939="","",VLOOKUP(A2939,CadProd!$A:$C,3,0)),"")</f>
        <v/>
      </c>
    </row>
    <row r="2940" spans="2:3" x14ac:dyDescent="0.3">
      <c r="B2940" t="str">
        <f>IFERROR(IF(A2940="","",VLOOKUP(A2940,CadProd!$A:$B,2,0)),"")</f>
        <v/>
      </c>
      <c r="C2940" t="str">
        <f>IFERROR(IF(A2940="","",VLOOKUP(A2940,CadProd!$A:$C,3,0)),"")</f>
        <v/>
      </c>
    </row>
    <row r="2941" spans="2:3" x14ac:dyDescent="0.3">
      <c r="B2941" t="str">
        <f>IFERROR(IF(A2941="","",VLOOKUP(A2941,CadProd!$A:$B,2,0)),"")</f>
        <v/>
      </c>
      <c r="C2941" t="str">
        <f>IFERROR(IF(A2941="","",VLOOKUP(A2941,CadProd!$A:$C,3,0)),"")</f>
        <v/>
      </c>
    </row>
    <row r="2942" spans="2:3" x14ac:dyDescent="0.3">
      <c r="B2942" t="str">
        <f>IFERROR(IF(A2942="","",VLOOKUP(A2942,CadProd!$A:$B,2,0)),"")</f>
        <v/>
      </c>
      <c r="C2942" t="str">
        <f>IFERROR(IF(A2942="","",VLOOKUP(A2942,CadProd!$A:$C,3,0)),"")</f>
        <v/>
      </c>
    </row>
    <row r="2943" spans="2:3" x14ac:dyDescent="0.3">
      <c r="B2943" t="str">
        <f>IFERROR(IF(A2943="","",VLOOKUP(A2943,CadProd!$A:$B,2,0)),"")</f>
        <v/>
      </c>
      <c r="C2943" t="str">
        <f>IFERROR(IF(A2943="","",VLOOKUP(A2943,CadProd!$A:$C,3,0)),"")</f>
        <v/>
      </c>
    </row>
    <row r="2944" spans="2:3" x14ac:dyDescent="0.3">
      <c r="B2944" t="str">
        <f>IFERROR(IF(A2944="","",VLOOKUP(A2944,CadProd!$A:$B,2,0)),"")</f>
        <v/>
      </c>
      <c r="C2944" t="str">
        <f>IFERROR(IF(A2944="","",VLOOKUP(A2944,CadProd!$A:$C,3,0)),"")</f>
        <v/>
      </c>
    </row>
    <row r="2945" spans="2:3" x14ac:dyDescent="0.3">
      <c r="B2945" t="str">
        <f>IFERROR(IF(A2945="","",VLOOKUP(A2945,CadProd!$A:$B,2,0)),"")</f>
        <v/>
      </c>
      <c r="C2945" t="str">
        <f>IFERROR(IF(A2945="","",VLOOKUP(A2945,CadProd!$A:$C,3,0)),"")</f>
        <v/>
      </c>
    </row>
    <row r="2946" spans="2:3" x14ac:dyDescent="0.3">
      <c r="B2946" t="str">
        <f>IFERROR(IF(A2946="","",VLOOKUP(A2946,CadProd!$A:$B,2,0)),"")</f>
        <v/>
      </c>
      <c r="C2946" t="str">
        <f>IFERROR(IF(A2946="","",VLOOKUP(A2946,CadProd!$A:$C,3,0)),"")</f>
        <v/>
      </c>
    </row>
    <row r="2947" spans="2:3" x14ac:dyDescent="0.3">
      <c r="B2947" t="str">
        <f>IFERROR(IF(A2947="","",VLOOKUP(A2947,CadProd!$A:$B,2,0)),"")</f>
        <v/>
      </c>
      <c r="C2947" t="str">
        <f>IFERROR(IF(A2947="","",VLOOKUP(A2947,CadProd!$A:$C,3,0)),"")</f>
        <v/>
      </c>
    </row>
    <row r="2948" spans="2:3" x14ac:dyDescent="0.3">
      <c r="B2948" t="str">
        <f>IFERROR(IF(A2948="","",VLOOKUP(A2948,CadProd!$A:$B,2,0)),"")</f>
        <v/>
      </c>
      <c r="C2948" t="str">
        <f>IFERROR(IF(A2948="","",VLOOKUP(A2948,CadProd!$A:$C,3,0)),"")</f>
        <v/>
      </c>
    </row>
    <row r="2949" spans="2:3" x14ac:dyDescent="0.3">
      <c r="B2949" t="str">
        <f>IFERROR(IF(A2949="","",VLOOKUP(A2949,CadProd!$A:$B,2,0)),"")</f>
        <v/>
      </c>
      <c r="C2949" t="str">
        <f>IFERROR(IF(A2949="","",VLOOKUP(A2949,CadProd!$A:$C,3,0)),"")</f>
        <v/>
      </c>
    </row>
    <row r="2950" spans="2:3" x14ac:dyDescent="0.3">
      <c r="B2950" t="str">
        <f>IFERROR(IF(A2950="","",VLOOKUP(A2950,CadProd!$A:$B,2,0)),"")</f>
        <v/>
      </c>
      <c r="C2950" t="str">
        <f>IFERROR(IF(A2950="","",VLOOKUP(A2950,CadProd!$A:$C,3,0)),"")</f>
        <v/>
      </c>
    </row>
    <row r="2951" spans="2:3" x14ac:dyDescent="0.3">
      <c r="B2951" t="str">
        <f>IFERROR(IF(A2951="","",VLOOKUP(A2951,CadProd!$A:$B,2,0)),"")</f>
        <v/>
      </c>
      <c r="C2951" t="str">
        <f>IFERROR(IF(A2951="","",VLOOKUP(A2951,CadProd!$A:$C,3,0)),"")</f>
        <v/>
      </c>
    </row>
    <row r="2952" spans="2:3" x14ac:dyDescent="0.3">
      <c r="B2952" t="str">
        <f>IFERROR(IF(A2952="","",VLOOKUP(A2952,CadProd!$A:$B,2,0)),"")</f>
        <v/>
      </c>
      <c r="C2952" t="str">
        <f>IFERROR(IF(A2952="","",VLOOKUP(A2952,CadProd!$A:$C,3,0)),"")</f>
        <v/>
      </c>
    </row>
    <row r="2953" spans="2:3" x14ac:dyDescent="0.3">
      <c r="B2953" t="str">
        <f>IFERROR(IF(A2953="","",VLOOKUP(A2953,CadProd!$A:$B,2,0)),"")</f>
        <v/>
      </c>
      <c r="C2953" t="str">
        <f>IFERROR(IF(A2953="","",VLOOKUP(A2953,CadProd!$A:$C,3,0)),"")</f>
        <v/>
      </c>
    </row>
    <row r="2954" spans="2:3" x14ac:dyDescent="0.3">
      <c r="B2954" t="str">
        <f>IFERROR(IF(A2954="","",VLOOKUP(A2954,CadProd!$A:$B,2,0)),"")</f>
        <v/>
      </c>
      <c r="C2954" t="str">
        <f>IFERROR(IF(A2954="","",VLOOKUP(A2954,CadProd!$A:$C,3,0)),"")</f>
        <v/>
      </c>
    </row>
    <row r="2955" spans="2:3" x14ac:dyDescent="0.3">
      <c r="B2955" t="str">
        <f>IFERROR(IF(A2955="","",VLOOKUP(A2955,CadProd!$A:$B,2,0)),"")</f>
        <v/>
      </c>
      <c r="C2955" t="str">
        <f>IFERROR(IF(A2955="","",VLOOKUP(A2955,CadProd!$A:$C,3,0)),"")</f>
        <v/>
      </c>
    </row>
    <row r="2956" spans="2:3" x14ac:dyDescent="0.3">
      <c r="B2956" t="str">
        <f>IFERROR(IF(A2956="","",VLOOKUP(A2956,CadProd!$A:$B,2,0)),"")</f>
        <v/>
      </c>
      <c r="C2956" t="str">
        <f>IFERROR(IF(A2956="","",VLOOKUP(A2956,CadProd!$A:$C,3,0)),"")</f>
        <v/>
      </c>
    </row>
    <row r="2957" spans="2:3" x14ac:dyDescent="0.3">
      <c r="B2957" t="str">
        <f>IFERROR(IF(A2957="","",VLOOKUP(A2957,CadProd!$A:$B,2,0)),"")</f>
        <v/>
      </c>
      <c r="C2957" t="str">
        <f>IFERROR(IF(A2957="","",VLOOKUP(A2957,CadProd!$A:$C,3,0)),"")</f>
        <v/>
      </c>
    </row>
    <row r="2958" spans="2:3" x14ac:dyDescent="0.3">
      <c r="B2958" t="str">
        <f>IFERROR(IF(A2958="","",VLOOKUP(A2958,CadProd!$A:$B,2,0)),"")</f>
        <v/>
      </c>
      <c r="C2958" t="str">
        <f>IFERROR(IF(A2958="","",VLOOKUP(A2958,CadProd!$A:$C,3,0)),"")</f>
        <v/>
      </c>
    </row>
    <row r="2959" spans="2:3" x14ac:dyDescent="0.3">
      <c r="B2959" t="str">
        <f>IFERROR(IF(A2959="","",VLOOKUP(A2959,CadProd!$A:$B,2,0)),"")</f>
        <v/>
      </c>
      <c r="C2959" t="str">
        <f>IFERROR(IF(A2959="","",VLOOKUP(A2959,CadProd!$A:$C,3,0)),"")</f>
        <v/>
      </c>
    </row>
    <row r="2960" spans="2:3" x14ac:dyDescent="0.3">
      <c r="B2960" t="str">
        <f>IFERROR(IF(A2960="","",VLOOKUP(A2960,CadProd!$A:$B,2,0)),"")</f>
        <v/>
      </c>
      <c r="C2960" t="str">
        <f>IFERROR(IF(A2960="","",VLOOKUP(A2960,CadProd!$A:$C,3,0)),"")</f>
        <v/>
      </c>
    </row>
    <row r="2961" spans="2:3" x14ac:dyDescent="0.3">
      <c r="B2961" t="str">
        <f>IFERROR(IF(A2961="","",VLOOKUP(A2961,CadProd!$A:$B,2,0)),"")</f>
        <v/>
      </c>
      <c r="C2961" t="str">
        <f>IFERROR(IF(A2961="","",VLOOKUP(A2961,CadProd!$A:$C,3,0)),"")</f>
        <v/>
      </c>
    </row>
    <row r="2962" spans="2:3" x14ac:dyDescent="0.3">
      <c r="B2962" t="str">
        <f>IFERROR(IF(A2962="","",VLOOKUP(A2962,CadProd!$A:$B,2,0)),"")</f>
        <v/>
      </c>
      <c r="C2962" t="str">
        <f>IFERROR(IF(A2962="","",VLOOKUP(A2962,CadProd!$A:$C,3,0)),"")</f>
        <v/>
      </c>
    </row>
    <row r="2963" spans="2:3" x14ac:dyDescent="0.3">
      <c r="B2963" t="str">
        <f>IFERROR(IF(A2963="","",VLOOKUP(A2963,CadProd!$A:$B,2,0)),"")</f>
        <v/>
      </c>
      <c r="C2963" t="str">
        <f>IFERROR(IF(A2963="","",VLOOKUP(A2963,CadProd!$A:$C,3,0)),"")</f>
        <v/>
      </c>
    </row>
    <row r="2964" spans="2:3" x14ac:dyDescent="0.3">
      <c r="B2964" t="str">
        <f>IFERROR(IF(A2964="","",VLOOKUP(A2964,CadProd!$A:$B,2,0)),"")</f>
        <v/>
      </c>
      <c r="C2964" t="str">
        <f>IFERROR(IF(A2964="","",VLOOKUP(A2964,CadProd!$A:$C,3,0)),"")</f>
        <v/>
      </c>
    </row>
    <row r="2965" spans="2:3" x14ac:dyDescent="0.3">
      <c r="B2965" t="str">
        <f>IFERROR(IF(A2965="","",VLOOKUP(A2965,CadProd!$A:$B,2,0)),"")</f>
        <v/>
      </c>
      <c r="C2965" t="str">
        <f>IFERROR(IF(A2965="","",VLOOKUP(A2965,CadProd!$A:$C,3,0)),"")</f>
        <v/>
      </c>
    </row>
    <row r="2966" spans="2:3" x14ac:dyDescent="0.3">
      <c r="B2966" t="str">
        <f>IFERROR(IF(A2966="","",VLOOKUP(A2966,CadProd!$A:$B,2,0)),"")</f>
        <v/>
      </c>
      <c r="C2966" t="str">
        <f>IFERROR(IF(A2966="","",VLOOKUP(A2966,CadProd!$A:$C,3,0)),"")</f>
        <v/>
      </c>
    </row>
    <row r="2967" spans="2:3" x14ac:dyDescent="0.3">
      <c r="B2967" t="str">
        <f>IFERROR(IF(A2967="","",VLOOKUP(A2967,CadProd!$A:$B,2,0)),"")</f>
        <v/>
      </c>
      <c r="C2967" t="str">
        <f>IFERROR(IF(A2967="","",VLOOKUP(A2967,CadProd!$A:$C,3,0)),"")</f>
        <v/>
      </c>
    </row>
    <row r="2968" spans="2:3" x14ac:dyDescent="0.3">
      <c r="B2968" t="str">
        <f>IFERROR(IF(A2968="","",VLOOKUP(A2968,CadProd!$A:$B,2,0)),"")</f>
        <v/>
      </c>
      <c r="C2968" t="str">
        <f>IFERROR(IF(A2968="","",VLOOKUP(A2968,CadProd!$A:$C,3,0)),"")</f>
        <v/>
      </c>
    </row>
    <row r="2969" spans="2:3" x14ac:dyDescent="0.3">
      <c r="B2969" t="str">
        <f>IFERROR(IF(A2969="","",VLOOKUP(A2969,CadProd!$A:$B,2,0)),"")</f>
        <v/>
      </c>
      <c r="C2969" t="str">
        <f>IFERROR(IF(A2969="","",VLOOKUP(A2969,CadProd!$A:$C,3,0)),"")</f>
        <v/>
      </c>
    </row>
    <row r="2970" spans="2:3" x14ac:dyDescent="0.3">
      <c r="B2970" t="str">
        <f>IFERROR(IF(A2970="","",VLOOKUP(A2970,CadProd!$A:$B,2,0)),"")</f>
        <v/>
      </c>
      <c r="C2970" t="str">
        <f>IFERROR(IF(A2970="","",VLOOKUP(A2970,CadProd!$A:$C,3,0)),"")</f>
        <v/>
      </c>
    </row>
    <row r="2971" spans="2:3" x14ac:dyDescent="0.3">
      <c r="B2971" t="str">
        <f>IFERROR(IF(A2971="","",VLOOKUP(A2971,CadProd!$A:$B,2,0)),"")</f>
        <v/>
      </c>
      <c r="C2971" t="str">
        <f>IFERROR(IF(A2971="","",VLOOKUP(A2971,CadProd!$A:$C,3,0)),"")</f>
        <v/>
      </c>
    </row>
    <row r="2972" spans="2:3" x14ac:dyDescent="0.3">
      <c r="B2972" t="str">
        <f>IFERROR(IF(A2972="","",VLOOKUP(A2972,CadProd!$A:$B,2,0)),"")</f>
        <v/>
      </c>
      <c r="C2972" t="str">
        <f>IFERROR(IF(A2972="","",VLOOKUP(A2972,CadProd!$A:$C,3,0)),"")</f>
        <v/>
      </c>
    </row>
    <row r="2973" spans="2:3" x14ac:dyDescent="0.3">
      <c r="B2973" t="str">
        <f>IFERROR(IF(A2973="","",VLOOKUP(A2973,CadProd!$A:$B,2,0)),"")</f>
        <v/>
      </c>
      <c r="C2973" t="str">
        <f>IFERROR(IF(A2973="","",VLOOKUP(A2973,CadProd!$A:$C,3,0)),"")</f>
        <v/>
      </c>
    </row>
    <row r="2974" spans="2:3" x14ac:dyDescent="0.3">
      <c r="B2974" t="str">
        <f>IFERROR(IF(A2974="","",VLOOKUP(A2974,CadProd!$A:$B,2,0)),"")</f>
        <v/>
      </c>
      <c r="C2974" t="str">
        <f>IFERROR(IF(A2974="","",VLOOKUP(A2974,CadProd!$A:$C,3,0)),"")</f>
        <v/>
      </c>
    </row>
    <row r="2975" spans="2:3" x14ac:dyDescent="0.3">
      <c r="B2975" t="str">
        <f>IFERROR(IF(A2975="","",VLOOKUP(A2975,CadProd!$A:$B,2,0)),"")</f>
        <v/>
      </c>
      <c r="C2975" t="str">
        <f>IFERROR(IF(A2975="","",VLOOKUP(A2975,CadProd!$A:$C,3,0)),"")</f>
        <v/>
      </c>
    </row>
    <row r="2976" spans="2:3" x14ac:dyDescent="0.3">
      <c r="B2976" t="str">
        <f>IFERROR(IF(A2976="","",VLOOKUP(A2976,CadProd!$A:$B,2,0)),"")</f>
        <v/>
      </c>
      <c r="C2976" t="str">
        <f>IFERROR(IF(A2976="","",VLOOKUP(A2976,CadProd!$A:$C,3,0)),"")</f>
        <v/>
      </c>
    </row>
    <row r="2977" spans="2:3" x14ac:dyDescent="0.3">
      <c r="B2977" t="str">
        <f>IFERROR(IF(A2977="","",VLOOKUP(A2977,CadProd!$A:$B,2,0)),"")</f>
        <v/>
      </c>
      <c r="C2977" t="str">
        <f>IFERROR(IF(A2977="","",VLOOKUP(A2977,CadProd!$A:$C,3,0)),"")</f>
        <v/>
      </c>
    </row>
    <row r="2978" spans="2:3" x14ac:dyDescent="0.3">
      <c r="B2978" t="str">
        <f>IFERROR(IF(A2978="","",VLOOKUP(A2978,CadProd!$A:$B,2,0)),"")</f>
        <v/>
      </c>
      <c r="C2978" t="str">
        <f>IFERROR(IF(A2978="","",VLOOKUP(A2978,CadProd!$A:$C,3,0)),"")</f>
        <v/>
      </c>
    </row>
    <row r="2979" spans="2:3" x14ac:dyDescent="0.3">
      <c r="B2979" t="str">
        <f>IFERROR(IF(A2979="","",VLOOKUP(A2979,CadProd!$A:$B,2,0)),"")</f>
        <v/>
      </c>
      <c r="C2979" t="str">
        <f>IFERROR(IF(A2979="","",VLOOKUP(A2979,CadProd!$A:$C,3,0)),"")</f>
        <v/>
      </c>
    </row>
    <row r="2980" spans="2:3" x14ac:dyDescent="0.3">
      <c r="B2980" t="str">
        <f>IFERROR(IF(A2980="","",VLOOKUP(A2980,CadProd!$A:$B,2,0)),"")</f>
        <v/>
      </c>
      <c r="C2980" t="str">
        <f>IFERROR(IF(A2980="","",VLOOKUP(A2980,CadProd!$A:$C,3,0)),"")</f>
        <v/>
      </c>
    </row>
    <row r="2981" spans="2:3" x14ac:dyDescent="0.3">
      <c r="B2981" t="str">
        <f>IFERROR(IF(A2981="","",VLOOKUP(A2981,CadProd!$A:$B,2,0)),"")</f>
        <v/>
      </c>
      <c r="C2981" t="str">
        <f>IFERROR(IF(A2981="","",VLOOKUP(A2981,CadProd!$A:$C,3,0)),"")</f>
        <v/>
      </c>
    </row>
    <row r="2982" spans="2:3" x14ac:dyDescent="0.3">
      <c r="B2982" t="str">
        <f>IFERROR(IF(A2982="","",VLOOKUP(A2982,CadProd!$A:$B,2,0)),"")</f>
        <v/>
      </c>
      <c r="C2982" t="str">
        <f>IFERROR(IF(A2982="","",VLOOKUP(A2982,CadProd!$A:$C,3,0)),"")</f>
        <v/>
      </c>
    </row>
    <row r="2983" spans="2:3" x14ac:dyDescent="0.3">
      <c r="B2983" t="str">
        <f>IFERROR(IF(A2983="","",VLOOKUP(A2983,CadProd!$A:$B,2,0)),"")</f>
        <v/>
      </c>
      <c r="C2983" t="str">
        <f>IFERROR(IF(A2983="","",VLOOKUP(A2983,CadProd!$A:$C,3,0)),"")</f>
        <v/>
      </c>
    </row>
    <row r="2984" spans="2:3" x14ac:dyDescent="0.3">
      <c r="B2984" t="str">
        <f>IFERROR(IF(A2984="","",VLOOKUP(A2984,CadProd!$A:$B,2,0)),"")</f>
        <v/>
      </c>
      <c r="C2984" t="str">
        <f>IFERROR(IF(A2984="","",VLOOKUP(A2984,CadProd!$A:$C,3,0)),"")</f>
        <v/>
      </c>
    </row>
    <row r="2985" spans="2:3" x14ac:dyDescent="0.3">
      <c r="B2985" t="str">
        <f>IFERROR(IF(A2985="","",VLOOKUP(A2985,CadProd!$A:$B,2,0)),"")</f>
        <v/>
      </c>
      <c r="C2985" t="str">
        <f>IFERROR(IF(A2985="","",VLOOKUP(A2985,CadProd!$A:$C,3,0)),"")</f>
        <v/>
      </c>
    </row>
    <row r="2986" spans="2:3" x14ac:dyDescent="0.3">
      <c r="B2986" t="str">
        <f>IFERROR(IF(A2986="","",VLOOKUP(A2986,CadProd!$A:$B,2,0)),"")</f>
        <v/>
      </c>
      <c r="C2986" t="str">
        <f>IFERROR(IF(A2986="","",VLOOKUP(A2986,CadProd!$A:$C,3,0)),"")</f>
        <v/>
      </c>
    </row>
    <row r="2987" spans="2:3" x14ac:dyDescent="0.3">
      <c r="B2987" t="str">
        <f>IFERROR(IF(A2987="","",VLOOKUP(A2987,CadProd!$A:$B,2,0)),"")</f>
        <v/>
      </c>
      <c r="C2987" t="str">
        <f>IFERROR(IF(A2987="","",VLOOKUP(A2987,CadProd!$A:$C,3,0)),"")</f>
        <v/>
      </c>
    </row>
    <row r="2988" spans="2:3" x14ac:dyDescent="0.3">
      <c r="B2988" t="str">
        <f>IFERROR(IF(A2988="","",VLOOKUP(A2988,CadProd!$A:$B,2,0)),"")</f>
        <v/>
      </c>
      <c r="C2988" t="str">
        <f>IFERROR(IF(A2988="","",VLOOKUP(A2988,CadProd!$A:$C,3,0)),"")</f>
        <v/>
      </c>
    </row>
    <row r="2989" spans="2:3" x14ac:dyDescent="0.3">
      <c r="B2989" t="str">
        <f>IFERROR(IF(A2989="","",VLOOKUP(A2989,CadProd!$A:$B,2,0)),"")</f>
        <v/>
      </c>
      <c r="C2989" t="str">
        <f>IFERROR(IF(A2989="","",VLOOKUP(A2989,CadProd!$A:$C,3,0)),"")</f>
        <v/>
      </c>
    </row>
    <row r="2990" spans="2:3" x14ac:dyDescent="0.3">
      <c r="B2990" t="str">
        <f>IFERROR(IF(A2990="","",VLOOKUP(A2990,CadProd!$A:$B,2,0)),"")</f>
        <v/>
      </c>
      <c r="C2990" t="str">
        <f>IFERROR(IF(A2990="","",VLOOKUP(A2990,CadProd!$A:$C,3,0)),"")</f>
        <v/>
      </c>
    </row>
    <row r="2991" spans="2:3" x14ac:dyDescent="0.3">
      <c r="B2991" t="str">
        <f>IFERROR(IF(A2991="","",VLOOKUP(A2991,CadProd!$A:$B,2,0)),"")</f>
        <v/>
      </c>
      <c r="C2991" t="str">
        <f>IFERROR(IF(A2991="","",VLOOKUP(A2991,CadProd!$A:$C,3,0)),"")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CEC85-2DB4-4FA5-8B46-9C29A893EF5B}">
  <sheetPr codeName="Planilha3"/>
  <dimension ref="A1:P1"/>
  <sheetViews>
    <sheetView workbookViewId="0">
      <selection activeCell="A2" sqref="A2:J2"/>
    </sheetView>
  </sheetViews>
  <sheetFormatPr defaultRowHeight="14.4" x14ac:dyDescent="0.3"/>
  <cols>
    <col min="1" max="1" width="11" bestFit="1" customWidth="1"/>
    <col min="2" max="2" width="12.33203125" bestFit="1" customWidth="1"/>
    <col min="3" max="3" width="35.77734375" customWidth="1"/>
    <col min="5" max="5" width="11.88671875" style="1" bestFit="1" customWidth="1"/>
    <col min="6" max="6" width="12.44140625" style="1" customWidth="1"/>
    <col min="7" max="7" width="10.5546875" style="2" bestFit="1" customWidth="1"/>
    <col min="8" max="10" width="10.5546875" style="2" customWidth="1"/>
    <col min="12" max="12" width="12.33203125" bestFit="1" customWidth="1"/>
    <col min="13" max="13" width="4.77734375" customWidth="1"/>
    <col min="15" max="15" width="12.77734375" bestFit="1" customWidth="1"/>
    <col min="16" max="16" width="11.88671875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6</v>
      </c>
      <c r="G1" t="s">
        <v>5</v>
      </c>
      <c r="H1" t="s">
        <v>7</v>
      </c>
      <c r="I1" t="s">
        <v>8</v>
      </c>
      <c r="J1" t="s">
        <v>9</v>
      </c>
      <c r="L1" t="s">
        <v>12</v>
      </c>
      <c r="M1">
        <f>SUM(D2:D1048576)</f>
        <v>0</v>
      </c>
      <c r="O1" t="s">
        <v>11</v>
      </c>
      <c r="P1" s="5">
        <f>SUM(F2:F1048576)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90104-E082-4365-AB4C-D4BF40D23CF8}">
  <sheetPr codeName="Planilha10"/>
  <dimension ref="A1:P5001"/>
  <sheetViews>
    <sheetView workbookViewId="0">
      <selection activeCell="A2" sqref="A2:G2"/>
    </sheetView>
  </sheetViews>
  <sheetFormatPr defaultRowHeight="14.4" x14ac:dyDescent="0.3"/>
  <cols>
    <col min="1" max="1" width="11" customWidth="1"/>
    <col min="2" max="2" width="12.33203125" customWidth="1"/>
    <col min="3" max="3" width="35.77734375" customWidth="1"/>
    <col min="4" max="4" width="8.88671875" style="4" customWidth="1"/>
    <col min="5" max="5" width="10.33203125" style="1" customWidth="1"/>
    <col min="6" max="6" width="14.6640625" style="1" bestFit="1" customWidth="1"/>
    <col min="7" max="7" width="10.5546875" style="2" bestFit="1" customWidth="1"/>
    <col min="12" max="12" width="11.6640625" bestFit="1" customWidth="1"/>
    <col min="15" max="15" width="12.77734375" bestFit="1" customWidth="1"/>
    <col min="16" max="16" width="12.21875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6</v>
      </c>
      <c r="G1" t="s">
        <v>5</v>
      </c>
      <c r="H1" t="s">
        <v>8</v>
      </c>
      <c r="I1" t="s">
        <v>9</v>
      </c>
      <c r="J1" t="s">
        <v>7</v>
      </c>
      <c r="L1" t="s">
        <v>12</v>
      </c>
      <c r="M1">
        <f>SUM(TempMovEntrada!D2:D1048576)</f>
        <v>0</v>
      </c>
      <c r="O1" t="s">
        <v>11</v>
      </c>
      <c r="P1" s="5">
        <f>SUM(TempMovEntrada!F2:F1048576)</f>
        <v>0</v>
      </c>
    </row>
    <row r="2" spans="1:16" x14ac:dyDescent="0.3">
      <c r="D2"/>
      <c r="H2" t="str">
        <f>IF(G2="","",MONTH(G2))</f>
        <v/>
      </c>
      <c r="I2" t="str">
        <f>IF(G2="","",YEAR(G2))</f>
        <v/>
      </c>
      <c r="J2" t="str">
        <f>IF(G2="","",IF(H2&lt;10,0&amp;H2&amp;"_"&amp;I2,H2&amp;"_"&amp;I2))</f>
        <v/>
      </c>
    </row>
    <row r="3" spans="1:16" x14ac:dyDescent="0.3">
      <c r="D3"/>
    </row>
    <row r="4" spans="1:16" x14ac:dyDescent="0.3">
      <c r="D4"/>
    </row>
    <row r="5" spans="1:16" x14ac:dyDescent="0.3">
      <c r="D5"/>
    </row>
    <row r="6" spans="1:16" x14ac:dyDescent="0.3">
      <c r="D6"/>
    </row>
    <row r="7" spans="1:16" x14ac:dyDescent="0.3">
      <c r="D7"/>
    </row>
    <row r="8" spans="1:16" x14ac:dyDescent="0.3">
      <c r="D8"/>
    </row>
    <row r="9" spans="1:16" x14ac:dyDescent="0.3">
      <c r="D9"/>
    </row>
    <row r="10" spans="1:16" x14ac:dyDescent="0.3">
      <c r="D10"/>
    </row>
    <row r="11" spans="1:16" x14ac:dyDescent="0.3">
      <c r="D11"/>
    </row>
    <row r="12" spans="1:16" x14ac:dyDescent="0.3">
      <c r="D12"/>
    </row>
    <row r="13" spans="1:16" x14ac:dyDescent="0.3">
      <c r="D13"/>
    </row>
    <row r="14" spans="1:16" x14ac:dyDescent="0.3">
      <c r="D14"/>
    </row>
    <row r="15" spans="1:16" x14ac:dyDescent="0.3">
      <c r="D15"/>
    </row>
    <row r="16" spans="1:16" x14ac:dyDescent="0.3">
      <c r="D16"/>
    </row>
    <row r="17" spans="4:4" x14ac:dyDescent="0.3">
      <c r="D17"/>
    </row>
    <row r="18" spans="4:4" x14ac:dyDescent="0.3">
      <c r="D18"/>
    </row>
    <row r="19" spans="4:4" x14ac:dyDescent="0.3">
      <c r="D19"/>
    </row>
    <row r="20" spans="4:4" x14ac:dyDescent="0.3">
      <c r="D20"/>
    </row>
    <row r="21" spans="4:4" x14ac:dyDescent="0.3">
      <c r="D21"/>
    </row>
    <row r="22" spans="4:4" x14ac:dyDescent="0.3">
      <c r="D22"/>
    </row>
    <row r="23" spans="4:4" x14ac:dyDescent="0.3">
      <c r="D23"/>
    </row>
    <row r="24" spans="4:4" x14ac:dyDescent="0.3">
      <c r="D24"/>
    </row>
    <row r="25" spans="4:4" x14ac:dyDescent="0.3">
      <c r="D25"/>
    </row>
    <row r="26" spans="4:4" x14ac:dyDescent="0.3">
      <c r="D26"/>
    </row>
    <row r="27" spans="4:4" x14ac:dyDescent="0.3">
      <c r="D27"/>
    </row>
    <row r="28" spans="4:4" x14ac:dyDescent="0.3">
      <c r="D28"/>
    </row>
    <row r="29" spans="4:4" x14ac:dyDescent="0.3">
      <c r="D29"/>
    </row>
    <row r="30" spans="4:4" x14ac:dyDescent="0.3">
      <c r="D30"/>
    </row>
    <row r="31" spans="4:4" x14ac:dyDescent="0.3">
      <c r="D31"/>
    </row>
    <row r="32" spans="4:4" x14ac:dyDescent="0.3">
      <c r="D32"/>
    </row>
    <row r="33" spans="4:4" x14ac:dyDescent="0.3">
      <c r="D33"/>
    </row>
    <row r="34" spans="4:4" x14ac:dyDescent="0.3">
      <c r="D34"/>
    </row>
    <row r="35" spans="4:4" x14ac:dyDescent="0.3">
      <c r="D35"/>
    </row>
    <row r="36" spans="4:4" x14ac:dyDescent="0.3">
      <c r="D36"/>
    </row>
    <row r="37" spans="4:4" x14ac:dyDescent="0.3">
      <c r="D37"/>
    </row>
    <row r="38" spans="4:4" x14ac:dyDescent="0.3">
      <c r="D38"/>
    </row>
    <row r="39" spans="4:4" x14ac:dyDescent="0.3">
      <c r="D39"/>
    </row>
    <row r="40" spans="4:4" x14ac:dyDescent="0.3">
      <c r="D40"/>
    </row>
    <row r="41" spans="4:4" x14ac:dyDescent="0.3">
      <c r="D41"/>
    </row>
    <row r="42" spans="4:4" x14ac:dyDescent="0.3">
      <c r="D42"/>
    </row>
    <row r="43" spans="4:4" x14ac:dyDescent="0.3">
      <c r="D43"/>
    </row>
    <row r="44" spans="4:4" x14ac:dyDescent="0.3">
      <c r="D44"/>
    </row>
    <row r="45" spans="4:4" x14ac:dyDescent="0.3">
      <c r="D45"/>
    </row>
    <row r="46" spans="4:4" x14ac:dyDescent="0.3">
      <c r="D46"/>
    </row>
    <row r="47" spans="4:4" x14ac:dyDescent="0.3">
      <c r="D47"/>
    </row>
    <row r="48" spans="4:4" x14ac:dyDescent="0.3">
      <c r="D48"/>
    </row>
    <row r="49" spans="4:4" x14ac:dyDescent="0.3">
      <c r="D49"/>
    </row>
    <row r="50" spans="4:4" x14ac:dyDescent="0.3">
      <c r="D50"/>
    </row>
    <row r="51" spans="4:4" x14ac:dyDescent="0.3">
      <c r="D51"/>
    </row>
    <row r="52" spans="4:4" x14ac:dyDescent="0.3">
      <c r="D52"/>
    </row>
    <row r="53" spans="4:4" x14ac:dyDescent="0.3">
      <c r="D53"/>
    </row>
    <row r="54" spans="4:4" x14ac:dyDescent="0.3">
      <c r="D54"/>
    </row>
    <row r="55" spans="4:4" x14ac:dyDescent="0.3">
      <c r="D55"/>
    </row>
    <row r="56" spans="4:4" x14ac:dyDescent="0.3">
      <c r="D56"/>
    </row>
    <row r="57" spans="4:4" x14ac:dyDescent="0.3">
      <c r="D57"/>
    </row>
    <row r="58" spans="4:4" x14ac:dyDescent="0.3">
      <c r="D58"/>
    </row>
    <row r="59" spans="4:4" x14ac:dyDescent="0.3">
      <c r="D59"/>
    </row>
    <row r="60" spans="4:4" x14ac:dyDescent="0.3">
      <c r="D60"/>
    </row>
    <row r="61" spans="4:4" x14ac:dyDescent="0.3">
      <c r="D61"/>
    </row>
    <row r="62" spans="4:4" x14ac:dyDescent="0.3">
      <c r="D62"/>
    </row>
    <row r="63" spans="4:4" x14ac:dyDescent="0.3">
      <c r="D63"/>
    </row>
    <row r="64" spans="4:4" x14ac:dyDescent="0.3">
      <c r="D64"/>
    </row>
    <row r="65" spans="4:4" x14ac:dyDescent="0.3">
      <c r="D65"/>
    </row>
    <row r="66" spans="4:4" x14ac:dyDescent="0.3">
      <c r="D66"/>
    </row>
    <row r="67" spans="4:4" x14ac:dyDescent="0.3">
      <c r="D67"/>
    </row>
    <row r="68" spans="4:4" x14ac:dyDescent="0.3">
      <c r="D68"/>
    </row>
    <row r="69" spans="4:4" x14ac:dyDescent="0.3">
      <c r="D69"/>
    </row>
    <row r="70" spans="4:4" x14ac:dyDescent="0.3">
      <c r="D70"/>
    </row>
    <row r="71" spans="4:4" x14ac:dyDescent="0.3">
      <c r="D71"/>
    </row>
    <row r="72" spans="4:4" x14ac:dyDescent="0.3">
      <c r="D72"/>
    </row>
    <row r="73" spans="4:4" x14ac:dyDescent="0.3">
      <c r="D73"/>
    </row>
    <row r="74" spans="4:4" x14ac:dyDescent="0.3">
      <c r="D74"/>
    </row>
    <row r="75" spans="4:4" x14ac:dyDescent="0.3">
      <c r="D75"/>
    </row>
    <row r="76" spans="4:4" x14ac:dyDescent="0.3">
      <c r="D76"/>
    </row>
    <row r="77" spans="4:4" x14ac:dyDescent="0.3">
      <c r="D77"/>
    </row>
    <row r="78" spans="4:4" x14ac:dyDescent="0.3">
      <c r="D78"/>
    </row>
    <row r="79" spans="4:4" x14ac:dyDescent="0.3">
      <c r="D79"/>
    </row>
    <row r="80" spans="4:4" x14ac:dyDescent="0.3">
      <c r="D80"/>
    </row>
    <row r="81" spans="4:4" x14ac:dyDescent="0.3">
      <c r="D81"/>
    </row>
    <row r="82" spans="4:4" x14ac:dyDescent="0.3">
      <c r="D82"/>
    </row>
    <row r="83" spans="4:4" x14ac:dyDescent="0.3">
      <c r="D83"/>
    </row>
    <row r="84" spans="4:4" x14ac:dyDescent="0.3">
      <c r="D84"/>
    </row>
    <row r="85" spans="4:4" x14ac:dyDescent="0.3">
      <c r="D85"/>
    </row>
    <row r="86" spans="4:4" x14ac:dyDescent="0.3">
      <c r="D86"/>
    </row>
    <row r="87" spans="4:4" x14ac:dyDescent="0.3">
      <c r="D87"/>
    </row>
    <row r="88" spans="4:4" x14ac:dyDescent="0.3">
      <c r="D88"/>
    </row>
    <row r="89" spans="4:4" x14ac:dyDescent="0.3">
      <c r="D89"/>
    </row>
    <row r="90" spans="4:4" x14ac:dyDescent="0.3">
      <c r="D90"/>
    </row>
    <row r="91" spans="4:4" x14ac:dyDescent="0.3">
      <c r="D91"/>
    </row>
    <row r="92" spans="4:4" x14ac:dyDescent="0.3">
      <c r="D92"/>
    </row>
    <row r="93" spans="4:4" x14ac:dyDescent="0.3">
      <c r="D93"/>
    </row>
    <row r="94" spans="4:4" x14ac:dyDescent="0.3">
      <c r="D94"/>
    </row>
    <row r="95" spans="4:4" x14ac:dyDescent="0.3">
      <c r="D95"/>
    </row>
    <row r="96" spans="4:4" x14ac:dyDescent="0.3">
      <c r="D96"/>
    </row>
    <row r="97" spans="4:4" x14ac:dyDescent="0.3">
      <c r="D97"/>
    </row>
    <row r="98" spans="4:4" x14ac:dyDescent="0.3">
      <c r="D98"/>
    </row>
    <row r="99" spans="4:4" x14ac:dyDescent="0.3">
      <c r="D99"/>
    </row>
    <row r="100" spans="4:4" x14ac:dyDescent="0.3">
      <c r="D100"/>
    </row>
    <row r="101" spans="4:4" x14ac:dyDescent="0.3">
      <c r="D101"/>
    </row>
    <row r="102" spans="4:4" x14ac:dyDescent="0.3">
      <c r="D102"/>
    </row>
    <row r="103" spans="4:4" x14ac:dyDescent="0.3">
      <c r="D103"/>
    </row>
    <row r="104" spans="4:4" x14ac:dyDescent="0.3">
      <c r="D104"/>
    </row>
    <row r="105" spans="4:4" x14ac:dyDescent="0.3">
      <c r="D105"/>
    </row>
    <row r="106" spans="4:4" x14ac:dyDescent="0.3">
      <c r="D106"/>
    </row>
    <row r="107" spans="4:4" x14ac:dyDescent="0.3">
      <c r="D107"/>
    </row>
    <row r="108" spans="4:4" x14ac:dyDescent="0.3">
      <c r="D108"/>
    </row>
    <row r="109" spans="4:4" x14ac:dyDescent="0.3">
      <c r="D109"/>
    </row>
    <row r="110" spans="4:4" x14ac:dyDescent="0.3">
      <c r="D110"/>
    </row>
    <row r="111" spans="4:4" x14ac:dyDescent="0.3">
      <c r="D111"/>
    </row>
    <row r="112" spans="4:4" x14ac:dyDescent="0.3">
      <c r="D112"/>
    </row>
    <row r="113" spans="4:4" x14ac:dyDescent="0.3">
      <c r="D113"/>
    </row>
    <row r="114" spans="4:4" x14ac:dyDescent="0.3">
      <c r="D114"/>
    </row>
    <row r="115" spans="4:4" x14ac:dyDescent="0.3">
      <c r="D115"/>
    </row>
    <row r="116" spans="4:4" x14ac:dyDescent="0.3">
      <c r="D116"/>
    </row>
    <row r="117" spans="4:4" x14ac:dyDescent="0.3">
      <c r="D117"/>
    </row>
    <row r="118" spans="4:4" x14ac:dyDescent="0.3">
      <c r="D118"/>
    </row>
    <row r="119" spans="4:4" x14ac:dyDescent="0.3">
      <c r="D119"/>
    </row>
    <row r="120" spans="4:4" x14ac:dyDescent="0.3">
      <c r="D120"/>
    </row>
    <row r="121" spans="4:4" x14ac:dyDescent="0.3">
      <c r="D121"/>
    </row>
    <row r="122" spans="4:4" x14ac:dyDescent="0.3">
      <c r="D122"/>
    </row>
    <row r="123" spans="4:4" x14ac:dyDescent="0.3">
      <c r="D123"/>
    </row>
    <row r="124" spans="4:4" x14ac:dyDescent="0.3">
      <c r="D124"/>
    </row>
    <row r="125" spans="4:4" x14ac:dyDescent="0.3">
      <c r="D125"/>
    </row>
    <row r="126" spans="4:4" x14ac:dyDescent="0.3">
      <c r="D126"/>
    </row>
    <row r="127" spans="4:4" x14ac:dyDescent="0.3">
      <c r="D127"/>
    </row>
    <row r="128" spans="4:4" x14ac:dyDescent="0.3">
      <c r="D128"/>
    </row>
    <row r="129" spans="4:4" x14ac:dyDescent="0.3">
      <c r="D129"/>
    </row>
    <row r="130" spans="4:4" x14ac:dyDescent="0.3">
      <c r="D130"/>
    </row>
    <row r="131" spans="4:4" x14ac:dyDescent="0.3">
      <c r="D131"/>
    </row>
    <row r="132" spans="4:4" x14ac:dyDescent="0.3">
      <c r="D132"/>
    </row>
    <row r="133" spans="4:4" x14ac:dyDescent="0.3">
      <c r="D133"/>
    </row>
    <row r="134" spans="4:4" x14ac:dyDescent="0.3">
      <c r="D134"/>
    </row>
    <row r="135" spans="4:4" x14ac:dyDescent="0.3">
      <c r="D135"/>
    </row>
    <row r="136" spans="4:4" x14ac:dyDescent="0.3">
      <c r="D136"/>
    </row>
    <row r="137" spans="4:4" x14ac:dyDescent="0.3">
      <c r="D137"/>
    </row>
    <row r="138" spans="4:4" x14ac:dyDescent="0.3">
      <c r="D138"/>
    </row>
    <row r="139" spans="4:4" x14ac:dyDescent="0.3">
      <c r="D139"/>
    </row>
    <row r="140" spans="4:4" x14ac:dyDescent="0.3">
      <c r="D140"/>
    </row>
    <row r="141" spans="4:4" x14ac:dyDescent="0.3">
      <c r="D141"/>
    </row>
    <row r="142" spans="4:4" x14ac:dyDescent="0.3">
      <c r="D142"/>
    </row>
    <row r="143" spans="4:4" x14ac:dyDescent="0.3">
      <c r="D143"/>
    </row>
    <row r="144" spans="4:4" x14ac:dyDescent="0.3">
      <c r="D144"/>
    </row>
    <row r="145" spans="4:4" x14ac:dyDescent="0.3">
      <c r="D145"/>
    </row>
    <row r="146" spans="4:4" x14ac:dyDescent="0.3">
      <c r="D146"/>
    </row>
    <row r="147" spans="4:4" x14ac:dyDescent="0.3">
      <c r="D147"/>
    </row>
    <row r="148" spans="4:4" x14ac:dyDescent="0.3">
      <c r="D148"/>
    </row>
    <row r="149" spans="4:4" x14ac:dyDescent="0.3">
      <c r="D149"/>
    </row>
    <row r="150" spans="4:4" x14ac:dyDescent="0.3">
      <c r="D150"/>
    </row>
    <row r="151" spans="4:4" x14ac:dyDescent="0.3">
      <c r="D151"/>
    </row>
    <row r="152" spans="4:4" x14ac:dyDescent="0.3">
      <c r="D152"/>
    </row>
    <row r="153" spans="4:4" x14ac:dyDescent="0.3">
      <c r="D153"/>
    </row>
    <row r="154" spans="4:4" x14ac:dyDescent="0.3">
      <c r="D154"/>
    </row>
    <row r="155" spans="4:4" x14ac:dyDescent="0.3">
      <c r="D155"/>
    </row>
    <row r="156" spans="4:4" x14ac:dyDescent="0.3">
      <c r="D156"/>
    </row>
    <row r="157" spans="4:4" x14ac:dyDescent="0.3">
      <c r="D157"/>
    </row>
    <row r="158" spans="4:4" x14ac:dyDescent="0.3">
      <c r="D158"/>
    </row>
    <row r="159" spans="4:4" x14ac:dyDescent="0.3">
      <c r="D159"/>
    </row>
    <row r="160" spans="4:4" x14ac:dyDescent="0.3">
      <c r="D160"/>
    </row>
    <row r="161" spans="4:4" x14ac:dyDescent="0.3">
      <c r="D161"/>
    </row>
    <row r="162" spans="4:4" x14ac:dyDescent="0.3">
      <c r="D162"/>
    </row>
    <row r="163" spans="4:4" x14ac:dyDescent="0.3">
      <c r="D163"/>
    </row>
    <row r="164" spans="4:4" x14ac:dyDescent="0.3">
      <c r="D164"/>
    </row>
    <row r="165" spans="4:4" x14ac:dyDescent="0.3">
      <c r="D165"/>
    </row>
    <row r="166" spans="4:4" x14ac:dyDescent="0.3">
      <c r="D166"/>
    </row>
    <row r="167" spans="4:4" x14ac:dyDescent="0.3">
      <c r="D167"/>
    </row>
    <row r="168" spans="4:4" x14ac:dyDescent="0.3">
      <c r="D168"/>
    </row>
    <row r="169" spans="4:4" x14ac:dyDescent="0.3">
      <c r="D169"/>
    </row>
    <row r="170" spans="4:4" x14ac:dyDescent="0.3">
      <c r="D170"/>
    </row>
    <row r="171" spans="4:4" x14ac:dyDescent="0.3">
      <c r="D171"/>
    </row>
    <row r="172" spans="4:4" x14ac:dyDescent="0.3">
      <c r="D172"/>
    </row>
    <row r="173" spans="4:4" x14ac:dyDescent="0.3">
      <c r="D173"/>
    </row>
    <row r="174" spans="4:4" x14ac:dyDescent="0.3">
      <c r="D174"/>
    </row>
    <row r="175" spans="4:4" x14ac:dyDescent="0.3">
      <c r="D175"/>
    </row>
    <row r="176" spans="4:4" x14ac:dyDescent="0.3">
      <c r="D176"/>
    </row>
    <row r="177" spans="4:4" x14ac:dyDescent="0.3">
      <c r="D177"/>
    </row>
    <row r="178" spans="4:4" x14ac:dyDescent="0.3">
      <c r="D178"/>
    </row>
    <row r="179" spans="4:4" x14ac:dyDescent="0.3">
      <c r="D179"/>
    </row>
    <row r="180" spans="4:4" x14ac:dyDescent="0.3">
      <c r="D180"/>
    </row>
    <row r="181" spans="4:4" x14ac:dyDescent="0.3">
      <c r="D181"/>
    </row>
    <row r="182" spans="4:4" x14ac:dyDescent="0.3">
      <c r="D182"/>
    </row>
    <row r="183" spans="4:4" x14ac:dyDescent="0.3">
      <c r="D183"/>
    </row>
    <row r="184" spans="4:4" x14ac:dyDescent="0.3">
      <c r="D184"/>
    </row>
    <row r="185" spans="4:4" x14ac:dyDescent="0.3">
      <c r="D185"/>
    </row>
    <row r="186" spans="4:4" x14ac:dyDescent="0.3">
      <c r="D186"/>
    </row>
    <row r="187" spans="4:4" x14ac:dyDescent="0.3">
      <c r="D187"/>
    </row>
    <row r="188" spans="4:4" x14ac:dyDescent="0.3">
      <c r="D188"/>
    </row>
    <row r="189" spans="4:4" x14ac:dyDescent="0.3">
      <c r="D189"/>
    </row>
    <row r="190" spans="4:4" x14ac:dyDescent="0.3">
      <c r="D190"/>
    </row>
    <row r="191" spans="4:4" x14ac:dyDescent="0.3">
      <c r="D191"/>
    </row>
    <row r="192" spans="4:4" x14ac:dyDescent="0.3">
      <c r="D192"/>
    </row>
    <row r="193" spans="4:4" x14ac:dyDescent="0.3">
      <c r="D193"/>
    </row>
    <row r="194" spans="4:4" x14ac:dyDescent="0.3">
      <c r="D194"/>
    </row>
    <row r="195" spans="4:4" x14ac:dyDescent="0.3">
      <c r="D195"/>
    </row>
    <row r="196" spans="4:4" x14ac:dyDescent="0.3">
      <c r="D196"/>
    </row>
    <row r="197" spans="4:4" x14ac:dyDescent="0.3">
      <c r="D197"/>
    </row>
    <row r="198" spans="4:4" x14ac:dyDescent="0.3">
      <c r="D198"/>
    </row>
    <row r="199" spans="4:4" x14ac:dyDescent="0.3">
      <c r="D199"/>
    </row>
    <row r="200" spans="4:4" x14ac:dyDescent="0.3">
      <c r="D200"/>
    </row>
    <row r="201" spans="4:4" x14ac:dyDescent="0.3">
      <c r="D201"/>
    </row>
    <row r="202" spans="4:4" x14ac:dyDescent="0.3">
      <c r="D202"/>
    </row>
    <row r="203" spans="4:4" x14ac:dyDescent="0.3">
      <c r="D203"/>
    </row>
    <row r="204" spans="4:4" x14ac:dyDescent="0.3">
      <c r="D204"/>
    </row>
    <row r="205" spans="4:4" x14ac:dyDescent="0.3">
      <c r="D205"/>
    </row>
    <row r="206" spans="4:4" x14ac:dyDescent="0.3">
      <c r="D206"/>
    </row>
    <row r="207" spans="4:4" x14ac:dyDescent="0.3">
      <c r="D207"/>
    </row>
    <row r="208" spans="4:4" x14ac:dyDescent="0.3">
      <c r="D208"/>
    </row>
    <row r="209" spans="4:4" x14ac:dyDescent="0.3">
      <c r="D209"/>
    </row>
    <row r="210" spans="4:4" x14ac:dyDescent="0.3">
      <c r="D210"/>
    </row>
    <row r="211" spans="4:4" x14ac:dyDescent="0.3">
      <c r="D211"/>
    </row>
    <row r="212" spans="4:4" x14ac:dyDescent="0.3">
      <c r="D212"/>
    </row>
    <row r="213" spans="4:4" x14ac:dyDescent="0.3">
      <c r="D213"/>
    </row>
    <row r="214" spans="4:4" x14ac:dyDescent="0.3">
      <c r="D214"/>
    </row>
    <row r="215" spans="4:4" x14ac:dyDescent="0.3">
      <c r="D215"/>
    </row>
    <row r="216" spans="4:4" x14ac:dyDescent="0.3">
      <c r="D216"/>
    </row>
    <row r="217" spans="4:4" x14ac:dyDescent="0.3">
      <c r="D217"/>
    </row>
    <row r="218" spans="4:4" x14ac:dyDescent="0.3">
      <c r="D218"/>
    </row>
    <row r="219" spans="4:4" x14ac:dyDescent="0.3">
      <c r="D219"/>
    </row>
    <row r="220" spans="4:4" x14ac:dyDescent="0.3">
      <c r="D220"/>
    </row>
    <row r="221" spans="4:4" x14ac:dyDescent="0.3">
      <c r="D221"/>
    </row>
    <row r="222" spans="4:4" x14ac:dyDescent="0.3">
      <c r="D222"/>
    </row>
    <row r="223" spans="4:4" x14ac:dyDescent="0.3">
      <c r="D223"/>
    </row>
    <row r="224" spans="4:4" x14ac:dyDescent="0.3">
      <c r="D224"/>
    </row>
    <row r="225" spans="4:4" x14ac:dyDescent="0.3">
      <c r="D225"/>
    </row>
    <row r="226" spans="4:4" x14ac:dyDescent="0.3">
      <c r="D226"/>
    </row>
    <row r="227" spans="4:4" x14ac:dyDescent="0.3">
      <c r="D227"/>
    </row>
    <row r="228" spans="4:4" x14ac:dyDescent="0.3">
      <c r="D228"/>
    </row>
    <row r="229" spans="4:4" x14ac:dyDescent="0.3">
      <c r="D229"/>
    </row>
    <row r="230" spans="4:4" x14ac:dyDescent="0.3">
      <c r="D230"/>
    </row>
    <row r="231" spans="4:4" x14ac:dyDescent="0.3">
      <c r="D231"/>
    </row>
    <row r="232" spans="4:4" x14ac:dyDescent="0.3">
      <c r="D232"/>
    </row>
    <row r="233" spans="4:4" x14ac:dyDescent="0.3">
      <c r="D233"/>
    </row>
    <row r="234" spans="4:4" x14ac:dyDescent="0.3">
      <c r="D234"/>
    </row>
    <row r="235" spans="4:4" x14ac:dyDescent="0.3">
      <c r="D235"/>
    </row>
    <row r="236" spans="4:4" x14ac:dyDescent="0.3">
      <c r="D236"/>
    </row>
    <row r="237" spans="4:4" x14ac:dyDescent="0.3">
      <c r="D237"/>
    </row>
    <row r="238" spans="4:4" x14ac:dyDescent="0.3">
      <c r="D238"/>
    </row>
    <row r="239" spans="4:4" x14ac:dyDescent="0.3">
      <c r="D239"/>
    </row>
    <row r="240" spans="4:4" x14ac:dyDescent="0.3">
      <c r="D240"/>
    </row>
    <row r="241" spans="4:4" x14ac:dyDescent="0.3">
      <c r="D241"/>
    </row>
    <row r="242" spans="4:4" x14ac:dyDescent="0.3">
      <c r="D242"/>
    </row>
    <row r="243" spans="4:4" x14ac:dyDescent="0.3">
      <c r="D243"/>
    </row>
    <row r="244" spans="4:4" x14ac:dyDescent="0.3">
      <c r="D244"/>
    </row>
    <row r="245" spans="4:4" x14ac:dyDescent="0.3">
      <c r="D245"/>
    </row>
    <row r="246" spans="4:4" x14ac:dyDescent="0.3">
      <c r="D246"/>
    </row>
    <row r="247" spans="4:4" x14ac:dyDescent="0.3">
      <c r="D247"/>
    </row>
    <row r="248" spans="4:4" x14ac:dyDescent="0.3">
      <c r="D248"/>
    </row>
    <row r="249" spans="4:4" x14ac:dyDescent="0.3">
      <c r="D249"/>
    </row>
    <row r="250" spans="4:4" x14ac:dyDescent="0.3">
      <c r="D250"/>
    </row>
    <row r="251" spans="4:4" x14ac:dyDescent="0.3">
      <c r="D251"/>
    </row>
    <row r="252" spans="4:4" x14ac:dyDescent="0.3">
      <c r="D252"/>
    </row>
    <row r="253" spans="4:4" x14ac:dyDescent="0.3">
      <c r="D253"/>
    </row>
    <row r="254" spans="4:4" x14ac:dyDescent="0.3">
      <c r="D254"/>
    </row>
    <row r="255" spans="4:4" x14ac:dyDescent="0.3">
      <c r="D255"/>
    </row>
    <row r="256" spans="4:4" x14ac:dyDescent="0.3">
      <c r="D256"/>
    </row>
    <row r="257" spans="4:4" x14ac:dyDescent="0.3">
      <c r="D257"/>
    </row>
    <row r="258" spans="4:4" x14ac:dyDescent="0.3">
      <c r="D258"/>
    </row>
    <row r="259" spans="4:4" x14ac:dyDescent="0.3">
      <c r="D259"/>
    </row>
    <row r="260" spans="4:4" x14ac:dyDescent="0.3">
      <c r="D260"/>
    </row>
    <row r="261" spans="4:4" x14ac:dyDescent="0.3">
      <c r="D261"/>
    </row>
    <row r="262" spans="4:4" x14ac:dyDescent="0.3">
      <c r="D262"/>
    </row>
    <row r="263" spans="4:4" x14ac:dyDescent="0.3">
      <c r="D263"/>
    </row>
    <row r="264" spans="4:4" x14ac:dyDescent="0.3">
      <c r="D264"/>
    </row>
    <row r="265" spans="4:4" x14ac:dyDescent="0.3">
      <c r="D265"/>
    </row>
    <row r="266" spans="4:4" x14ac:dyDescent="0.3">
      <c r="D266"/>
    </row>
    <row r="267" spans="4:4" x14ac:dyDescent="0.3">
      <c r="D267"/>
    </row>
    <row r="268" spans="4:4" x14ac:dyDescent="0.3">
      <c r="D268"/>
    </row>
    <row r="269" spans="4:4" x14ac:dyDescent="0.3">
      <c r="D269"/>
    </row>
    <row r="270" spans="4:4" x14ac:dyDescent="0.3">
      <c r="D270"/>
    </row>
    <row r="271" spans="4:4" x14ac:dyDescent="0.3">
      <c r="D271"/>
    </row>
    <row r="272" spans="4:4" x14ac:dyDescent="0.3">
      <c r="D272"/>
    </row>
    <row r="273" spans="4:4" x14ac:dyDescent="0.3">
      <c r="D273"/>
    </row>
    <row r="274" spans="4:4" x14ac:dyDescent="0.3">
      <c r="D274"/>
    </row>
    <row r="275" spans="4:4" x14ac:dyDescent="0.3">
      <c r="D275"/>
    </row>
    <row r="276" spans="4:4" x14ac:dyDescent="0.3">
      <c r="D276"/>
    </row>
    <row r="277" spans="4:4" x14ac:dyDescent="0.3">
      <c r="D277"/>
    </row>
    <row r="278" spans="4:4" x14ac:dyDescent="0.3">
      <c r="D278"/>
    </row>
    <row r="279" spans="4:4" x14ac:dyDescent="0.3">
      <c r="D279"/>
    </row>
    <row r="280" spans="4:4" x14ac:dyDescent="0.3">
      <c r="D280"/>
    </row>
    <row r="281" spans="4:4" x14ac:dyDescent="0.3">
      <c r="D281"/>
    </row>
    <row r="282" spans="4:4" x14ac:dyDescent="0.3">
      <c r="D282"/>
    </row>
    <row r="283" spans="4:4" x14ac:dyDescent="0.3">
      <c r="D283"/>
    </row>
    <row r="284" spans="4:4" x14ac:dyDescent="0.3">
      <c r="D284"/>
    </row>
    <row r="285" spans="4:4" x14ac:dyDescent="0.3">
      <c r="D285"/>
    </row>
    <row r="286" spans="4:4" x14ac:dyDescent="0.3">
      <c r="D286"/>
    </row>
    <row r="287" spans="4:4" x14ac:dyDescent="0.3">
      <c r="D287"/>
    </row>
    <row r="288" spans="4:4" x14ac:dyDescent="0.3">
      <c r="D288"/>
    </row>
    <row r="289" spans="4:4" x14ac:dyDescent="0.3">
      <c r="D289"/>
    </row>
    <row r="290" spans="4:4" x14ac:dyDescent="0.3">
      <c r="D290"/>
    </row>
    <row r="291" spans="4:4" x14ac:dyDescent="0.3">
      <c r="D291"/>
    </row>
    <row r="292" spans="4:4" x14ac:dyDescent="0.3">
      <c r="D292"/>
    </row>
    <row r="293" spans="4:4" x14ac:dyDescent="0.3">
      <c r="D293"/>
    </row>
    <row r="294" spans="4:4" x14ac:dyDescent="0.3">
      <c r="D294"/>
    </row>
    <row r="295" spans="4:4" x14ac:dyDescent="0.3">
      <c r="D295"/>
    </row>
    <row r="296" spans="4:4" x14ac:dyDescent="0.3">
      <c r="D296"/>
    </row>
    <row r="297" spans="4:4" x14ac:dyDescent="0.3">
      <c r="D297"/>
    </row>
    <row r="298" spans="4:4" x14ac:dyDescent="0.3">
      <c r="D298"/>
    </row>
    <row r="299" spans="4:4" x14ac:dyDescent="0.3">
      <c r="D299"/>
    </row>
    <row r="300" spans="4:4" x14ac:dyDescent="0.3">
      <c r="D300"/>
    </row>
    <row r="301" spans="4:4" x14ac:dyDescent="0.3">
      <c r="D301"/>
    </row>
    <row r="302" spans="4:4" x14ac:dyDescent="0.3">
      <c r="D302"/>
    </row>
    <row r="303" spans="4:4" x14ac:dyDescent="0.3">
      <c r="D303"/>
    </row>
    <row r="304" spans="4:4" x14ac:dyDescent="0.3">
      <c r="D304"/>
    </row>
    <row r="305" spans="4:4" x14ac:dyDescent="0.3">
      <c r="D305"/>
    </row>
    <row r="306" spans="4:4" x14ac:dyDescent="0.3">
      <c r="D306"/>
    </row>
    <row r="307" spans="4:4" x14ac:dyDescent="0.3">
      <c r="D307"/>
    </row>
    <row r="308" spans="4:4" x14ac:dyDescent="0.3">
      <c r="D308"/>
    </row>
    <row r="309" spans="4:4" x14ac:dyDescent="0.3">
      <c r="D309"/>
    </row>
    <row r="310" spans="4:4" x14ac:dyDescent="0.3">
      <c r="D310"/>
    </row>
    <row r="311" spans="4:4" x14ac:dyDescent="0.3">
      <c r="D311"/>
    </row>
    <row r="312" spans="4:4" x14ac:dyDescent="0.3">
      <c r="D312"/>
    </row>
    <row r="313" spans="4:4" x14ac:dyDescent="0.3">
      <c r="D313"/>
    </row>
    <row r="314" spans="4:4" x14ac:dyDescent="0.3">
      <c r="D314"/>
    </row>
    <row r="315" spans="4:4" x14ac:dyDescent="0.3">
      <c r="D315"/>
    </row>
    <row r="316" spans="4:4" x14ac:dyDescent="0.3">
      <c r="D316"/>
    </row>
    <row r="317" spans="4:4" x14ac:dyDescent="0.3">
      <c r="D317"/>
    </row>
    <row r="318" spans="4:4" x14ac:dyDescent="0.3">
      <c r="D318"/>
    </row>
    <row r="319" spans="4:4" x14ac:dyDescent="0.3">
      <c r="D319"/>
    </row>
    <row r="320" spans="4:4" x14ac:dyDescent="0.3">
      <c r="D320"/>
    </row>
    <row r="321" spans="4:4" x14ac:dyDescent="0.3">
      <c r="D321"/>
    </row>
    <row r="322" spans="4:4" x14ac:dyDescent="0.3">
      <c r="D322"/>
    </row>
    <row r="323" spans="4:4" x14ac:dyDescent="0.3">
      <c r="D323"/>
    </row>
    <row r="324" spans="4:4" x14ac:dyDescent="0.3">
      <c r="D324"/>
    </row>
    <row r="325" spans="4:4" x14ac:dyDescent="0.3">
      <c r="D325"/>
    </row>
    <row r="326" spans="4:4" x14ac:dyDescent="0.3">
      <c r="D326"/>
    </row>
    <row r="327" spans="4:4" x14ac:dyDescent="0.3">
      <c r="D327"/>
    </row>
    <row r="328" spans="4:4" x14ac:dyDescent="0.3">
      <c r="D328"/>
    </row>
    <row r="329" spans="4:4" x14ac:dyDescent="0.3">
      <c r="D329"/>
    </row>
    <row r="330" spans="4:4" x14ac:dyDescent="0.3">
      <c r="D330"/>
    </row>
    <row r="331" spans="4:4" x14ac:dyDescent="0.3">
      <c r="D331"/>
    </row>
    <row r="332" spans="4:4" x14ac:dyDescent="0.3">
      <c r="D332"/>
    </row>
    <row r="333" spans="4:4" x14ac:dyDescent="0.3">
      <c r="D333"/>
    </row>
    <row r="334" spans="4:4" x14ac:dyDescent="0.3">
      <c r="D334"/>
    </row>
    <row r="335" spans="4:4" x14ac:dyDescent="0.3">
      <c r="D335"/>
    </row>
    <row r="336" spans="4:4" x14ac:dyDescent="0.3">
      <c r="D336"/>
    </row>
    <row r="337" spans="4:4" x14ac:dyDescent="0.3">
      <c r="D337"/>
    </row>
    <row r="338" spans="4:4" x14ac:dyDescent="0.3">
      <c r="D338"/>
    </row>
    <row r="339" spans="4:4" x14ac:dyDescent="0.3">
      <c r="D339"/>
    </row>
    <row r="340" spans="4:4" x14ac:dyDescent="0.3">
      <c r="D340"/>
    </row>
    <row r="341" spans="4:4" x14ac:dyDescent="0.3">
      <c r="D341"/>
    </row>
    <row r="342" spans="4:4" x14ac:dyDescent="0.3">
      <c r="D342"/>
    </row>
    <row r="343" spans="4:4" x14ac:dyDescent="0.3">
      <c r="D343"/>
    </row>
    <row r="344" spans="4:4" x14ac:dyDescent="0.3">
      <c r="D344"/>
    </row>
    <row r="345" spans="4:4" x14ac:dyDescent="0.3">
      <c r="D345"/>
    </row>
    <row r="346" spans="4:4" x14ac:dyDescent="0.3">
      <c r="D346"/>
    </row>
    <row r="347" spans="4:4" x14ac:dyDescent="0.3">
      <c r="D347"/>
    </row>
    <row r="348" spans="4:4" x14ac:dyDescent="0.3">
      <c r="D348"/>
    </row>
    <row r="349" spans="4:4" x14ac:dyDescent="0.3">
      <c r="D349"/>
    </row>
    <row r="350" spans="4:4" x14ac:dyDescent="0.3">
      <c r="D350"/>
    </row>
    <row r="351" spans="4:4" x14ac:dyDescent="0.3">
      <c r="D351"/>
    </row>
    <row r="352" spans="4:4" x14ac:dyDescent="0.3">
      <c r="D352"/>
    </row>
    <row r="353" spans="4:4" x14ac:dyDescent="0.3">
      <c r="D353"/>
    </row>
    <row r="354" spans="4:4" x14ac:dyDescent="0.3">
      <c r="D354"/>
    </row>
    <row r="355" spans="4:4" x14ac:dyDescent="0.3">
      <c r="D355"/>
    </row>
    <row r="356" spans="4:4" x14ac:dyDescent="0.3">
      <c r="D356"/>
    </row>
    <row r="357" spans="4:4" x14ac:dyDescent="0.3">
      <c r="D357"/>
    </row>
    <row r="358" spans="4:4" x14ac:dyDescent="0.3">
      <c r="D358"/>
    </row>
    <row r="359" spans="4:4" x14ac:dyDescent="0.3">
      <c r="D359"/>
    </row>
    <row r="360" spans="4:4" x14ac:dyDescent="0.3">
      <c r="D360"/>
    </row>
    <row r="361" spans="4:4" x14ac:dyDescent="0.3">
      <c r="D361"/>
    </row>
    <row r="362" spans="4:4" x14ac:dyDescent="0.3">
      <c r="D362"/>
    </row>
    <row r="363" spans="4:4" x14ac:dyDescent="0.3">
      <c r="D363"/>
    </row>
    <row r="364" spans="4:4" x14ac:dyDescent="0.3">
      <c r="D364"/>
    </row>
    <row r="365" spans="4:4" x14ac:dyDescent="0.3">
      <c r="D365"/>
    </row>
    <row r="366" spans="4:4" x14ac:dyDescent="0.3">
      <c r="D366"/>
    </row>
    <row r="367" spans="4:4" x14ac:dyDescent="0.3">
      <c r="D367"/>
    </row>
    <row r="368" spans="4:4" x14ac:dyDescent="0.3">
      <c r="D368"/>
    </row>
    <row r="369" spans="4:4" x14ac:dyDescent="0.3">
      <c r="D369"/>
    </row>
    <row r="370" spans="4:4" x14ac:dyDescent="0.3">
      <c r="D370"/>
    </row>
    <row r="371" spans="4:4" x14ac:dyDescent="0.3">
      <c r="D371"/>
    </row>
    <row r="372" spans="4:4" x14ac:dyDescent="0.3">
      <c r="D372"/>
    </row>
    <row r="373" spans="4:4" x14ac:dyDescent="0.3">
      <c r="D373"/>
    </row>
    <row r="374" spans="4:4" x14ac:dyDescent="0.3">
      <c r="D374"/>
    </row>
    <row r="375" spans="4:4" x14ac:dyDescent="0.3">
      <c r="D375"/>
    </row>
    <row r="376" spans="4:4" x14ac:dyDescent="0.3">
      <c r="D376"/>
    </row>
    <row r="377" spans="4:4" x14ac:dyDescent="0.3">
      <c r="D377"/>
    </row>
    <row r="378" spans="4:4" x14ac:dyDescent="0.3">
      <c r="D378"/>
    </row>
    <row r="379" spans="4:4" x14ac:dyDescent="0.3">
      <c r="D379"/>
    </row>
    <row r="380" spans="4:4" x14ac:dyDescent="0.3">
      <c r="D380"/>
    </row>
    <row r="381" spans="4:4" x14ac:dyDescent="0.3">
      <c r="D381"/>
    </row>
    <row r="382" spans="4:4" x14ac:dyDescent="0.3">
      <c r="D382"/>
    </row>
    <row r="383" spans="4:4" x14ac:dyDescent="0.3">
      <c r="D383"/>
    </row>
    <row r="384" spans="4:4" x14ac:dyDescent="0.3">
      <c r="D384"/>
    </row>
    <row r="385" spans="4:4" x14ac:dyDescent="0.3">
      <c r="D385"/>
    </row>
    <row r="386" spans="4:4" x14ac:dyDescent="0.3">
      <c r="D386"/>
    </row>
    <row r="387" spans="4:4" x14ac:dyDescent="0.3">
      <c r="D387"/>
    </row>
    <row r="388" spans="4:4" x14ac:dyDescent="0.3">
      <c r="D388"/>
    </row>
    <row r="389" spans="4:4" x14ac:dyDescent="0.3">
      <c r="D389"/>
    </row>
    <row r="390" spans="4:4" x14ac:dyDescent="0.3">
      <c r="D390"/>
    </row>
    <row r="391" spans="4:4" x14ac:dyDescent="0.3">
      <c r="D391"/>
    </row>
    <row r="392" spans="4:4" x14ac:dyDescent="0.3">
      <c r="D392"/>
    </row>
    <row r="393" spans="4:4" x14ac:dyDescent="0.3">
      <c r="D393"/>
    </row>
    <row r="394" spans="4:4" x14ac:dyDescent="0.3">
      <c r="D394"/>
    </row>
    <row r="395" spans="4:4" x14ac:dyDescent="0.3">
      <c r="D395"/>
    </row>
    <row r="396" spans="4:4" x14ac:dyDescent="0.3">
      <c r="D396"/>
    </row>
    <row r="397" spans="4:4" x14ac:dyDescent="0.3">
      <c r="D397"/>
    </row>
    <row r="398" spans="4:4" x14ac:dyDescent="0.3">
      <c r="D398"/>
    </row>
    <row r="399" spans="4:4" x14ac:dyDescent="0.3">
      <c r="D399"/>
    </row>
    <row r="400" spans="4:4" x14ac:dyDescent="0.3">
      <c r="D400"/>
    </row>
    <row r="401" spans="4:4" x14ac:dyDescent="0.3">
      <c r="D401"/>
    </row>
    <row r="402" spans="4:4" x14ac:dyDescent="0.3">
      <c r="D402"/>
    </row>
    <row r="403" spans="4:4" x14ac:dyDescent="0.3">
      <c r="D403"/>
    </row>
    <row r="404" spans="4:4" x14ac:dyDescent="0.3">
      <c r="D404"/>
    </row>
    <row r="405" spans="4:4" x14ac:dyDescent="0.3">
      <c r="D405"/>
    </row>
    <row r="406" spans="4:4" x14ac:dyDescent="0.3">
      <c r="D406"/>
    </row>
    <row r="407" spans="4:4" x14ac:dyDescent="0.3">
      <c r="D407"/>
    </row>
    <row r="408" spans="4:4" x14ac:dyDescent="0.3">
      <c r="D408"/>
    </row>
    <row r="409" spans="4:4" x14ac:dyDescent="0.3">
      <c r="D409"/>
    </row>
    <row r="410" spans="4:4" x14ac:dyDescent="0.3">
      <c r="D410"/>
    </row>
    <row r="411" spans="4:4" x14ac:dyDescent="0.3">
      <c r="D411"/>
    </row>
    <row r="412" spans="4:4" x14ac:dyDescent="0.3">
      <c r="D412"/>
    </row>
    <row r="413" spans="4:4" x14ac:dyDescent="0.3">
      <c r="D413"/>
    </row>
    <row r="414" spans="4:4" x14ac:dyDescent="0.3">
      <c r="D414"/>
    </row>
    <row r="415" spans="4:4" x14ac:dyDescent="0.3">
      <c r="D415"/>
    </row>
    <row r="416" spans="4:4" x14ac:dyDescent="0.3">
      <c r="D416"/>
    </row>
    <row r="417" spans="4:4" x14ac:dyDescent="0.3">
      <c r="D417"/>
    </row>
    <row r="418" spans="4:4" x14ac:dyDescent="0.3">
      <c r="D418"/>
    </row>
    <row r="419" spans="4:4" x14ac:dyDescent="0.3">
      <c r="D419"/>
    </row>
    <row r="420" spans="4:4" x14ac:dyDescent="0.3">
      <c r="D420"/>
    </row>
    <row r="421" spans="4:4" x14ac:dyDescent="0.3">
      <c r="D421"/>
    </row>
    <row r="422" spans="4:4" x14ac:dyDescent="0.3">
      <c r="D422"/>
    </row>
    <row r="423" spans="4:4" x14ac:dyDescent="0.3">
      <c r="D423"/>
    </row>
    <row r="424" spans="4:4" x14ac:dyDescent="0.3">
      <c r="D424"/>
    </row>
    <row r="425" spans="4:4" x14ac:dyDescent="0.3">
      <c r="D425"/>
    </row>
    <row r="426" spans="4:4" x14ac:dyDescent="0.3">
      <c r="D426"/>
    </row>
    <row r="427" spans="4:4" x14ac:dyDescent="0.3">
      <c r="D427"/>
    </row>
    <row r="428" spans="4:4" x14ac:dyDescent="0.3">
      <c r="D428"/>
    </row>
    <row r="429" spans="4:4" x14ac:dyDescent="0.3">
      <c r="D429"/>
    </row>
    <row r="430" spans="4:4" x14ac:dyDescent="0.3">
      <c r="D430"/>
    </row>
    <row r="431" spans="4:4" x14ac:dyDescent="0.3">
      <c r="D431"/>
    </row>
    <row r="432" spans="4:4" x14ac:dyDescent="0.3">
      <c r="D432"/>
    </row>
    <row r="433" spans="4:4" x14ac:dyDescent="0.3">
      <c r="D433"/>
    </row>
    <row r="434" spans="4:4" x14ac:dyDescent="0.3">
      <c r="D434"/>
    </row>
    <row r="435" spans="4:4" x14ac:dyDescent="0.3">
      <c r="D435"/>
    </row>
    <row r="436" spans="4:4" x14ac:dyDescent="0.3">
      <c r="D436"/>
    </row>
    <row r="437" spans="4:4" x14ac:dyDescent="0.3">
      <c r="D437"/>
    </row>
    <row r="438" spans="4:4" x14ac:dyDescent="0.3">
      <c r="D438"/>
    </row>
    <row r="439" spans="4:4" x14ac:dyDescent="0.3">
      <c r="D439"/>
    </row>
    <row r="440" spans="4:4" x14ac:dyDescent="0.3">
      <c r="D440"/>
    </row>
    <row r="441" spans="4:4" x14ac:dyDescent="0.3">
      <c r="D441"/>
    </row>
    <row r="442" spans="4:4" x14ac:dyDescent="0.3">
      <c r="D442"/>
    </row>
    <row r="443" spans="4:4" x14ac:dyDescent="0.3">
      <c r="D443"/>
    </row>
    <row r="444" spans="4:4" x14ac:dyDescent="0.3">
      <c r="D444"/>
    </row>
    <row r="445" spans="4:4" x14ac:dyDescent="0.3">
      <c r="D445"/>
    </row>
    <row r="446" spans="4:4" x14ac:dyDescent="0.3">
      <c r="D446"/>
    </row>
    <row r="447" spans="4:4" x14ac:dyDescent="0.3">
      <c r="D447"/>
    </row>
    <row r="448" spans="4:4" x14ac:dyDescent="0.3">
      <c r="D448"/>
    </row>
    <row r="449" spans="4:4" x14ac:dyDescent="0.3">
      <c r="D449"/>
    </row>
    <row r="450" spans="4:4" x14ac:dyDescent="0.3">
      <c r="D450"/>
    </row>
    <row r="451" spans="4:4" x14ac:dyDescent="0.3">
      <c r="D451"/>
    </row>
    <row r="452" spans="4:4" x14ac:dyDescent="0.3">
      <c r="D452"/>
    </row>
    <row r="453" spans="4:4" x14ac:dyDescent="0.3">
      <c r="D453"/>
    </row>
    <row r="454" spans="4:4" x14ac:dyDescent="0.3">
      <c r="D454"/>
    </row>
    <row r="455" spans="4:4" x14ac:dyDescent="0.3">
      <c r="D455"/>
    </row>
    <row r="456" spans="4:4" x14ac:dyDescent="0.3">
      <c r="D456"/>
    </row>
    <row r="457" spans="4:4" x14ac:dyDescent="0.3">
      <c r="D457"/>
    </row>
    <row r="458" spans="4:4" x14ac:dyDescent="0.3">
      <c r="D458"/>
    </row>
    <row r="459" spans="4:4" x14ac:dyDescent="0.3">
      <c r="D459"/>
    </row>
    <row r="460" spans="4:4" x14ac:dyDescent="0.3">
      <c r="D460"/>
    </row>
    <row r="461" spans="4:4" x14ac:dyDescent="0.3">
      <c r="D461"/>
    </row>
    <row r="462" spans="4:4" x14ac:dyDescent="0.3">
      <c r="D462"/>
    </row>
    <row r="463" spans="4:4" x14ac:dyDescent="0.3">
      <c r="D463"/>
    </row>
    <row r="464" spans="4:4" x14ac:dyDescent="0.3">
      <c r="D464"/>
    </row>
    <row r="465" spans="4:4" x14ac:dyDescent="0.3">
      <c r="D465"/>
    </row>
    <row r="466" spans="4:4" x14ac:dyDescent="0.3">
      <c r="D466"/>
    </row>
    <row r="467" spans="4:4" x14ac:dyDescent="0.3">
      <c r="D467"/>
    </row>
    <row r="468" spans="4:4" x14ac:dyDescent="0.3">
      <c r="D468"/>
    </row>
    <row r="469" spans="4:4" x14ac:dyDescent="0.3">
      <c r="D469"/>
    </row>
    <row r="470" spans="4:4" x14ac:dyDescent="0.3">
      <c r="D470"/>
    </row>
    <row r="471" spans="4:4" x14ac:dyDescent="0.3">
      <c r="D471"/>
    </row>
    <row r="472" spans="4:4" x14ac:dyDescent="0.3">
      <c r="D472"/>
    </row>
    <row r="473" spans="4:4" x14ac:dyDescent="0.3">
      <c r="D473"/>
    </row>
    <row r="474" spans="4:4" x14ac:dyDescent="0.3">
      <c r="D474"/>
    </row>
    <row r="475" spans="4:4" x14ac:dyDescent="0.3">
      <c r="D475"/>
    </row>
    <row r="476" spans="4:4" x14ac:dyDescent="0.3">
      <c r="D476"/>
    </row>
    <row r="477" spans="4:4" x14ac:dyDescent="0.3">
      <c r="D477"/>
    </row>
    <row r="478" spans="4:4" x14ac:dyDescent="0.3">
      <c r="D478"/>
    </row>
    <row r="479" spans="4:4" x14ac:dyDescent="0.3">
      <c r="D479"/>
    </row>
    <row r="480" spans="4:4" x14ac:dyDescent="0.3">
      <c r="D480"/>
    </row>
    <row r="481" spans="4:4" x14ac:dyDescent="0.3">
      <c r="D481"/>
    </row>
    <row r="482" spans="4:4" x14ac:dyDescent="0.3">
      <c r="D482"/>
    </row>
    <row r="483" spans="4:4" x14ac:dyDescent="0.3">
      <c r="D483"/>
    </row>
    <row r="484" spans="4:4" x14ac:dyDescent="0.3">
      <c r="D484"/>
    </row>
    <row r="485" spans="4:4" x14ac:dyDescent="0.3">
      <c r="D485"/>
    </row>
    <row r="486" spans="4:4" x14ac:dyDescent="0.3">
      <c r="D486"/>
    </row>
    <row r="487" spans="4:4" x14ac:dyDescent="0.3">
      <c r="D487"/>
    </row>
    <row r="488" spans="4:4" x14ac:dyDescent="0.3">
      <c r="D488"/>
    </row>
    <row r="489" spans="4:4" x14ac:dyDescent="0.3">
      <c r="D489"/>
    </row>
    <row r="490" spans="4:4" x14ac:dyDescent="0.3">
      <c r="D490"/>
    </row>
    <row r="491" spans="4:4" x14ac:dyDescent="0.3">
      <c r="D491"/>
    </row>
    <row r="492" spans="4:4" x14ac:dyDescent="0.3">
      <c r="D492"/>
    </row>
    <row r="493" spans="4:4" x14ac:dyDescent="0.3">
      <c r="D493"/>
    </row>
    <row r="494" spans="4:4" x14ac:dyDescent="0.3">
      <c r="D494"/>
    </row>
    <row r="495" spans="4:4" x14ac:dyDescent="0.3">
      <c r="D495"/>
    </row>
    <row r="496" spans="4:4" x14ac:dyDescent="0.3">
      <c r="D496"/>
    </row>
    <row r="497" spans="4:4" x14ac:dyDescent="0.3">
      <c r="D497"/>
    </row>
    <row r="498" spans="4:4" x14ac:dyDescent="0.3">
      <c r="D498"/>
    </row>
    <row r="499" spans="4:4" x14ac:dyDescent="0.3">
      <c r="D499"/>
    </row>
    <row r="500" spans="4:4" x14ac:dyDescent="0.3">
      <c r="D500"/>
    </row>
    <row r="501" spans="4:4" x14ac:dyDescent="0.3">
      <c r="D501"/>
    </row>
    <row r="502" spans="4:4" x14ac:dyDescent="0.3">
      <c r="D502"/>
    </row>
    <row r="503" spans="4:4" x14ac:dyDescent="0.3">
      <c r="D503"/>
    </row>
    <row r="504" spans="4:4" x14ac:dyDescent="0.3">
      <c r="D504"/>
    </row>
    <row r="505" spans="4:4" x14ac:dyDescent="0.3">
      <c r="D505"/>
    </row>
    <row r="506" spans="4:4" x14ac:dyDescent="0.3">
      <c r="D506"/>
    </row>
    <row r="507" spans="4:4" x14ac:dyDescent="0.3">
      <c r="D507"/>
    </row>
    <row r="508" spans="4:4" x14ac:dyDescent="0.3">
      <c r="D508"/>
    </row>
    <row r="509" spans="4:4" x14ac:dyDescent="0.3">
      <c r="D509"/>
    </row>
    <row r="510" spans="4:4" x14ac:dyDescent="0.3">
      <c r="D510"/>
    </row>
    <row r="511" spans="4:4" x14ac:dyDescent="0.3">
      <c r="D511"/>
    </row>
    <row r="512" spans="4:4" x14ac:dyDescent="0.3">
      <c r="D512"/>
    </row>
    <row r="513" spans="4:4" x14ac:dyDescent="0.3">
      <c r="D513"/>
    </row>
    <row r="514" spans="4:4" x14ac:dyDescent="0.3">
      <c r="D514"/>
    </row>
    <row r="515" spans="4:4" x14ac:dyDescent="0.3">
      <c r="D515"/>
    </row>
    <row r="516" spans="4:4" x14ac:dyDescent="0.3">
      <c r="D516"/>
    </row>
    <row r="517" spans="4:4" x14ac:dyDescent="0.3">
      <c r="D517"/>
    </row>
    <row r="518" spans="4:4" x14ac:dyDescent="0.3">
      <c r="D518"/>
    </row>
    <row r="519" spans="4:4" x14ac:dyDescent="0.3">
      <c r="D519"/>
    </row>
    <row r="520" spans="4:4" x14ac:dyDescent="0.3">
      <c r="D520"/>
    </row>
    <row r="521" spans="4:4" x14ac:dyDescent="0.3">
      <c r="D521"/>
    </row>
    <row r="522" spans="4:4" x14ac:dyDescent="0.3">
      <c r="D522"/>
    </row>
    <row r="523" spans="4:4" x14ac:dyDescent="0.3">
      <c r="D523"/>
    </row>
    <row r="524" spans="4:4" x14ac:dyDescent="0.3">
      <c r="D524"/>
    </row>
    <row r="525" spans="4:4" x14ac:dyDescent="0.3">
      <c r="D525"/>
    </row>
    <row r="526" spans="4:4" x14ac:dyDescent="0.3">
      <c r="D526"/>
    </row>
    <row r="527" spans="4:4" x14ac:dyDescent="0.3">
      <c r="D527"/>
    </row>
    <row r="528" spans="4:4" x14ac:dyDescent="0.3">
      <c r="D528"/>
    </row>
    <row r="529" spans="4:4" x14ac:dyDescent="0.3">
      <c r="D529"/>
    </row>
    <row r="530" spans="4:4" x14ac:dyDescent="0.3">
      <c r="D530"/>
    </row>
    <row r="531" spans="4:4" x14ac:dyDescent="0.3">
      <c r="D531"/>
    </row>
    <row r="532" spans="4:4" x14ac:dyDescent="0.3">
      <c r="D532"/>
    </row>
    <row r="533" spans="4:4" x14ac:dyDescent="0.3">
      <c r="D533"/>
    </row>
    <row r="534" spans="4:4" x14ac:dyDescent="0.3">
      <c r="D534"/>
    </row>
    <row r="535" spans="4:4" x14ac:dyDescent="0.3">
      <c r="D535"/>
    </row>
    <row r="536" spans="4:4" x14ac:dyDescent="0.3">
      <c r="D536"/>
    </row>
    <row r="537" spans="4:4" x14ac:dyDescent="0.3">
      <c r="D537"/>
    </row>
    <row r="538" spans="4:4" x14ac:dyDescent="0.3">
      <c r="D538"/>
    </row>
    <row r="539" spans="4:4" x14ac:dyDescent="0.3">
      <c r="D539"/>
    </row>
    <row r="540" spans="4:4" x14ac:dyDescent="0.3">
      <c r="D540"/>
    </row>
    <row r="541" spans="4:4" x14ac:dyDescent="0.3">
      <c r="D541"/>
    </row>
    <row r="542" spans="4:4" x14ac:dyDescent="0.3">
      <c r="D542"/>
    </row>
    <row r="543" spans="4:4" x14ac:dyDescent="0.3">
      <c r="D543"/>
    </row>
    <row r="544" spans="4:4" x14ac:dyDescent="0.3">
      <c r="D544"/>
    </row>
    <row r="545" spans="4:4" x14ac:dyDescent="0.3">
      <c r="D545"/>
    </row>
    <row r="546" spans="4:4" x14ac:dyDescent="0.3">
      <c r="D546"/>
    </row>
    <row r="547" spans="4:4" x14ac:dyDescent="0.3">
      <c r="D547"/>
    </row>
    <row r="548" spans="4:4" x14ac:dyDescent="0.3">
      <c r="D548"/>
    </row>
    <row r="549" spans="4:4" x14ac:dyDescent="0.3">
      <c r="D549"/>
    </row>
    <row r="550" spans="4:4" x14ac:dyDescent="0.3">
      <c r="D550"/>
    </row>
    <row r="551" spans="4:4" x14ac:dyDescent="0.3">
      <c r="D551"/>
    </row>
    <row r="552" spans="4:4" x14ac:dyDescent="0.3">
      <c r="D552"/>
    </row>
    <row r="553" spans="4:4" x14ac:dyDescent="0.3">
      <c r="D553"/>
    </row>
    <row r="554" spans="4:4" x14ac:dyDescent="0.3">
      <c r="D554"/>
    </row>
    <row r="555" spans="4:4" x14ac:dyDescent="0.3">
      <c r="D555"/>
    </row>
    <row r="556" spans="4:4" x14ac:dyDescent="0.3">
      <c r="D556"/>
    </row>
    <row r="557" spans="4:4" x14ac:dyDescent="0.3">
      <c r="D557"/>
    </row>
    <row r="558" spans="4:4" x14ac:dyDescent="0.3">
      <c r="D558"/>
    </row>
    <row r="559" spans="4:4" x14ac:dyDescent="0.3">
      <c r="D559"/>
    </row>
    <row r="560" spans="4:4" x14ac:dyDescent="0.3">
      <c r="D560"/>
    </row>
    <row r="561" spans="4:4" x14ac:dyDescent="0.3">
      <c r="D561"/>
    </row>
    <row r="562" spans="4:4" x14ac:dyDescent="0.3">
      <c r="D562"/>
    </row>
    <row r="563" spans="4:4" x14ac:dyDescent="0.3">
      <c r="D563"/>
    </row>
    <row r="564" spans="4:4" x14ac:dyDescent="0.3">
      <c r="D564"/>
    </row>
    <row r="565" spans="4:4" x14ac:dyDescent="0.3">
      <c r="D565"/>
    </row>
    <row r="566" spans="4:4" x14ac:dyDescent="0.3">
      <c r="D566"/>
    </row>
    <row r="567" spans="4:4" x14ac:dyDescent="0.3">
      <c r="D567"/>
    </row>
    <row r="568" spans="4:4" x14ac:dyDescent="0.3">
      <c r="D568"/>
    </row>
    <row r="569" spans="4:4" x14ac:dyDescent="0.3">
      <c r="D569"/>
    </row>
    <row r="570" spans="4:4" x14ac:dyDescent="0.3">
      <c r="D570"/>
    </row>
    <row r="571" spans="4:4" x14ac:dyDescent="0.3">
      <c r="D571"/>
    </row>
    <row r="572" spans="4:4" x14ac:dyDescent="0.3">
      <c r="D572"/>
    </row>
    <row r="573" spans="4:4" x14ac:dyDescent="0.3">
      <c r="D573"/>
    </row>
    <row r="574" spans="4:4" x14ac:dyDescent="0.3">
      <c r="D574"/>
    </row>
    <row r="575" spans="4:4" x14ac:dyDescent="0.3">
      <c r="D575"/>
    </row>
    <row r="576" spans="4:4" x14ac:dyDescent="0.3">
      <c r="D576"/>
    </row>
    <row r="577" spans="4:4" x14ac:dyDescent="0.3">
      <c r="D577"/>
    </row>
    <row r="578" spans="4:4" x14ac:dyDescent="0.3">
      <c r="D578"/>
    </row>
    <row r="579" spans="4:4" x14ac:dyDescent="0.3">
      <c r="D579"/>
    </row>
    <row r="580" spans="4:4" x14ac:dyDescent="0.3">
      <c r="D580"/>
    </row>
    <row r="581" spans="4:4" x14ac:dyDescent="0.3">
      <c r="D581"/>
    </row>
    <row r="582" spans="4:4" x14ac:dyDescent="0.3">
      <c r="D582"/>
    </row>
    <row r="583" spans="4:4" x14ac:dyDescent="0.3">
      <c r="D583"/>
    </row>
    <row r="584" spans="4:4" x14ac:dyDescent="0.3">
      <c r="D584"/>
    </row>
    <row r="585" spans="4:4" x14ac:dyDescent="0.3">
      <c r="D585"/>
    </row>
    <row r="586" spans="4:4" x14ac:dyDescent="0.3">
      <c r="D586"/>
    </row>
    <row r="587" spans="4:4" x14ac:dyDescent="0.3">
      <c r="D587"/>
    </row>
    <row r="588" spans="4:4" x14ac:dyDescent="0.3">
      <c r="D588"/>
    </row>
    <row r="589" spans="4:4" x14ac:dyDescent="0.3">
      <c r="D589"/>
    </row>
    <row r="590" spans="4:4" x14ac:dyDescent="0.3">
      <c r="D590"/>
    </row>
    <row r="591" spans="4:4" x14ac:dyDescent="0.3">
      <c r="D591"/>
    </row>
    <row r="592" spans="4:4" x14ac:dyDescent="0.3">
      <c r="D592"/>
    </row>
    <row r="593" spans="4:4" x14ac:dyDescent="0.3">
      <c r="D593"/>
    </row>
    <row r="594" spans="4:4" x14ac:dyDescent="0.3">
      <c r="D594"/>
    </row>
    <row r="595" spans="4:4" x14ac:dyDescent="0.3">
      <c r="D595"/>
    </row>
    <row r="596" spans="4:4" x14ac:dyDescent="0.3">
      <c r="D596"/>
    </row>
    <row r="597" spans="4:4" x14ac:dyDescent="0.3">
      <c r="D597"/>
    </row>
    <row r="598" spans="4:4" x14ac:dyDescent="0.3">
      <c r="D598"/>
    </row>
    <row r="599" spans="4:4" x14ac:dyDescent="0.3">
      <c r="D599"/>
    </row>
    <row r="600" spans="4:4" x14ac:dyDescent="0.3">
      <c r="D600"/>
    </row>
    <row r="601" spans="4:4" x14ac:dyDescent="0.3">
      <c r="D601"/>
    </row>
    <row r="602" spans="4:4" x14ac:dyDescent="0.3">
      <c r="D602"/>
    </row>
    <row r="603" spans="4:4" x14ac:dyDescent="0.3">
      <c r="D603"/>
    </row>
    <row r="604" spans="4:4" x14ac:dyDescent="0.3">
      <c r="D604"/>
    </row>
    <row r="605" spans="4:4" x14ac:dyDescent="0.3">
      <c r="D605"/>
    </row>
    <row r="606" spans="4:4" x14ac:dyDescent="0.3">
      <c r="D606"/>
    </row>
    <row r="607" spans="4:4" x14ac:dyDescent="0.3">
      <c r="D607"/>
    </row>
    <row r="608" spans="4:4" x14ac:dyDescent="0.3">
      <c r="D608"/>
    </row>
    <row r="609" spans="4:4" x14ac:dyDescent="0.3">
      <c r="D609"/>
    </row>
    <row r="610" spans="4:4" x14ac:dyDescent="0.3">
      <c r="D610"/>
    </row>
    <row r="611" spans="4:4" x14ac:dyDescent="0.3">
      <c r="D611"/>
    </row>
    <row r="612" spans="4:4" x14ac:dyDescent="0.3">
      <c r="D612"/>
    </row>
    <row r="613" spans="4:4" x14ac:dyDescent="0.3">
      <c r="D613"/>
    </row>
    <row r="614" spans="4:4" x14ac:dyDescent="0.3">
      <c r="D614"/>
    </row>
    <row r="615" spans="4:4" x14ac:dyDescent="0.3">
      <c r="D615"/>
    </row>
    <row r="616" spans="4:4" x14ac:dyDescent="0.3">
      <c r="D616"/>
    </row>
    <row r="617" spans="4:4" x14ac:dyDescent="0.3">
      <c r="D617"/>
    </row>
    <row r="618" spans="4:4" x14ac:dyDescent="0.3">
      <c r="D618"/>
    </row>
    <row r="619" spans="4:4" x14ac:dyDescent="0.3">
      <c r="D619"/>
    </row>
    <row r="620" spans="4:4" x14ac:dyDescent="0.3">
      <c r="D620"/>
    </row>
    <row r="621" spans="4:4" x14ac:dyDescent="0.3">
      <c r="D621"/>
    </row>
    <row r="622" spans="4:4" x14ac:dyDescent="0.3">
      <c r="D622"/>
    </row>
    <row r="623" spans="4:4" x14ac:dyDescent="0.3">
      <c r="D623"/>
    </row>
    <row r="624" spans="4:4" x14ac:dyDescent="0.3">
      <c r="D624"/>
    </row>
    <row r="625" spans="4:4" x14ac:dyDescent="0.3">
      <c r="D625"/>
    </row>
    <row r="626" spans="4:4" x14ac:dyDescent="0.3">
      <c r="D626"/>
    </row>
    <row r="627" spans="4:4" x14ac:dyDescent="0.3">
      <c r="D627"/>
    </row>
    <row r="628" spans="4:4" x14ac:dyDescent="0.3">
      <c r="D628"/>
    </row>
    <row r="629" spans="4:4" x14ac:dyDescent="0.3">
      <c r="D629"/>
    </row>
    <row r="630" spans="4:4" x14ac:dyDescent="0.3">
      <c r="D630"/>
    </row>
    <row r="631" spans="4:4" x14ac:dyDescent="0.3">
      <c r="D631"/>
    </row>
    <row r="632" spans="4:4" x14ac:dyDescent="0.3">
      <c r="D632"/>
    </row>
    <row r="633" spans="4:4" x14ac:dyDescent="0.3">
      <c r="D633"/>
    </row>
    <row r="634" spans="4:4" x14ac:dyDescent="0.3">
      <c r="D634"/>
    </row>
    <row r="635" spans="4:4" x14ac:dyDescent="0.3">
      <c r="D635"/>
    </row>
    <row r="636" spans="4:4" x14ac:dyDescent="0.3">
      <c r="D636"/>
    </row>
    <row r="637" spans="4:4" x14ac:dyDescent="0.3">
      <c r="D637"/>
    </row>
    <row r="638" spans="4:4" x14ac:dyDescent="0.3">
      <c r="D638"/>
    </row>
    <row r="639" spans="4:4" x14ac:dyDescent="0.3">
      <c r="D639"/>
    </row>
    <row r="640" spans="4:4" x14ac:dyDescent="0.3">
      <c r="D640"/>
    </row>
    <row r="641" spans="4:4" x14ac:dyDescent="0.3">
      <c r="D641"/>
    </row>
    <row r="642" spans="4:4" x14ac:dyDescent="0.3">
      <c r="D642"/>
    </row>
    <row r="643" spans="4:4" x14ac:dyDescent="0.3">
      <c r="D643"/>
    </row>
    <row r="644" spans="4:4" x14ac:dyDescent="0.3">
      <c r="D644"/>
    </row>
    <row r="645" spans="4:4" x14ac:dyDescent="0.3">
      <c r="D645"/>
    </row>
    <row r="646" spans="4:4" x14ac:dyDescent="0.3">
      <c r="D646"/>
    </row>
    <row r="647" spans="4:4" x14ac:dyDescent="0.3">
      <c r="D647"/>
    </row>
    <row r="648" spans="4:4" x14ac:dyDescent="0.3">
      <c r="D648"/>
    </row>
    <row r="649" spans="4:4" x14ac:dyDescent="0.3">
      <c r="D649"/>
    </row>
    <row r="650" spans="4:4" x14ac:dyDescent="0.3">
      <c r="D650"/>
    </row>
    <row r="651" spans="4:4" x14ac:dyDescent="0.3">
      <c r="D651"/>
    </row>
    <row r="652" spans="4:4" x14ac:dyDescent="0.3">
      <c r="D652"/>
    </row>
    <row r="653" spans="4:4" x14ac:dyDescent="0.3">
      <c r="D653"/>
    </row>
    <row r="654" spans="4:4" x14ac:dyDescent="0.3">
      <c r="D654"/>
    </row>
    <row r="655" spans="4:4" x14ac:dyDescent="0.3">
      <c r="D655"/>
    </row>
    <row r="656" spans="4:4" x14ac:dyDescent="0.3">
      <c r="D656"/>
    </row>
    <row r="657" spans="4:4" x14ac:dyDescent="0.3">
      <c r="D657"/>
    </row>
    <row r="658" spans="4:4" x14ac:dyDescent="0.3">
      <c r="D658"/>
    </row>
    <row r="659" spans="4:4" x14ac:dyDescent="0.3">
      <c r="D659"/>
    </row>
    <row r="660" spans="4:4" x14ac:dyDescent="0.3">
      <c r="D660"/>
    </row>
    <row r="661" spans="4:4" x14ac:dyDescent="0.3">
      <c r="D661"/>
    </row>
    <row r="662" spans="4:4" x14ac:dyDescent="0.3">
      <c r="D662"/>
    </row>
    <row r="663" spans="4:4" x14ac:dyDescent="0.3">
      <c r="D663"/>
    </row>
    <row r="664" spans="4:4" x14ac:dyDescent="0.3">
      <c r="D664"/>
    </row>
    <row r="665" spans="4:4" x14ac:dyDescent="0.3">
      <c r="D665"/>
    </row>
    <row r="666" spans="4:4" x14ac:dyDescent="0.3">
      <c r="D666"/>
    </row>
    <row r="667" spans="4:4" x14ac:dyDescent="0.3">
      <c r="D667"/>
    </row>
    <row r="668" spans="4:4" x14ac:dyDescent="0.3">
      <c r="D668"/>
    </row>
    <row r="669" spans="4:4" x14ac:dyDescent="0.3">
      <c r="D669"/>
    </row>
    <row r="670" spans="4:4" x14ac:dyDescent="0.3">
      <c r="D670"/>
    </row>
    <row r="671" spans="4:4" x14ac:dyDescent="0.3">
      <c r="D671"/>
    </row>
    <row r="672" spans="4:4" x14ac:dyDescent="0.3">
      <c r="D672"/>
    </row>
    <row r="673" spans="4:4" x14ac:dyDescent="0.3">
      <c r="D673"/>
    </row>
    <row r="674" spans="4:4" x14ac:dyDescent="0.3">
      <c r="D674"/>
    </row>
    <row r="675" spans="4:4" x14ac:dyDescent="0.3">
      <c r="D675"/>
    </row>
    <row r="676" spans="4:4" x14ac:dyDescent="0.3">
      <c r="D676"/>
    </row>
    <row r="677" spans="4:4" x14ac:dyDescent="0.3">
      <c r="D677"/>
    </row>
    <row r="678" spans="4:4" x14ac:dyDescent="0.3">
      <c r="D678"/>
    </row>
    <row r="679" spans="4:4" x14ac:dyDescent="0.3">
      <c r="D679"/>
    </row>
    <row r="680" spans="4:4" x14ac:dyDescent="0.3">
      <c r="D680"/>
    </row>
    <row r="681" spans="4:4" x14ac:dyDescent="0.3">
      <c r="D681"/>
    </row>
    <row r="682" spans="4:4" x14ac:dyDescent="0.3">
      <c r="D682"/>
    </row>
    <row r="683" spans="4:4" x14ac:dyDescent="0.3">
      <c r="D683"/>
    </row>
    <row r="684" spans="4:4" x14ac:dyDescent="0.3">
      <c r="D684"/>
    </row>
    <row r="685" spans="4:4" x14ac:dyDescent="0.3">
      <c r="D685"/>
    </row>
    <row r="686" spans="4:4" x14ac:dyDescent="0.3">
      <c r="D686"/>
    </row>
    <row r="687" spans="4:4" x14ac:dyDescent="0.3">
      <c r="D687"/>
    </row>
    <row r="688" spans="4:4" x14ac:dyDescent="0.3">
      <c r="D688"/>
    </row>
    <row r="689" spans="4:4" x14ac:dyDescent="0.3">
      <c r="D689"/>
    </row>
    <row r="690" spans="4:4" x14ac:dyDescent="0.3">
      <c r="D690"/>
    </row>
    <row r="691" spans="4:4" x14ac:dyDescent="0.3">
      <c r="D691"/>
    </row>
    <row r="692" spans="4:4" x14ac:dyDescent="0.3">
      <c r="D692"/>
    </row>
    <row r="693" spans="4:4" x14ac:dyDescent="0.3">
      <c r="D693"/>
    </row>
    <row r="694" spans="4:4" x14ac:dyDescent="0.3">
      <c r="D694"/>
    </row>
    <row r="695" spans="4:4" x14ac:dyDescent="0.3">
      <c r="D695"/>
    </row>
    <row r="696" spans="4:4" x14ac:dyDescent="0.3">
      <c r="D696"/>
    </row>
    <row r="697" spans="4:4" x14ac:dyDescent="0.3">
      <c r="D697"/>
    </row>
    <row r="698" spans="4:4" x14ac:dyDescent="0.3">
      <c r="D698"/>
    </row>
    <row r="699" spans="4:4" x14ac:dyDescent="0.3">
      <c r="D699"/>
    </row>
    <row r="700" spans="4:4" x14ac:dyDescent="0.3">
      <c r="D700"/>
    </row>
    <row r="701" spans="4:4" x14ac:dyDescent="0.3">
      <c r="D701"/>
    </row>
    <row r="702" spans="4:4" x14ac:dyDescent="0.3">
      <c r="D702"/>
    </row>
    <row r="703" spans="4:4" x14ac:dyDescent="0.3">
      <c r="D703"/>
    </row>
    <row r="704" spans="4:4" x14ac:dyDescent="0.3">
      <c r="D704"/>
    </row>
    <row r="705" spans="4:4" x14ac:dyDescent="0.3">
      <c r="D705"/>
    </row>
    <row r="706" spans="4:4" x14ac:dyDescent="0.3">
      <c r="D706"/>
    </row>
    <row r="707" spans="4:4" x14ac:dyDescent="0.3">
      <c r="D707"/>
    </row>
    <row r="708" spans="4:4" x14ac:dyDescent="0.3">
      <c r="D708"/>
    </row>
    <row r="709" spans="4:4" x14ac:dyDescent="0.3">
      <c r="D709"/>
    </row>
    <row r="710" spans="4:4" x14ac:dyDescent="0.3">
      <c r="D710"/>
    </row>
    <row r="711" spans="4:4" x14ac:dyDescent="0.3">
      <c r="D711"/>
    </row>
    <row r="712" spans="4:4" x14ac:dyDescent="0.3">
      <c r="D712"/>
    </row>
    <row r="713" spans="4:4" x14ac:dyDescent="0.3">
      <c r="D713"/>
    </row>
    <row r="714" spans="4:4" x14ac:dyDescent="0.3">
      <c r="D714"/>
    </row>
    <row r="715" spans="4:4" x14ac:dyDescent="0.3">
      <c r="D715"/>
    </row>
    <row r="716" spans="4:4" x14ac:dyDescent="0.3">
      <c r="D716"/>
    </row>
    <row r="717" spans="4:4" x14ac:dyDescent="0.3">
      <c r="D717"/>
    </row>
    <row r="718" spans="4:4" x14ac:dyDescent="0.3">
      <c r="D718"/>
    </row>
    <row r="719" spans="4:4" x14ac:dyDescent="0.3">
      <c r="D719"/>
    </row>
    <row r="720" spans="4:4" x14ac:dyDescent="0.3">
      <c r="D720"/>
    </row>
    <row r="721" spans="4:4" x14ac:dyDescent="0.3">
      <c r="D721"/>
    </row>
    <row r="722" spans="4:4" x14ac:dyDescent="0.3">
      <c r="D722"/>
    </row>
    <row r="723" spans="4:4" x14ac:dyDescent="0.3">
      <c r="D723"/>
    </row>
    <row r="724" spans="4:4" x14ac:dyDescent="0.3">
      <c r="D724"/>
    </row>
    <row r="725" spans="4:4" x14ac:dyDescent="0.3">
      <c r="D725"/>
    </row>
    <row r="726" spans="4:4" x14ac:dyDescent="0.3">
      <c r="D726"/>
    </row>
    <row r="727" spans="4:4" x14ac:dyDescent="0.3">
      <c r="D727"/>
    </row>
    <row r="728" spans="4:4" x14ac:dyDescent="0.3">
      <c r="D728"/>
    </row>
    <row r="729" spans="4:4" x14ac:dyDescent="0.3">
      <c r="D729"/>
    </row>
    <row r="730" spans="4:4" x14ac:dyDescent="0.3">
      <c r="D730"/>
    </row>
    <row r="731" spans="4:4" x14ac:dyDescent="0.3">
      <c r="D731"/>
    </row>
    <row r="732" spans="4:4" x14ac:dyDescent="0.3">
      <c r="D732"/>
    </row>
    <row r="733" spans="4:4" x14ac:dyDescent="0.3">
      <c r="D733"/>
    </row>
    <row r="734" spans="4:4" x14ac:dyDescent="0.3">
      <c r="D734"/>
    </row>
    <row r="735" spans="4:4" x14ac:dyDescent="0.3">
      <c r="D735"/>
    </row>
    <row r="736" spans="4:4" x14ac:dyDescent="0.3">
      <c r="D736"/>
    </row>
    <row r="737" spans="4:4" x14ac:dyDescent="0.3">
      <c r="D737"/>
    </row>
    <row r="738" spans="4:4" x14ac:dyDescent="0.3">
      <c r="D738"/>
    </row>
    <row r="739" spans="4:4" x14ac:dyDescent="0.3">
      <c r="D739"/>
    </row>
    <row r="740" spans="4:4" x14ac:dyDescent="0.3">
      <c r="D740"/>
    </row>
    <row r="741" spans="4:4" x14ac:dyDescent="0.3">
      <c r="D741"/>
    </row>
    <row r="742" spans="4:4" x14ac:dyDescent="0.3">
      <c r="D742"/>
    </row>
    <row r="743" spans="4:4" x14ac:dyDescent="0.3">
      <c r="D743"/>
    </row>
    <row r="744" spans="4:4" x14ac:dyDescent="0.3">
      <c r="D744"/>
    </row>
    <row r="745" spans="4:4" x14ac:dyDescent="0.3">
      <c r="D745"/>
    </row>
    <row r="746" spans="4:4" x14ac:dyDescent="0.3">
      <c r="D746"/>
    </row>
    <row r="747" spans="4:4" x14ac:dyDescent="0.3">
      <c r="D747"/>
    </row>
    <row r="748" spans="4:4" x14ac:dyDescent="0.3">
      <c r="D748"/>
    </row>
    <row r="749" spans="4:4" x14ac:dyDescent="0.3">
      <c r="D749"/>
    </row>
    <row r="750" spans="4:4" x14ac:dyDescent="0.3">
      <c r="D750"/>
    </row>
    <row r="751" spans="4:4" x14ac:dyDescent="0.3">
      <c r="D751"/>
    </row>
    <row r="752" spans="4:4" x14ac:dyDescent="0.3">
      <c r="D752"/>
    </row>
    <row r="753" spans="4:4" x14ac:dyDescent="0.3">
      <c r="D753"/>
    </row>
    <row r="754" spans="4:4" x14ac:dyDescent="0.3">
      <c r="D754"/>
    </row>
    <row r="755" spans="4:4" x14ac:dyDescent="0.3">
      <c r="D755"/>
    </row>
    <row r="756" spans="4:4" x14ac:dyDescent="0.3">
      <c r="D756"/>
    </row>
    <row r="757" spans="4:4" x14ac:dyDescent="0.3">
      <c r="D757"/>
    </row>
    <row r="758" spans="4:4" x14ac:dyDescent="0.3">
      <c r="D758"/>
    </row>
    <row r="759" spans="4:4" x14ac:dyDescent="0.3">
      <c r="D759"/>
    </row>
    <row r="760" spans="4:4" x14ac:dyDescent="0.3">
      <c r="D760"/>
    </row>
    <row r="761" spans="4:4" x14ac:dyDescent="0.3">
      <c r="D761"/>
    </row>
    <row r="762" spans="4:4" x14ac:dyDescent="0.3">
      <c r="D762"/>
    </row>
    <row r="763" spans="4:4" x14ac:dyDescent="0.3">
      <c r="D763"/>
    </row>
    <row r="764" spans="4:4" x14ac:dyDescent="0.3">
      <c r="D764"/>
    </row>
    <row r="765" spans="4:4" x14ac:dyDescent="0.3">
      <c r="D765"/>
    </row>
    <row r="766" spans="4:4" x14ac:dyDescent="0.3">
      <c r="D766"/>
    </row>
    <row r="767" spans="4:4" x14ac:dyDescent="0.3">
      <c r="D767"/>
    </row>
    <row r="768" spans="4:4" x14ac:dyDescent="0.3">
      <c r="D768"/>
    </row>
    <row r="769" spans="4:4" x14ac:dyDescent="0.3">
      <c r="D769"/>
    </row>
    <row r="770" spans="4:4" x14ac:dyDescent="0.3">
      <c r="D770"/>
    </row>
    <row r="771" spans="4:4" x14ac:dyDescent="0.3">
      <c r="D771"/>
    </row>
    <row r="772" spans="4:4" x14ac:dyDescent="0.3">
      <c r="D772"/>
    </row>
    <row r="773" spans="4:4" x14ac:dyDescent="0.3">
      <c r="D773"/>
    </row>
    <row r="774" spans="4:4" x14ac:dyDescent="0.3">
      <c r="D774"/>
    </row>
    <row r="775" spans="4:4" x14ac:dyDescent="0.3">
      <c r="D775"/>
    </row>
    <row r="776" spans="4:4" x14ac:dyDescent="0.3">
      <c r="D776"/>
    </row>
    <row r="777" spans="4:4" x14ac:dyDescent="0.3">
      <c r="D777"/>
    </row>
    <row r="778" spans="4:4" x14ac:dyDescent="0.3">
      <c r="D778"/>
    </row>
    <row r="779" spans="4:4" x14ac:dyDescent="0.3">
      <c r="D779"/>
    </row>
    <row r="780" spans="4:4" x14ac:dyDescent="0.3">
      <c r="D780"/>
    </row>
    <row r="781" spans="4:4" x14ac:dyDescent="0.3">
      <c r="D781"/>
    </row>
    <row r="782" spans="4:4" x14ac:dyDescent="0.3">
      <c r="D782"/>
    </row>
    <row r="783" spans="4:4" x14ac:dyDescent="0.3">
      <c r="D783"/>
    </row>
    <row r="784" spans="4:4" x14ac:dyDescent="0.3">
      <c r="D784"/>
    </row>
    <row r="785" spans="4:4" x14ac:dyDescent="0.3">
      <c r="D785"/>
    </row>
    <row r="786" spans="4:4" x14ac:dyDescent="0.3">
      <c r="D786"/>
    </row>
    <row r="787" spans="4:4" x14ac:dyDescent="0.3">
      <c r="D787"/>
    </row>
    <row r="788" spans="4:4" x14ac:dyDescent="0.3">
      <c r="D788"/>
    </row>
    <row r="789" spans="4:4" x14ac:dyDescent="0.3">
      <c r="D789"/>
    </row>
    <row r="790" spans="4:4" x14ac:dyDescent="0.3">
      <c r="D790"/>
    </row>
    <row r="791" spans="4:4" x14ac:dyDescent="0.3">
      <c r="D791"/>
    </row>
    <row r="792" spans="4:4" x14ac:dyDescent="0.3">
      <c r="D792"/>
    </row>
    <row r="793" spans="4:4" x14ac:dyDescent="0.3">
      <c r="D793"/>
    </row>
    <row r="794" spans="4:4" x14ac:dyDescent="0.3">
      <c r="D794"/>
    </row>
    <row r="795" spans="4:4" x14ac:dyDescent="0.3">
      <c r="D795"/>
    </row>
    <row r="796" spans="4:4" x14ac:dyDescent="0.3">
      <c r="D796"/>
    </row>
    <row r="797" spans="4:4" x14ac:dyDescent="0.3">
      <c r="D797"/>
    </row>
    <row r="798" spans="4:4" x14ac:dyDescent="0.3">
      <c r="D798"/>
    </row>
    <row r="799" spans="4:4" x14ac:dyDescent="0.3">
      <c r="D799"/>
    </row>
    <row r="800" spans="4:4" x14ac:dyDescent="0.3">
      <c r="D800"/>
    </row>
    <row r="801" spans="4:4" x14ac:dyDescent="0.3">
      <c r="D801"/>
    </row>
    <row r="802" spans="4:4" x14ac:dyDescent="0.3">
      <c r="D802"/>
    </row>
    <row r="803" spans="4:4" x14ac:dyDescent="0.3">
      <c r="D803"/>
    </row>
    <row r="804" spans="4:4" x14ac:dyDescent="0.3">
      <c r="D804"/>
    </row>
    <row r="805" spans="4:4" x14ac:dyDescent="0.3">
      <c r="D805"/>
    </row>
    <row r="806" spans="4:4" x14ac:dyDescent="0.3">
      <c r="D806"/>
    </row>
    <row r="807" spans="4:4" x14ac:dyDescent="0.3">
      <c r="D807"/>
    </row>
    <row r="808" spans="4:4" x14ac:dyDescent="0.3">
      <c r="D808"/>
    </row>
    <row r="809" spans="4:4" x14ac:dyDescent="0.3">
      <c r="D809"/>
    </row>
    <row r="810" spans="4:4" x14ac:dyDescent="0.3">
      <c r="D810"/>
    </row>
    <row r="811" spans="4:4" x14ac:dyDescent="0.3">
      <c r="D811"/>
    </row>
    <row r="812" spans="4:4" x14ac:dyDescent="0.3">
      <c r="D812"/>
    </row>
    <row r="813" spans="4:4" x14ac:dyDescent="0.3">
      <c r="D813"/>
    </row>
    <row r="814" spans="4:4" x14ac:dyDescent="0.3">
      <c r="D814"/>
    </row>
    <row r="815" spans="4:4" x14ac:dyDescent="0.3">
      <c r="D815"/>
    </row>
    <row r="816" spans="4:4" x14ac:dyDescent="0.3">
      <c r="D816"/>
    </row>
    <row r="817" spans="4:4" x14ac:dyDescent="0.3">
      <c r="D817"/>
    </row>
    <row r="818" spans="4:4" x14ac:dyDescent="0.3">
      <c r="D818"/>
    </row>
    <row r="819" spans="4:4" x14ac:dyDescent="0.3">
      <c r="D819"/>
    </row>
    <row r="820" spans="4:4" x14ac:dyDescent="0.3">
      <c r="D820"/>
    </row>
    <row r="821" spans="4:4" x14ac:dyDescent="0.3">
      <c r="D821"/>
    </row>
    <row r="822" spans="4:4" x14ac:dyDescent="0.3">
      <c r="D822"/>
    </row>
    <row r="823" spans="4:4" x14ac:dyDescent="0.3">
      <c r="D823"/>
    </row>
    <row r="824" spans="4:4" x14ac:dyDescent="0.3">
      <c r="D824"/>
    </row>
    <row r="825" spans="4:4" x14ac:dyDescent="0.3">
      <c r="D825"/>
    </row>
    <row r="826" spans="4:4" x14ac:dyDescent="0.3">
      <c r="D826"/>
    </row>
    <row r="827" spans="4:4" x14ac:dyDescent="0.3">
      <c r="D827"/>
    </row>
    <row r="828" spans="4:4" x14ac:dyDescent="0.3">
      <c r="D828"/>
    </row>
    <row r="829" spans="4:4" x14ac:dyDescent="0.3">
      <c r="D829"/>
    </row>
    <row r="830" spans="4:4" x14ac:dyDescent="0.3">
      <c r="D830"/>
    </row>
    <row r="831" spans="4:4" x14ac:dyDescent="0.3">
      <c r="D831"/>
    </row>
    <row r="832" spans="4:4" x14ac:dyDescent="0.3">
      <c r="D832"/>
    </row>
    <row r="833" spans="4:4" x14ac:dyDescent="0.3">
      <c r="D833"/>
    </row>
    <row r="834" spans="4:4" x14ac:dyDescent="0.3">
      <c r="D834"/>
    </row>
    <row r="835" spans="4:4" x14ac:dyDescent="0.3">
      <c r="D835"/>
    </row>
    <row r="836" spans="4:4" x14ac:dyDescent="0.3">
      <c r="D836"/>
    </row>
    <row r="837" spans="4:4" x14ac:dyDescent="0.3">
      <c r="D837"/>
    </row>
    <row r="838" spans="4:4" x14ac:dyDescent="0.3">
      <c r="D838"/>
    </row>
    <row r="839" spans="4:4" x14ac:dyDescent="0.3">
      <c r="D839"/>
    </row>
    <row r="840" spans="4:4" x14ac:dyDescent="0.3">
      <c r="D840"/>
    </row>
    <row r="841" spans="4:4" x14ac:dyDescent="0.3">
      <c r="D841"/>
    </row>
    <row r="842" spans="4:4" x14ac:dyDescent="0.3">
      <c r="D842"/>
    </row>
    <row r="843" spans="4:4" x14ac:dyDescent="0.3">
      <c r="D843"/>
    </row>
    <row r="844" spans="4:4" x14ac:dyDescent="0.3">
      <c r="D844"/>
    </row>
    <row r="845" spans="4:4" x14ac:dyDescent="0.3">
      <c r="D845"/>
    </row>
    <row r="846" spans="4:4" x14ac:dyDescent="0.3">
      <c r="D846"/>
    </row>
    <row r="847" spans="4:4" x14ac:dyDescent="0.3">
      <c r="D847"/>
    </row>
    <row r="848" spans="4:4" x14ac:dyDescent="0.3">
      <c r="D848"/>
    </row>
    <row r="849" spans="4:4" x14ac:dyDescent="0.3">
      <c r="D849"/>
    </row>
    <row r="850" spans="4:4" x14ac:dyDescent="0.3">
      <c r="D850"/>
    </row>
    <row r="851" spans="4:4" x14ac:dyDescent="0.3">
      <c r="D851"/>
    </row>
    <row r="852" spans="4:4" x14ac:dyDescent="0.3">
      <c r="D852"/>
    </row>
    <row r="853" spans="4:4" x14ac:dyDescent="0.3">
      <c r="D853"/>
    </row>
    <row r="854" spans="4:4" x14ac:dyDescent="0.3">
      <c r="D854"/>
    </row>
    <row r="855" spans="4:4" x14ac:dyDescent="0.3">
      <c r="D855"/>
    </row>
    <row r="856" spans="4:4" x14ac:dyDescent="0.3">
      <c r="D856"/>
    </row>
    <row r="857" spans="4:4" x14ac:dyDescent="0.3">
      <c r="D857"/>
    </row>
    <row r="858" spans="4:4" x14ac:dyDescent="0.3">
      <c r="D858"/>
    </row>
    <row r="859" spans="4:4" x14ac:dyDescent="0.3">
      <c r="D859"/>
    </row>
    <row r="860" spans="4:4" x14ac:dyDescent="0.3">
      <c r="D860"/>
    </row>
    <row r="861" spans="4:4" x14ac:dyDescent="0.3">
      <c r="D861"/>
    </row>
    <row r="862" spans="4:4" x14ac:dyDescent="0.3">
      <c r="D862"/>
    </row>
    <row r="863" spans="4:4" x14ac:dyDescent="0.3">
      <c r="D863"/>
    </row>
    <row r="864" spans="4:4" x14ac:dyDescent="0.3">
      <c r="D864"/>
    </row>
    <row r="865" spans="4:4" x14ac:dyDescent="0.3">
      <c r="D865"/>
    </row>
    <row r="866" spans="4:4" x14ac:dyDescent="0.3">
      <c r="D866"/>
    </row>
    <row r="867" spans="4:4" x14ac:dyDescent="0.3">
      <c r="D867"/>
    </row>
    <row r="868" spans="4:4" x14ac:dyDescent="0.3">
      <c r="D868"/>
    </row>
    <row r="869" spans="4:4" x14ac:dyDescent="0.3">
      <c r="D869"/>
    </row>
    <row r="870" spans="4:4" x14ac:dyDescent="0.3">
      <c r="D870"/>
    </row>
    <row r="871" spans="4:4" x14ac:dyDescent="0.3">
      <c r="D871"/>
    </row>
    <row r="872" spans="4:4" x14ac:dyDescent="0.3">
      <c r="D872"/>
    </row>
    <row r="873" spans="4:4" x14ac:dyDescent="0.3">
      <c r="D873"/>
    </row>
    <row r="874" spans="4:4" x14ac:dyDescent="0.3">
      <c r="D874"/>
    </row>
    <row r="875" spans="4:4" x14ac:dyDescent="0.3">
      <c r="D875"/>
    </row>
    <row r="876" spans="4:4" x14ac:dyDescent="0.3">
      <c r="D876"/>
    </row>
    <row r="877" spans="4:4" x14ac:dyDescent="0.3">
      <c r="D877"/>
    </row>
    <row r="878" spans="4:4" x14ac:dyDescent="0.3">
      <c r="D878"/>
    </row>
    <row r="879" spans="4:4" x14ac:dyDescent="0.3">
      <c r="D879"/>
    </row>
    <row r="880" spans="4:4" x14ac:dyDescent="0.3">
      <c r="D880"/>
    </row>
    <row r="881" spans="4:4" x14ac:dyDescent="0.3">
      <c r="D881"/>
    </row>
    <row r="882" spans="4:4" x14ac:dyDescent="0.3">
      <c r="D882"/>
    </row>
    <row r="883" spans="4:4" x14ac:dyDescent="0.3">
      <c r="D883"/>
    </row>
    <row r="884" spans="4:4" x14ac:dyDescent="0.3">
      <c r="D884"/>
    </row>
    <row r="885" spans="4:4" x14ac:dyDescent="0.3">
      <c r="D885"/>
    </row>
    <row r="886" spans="4:4" x14ac:dyDescent="0.3">
      <c r="D886"/>
    </row>
    <row r="887" spans="4:4" x14ac:dyDescent="0.3">
      <c r="D887"/>
    </row>
    <row r="888" spans="4:4" x14ac:dyDescent="0.3">
      <c r="D888"/>
    </row>
    <row r="889" spans="4:4" x14ac:dyDescent="0.3">
      <c r="D889"/>
    </row>
    <row r="890" spans="4:4" x14ac:dyDescent="0.3">
      <c r="D890"/>
    </row>
    <row r="891" spans="4:4" x14ac:dyDescent="0.3">
      <c r="D891"/>
    </row>
    <row r="892" spans="4:4" x14ac:dyDescent="0.3">
      <c r="D892"/>
    </row>
    <row r="893" spans="4:4" x14ac:dyDescent="0.3">
      <c r="D893"/>
    </row>
    <row r="894" spans="4:4" x14ac:dyDescent="0.3">
      <c r="D894"/>
    </row>
    <row r="895" spans="4:4" x14ac:dyDescent="0.3">
      <c r="D895"/>
    </row>
    <row r="896" spans="4:4" x14ac:dyDescent="0.3">
      <c r="D896"/>
    </row>
    <row r="897" spans="4:4" x14ac:dyDescent="0.3">
      <c r="D897"/>
    </row>
    <row r="898" spans="4:4" x14ac:dyDescent="0.3">
      <c r="D898"/>
    </row>
    <row r="899" spans="4:4" x14ac:dyDescent="0.3">
      <c r="D899"/>
    </row>
    <row r="900" spans="4:4" x14ac:dyDescent="0.3">
      <c r="D900"/>
    </row>
    <row r="901" spans="4:4" x14ac:dyDescent="0.3">
      <c r="D901"/>
    </row>
    <row r="902" spans="4:4" x14ac:dyDescent="0.3">
      <c r="D902"/>
    </row>
    <row r="903" spans="4:4" x14ac:dyDescent="0.3">
      <c r="D903"/>
    </row>
    <row r="904" spans="4:4" x14ac:dyDescent="0.3">
      <c r="D904"/>
    </row>
    <row r="905" spans="4:4" x14ac:dyDescent="0.3">
      <c r="D905"/>
    </row>
    <row r="906" spans="4:4" x14ac:dyDescent="0.3">
      <c r="D906"/>
    </row>
    <row r="907" spans="4:4" x14ac:dyDescent="0.3">
      <c r="D907"/>
    </row>
    <row r="908" spans="4:4" x14ac:dyDescent="0.3">
      <c r="D908"/>
    </row>
    <row r="909" spans="4:4" x14ac:dyDescent="0.3">
      <c r="D909"/>
    </row>
    <row r="910" spans="4:4" x14ac:dyDescent="0.3">
      <c r="D910"/>
    </row>
    <row r="911" spans="4:4" x14ac:dyDescent="0.3">
      <c r="D911"/>
    </row>
    <row r="912" spans="4:4" x14ac:dyDescent="0.3">
      <c r="D912"/>
    </row>
    <row r="913" spans="4:4" x14ac:dyDescent="0.3">
      <c r="D913"/>
    </row>
    <row r="914" spans="4:4" x14ac:dyDescent="0.3">
      <c r="D914"/>
    </row>
    <row r="915" spans="4:4" x14ac:dyDescent="0.3">
      <c r="D915"/>
    </row>
    <row r="916" spans="4:4" x14ac:dyDescent="0.3">
      <c r="D916"/>
    </row>
    <row r="917" spans="4:4" x14ac:dyDescent="0.3">
      <c r="D917"/>
    </row>
    <row r="918" spans="4:4" x14ac:dyDescent="0.3">
      <c r="D918"/>
    </row>
    <row r="919" spans="4:4" x14ac:dyDescent="0.3">
      <c r="D919"/>
    </row>
    <row r="920" spans="4:4" x14ac:dyDescent="0.3">
      <c r="D920"/>
    </row>
    <row r="921" spans="4:4" x14ac:dyDescent="0.3">
      <c r="D921"/>
    </row>
    <row r="922" spans="4:4" x14ac:dyDescent="0.3">
      <c r="D922"/>
    </row>
    <row r="923" spans="4:4" x14ac:dyDescent="0.3">
      <c r="D923"/>
    </row>
    <row r="924" spans="4:4" x14ac:dyDescent="0.3">
      <c r="D924"/>
    </row>
    <row r="925" spans="4:4" x14ac:dyDescent="0.3">
      <c r="D925"/>
    </row>
    <row r="926" spans="4:4" x14ac:dyDescent="0.3">
      <c r="D926"/>
    </row>
    <row r="927" spans="4:4" x14ac:dyDescent="0.3">
      <c r="D927"/>
    </row>
    <row r="928" spans="4:4" x14ac:dyDescent="0.3">
      <c r="D928"/>
    </row>
    <row r="929" spans="4:4" x14ac:dyDescent="0.3">
      <c r="D929"/>
    </row>
    <row r="930" spans="4:4" x14ac:dyDescent="0.3">
      <c r="D930"/>
    </row>
    <row r="931" spans="4:4" x14ac:dyDescent="0.3">
      <c r="D931"/>
    </row>
    <row r="932" spans="4:4" x14ac:dyDescent="0.3">
      <c r="D932"/>
    </row>
    <row r="933" spans="4:4" x14ac:dyDescent="0.3">
      <c r="D933"/>
    </row>
    <row r="934" spans="4:4" x14ac:dyDescent="0.3">
      <c r="D934"/>
    </row>
    <row r="935" spans="4:4" x14ac:dyDescent="0.3">
      <c r="D935"/>
    </row>
    <row r="936" spans="4:4" x14ac:dyDescent="0.3">
      <c r="D936"/>
    </row>
    <row r="937" spans="4:4" x14ac:dyDescent="0.3">
      <c r="D937"/>
    </row>
    <row r="938" spans="4:4" x14ac:dyDescent="0.3">
      <c r="D938"/>
    </row>
    <row r="939" spans="4:4" x14ac:dyDescent="0.3">
      <c r="D939"/>
    </row>
    <row r="940" spans="4:4" x14ac:dyDescent="0.3">
      <c r="D940"/>
    </row>
    <row r="941" spans="4:4" x14ac:dyDescent="0.3">
      <c r="D941"/>
    </row>
    <row r="942" spans="4:4" x14ac:dyDescent="0.3">
      <c r="D942"/>
    </row>
    <row r="943" spans="4:4" x14ac:dyDescent="0.3">
      <c r="D943"/>
    </row>
    <row r="944" spans="4:4" x14ac:dyDescent="0.3">
      <c r="D944"/>
    </row>
    <row r="945" spans="4:4" x14ac:dyDescent="0.3">
      <c r="D945"/>
    </row>
    <row r="946" spans="4:4" x14ac:dyDescent="0.3">
      <c r="D946"/>
    </row>
    <row r="947" spans="4:4" x14ac:dyDescent="0.3">
      <c r="D947"/>
    </row>
    <row r="948" spans="4:4" x14ac:dyDescent="0.3">
      <c r="D948"/>
    </row>
    <row r="949" spans="4:4" x14ac:dyDescent="0.3">
      <c r="D949"/>
    </row>
    <row r="950" spans="4:4" x14ac:dyDescent="0.3">
      <c r="D950"/>
    </row>
    <row r="951" spans="4:4" x14ac:dyDescent="0.3">
      <c r="D951"/>
    </row>
    <row r="952" spans="4:4" x14ac:dyDescent="0.3">
      <c r="D952"/>
    </row>
    <row r="953" spans="4:4" x14ac:dyDescent="0.3">
      <c r="D953"/>
    </row>
    <row r="954" spans="4:4" x14ac:dyDescent="0.3">
      <c r="D954"/>
    </row>
    <row r="955" spans="4:4" x14ac:dyDescent="0.3">
      <c r="D955"/>
    </row>
    <row r="956" spans="4:4" x14ac:dyDescent="0.3">
      <c r="D956"/>
    </row>
    <row r="957" spans="4:4" x14ac:dyDescent="0.3">
      <c r="D957"/>
    </row>
    <row r="958" spans="4:4" x14ac:dyDescent="0.3">
      <c r="D958"/>
    </row>
    <row r="959" spans="4:4" x14ac:dyDescent="0.3">
      <c r="D959"/>
    </row>
    <row r="960" spans="4:4" x14ac:dyDescent="0.3">
      <c r="D960"/>
    </row>
    <row r="961" spans="4:4" x14ac:dyDescent="0.3">
      <c r="D961"/>
    </row>
    <row r="962" spans="4:4" x14ac:dyDescent="0.3">
      <c r="D962"/>
    </row>
    <row r="963" spans="4:4" x14ac:dyDescent="0.3">
      <c r="D963"/>
    </row>
    <row r="964" spans="4:4" x14ac:dyDescent="0.3">
      <c r="D964"/>
    </row>
    <row r="965" spans="4:4" x14ac:dyDescent="0.3">
      <c r="D965"/>
    </row>
    <row r="966" spans="4:4" x14ac:dyDescent="0.3">
      <c r="D966"/>
    </row>
    <row r="967" spans="4:4" x14ac:dyDescent="0.3">
      <c r="D967"/>
    </row>
    <row r="968" spans="4:4" x14ac:dyDescent="0.3">
      <c r="D968"/>
    </row>
    <row r="969" spans="4:4" x14ac:dyDescent="0.3">
      <c r="D969"/>
    </row>
    <row r="970" spans="4:4" x14ac:dyDescent="0.3">
      <c r="D970"/>
    </row>
    <row r="971" spans="4:4" x14ac:dyDescent="0.3">
      <c r="D971"/>
    </row>
    <row r="972" spans="4:4" x14ac:dyDescent="0.3">
      <c r="D972"/>
    </row>
    <row r="973" spans="4:4" x14ac:dyDescent="0.3">
      <c r="D973"/>
    </row>
    <row r="974" spans="4:4" x14ac:dyDescent="0.3">
      <c r="D974"/>
    </row>
    <row r="975" spans="4:4" x14ac:dyDescent="0.3">
      <c r="D975"/>
    </row>
    <row r="976" spans="4:4" x14ac:dyDescent="0.3">
      <c r="D976"/>
    </row>
    <row r="977" spans="4:4" x14ac:dyDescent="0.3">
      <c r="D977"/>
    </row>
    <row r="978" spans="4:4" x14ac:dyDescent="0.3">
      <c r="D978"/>
    </row>
    <row r="979" spans="4:4" x14ac:dyDescent="0.3">
      <c r="D979"/>
    </row>
    <row r="980" spans="4:4" x14ac:dyDescent="0.3">
      <c r="D980"/>
    </row>
    <row r="981" spans="4:4" x14ac:dyDescent="0.3">
      <c r="D981"/>
    </row>
    <row r="982" spans="4:4" x14ac:dyDescent="0.3">
      <c r="D982"/>
    </row>
    <row r="983" spans="4:4" x14ac:dyDescent="0.3">
      <c r="D983"/>
    </row>
    <row r="984" spans="4:4" x14ac:dyDescent="0.3">
      <c r="D984"/>
    </row>
    <row r="985" spans="4:4" x14ac:dyDescent="0.3">
      <c r="D985"/>
    </row>
    <row r="986" spans="4:4" x14ac:dyDescent="0.3">
      <c r="D986"/>
    </row>
    <row r="987" spans="4:4" x14ac:dyDescent="0.3">
      <c r="D987"/>
    </row>
    <row r="988" spans="4:4" x14ac:dyDescent="0.3">
      <c r="D988"/>
    </row>
    <row r="989" spans="4:4" x14ac:dyDescent="0.3">
      <c r="D989"/>
    </row>
    <row r="990" spans="4:4" x14ac:dyDescent="0.3">
      <c r="D990"/>
    </row>
    <row r="991" spans="4:4" x14ac:dyDescent="0.3">
      <c r="D991"/>
    </row>
    <row r="992" spans="4:4" x14ac:dyDescent="0.3">
      <c r="D992"/>
    </row>
    <row r="993" spans="4:4" x14ac:dyDescent="0.3">
      <c r="D993"/>
    </row>
    <row r="994" spans="4:4" x14ac:dyDescent="0.3">
      <c r="D994"/>
    </row>
    <row r="995" spans="4:4" x14ac:dyDescent="0.3">
      <c r="D995"/>
    </row>
    <row r="996" spans="4:4" x14ac:dyDescent="0.3">
      <c r="D996"/>
    </row>
    <row r="997" spans="4:4" x14ac:dyDescent="0.3">
      <c r="D997"/>
    </row>
    <row r="998" spans="4:4" x14ac:dyDescent="0.3">
      <c r="D998"/>
    </row>
    <row r="999" spans="4:4" x14ac:dyDescent="0.3">
      <c r="D999"/>
    </row>
    <row r="1000" spans="4:4" x14ac:dyDescent="0.3">
      <c r="D1000"/>
    </row>
    <row r="1001" spans="4:4" x14ac:dyDescent="0.3">
      <c r="D1001"/>
    </row>
    <row r="1002" spans="4:4" x14ac:dyDescent="0.3">
      <c r="D1002"/>
    </row>
    <row r="1003" spans="4:4" x14ac:dyDescent="0.3">
      <c r="D1003"/>
    </row>
    <row r="1004" spans="4:4" x14ac:dyDescent="0.3">
      <c r="D1004"/>
    </row>
    <row r="1005" spans="4:4" x14ac:dyDescent="0.3">
      <c r="D1005"/>
    </row>
    <row r="1006" spans="4:4" x14ac:dyDescent="0.3">
      <c r="D1006"/>
    </row>
    <row r="1007" spans="4:4" x14ac:dyDescent="0.3">
      <c r="D1007"/>
    </row>
    <row r="1008" spans="4:4" x14ac:dyDescent="0.3">
      <c r="D1008"/>
    </row>
    <row r="1009" spans="4:4" x14ac:dyDescent="0.3">
      <c r="D1009"/>
    </row>
    <row r="1010" spans="4:4" x14ac:dyDescent="0.3">
      <c r="D1010"/>
    </row>
    <row r="1011" spans="4:4" x14ac:dyDescent="0.3">
      <c r="D1011"/>
    </row>
    <row r="1012" spans="4:4" x14ac:dyDescent="0.3">
      <c r="D1012"/>
    </row>
    <row r="1013" spans="4:4" x14ac:dyDescent="0.3">
      <c r="D1013"/>
    </row>
    <row r="1014" spans="4:4" x14ac:dyDescent="0.3">
      <c r="D1014"/>
    </row>
    <row r="1015" spans="4:4" x14ac:dyDescent="0.3">
      <c r="D1015"/>
    </row>
    <row r="1016" spans="4:4" x14ac:dyDescent="0.3">
      <c r="D1016"/>
    </row>
    <row r="1017" spans="4:4" x14ac:dyDescent="0.3">
      <c r="D1017"/>
    </row>
    <row r="1018" spans="4:4" x14ac:dyDescent="0.3">
      <c r="D1018"/>
    </row>
    <row r="1019" spans="4:4" x14ac:dyDescent="0.3">
      <c r="D1019"/>
    </row>
    <row r="1020" spans="4:4" x14ac:dyDescent="0.3">
      <c r="D1020"/>
    </row>
    <row r="1021" spans="4:4" x14ac:dyDescent="0.3">
      <c r="D1021"/>
    </row>
    <row r="1022" spans="4:4" x14ac:dyDescent="0.3">
      <c r="D1022"/>
    </row>
    <row r="1023" spans="4:4" x14ac:dyDescent="0.3">
      <c r="D1023"/>
    </row>
    <row r="1024" spans="4:4" x14ac:dyDescent="0.3">
      <c r="D1024"/>
    </row>
    <row r="1025" spans="4:4" x14ac:dyDescent="0.3">
      <c r="D1025"/>
    </row>
    <row r="1026" spans="4:4" x14ac:dyDescent="0.3">
      <c r="D1026"/>
    </row>
    <row r="1027" spans="4:4" x14ac:dyDescent="0.3">
      <c r="D1027"/>
    </row>
    <row r="1028" spans="4:4" x14ac:dyDescent="0.3">
      <c r="D1028"/>
    </row>
    <row r="1029" spans="4:4" x14ac:dyDescent="0.3">
      <c r="D1029"/>
    </row>
    <row r="1030" spans="4:4" x14ac:dyDescent="0.3">
      <c r="D1030"/>
    </row>
    <row r="1031" spans="4:4" x14ac:dyDescent="0.3">
      <c r="D1031"/>
    </row>
    <row r="1032" spans="4:4" x14ac:dyDescent="0.3">
      <c r="D1032"/>
    </row>
    <row r="1033" spans="4:4" x14ac:dyDescent="0.3">
      <c r="D1033"/>
    </row>
    <row r="1034" spans="4:4" x14ac:dyDescent="0.3">
      <c r="D1034"/>
    </row>
    <row r="1035" spans="4:4" x14ac:dyDescent="0.3">
      <c r="D1035"/>
    </row>
    <row r="1036" spans="4:4" x14ac:dyDescent="0.3">
      <c r="D1036"/>
    </row>
    <row r="1037" spans="4:4" x14ac:dyDescent="0.3">
      <c r="D1037"/>
    </row>
    <row r="1038" spans="4:4" x14ac:dyDescent="0.3">
      <c r="D1038"/>
    </row>
    <row r="1039" spans="4:4" x14ac:dyDescent="0.3">
      <c r="D1039"/>
    </row>
    <row r="1040" spans="4:4" x14ac:dyDescent="0.3">
      <c r="D1040"/>
    </row>
    <row r="1041" spans="4:4" x14ac:dyDescent="0.3">
      <c r="D1041"/>
    </row>
    <row r="1042" spans="4:4" x14ac:dyDescent="0.3">
      <c r="D1042"/>
    </row>
    <row r="1043" spans="4:4" x14ac:dyDescent="0.3">
      <c r="D1043"/>
    </row>
    <row r="1044" spans="4:4" x14ac:dyDescent="0.3">
      <c r="D1044"/>
    </row>
    <row r="1045" spans="4:4" x14ac:dyDescent="0.3">
      <c r="D1045"/>
    </row>
    <row r="1046" spans="4:4" x14ac:dyDescent="0.3">
      <c r="D1046"/>
    </row>
    <row r="1047" spans="4:4" x14ac:dyDescent="0.3">
      <c r="D1047"/>
    </row>
    <row r="1048" spans="4:4" x14ac:dyDescent="0.3">
      <c r="D1048"/>
    </row>
    <row r="1049" spans="4:4" x14ac:dyDescent="0.3">
      <c r="D1049"/>
    </row>
    <row r="1050" spans="4:4" x14ac:dyDescent="0.3">
      <c r="D1050"/>
    </row>
    <row r="1051" spans="4:4" x14ac:dyDescent="0.3">
      <c r="D1051"/>
    </row>
    <row r="1052" spans="4:4" x14ac:dyDescent="0.3">
      <c r="D1052"/>
    </row>
    <row r="1053" spans="4:4" x14ac:dyDescent="0.3">
      <c r="D1053"/>
    </row>
    <row r="1054" spans="4:4" x14ac:dyDescent="0.3">
      <c r="D1054"/>
    </row>
    <row r="1055" spans="4:4" x14ac:dyDescent="0.3">
      <c r="D1055"/>
    </row>
    <row r="1056" spans="4:4" x14ac:dyDescent="0.3">
      <c r="D1056"/>
    </row>
    <row r="1057" spans="4:4" x14ac:dyDescent="0.3">
      <c r="D1057"/>
    </row>
    <row r="1058" spans="4:4" x14ac:dyDescent="0.3">
      <c r="D1058"/>
    </row>
    <row r="1059" spans="4:4" x14ac:dyDescent="0.3">
      <c r="D1059"/>
    </row>
    <row r="1060" spans="4:4" x14ac:dyDescent="0.3">
      <c r="D1060"/>
    </row>
    <row r="1061" spans="4:4" x14ac:dyDescent="0.3">
      <c r="D1061"/>
    </row>
    <row r="1062" spans="4:4" x14ac:dyDescent="0.3">
      <c r="D1062"/>
    </row>
    <row r="1063" spans="4:4" x14ac:dyDescent="0.3">
      <c r="D1063"/>
    </row>
    <row r="1064" spans="4:4" x14ac:dyDescent="0.3">
      <c r="D1064"/>
    </row>
    <row r="1065" spans="4:4" x14ac:dyDescent="0.3">
      <c r="D1065"/>
    </row>
    <row r="1066" spans="4:4" x14ac:dyDescent="0.3">
      <c r="D1066"/>
    </row>
    <row r="1067" spans="4:4" x14ac:dyDescent="0.3">
      <c r="D1067"/>
    </row>
    <row r="1068" spans="4:4" x14ac:dyDescent="0.3">
      <c r="D1068"/>
    </row>
    <row r="1069" spans="4:4" x14ac:dyDescent="0.3">
      <c r="D1069"/>
    </row>
    <row r="1070" spans="4:4" x14ac:dyDescent="0.3">
      <c r="D1070"/>
    </row>
    <row r="1071" spans="4:4" x14ac:dyDescent="0.3">
      <c r="D1071"/>
    </row>
    <row r="1072" spans="4:4" x14ac:dyDescent="0.3">
      <c r="D1072"/>
    </row>
    <row r="1073" spans="4:4" x14ac:dyDescent="0.3">
      <c r="D1073"/>
    </row>
    <row r="1074" spans="4:4" x14ac:dyDescent="0.3">
      <c r="D1074"/>
    </row>
    <row r="1075" spans="4:4" x14ac:dyDescent="0.3">
      <c r="D1075"/>
    </row>
    <row r="1076" spans="4:4" x14ac:dyDescent="0.3">
      <c r="D1076"/>
    </row>
    <row r="1077" spans="4:4" x14ac:dyDescent="0.3">
      <c r="D1077"/>
    </row>
    <row r="1078" spans="4:4" x14ac:dyDescent="0.3">
      <c r="D1078"/>
    </row>
    <row r="1079" spans="4:4" x14ac:dyDescent="0.3">
      <c r="D1079"/>
    </row>
    <row r="1080" spans="4:4" x14ac:dyDescent="0.3">
      <c r="D1080"/>
    </row>
    <row r="1081" spans="4:4" x14ac:dyDescent="0.3">
      <c r="D1081"/>
    </row>
    <row r="1082" spans="4:4" x14ac:dyDescent="0.3">
      <c r="D1082"/>
    </row>
    <row r="1083" spans="4:4" x14ac:dyDescent="0.3">
      <c r="D1083"/>
    </row>
    <row r="1084" spans="4:4" x14ac:dyDescent="0.3">
      <c r="D1084"/>
    </row>
    <row r="1085" spans="4:4" x14ac:dyDescent="0.3">
      <c r="D1085"/>
    </row>
    <row r="1086" spans="4:4" x14ac:dyDescent="0.3">
      <c r="D1086"/>
    </row>
    <row r="1087" spans="4:4" x14ac:dyDescent="0.3">
      <c r="D1087"/>
    </row>
    <row r="1088" spans="4:4" x14ac:dyDescent="0.3">
      <c r="D1088"/>
    </row>
    <row r="1089" spans="4:4" x14ac:dyDescent="0.3">
      <c r="D1089"/>
    </row>
    <row r="1090" spans="4:4" x14ac:dyDescent="0.3">
      <c r="D1090"/>
    </row>
    <row r="1091" spans="4:4" x14ac:dyDescent="0.3">
      <c r="D1091"/>
    </row>
    <row r="1092" spans="4:4" x14ac:dyDescent="0.3">
      <c r="D1092"/>
    </row>
    <row r="1093" spans="4:4" x14ac:dyDescent="0.3">
      <c r="D1093"/>
    </row>
    <row r="1094" spans="4:4" x14ac:dyDescent="0.3">
      <c r="D1094"/>
    </row>
    <row r="1095" spans="4:4" x14ac:dyDescent="0.3">
      <c r="D1095"/>
    </row>
    <row r="1096" spans="4:4" x14ac:dyDescent="0.3">
      <c r="D1096"/>
    </row>
    <row r="1097" spans="4:4" x14ac:dyDescent="0.3">
      <c r="D1097"/>
    </row>
    <row r="1098" spans="4:4" x14ac:dyDescent="0.3">
      <c r="D1098"/>
    </row>
    <row r="1099" spans="4:4" x14ac:dyDescent="0.3">
      <c r="D1099"/>
    </row>
    <row r="1100" spans="4:4" x14ac:dyDescent="0.3">
      <c r="D1100"/>
    </row>
    <row r="1101" spans="4:4" x14ac:dyDescent="0.3">
      <c r="D1101"/>
    </row>
    <row r="1102" spans="4:4" x14ac:dyDescent="0.3">
      <c r="D1102"/>
    </row>
    <row r="1103" spans="4:4" x14ac:dyDescent="0.3">
      <c r="D1103"/>
    </row>
    <row r="1104" spans="4:4" x14ac:dyDescent="0.3">
      <c r="D1104"/>
    </row>
    <row r="1105" spans="4:4" x14ac:dyDescent="0.3">
      <c r="D1105"/>
    </row>
    <row r="1106" spans="4:4" x14ac:dyDescent="0.3">
      <c r="D1106"/>
    </row>
    <row r="1107" spans="4:4" x14ac:dyDescent="0.3">
      <c r="D1107"/>
    </row>
    <row r="1108" spans="4:4" x14ac:dyDescent="0.3">
      <c r="D1108"/>
    </row>
    <row r="1109" spans="4:4" x14ac:dyDescent="0.3">
      <c r="D1109"/>
    </row>
    <row r="1110" spans="4:4" x14ac:dyDescent="0.3">
      <c r="D1110"/>
    </row>
    <row r="1111" spans="4:4" x14ac:dyDescent="0.3">
      <c r="D1111"/>
    </row>
    <row r="1112" spans="4:4" x14ac:dyDescent="0.3">
      <c r="D1112"/>
    </row>
    <row r="1113" spans="4:4" x14ac:dyDescent="0.3">
      <c r="D1113"/>
    </row>
    <row r="1114" spans="4:4" x14ac:dyDescent="0.3">
      <c r="D1114"/>
    </row>
    <row r="1115" spans="4:4" x14ac:dyDescent="0.3">
      <c r="D1115"/>
    </row>
    <row r="1116" spans="4:4" x14ac:dyDescent="0.3">
      <c r="D1116"/>
    </row>
    <row r="1117" spans="4:4" x14ac:dyDescent="0.3">
      <c r="D1117"/>
    </row>
    <row r="1118" spans="4:4" x14ac:dyDescent="0.3">
      <c r="D1118"/>
    </row>
    <row r="1119" spans="4:4" x14ac:dyDescent="0.3">
      <c r="D1119"/>
    </row>
    <row r="1120" spans="4:4" x14ac:dyDescent="0.3">
      <c r="D1120"/>
    </row>
    <row r="1121" spans="4:4" x14ac:dyDescent="0.3">
      <c r="D1121"/>
    </row>
    <row r="1122" spans="4:4" x14ac:dyDescent="0.3">
      <c r="D1122"/>
    </row>
    <row r="1123" spans="4:4" x14ac:dyDescent="0.3">
      <c r="D1123"/>
    </row>
    <row r="1124" spans="4:4" x14ac:dyDescent="0.3">
      <c r="D1124"/>
    </row>
    <row r="1125" spans="4:4" x14ac:dyDescent="0.3">
      <c r="D1125"/>
    </row>
    <row r="1126" spans="4:4" x14ac:dyDescent="0.3">
      <c r="D1126"/>
    </row>
    <row r="1127" spans="4:4" x14ac:dyDescent="0.3">
      <c r="D1127"/>
    </row>
    <row r="1128" spans="4:4" x14ac:dyDescent="0.3">
      <c r="D1128"/>
    </row>
    <row r="1129" spans="4:4" x14ac:dyDescent="0.3">
      <c r="D1129"/>
    </row>
    <row r="1130" spans="4:4" x14ac:dyDescent="0.3">
      <c r="D1130"/>
    </row>
    <row r="1131" spans="4:4" x14ac:dyDescent="0.3">
      <c r="D1131"/>
    </row>
    <row r="1132" spans="4:4" x14ac:dyDescent="0.3">
      <c r="D1132"/>
    </row>
    <row r="1133" spans="4:4" x14ac:dyDescent="0.3">
      <c r="D1133"/>
    </row>
    <row r="1134" spans="4:4" x14ac:dyDescent="0.3">
      <c r="D1134"/>
    </row>
    <row r="1135" spans="4:4" x14ac:dyDescent="0.3">
      <c r="D1135"/>
    </row>
    <row r="1136" spans="4:4" x14ac:dyDescent="0.3">
      <c r="D1136"/>
    </row>
    <row r="1137" spans="4:4" x14ac:dyDescent="0.3">
      <c r="D1137"/>
    </row>
    <row r="1138" spans="4:4" x14ac:dyDescent="0.3">
      <c r="D1138"/>
    </row>
    <row r="1139" spans="4:4" x14ac:dyDescent="0.3">
      <c r="D1139"/>
    </row>
    <row r="1140" spans="4:4" x14ac:dyDescent="0.3">
      <c r="D1140"/>
    </row>
    <row r="1141" spans="4:4" x14ac:dyDescent="0.3">
      <c r="D1141"/>
    </row>
    <row r="1142" spans="4:4" x14ac:dyDescent="0.3">
      <c r="D1142"/>
    </row>
    <row r="1143" spans="4:4" x14ac:dyDescent="0.3">
      <c r="D1143"/>
    </row>
    <row r="1144" spans="4:4" x14ac:dyDescent="0.3">
      <c r="D1144"/>
    </row>
    <row r="1145" spans="4:4" x14ac:dyDescent="0.3">
      <c r="D1145"/>
    </row>
    <row r="1146" spans="4:4" x14ac:dyDescent="0.3">
      <c r="D1146"/>
    </row>
    <row r="1147" spans="4:4" x14ac:dyDescent="0.3">
      <c r="D1147"/>
    </row>
    <row r="1148" spans="4:4" x14ac:dyDescent="0.3">
      <c r="D1148"/>
    </row>
    <row r="1149" spans="4:4" x14ac:dyDescent="0.3">
      <c r="D1149"/>
    </row>
    <row r="1150" spans="4:4" x14ac:dyDescent="0.3">
      <c r="D1150"/>
    </row>
    <row r="1151" spans="4:4" x14ac:dyDescent="0.3">
      <c r="D1151"/>
    </row>
    <row r="1152" spans="4:4" x14ac:dyDescent="0.3">
      <c r="D1152"/>
    </row>
    <row r="1153" spans="4:4" x14ac:dyDescent="0.3">
      <c r="D1153"/>
    </row>
    <row r="1154" spans="4:4" x14ac:dyDescent="0.3">
      <c r="D1154"/>
    </row>
    <row r="1155" spans="4:4" x14ac:dyDescent="0.3">
      <c r="D1155"/>
    </row>
    <row r="1156" spans="4:4" x14ac:dyDescent="0.3">
      <c r="D1156"/>
    </row>
    <row r="1157" spans="4:4" x14ac:dyDescent="0.3">
      <c r="D1157"/>
    </row>
    <row r="1158" spans="4:4" x14ac:dyDescent="0.3">
      <c r="D1158"/>
    </row>
    <row r="1159" spans="4:4" x14ac:dyDescent="0.3">
      <c r="D1159"/>
    </row>
    <row r="1160" spans="4:4" x14ac:dyDescent="0.3">
      <c r="D1160"/>
    </row>
    <row r="1161" spans="4:4" x14ac:dyDescent="0.3">
      <c r="D1161"/>
    </row>
    <row r="1162" spans="4:4" x14ac:dyDescent="0.3">
      <c r="D1162"/>
    </row>
    <row r="1163" spans="4:4" x14ac:dyDescent="0.3">
      <c r="D1163"/>
    </row>
    <row r="1164" spans="4:4" x14ac:dyDescent="0.3">
      <c r="D1164"/>
    </row>
    <row r="1165" spans="4:4" x14ac:dyDescent="0.3">
      <c r="D1165"/>
    </row>
    <row r="1166" spans="4:4" x14ac:dyDescent="0.3">
      <c r="D1166"/>
    </row>
    <row r="1167" spans="4:4" x14ac:dyDescent="0.3">
      <c r="D1167"/>
    </row>
    <row r="1168" spans="4:4" x14ac:dyDescent="0.3">
      <c r="D1168"/>
    </row>
    <row r="1169" spans="4:4" x14ac:dyDescent="0.3">
      <c r="D1169"/>
    </row>
    <row r="1170" spans="4:4" x14ac:dyDescent="0.3">
      <c r="D1170"/>
    </row>
    <row r="1171" spans="4:4" x14ac:dyDescent="0.3">
      <c r="D1171"/>
    </row>
    <row r="1172" spans="4:4" x14ac:dyDescent="0.3">
      <c r="D1172"/>
    </row>
    <row r="1173" spans="4:4" x14ac:dyDescent="0.3">
      <c r="D1173"/>
    </row>
    <row r="1174" spans="4:4" x14ac:dyDescent="0.3">
      <c r="D1174"/>
    </row>
    <row r="1175" spans="4:4" x14ac:dyDescent="0.3">
      <c r="D1175"/>
    </row>
    <row r="1176" spans="4:4" x14ac:dyDescent="0.3">
      <c r="D1176"/>
    </row>
    <row r="1177" spans="4:4" x14ac:dyDescent="0.3">
      <c r="D1177"/>
    </row>
    <row r="1178" spans="4:4" x14ac:dyDescent="0.3">
      <c r="D1178"/>
    </row>
    <row r="1179" spans="4:4" x14ac:dyDescent="0.3">
      <c r="D1179"/>
    </row>
    <row r="1180" spans="4:4" x14ac:dyDescent="0.3">
      <c r="D1180"/>
    </row>
    <row r="1181" spans="4:4" x14ac:dyDescent="0.3">
      <c r="D1181"/>
    </row>
    <row r="1182" spans="4:4" x14ac:dyDescent="0.3">
      <c r="D1182"/>
    </row>
    <row r="1183" spans="4:4" x14ac:dyDescent="0.3">
      <c r="D1183"/>
    </row>
    <row r="1184" spans="4:4" x14ac:dyDescent="0.3">
      <c r="D1184"/>
    </row>
    <row r="1185" spans="4:4" x14ac:dyDescent="0.3">
      <c r="D1185"/>
    </row>
    <row r="1186" spans="4:4" x14ac:dyDescent="0.3">
      <c r="D1186"/>
    </row>
    <row r="1187" spans="4:4" x14ac:dyDescent="0.3">
      <c r="D1187"/>
    </row>
    <row r="1188" spans="4:4" x14ac:dyDescent="0.3">
      <c r="D1188"/>
    </row>
    <row r="1189" spans="4:4" x14ac:dyDescent="0.3">
      <c r="D1189"/>
    </row>
    <row r="1190" spans="4:4" x14ac:dyDescent="0.3">
      <c r="D1190"/>
    </row>
    <row r="1191" spans="4:4" x14ac:dyDescent="0.3">
      <c r="D1191"/>
    </row>
    <row r="1192" spans="4:4" x14ac:dyDescent="0.3">
      <c r="D1192"/>
    </row>
    <row r="1193" spans="4:4" x14ac:dyDescent="0.3">
      <c r="D1193"/>
    </row>
    <row r="1194" spans="4:4" x14ac:dyDescent="0.3">
      <c r="D1194"/>
    </row>
    <row r="1195" spans="4:4" x14ac:dyDescent="0.3">
      <c r="D1195"/>
    </row>
    <row r="1196" spans="4:4" x14ac:dyDescent="0.3">
      <c r="D1196"/>
    </row>
    <row r="1197" spans="4:4" x14ac:dyDescent="0.3">
      <c r="D1197"/>
    </row>
    <row r="1198" spans="4:4" x14ac:dyDescent="0.3">
      <c r="D1198"/>
    </row>
    <row r="1199" spans="4:4" x14ac:dyDescent="0.3">
      <c r="D1199"/>
    </row>
    <row r="1200" spans="4:4" x14ac:dyDescent="0.3">
      <c r="D1200"/>
    </row>
    <row r="1201" spans="4:4" x14ac:dyDescent="0.3">
      <c r="D1201"/>
    </row>
    <row r="1202" spans="4:4" x14ac:dyDescent="0.3">
      <c r="D1202"/>
    </row>
    <row r="1203" spans="4:4" x14ac:dyDescent="0.3">
      <c r="D1203"/>
    </row>
    <row r="1204" spans="4:4" x14ac:dyDescent="0.3">
      <c r="D1204"/>
    </row>
    <row r="1205" spans="4:4" x14ac:dyDescent="0.3">
      <c r="D1205"/>
    </row>
    <row r="1206" spans="4:4" x14ac:dyDescent="0.3">
      <c r="D1206"/>
    </row>
    <row r="1207" spans="4:4" x14ac:dyDescent="0.3">
      <c r="D1207"/>
    </row>
    <row r="1208" spans="4:4" x14ac:dyDescent="0.3">
      <c r="D1208"/>
    </row>
    <row r="1209" spans="4:4" x14ac:dyDescent="0.3">
      <c r="D1209"/>
    </row>
    <row r="1210" spans="4:4" x14ac:dyDescent="0.3">
      <c r="D1210"/>
    </row>
    <row r="1211" spans="4:4" x14ac:dyDescent="0.3">
      <c r="D1211"/>
    </row>
    <row r="1212" spans="4:4" x14ac:dyDescent="0.3">
      <c r="D1212"/>
    </row>
    <row r="1213" spans="4:4" x14ac:dyDescent="0.3">
      <c r="D1213"/>
    </row>
    <row r="1214" spans="4:4" x14ac:dyDescent="0.3">
      <c r="D1214"/>
    </row>
    <row r="1215" spans="4:4" x14ac:dyDescent="0.3">
      <c r="D1215"/>
    </row>
    <row r="1216" spans="4:4" x14ac:dyDescent="0.3">
      <c r="D1216"/>
    </row>
    <row r="1217" spans="4:4" x14ac:dyDescent="0.3">
      <c r="D1217"/>
    </row>
    <row r="1218" spans="4:4" x14ac:dyDescent="0.3">
      <c r="D1218"/>
    </row>
    <row r="1219" spans="4:4" x14ac:dyDescent="0.3">
      <c r="D1219"/>
    </row>
    <row r="1220" spans="4:4" x14ac:dyDescent="0.3">
      <c r="D1220"/>
    </row>
    <row r="1221" spans="4:4" x14ac:dyDescent="0.3">
      <c r="D1221"/>
    </row>
    <row r="1222" spans="4:4" x14ac:dyDescent="0.3">
      <c r="D1222"/>
    </row>
    <row r="1223" spans="4:4" x14ac:dyDescent="0.3">
      <c r="D1223"/>
    </row>
    <row r="1224" spans="4:4" x14ac:dyDescent="0.3">
      <c r="D1224"/>
    </row>
    <row r="1225" spans="4:4" x14ac:dyDescent="0.3">
      <c r="D1225"/>
    </row>
    <row r="1226" spans="4:4" x14ac:dyDescent="0.3">
      <c r="D1226"/>
    </row>
    <row r="1227" spans="4:4" x14ac:dyDescent="0.3">
      <c r="D1227"/>
    </row>
    <row r="1228" spans="4:4" x14ac:dyDescent="0.3">
      <c r="D1228"/>
    </row>
    <row r="1229" spans="4:4" x14ac:dyDescent="0.3">
      <c r="D1229"/>
    </row>
    <row r="1230" spans="4:4" x14ac:dyDescent="0.3">
      <c r="D1230"/>
    </row>
    <row r="1231" spans="4:4" x14ac:dyDescent="0.3">
      <c r="D1231"/>
    </row>
    <row r="1232" spans="4:4" x14ac:dyDescent="0.3">
      <c r="D1232"/>
    </row>
    <row r="1233" spans="4:4" x14ac:dyDescent="0.3">
      <c r="D1233"/>
    </row>
    <row r="1234" spans="4:4" x14ac:dyDescent="0.3">
      <c r="D1234"/>
    </row>
    <row r="1235" spans="4:4" x14ac:dyDescent="0.3">
      <c r="D1235"/>
    </row>
    <row r="1236" spans="4:4" x14ac:dyDescent="0.3">
      <c r="D1236"/>
    </row>
    <row r="1237" spans="4:4" x14ac:dyDescent="0.3">
      <c r="D1237"/>
    </row>
    <row r="1238" spans="4:4" x14ac:dyDescent="0.3">
      <c r="D1238"/>
    </row>
    <row r="1239" spans="4:4" x14ac:dyDescent="0.3">
      <c r="D1239"/>
    </row>
    <row r="1240" spans="4:4" x14ac:dyDescent="0.3">
      <c r="D1240"/>
    </row>
    <row r="1241" spans="4:4" x14ac:dyDescent="0.3">
      <c r="D1241"/>
    </row>
    <row r="1242" spans="4:4" x14ac:dyDescent="0.3">
      <c r="D1242"/>
    </row>
    <row r="1243" spans="4:4" x14ac:dyDescent="0.3">
      <c r="D1243"/>
    </row>
    <row r="1244" spans="4:4" x14ac:dyDescent="0.3">
      <c r="D1244"/>
    </row>
    <row r="1245" spans="4:4" x14ac:dyDescent="0.3">
      <c r="D1245"/>
    </row>
    <row r="1246" spans="4:4" x14ac:dyDescent="0.3">
      <c r="D1246"/>
    </row>
    <row r="1247" spans="4:4" x14ac:dyDescent="0.3">
      <c r="D1247"/>
    </row>
    <row r="1248" spans="4:4" x14ac:dyDescent="0.3">
      <c r="D1248"/>
    </row>
    <row r="1249" spans="4:4" x14ac:dyDescent="0.3">
      <c r="D1249"/>
    </row>
    <row r="1250" spans="4:4" x14ac:dyDescent="0.3">
      <c r="D1250"/>
    </row>
    <row r="1251" spans="4:4" x14ac:dyDescent="0.3">
      <c r="D1251"/>
    </row>
    <row r="1252" spans="4:4" x14ac:dyDescent="0.3">
      <c r="D1252"/>
    </row>
    <row r="1253" spans="4:4" x14ac:dyDescent="0.3">
      <c r="D1253"/>
    </row>
    <row r="1254" spans="4:4" x14ac:dyDescent="0.3">
      <c r="D1254"/>
    </row>
    <row r="1255" spans="4:4" x14ac:dyDescent="0.3">
      <c r="D1255"/>
    </row>
    <row r="1256" spans="4:4" x14ac:dyDescent="0.3">
      <c r="D1256"/>
    </row>
    <row r="1257" spans="4:4" x14ac:dyDescent="0.3">
      <c r="D1257"/>
    </row>
    <row r="1258" spans="4:4" x14ac:dyDescent="0.3">
      <c r="D1258"/>
    </row>
    <row r="1259" spans="4:4" x14ac:dyDescent="0.3">
      <c r="D1259"/>
    </row>
    <row r="1260" spans="4:4" x14ac:dyDescent="0.3">
      <c r="D1260"/>
    </row>
    <row r="1261" spans="4:4" x14ac:dyDescent="0.3">
      <c r="D1261"/>
    </row>
    <row r="1262" spans="4:4" x14ac:dyDescent="0.3">
      <c r="D1262"/>
    </row>
    <row r="1263" spans="4:4" x14ac:dyDescent="0.3">
      <c r="D1263"/>
    </row>
    <row r="1264" spans="4:4" x14ac:dyDescent="0.3">
      <c r="D1264"/>
    </row>
    <row r="1265" spans="4:4" x14ac:dyDescent="0.3">
      <c r="D1265"/>
    </row>
    <row r="1266" spans="4:4" x14ac:dyDescent="0.3">
      <c r="D1266"/>
    </row>
    <row r="1267" spans="4:4" x14ac:dyDescent="0.3">
      <c r="D1267"/>
    </row>
    <row r="1268" spans="4:4" x14ac:dyDescent="0.3">
      <c r="D1268"/>
    </row>
    <row r="1269" spans="4:4" x14ac:dyDescent="0.3">
      <c r="D1269"/>
    </row>
    <row r="1270" spans="4:4" x14ac:dyDescent="0.3">
      <c r="D1270"/>
    </row>
    <row r="1271" spans="4:4" x14ac:dyDescent="0.3">
      <c r="D1271"/>
    </row>
    <row r="1272" spans="4:4" x14ac:dyDescent="0.3">
      <c r="D1272"/>
    </row>
    <row r="1273" spans="4:4" x14ac:dyDescent="0.3">
      <c r="D1273"/>
    </row>
    <row r="1274" spans="4:4" x14ac:dyDescent="0.3">
      <c r="D1274"/>
    </row>
    <row r="1275" spans="4:4" x14ac:dyDescent="0.3">
      <c r="D1275"/>
    </row>
    <row r="1276" spans="4:4" x14ac:dyDescent="0.3">
      <c r="D1276"/>
    </row>
    <row r="1277" spans="4:4" x14ac:dyDescent="0.3">
      <c r="D1277"/>
    </row>
    <row r="1278" spans="4:4" x14ac:dyDescent="0.3">
      <c r="D1278"/>
    </row>
    <row r="1279" spans="4:4" x14ac:dyDescent="0.3">
      <c r="D1279"/>
    </row>
    <row r="1280" spans="4:4" x14ac:dyDescent="0.3">
      <c r="D1280"/>
    </row>
    <row r="1281" spans="4:4" x14ac:dyDescent="0.3">
      <c r="D1281"/>
    </row>
    <row r="1282" spans="4:4" x14ac:dyDescent="0.3">
      <c r="D1282"/>
    </row>
    <row r="1283" spans="4:4" x14ac:dyDescent="0.3">
      <c r="D1283"/>
    </row>
    <row r="1284" spans="4:4" x14ac:dyDescent="0.3">
      <c r="D1284"/>
    </row>
    <row r="1285" spans="4:4" x14ac:dyDescent="0.3">
      <c r="D1285"/>
    </row>
    <row r="1286" spans="4:4" x14ac:dyDescent="0.3">
      <c r="D1286"/>
    </row>
    <row r="1287" spans="4:4" x14ac:dyDescent="0.3">
      <c r="D1287"/>
    </row>
    <row r="1288" spans="4:4" x14ac:dyDescent="0.3">
      <c r="D1288"/>
    </row>
    <row r="1289" spans="4:4" x14ac:dyDescent="0.3">
      <c r="D1289"/>
    </row>
    <row r="1290" spans="4:4" x14ac:dyDescent="0.3">
      <c r="D1290"/>
    </row>
    <row r="1291" spans="4:4" x14ac:dyDescent="0.3">
      <c r="D1291"/>
    </row>
    <row r="1292" spans="4:4" x14ac:dyDescent="0.3">
      <c r="D1292"/>
    </row>
    <row r="1293" spans="4:4" x14ac:dyDescent="0.3">
      <c r="D1293"/>
    </row>
    <row r="1294" spans="4:4" x14ac:dyDescent="0.3">
      <c r="D1294"/>
    </row>
    <row r="1295" spans="4:4" x14ac:dyDescent="0.3">
      <c r="D1295"/>
    </row>
    <row r="1296" spans="4:4" x14ac:dyDescent="0.3">
      <c r="D1296"/>
    </row>
    <row r="1297" spans="4:4" x14ac:dyDescent="0.3">
      <c r="D1297"/>
    </row>
    <row r="1298" spans="4:4" x14ac:dyDescent="0.3">
      <c r="D1298"/>
    </row>
    <row r="1299" spans="4:4" x14ac:dyDescent="0.3">
      <c r="D1299"/>
    </row>
    <row r="1300" spans="4:4" x14ac:dyDescent="0.3">
      <c r="D1300"/>
    </row>
    <row r="1301" spans="4:4" x14ac:dyDescent="0.3">
      <c r="D1301"/>
    </row>
    <row r="1302" spans="4:4" x14ac:dyDescent="0.3">
      <c r="D1302"/>
    </row>
    <row r="1303" spans="4:4" x14ac:dyDescent="0.3">
      <c r="D1303"/>
    </row>
    <row r="1304" spans="4:4" x14ac:dyDescent="0.3">
      <c r="D1304"/>
    </row>
    <row r="1305" spans="4:4" x14ac:dyDescent="0.3">
      <c r="D1305"/>
    </row>
    <row r="1306" spans="4:4" x14ac:dyDescent="0.3">
      <c r="D1306"/>
    </row>
    <row r="1307" spans="4:4" x14ac:dyDescent="0.3">
      <c r="D1307"/>
    </row>
    <row r="1308" spans="4:4" x14ac:dyDescent="0.3">
      <c r="D1308"/>
    </row>
    <row r="1309" spans="4:4" x14ac:dyDescent="0.3">
      <c r="D1309"/>
    </row>
    <row r="1310" spans="4:4" x14ac:dyDescent="0.3">
      <c r="D1310"/>
    </row>
    <row r="1311" spans="4:4" x14ac:dyDescent="0.3">
      <c r="D1311"/>
    </row>
    <row r="1312" spans="4:4" x14ac:dyDescent="0.3">
      <c r="D1312"/>
    </row>
    <row r="1313" spans="4:4" x14ac:dyDescent="0.3">
      <c r="D1313"/>
    </row>
    <row r="1314" spans="4:4" x14ac:dyDescent="0.3">
      <c r="D1314"/>
    </row>
    <row r="1315" spans="4:4" x14ac:dyDescent="0.3">
      <c r="D1315"/>
    </row>
    <row r="1316" spans="4:4" x14ac:dyDescent="0.3">
      <c r="D1316"/>
    </row>
    <row r="1317" spans="4:4" x14ac:dyDescent="0.3">
      <c r="D1317"/>
    </row>
    <row r="1318" spans="4:4" x14ac:dyDescent="0.3">
      <c r="D1318"/>
    </row>
    <row r="1319" spans="4:4" x14ac:dyDescent="0.3">
      <c r="D1319"/>
    </row>
    <row r="1320" spans="4:4" x14ac:dyDescent="0.3">
      <c r="D1320"/>
    </row>
    <row r="1321" spans="4:4" x14ac:dyDescent="0.3">
      <c r="D1321"/>
    </row>
    <row r="1322" spans="4:4" x14ac:dyDescent="0.3">
      <c r="D1322"/>
    </row>
    <row r="1323" spans="4:4" x14ac:dyDescent="0.3">
      <c r="D1323"/>
    </row>
    <row r="1324" spans="4:4" x14ac:dyDescent="0.3">
      <c r="D1324"/>
    </row>
    <row r="1325" spans="4:4" x14ac:dyDescent="0.3">
      <c r="D1325"/>
    </row>
    <row r="1326" spans="4:4" x14ac:dyDescent="0.3">
      <c r="D1326"/>
    </row>
    <row r="1327" spans="4:4" x14ac:dyDescent="0.3">
      <c r="D1327"/>
    </row>
    <row r="1328" spans="4:4" x14ac:dyDescent="0.3">
      <c r="D1328"/>
    </row>
    <row r="1329" spans="4:4" x14ac:dyDescent="0.3">
      <c r="D1329"/>
    </row>
    <row r="1330" spans="4:4" x14ac:dyDescent="0.3">
      <c r="D1330"/>
    </row>
    <row r="1331" spans="4:4" x14ac:dyDescent="0.3">
      <c r="D1331"/>
    </row>
    <row r="1332" spans="4:4" x14ac:dyDescent="0.3">
      <c r="D1332"/>
    </row>
    <row r="1333" spans="4:4" x14ac:dyDescent="0.3">
      <c r="D1333"/>
    </row>
    <row r="1334" spans="4:4" x14ac:dyDescent="0.3">
      <c r="D1334"/>
    </row>
    <row r="1335" spans="4:4" x14ac:dyDescent="0.3">
      <c r="D1335"/>
    </row>
    <row r="1336" spans="4:4" x14ac:dyDescent="0.3">
      <c r="D1336"/>
    </row>
    <row r="1337" spans="4:4" x14ac:dyDescent="0.3">
      <c r="D1337"/>
    </row>
    <row r="1338" spans="4:4" x14ac:dyDescent="0.3">
      <c r="D1338"/>
    </row>
    <row r="1339" spans="4:4" x14ac:dyDescent="0.3">
      <c r="D1339"/>
    </row>
    <row r="1340" spans="4:4" x14ac:dyDescent="0.3">
      <c r="D1340"/>
    </row>
    <row r="1341" spans="4:4" x14ac:dyDescent="0.3">
      <c r="D1341"/>
    </row>
    <row r="1342" spans="4:4" x14ac:dyDescent="0.3">
      <c r="D1342"/>
    </row>
    <row r="1343" spans="4:4" x14ac:dyDescent="0.3">
      <c r="D1343"/>
    </row>
    <row r="1344" spans="4:4" x14ac:dyDescent="0.3">
      <c r="D1344"/>
    </row>
    <row r="1345" spans="4:4" x14ac:dyDescent="0.3">
      <c r="D1345"/>
    </row>
    <row r="1346" spans="4:4" x14ac:dyDescent="0.3">
      <c r="D1346"/>
    </row>
    <row r="1347" spans="4:4" x14ac:dyDescent="0.3">
      <c r="D1347"/>
    </row>
    <row r="1348" spans="4:4" x14ac:dyDescent="0.3">
      <c r="D1348"/>
    </row>
    <row r="1349" spans="4:4" x14ac:dyDescent="0.3">
      <c r="D1349"/>
    </row>
    <row r="1350" spans="4:4" x14ac:dyDescent="0.3">
      <c r="D1350"/>
    </row>
    <row r="1351" spans="4:4" x14ac:dyDescent="0.3">
      <c r="D1351"/>
    </row>
    <row r="1352" spans="4:4" x14ac:dyDescent="0.3">
      <c r="D1352"/>
    </row>
    <row r="1353" spans="4:4" x14ac:dyDescent="0.3">
      <c r="D1353"/>
    </row>
    <row r="1354" spans="4:4" x14ac:dyDescent="0.3">
      <c r="D1354"/>
    </row>
    <row r="1355" spans="4:4" x14ac:dyDescent="0.3">
      <c r="D1355"/>
    </row>
    <row r="1356" spans="4:4" x14ac:dyDescent="0.3">
      <c r="D1356"/>
    </row>
    <row r="1357" spans="4:4" x14ac:dyDescent="0.3">
      <c r="D1357"/>
    </row>
    <row r="1358" spans="4:4" x14ac:dyDescent="0.3">
      <c r="D1358"/>
    </row>
    <row r="1359" spans="4:4" x14ac:dyDescent="0.3">
      <c r="D1359"/>
    </row>
    <row r="1360" spans="4:4" x14ac:dyDescent="0.3">
      <c r="D1360"/>
    </row>
    <row r="1361" spans="4:4" x14ac:dyDescent="0.3">
      <c r="D1361"/>
    </row>
    <row r="1362" spans="4:4" x14ac:dyDescent="0.3">
      <c r="D1362"/>
    </row>
    <row r="1363" spans="4:4" x14ac:dyDescent="0.3">
      <c r="D1363"/>
    </row>
    <row r="1364" spans="4:4" x14ac:dyDescent="0.3">
      <c r="D1364"/>
    </row>
    <row r="1365" spans="4:4" x14ac:dyDescent="0.3">
      <c r="D1365"/>
    </row>
    <row r="1366" spans="4:4" x14ac:dyDescent="0.3">
      <c r="D1366"/>
    </row>
    <row r="1367" spans="4:4" x14ac:dyDescent="0.3">
      <c r="D1367"/>
    </row>
    <row r="1368" spans="4:4" x14ac:dyDescent="0.3">
      <c r="D1368"/>
    </row>
    <row r="1369" spans="4:4" x14ac:dyDescent="0.3">
      <c r="D1369"/>
    </row>
    <row r="1370" spans="4:4" x14ac:dyDescent="0.3">
      <c r="D1370"/>
    </row>
    <row r="1371" spans="4:4" x14ac:dyDescent="0.3">
      <c r="D1371"/>
    </row>
    <row r="1372" spans="4:4" x14ac:dyDescent="0.3">
      <c r="D1372"/>
    </row>
    <row r="1373" spans="4:4" x14ac:dyDescent="0.3">
      <c r="D1373"/>
    </row>
    <row r="1374" spans="4:4" x14ac:dyDescent="0.3">
      <c r="D1374"/>
    </row>
    <row r="1375" spans="4:4" x14ac:dyDescent="0.3">
      <c r="D1375"/>
    </row>
    <row r="1376" spans="4:4" x14ac:dyDescent="0.3">
      <c r="D1376"/>
    </row>
    <row r="1377" spans="4:4" x14ac:dyDescent="0.3">
      <c r="D1377"/>
    </row>
    <row r="1378" spans="4:4" x14ac:dyDescent="0.3">
      <c r="D1378"/>
    </row>
    <row r="1379" spans="4:4" x14ac:dyDescent="0.3">
      <c r="D1379"/>
    </row>
    <row r="1380" spans="4:4" x14ac:dyDescent="0.3">
      <c r="D1380"/>
    </row>
    <row r="1381" spans="4:4" x14ac:dyDescent="0.3">
      <c r="D1381"/>
    </row>
    <row r="1382" spans="4:4" x14ac:dyDescent="0.3">
      <c r="D1382"/>
    </row>
    <row r="1383" spans="4:4" x14ac:dyDescent="0.3">
      <c r="D1383"/>
    </row>
    <row r="1384" spans="4:4" x14ac:dyDescent="0.3">
      <c r="D1384"/>
    </row>
    <row r="1385" spans="4:4" x14ac:dyDescent="0.3">
      <c r="D1385"/>
    </row>
    <row r="1386" spans="4:4" x14ac:dyDescent="0.3">
      <c r="D1386"/>
    </row>
    <row r="1387" spans="4:4" x14ac:dyDescent="0.3">
      <c r="D1387"/>
    </row>
    <row r="1388" spans="4:4" x14ac:dyDescent="0.3">
      <c r="D1388"/>
    </row>
    <row r="1389" spans="4:4" x14ac:dyDescent="0.3">
      <c r="D1389"/>
    </row>
    <row r="1390" spans="4:4" x14ac:dyDescent="0.3">
      <c r="D1390"/>
    </row>
    <row r="1391" spans="4:4" x14ac:dyDescent="0.3">
      <c r="D1391"/>
    </row>
    <row r="1392" spans="4:4" x14ac:dyDescent="0.3">
      <c r="D1392"/>
    </row>
    <row r="1393" spans="4:4" x14ac:dyDescent="0.3">
      <c r="D1393"/>
    </row>
    <row r="1394" spans="4:4" x14ac:dyDescent="0.3">
      <c r="D1394"/>
    </row>
    <row r="1395" spans="4:4" x14ac:dyDescent="0.3">
      <c r="D1395"/>
    </row>
    <row r="1396" spans="4:4" x14ac:dyDescent="0.3">
      <c r="D1396"/>
    </row>
    <row r="1397" spans="4:4" x14ac:dyDescent="0.3">
      <c r="D1397"/>
    </row>
    <row r="1398" spans="4:4" x14ac:dyDescent="0.3">
      <c r="D1398"/>
    </row>
    <row r="1399" spans="4:4" x14ac:dyDescent="0.3">
      <c r="D1399"/>
    </row>
    <row r="1400" spans="4:4" x14ac:dyDescent="0.3">
      <c r="D1400"/>
    </row>
    <row r="1401" spans="4:4" x14ac:dyDescent="0.3">
      <c r="D1401"/>
    </row>
    <row r="1402" spans="4:4" x14ac:dyDescent="0.3">
      <c r="D1402"/>
    </row>
    <row r="1403" spans="4:4" x14ac:dyDescent="0.3">
      <c r="D1403"/>
    </row>
    <row r="1404" spans="4:4" x14ac:dyDescent="0.3">
      <c r="D1404"/>
    </row>
    <row r="1405" spans="4:4" x14ac:dyDescent="0.3">
      <c r="D1405"/>
    </row>
    <row r="1406" spans="4:4" x14ac:dyDescent="0.3">
      <c r="D1406"/>
    </row>
    <row r="1407" spans="4:4" x14ac:dyDescent="0.3">
      <c r="D1407"/>
    </row>
    <row r="1408" spans="4:4" x14ac:dyDescent="0.3">
      <c r="D1408"/>
    </row>
    <row r="1409" spans="4:4" x14ac:dyDescent="0.3">
      <c r="D1409"/>
    </row>
    <row r="1410" spans="4:4" x14ac:dyDescent="0.3">
      <c r="D1410"/>
    </row>
    <row r="1411" spans="4:4" x14ac:dyDescent="0.3">
      <c r="D1411"/>
    </row>
    <row r="1412" spans="4:4" x14ac:dyDescent="0.3">
      <c r="D1412"/>
    </row>
    <row r="1413" spans="4:4" x14ac:dyDescent="0.3">
      <c r="D1413"/>
    </row>
    <row r="1414" spans="4:4" x14ac:dyDescent="0.3">
      <c r="D1414"/>
    </row>
    <row r="1415" spans="4:4" x14ac:dyDescent="0.3">
      <c r="D1415"/>
    </row>
    <row r="1416" spans="4:4" x14ac:dyDescent="0.3">
      <c r="D1416"/>
    </row>
    <row r="1417" spans="4:4" x14ac:dyDescent="0.3">
      <c r="D1417"/>
    </row>
    <row r="1418" spans="4:4" x14ac:dyDescent="0.3">
      <c r="D1418"/>
    </row>
    <row r="1419" spans="4:4" x14ac:dyDescent="0.3">
      <c r="D1419"/>
    </row>
    <row r="1420" spans="4:4" x14ac:dyDescent="0.3">
      <c r="D1420"/>
    </row>
    <row r="1421" spans="4:4" x14ac:dyDescent="0.3">
      <c r="D1421"/>
    </row>
    <row r="1422" spans="4:4" x14ac:dyDescent="0.3">
      <c r="D1422"/>
    </row>
    <row r="1423" spans="4:4" x14ac:dyDescent="0.3">
      <c r="D1423"/>
    </row>
    <row r="1424" spans="4:4" x14ac:dyDescent="0.3">
      <c r="D1424"/>
    </row>
    <row r="1425" spans="4:4" x14ac:dyDescent="0.3">
      <c r="D1425"/>
    </row>
    <row r="1426" spans="4:4" x14ac:dyDescent="0.3">
      <c r="D1426"/>
    </row>
    <row r="1427" spans="4:4" x14ac:dyDescent="0.3">
      <c r="D1427"/>
    </row>
    <row r="1428" spans="4:4" x14ac:dyDescent="0.3">
      <c r="D1428"/>
    </row>
    <row r="1429" spans="4:4" x14ac:dyDescent="0.3">
      <c r="D1429"/>
    </row>
    <row r="1430" spans="4:4" x14ac:dyDescent="0.3">
      <c r="D1430"/>
    </row>
    <row r="1431" spans="4:4" x14ac:dyDescent="0.3">
      <c r="D1431"/>
    </row>
    <row r="1432" spans="4:4" x14ac:dyDescent="0.3">
      <c r="D1432"/>
    </row>
    <row r="1433" spans="4:4" x14ac:dyDescent="0.3">
      <c r="D1433"/>
    </row>
    <row r="1434" spans="4:4" x14ac:dyDescent="0.3">
      <c r="D1434"/>
    </row>
    <row r="1435" spans="4:4" x14ac:dyDescent="0.3">
      <c r="D1435"/>
    </row>
    <row r="1436" spans="4:4" x14ac:dyDescent="0.3">
      <c r="D1436"/>
    </row>
    <row r="1437" spans="4:4" x14ac:dyDescent="0.3">
      <c r="D1437"/>
    </row>
    <row r="1438" spans="4:4" x14ac:dyDescent="0.3">
      <c r="D1438"/>
    </row>
    <row r="1439" spans="4:4" x14ac:dyDescent="0.3">
      <c r="D1439"/>
    </row>
    <row r="1440" spans="4:4" x14ac:dyDescent="0.3">
      <c r="D1440"/>
    </row>
    <row r="1441" spans="4:4" x14ac:dyDescent="0.3">
      <c r="D1441"/>
    </row>
    <row r="1442" spans="4:4" x14ac:dyDescent="0.3">
      <c r="D1442"/>
    </row>
    <row r="1443" spans="4:4" x14ac:dyDescent="0.3">
      <c r="D1443"/>
    </row>
    <row r="1444" spans="4:4" x14ac:dyDescent="0.3">
      <c r="D1444"/>
    </row>
    <row r="1445" spans="4:4" x14ac:dyDescent="0.3">
      <c r="D1445"/>
    </row>
    <row r="1446" spans="4:4" x14ac:dyDescent="0.3">
      <c r="D1446"/>
    </row>
    <row r="1447" spans="4:4" x14ac:dyDescent="0.3">
      <c r="D1447"/>
    </row>
    <row r="1448" spans="4:4" x14ac:dyDescent="0.3">
      <c r="D1448"/>
    </row>
    <row r="1449" spans="4:4" x14ac:dyDescent="0.3">
      <c r="D1449"/>
    </row>
    <row r="1450" spans="4:4" x14ac:dyDescent="0.3">
      <c r="D1450"/>
    </row>
    <row r="1451" spans="4:4" x14ac:dyDescent="0.3">
      <c r="D1451"/>
    </row>
    <row r="1452" spans="4:4" x14ac:dyDescent="0.3">
      <c r="D1452"/>
    </row>
    <row r="1453" spans="4:4" x14ac:dyDescent="0.3">
      <c r="D1453"/>
    </row>
    <row r="1454" spans="4:4" x14ac:dyDescent="0.3">
      <c r="D1454"/>
    </row>
    <row r="1455" spans="4:4" x14ac:dyDescent="0.3">
      <c r="D1455"/>
    </row>
    <row r="1456" spans="4:4" x14ac:dyDescent="0.3">
      <c r="D1456"/>
    </row>
    <row r="1457" spans="4:4" x14ac:dyDescent="0.3">
      <c r="D1457"/>
    </row>
    <row r="1458" spans="4:4" x14ac:dyDescent="0.3">
      <c r="D1458"/>
    </row>
    <row r="1459" spans="4:4" x14ac:dyDescent="0.3">
      <c r="D1459"/>
    </row>
    <row r="1460" spans="4:4" x14ac:dyDescent="0.3">
      <c r="D1460"/>
    </row>
    <row r="1461" spans="4:4" x14ac:dyDescent="0.3">
      <c r="D1461"/>
    </row>
    <row r="1462" spans="4:4" x14ac:dyDescent="0.3">
      <c r="D1462"/>
    </row>
    <row r="1463" spans="4:4" x14ac:dyDescent="0.3">
      <c r="D1463"/>
    </row>
    <row r="1464" spans="4:4" x14ac:dyDescent="0.3">
      <c r="D1464"/>
    </row>
    <row r="1465" spans="4:4" x14ac:dyDescent="0.3">
      <c r="D1465"/>
    </row>
    <row r="1466" spans="4:4" x14ac:dyDescent="0.3">
      <c r="D1466"/>
    </row>
    <row r="1467" spans="4:4" x14ac:dyDescent="0.3">
      <c r="D1467"/>
    </row>
    <row r="1468" spans="4:4" x14ac:dyDescent="0.3">
      <c r="D1468"/>
    </row>
    <row r="1469" spans="4:4" x14ac:dyDescent="0.3">
      <c r="D1469"/>
    </row>
    <row r="1470" spans="4:4" x14ac:dyDescent="0.3">
      <c r="D1470"/>
    </row>
    <row r="1471" spans="4:4" x14ac:dyDescent="0.3">
      <c r="D1471"/>
    </row>
    <row r="1472" spans="4:4" x14ac:dyDescent="0.3">
      <c r="D1472"/>
    </row>
    <row r="1473" spans="4:4" x14ac:dyDescent="0.3">
      <c r="D1473"/>
    </row>
    <row r="1474" spans="4:4" x14ac:dyDescent="0.3">
      <c r="D1474"/>
    </row>
    <row r="1475" spans="4:4" x14ac:dyDescent="0.3">
      <c r="D1475"/>
    </row>
    <row r="1476" spans="4:4" x14ac:dyDescent="0.3">
      <c r="D1476"/>
    </row>
    <row r="1477" spans="4:4" x14ac:dyDescent="0.3">
      <c r="D1477"/>
    </row>
    <row r="1478" spans="4:4" x14ac:dyDescent="0.3">
      <c r="D1478"/>
    </row>
    <row r="1479" spans="4:4" x14ac:dyDescent="0.3">
      <c r="D1479"/>
    </row>
    <row r="1480" spans="4:4" x14ac:dyDescent="0.3">
      <c r="D1480"/>
    </row>
    <row r="1481" spans="4:4" x14ac:dyDescent="0.3">
      <c r="D1481"/>
    </row>
    <row r="1482" spans="4:4" x14ac:dyDescent="0.3">
      <c r="D1482"/>
    </row>
    <row r="1483" spans="4:4" x14ac:dyDescent="0.3">
      <c r="D1483"/>
    </row>
    <row r="1484" spans="4:4" x14ac:dyDescent="0.3">
      <c r="D1484"/>
    </row>
    <row r="1485" spans="4:4" x14ac:dyDescent="0.3">
      <c r="D1485"/>
    </row>
    <row r="1486" spans="4:4" x14ac:dyDescent="0.3">
      <c r="D1486"/>
    </row>
    <row r="1487" spans="4:4" x14ac:dyDescent="0.3">
      <c r="D1487"/>
    </row>
    <row r="1488" spans="4:4" x14ac:dyDescent="0.3">
      <c r="D1488"/>
    </row>
    <row r="1489" spans="4:4" x14ac:dyDescent="0.3">
      <c r="D1489"/>
    </row>
    <row r="1490" spans="4:4" x14ac:dyDescent="0.3">
      <c r="D1490"/>
    </row>
    <row r="1491" spans="4:4" x14ac:dyDescent="0.3">
      <c r="D1491"/>
    </row>
    <row r="1492" spans="4:4" x14ac:dyDescent="0.3">
      <c r="D1492"/>
    </row>
    <row r="1493" spans="4:4" x14ac:dyDescent="0.3">
      <c r="D1493"/>
    </row>
    <row r="1494" spans="4:4" x14ac:dyDescent="0.3">
      <c r="D1494"/>
    </row>
    <row r="1495" spans="4:4" x14ac:dyDescent="0.3">
      <c r="D1495"/>
    </row>
    <row r="1496" spans="4:4" x14ac:dyDescent="0.3">
      <c r="D1496"/>
    </row>
    <row r="1497" spans="4:4" x14ac:dyDescent="0.3">
      <c r="D1497"/>
    </row>
    <row r="1498" spans="4:4" x14ac:dyDescent="0.3">
      <c r="D1498"/>
    </row>
    <row r="1499" spans="4:4" x14ac:dyDescent="0.3">
      <c r="D1499"/>
    </row>
    <row r="1500" spans="4:4" x14ac:dyDescent="0.3">
      <c r="D1500"/>
    </row>
    <row r="1501" spans="4:4" x14ac:dyDescent="0.3">
      <c r="D1501"/>
    </row>
    <row r="1502" spans="4:4" x14ac:dyDescent="0.3">
      <c r="D1502"/>
    </row>
    <row r="1503" spans="4:4" x14ac:dyDescent="0.3">
      <c r="D1503"/>
    </row>
    <row r="1504" spans="4:4" x14ac:dyDescent="0.3">
      <c r="D1504"/>
    </row>
    <row r="1505" spans="4:4" x14ac:dyDescent="0.3">
      <c r="D1505"/>
    </row>
    <row r="1506" spans="4:4" x14ac:dyDescent="0.3">
      <c r="D1506"/>
    </row>
    <row r="1507" spans="4:4" x14ac:dyDescent="0.3">
      <c r="D1507"/>
    </row>
    <row r="1508" spans="4:4" x14ac:dyDescent="0.3">
      <c r="D1508"/>
    </row>
    <row r="1509" spans="4:4" x14ac:dyDescent="0.3">
      <c r="D1509"/>
    </row>
    <row r="1510" spans="4:4" x14ac:dyDescent="0.3">
      <c r="D1510"/>
    </row>
    <row r="1511" spans="4:4" x14ac:dyDescent="0.3">
      <c r="D1511"/>
    </row>
    <row r="1512" spans="4:4" x14ac:dyDescent="0.3">
      <c r="D1512"/>
    </row>
    <row r="1513" spans="4:4" x14ac:dyDescent="0.3">
      <c r="D1513"/>
    </row>
    <row r="1514" spans="4:4" x14ac:dyDescent="0.3">
      <c r="D1514"/>
    </row>
    <row r="1515" spans="4:4" x14ac:dyDescent="0.3">
      <c r="D1515"/>
    </row>
    <row r="1516" spans="4:4" x14ac:dyDescent="0.3">
      <c r="D1516"/>
    </row>
    <row r="1517" spans="4:4" x14ac:dyDescent="0.3">
      <c r="D1517"/>
    </row>
    <row r="1518" spans="4:4" x14ac:dyDescent="0.3">
      <c r="D1518"/>
    </row>
    <row r="1519" spans="4:4" x14ac:dyDescent="0.3">
      <c r="D1519"/>
    </row>
    <row r="1520" spans="4:4" x14ac:dyDescent="0.3">
      <c r="D1520"/>
    </row>
    <row r="1521" spans="4:4" x14ac:dyDescent="0.3">
      <c r="D1521"/>
    </row>
    <row r="1522" spans="4:4" x14ac:dyDescent="0.3">
      <c r="D1522"/>
    </row>
    <row r="1523" spans="4:4" x14ac:dyDescent="0.3">
      <c r="D1523"/>
    </row>
    <row r="1524" spans="4:4" x14ac:dyDescent="0.3">
      <c r="D1524"/>
    </row>
    <row r="1525" spans="4:4" x14ac:dyDescent="0.3">
      <c r="D1525"/>
    </row>
    <row r="1526" spans="4:4" x14ac:dyDescent="0.3">
      <c r="D1526"/>
    </row>
    <row r="1527" spans="4:4" x14ac:dyDescent="0.3">
      <c r="D1527"/>
    </row>
    <row r="1528" spans="4:4" x14ac:dyDescent="0.3">
      <c r="D1528"/>
    </row>
    <row r="1529" spans="4:4" x14ac:dyDescent="0.3">
      <c r="D1529"/>
    </row>
    <row r="1530" spans="4:4" x14ac:dyDescent="0.3">
      <c r="D1530"/>
    </row>
    <row r="1531" spans="4:4" x14ac:dyDescent="0.3">
      <c r="D1531"/>
    </row>
    <row r="1532" spans="4:4" x14ac:dyDescent="0.3">
      <c r="D1532"/>
    </row>
    <row r="1533" spans="4:4" x14ac:dyDescent="0.3">
      <c r="D1533"/>
    </row>
    <row r="1534" spans="4:4" x14ac:dyDescent="0.3">
      <c r="D1534"/>
    </row>
    <row r="1535" spans="4:4" x14ac:dyDescent="0.3">
      <c r="D1535"/>
    </row>
    <row r="1536" spans="4:4" x14ac:dyDescent="0.3">
      <c r="D1536"/>
    </row>
    <row r="1537" spans="4:4" x14ac:dyDescent="0.3">
      <c r="D1537"/>
    </row>
    <row r="1538" spans="4:4" x14ac:dyDescent="0.3">
      <c r="D1538"/>
    </row>
    <row r="1539" spans="4:4" x14ac:dyDescent="0.3">
      <c r="D1539"/>
    </row>
    <row r="1540" spans="4:4" x14ac:dyDescent="0.3">
      <c r="D1540"/>
    </row>
    <row r="1541" spans="4:4" x14ac:dyDescent="0.3">
      <c r="D1541"/>
    </row>
    <row r="1542" spans="4:4" x14ac:dyDescent="0.3">
      <c r="D1542"/>
    </row>
    <row r="1543" spans="4:4" x14ac:dyDescent="0.3">
      <c r="D1543"/>
    </row>
    <row r="1544" spans="4:4" x14ac:dyDescent="0.3">
      <c r="D1544"/>
    </row>
    <row r="1545" spans="4:4" x14ac:dyDescent="0.3">
      <c r="D1545"/>
    </row>
    <row r="1546" spans="4:4" x14ac:dyDescent="0.3">
      <c r="D1546"/>
    </row>
    <row r="1547" spans="4:4" x14ac:dyDescent="0.3">
      <c r="D1547"/>
    </row>
    <row r="1548" spans="4:4" x14ac:dyDescent="0.3">
      <c r="D1548"/>
    </row>
    <row r="1549" spans="4:4" x14ac:dyDescent="0.3">
      <c r="D1549"/>
    </row>
    <row r="1550" spans="4:4" x14ac:dyDescent="0.3">
      <c r="D1550"/>
    </row>
    <row r="1551" spans="4:4" x14ac:dyDescent="0.3">
      <c r="D1551"/>
    </row>
    <row r="1552" spans="4:4" x14ac:dyDescent="0.3">
      <c r="D1552"/>
    </row>
    <row r="1553" spans="4:4" x14ac:dyDescent="0.3">
      <c r="D1553"/>
    </row>
    <row r="1554" spans="4:4" x14ac:dyDescent="0.3">
      <c r="D1554"/>
    </row>
    <row r="1555" spans="4:4" x14ac:dyDescent="0.3">
      <c r="D1555"/>
    </row>
    <row r="1556" spans="4:4" x14ac:dyDescent="0.3">
      <c r="D1556"/>
    </row>
    <row r="1557" spans="4:4" x14ac:dyDescent="0.3">
      <c r="D1557"/>
    </row>
    <row r="1558" spans="4:4" x14ac:dyDescent="0.3">
      <c r="D1558"/>
    </row>
    <row r="1559" spans="4:4" x14ac:dyDescent="0.3">
      <c r="D1559"/>
    </row>
    <row r="1560" spans="4:4" x14ac:dyDescent="0.3">
      <c r="D1560"/>
    </row>
    <row r="1561" spans="4:4" x14ac:dyDescent="0.3">
      <c r="D1561"/>
    </row>
    <row r="1562" spans="4:4" x14ac:dyDescent="0.3">
      <c r="D1562"/>
    </row>
    <row r="1563" spans="4:4" x14ac:dyDescent="0.3">
      <c r="D1563"/>
    </row>
    <row r="1564" spans="4:4" x14ac:dyDescent="0.3">
      <c r="D1564"/>
    </row>
    <row r="1565" spans="4:4" x14ac:dyDescent="0.3">
      <c r="D1565"/>
    </row>
    <row r="1566" spans="4:4" x14ac:dyDescent="0.3">
      <c r="D1566"/>
    </row>
    <row r="1567" spans="4:4" x14ac:dyDescent="0.3">
      <c r="D1567"/>
    </row>
    <row r="1568" spans="4:4" x14ac:dyDescent="0.3">
      <c r="D1568"/>
    </row>
    <row r="1569" spans="4:4" x14ac:dyDescent="0.3">
      <c r="D1569"/>
    </row>
    <row r="1570" spans="4:4" x14ac:dyDescent="0.3">
      <c r="D1570"/>
    </row>
    <row r="1571" spans="4:4" x14ac:dyDescent="0.3">
      <c r="D1571"/>
    </row>
    <row r="1572" spans="4:4" x14ac:dyDescent="0.3">
      <c r="D1572"/>
    </row>
    <row r="1573" spans="4:4" x14ac:dyDescent="0.3">
      <c r="D1573"/>
    </row>
    <row r="1574" spans="4:4" x14ac:dyDescent="0.3">
      <c r="D1574"/>
    </row>
    <row r="1575" spans="4:4" x14ac:dyDescent="0.3">
      <c r="D1575"/>
    </row>
    <row r="1576" spans="4:4" x14ac:dyDescent="0.3">
      <c r="D1576"/>
    </row>
    <row r="1577" spans="4:4" x14ac:dyDescent="0.3">
      <c r="D1577"/>
    </row>
    <row r="1578" spans="4:4" x14ac:dyDescent="0.3">
      <c r="D1578"/>
    </row>
    <row r="1579" spans="4:4" x14ac:dyDescent="0.3">
      <c r="D1579"/>
    </row>
    <row r="1580" spans="4:4" x14ac:dyDescent="0.3">
      <c r="D1580"/>
    </row>
    <row r="1581" spans="4:4" x14ac:dyDescent="0.3">
      <c r="D1581"/>
    </row>
    <row r="1582" spans="4:4" x14ac:dyDescent="0.3">
      <c r="D1582"/>
    </row>
    <row r="1583" spans="4:4" x14ac:dyDescent="0.3">
      <c r="D1583"/>
    </row>
    <row r="1584" spans="4:4" x14ac:dyDescent="0.3">
      <c r="D1584"/>
    </row>
    <row r="1585" spans="4:4" x14ac:dyDescent="0.3">
      <c r="D1585"/>
    </row>
    <row r="1586" spans="4:4" x14ac:dyDescent="0.3">
      <c r="D1586"/>
    </row>
    <row r="1587" spans="4:4" x14ac:dyDescent="0.3">
      <c r="D1587"/>
    </row>
    <row r="1588" spans="4:4" x14ac:dyDescent="0.3">
      <c r="D1588"/>
    </row>
    <row r="1589" spans="4:4" x14ac:dyDescent="0.3">
      <c r="D1589"/>
    </row>
    <row r="1590" spans="4:4" x14ac:dyDescent="0.3">
      <c r="D1590"/>
    </row>
    <row r="1591" spans="4:4" x14ac:dyDescent="0.3">
      <c r="D1591"/>
    </row>
    <row r="1592" spans="4:4" x14ac:dyDescent="0.3">
      <c r="D1592"/>
    </row>
    <row r="1593" spans="4:4" x14ac:dyDescent="0.3">
      <c r="D1593"/>
    </row>
    <row r="1594" spans="4:4" x14ac:dyDescent="0.3">
      <c r="D1594"/>
    </row>
    <row r="1595" spans="4:4" x14ac:dyDescent="0.3">
      <c r="D1595"/>
    </row>
    <row r="1596" spans="4:4" x14ac:dyDescent="0.3">
      <c r="D1596"/>
    </row>
    <row r="1597" spans="4:4" x14ac:dyDescent="0.3">
      <c r="D1597"/>
    </row>
    <row r="1598" spans="4:4" x14ac:dyDescent="0.3">
      <c r="D1598"/>
    </row>
    <row r="1599" spans="4:4" x14ac:dyDescent="0.3">
      <c r="D1599"/>
    </row>
    <row r="1600" spans="4:4" x14ac:dyDescent="0.3">
      <c r="D1600"/>
    </row>
    <row r="1601" spans="4:4" x14ac:dyDescent="0.3">
      <c r="D1601"/>
    </row>
    <row r="1602" spans="4:4" x14ac:dyDescent="0.3">
      <c r="D1602"/>
    </row>
    <row r="1603" spans="4:4" x14ac:dyDescent="0.3">
      <c r="D1603"/>
    </row>
    <row r="1604" spans="4:4" x14ac:dyDescent="0.3">
      <c r="D1604"/>
    </row>
    <row r="1605" spans="4:4" x14ac:dyDescent="0.3">
      <c r="D1605"/>
    </row>
    <row r="1606" spans="4:4" x14ac:dyDescent="0.3">
      <c r="D1606"/>
    </row>
    <row r="1607" spans="4:4" x14ac:dyDescent="0.3">
      <c r="D1607"/>
    </row>
    <row r="1608" spans="4:4" x14ac:dyDescent="0.3">
      <c r="D1608"/>
    </row>
    <row r="1609" spans="4:4" x14ac:dyDescent="0.3">
      <c r="D1609"/>
    </row>
    <row r="1610" spans="4:4" x14ac:dyDescent="0.3">
      <c r="D1610"/>
    </row>
    <row r="1611" spans="4:4" x14ac:dyDescent="0.3">
      <c r="D1611"/>
    </row>
    <row r="1612" spans="4:4" x14ac:dyDescent="0.3">
      <c r="D1612"/>
    </row>
    <row r="1613" spans="4:4" x14ac:dyDescent="0.3">
      <c r="D1613"/>
    </row>
    <row r="1614" spans="4:4" x14ac:dyDescent="0.3">
      <c r="D1614"/>
    </row>
    <row r="1615" spans="4:4" x14ac:dyDescent="0.3">
      <c r="D1615"/>
    </row>
    <row r="1616" spans="4:4" x14ac:dyDescent="0.3">
      <c r="D1616"/>
    </row>
    <row r="1617" spans="4:4" x14ac:dyDescent="0.3">
      <c r="D1617"/>
    </row>
    <row r="1618" spans="4:4" x14ac:dyDescent="0.3">
      <c r="D1618"/>
    </row>
    <row r="1619" spans="4:4" x14ac:dyDescent="0.3">
      <c r="D1619"/>
    </row>
    <row r="1620" spans="4:4" x14ac:dyDescent="0.3">
      <c r="D1620"/>
    </row>
    <row r="1621" spans="4:4" x14ac:dyDescent="0.3">
      <c r="D1621"/>
    </row>
    <row r="1622" spans="4:4" x14ac:dyDescent="0.3">
      <c r="D1622"/>
    </row>
    <row r="1623" spans="4:4" x14ac:dyDescent="0.3">
      <c r="D1623"/>
    </row>
    <row r="1624" spans="4:4" x14ac:dyDescent="0.3">
      <c r="D1624"/>
    </row>
    <row r="1625" spans="4:4" x14ac:dyDescent="0.3">
      <c r="D1625"/>
    </row>
    <row r="1626" spans="4:4" x14ac:dyDescent="0.3">
      <c r="D1626"/>
    </row>
    <row r="1627" spans="4:4" x14ac:dyDescent="0.3">
      <c r="D1627"/>
    </row>
    <row r="1628" spans="4:4" x14ac:dyDescent="0.3">
      <c r="D1628"/>
    </row>
    <row r="1629" spans="4:4" x14ac:dyDescent="0.3">
      <c r="D1629"/>
    </row>
    <row r="1630" spans="4:4" x14ac:dyDescent="0.3">
      <c r="D1630"/>
    </row>
    <row r="1631" spans="4:4" x14ac:dyDescent="0.3">
      <c r="D1631"/>
    </row>
    <row r="1632" spans="4:4" x14ac:dyDescent="0.3">
      <c r="D1632"/>
    </row>
    <row r="1633" spans="4:4" x14ac:dyDescent="0.3">
      <c r="D1633"/>
    </row>
    <row r="1634" spans="4:4" x14ac:dyDescent="0.3">
      <c r="D1634"/>
    </row>
    <row r="1635" spans="4:4" x14ac:dyDescent="0.3">
      <c r="D1635"/>
    </row>
    <row r="1636" spans="4:4" x14ac:dyDescent="0.3">
      <c r="D1636"/>
    </row>
    <row r="1637" spans="4:4" x14ac:dyDescent="0.3">
      <c r="D1637"/>
    </row>
    <row r="1638" spans="4:4" x14ac:dyDescent="0.3">
      <c r="D1638"/>
    </row>
    <row r="1639" spans="4:4" x14ac:dyDescent="0.3">
      <c r="D1639"/>
    </row>
    <row r="1640" spans="4:4" x14ac:dyDescent="0.3">
      <c r="D1640"/>
    </row>
    <row r="1641" spans="4:4" x14ac:dyDescent="0.3">
      <c r="D1641"/>
    </row>
    <row r="1642" spans="4:4" x14ac:dyDescent="0.3">
      <c r="D1642"/>
    </row>
    <row r="1643" spans="4:4" x14ac:dyDescent="0.3">
      <c r="D1643"/>
    </row>
    <row r="1644" spans="4:4" x14ac:dyDescent="0.3">
      <c r="D1644"/>
    </row>
    <row r="1645" spans="4:4" x14ac:dyDescent="0.3">
      <c r="D1645"/>
    </row>
    <row r="1646" spans="4:4" x14ac:dyDescent="0.3">
      <c r="D1646"/>
    </row>
    <row r="1647" spans="4:4" x14ac:dyDescent="0.3">
      <c r="D1647"/>
    </row>
    <row r="1648" spans="4:4" x14ac:dyDescent="0.3">
      <c r="D1648"/>
    </row>
    <row r="1649" spans="4:4" x14ac:dyDescent="0.3">
      <c r="D1649"/>
    </row>
    <row r="1650" spans="4:4" x14ac:dyDescent="0.3">
      <c r="D1650"/>
    </row>
    <row r="1651" spans="4:4" x14ac:dyDescent="0.3">
      <c r="D1651"/>
    </row>
    <row r="1652" spans="4:4" x14ac:dyDescent="0.3">
      <c r="D1652"/>
    </row>
    <row r="1653" spans="4:4" x14ac:dyDescent="0.3">
      <c r="D1653"/>
    </row>
    <row r="1654" spans="4:4" x14ac:dyDescent="0.3">
      <c r="D1654"/>
    </row>
    <row r="1655" spans="4:4" x14ac:dyDescent="0.3">
      <c r="D1655"/>
    </row>
    <row r="1656" spans="4:4" x14ac:dyDescent="0.3">
      <c r="D1656"/>
    </row>
    <row r="1657" spans="4:4" x14ac:dyDescent="0.3">
      <c r="D1657"/>
    </row>
    <row r="1658" spans="4:4" x14ac:dyDescent="0.3">
      <c r="D1658"/>
    </row>
    <row r="1659" spans="4:4" x14ac:dyDescent="0.3">
      <c r="D1659"/>
    </row>
    <row r="1660" spans="4:4" x14ac:dyDescent="0.3">
      <c r="D1660"/>
    </row>
    <row r="1661" spans="4:4" x14ac:dyDescent="0.3">
      <c r="D1661"/>
    </row>
    <row r="1662" spans="4:4" x14ac:dyDescent="0.3">
      <c r="D1662"/>
    </row>
    <row r="1663" spans="4:4" x14ac:dyDescent="0.3">
      <c r="D1663"/>
    </row>
    <row r="1664" spans="4:4" x14ac:dyDescent="0.3">
      <c r="D1664"/>
    </row>
    <row r="1665" spans="4:4" x14ac:dyDescent="0.3">
      <c r="D1665"/>
    </row>
    <row r="1666" spans="4:4" x14ac:dyDescent="0.3">
      <c r="D1666"/>
    </row>
    <row r="1667" spans="4:4" x14ac:dyDescent="0.3">
      <c r="D1667"/>
    </row>
    <row r="1668" spans="4:4" x14ac:dyDescent="0.3">
      <c r="D1668"/>
    </row>
    <row r="1669" spans="4:4" x14ac:dyDescent="0.3">
      <c r="D1669"/>
    </row>
    <row r="1670" spans="4:4" x14ac:dyDescent="0.3">
      <c r="D1670"/>
    </row>
    <row r="1671" spans="4:4" x14ac:dyDescent="0.3">
      <c r="D1671"/>
    </row>
    <row r="1672" spans="4:4" x14ac:dyDescent="0.3">
      <c r="D1672"/>
    </row>
    <row r="1673" spans="4:4" x14ac:dyDescent="0.3">
      <c r="D1673"/>
    </row>
    <row r="1674" spans="4:4" x14ac:dyDescent="0.3">
      <c r="D1674"/>
    </row>
    <row r="1675" spans="4:4" x14ac:dyDescent="0.3">
      <c r="D1675"/>
    </row>
    <row r="1676" spans="4:4" x14ac:dyDescent="0.3">
      <c r="D1676"/>
    </row>
    <row r="1677" spans="4:4" x14ac:dyDescent="0.3">
      <c r="D1677"/>
    </row>
    <row r="1678" spans="4:4" x14ac:dyDescent="0.3">
      <c r="D1678"/>
    </row>
    <row r="1679" spans="4:4" x14ac:dyDescent="0.3">
      <c r="D1679"/>
    </row>
    <row r="1680" spans="4:4" x14ac:dyDescent="0.3">
      <c r="D1680"/>
    </row>
    <row r="1681" spans="4:4" x14ac:dyDescent="0.3">
      <c r="D1681"/>
    </row>
    <row r="1682" spans="4:4" x14ac:dyDescent="0.3">
      <c r="D1682"/>
    </row>
    <row r="1683" spans="4:4" x14ac:dyDescent="0.3">
      <c r="D1683"/>
    </row>
    <row r="1684" spans="4:4" x14ac:dyDescent="0.3">
      <c r="D1684"/>
    </row>
    <row r="1685" spans="4:4" x14ac:dyDescent="0.3">
      <c r="D1685"/>
    </row>
    <row r="1686" spans="4:4" x14ac:dyDescent="0.3">
      <c r="D1686"/>
    </row>
    <row r="1687" spans="4:4" x14ac:dyDescent="0.3">
      <c r="D1687"/>
    </row>
    <row r="1688" spans="4:4" x14ac:dyDescent="0.3">
      <c r="D1688"/>
    </row>
    <row r="1689" spans="4:4" x14ac:dyDescent="0.3">
      <c r="D1689"/>
    </row>
    <row r="1690" spans="4:4" x14ac:dyDescent="0.3">
      <c r="D1690"/>
    </row>
    <row r="1691" spans="4:4" x14ac:dyDescent="0.3">
      <c r="D1691"/>
    </row>
    <row r="1692" spans="4:4" x14ac:dyDescent="0.3">
      <c r="D1692"/>
    </row>
    <row r="1693" spans="4:4" x14ac:dyDescent="0.3">
      <c r="D1693"/>
    </row>
    <row r="1694" spans="4:4" x14ac:dyDescent="0.3">
      <c r="D1694"/>
    </row>
    <row r="1695" spans="4:4" x14ac:dyDescent="0.3">
      <c r="D1695"/>
    </row>
    <row r="1696" spans="4:4" x14ac:dyDescent="0.3">
      <c r="D1696"/>
    </row>
    <row r="1697" spans="4:4" x14ac:dyDescent="0.3">
      <c r="D1697"/>
    </row>
    <row r="1698" spans="4:4" x14ac:dyDescent="0.3">
      <c r="D1698"/>
    </row>
    <row r="1699" spans="4:4" x14ac:dyDescent="0.3">
      <c r="D1699"/>
    </row>
    <row r="1700" spans="4:4" x14ac:dyDescent="0.3">
      <c r="D1700"/>
    </row>
    <row r="1701" spans="4:4" x14ac:dyDescent="0.3">
      <c r="D1701"/>
    </row>
    <row r="1702" spans="4:4" x14ac:dyDescent="0.3">
      <c r="D1702"/>
    </row>
    <row r="1703" spans="4:4" x14ac:dyDescent="0.3">
      <c r="D1703"/>
    </row>
    <row r="1704" spans="4:4" x14ac:dyDescent="0.3">
      <c r="D1704"/>
    </row>
    <row r="1705" spans="4:4" x14ac:dyDescent="0.3">
      <c r="D1705"/>
    </row>
    <row r="1706" spans="4:4" x14ac:dyDescent="0.3">
      <c r="D1706"/>
    </row>
    <row r="1707" spans="4:4" x14ac:dyDescent="0.3">
      <c r="D1707"/>
    </row>
    <row r="1708" spans="4:4" x14ac:dyDescent="0.3">
      <c r="D1708"/>
    </row>
    <row r="1709" spans="4:4" x14ac:dyDescent="0.3">
      <c r="D1709"/>
    </row>
    <row r="1710" spans="4:4" x14ac:dyDescent="0.3">
      <c r="D1710"/>
    </row>
    <row r="1711" spans="4:4" x14ac:dyDescent="0.3">
      <c r="D1711"/>
    </row>
    <row r="1712" spans="4:4" x14ac:dyDescent="0.3">
      <c r="D1712"/>
    </row>
    <row r="1713" spans="4:4" x14ac:dyDescent="0.3">
      <c r="D1713"/>
    </row>
    <row r="1714" spans="4:4" x14ac:dyDescent="0.3">
      <c r="D1714"/>
    </row>
    <row r="1715" spans="4:4" x14ac:dyDescent="0.3">
      <c r="D1715"/>
    </row>
    <row r="1716" spans="4:4" x14ac:dyDescent="0.3">
      <c r="D1716"/>
    </row>
    <row r="1717" spans="4:4" x14ac:dyDescent="0.3">
      <c r="D1717"/>
    </row>
    <row r="1718" spans="4:4" x14ac:dyDescent="0.3">
      <c r="D1718"/>
    </row>
    <row r="1719" spans="4:4" x14ac:dyDescent="0.3">
      <c r="D1719"/>
    </row>
    <row r="1720" spans="4:4" x14ac:dyDescent="0.3">
      <c r="D1720"/>
    </row>
    <row r="1721" spans="4:4" x14ac:dyDescent="0.3">
      <c r="D1721"/>
    </row>
    <row r="1722" spans="4:4" x14ac:dyDescent="0.3">
      <c r="D1722"/>
    </row>
    <row r="1723" spans="4:4" x14ac:dyDescent="0.3">
      <c r="D1723"/>
    </row>
    <row r="1724" spans="4:4" x14ac:dyDescent="0.3">
      <c r="D1724"/>
    </row>
    <row r="1725" spans="4:4" x14ac:dyDescent="0.3">
      <c r="D1725"/>
    </row>
    <row r="1726" spans="4:4" x14ac:dyDescent="0.3">
      <c r="D1726"/>
    </row>
    <row r="1727" spans="4:4" x14ac:dyDescent="0.3">
      <c r="D1727"/>
    </row>
    <row r="1728" spans="4:4" x14ac:dyDescent="0.3">
      <c r="D1728"/>
    </row>
    <row r="1729" spans="4:4" x14ac:dyDescent="0.3">
      <c r="D1729"/>
    </row>
    <row r="1730" spans="4:4" x14ac:dyDescent="0.3">
      <c r="D1730"/>
    </row>
    <row r="1731" spans="4:4" x14ac:dyDescent="0.3">
      <c r="D1731"/>
    </row>
    <row r="1732" spans="4:4" x14ac:dyDescent="0.3">
      <c r="D1732"/>
    </row>
    <row r="1733" spans="4:4" x14ac:dyDescent="0.3">
      <c r="D1733"/>
    </row>
    <row r="1734" spans="4:4" x14ac:dyDescent="0.3">
      <c r="D1734"/>
    </row>
    <row r="1735" spans="4:4" x14ac:dyDescent="0.3">
      <c r="D1735"/>
    </row>
    <row r="1736" spans="4:4" x14ac:dyDescent="0.3">
      <c r="D1736"/>
    </row>
    <row r="1737" spans="4:4" x14ac:dyDescent="0.3">
      <c r="D1737"/>
    </row>
    <row r="1738" spans="4:4" x14ac:dyDescent="0.3">
      <c r="D1738"/>
    </row>
    <row r="1739" spans="4:4" x14ac:dyDescent="0.3">
      <c r="D1739"/>
    </row>
    <row r="1740" spans="4:4" x14ac:dyDescent="0.3">
      <c r="D1740"/>
    </row>
    <row r="1741" spans="4:4" x14ac:dyDescent="0.3">
      <c r="D1741"/>
    </row>
    <row r="1742" spans="4:4" x14ac:dyDescent="0.3">
      <c r="D1742"/>
    </row>
    <row r="1743" spans="4:4" x14ac:dyDescent="0.3">
      <c r="D1743"/>
    </row>
    <row r="1744" spans="4:4" x14ac:dyDescent="0.3">
      <c r="D1744"/>
    </row>
    <row r="1745" spans="4:4" x14ac:dyDescent="0.3">
      <c r="D1745"/>
    </row>
    <row r="1746" spans="4:4" x14ac:dyDescent="0.3">
      <c r="D1746"/>
    </row>
    <row r="1747" spans="4:4" x14ac:dyDescent="0.3">
      <c r="D1747"/>
    </row>
    <row r="1748" spans="4:4" x14ac:dyDescent="0.3">
      <c r="D1748"/>
    </row>
    <row r="1749" spans="4:4" x14ac:dyDescent="0.3">
      <c r="D1749"/>
    </row>
    <row r="1750" spans="4:4" x14ac:dyDescent="0.3">
      <c r="D1750"/>
    </row>
    <row r="1751" spans="4:4" x14ac:dyDescent="0.3">
      <c r="D1751"/>
    </row>
    <row r="1752" spans="4:4" x14ac:dyDescent="0.3">
      <c r="D1752"/>
    </row>
    <row r="1753" spans="4:4" x14ac:dyDescent="0.3">
      <c r="D1753"/>
    </row>
    <row r="1754" spans="4:4" x14ac:dyDescent="0.3">
      <c r="D1754"/>
    </row>
    <row r="1755" spans="4:4" x14ac:dyDescent="0.3">
      <c r="D1755"/>
    </row>
    <row r="1756" spans="4:4" x14ac:dyDescent="0.3">
      <c r="D1756"/>
    </row>
    <row r="1757" spans="4:4" x14ac:dyDescent="0.3">
      <c r="D1757"/>
    </row>
    <row r="1758" spans="4:4" x14ac:dyDescent="0.3">
      <c r="D1758"/>
    </row>
    <row r="1759" spans="4:4" x14ac:dyDescent="0.3">
      <c r="D1759"/>
    </row>
    <row r="1760" spans="4:4" x14ac:dyDescent="0.3">
      <c r="D1760"/>
    </row>
    <row r="1761" spans="4:4" x14ac:dyDescent="0.3">
      <c r="D1761"/>
    </row>
    <row r="1762" spans="4:4" x14ac:dyDescent="0.3">
      <c r="D1762"/>
    </row>
    <row r="1763" spans="4:4" x14ac:dyDescent="0.3">
      <c r="D1763"/>
    </row>
    <row r="1764" spans="4:4" x14ac:dyDescent="0.3">
      <c r="D1764"/>
    </row>
    <row r="1765" spans="4:4" x14ac:dyDescent="0.3">
      <c r="D1765"/>
    </row>
    <row r="1766" spans="4:4" x14ac:dyDescent="0.3">
      <c r="D1766"/>
    </row>
    <row r="1767" spans="4:4" x14ac:dyDescent="0.3">
      <c r="D1767"/>
    </row>
    <row r="1768" spans="4:4" x14ac:dyDescent="0.3">
      <c r="D1768"/>
    </row>
    <row r="1769" spans="4:4" x14ac:dyDescent="0.3">
      <c r="D1769"/>
    </row>
    <row r="1770" spans="4:4" x14ac:dyDescent="0.3">
      <c r="D1770"/>
    </row>
    <row r="1771" spans="4:4" x14ac:dyDescent="0.3">
      <c r="D1771"/>
    </row>
    <row r="1772" spans="4:4" x14ac:dyDescent="0.3">
      <c r="D1772"/>
    </row>
    <row r="1773" spans="4:4" x14ac:dyDescent="0.3">
      <c r="D1773"/>
    </row>
    <row r="1774" spans="4:4" x14ac:dyDescent="0.3">
      <c r="D1774"/>
    </row>
    <row r="1775" spans="4:4" x14ac:dyDescent="0.3">
      <c r="D1775"/>
    </row>
    <row r="1776" spans="4:4" x14ac:dyDescent="0.3">
      <c r="D1776"/>
    </row>
    <row r="1777" spans="4:4" x14ac:dyDescent="0.3">
      <c r="D1777"/>
    </row>
    <row r="1778" spans="4:4" x14ac:dyDescent="0.3">
      <c r="D1778"/>
    </row>
    <row r="1779" spans="4:4" x14ac:dyDescent="0.3">
      <c r="D1779"/>
    </row>
    <row r="1780" spans="4:4" x14ac:dyDescent="0.3">
      <c r="D1780"/>
    </row>
    <row r="1781" spans="4:4" x14ac:dyDescent="0.3">
      <c r="D1781"/>
    </row>
    <row r="1782" spans="4:4" x14ac:dyDescent="0.3">
      <c r="D1782"/>
    </row>
    <row r="1783" spans="4:4" x14ac:dyDescent="0.3">
      <c r="D1783"/>
    </row>
    <row r="1784" spans="4:4" x14ac:dyDescent="0.3">
      <c r="D1784"/>
    </row>
    <row r="1785" spans="4:4" x14ac:dyDescent="0.3">
      <c r="D1785"/>
    </row>
    <row r="1786" spans="4:4" x14ac:dyDescent="0.3">
      <c r="D1786"/>
    </row>
    <row r="1787" spans="4:4" x14ac:dyDescent="0.3">
      <c r="D1787"/>
    </row>
    <row r="1788" spans="4:4" x14ac:dyDescent="0.3">
      <c r="D1788"/>
    </row>
    <row r="1789" spans="4:4" x14ac:dyDescent="0.3">
      <c r="D1789"/>
    </row>
    <row r="1790" spans="4:4" x14ac:dyDescent="0.3">
      <c r="D1790"/>
    </row>
    <row r="1791" spans="4:4" x14ac:dyDescent="0.3">
      <c r="D1791"/>
    </row>
    <row r="1792" spans="4:4" x14ac:dyDescent="0.3">
      <c r="D1792"/>
    </row>
    <row r="1793" spans="4:4" x14ac:dyDescent="0.3">
      <c r="D1793"/>
    </row>
    <row r="1794" spans="4:4" x14ac:dyDescent="0.3">
      <c r="D1794"/>
    </row>
    <row r="1795" spans="4:4" x14ac:dyDescent="0.3">
      <c r="D1795"/>
    </row>
    <row r="1796" spans="4:4" x14ac:dyDescent="0.3">
      <c r="D1796"/>
    </row>
    <row r="1797" spans="4:4" x14ac:dyDescent="0.3">
      <c r="D1797"/>
    </row>
    <row r="1798" spans="4:4" x14ac:dyDescent="0.3">
      <c r="D1798"/>
    </row>
    <row r="1799" spans="4:4" x14ac:dyDescent="0.3">
      <c r="D1799"/>
    </row>
    <row r="1800" spans="4:4" x14ac:dyDescent="0.3">
      <c r="D1800"/>
    </row>
    <row r="1801" spans="4:4" x14ac:dyDescent="0.3">
      <c r="D1801"/>
    </row>
    <row r="1802" spans="4:4" x14ac:dyDescent="0.3">
      <c r="D1802"/>
    </row>
    <row r="1803" spans="4:4" x14ac:dyDescent="0.3">
      <c r="D1803"/>
    </row>
    <row r="1804" spans="4:4" x14ac:dyDescent="0.3">
      <c r="D1804"/>
    </row>
    <row r="1805" spans="4:4" x14ac:dyDescent="0.3">
      <c r="D1805"/>
    </row>
    <row r="1806" spans="4:4" x14ac:dyDescent="0.3">
      <c r="D1806"/>
    </row>
    <row r="1807" spans="4:4" x14ac:dyDescent="0.3">
      <c r="D1807"/>
    </row>
    <row r="1808" spans="4:4" x14ac:dyDescent="0.3">
      <c r="D1808"/>
    </row>
    <row r="1809" spans="4:4" x14ac:dyDescent="0.3">
      <c r="D1809"/>
    </row>
    <row r="1810" spans="4:4" x14ac:dyDescent="0.3">
      <c r="D1810"/>
    </row>
    <row r="1811" spans="4:4" x14ac:dyDescent="0.3">
      <c r="D1811"/>
    </row>
    <row r="1812" spans="4:4" x14ac:dyDescent="0.3">
      <c r="D1812"/>
    </row>
    <row r="1813" spans="4:4" x14ac:dyDescent="0.3">
      <c r="D1813"/>
    </row>
    <row r="1814" spans="4:4" x14ac:dyDescent="0.3">
      <c r="D1814"/>
    </row>
    <row r="1815" spans="4:4" x14ac:dyDescent="0.3">
      <c r="D1815"/>
    </row>
    <row r="1816" spans="4:4" x14ac:dyDescent="0.3">
      <c r="D1816"/>
    </row>
    <row r="1817" spans="4:4" x14ac:dyDescent="0.3">
      <c r="D1817"/>
    </row>
    <row r="1818" spans="4:4" x14ac:dyDescent="0.3">
      <c r="D1818"/>
    </row>
    <row r="1819" spans="4:4" x14ac:dyDescent="0.3">
      <c r="D1819"/>
    </row>
    <row r="1820" spans="4:4" x14ac:dyDescent="0.3">
      <c r="D1820"/>
    </row>
    <row r="1821" spans="4:4" x14ac:dyDescent="0.3">
      <c r="D1821"/>
    </row>
    <row r="1822" spans="4:4" x14ac:dyDescent="0.3">
      <c r="D1822"/>
    </row>
    <row r="1823" spans="4:4" x14ac:dyDescent="0.3">
      <c r="D1823"/>
    </row>
    <row r="1824" spans="4:4" x14ac:dyDescent="0.3">
      <c r="D1824"/>
    </row>
    <row r="1825" spans="4:4" x14ac:dyDescent="0.3">
      <c r="D1825"/>
    </row>
    <row r="1826" spans="4:4" x14ac:dyDescent="0.3">
      <c r="D1826"/>
    </row>
    <row r="1827" spans="4:4" x14ac:dyDescent="0.3">
      <c r="D1827"/>
    </row>
    <row r="1828" spans="4:4" x14ac:dyDescent="0.3">
      <c r="D1828"/>
    </row>
    <row r="1829" spans="4:4" x14ac:dyDescent="0.3">
      <c r="D1829"/>
    </row>
    <row r="1830" spans="4:4" x14ac:dyDescent="0.3">
      <c r="D1830"/>
    </row>
    <row r="1831" spans="4:4" x14ac:dyDescent="0.3">
      <c r="D1831"/>
    </row>
    <row r="1832" spans="4:4" x14ac:dyDescent="0.3">
      <c r="D1832"/>
    </row>
    <row r="1833" spans="4:4" x14ac:dyDescent="0.3">
      <c r="D1833"/>
    </row>
    <row r="1834" spans="4:4" x14ac:dyDescent="0.3">
      <c r="D1834"/>
    </row>
    <row r="1835" spans="4:4" x14ac:dyDescent="0.3">
      <c r="D1835"/>
    </row>
    <row r="1836" spans="4:4" x14ac:dyDescent="0.3">
      <c r="D1836"/>
    </row>
    <row r="1837" spans="4:4" x14ac:dyDescent="0.3">
      <c r="D1837"/>
    </row>
    <row r="1838" spans="4:4" x14ac:dyDescent="0.3">
      <c r="D1838"/>
    </row>
    <row r="1839" spans="4:4" x14ac:dyDescent="0.3">
      <c r="D1839"/>
    </row>
    <row r="1840" spans="4:4" x14ac:dyDescent="0.3">
      <c r="D1840"/>
    </row>
    <row r="1841" spans="4:4" x14ac:dyDescent="0.3">
      <c r="D1841"/>
    </row>
    <row r="1842" spans="4:4" x14ac:dyDescent="0.3">
      <c r="D1842"/>
    </row>
    <row r="1843" spans="4:4" x14ac:dyDescent="0.3">
      <c r="D1843"/>
    </row>
    <row r="1844" spans="4:4" x14ac:dyDescent="0.3">
      <c r="D1844"/>
    </row>
    <row r="1845" spans="4:4" x14ac:dyDescent="0.3">
      <c r="D1845"/>
    </row>
    <row r="1846" spans="4:4" x14ac:dyDescent="0.3">
      <c r="D1846"/>
    </row>
    <row r="1847" spans="4:4" x14ac:dyDescent="0.3">
      <c r="D1847"/>
    </row>
    <row r="1848" spans="4:4" x14ac:dyDescent="0.3">
      <c r="D1848"/>
    </row>
    <row r="1849" spans="4:4" x14ac:dyDescent="0.3">
      <c r="D1849"/>
    </row>
    <row r="1850" spans="4:4" x14ac:dyDescent="0.3">
      <c r="D1850"/>
    </row>
    <row r="1851" spans="4:4" x14ac:dyDescent="0.3">
      <c r="D1851"/>
    </row>
    <row r="1852" spans="4:4" x14ac:dyDescent="0.3">
      <c r="D1852"/>
    </row>
    <row r="1853" spans="4:4" x14ac:dyDescent="0.3">
      <c r="D1853"/>
    </row>
    <row r="1854" spans="4:4" x14ac:dyDescent="0.3">
      <c r="D1854"/>
    </row>
    <row r="1855" spans="4:4" x14ac:dyDescent="0.3">
      <c r="D1855"/>
    </row>
    <row r="1856" spans="4:4" x14ac:dyDescent="0.3">
      <c r="D1856"/>
    </row>
    <row r="1857" spans="4:4" x14ac:dyDescent="0.3">
      <c r="D1857"/>
    </row>
    <row r="1858" spans="4:4" x14ac:dyDescent="0.3">
      <c r="D1858"/>
    </row>
    <row r="1859" spans="4:4" x14ac:dyDescent="0.3">
      <c r="D1859"/>
    </row>
    <row r="1860" spans="4:4" x14ac:dyDescent="0.3">
      <c r="D1860"/>
    </row>
    <row r="1861" spans="4:4" x14ac:dyDescent="0.3">
      <c r="D1861"/>
    </row>
    <row r="1862" spans="4:4" x14ac:dyDescent="0.3">
      <c r="D1862"/>
    </row>
    <row r="1863" spans="4:4" x14ac:dyDescent="0.3">
      <c r="D1863"/>
    </row>
    <row r="1864" spans="4:4" x14ac:dyDescent="0.3">
      <c r="D1864"/>
    </row>
    <row r="1865" spans="4:4" x14ac:dyDescent="0.3">
      <c r="D1865"/>
    </row>
    <row r="1866" spans="4:4" x14ac:dyDescent="0.3">
      <c r="D1866"/>
    </row>
    <row r="1867" spans="4:4" x14ac:dyDescent="0.3">
      <c r="D1867"/>
    </row>
    <row r="1868" spans="4:4" x14ac:dyDescent="0.3">
      <c r="D1868"/>
    </row>
    <row r="1869" spans="4:4" x14ac:dyDescent="0.3">
      <c r="D1869"/>
    </row>
    <row r="1870" spans="4:4" x14ac:dyDescent="0.3">
      <c r="D1870"/>
    </row>
    <row r="1871" spans="4:4" x14ac:dyDescent="0.3">
      <c r="D1871"/>
    </row>
    <row r="1872" spans="4:4" x14ac:dyDescent="0.3">
      <c r="D1872"/>
    </row>
    <row r="1873" spans="4:4" x14ac:dyDescent="0.3">
      <c r="D1873"/>
    </row>
    <row r="1874" spans="4:4" x14ac:dyDescent="0.3">
      <c r="D1874"/>
    </row>
    <row r="1875" spans="4:4" x14ac:dyDescent="0.3">
      <c r="D1875"/>
    </row>
    <row r="1876" spans="4:4" x14ac:dyDescent="0.3">
      <c r="D1876"/>
    </row>
    <row r="1877" spans="4:4" x14ac:dyDescent="0.3">
      <c r="D1877"/>
    </row>
    <row r="1878" spans="4:4" x14ac:dyDescent="0.3">
      <c r="D1878"/>
    </row>
    <row r="1879" spans="4:4" x14ac:dyDescent="0.3">
      <c r="D1879"/>
    </row>
    <row r="1880" spans="4:4" x14ac:dyDescent="0.3">
      <c r="D1880"/>
    </row>
    <row r="1881" spans="4:4" x14ac:dyDescent="0.3">
      <c r="D1881"/>
    </row>
    <row r="1882" spans="4:4" x14ac:dyDescent="0.3">
      <c r="D1882"/>
    </row>
    <row r="1883" spans="4:4" x14ac:dyDescent="0.3">
      <c r="D1883"/>
    </row>
    <row r="1884" spans="4:4" x14ac:dyDescent="0.3">
      <c r="D1884"/>
    </row>
    <row r="1885" spans="4:4" x14ac:dyDescent="0.3">
      <c r="D1885"/>
    </row>
    <row r="1886" spans="4:4" x14ac:dyDescent="0.3">
      <c r="D1886"/>
    </row>
    <row r="1887" spans="4:4" x14ac:dyDescent="0.3">
      <c r="D1887"/>
    </row>
    <row r="1888" spans="4:4" x14ac:dyDescent="0.3">
      <c r="D1888"/>
    </row>
    <row r="1889" spans="4:4" x14ac:dyDescent="0.3">
      <c r="D1889"/>
    </row>
    <row r="1890" spans="4:4" x14ac:dyDescent="0.3">
      <c r="D1890"/>
    </row>
    <row r="1891" spans="4:4" x14ac:dyDescent="0.3">
      <c r="D1891"/>
    </row>
    <row r="1892" spans="4:4" x14ac:dyDescent="0.3">
      <c r="D1892"/>
    </row>
    <row r="1893" spans="4:4" x14ac:dyDescent="0.3">
      <c r="D1893"/>
    </row>
    <row r="1894" spans="4:4" x14ac:dyDescent="0.3">
      <c r="D1894"/>
    </row>
    <row r="1895" spans="4:4" x14ac:dyDescent="0.3">
      <c r="D1895"/>
    </row>
    <row r="1896" spans="4:4" x14ac:dyDescent="0.3">
      <c r="D1896"/>
    </row>
    <row r="1897" spans="4:4" x14ac:dyDescent="0.3">
      <c r="D1897"/>
    </row>
    <row r="1898" spans="4:4" x14ac:dyDescent="0.3">
      <c r="D1898"/>
    </row>
    <row r="1899" spans="4:4" x14ac:dyDescent="0.3">
      <c r="D1899"/>
    </row>
    <row r="1900" spans="4:4" x14ac:dyDescent="0.3">
      <c r="D1900"/>
    </row>
    <row r="1901" spans="4:4" x14ac:dyDescent="0.3">
      <c r="D1901"/>
    </row>
    <row r="1902" spans="4:4" x14ac:dyDescent="0.3">
      <c r="D1902"/>
    </row>
    <row r="1903" spans="4:4" x14ac:dyDescent="0.3">
      <c r="D1903"/>
    </row>
    <row r="1904" spans="4:4" x14ac:dyDescent="0.3">
      <c r="D1904"/>
    </row>
    <row r="1905" spans="4:4" x14ac:dyDescent="0.3">
      <c r="D1905"/>
    </row>
    <row r="1906" spans="4:4" x14ac:dyDescent="0.3">
      <c r="D1906"/>
    </row>
    <row r="1907" spans="4:4" x14ac:dyDescent="0.3">
      <c r="D1907"/>
    </row>
    <row r="1908" spans="4:4" x14ac:dyDescent="0.3">
      <c r="D1908"/>
    </row>
    <row r="1909" spans="4:4" x14ac:dyDescent="0.3">
      <c r="D1909"/>
    </row>
    <row r="1910" spans="4:4" x14ac:dyDescent="0.3">
      <c r="D1910"/>
    </row>
    <row r="1911" spans="4:4" x14ac:dyDescent="0.3">
      <c r="D1911"/>
    </row>
    <row r="1912" spans="4:4" x14ac:dyDescent="0.3">
      <c r="D1912"/>
    </row>
    <row r="1913" spans="4:4" x14ac:dyDescent="0.3">
      <c r="D1913"/>
    </row>
    <row r="1914" spans="4:4" x14ac:dyDescent="0.3">
      <c r="D1914"/>
    </row>
    <row r="1915" spans="4:4" x14ac:dyDescent="0.3">
      <c r="D1915"/>
    </row>
    <row r="1916" spans="4:4" x14ac:dyDescent="0.3">
      <c r="D1916"/>
    </row>
    <row r="1917" spans="4:4" x14ac:dyDescent="0.3">
      <c r="D1917"/>
    </row>
    <row r="1918" spans="4:4" x14ac:dyDescent="0.3">
      <c r="D1918"/>
    </row>
    <row r="1919" spans="4:4" x14ac:dyDescent="0.3">
      <c r="D1919"/>
    </row>
    <row r="1920" spans="4:4" x14ac:dyDescent="0.3">
      <c r="D1920"/>
    </row>
    <row r="1921" spans="4:4" x14ac:dyDescent="0.3">
      <c r="D1921"/>
    </row>
    <row r="1922" spans="4:4" x14ac:dyDescent="0.3">
      <c r="D1922"/>
    </row>
    <row r="1923" spans="4:4" x14ac:dyDescent="0.3">
      <c r="D1923"/>
    </row>
    <row r="1924" spans="4:4" x14ac:dyDescent="0.3">
      <c r="D1924"/>
    </row>
    <row r="1925" spans="4:4" x14ac:dyDescent="0.3">
      <c r="D1925"/>
    </row>
    <row r="1926" spans="4:4" x14ac:dyDescent="0.3">
      <c r="D1926"/>
    </row>
    <row r="1927" spans="4:4" x14ac:dyDescent="0.3">
      <c r="D1927"/>
    </row>
    <row r="1928" spans="4:4" x14ac:dyDescent="0.3">
      <c r="D1928"/>
    </row>
    <row r="1929" spans="4:4" x14ac:dyDescent="0.3">
      <c r="D1929"/>
    </row>
    <row r="1930" spans="4:4" x14ac:dyDescent="0.3">
      <c r="D1930"/>
    </row>
    <row r="1931" spans="4:4" x14ac:dyDescent="0.3">
      <c r="D1931"/>
    </row>
    <row r="1932" spans="4:4" x14ac:dyDescent="0.3">
      <c r="D1932"/>
    </row>
    <row r="1933" spans="4:4" x14ac:dyDescent="0.3">
      <c r="D1933"/>
    </row>
    <row r="1934" spans="4:4" x14ac:dyDescent="0.3">
      <c r="D1934"/>
    </row>
    <row r="1935" spans="4:4" x14ac:dyDescent="0.3">
      <c r="D1935"/>
    </row>
    <row r="1936" spans="4:4" x14ac:dyDescent="0.3">
      <c r="D1936"/>
    </row>
    <row r="1937" spans="4:4" x14ac:dyDescent="0.3">
      <c r="D1937"/>
    </row>
    <row r="1938" spans="4:4" x14ac:dyDescent="0.3">
      <c r="D1938"/>
    </row>
    <row r="1939" spans="4:4" x14ac:dyDescent="0.3">
      <c r="D1939"/>
    </row>
    <row r="1940" spans="4:4" x14ac:dyDescent="0.3">
      <c r="D1940"/>
    </row>
    <row r="1941" spans="4:4" x14ac:dyDescent="0.3">
      <c r="D1941"/>
    </row>
    <row r="1942" spans="4:4" x14ac:dyDescent="0.3">
      <c r="D1942"/>
    </row>
    <row r="1943" spans="4:4" x14ac:dyDescent="0.3">
      <c r="D1943"/>
    </row>
    <row r="1944" spans="4:4" x14ac:dyDescent="0.3">
      <c r="D1944"/>
    </row>
    <row r="1945" spans="4:4" x14ac:dyDescent="0.3">
      <c r="D1945"/>
    </row>
    <row r="1946" spans="4:4" x14ac:dyDescent="0.3">
      <c r="D1946"/>
    </row>
    <row r="1947" spans="4:4" x14ac:dyDescent="0.3">
      <c r="D1947"/>
    </row>
    <row r="1948" spans="4:4" x14ac:dyDescent="0.3">
      <c r="D1948"/>
    </row>
    <row r="1949" spans="4:4" x14ac:dyDescent="0.3">
      <c r="D1949"/>
    </row>
    <row r="1950" spans="4:4" x14ac:dyDescent="0.3">
      <c r="D1950"/>
    </row>
    <row r="1951" spans="4:4" x14ac:dyDescent="0.3">
      <c r="D1951"/>
    </row>
    <row r="1952" spans="4:4" x14ac:dyDescent="0.3">
      <c r="D1952"/>
    </row>
    <row r="1953" spans="4:4" x14ac:dyDescent="0.3">
      <c r="D1953"/>
    </row>
    <row r="1954" spans="4:4" x14ac:dyDescent="0.3">
      <c r="D1954"/>
    </row>
    <row r="1955" spans="4:4" x14ac:dyDescent="0.3">
      <c r="D1955"/>
    </row>
    <row r="1956" spans="4:4" x14ac:dyDescent="0.3">
      <c r="D1956"/>
    </row>
    <row r="1957" spans="4:4" x14ac:dyDescent="0.3">
      <c r="D1957"/>
    </row>
    <row r="1958" spans="4:4" x14ac:dyDescent="0.3">
      <c r="D1958"/>
    </row>
    <row r="1959" spans="4:4" x14ac:dyDescent="0.3">
      <c r="D1959"/>
    </row>
    <row r="1960" spans="4:4" x14ac:dyDescent="0.3">
      <c r="D1960"/>
    </row>
    <row r="1961" spans="4:4" x14ac:dyDescent="0.3">
      <c r="D1961"/>
    </row>
    <row r="1962" spans="4:4" x14ac:dyDescent="0.3">
      <c r="D1962"/>
    </row>
    <row r="1963" spans="4:4" x14ac:dyDescent="0.3">
      <c r="D1963"/>
    </row>
    <row r="1964" spans="4:4" x14ac:dyDescent="0.3">
      <c r="D1964"/>
    </row>
    <row r="1965" spans="4:4" x14ac:dyDescent="0.3">
      <c r="D1965"/>
    </row>
    <row r="1966" spans="4:4" x14ac:dyDescent="0.3">
      <c r="D1966"/>
    </row>
    <row r="1967" spans="4:4" x14ac:dyDescent="0.3">
      <c r="D1967"/>
    </row>
    <row r="1968" spans="4:4" x14ac:dyDescent="0.3">
      <c r="D1968"/>
    </row>
    <row r="1969" spans="4:4" x14ac:dyDescent="0.3">
      <c r="D1969"/>
    </row>
    <row r="1970" spans="4:4" x14ac:dyDescent="0.3">
      <c r="D1970"/>
    </row>
    <row r="1971" spans="4:4" x14ac:dyDescent="0.3">
      <c r="D1971"/>
    </row>
    <row r="1972" spans="4:4" x14ac:dyDescent="0.3">
      <c r="D1972"/>
    </row>
    <row r="1973" spans="4:4" x14ac:dyDescent="0.3">
      <c r="D1973"/>
    </row>
    <row r="1974" spans="4:4" x14ac:dyDescent="0.3">
      <c r="D1974"/>
    </row>
    <row r="1975" spans="4:4" x14ac:dyDescent="0.3">
      <c r="D1975"/>
    </row>
    <row r="1976" spans="4:4" x14ac:dyDescent="0.3">
      <c r="D1976"/>
    </row>
    <row r="1977" spans="4:4" x14ac:dyDescent="0.3">
      <c r="D1977"/>
    </row>
    <row r="1978" spans="4:4" x14ac:dyDescent="0.3">
      <c r="D1978"/>
    </row>
    <row r="1979" spans="4:4" x14ac:dyDescent="0.3">
      <c r="D1979"/>
    </row>
    <row r="1980" spans="4:4" x14ac:dyDescent="0.3">
      <c r="D1980"/>
    </row>
    <row r="1981" spans="4:4" x14ac:dyDescent="0.3">
      <c r="D1981"/>
    </row>
    <row r="1982" spans="4:4" x14ac:dyDescent="0.3">
      <c r="D1982"/>
    </row>
    <row r="1983" spans="4:4" x14ac:dyDescent="0.3">
      <c r="D1983"/>
    </row>
    <row r="1984" spans="4:4" x14ac:dyDescent="0.3">
      <c r="D1984"/>
    </row>
    <row r="1985" spans="4:4" x14ac:dyDescent="0.3">
      <c r="D1985"/>
    </row>
    <row r="1986" spans="4:4" x14ac:dyDescent="0.3">
      <c r="D1986"/>
    </row>
    <row r="1987" spans="4:4" x14ac:dyDescent="0.3">
      <c r="D1987"/>
    </row>
    <row r="1988" spans="4:4" x14ac:dyDescent="0.3">
      <c r="D1988"/>
    </row>
    <row r="1989" spans="4:4" x14ac:dyDescent="0.3">
      <c r="D1989"/>
    </row>
    <row r="1990" spans="4:4" x14ac:dyDescent="0.3">
      <c r="D1990"/>
    </row>
    <row r="1991" spans="4:4" x14ac:dyDescent="0.3">
      <c r="D1991"/>
    </row>
    <row r="1992" spans="4:4" x14ac:dyDescent="0.3">
      <c r="D1992"/>
    </row>
    <row r="1993" spans="4:4" x14ac:dyDescent="0.3">
      <c r="D1993"/>
    </row>
    <row r="1994" spans="4:4" x14ac:dyDescent="0.3">
      <c r="D1994"/>
    </row>
    <row r="1995" spans="4:4" x14ac:dyDescent="0.3">
      <c r="D1995"/>
    </row>
    <row r="1996" spans="4:4" x14ac:dyDescent="0.3">
      <c r="D1996"/>
    </row>
    <row r="1997" spans="4:4" x14ac:dyDescent="0.3">
      <c r="D1997"/>
    </row>
    <row r="1998" spans="4:4" x14ac:dyDescent="0.3">
      <c r="D1998"/>
    </row>
    <row r="1999" spans="4:4" x14ac:dyDescent="0.3">
      <c r="D1999"/>
    </row>
    <row r="2000" spans="4:4" x14ac:dyDescent="0.3">
      <c r="D2000"/>
    </row>
    <row r="2001" spans="4:4" x14ac:dyDescent="0.3">
      <c r="D2001"/>
    </row>
    <row r="2002" spans="4:4" x14ac:dyDescent="0.3">
      <c r="D2002"/>
    </row>
    <row r="2003" spans="4:4" x14ac:dyDescent="0.3">
      <c r="D2003"/>
    </row>
    <row r="2004" spans="4:4" x14ac:dyDescent="0.3">
      <c r="D2004"/>
    </row>
    <row r="2005" spans="4:4" x14ac:dyDescent="0.3">
      <c r="D2005"/>
    </row>
    <row r="2006" spans="4:4" x14ac:dyDescent="0.3">
      <c r="D2006"/>
    </row>
    <row r="2007" spans="4:4" x14ac:dyDescent="0.3">
      <c r="D2007"/>
    </row>
    <row r="2008" spans="4:4" x14ac:dyDescent="0.3">
      <c r="D2008"/>
    </row>
    <row r="2009" spans="4:4" x14ac:dyDescent="0.3">
      <c r="D2009"/>
    </row>
    <row r="2010" spans="4:4" x14ac:dyDescent="0.3">
      <c r="D2010"/>
    </row>
    <row r="2011" spans="4:4" x14ac:dyDescent="0.3">
      <c r="D2011"/>
    </row>
    <row r="2012" spans="4:4" x14ac:dyDescent="0.3">
      <c r="D2012"/>
    </row>
    <row r="2013" spans="4:4" x14ac:dyDescent="0.3">
      <c r="D2013"/>
    </row>
    <row r="2014" spans="4:4" x14ac:dyDescent="0.3">
      <c r="D2014"/>
    </row>
    <row r="2015" spans="4:4" x14ac:dyDescent="0.3">
      <c r="D2015"/>
    </row>
    <row r="2016" spans="4:4" x14ac:dyDescent="0.3">
      <c r="D2016"/>
    </row>
    <row r="2017" spans="4:4" x14ac:dyDescent="0.3">
      <c r="D2017"/>
    </row>
    <row r="2018" spans="4:4" x14ac:dyDescent="0.3">
      <c r="D2018"/>
    </row>
    <row r="2019" spans="4:4" x14ac:dyDescent="0.3">
      <c r="D2019"/>
    </row>
    <row r="2020" spans="4:4" x14ac:dyDescent="0.3">
      <c r="D2020"/>
    </row>
    <row r="2021" spans="4:4" x14ac:dyDescent="0.3">
      <c r="D2021"/>
    </row>
    <row r="2022" spans="4:4" x14ac:dyDescent="0.3">
      <c r="D2022"/>
    </row>
    <row r="2023" spans="4:4" x14ac:dyDescent="0.3">
      <c r="D2023"/>
    </row>
    <row r="2024" spans="4:4" x14ac:dyDescent="0.3">
      <c r="D2024"/>
    </row>
    <row r="2025" spans="4:4" x14ac:dyDescent="0.3">
      <c r="D2025"/>
    </row>
    <row r="2026" spans="4:4" x14ac:dyDescent="0.3">
      <c r="D2026"/>
    </row>
    <row r="2027" spans="4:4" x14ac:dyDescent="0.3">
      <c r="D2027"/>
    </row>
    <row r="2028" spans="4:4" x14ac:dyDescent="0.3">
      <c r="D2028"/>
    </row>
    <row r="2029" spans="4:4" x14ac:dyDescent="0.3">
      <c r="D2029"/>
    </row>
    <row r="2030" spans="4:4" x14ac:dyDescent="0.3">
      <c r="D2030"/>
    </row>
    <row r="2031" spans="4:4" x14ac:dyDescent="0.3">
      <c r="D2031"/>
    </row>
    <row r="2032" spans="4:4" x14ac:dyDescent="0.3">
      <c r="D2032"/>
    </row>
    <row r="2033" spans="4:4" x14ac:dyDescent="0.3">
      <c r="D2033"/>
    </row>
    <row r="2034" spans="4:4" x14ac:dyDescent="0.3">
      <c r="D2034"/>
    </row>
    <row r="2035" spans="4:4" x14ac:dyDescent="0.3">
      <c r="D2035"/>
    </row>
    <row r="2036" spans="4:4" x14ac:dyDescent="0.3">
      <c r="D2036"/>
    </row>
    <row r="2037" spans="4:4" x14ac:dyDescent="0.3">
      <c r="D2037"/>
    </row>
    <row r="2038" spans="4:4" x14ac:dyDescent="0.3">
      <c r="D2038"/>
    </row>
    <row r="2039" spans="4:4" x14ac:dyDescent="0.3">
      <c r="D2039"/>
    </row>
    <row r="2040" spans="4:4" x14ac:dyDescent="0.3">
      <c r="D2040"/>
    </row>
    <row r="2041" spans="4:4" x14ac:dyDescent="0.3">
      <c r="D2041"/>
    </row>
    <row r="2042" spans="4:4" x14ac:dyDescent="0.3">
      <c r="D2042"/>
    </row>
    <row r="2043" spans="4:4" x14ac:dyDescent="0.3">
      <c r="D2043"/>
    </row>
    <row r="2044" spans="4:4" x14ac:dyDescent="0.3">
      <c r="D2044"/>
    </row>
    <row r="2045" spans="4:4" x14ac:dyDescent="0.3">
      <c r="D2045"/>
    </row>
    <row r="2046" spans="4:4" x14ac:dyDescent="0.3">
      <c r="D2046"/>
    </row>
    <row r="2047" spans="4:4" x14ac:dyDescent="0.3">
      <c r="D2047"/>
    </row>
    <row r="2048" spans="4:4" x14ac:dyDescent="0.3">
      <c r="D2048"/>
    </row>
    <row r="2049" spans="4:4" x14ac:dyDescent="0.3">
      <c r="D2049"/>
    </row>
    <row r="2050" spans="4:4" x14ac:dyDescent="0.3">
      <c r="D2050"/>
    </row>
    <row r="2051" spans="4:4" x14ac:dyDescent="0.3">
      <c r="D2051"/>
    </row>
    <row r="2052" spans="4:4" x14ac:dyDescent="0.3">
      <c r="D2052"/>
    </row>
    <row r="2053" spans="4:4" x14ac:dyDescent="0.3">
      <c r="D2053"/>
    </row>
    <row r="2054" spans="4:4" x14ac:dyDescent="0.3">
      <c r="D2054"/>
    </row>
    <row r="2055" spans="4:4" x14ac:dyDescent="0.3">
      <c r="D2055"/>
    </row>
    <row r="2056" spans="4:4" x14ac:dyDescent="0.3">
      <c r="D2056"/>
    </row>
    <row r="2057" spans="4:4" x14ac:dyDescent="0.3">
      <c r="D2057"/>
    </row>
    <row r="2058" spans="4:4" x14ac:dyDescent="0.3">
      <c r="D2058"/>
    </row>
    <row r="2059" spans="4:4" x14ac:dyDescent="0.3">
      <c r="D2059"/>
    </row>
    <row r="2060" spans="4:4" x14ac:dyDescent="0.3">
      <c r="D2060"/>
    </row>
    <row r="2061" spans="4:4" x14ac:dyDescent="0.3">
      <c r="D2061"/>
    </row>
    <row r="2062" spans="4:4" x14ac:dyDescent="0.3">
      <c r="D2062"/>
    </row>
    <row r="2063" spans="4:4" x14ac:dyDescent="0.3">
      <c r="D2063"/>
    </row>
    <row r="2064" spans="4:4" x14ac:dyDescent="0.3">
      <c r="D2064"/>
    </row>
    <row r="2065" spans="4:4" x14ac:dyDescent="0.3">
      <c r="D2065"/>
    </row>
    <row r="2066" spans="4:4" x14ac:dyDescent="0.3">
      <c r="D2066"/>
    </row>
    <row r="2067" spans="4:4" x14ac:dyDescent="0.3">
      <c r="D2067"/>
    </row>
    <row r="2068" spans="4:4" x14ac:dyDescent="0.3">
      <c r="D2068"/>
    </row>
    <row r="2069" spans="4:4" x14ac:dyDescent="0.3">
      <c r="D2069"/>
    </row>
    <row r="2070" spans="4:4" x14ac:dyDescent="0.3">
      <c r="D2070"/>
    </row>
    <row r="2071" spans="4:4" x14ac:dyDescent="0.3">
      <c r="D2071"/>
    </row>
    <row r="2072" spans="4:4" x14ac:dyDescent="0.3">
      <c r="D2072"/>
    </row>
    <row r="2073" spans="4:4" x14ac:dyDescent="0.3">
      <c r="D2073"/>
    </row>
    <row r="2074" spans="4:4" x14ac:dyDescent="0.3">
      <c r="D2074"/>
    </row>
    <row r="2075" spans="4:4" x14ac:dyDescent="0.3">
      <c r="D2075"/>
    </row>
    <row r="2076" spans="4:4" x14ac:dyDescent="0.3">
      <c r="D2076"/>
    </row>
    <row r="2077" spans="4:4" x14ac:dyDescent="0.3">
      <c r="D2077"/>
    </row>
    <row r="2078" spans="4:4" x14ac:dyDescent="0.3">
      <c r="D2078"/>
    </row>
    <row r="2079" spans="4:4" x14ac:dyDescent="0.3">
      <c r="D2079"/>
    </row>
    <row r="2080" spans="4:4" x14ac:dyDescent="0.3">
      <c r="D2080"/>
    </row>
    <row r="2081" spans="4:4" x14ac:dyDescent="0.3">
      <c r="D2081"/>
    </row>
    <row r="2082" spans="4:4" x14ac:dyDescent="0.3">
      <c r="D2082"/>
    </row>
    <row r="2083" spans="4:4" x14ac:dyDescent="0.3">
      <c r="D2083"/>
    </row>
    <row r="2084" spans="4:4" x14ac:dyDescent="0.3">
      <c r="D2084"/>
    </row>
    <row r="2085" spans="4:4" x14ac:dyDescent="0.3">
      <c r="D2085"/>
    </row>
    <row r="2086" spans="4:4" x14ac:dyDescent="0.3">
      <c r="D2086"/>
    </row>
    <row r="2087" spans="4:4" x14ac:dyDescent="0.3">
      <c r="D2087"/>
    </row>
    <row r="2088" spans="4:4" x14ac:dyDescent="0.3">
      <c r="D2088"/>
    </row>
    <row r="2089" spans="4:4" x14ac:dyDescent="0.3">
      <c r="D2089"/>
    </row>
    <row r="2090" spans="4:4" x14ac:dyDescent="0.3">
      <c r="D2090"/>
    </row>
    <row r="2091" spans="4:4" x14ac:dyDescent="0.3">
      <c r="D2091"/>
    </row>
    <row r="2092" spans="4:4" x14ac:dyDescent="0.3">
      <c r="D2092"/>
    </row>
    <row r="2093" spans="4:4" x14ac:dyDescent="0.3">
      <c r="D2093"/>
    </row>
    <row r="2094" spans="4:4" x14ac:dyDescent="0.3">
      <c r="D2094"/>
    </row>
    <row r="2095" spans="4:4" x14ac:dyDescent="0.3">
      <c r="D2095"/>
    </row>
    <row r="2096" spans="4:4" x14ac:dyDescent="0.3">
      <c r="D2096"/>
    </row>
    <row r="2097" spans="4:4" x14ac:dyDescent="0.3">
      <c r="D2097"/>
    </row>
    <row r="2098" spans="4:4" x14ac:dyDescent="0.3">
      <c r="D2098"/>
    </row>
    <row r="2099" spans="4:4" x14ac:dyDescent="0.3">
      <c r="D2099"/>
    </row>
    <row r="2100" spans="4:4" x14ac:dyDescent="0.3">
      <c r="D2100"/>
    </row>
    <row r="2101" spans="4:4" x14ac:dyDescent="0.3">
      <c r="D2101"/>
    </row>
    <row r="2102" spans="4:4" x14ac:dyDescent="0.3">
      <c r="D2102"/>
    </row>
    <row r="2103" spans="4:4" x14ac:dyDescent="0.3">
      <c r="D2103"/>
    </row>
    <row r="2104" spans="4:4" x14ac:dyDescent="0.3">
      <c r="D2104"/>
    </row>
    <row r="2105" spans="4:4" x14ac:dyDescent="0.3">
      <c r="D2105"/>
    </row>
    <row r="2106" spans="4:4" x14ac:dyDescent="0.3">
      <c r="D2106"/>
    </row>
    <row r="2107" spans="4:4" x14ac:dyDescent="0.3">
      <c r="D2107"/>
    </row>
    <row r="2108" spans="4:4" x14ac:dyDescent="0.3">
      <c r="D2108"/>
    </row>
    <row r="2109" spans="4:4" x14ac:dyDescent="0.3">
      <c r="D2109"/>
    </row>
    <row r="2110" spans="4:4" x14ac:dyDescent="0.3">
      <c r="D2110"/>
    </row>
    <row r="2111" spans="4:4" x14ac:dyDescent="0.3">
      <c r="D2111"/>
    </row>
    <row r="2112" spans="4:4" x14ac:dyDescent="0.3">
      <c r="D2112"/>
    </row>
    <row r="2113" spans="4:4" x14ac:dyDescent="0.3">
      <c r="D2113"/>
    </row>
    <row r="2114" spans="4:4" x14ac:dyDescent="0.3">
      <c r="D2114"/>
    </row>
    <row r="2115" spans="4:4" x14ac:dyDescent="0.3">
      <c r="D2115"/>
    </row>
    <row r="2116" spans="4:4" x14ac:dyDescent="0.3">
      <c r="D2116"/>
    </row>
    <row r="2117" spans="4:4" x14ac:dyDescent="0.3">
      <c r="D2117"/>
    </row>
    <row r="2118" spans="4:4" x14ac:dyDescent="0.3">
      <c r="D2118"/>
    </row>
    <row r="2119" spans="4:4" x14ac:dyDescent="0.3">
      <c r="D2119"/>
    </row>
    <row r="2120" spans="4:4" x14ac:dyDescent="0.3">
      <c r="D2120"/>
    </row>
    <row r="2121" spans="4:4" x14ac:dyDescent="0.3">
      <c r="D2121"/>
    </row>
    <row r="2122" spans="4:4" x14ac:dyDescent="0.3">
      <c r="D2122"/>
    </row>
    <row r="2123" spans="4:4" x14ac:dyDescent="0.3">
      <c r="D2123"/>
    </row>
    <row r="2124" spans="4:4" x14ac:dyDescent="0.3">
      <c r="D2124"/>
    </row>
    <row r="2125" spans="4:4" x14ac:dyDescent="0.3">
      <c r="D2125"/>
    </row>
    <row r="2126" spans="4:4" x14ac:dyDescent="0.3">
      <c r="D2126"/>
    </row>
    <row r="2127" spans="4:4" x14ac:dyDescent="0.3">
      <c r="D2127"/>
    </row>
    <row r="2128" spans="4:4" x14ac:dyDescent="0.3">
      <c r="D2128"/>
    </row>
    <row r="2129" spans="4:4" x14ac:dyDescent="0.3">
      <c r="D2129"/>
    </row>
    <row r="2130" spans="4:4" x14ac:dyDescent="0.3">
      <c r="D2130"/>
    </row>
    <row r="2131" spans="4:4" x14ac:dyDescent="0.3">
      <c r="D2131"/>
    </row>
    <row r="2132" spans="4:4" x14ac:dyDescent="0.3">
      <c r="D2132"/>
    </row>
    <row r="2133" spans="4:4" x14ac:dyDescent="0.3">
      <c r="D2133"/>
    </row>
    <row r="2134" spans="4:4" x14ac:dyDescent="0.3">
      <c r="D2134"/>
    </row>
    <row r="2135" spans="4:4" x14ac:dyDescent="0.3">
      <c r="D2135"/>
    </row>
    <row r="2136" spans="4:4" x14ac:dyDescent="0.3">
      <c r="D2136"/>
    </row>
    <row r="2137" spans="4:4" x14ac:dyDescent="0.3">
      <c r="D2137"/>
    </row>
    <row r="2138" spans="4:4" x14ac:dyDescent="0.3">
      <c r="D2138"/>
    </row>
    <row r="2139" spans="4:4" x14ac:dyDescent="0.3">
      <c r="D2139"/>
    </row>
    <row r="2140" spans="4:4" x14ac:dyDescent="0.3">
      <c r="D2140"/>
    </row>
    <row r="2141" spans="4:4" x14ac:dyDescent="0.3">
      <c r="D2141"/>
    </row>
    <row r="2142" spans="4:4" x14ac:dyDescent="0.3">
      <c r="D2142"/>
    </row>
    <row r="2143" spans="4:4" x14ac:dyDescent="0.3">
      <c r="D2143"/>
    </row>
    <row r="2144" spans="4:4" x14ac:dyDescent="0.3">
      <c r="D2144"/>
    </row>
    <row r="2145" spans="4:4" x14ac:dyDescent="0.3">
      <c r="D2145"/>
    </row>
    <row r="2146" spans="4:4" x14ac:dyDescent="0.3">
      <c r="D2146"/>
    </row>
    <row r="2147" spans="4:4" x14ac:dyDescent="0.3">
      <c r="D2147"/>
    </row>
    <row r="2148" spans="4:4" x14ac:dyDescent="0.3">
      <c r="D2148"/>
    </row>
    <row r="2149" spans="4:4" x14ac:dyDescent="0.3">
      <c r="D2149"/>
    </row>
    <row r="2150" spans="4:4" x14ac:dyDescent="0.3">
      <c r="D2150"/>
    </row>
    <row r="2151" spans="4:4" x14ac:dyDescent="0.3">
      <c r="D2151"/>
    </row>
    <row r="2152" spans="4:4" x14ac:dyDescent="0.3">
      <c r="D2152"/>
    </row>
    <row r="2153" spans="4:4" x14ac:dyDescent="0.3">
      <c r="D2153"/>
    </row>
    <row r="2154" spans="4:4" x14ac:dyDescent="0.3">
      <c r="D2154"/>
    </row>
    <row r="2155" spans="4:4" x14ac:dyDescent="0.3">
      <c r="D2155"/>
    </row>
    <row r="2156" spans="4:4" x14ac:dyDescent="0.3">
      <c r="D2156"/>
    </row>
    <row r="2157" spans="4:4" x14ac:dyDescent="0.3">
      <c r="D2157"/>
    </row>
    <row r="2158" spans="4:4" x14ac:dyDescent="0.3">
      <c r="D2158"/>
    </row>
    <row r="2159" spans="4:4" x14ac:dyDescent="0.3">
      <c r="D2159"/>
    </row>
    <row r="2160" spans="4:4" x14ac:dyDescent="0.3">
      <c r="D2160"/>
    </row>
    <row r="2161" spans="4:4" x14ac:dyDescent="0.3">
      <c r="D2161"/>
    </row>
    <row r="2162" spans="4:4" x14ac:dyDescent="0.3">
      <c r="D2162"/>
    </row>
    <row r="2163" spans="4:4" x14ac:dyDescent="0.3">
      <c r="D2163"/>
    </row>
    <row r="2164" spans="4:4" x14ac:dyDescent="0.3">
      <c r="D2164"/>
    </row>
    <row r="2165" spans="4:4" x14ac:dyDescent="0.3">
      <c r="D2165"/>
    </row>
    <row r="2166" spans="4:4" x14ac:dyDescent="0.3">
      <c r="D2166"/>
    </row>
    <row r="2167" spans="4:4" x14ac:dyDescent="0.3">
      <c r="D2167"/>
    </row>
    <row r="2168" spans="4:4" x14ac:dyDescent="0.3">
      <c r="D2168"/>
    </row>
    <row r="2169" spans="4:4" x14ac:dyDescent="0.3">
      <c r="D2169"/>
    </row>
    <row r="2170" spans="4:4" x14ac:dyDescent="0.3">
      <c r="D2170"/>
    </row>
    <row r="2171" spans="4:4" x14ac:dyDescent="0.3">
      <c r="D2171"/>
    </row>
    <row r="2172" spans="4:4" x14ac:dyDescent="0.3">
      <c r="D2172"/>
    </row>
    <row r="2173" spans="4:4" x14ac:dyDescent="0.3">
      <c r="D2173"/>
    </row>
    <row r="2174" spans="4:4" x14ac:dyDescent="0.3">
      <c r="D2174"/>
    </row>
    <row r="2175" spans="4:4" x14ac:dyDescent="0.3">
      <c r="D2175"/>
    </row>
    <row r="2176" spans="4:4" x14ac:dyDescent="0.3">
      <c r="D2176"/>
    </row>
    <row r="2177" spans="4:4" x14ac:dyDescent="0.3">
      <c r="D2177"/>
    </row>
    <row r="2178" spans="4:4" x14ac:dyDescent="0.3">
      <c r="D2178"/>
    </row>
    <row r="2179" spans="4:4" x14ac:dyDescent="0.3">
      <c r="D2179"/>
    </row>
    <row r="2180" spans="4:4" x14ac:dyDescent="0.3">
      <c r="D2180"/>
    </row>
    <row r="2181" spans="4:4" x14ac:dyDescent="0.3">
      <c r="D2181"/>
    </row>
    <row r="2182" spans="4:4" x14ac:dyDescent="0.3">
      <c r="D2182"/>
    </row>
    <row r="2183" spans="4:4" x14ac:dyDescent="0.3">
      <c r="D2183"/>
    </row>
    <row r="2184" spans="4:4" x14ac:dyDescent="0.3">
      <c r="D2184"/>
    </row>
    <row r="2185" spans="4:4" x14ac:dyDescent="0.3">
      <c r="D2185"/>
    </row>
    <row r="2186" spans="4:4" x14ac:dyDescent="0.3">
      <c r="D2186"/>
    </row>
    <row r="2187" spans="4:4" x14ac:dyDescent="0.3">
      <c r="D2187"/>
    </row>
    <row r="2188" spans="4:4" x14ac:dyDescent="0.3">
      <c r="D2188"/>
    </row>
    <row r="2189" spans="4:4" x14ac:dyDescent="0.3">
      <c r="D2189"/>
    </row>
    <row r="2190" spans="4:4" x14ac:dyDescent="0.3">
      <c r="D2190"/>
    </row>
    <row r="2191" spans="4:4" x14ac:dyDescent="0.3">
      <c r="D2191"/>
    </row>
    <row r="2192" spans="4:4" x14ac:dyDescent="0.3">
      <c r="D2192"/>
    </row>
    <row r="2193" spans="4:4" x14ac:dyDescent="0.3">
      <c r="D2193"/>
    </row>
    <row r="2194" spans="4:4" x14ac:dyDescent="0.3">
      <c r="D2194"/>
    </row>
    <row r="2195" spans="4:4" x14ac:dyDescent="0.3">
      <c r="D2195"/>
    </row>
    <row r="2196" spans="4:4" x14ac:dyDescent="0.3">
      <c r="D2196"/>
    </row>
    <row r="2197" spans="4:4" x14ac:dyDescent="0.3">
      <c r="D2197"/>
    </row>
    <row r="2198" spans="4:4" x14ac:dyDescent="0.3">
      <c r="D2198"/>
    </row>
    <row r="2199" spans="4:4" x14ac:dyDescent="0.3">
      <c r="D2199"/>
    </row>
    <row r="2200" spans="4:4" x14ac:dyDescent="0.3">
      <c r="D2200"/>
    </row>
    <row r="2201" spans="4:4" x14ac:dyDescent="0.3">
      <c r="D2201"/>
    </row>
    <row r="2202" spans="4:4" x14ac:dyDescent="0.3">
      <c r="D2202"/>
    </row>
    <row r="2203" spans="4:4" x14ac:dyDescent="0.3">
      <c r="D2203"/>
    </row>
    <row r="2204" spans="4:4" x14ac:dyDescent="0.3">
      <c r="D2204"/>
    </row>
    <row r="2205" spans="4:4" x14ac:dyDescent="0.3">
      <c r="D2205"/>
    </row>
    <row r="2206" spans="4:4" x14ac:dyDescent="0.3">
      <c r="D2206"/>
    </row>
    <row r="2207" spans="4:4" x14ac:dyDescent="0.3">
      <c r="D2207"/>
    </row>
    <row r="2208" spans="4:4" x14ac:dyDescent="0.3">
      <c r="D2208"/>
    </row>
    <row r="2209" spans="4:4" x14ac:dyDescent="0.3">
      <c r="D2209"/>
    </row>
    <row r="2210" spans="4:4" x14ac:dyDescent="0.3">
      <c r="D2210"/>
    </row>
    <row r="2211" spans="4:4" x14ac:dyDescent="0.3">
      <c r="D2211"/>
    </row>
    <row r="2212" spans="4:4" x14ac:dyDescent="0.3">
      <c r="D2212"/>
    </row>
    <row r="2213" spans="4:4" x14ac:dyDescent="0.3">
      <c r="D2213"/>
    </row>
    <row r="2214" spans="4:4" x14ac:dyDescent="0.3">
      <c r="D2214"/>
    </row>
    <row r="2215" spans="4:4" x14ac:dyDescent="0.3">
      <c r="D2215"/>
    </row>
    <row r="2216" spans="4:4" x14ac:dyDescent="0.3">
      <c r="D2216"/>
    </row>
    <row r="2217" spans="4:4" x14ac:dyDescent="0.3">
      <c r="D2217"/>
    </row>
    <row r="2218" spans="4:4" x14ac:dyDescent="0.3">
      <c r="D2218"/>
    </row>
    <row r="2219" spans="4:4" x14ac:dyDescent="0.3">
      <c r="D2219"/>
    </row>
    <row r="2220" spans="4:4" x14ac:dyDescent="0.3">
      <c r="D2220"/>
    </row>
    <row r="2221" spans="4:4" x14ac:dyDescent="0.3">
      <c r="D2221"/>
    </row>
    <row r="2222" spans="4:4" x14ac:dyDescent="0.3">
      <c r="D2222"/>
    </row>
    <row r="2223" spans="4:4" x14ac:dyDescent="0.3">
      <c r="D2223"/>
    </row>
    <row r="2224" spans="4:4" x14ac:dyDescent="0.3">
      <c r="D2224"/>
    </row>
    <row r="2225" spans="4:4" x14ac:dyDescent="0.3">
      <c r="D2225"/>
    </row>
    <row r="2226" spans="4:4" x14ac:dyDescent="0.3">
      <c r="D2226"/>
    </row>
    <row r="2227" spans="4:4" x14ac:dyDescent="0.3">
      <c r="D2227"/>
    </row>
    <row r="2228" spans="4:4" x14ac:dyDescent="0.3">
      <c r="D2228"/>
    </row>
    <row r="2229" spans="4:4" x14ac:dyDescent="0.3">
      <c r="D2229"/>
    </row>
    <row r="2230" spans="4:4" x14ac:dyDescent="0.3">
      <c r="D2230"/>
    </row>
    <row r="2231" spans="4:4" x14ac:dyDescent="0.3">
      <c r="D2231"/>
    </row>
    <row r="2232" spans="4:4" x14ac:dyDescent="0.3">
      <c r="D2232"/>
    </row>
    <row r="2233" spans="4:4" x14ac:dyDescent="0.3">
      <c r="D2233"/>
    </row>
    <row r="2234" spans="4:4" x14ac:dyDescent="0.3">
      <c r="D2234"/>
    </row>
    <row r="2235" spans="4:4" x14ac:dyDescent="0.3">
      <c r="D2235"/>
    </row>
    <row r="2236" spans="4:4" x14ac:dyDescent="0.3">
      <c r="D2236"/>
    </row>
    <row r="2237" spans="4:4" x14ac:dyDescent="0.3">
      <c r="D2237"/>
    </row>
    <row r="2238" spans="4:4" x14ac:dyDescent="0.3">
      <c r="D2238"/>
    </row>
    <row r="2239" spans="4:4" x14ac:dyDescent="0.3">
      <c r="D2239"/>
    </row>
    <row r="2240" spans="4:4" x14ac:dyDescent="0.3">
      <c r="D2240"/>
    </row>
    <row r="2241" spans="4:4" x14ac:dyDescent="0.3">
      <c r="D2241"/>
    </row>
    <row r="2242" spans="4:4" x14ac:dyDescent="0.3">
      <c r="D2242"/>
    </row>
    <row r="2243" spans="4:4" x14ac:dyDescent="0.3">
      <c r="D2243"/>
    </row>
    <row r="2244" spans="4:4" x14ac:dyDescent="0.3">
      <c r="D2244"/>
    </row>
    <row r="2245" spans="4:4" x14ac:dyDescent="0.3">
      <c r="D2245"/>
    </row>
    <row r="2246" spans="4:4" x14ac:dyDescent="0.3">
      <c r="D2246"/>
    </row>
    <row r="2247" spans="4:4" x14ac:dyDescent="0.3">
      <c r="D2247"/>
    </row>
    <row r="2248" spans="4:4" x14ac:dyDescent="0.3">
      <c r="D2248"/>
    </row>
    <row r="2249" spans="4:4" x14ac:dyDescent="0.3">
      <c r="D2249"/>
    </row>
    <row r="2250" spans="4:4" x14ac:dyDescent="0.3">
      <c r="D2250"/>
    </row>
    <row r="2251" spans="4:4" x14ac:dyDescent="0.3">
      <c r="D2251"/>
    </row>
    <row r="2252" spans="4:4" x14ac:dyDescent="0.3">
      <c r="D2252"/>
    </row>
    <row r="2253" spans="4:4" x14ac:dyDescent="0.3">
      <c r="D2253"/>
    </row>
    <row r="2254" spans="4:4" x14ac:dyDescent="0.3">
      <c r="D2254"/>
    </row>
    <row r="2255" spans="4:4" x14ac:dyDescent="0.3">
      <c r="D2255"/>
    </row>
    <row r="2256" spans="4:4" x14ac:dyDescent="0.3">
      <c r="D2256"/>
    </row>
    <row r="2257" spans="4:4" x14ac:dyDescent="0.3">
      <c r="D2257"/>
    </row>
    <row r="2258" spans="4:4" x14ac:dyDescent="0.3">
      <c r="D2258"/>
    </row>
    <row r="2259" spans="4:4" x14ac:dyDescent="0.3">
      <c r="D2259"/>
    </row>
    <row r="2260" spans="4:4" x14ac:dyDescent="0.3">
      <c r="D2260"/>
    </row>
    <row r="2261" spans="4:4" x14ac:dyDescent="0.3">
      <c r="D2261"/>
    </row>
    <row r="2262" spans="4:4" x14ac:dyDescent="0.3">
      <c r="D2262"/>
    </row>
    <row r="2263" spans="4:4" x14ac:dyDescent="0.3">
      <c r="D2263"/>
    </row>
    <row r="2264" spans="4:4" x14ac:dyDescent="0.3">
      <c r="D2264"/>
    </row>
    <row r="2265" spans="4:4" x14ac:dyDescent="0.3">
      <c r="D2265"/>
    </row>
    <row r="2266" spans="4:4" x14ac:dyDescent="0.3">
      <c r="D2266"/>
    </row>
    <row r="2267" spans="4:4" x14ac:dyDescent="0.3">
      <c r="D2267"/>
    </row>
    <row r="2268" spans="4:4" x14ac:dyDescent="0.3">
      <c r="D2268"/>
    </row>
    <row r="2269" spans="4:4" x14ac:dyDescent="0.3">
      <c r="D2269"/>
    </row>
    <row r="2270" spans="4:4" x14ac:dyDescent="0.3">
      <c r="D2270"/>
    </row>
    <row r="2271" spans="4:4" x14ac:dyDescent="0.3">
      <c r="D2271"/>
    </row>
    <row r="2272" spans="4:4" x14ac:dyDescent="0.3">
      <c r="D2272"/>
    </row>
    <row r="2273" spans="4:4" x14ac:dyDescent="0.3">
      <c r="D2273"/>
    </row>
    <row r="2274" spans="4:4" x14ac:dyDescent="0.3">
      <c r="D2274"/>
    </row>
    <row r="2275" spans="4:4" x14ac:dyDescent="0.3">
      <c r="D2275"/>
    </row>
    <row r="2276" spans="4:4" x14ac:dyDescent="0.3">
      <c r="D2276"/>
    </row>
    <row r="2277" spans="4:4" x14ac:dyDescent="0.3">
      <c r="D2277"/>
    </row>
    <row r="2278" spans="4:4" x14ac:dyDescent="0.3">
      <c r="D2278"/>
    </row>
    <row r="2279" spans="4:4" x14ac:dyDescent="0.3">
      <c r="D2279"/>
    </row>
    <row r="2280" spans="4:4" x14ac:dyDescent="0.3">
      <c r="D2280"/>
    </row>
    <row r="2281" spans="4:4" x14ac:dyDescent="0.3">
      <c r="D2281"/>
    </row>
    <row r="2282" spans="4:4" x14ac:dyDescent="0.3">
      <c r="D2282"/>
    </row>
    <row r="2283" spans="4:4" x14ac:dyDescent="0.3">
      <c r="D2283"/>
    </row>
    <row r="2284" spans="4:4" x14ac:dyDescent="0.3">
      <c r="D2284"/>
    </row>
    <row r="2285" spans="4:4" x14ac:dyDescent="0.3">
      <c r="D2285"/>
    </row>
    <row r="2286" spans="4:4" x14ac:dyDescent="0.3">
      <c r="D2286"/>
    </row>
    <row r="2287" spans="4:4" x14ac:dyDescent="0.3">
      <c r="D2287"/>
    </row>
    <row r="2288" spans="4:4" x14ac:dyDescent="0.3">
      <c r="D2288"/>
    </row>
    <row r="2289" spans="4:4" x14ac:dyDescent="0.3">
      <c r="D2289"/>
    </row>
    <row r="2290" spans="4:4" x14ac:dyDescent="0.3">
      <c r="D2290"/>
    </row>
    <row r="2291" spans="4:4" x14ac:dyDescent="0.3">
      <c r="D2291"/>
    </row>
    <row r="2292" spans="4:4" x14ac:dyDescent="0.3">
      <c r="D2292"/>
    </row>
    <row r="2293" spans="4:4" x14ac:dyDescent="0.3">
      <c r="D2293"/>
    </row>
    <row r="2294" spans="4:4" x14ac:dyDescent="0.3">
      <c r="D2294"/>
    </row>
    <row r="2295" spans="4:4" x14ac:dyDescent="0.3">
      <c r="D2295"/>
    </row>
    <row r="2296" spans="4:4" x14ac:dyDescent="0.3">
      <c r="D2296"/>
    </row>
    <row r="2297" spans="4:4" x14ac:dyDescent="0.3">
      <c r="D2297"/>
    </row>
    <row r="2298" spans="4:4" x14ac:dyDescent="0.3">
      <c r="D2298"/>
    </row>
    <row r="2299" spans="4:4" x14ac:dyDescent="0.3">
      <c r="D2299"/>
    </row>
    <row r="2300" spans="4:4" x14ac:dyDescent="0.3">
      <c r="D2300"/>
    </row>
    <row r="2301" spans="4:4" x14ac:dyDescent="0.3">
      <c r="D2301"/>
    </row>
    <row r="2302" spans="4:4" x14ac:dyDescent="0.3">
      <c r="D2302"/>
    </row>
    <row r="2303" spans="4:4" x14ac:dyDescent="0.3">
      <c r="D2303"/>
    </row>
    <row r="2304" spans="4:4" x14ac:dyDescent="0.3">
      <c r="D2304"/>
    </row>
    <row r="2305" spans="4:4" x14ac:dyDescent="0.3">
      <c r="D2305"/>
    </row>
    <row r="2306" spans="4:4" x14ac:dyDescent="0.3">
      <c r="D2306"/>
    </row>
    <row r="2307" spans="4:4" x14ac:dyDescent="0.3">
      <c r="D2307"/>
    </row>
    <row r="2308" spans="4:4" x14ac:dyDescent="0.3">
      <c r="D2308"/>
    </row>
    <row r="2309" spans="4:4" x14ac:dyDescent="0.3">
      <c r="D2309"/>
    </row>
    <row r="2310" spans="4:4" x14ac:dyDescent="0.3">
      <c r="D2310"/>
    </row>
    <row r="2311" spans="4:4" x14ac:dyDescent="0.3">
      <c r="D2311"/>
    </row>
    <row r="2312" spans="4:4" x14ac:dyDescent="0.3">
      <c r="D2312"/>
    </row>
    <row r="2313" spans="4:4" x14ac:dyDescent="0.3">
      <c r="D2313"/>
    </row>
    <row r="2314" spans="4:4" x14ac:dyDescent="0.3">
      <c r="D2314"/>
    </row>
    <row r="2315" spans="4:4" x14ac:dyDescent="0.3">
      <c r="D2315"/>
    </row>
    <row r="2316" spans="4:4" x14ac:dyDescent="0.3">
      <c r="D2316"/>
    </row>
    <row r="2317" spans="4:4" x14ac:dyDescent="0.3">
      <c r="D2317"/>
    </row>
    <row r="2318" spans="4:4" x14ac:dyDescent="0.3">
      <c r="D2318"/>
    </row>
    <row r="2319" spans="4:4" x14ac:dyDescent="0.3">
      <c r="D2319"/>
    </row>
    <row r="2320" spans="4:4" x14ac:dyDescent="0.3">
      <c r="D2320"/>
    </row>
    <row r="2321" spans="4:4" x14ac:dyDescent="0.3">
      <c r="D2321"/>
    </row>
    <row r="2322" spans="4:4" x14ac:dyDescent="0.3">
      <c r="D2322"/>
    </row>
    <row r="2323" spans="4:4" x14ac:dyDescent="0.3">
      <c r="D2323"/>
    </row>
    <row r="2324" spans="4:4" x14ac:dyDescent="0.3">
      <c r="D2324"/>
    </row>
    <row r="2325" spans="4:4" x14ac:dyDescent="0.3">
      <c r="D2325"/>
    </row>
    <row r="2326" spans="4:4" x14ac:dyDescent="0.3">
      <c r="D2326"/>
    </row>
    <row r="2327" spans="4:4" x14ac:dyDescent="0.3">
      <c r="D2327"/>
    </row>
    <row r="2328" spans="4:4" x14ac:dyDescent="0.3">
      <c r="D2328"/>
    </row>
    <row r="2329" spans="4:4" x14ac:dyDescent="0.3">
      <c r="D2329"/>
    </row>
    <row r="2330" spans="4:4" x14ac:dyDescent="0.3">
      <c r="D2330"/>
    </row>
    <row r="2331" spans="4:4" x14ac:dyDescent="0.3">
      <c r="D2331"/>
    </row>
    <row r="2332" spans="4:4" x14ac:dyDescent="0.3">
      <c r="D2332"/>
    </row>
    <row r="2333" spans="4:4" x14ac:dyDescent="0.3">
      <c r="D2333"/>
    </row>
    <row r="2334" spans="4:4" x14ac:dyDescent="0.3">
      <c r="D2334"/>
    </row>
    <row r="2335" spans="4:4" x14ac:dyDescent="0.3">
      <c r="D2335"/>
    </row>
    <row r="2336" spans="4:4" x14ac:dyDescent="0.3">
      <c r="D2336"/>
    </row>
    <row r="2337" spans="4:4" x14ac:dyDescent="0.3">
      <c r="D2337"/>
    </row>
    <row r="2338" spans="4:4" x14ac:dyDescent="0.3">
      <c r="D2338"/>
    </row>
    <row r="2339" spans="4:4" x14ac:dyDescent="0.3">
      <c r="D2339"/>
    </row>
    <row r="2340" spans="4:4" x14ac:dyDescent="0.3">
      <c r="D2340"/>
    </row>
    <row r="2341" spans="4:4" x14ac:dyDescent="0.3">
      <c r="D2341"/>
    </row>
    <row r="2342" spans="4:4" x14ac:dyDescent="0.3">
      <c r="D2342"/>
    </row>
    <row r="2343" spans="4:4" x14ac:dyDescent="0.3">
      <c r="D2343"/>
    </row>
    <row r="2344" spans="4:4" x14ac:dyDescent="0.3">
      <c r="D2344"/>
    </row>
    <row r="2345" spans="4:4" x14ac:dyDescent="0.3">
      <c r="D2345"/>
    </row>
    <row r="2346" spans="4:4" x14ac:dyDescent="0.3">
      <c r="D2346"/>
    </row>
    <row r="2347" spans="4:4" x14ac:dyDescent="0.3">
      <c r="D2347"/>
    </row>
    <row r="2348" spans="4:4" x14ac:dyDescent="0.3">
      <c r="D2348"/>
    </row>
    <row r="2349" spans="4:4" x14ac:dyDescent="0.3">
      <c r="D2349"/>
    </row>
    <row r="2350" spans="4:4" x14ac:dyDescent="0.3">
      <c r="D2350"/>
    </row>
    <row r="2351" spans="4:4" x14ac:dyDescent="0.3">
      <c r="D2351"/>
    </row>
    <row r="2352" spans="4:4" x14ac:dyDescent="0.3">
      <c r="D2352"/>
    </row>
    <row r="2353" spans="4:4" x14ac:dyDescent="0.3">
      <c r="D2353"/>
    </row>
    <row r="2354" spans="4:4" x14ac:dyDescent="0.3">
      <c r="D2354"/>
    </row>
    <row r="2355" spans="4:4" x14ac:dyDescent="0.3">
      <c r="D2355"/>
    </row>
    <row r="2356" spans="4:4" x14ac:dyDescent="0.3">
      <c r="D2356"/>
    </row>
    <row r="2357" spans="4:4" x14ac:dyDescent="0.3">
      <c r="D2357"/>
    </row>
    <row r="2358" spans="4:4" x14ac:dyDescent="0.3">
      <c r="D2358"/>
    </row>
    <row r="2359" spans="4:4" x14ac:dyDescent="0.3">
      <c r="D2359"/>
    </row>
    <row r="2360" spans="4:4" x14ac:dyDescent="0.3">
      <c r="D2360"/>
    </row>
    <row r="2361" spans="4:4" x14ac:dyDescent="0.3">
      <c r="D2361"/>
    </row>
    <row r="2362" spans="4:4" x14ac:dyDescent="0.3">
      <c r="D2362"/>
    </row>
    <row r="2363" spans="4:4" x14ac:dyDescent="0.3">
      <c r="D2363"/>
    </row>
    <row r="2364" spans="4:4" x14ac:dyDescent="0.3">
      <c r="D2364"/>
    </row>
    <row r="2365" spans="4:4" x14ac:dyDescent="0.3">
      <c r="D2365"/>
    </row>
    <row r="2366" spans="4:4" x14ac:dyDescent="0.3">
      <c r="D2366"/>
    </row>
    <row r="2367" spans="4:4" x14ac:dyDescent="0.3">
      <c r="D2367"/>
    </row>
    <row r="2368" spans="4:4" x14ac:dyDescent="0.3">
      <c r="D2368"/>
    </row>
    <row r="2369" spans="4:4" x14ac:dyDescent="0.3">
      <c r="D2369"/>
    </row>
    <row r="2370" spans="4:4" x14ac:dyDescent="0.3">
      <c r="D2370"/>
    </row>
    <row r="2371" spans="4:4" x14ac:dyDescent="0.3">
      <c r="D2371"/>
    </row>
    <row r="2372" spans="4:4" x14ac:dyDescent="0.3">
      <c r="D2372"/>
    </row>
    <row r="2373" spans="4:4" x14ac:dyDescent="0.3">
      <c r="D2373"/>
    </row>
    <row r="2374" spans="4:4" x14ac:dyDescent="0.3">
      <c r="D2374"/>
    </row>
    <row r="2375" spans="4:4" x14ac:dyDescent="0.3">
      <c r="D2375"/>
    </row>
    <row r="2376" spans="4:4" x14ac:dyDescent="0.3">
      <c r="D2376"/>
    </row>
    <row r="2377" spans="4:4" x14ac:dyDescent="0.3">
      <c r="D2377"/>
    </row>
    <row r="2378" spans="4:4" x14ac:dyDescent="0.3">
      <c r="D2378"/>
    </row>
    <row r="2379" spans="4:4" x14ac:dyDescent="0.3">
      <c r="D2379"/>
    </row>
    <row r="2380" spans="4:4" x14ac:dyDescent="0.3">
      <c r="D2380"/>
    </row>
    <row r="2381" spans="4:4" x14ac:dyDescent="0.3">
      <c r="D2381"/>
    </row>
    <row r="2382" spans="4:4" x14ac:dyDescent="0.3">
      <c r="D2382"/>
    </row>
    <row r="2383" spans="4:4" x14ac:dyDescent="0.3">
      <c r="D2383"/>
    </row>
    <row r="2384" spans="4:4" x14ac:dyDescent="0.3">
      <c r="D2384"/>
    </row>
    <row r="2385" spans="4:4" x14ac:dyDescent="0.3">
      <c r="D2385"/>
    </row>
    <row r="2386" spans="4:4" x14ac:dyDescent="0.3">
      <c r="D2386"/>
    </row>
    <row r="2387" spans="4:4" x14ac:dyDescent="0.3">
      <c r="D2387"/>
    </row>
    <row r="2388" spans="4:4" x14ac:dyDescent="0.3">
      <c r="D2388"/>
    </row>
    <row r="2389" spans="4:4" x14ac:dyDescent="0.3">
      <c r="D2389"/>
    </row>
    <row r="2390" spans="4:4" x14ac:dyDescent="0.3">
      <c r="D2390"/>
    </row>
    <row r="2391" spans="4:4" x14ac:dyDescent="0.3">
      <c r="D2391"/>
    </row>
    <row r="2392" spans="4:4" x14ac:dyDescent="0.3">
      <c r="D2392"/>
    </row>
    <row r="2393" spans="4:4" x14ac:dyDescent="0.3">
      <c r="D2393"/>
    </row>
    <row r="2394" spans="4:4" x14ac:dyDescent="0.3">
      <c r="D2394"/>
    </row>
    <row r="2395" spans="4:4" x14ac:dyDescent="0.3">
      <c r="D2395"/>
    </row>
    <row r="2396" spans="4:4" x14ac:dyDescent="0.3">
      <c r="D2396"/>
    </row>
    <row r="2397" spans="4:4" x14ac:dyDescent="0.3">
      <c r="D2397"/>
    </row>
    <row r="2398" spans="4:4" x14ac:dyDescent="0.3">
      <c r="D2398"/>
    </row>
    <row r="2399" spans="4:4" x14ac:dyDescent="0.3">
      <c r="D2399"/>
    </row>
    <row r="2400" spans="4:4" x14ac:dyDescent="0.3">
      <c r="D2400"/>
    </row>
    <row r="2401" spans="4:4" x14ac:dyDescent="0.3">
      <c r="D2401"/>
    </row>
    <row r="2402" spans="4:4" x14ac:dyDescent="0.3">
      <c r="D2402"/>
    </row>
    <row r="2403" spans="4:4" x14ac:dyDescent="0.3">
      <c r="D2403"/>
    </row>
    <row r="2404" spans="4:4" x14ac:dyDescent="0.3">
      <c r="D2404"/>
    </row>
    <row r="2405" spans="4:4" x14ac:dyDescent="0.3">
      <c r="D2405"/>
    </row>
    <row r="2406" spans="4:4" x14ac:dyDescent="0.3">
      <c r="D2406"/>
    </row>
    <row r="2407" spans="4:4" x14ac:dyDescent="0.3">
      <c r="D2407"/>
    </row>
    <row r="2408" spans="4:4" x14ac:dyDescent="0.3">
      <c r="D2408"/>
    </row>
    <row r="2409" spans="4:4" x14ac:dyDescent="0.3">
      <c r="D2409"/>
    </row>
    <row r="2410" spans="4:4" x14ac:dyDescent="0.3">
      <c r="D2410"/>
    </row>
    <row r="2411" spans="4:4" x14ac:dyDescent="0.3">
      <c r="D2411"/>
    </row>
    <row r="2412" spans="4:4" x14ac:dyDescent="0.3">
      <c r="D2412"/>
    </row>
    <row r="2413" spans="4:4" x14ac:dyDescent="0.3">
      <c r="D2413"/>
    </row>
    <row r="2414" spans="4:4" x14ac:dyDescent="0.3">
      <c r="D2414"/>
    </row>
    <row r="2415" spans="4:4" x14ac:dyDescent="0.3">
      <c r="D2415"/>
    </row>
    <row r="2416" spans="4:4" x14ac:dyDescent="0.3">
      <c r="D2416"/>
    </row>
    <row r="2417" spans="4:4" x14ac:dyDescent="0.3">
      <c r="D2417"/>
    </row>
    <row r="2418" spans="4:4" x14ac:dyDescent="0.3">
      <c r="D2418"/>
    </row>
    <row r="2419" spans="4:4" x14ac:dyDescent="0.3">
      <c r="D2419"/>
    </row>
    <row r="2420" spans="4:4" x14ac:dyDescent="0.3">
      <c r="D2420"/>
    </row>
    <row r="2421" spans="4:4" x14ac:dyDescent="0.3">
      <c r="D2421"/>
    </row>
    <row r="2422" spans="4:4" x14ac:dyDescent="0.3">
      <c r="D2422"/>
    </row>
    <row r="2423" spans="4:4" x14ac:dyDescent="0.3">
      <c r="D2423"/>
    </row>
    <row r="2424" spans="4:4" x14ac:dyDescent="0.3">
      <c r="D2424"/>
    </row>
    <row r="2425" spans="4:4" x14ac:dyDescent="0.3">
      <c r="D2425"/>
    </row>
    <row r="2426" spans="4:4" x14ac:dyDescent="0.3">
      <c r="D2426"/>
    </row>
    <row r="2427" spans="4:4" x14ac:dyDescent="0.3">
      <c r="D2427"/>
    </row>
    <row r="2428" spans="4:4" x14ac:dyDescent="0.3">
      <c r="D2428"/>
    </row>
    <row r="2429" spans="4:4" x14ac:dyDescent="0.3">
      <c r="D2429"/>
    </row>
    <row r="2430" spans="4:4" x14ac:dyDescent="0.3">
      <c r="D2430"/>
    </row>
    <row r="2431" spans="4:4" x14ac:dyDescent="0.3">
      <c r="D2431"/>
    </row>
    <row r="2432" spans="4:4" x14ac:dyDescent="0.3">
      <c r="D2432"/>
    </row>
    <row r="2433" spans="4:4" x14ac:dyDescent="0.3">
      <c r="D2433"/>
    </row>
    <row r="2434" spans="4:4" x14ac:dyDescent="0.3">
      <c r="D2434"/>
    </row>
    <row r="2435" spans="4:4" x14ac:dyDescent="0.3">
      <c r="D2435"/>
    </row>
    <row r="2436" spans="4:4" x14ac:dyDescent="0.3">
      <c r="D2436"/>
    </row>
    <row r="2437" spans="4:4" x14ac:dyDescent="0.3">
      <c r="D2437"/>
    </row>
    <row r="2438" spans="4:4" x14ac:dyDescent="0.3">
      <c r="D2438"/>
    </row>
    <row r="2439" spans="4:4" x14ac:dyDescent="0.3">
      <c r="D2439"/>
    </row>
    <row r="2440" spans="4:4" x14ac:dyDescent="0.3">
      <c r="D2440"/>
    </row>
    <row r="2441" spans="4:4" x14ac:dyDescent="0.3">
      <c r="D2441"/>
    </row>
    <row r="2442" spans="4:4" x14ac:dyDescent="0.3">
      <c r="D2442"/>
    </row>
    <row r="2443" spans="4:4" x14ac:dyDescent="0.3">
      <c r="D2443"/>
    </row>
    <row r="2444" spans="4:4" x14ac:dyDescent="0.3">
      <c r="D2444"/>
    </row>
    <row r="2445" spans="4:4" x14ac:dyDescent="0.3">
      <c r="D2445"/>
    </row>
    <row r="2446" spans="4:4" x14ac:dyDescent="0.3">
      <c r="D2446"/>
    </row>
    <row r="2447" spans="4:4" x14ac:dyDescent="0.3">
      <c r="D2447"/>
    </row>
    <row r="2448" spans="4:4" x14ac:dyDescent="0.3">
      <c r="D2448"/>
    </row>
    <row r="2449" spans="4:4" x14ac:dyDescent="0.3">
      <c r="D2449"/>
    </row>
    <row r="2450" spans="4:4" x14ac:dyDescent="0.3">
      <c r="D2450"/>
    </row>
    <row r="2451" spans="4:4" x14ac:dyDescent="0.3">
      <c r="D2451"/>
    </row>
    <row r="2452" spans="4:4" x14ac:dyDescent="0.3">
      <c r="D2452"/>
    </row>
    <row r="2453" spans="4:4" x14ac:dyDescent="0.3">
      <c r="D2453"/>
    </row>
    <row r="2454" spans="4:4" x14ac:dyDescent="0.3">
      <c r="D2454"/>
    </row>
    <row r="2455" spans="4:4" x14ac:dyDescent="0.3">
      <c r="D2455"/>
    </row>
    <row r="2456" spans="4:4" x14ac:dyDescent="0.3">
      <c r="D2456"/>
    </row>
    <row r="2457" spans="4:4" x14ac:dyDescent="0.3">
      <c r="D2457"/>
    </row>
    <row r="2458" spans="4:4" x14ac:dyDescent="0.3">
      <c r="D2458"/>
    </row>
    <row r="2459" spans="4:4" x14ac:dyDescent="0.3">
      <c r="D2459"/>
    </row>
    <row r="2460" spans="4:4" x14ac:dyDescent="0.3">
      <c r="D2460"/>
    </row>
    <row r="2461" spans="4:4" x14ac:dyDescent="0.3">
      <c r="D2461"/>
    </row>
    <row r="2462" spans="4:4" x14ac:dyDescent="0.3">
      <c r="D2462"/>
    </row>
    <row r="2463" spans="4:4" x14ac:dyDescent="0.3">
      <c r="D2463"/>
    </row>
    <row r="2464" spans="4:4" x14ac:dyDescent="0.3">
      <c r="D2464"/>
    </row>
    <row r="2465" spans="4:4" x14ac:dyDescent="0.3">
      <c r="D2465"/>
    </row>
    <row r="2466" spans="4:4" x14ac:dyDescent="0.3">
      <c r="D2466"/>
    </row>
    <row r="2467" spans="4:4" x14ac:dyDescent="0.3">
      <c r="D2467"/>
    </row>
    <row r="2468" spans="4:4" x14ac:dyDescent="0.3">
      <c r="D2468"/>
    </row>
    <row r="2469" spans="4:4" x14ac:dyDescent="0.3">
      <c r="D2469"/>
    </row>
    <row r="2470" spans="4:4" x14ac:dyDescent="0.3">
      <c r="D2470"/>
    </row>
    <row r="2471" spans="4:4" x14ac:dyDescent="0.3">
      <c r="D2471"/>
    </row>
    <row r="2472" spans="4:4" x14ac:dyDescent="0.3">
      <c r="D2472"/>
    </row>
    <row r="2473" spans="4:4" x14ac:dyDescent="0.3">
      <c r="D2473"/>
    </row>
    <row r="2474" spans="4:4" x14ac:dyDescent="0.3">
      <c r="D2474"/>
    </row>
    <row r="2475" spans="4:4" x14ac:dyDescent="0.3">
      <c r="D2475"/>
    </row>
    <row r="2476" spans="4:4" x14ac:dyDescent="0.3">
      <c r="D2476"/>
    </row>
    <row r="2477" spans="4:4" x14ac:dyDescent="0.3">
      <c r="D2477"/>
    </row>
    <row r="2478" spans="4:4" x14ac:dyDescent="0.3">
      <c r="D2478"/>
    </row>
    <row r="2479" spans="4:4" x14ac:dyDescent="0.3">
      <c r="D2479"/>
    </row>
    <row r="2480" spans="4:4" x14ac:dyDescent="0.3">
      <c r="D2480"/>
    </row>
    <row r="2481" spans="4:4" x14ac:dyDescent="0.3">
      <c r="D2481"/>
    </row>
    <row r="2482" spans="4:4" x14ac:dyDescent="0.3">
      <c r="D2482"/>
    </row>
    <row r="2483" spans="4:4" x14ac:dyDescent="0.3">
      <c r="D2483"/>
    </row>
    <row r="2484" spans="4:4" x14ac:dyDescent="0.3">
      <c r="D2484"/>
    </row>
    <row r="2485" spans="4:4" x14ac:dyDescent="0.3">
      <c r="D2485"/>
    </row>
    <row r="2486" spans="4:4" x14ac:dyDescent="0.3">
      <c r="D2486"/>
    </row>
    <row r="2487" spans="4:4" x14ac:dyDescent="0.3">
      <c r="D2487"/>
    </row>
    <row r="2488" spans="4:4" x14ac:dyDescent="0.3">
      <c r="D2488"/>
    </row>
    <row r="2489" spans="4:4" x14ac:dyDescent="0.3">
      <c r="D2489"/>
    </row>
    <row r="2490" spans="4:4" x14ac:dyDescent="0.3">
      <c r="D2490"/>
    </row>
    <row r="2491" spans="4:4" x14ac:dyDescent="0.3">
      <c r="D2491"/>
    </row>
    <row r="2492" spans="4:4" x14ac:dyDescent="0.3">
      <c r="D2492"/>
    </row>
    <row r="2493" spans="4:4" x14ac:dyDescent="0.3">
      <c r="D2493"/>
    </row>
    <row r="2494" spans="4:4" x14ac:dyDescent="0.3">
      <c r="D2494"/>
    </row>
    <row r="2495" spans="4:4" x14ac:dyDescent="0.3">
      <c r="D2495"/>
    </row>
    <row r="2496" spans="4:4" x14ac:dyDescent="0.3">
      <c r="D2496"/>
    </row>
    <row r="2497" spans="4:4" x14ac:dyDescent="0.3">
      <c r="D2497"/>
    </row>
    <row r="2498" spans="4:4" x14ac:dyDescent="0.3">
      <c r="D2498"/>
    </row>
    <row r="2499" spans="4:4" x14ac:dyDescent="0.3">
      <c r="D2499"/>
    </row>
    <row r="2500" spans="4:4" x14ac:dyDescent="0.3">
      <c r="D2500"/>
    </row>
    <row r="2501" spans="4:4" x14ac:dyDescent="0.3">
      <c r="D2501"/>
    </row>
    <row r="2502" spans="4:4" x14ac:dyDescent="0.3">
      <c r="D2502"/>
    </row>
    <row r="2503" spans="4:4" x14ac:dyDescent="0.3">
      <c r="D2503"/>
    </row>
    <row r="2504" spans="4:4" x14ac:dyDescent="0.3">
      <c r="D2504"/>
    </row>
    <row r="2505" spans="4:4" x14ac:dyDescent="0.3">
      <c r="D2505"/>
    </row>
    <row r="2506" spans="4:4" x14ac:dyDescent="0.3">
      <c r="D2506"/>
    </row>
    <row r="2507" spans="4:4" x14ac:dyDescent="0.3">
      <c r="D2507"/>
    </row>
    <row r="2508" spans="4:4" x14ac:dyDescent="0.3">
      <c r="D2508"/>
    </row>
    <row r="2509" spans="4:4" x14ac:dyDescent="0.3">
      <c r="D2509"/>
    </row>
    <row r="2510" spans="4:4" x14ac:dyDescent="0.3">
      <c r="D2510"/>
    </row>
    <row r="2511" spans="4:4" x14ac:dyDescent="0.3">
      <c r="D2511"/>
    </row>
    <row r="2512" spans="4:4" x14ac:dyDescent="0.3">
      <c r="D2512"/>
    </row>
    <row r="2513" spans="4:4" x14ac:dyDescent="0.3">
      <c r="D2513"/>
    </row>
    <row r="2514" spans="4:4" x14ac:dyDescent="0.3">
      <c r="D2514"/>
    </row>
    <row r="2515" spans="4:4" x14ac:dyDescent="0.3">
      <c r="D2515"/>
    </row>
    <row r="2516" spans="4:4" x14ac:dyDescent="0.3">
      <c r="D2516"/>
    </row>
    <row r="2517" spans="4:4" x14ac:dyDescent="0.3">
      <c r="D2517"/>
    </row>
    <row r="2518" spans="4:4" x14ac:dyDescent="0.3">
      <c r="D2518"/>
    </row>
    <row r="2519" spans="4:4" x14ac:dyDescent="0.3">
      <c r="D2519"/>
    </row>
    <row r="2520" spans="4:4" x14ac:dyDescent="0.3">
      <c r="D2520"/>
    </row>
    <row r="2521" spans="4:4" x14ac:dyDescent="0.3">
      <c r="D2521"/>
    </row>
    <row r="2522" spans="4:4" x14ac:dyDescent="0.3">
      <c r="D2522"/>
    </row>
    <row r="2523" spans="4:4" x14ac:dyDescent="0.3">
      <c r="D2523"/>
    </row>
    <row r="2524" spans="4:4" x14ac:dyDescent="0.3">
      <c r="D2524"/>
    </row>
    <row r="2525" spans="4:4" x14ac:dyDescent="0.3">
      <c r="D2525"/>
    </row>
    <row r="2526" spans="4:4" x14ac:dyDescent="0.3">
      <c r="D2526"/>
    </row>
    <row r="2527" spans="4:4" x14ac:dyDescent="0.3">
      <c r="D2527"/>
    </row>
    <row r="2528" spans="4:4" x14ac:dyDescent="0.3">
      <c r="D2528"/>
    </row>
    <row r="2529" spans="4:4" x14ac:dyDescent="0.3">
      <c r="D2529"/>
    </row>
    <row r="2530" spans="4:4" x14ac:dyDescent="0.3">
      <c r="D2530"/>
    </row>
    <row r="2531" spans="4:4" x14ac:dyDescent="0.3">
      <c r="D2531"/>
    </row>
    <row r="2532" spans="4:4" x14ac:dyDescent="0.3">
      <c r="D2532"/>
    </row>
    <row r="2533" spans="4:4" x14ac:dyDescent="0.3">
      <c r="D2533"/>
    </row>
    <row r="2534" spans="4:4" x14ac:dyDescent="0.3">
      <c r="D2534"/>
    </row>
    <row r="2535" spans="4:4" x14ac:dyDescent="0.3">
      <c r="D2535"/>
    </row>
    <row r="2536" spans="4:4" x14ac:dyDescent="0.3">
      <c r="D2536"/>
    </row>
    <row r="2537" spans="4:4" x14ac:dyDescent="0.3">
      <c r="D2537"/>
    </row>
    <row r="2538" spans="4:4" x14ac:dyDescent="0.3">
      <c r="D2538"/>
    </row>
    <row r="2539" spans="4:4" x14ac:dyDescent="0.3">
      <c r="D2539"/>
    </row>
    <row r="2540" spans="4:4" x14ac:dyDescent="0.3">
      <c r="D2540"/>
    </row>
    <row r="2541" spans="4:4" x14ac:dyDescent="0.3">
      <c r="D2541"/>
    </row>
    <row r="2542" spans="4:4" x14ac:dyDescent="0.3">
      <c r="D2542"/>
    </row>
    <row r="2543" spans="4:4" x14ac:dyDescent="0.3">
      <c r="D2543"/>
    </row>
    <row r="2544" spans="4:4" x14ac:dyDescent="0.3">
      <c r="D2544"/>
    </row>
    <row r="2545" spans="4:4" x14ac:dyDescent="0.3">
      <c r="D2545"/>
    </row>
    <row r="2546" spans="4:4" x14ac:dyDescent="0.3">
      <c r="D2546"/>
    </row>
    <row r="2547" spans="4:4" x14ac:dyDescent="0.3">
      <c r="D2547"/>
    </row>
    <row r="2548" spans="4:4" x14ac:dyDescent="0.3">
      <c r="D2548"/>
    </row>
    <row r="2549" spans="4:4" x14ac:dyDescent="0.3">
      <c r="D2549"/>
    </row>
    <row r="2550" spans="4:4" x14ac:dyDescent="0.3">
      <c r="D2550"/>
    </row>
    <row r="2551" spans="4:4" x14ac:dyDescent="0.3">
      <c r="D2551"/>
    </row>
    <row r="2552" spans="4:4" x14ac:dyDescent="0.3">
      <c r="D2552"/>
    </row>
    <row r="2553" spans="4:4" x14ac:dyDescent="0.3">
      <c r="D2553"/>
    </row>
    <row r="2554" spans="4:4" x14ac:dyDescent="0.3">
      <c r="D2554"/>
    </row>
    <row r="2555" spans="4:4" x14ac:dyDescent="0.3">
      <c r="D2555"/>
    </row>
    <row r="2556" spans="4:4" x14ac:dyDescent="0.3">
      <c r="D2556"/>
    </row>
    <row r="2557" spans="4:4" x14ac:dyDescent="0.3">
      <c r="D2557"/>
    </row>
    <row r="2558" spans="4:4" x14ac:dyDescent="0.3">
      <c r="D2558"/>
    </row>
    <row r="2559" spans="4:4" x14ac:dyDescent="0.3">
      <c r="D2559"/>
    </row>
    <row r="2560" spans="4:4" x14ac:dyDescent="0.3">
      <c r="D2560"/>
    </row>
    <row r="2561" spans="4:4" x14ac:dyDescent="0.3">
      <c r="D2561"/>
    </row>
    <row r="2562" spans="4:4" x14ac:dyDescent="0.3">
      <c r="D2562"/>
    </row>
    <row r="2563" spans="4:4" x14ac:dyDescent="0.3">
      <c r="D2563"/>
    </row>
    <row r="2564" spans="4:4" x14ac:dyDescent="0.3">
      <c r="D2564"/>
    </row>
    <row r="2565" spans="4:4" x14ac:dyDescent="0.3">
      <c r="D2565"/>
    </row>
    <row r="2566" spans="4:4" x14ac:dyDescent="0.3">
      <c r="D2566"/>
    </row>
    <row r="2567" spans="4:4" x14ac:dyDescent="0.3">
      <c r="D2567"/>
    </row>
    <row r="2568" spans="4:4" x14ac:dyDescent="0.3">
      <c r="D2568"/>
    </row>
    <row r="2569" spans="4:4" x14ac:dyDescent="0.3">
      <c r="D2569"/>
    </row>
    <row r="2570" spans="4:4" x14ac:dyDescent="0.3">
      <c r="D2570"/>
    </row>
    <row r="2571" spans="4:4" x14ac:dyDescent="0.3">
      <c r="D2571"/>
    </row>
    <row r="2572" spans="4:4" x14ac:dyDescent="0.3">
      <c r="D2572"/>
    </row>
    <row r="2573" spans="4:4" x14ac:dyDescent="0.3">
      <c r="D2573"/>
    </row>
    <row r="2574" spans="4:4" x14ac:dyDescent="0.3">
      <c r="D2574"/>
    </row>
    <row r="2575" spans="4:4" x14ac:dyDescent="0.3">
      <c r="D2575"/>
    </row>
    <row r="2576" spans="4:4" x14ac:dyDescent="0.3">
      <c r="D2576"/>
    </row>
    <row r="2577" spans="4:4" x14ac:dyDescent="0.3">
      <c r="D2577"/>
    </row>
    <row r="2578" spans="4:4" x14ac:dyDescent="0.3">
      <c r="D2578"/>
    </row>
    <row r="2579" spans="4:4" x14ac:dyDescent="0.3">
      <c r="D2579"/>
    </row>
    <row r="2580" spans="4:4" x14ac:dyDescent="0.3">
      <c r="D2580"/>
    </row>
    <row r="2581" spans="4:4" x14ac:dyDescent="0.3">
      <c r="D2581"/>
    </row>
    <row r="2582" spans="4:4" x14ac:dyDescent="0.3">
      <c r="D2582"/>
    </row>
    <row r="2583" spans="4:4" x14ac:dyDescent="0.3">
      <c r="D2583"/>
    </row>
    <row r="2584" spans="4:4" x14ac:dyDescent="0.3">
      <c r="D2584"/>
    </row>
    <row r="2585" spans="4:4" x14ac:dyDescent="0.3">
      <c r="D2585"/>
    </row>
    <row r="2586" spans="4:4" x14ac:dyDescent="0.3">
      <c r="D2586"/>
    </row>
    <row r="2587" spans="4:4" x14ac:dyDescent="0.3">
      <c r="D2587"/>
    </row>
    <row r="2588" spans="4:4" x14ac:dyDescent="0.3">
      <c r="D2588"/>
    </row>
    <row r="2589" spans="4:4" x14ac:dyDescent="0.3">
      <c r="D2589"/>
    </row>
    <row r="2590" spans="4:4" x14ac:dyDescent="0.3">
      <c r="D2590"/>
    </row>
    <row r="2591" spans="4:4" x14ac:dyDescent="0.3">
      <c r="D2591"/>
    </row>
    <row r="2592" spans="4:4" x14ac:dyDescent="0.3">
      <c r="D2592"/>
    </row>
    <row r="2593" spans="4:4" x14ac:dyDescent="0.3">
      <c r="D2593"/>
    </row>
    <row r="2594" spans="4:4" x14ac:dyDescent="0.3">
      <c r="D2594"/>
    </row>
    <row r="2595" spans="4:4" x14ac:dyDescent="0.3">
      <c r="D2595"/>
    </row>
    <row r="2596" spans="4:4" x14ac:dyDescent="0.3">
      <c r="D2596"/>
    </row>
    <row r="2597" spans="4:4" x14ac:dyDescent="0.3">
      <c r="D2597"/>
    </row>
    <row r="2598" spans="4:4" x14ac:dyDescent="0.3">
      <c r="D2598"/>
    </row>
    <row r="2599" spans="4:4" x14ac:dyDescent="0.3">
      <c r="D2599"/>
    </row>
    <row r="2600" spans="4:4" x14ac:dyDescent="0.3">
      <c r="D2600"/>
    </row>
    <row r="2601" spans="4:4" x14ac:dyDescent="0.3">
      <c r="D2601"/>
    </row>
    <row r="2602" spans="4:4" x14ac:dyDescent="0.3">
      <c r="D2602"/>
    </row>
    <row r="2603" spans="4:4" x14ac:dyDescent="0.3">
      <c r="D2603"/>
    </row>
    <row r="2604" spans="4:4" x14ac:dyDescent="0.3">
      <c r="D2604"/>
    </row>
    <row r="2605" spans="4:4" x14ac:dyDescent="0.3">
      <c r="D2605"/>
    </row>
    <row r="2606" spans="4:4" x14ac:dyDescent="0.3">
      <c r="D2606"/>
    </row>
    <row r="2607" spans="4:4" x14ac:dyDescent="0.3">
      <c r="D2607"/>
    </row>
    <row r="2608" spans="4:4" x14ac:dyDescent="0.3">
      <c r="D2608"/>
    </row>
    <row r="2609" spans="4:4" x14ac:dyDescent="0.3">
      <c r="D2609"/>
    </row>
    <row r="2610" spans="4:4" x14ac:dyDescent="0.3">
      <c r="D2610"/>
    </row>
    <row r="2611" spans="4:4" x14ac:dyDescent="0.3">
      <c r="D2611"/>
    </row>
    <row r="2612" spans="4:4" x14ac:dyDescent="0.3">
      <c r="D2612"/>
    </row>
    <row r="2613" spans="4:4" x14ac:dyDescent="0.3">
      <c r="D2613"/>
    </row>
    <row r="2614" spans="4:4" x14ac:dyDescent="0.3">
      <c r="D2614"/>
    </row>
    <row r="2615" spans="4:4" x14ac:dyDescent="0.3">
      <c r="D2615"/>
    </row>
    <row r="2616" spans="4:4" x14ac:dyDescent="0.3">
      <c r="D2616"/>
    </row>
    <row r="2617" spans="4:4" x14ac:dyDescent="0.3">
      <c r="D2617"/>
    </row>
    <row r="2618" spans="4:4" x14ac:dyDescent="0.3">
      <c r="D2618"/>
    </row>
    <row r="2619" spans="4:4" x14ac:dyDescent="0.3">
      <c r="D2619"/>
    </row>
    <row r="2620" spans="4:4" x14ac:dyDescent="0.3">
      <c r="D2620"/>
    </row>
    <row r="2621" spans="4:4" x14ac:dyDescent="0.3">
      <c r="D2621"/>
    </row>
    <row r="2622" spans="4:4" x14ac:dyDescent="0.3">
      <c r="D2622"/>
    </row>
    <row r="2623" spans="4:4" x14ac:dyDescent="0.3">
      <c r="D2623"/>
    </row>
    <row r="2624" spans="4:4" x14ac:dyDescent="0.3">
      <c r="D2624"/>
    </row>
    <row r="2625" spans="4:4" x14ac:dyDescent="0.3">
      <c r="D2625"/>
    </row>
    <row r="2626" spans="4:4" x14ac:dyDescent="0.3">
      <c r="D2626"/>
    </row>
    <row r="2627" spans="4:4" x14ac:dyDescent="0.3">
      <c r="D2627"/>
    </row>
    <row r="2628" spans="4:4" x14ac:dyDescent="0.3">
      <c r="D2628"/>
    </row>
    <row r="2629" spans="4:4" x14ac:dyDescent="0.3">
      <c r="D2629"/>
    </row>
    <row r="2630" spans="4:4" x14ac:dyDescent="0.3">
      <c r="D2630"/>
    </row>
    <row r="2631" spans="4:4" x14ac:dyDescent="0.3">
      <c r="D2631"/>
    </row>
    <row r="2632" spans="4:4" x14ac:dyDescent="0.3">
      <c r="D2632"/>
    </row>
    <row r="2633" spans="4:4" x14ac:dyDescent="0.3">
      <c r="D2633"/>
    </row>
    <row r="2634" spans="4:4" x14ac:dyDescent="0.3">
      <c r="D2634"/>
    </row>
    <row r="2635" spans="4:4" x14ac:dyDescent="0.3">
      <c r="D2635"/>
    </row>
    <row r="2636" spans="4:4" x14ac:dyDescent="0.3">
      <c r="D2636"/>
    </row>
    <row r="2637" spans="4:4" x14ac:dyDescent="0.3">
      <c r="D2637"/>
    </row>
    <row r="2638" spans="4:4" x14ac:dyDescent="0.3">
      <c r="D2638"/>
    </row>
    <row r="2639" spans="4:4" x14ac:dyDescent="0.3">
      <c r="D2639"/>
    </row>
    <row r="2640" spans="4:4" x14ac:dyDescent="0.3">
      <c r="D2640"/>
    </row>
    <row r="2641" spans="4:4" x14ac:dyDescent="0.3">
      <c r="D2641"/>
    </row>
    <row r="2642" spans="4:4" x14ac:dyDescent="0.3">
      <c r="D2642"/>
    </row>
    <row r="2643" spans="4:4" x14ac:dyDescent="0.3">
      <c r="D2643"/>
    </row>
    <row r="2644" spans="4:4" x14ac:dyDescent="0.3">
      <c r="D2644"/>
    </row>
    <row r="2645" spans="4:4" x14ac:dyDescent="0.3">
      <c r="D2645"/>
    </row>
    <row r="2646" spans="4:4" x14ac:dyDescent="0.3">
      <c r="D2646"/>
    </row>
    <row r="2647" spans="4:4" x14ac:dyDescent="0.3">
      <c r="D2647"/>
    </row>
    <row r="2648" spans="4:4" x14ac:dyDescent="0.3">
      <c r="D2648"/>
    </row>
    <row r="2649" spans="4:4" x14ac:dyDescent="0.3">
      <c r="D2649"/>
    </row>
    <row r="2650" spans="4:4" x14ac:dyDescent="0.3">
      <c r="D2650"/>
    </row>
    <row r="2651" spans="4:4" x14ac:dyDescent="0.3">
      <c r="D2651"/>
    </row>
    <row r="2652" spans="4:4" x14ac:dyDescent="0.3">
      <c r="D2652"/>
    </row>
    <row r="2653" spans="4:4" x14ac:dyDescent="0.3">
      <c r="D2653"/>
    </row>
    <row r="2654" spans="4:4" x14ac:dyDescent="0.3">
      <c r="D2654"/>
    </row>
    <row r="2655" spans="4:4" x14ac:dyDescent="0.3">
      <c r="D2655"/>
    </row>
    <row r="2656" spans="4:4" x14ac:dyDescent="0.3">
      <c r="D2656"/>
    </row>
    <row r="2657" spans="4:4" x14ac:dyDescent="0.3">
      <c r="D2657"/>
    </row>
    <row r="2658" spans="4:4" x14ac:dyDescent="0.3">
      <c r="D2658"/>
    </row>
    <row r="2659" spans="4:4" x14ac:dyDescent="0.3">
      <c r="D2659"/>
    </row>
    <row r="2660" spans="4:4" x14ac:dyDescent="0.3">
      <c r="D2660"/>
    </row>
    <row r="2661" spans="4:4" x14ac:dyDescent="0.3">
      <c r="D2661"/>
    </row>
    <row r="2662" spans="4:4" x14ac:dyDescent="0.3">
      <c r="D2662"/>
    </row>
    <row r="2663" spans="4:4" x14ac:dyDescent="0.3">
      <c r="D2663"/>
    </row>
    <row r="2664" spans="4:4" x14ac:dyDescent="0.3">
      <c r="D2664"/>
    </row>
    <row r="2665" spans="4:4" x14ac:dyDescent="0.3">
      <c r="D2665"/>
    </row>
    <row r="2666" spans="4:4" x14ac:dyDescent="0.3">
      <c r="D2666"/>
    </row>
    <row r="2667" spans="4:4" x14ac:dyDescent="0.3">
      <c r="D2667"/>
    </row>
    <row r="2668" spans="4:4" x14ac:dyDescent="0.3">
      <c r="D2668"/>
    </row>
    <row r="2669" spans="4:4" x14ac:dyDescent="0.3">
      <c r="D2669"/>
    </row>
    <row r="2670" spans="4:4" x14ac:dyDescent="0.3">
      <c r="D2670"/>
    </row>
    <row r="2671" spans="4:4" x14ac:dyDescent="0.3">
      <c r="D2671"/>
    </row>
    <row r="2672" spans="4:4" x14ac:dyDescent="0.3">
      <c r="D2672"/>
    </row>
    <row r="2673" spans="4:4" x14ac:dyDescent="0.3">
      <c r="D2673"/>
    </row>
    <row r="2674" spans="4:4" x14ac:dyDescent="0.3">
      <c r="D2674"/>
    </row>
    <row r="2675" spans="4:4" x14ac:dyDescent="0.3">
      <c r="D2675"/>
    </row>
    <row r="2676" spans="4:4" x14ac:dyDescent="0.3">
      <c r="D2676"/>
    </row>
    <row r="2677" spans="4:4" x14ac:dyDescent="0.3">
      <c r="D2677"/>
    </row>
    <row r="2678" spans="4:4" x14ac:dyDescent="0.3">
      <c r="D2678"/>
    </row>
    <row r="2679" spans="4:4" x14ac:dyDescent="0.3">
      <c r="D2679"/>
    </row>
    <row r="2680" spans="4:4" x14ac:dyDescent="0.3">
      <c r="D2680"/>
    </row>
    <row r="2681" spans="4:4" x14ac:dyDescent="0.3">
      <c r="D2681"/>
    </row>
    <row r="2682" spans="4:4" x14ac:dyDescent="0.3">
      <c r="D2682"/>
    </row>
    <row r="2683" spans="4:4" x14ac:dyDescent="0.3">
      <c r="D2683"/>
    </row>
    <row r="2684" spans="4:4" x14ac:dyDescent="0.3">
      <c r="D2684"/>
    </row>
    <row r="2685" spans="4:4" x14ac:dyDescent="0.3">
      <c r="D2685"/>
    </row>
    <row r="2686" spans="4:4" x14ac:dyDescent="0.3">
      <c r="D2686"/>
    </row>
    <row r="2687" spans="4:4" x14ac:dyDescent="0.3">
      <c r="D2687"/>
    </row>
    <row r="2688" spans="4:4" x14ac:dyDescent="0.3">
      <c r="D2688"/>
    </row>
    <row r="2689" spans="4:4" x14ac:dyDescent="0.3">
      <c r="D2689"/>
    </row>
    <row r="2690" spans="4:4" x14ac:dyDescent="0.3">
      <c r="D2690"/>
    </row>
    <row r="2691" spans="4:4" x14ac:dyDescent="0.3">
      <c r="D2691"/>
    </row>
    <row r="2692" spans="4:4" x14ac:dyDescent="0.3">
      <c r="D2692"/>
    </row>
    <row r="2693" spans="4:4" x14ac:dyDescent="0.3">
      <c r="D2693"/>
    </row>
    <row r="2694" spans="4:4" x14ac:dyDescent="0.3">
      <c r="D2694"/>
    </row>
    <row r="2695" spans="4:4" x14ac:dyDescent="0.3">
      <c r="D2695"/>
    </row>
    <row r="2696" spans="4:4" x14ac:dyDescent="0.3">
      <c r="D2696"/>
    </row>
    <row r="2697" spans="4:4" x14ac:dyDescent="0.3">
      <c r="D2697"/>
    </row>
    <row r="2698" spans="4:4" x14ac:dyDescent="0.3">
      <c r="D2698"/>
    </row>
    <row r="2699" spans="4:4" x14ac:dyDescent="0.3">
      <c r="D2699"/>
    </row>
    <row r="2700" spans="4:4" x14ac:dyDescent="0.3">
      <c r="D2700"/>
    </row>
    <row r="2701" spans="4:4" x14ac:dyDescent="0.3">
      <c r="D2701"/>
    </row>
    <row r="2702" spans="4:4" x14ac:dyDescent="0.3">
      <c r="D2702"/>
    </row>
    <row r="2703" spans="4:4" x14ac:dyDescent="0.3">
      <c r="D2703"/>
    </row>
    <row r="2704" spans="4:4" x14ac:dyDescent="0.3">
      <c r="D2704"/>
    </row>
    <row r="2705" spans="4:4" x14ac:dyDescent="0.3">
      <c r="D2705"/>
    </row>
    <row r="2706" spans="4:4" x14ac:dyDescent="0.3">
      <c r="D2706"/>
    </row>
    <row r="2707" spans="4:4" x14ac:dyDescent="0.3">
      <c r="D2707"/>
    </row>
    <row r="2708" spans="4:4" x14ac:dyDescent="0.3">
      <c r="D2708"/>
    </row>
    <row r="2709" spans="4:4" x14ac:dyDescent="0.3">
      <c r="D2709"/>
    </row>
    <row r="2710" spans="4:4" x14ac:dyDescent="0.3">
      <c r="D2710"/>
    </row>
    <row r="2711" spans="4:4" x14ac:dyDescent="0.3">
      <c r="D2711"/>
    </row>
    <row r="2712" spans="4:4" x14ac:dyDescent="0.3">
      <c r="D2712"/>
    </row>
    <row r="2713" spans="4:4" x14ac:dyDescent="0.3">
      <c r="D2713"/>
    </row>
    <row r="2714" spans="4:4" x14ac:dyDescent="0.3">
      <c r="D2714"/>
    </row>
    <row r="2715" spans="4:4" x14ac:dyDescent="0.3">
      <c r="D2715"/>
    </row>
    <row r="2716" spans="4:4" x14ac:dyDescent="0.3">
      <c r="D2716"/>
    </row>
    <row r="2717" spans="4:4" x14ac:dyDescent="0.3">
      <c r="D2717"/>
    </row>
    <row r="2718" spans="4:4" x14ac:dyDescent="0.3">
      <c r="D2718"/>
    </row>
    <row r="2719" spans="4:4" x14ac:dyDescent="0.3">
      <c r="D2719"/>
    </row>
    <row r="2720" spans="4:4" x14ac:dyDescent="0.3">
      <c r="D2720"/>
    </row>
    <row r="2721" spans="4:4" x14ac:dyDescent="0.3">
      <c r="D2721"/>
    </row>
    <row r="2722" spans="4:4" x14ac:dyDescent="0.3">
      <c r="D2722"/>
    </row>
    <row r="2723" spans="4:4" x14ac:dyDescent="0.3">
      <c r="D2723"/>
    </row>
    <row r="2724" spans="4:4" x14ac:dyDescent="0.3">
      <c r="D2724"/>
    </row>
    <row r="2725" spans="4:4" x14ac:dyDescent="0.3">
      <c r="D2725"/>
    </row>
    <row r="2726" spans="4:4" x14ac:dyDescent="0.3">
      <c r="D2726"/>
    </row>
    <row r="2727" spans="4:4" x14ac:dyDescent="0.3">
      <c r="D2727"/>
    </row>
    <row r="2728" spans="4:4" x14ac:dyDescent="0.3">
      <c r="D2728"/>
    </row>
    <row r="2729" spans="4:4" x14ac:dyDescent="0.3">
      <c r="D2729"/>
    </row>
    <row r="2730" spans="4:4" x14ac:dyDescent="0.3">
      <c r="D2730"/>
    </row>
    <row r="2731" spans="4:4" x14ac:dyDescent="0.3">
      <c r="D2731"/>
    </row>
    <row r="2732" spans="4:4" x14ac:dyDescent="0.3">
      <c r="D2732"/>
    </row>
    <row r="2733" spans="4:4" x14ac:dyDescent="0.3">
      <c r="D2733"/>
    </row>
    <row r="2734" spans="4:4" x14ac:dyDescent="0.3">
      <c r="D2734"/>
    </row>
    <row r="2735" spans="4:4" x14ac:dyDescent="0.3">
      <c r="D2735"/>
    </row>
    <row r="2736" spans="4:4" x14ac:dyDescent="0.3">
      <c r="D2736"/>
    </row>
    <row r="2737" spans="4:4" x14ac:dyDescent="0.3">
      <c r="D2737"/>
    </row>
    <row r="2738" spans="4:4" x14ac:dyDescent="0.3">
      <c r="D2738"/>
    </row>
    <row r="2739" spans="4:4" x14ac:dyDescent="0.3">
      <c r="D2739"/>
    </row>
    <row r="2740" spans="4:4" x14ac:dyDescent="0.3">
      <c r="D2740"/>
    </row>
    <row r="2741" spans="4:4" x14ac:dyDescent="0.3">
      <c r="D2741"/>
    </row>
    <row r="2742" spans="4:4" x14ac:dyDescent="0.3">
      <c r="D2742"/>
    </row>
    <row r="2743" spans="4:4" x14ac:dyDescent="0.3">
      <c r="D2743"/>
    </row>
    <row r="2744" spans="4:4" x14ac:dyDescent="0.3">
      <c r="D2744"/>
    </row>
    <row r="2745" spans="4:4" x14ac:dyDescent="0.3">
      <c r="D2745"/>
    </row>
    <row r="2746" spans="4:4" x14ac:dyDescent="0.3">
      <c r="D2746"/>
    </row>
    <row r="2747" spans="4:4" x14ac:dyDescent="0.3">
      <c r="D2747"/>
    </row>
    <row r="2748" spans="4:4" x14ac:dyDescent="0.3">
      <c r="D2748"/>
    </row>
    <row r="2749" spans="4:4" x14ac:dyDescent="0.3">
      <c r="D2749"/>
    </row>
    <row r="2750" spans="4:4" x14ac:dyDescent="0.3">
      <c r="D2750"/>
    </row>
    <row r="2751" spans="4:4" x14ac:dyDescent="0.3">
      <c r="D2751"/>
    </row>
    <row r="2752" spans="4:4" x14ac:dyDescent="0.3">
      <c r="D2752"/>
    </row>
    <row r="2753" spans="4:4" x14ac:dyDescent="0.3">
      <c r="D2753"/>
    </row>
    <row r="2754" spans="4:4" x14ac:dyDescent="0.3">
      <c r="D2754"/>
    </row>
    <row r="2755" spans="4:4" x14ac:dyDescent="0.3">
      <c r="D2755"/>
    </row>
    <row r="2756" spans="4:4" x14ac:dyDescent="0.3">
      <c r="D2756"/>
    </row>
    <row r="2757" spans="4:4" x14ac:dyDescent="0.3">
      <c r="D2757"/>
    </row>
    <row r="2758" spans="4:4" x14ac:dyDescent="0.3">
      <c r="D2758"/>
    </row>
    <row r="2759" spans="4:4" x14ac:dyDescent="0.3">
      <c r="D2759"/>
    </row>
    <row r="2760" spans="4:4" x14ac:dyDescent="0.3">
      <c r="D2760"/>
    </row>
    <row r="2761" spans="4:4" x14ac:dyDescent="0.3">
      <c r="D2761"/>
    </row>
    <row r="2762" spans="4:4" x14ac:dyDescent="0.3">
      <c r="D2762"/>
    </row>
    <row r="2763" spans="4:4" x14ac:dyDescent="0.3">
      <c r="D2763"/>
    </row>
    <row r="2764" spans="4:4" x14ac:dyDescent="0.3">
      <c r="D2764"/>
    </row>
    <row r="2765" spans="4:4" x14ac:dyDescent="0.3">
      <c r="D2765"/>
    </row>
    <row r="2766" spans="4:4" x14ac:dyDescent="0.3">
      <c r="D2766"/>
    </row>
    <row r="2767" spans="4:4" x14ac:dyDescent="0.3">
      <c r="D2767"/>
    </row>
    <row r="2768" spans="4:4" x14ac:dyDescent="0.3">
      <c r="D2768"/>
    </row>
    <row r="2769" spans="4:4" x14ac:dyDescent="0.3">
      <c r="D2769"/>
    </row>
    <row r="2770" spans="4:4" x14ac:dyDescent="0.3">
      <c r="D2770"/>
    </row>
    <row r="2771" spans="4:4" x14ac:dyDescent="0.3">
      <c r="D2771"/>
    </row>
    <row r="2772" spans="4:4" x14ac:dyDescent="0.3">
      <c r="D2772"/>
    </row>
    <row r="2773" spans="4:4" x14ac:dyDescent="0.3">
      <c r="D2773"/>
    </row>
    <row r="2774" spans="4:4" x14ac:dyDescent="0.3">
      <c r="D2774"/>
    </row>
    <row r="2775" spans="4:4" x14ac:dyDescent="0.3">
      <c r="D2775"/>
    </row>
    <row r="2776" spans="4:4" x14ac:dyDescent="0.3">
      <c r="D2776"/>
    </row>
    <row r="2777" spans="4:4" x14ac:dyDescent="0.3">
      <c r="D2777"/>
    </row>
    <row r="2778" spans="4:4" x14ac:dyDescent="0.3">
      <c r="D2778"/>
    </row>
    <row r="2779" spans="4:4" x14ac:dyDescent="0.3">
      <c r="D2779"/>
    </row>
    <row r="2780" spans="4:4" x14ac:dyDescent="0.3">
      <c r="D2780"/>
    </row>
    <row r="2781" spans="4:4" x14ac:dyDescent="0.3">
      <c r="D2781"/>
    </row>
    <row r="2782" spans="4:4" x14ac:dyDescent="0.3">
      <c r="D2782"/>
    </row>
    <row r="2783" spans="4:4" x14ac:dyDescent="0.3">
      <c r="D2783"/>
    </row>
    <row r="2784" spans="4:4" x14ac:dyDescent="0.3">
      <c r="D2784"/>
    </row>
    <row r="2785" spans="4:4" x14ac:dyDescent="0.3">
      <c r="D2785"/>
    </row>
    <row r="2786" spans="4:4" x14ac:dyDescent="0.3">
      <c r="D2786"/>
    </row>
    <row r="2787" spans="4:4" x14ac:dyDescent="0.3">
      <c r="D2787"/>
    </row>
    <row r="2788" spans="4:4" x14ac:dyDescent="0.3">
      <c r="D2788"/>
    </row>
    <row r="2789" spans="4:4" x14ac:dyDescent="0.3">
      <c r="D2789"/>
    </row>
    <row r="2790" spans="4:4" x14ac:dyDescent="0.3">
      <c r="D2790"/>
    </row>
    <row r="2791" spans="4:4" x14ac:dyDescent="0.3">
      <c r="D2791"/>
    </row>
    <row r="2792" spans="4:4" x14ac:dyDescent="0.3">
      <c r="D2792"/>
    </row>
    <row r="2793" spans="4:4" x14ac:dyDescent="0.3">
      <c r="D2793"/>
    </row>
    <row r="2794" spans="4:4" x14ac:dyDescent="0.3">
      <c r="D2794"/>
    </row>
    <row r="2795" spans="4:4" x14ac:dyDescent="0.3">
      <c r="D2795"/>
    </row>
    <row r="2796" spans="4:4" x14ac:dyDescent="0.3">
      <c r="D2796"/>
    </row>
    <row r="2797" spans="4:4" x14ac:dyDescent="0.3">
      <c r="D2797"/>
    </row>
    <row r="2798" spans="4:4" x14ac:dyDescent="0.3">
      <c r="D2798"/>
    </row>
    <row r="2799" spans="4:4" x14ac:dyDescent="0.3">
      <c r="D2799"/>
    </row>
    <row r="2800" spans="4:4" x14ac:dyDescent="0.3">
      <c r="D2800"/>
    </row>
    <row r="2801" spans="4:4" x14ac:dyDescent="0.3">
      <c r="D2801"/>
    </row>
    <row r="2802" spans="4:4" x14ac:dyDescent="0.3">
      <c r="D2802"/>
    </row>
    <row r="2803" spans="4:4" x14ac:dyDescent="0.3">
      <c r="D2803"/>
    </row>
    <row r="2804" spans="4:4" x14ac:dyDescent="0.3">
      <c r="D2804"/>
    </row>
    <row r="2805" spans="4:4" x14ac:dyDescent="0.3">
      <c r="D2805"/>
    </row>
    <row r="2806" spans="4:4" x14ac:dyDescent="0.3">
      <c r="D2806"/>
    </row>
    <row r="2807" spans="4:4" x14ac:dyDescent="0.3">
      <c r="D2807"/>
    </row>
    <row r="2808" spans="4:4" x14ac:dyDescent="0.3">
      <c r="D2808"/>
    </row>
    <row r="2809" spans="4:4" x14ac:dyDescent="0.3">
      <c r="D2809"/>
    </row>
    <row r="2810" spans="4:4" x14ac:dyDescent="0.3">
      <c r="D2810"/>
    </row>
    <row r="2811" spans="4:4" x14ac:dyDescent="0.3">
      <c r="D2811"/>
    </row>
    <row r="2812" spans="4:4" x14ac:dyDescent="0.3">
      <c r="D2812"/>
    </row>
    <row r="2813" spans="4:4" x14ac:dyDescent="0.3">
      <c r="D2813"/>
    </row>
    <row r="2814" spans="4:4" x14ac:dyDescent="0.3">
      <c r="D2814"/>
    </row>
    <row r="2815" spans="4:4" x14ac:dyDescent="0.3">
      <c r="D2815"/>
    </row>
    <row r="2816" spans="4:4" x14ac:dyDescent="0.3">
      <c r="D2816"/>
    </row>
    <row r="2817" spans="4:4" x14ac:dyDescent="0.3">
      <c r="D2817"/>
    </row>
    <row r="2818" spans="4:4" x14ac:dyDescent="0.3">
      <c r="D2818"/>
    </row>
    <row r="2819" spans="4:4" x14ac:dyDescent="0.3">
      <c r="D2819"/>
    </row>
    <row r="2820" spans="4:4" x14ac:dyDescent="0.3">
      <c r="D2820"/>
    </row>
    <row r="2821" spans="4:4" x14ac:dyDescent="0.3">
      <c r="D2821"/>
    </row>
    <row r="2822" spans="4:4" x14ac:dyDescent="0.3">
      <c r="D2822"/>
    </row>
    <row r="2823" spans="4:4" x14ac:dyDescent="0.3">
      <c r="D2823"/>
    </row>
    <row r="2824" spans="4:4" x14ac:dyDescent="0.3">
      <c r="D2824"/>
    </row>
    <row r="2825" spans="4:4" x14ac:dyDescent="0.3">
      <c r="D2825"/>
    </row>
    <row r="2826" spans="4:4" x14ac:dyDescent="0.3">
      <c r="D2826"/>
    </row>
    <row r="2827" spans="4:4" x14ac:dyDescent="0.3">
      <c r="D2827"/>
    </row>
    <row r="2828" spans="4:4" x14ac:dyDescent="0.3">
      <c r="D2828"/>
    </row>
    <row r="2829" spans="4:4" x14ac:dyDescent="0.3">
      <c r="D2829"/>
    </row>
    <row r="2830" spans="4:4" x14ac:dyDescent="0.3">
      <c r="D2830"/>
    </row>
    <row r="2831" spans="4:4" x14ac:dyDescent="0.3">
      <c r="D2831"/>
    </row>
    <row r="2832" spans="4:4" x14ac:dyDescent="0.3">
      <c r="D2832"/>
    </row>
    <row r="2833" spans="4:4" x14ac:dyDescent="0.3">
      <c r="D2833"/>
    </row>
    <row r="2834" spans="4:4" x14ac:dyDescent="0.3">
      <c r="D2834"/>
    </row>
    <row r="2835" spans="4:4" x14ac:dyDescent="0.3">
      <c r="D2835"/>
    </row>
    <row r="2836" spans="4:4" x14ac:dyDescent="0.3">
      <c r="D2836"/>
    </row>
    <row r="2837" spans="4:4" x14ac:dyDescent="0.3">
      <c r="D2837"/>
    </row>
    <row r="2838" spans="4:4" x14ac:dyDescent="0.3">
      <c r="D2838"/>
    </row>
    <row r="2839" spans="4:4" x14ac:dyDescent="0.3">
      <c r="D2839"/>
    </row>
    <row r="2840" spans="4:4" x14ac:dyDescent="0.3">
      <c r="D2840"/>
    </row>
    <row r="2841" spans="4:4" x14ac:dyDescent="0.3">
      <c r="D2841"/>
    </row>
    <row r="2842" spans="4:4" x14ac:dyDescent="0.3">
      <c r="D2842"/>
    </row>
    <row r="2843" spans="4:4" x14ac:dyDescent="0.3">
      <c r="D2843"/>
    </row>
    <row r="2844" spans="4:4" x14ac:dyDescent="0.3">
      <c r="D2844"/>
    </row>
    <row r="2845" spans="4:4" x14ac:dyDescent="0.3">
      <c r="D2845"/>
    </row>
    <row r="2846" spans="4:4" x14ac:dyDescent="0.3">
      <c r="D2846"/>
    </row>
    <row r="2847" spans="4:4" x14ac:dyDescent="0.3">
      <c r="D2847"/>
    </row>
    <row r="2848" spans="4:4" x14ac:dyDescent="0.3">
      <c r="D2848"/>
    </row>
    <row r="2849" spans="4:4" x14ac:dyDescent="0.3">
      <c r="D2849"/>
    </row>
    <row r="2850" spans="4:4" x14ac:dyDescent="0.3">
      <c r="D2850"/>
    </row>
    <row r="2851" spans="4:4" x14ac:dyDescent="0.3">
      <c r="D2851"/>
    </row>
    <row r="2852" spans="4:4" x14ac:dyDescent="0.3">
      <c r="D2852"/>
    </row>
    <row r="2853" spans="4:4" x14ac:dyDescent="0.3">
      <c r="D2853"/>
    </row>
    <row r="2854" spans="4:4" x14ac:dyDescent="0.3">
      <c r="D2854"/>
    </row>
    <row r="2855" spans="4:4" x14ac:dyDescent="0.3">
      <c r="D2855"/>
    </row>
    <row r="2856" spans="4:4" x14ac:dyDescent="0.3">
      <c r="D2856"/>
    </row>
    <row r="2857" spans="4:4" x14ac:dyDescent="0.3">
      <c r="D2857"/>
    </row>
    <row r="2858" spans="4:4" x14ac:dyDescent="0.3">
      <c r="D2858"/>
    </row>
    <row r="2859" spans="4:4" x14ac:dyDescent="0.3">
      <c r="D2859"/>
    </row>
    <row r="2860" spans="4:4" x14ac:dyDescent="0.3">
      <c r="D2860"/>
    </row>
    <row r="2861" spans="4:4" x14ac:dyDescent="0.3">
      <c r="D2861"/>
    </row>
    <row r="2862" spans="4:4" x14ac:dyDescent="0.3">
      <c r="D2862"/>
    </row>
    <row r="2863" spans="4:4" x14ac:dyDescent="0.3">
      <c r="D2863"/>
    </row>
    <row r="2864" spans="4:4" x14ac:dyDescent="0.3">
      <c r="D2864"/>
    </row>
    <row r="2865" spans="4:4" x14ac:dyDescent="0.3">
      <c r="D2865"/>
    </row>
    <row r="2866" spans="4:4" x14ac:dyDescent="0.3">
      <c r="D2866"/>
    </row>
    <row r="2867" spans="4:4" x14ac:dyDescent="0.3">
      <c r="D2867"/>
    </row>
    <row r="2868" spans="4:4" x14ac:dyDescent="0.3">
      <c r="D2868"/>
    </row>
    <row r="2869" spans="4:4" x14ac:dyDescent="0.3">
      <c r="D2869"/>
    </row>
    <row r="2870" spans="4:4" x14ac:dyDescent="0.3">
      <c r="D2870"/>
    </row>
    <row r="2871" spans="4:4" x14ac:dyDescent="0.3">
      <c r="D2871"/>
    </row>
    <row r="2872" spans="4:4" x14ac:dyDescent="0.3">
      <c r="D2872"/>
    </row>
    <row r="2873" spans="4:4" x14ac:dyDescent="0.3">
      <c r="D2873"/>
    </row>
    <row r="2874" spans="4:4" x14ac:dyDescent="0.3">
      <c r="D2874"/>
    </row>
    <row r="2875" spans="4:4" x14ac:dyDescent="0.3">
      <c r="D2875"/>
    </row>
    <row r="2876" spans="4:4" x14ac:dyDescent="0.3">
      <c r="D2876"/>
    </row>
    <row r="2877" spans="4:4" x14ac:dyDescent="0.3">
      <c r="D2877"/>
    </row>
    <row r="2878" spans="4:4" x14ac:dyDescent="0.3">
      <c r="D2878"/>
    </row>
    <row r="2879" spans="4:4" x14ac:dyDescent="0.3">
      <c r="D2879"/>
    </row>
    <row r="2880" spans="4:4" x14ac:dyDescent="0.3">
      <c r="D2880"/>
    </row>
    <row r="2881" spans="4:4" x14ac:dyDescent="0.3">
      <c r="D2881"/>
    </row>
    <row r="2882" spans="4:4" x14ac:dyDescent="0.3">
      <c r="D2882"/>
    </row>
    <row r="2883" spans="4:4" x14ac:dyDescent="0.3">
      <c r="D2883"/>
    </row>
    <row r="2884" spans="4:4" x14ac:dyDescent="0.3">
      <c r="D2884"/>
    </row>
    <row r="2885" spans="4:4" x14ac:dyDescent="0.3">
      <c r="D2885"/>
    </row>
    <row r="2886" spans="4:4" x14ac:dyDescent="0.3">
      <c r="D2886"/>
    </row>
    <row r="2887" spans="4:4" x14ac:dyDescent="0.3">
      <c r="D2887"/>
    </row>
    <row r="2888" spans="4:4" x14ac:dyDescent="0.3">
      <c r="D2888"/>
    </row>
    <row r="2889" spans="4:4" x14ac:dyDescent="0.3">
      <c r="D2889"/>
    </row>
    <row r="2890" spans="4:4" x14ac:dyDescent="0.3">
      <c r="D2890"/>
    </row>
    <row r="2891" spans="4:4" x14ac:dyDescent="0.3">
      <c r="D2891"/>
    </row>
    <row r="2892" spans="4:4" x14ac:dyDescent="0.3">
      <c r="D2892"/>
    </row>
    <row r="2893" spans="4:4" x14ac:dyDescent="0.3">
      <c r="D2893"/>
    </row>
    <row r="2894" spans="4:4" x14ac:dyDescent="0.3">
      <c r="D2894"/>
    </row>
    <row r="2895" spans="4:4" x14ac:dyDescent="0.3">
      <c r="D2895"/>
    </row>
    <row r="2896" spans="4:4" x14ac:dyDescent="0.3">
      <c r="D2896"/>
    </row>
    <row r="2897" spans="4:4" x14ac:dyDescent="0.3">
      <c r="D2897"/>
    </row>
    <row r="2898" spans="4:4" x14ac:dyDescent="0.3">
      <c r="D2898"/>
    </row>
    <row r="2899" spans="4:4" x14ac:dyDescent="0.3">
      <c r="D2899"/>
    </row>
    <row r="2900" spans="4:4" x14ac:dyDescent="0.3">
      <c r="D2900"/>
    </row>
    <row r="2901" spans="4:4" x14ac:dyDescent="0.3">
      <c r="D2901"/>
    </row>
    <row r="2902" spans="4:4" x14ac:dyDescent="0.3">
      <c r="D2902"/>
    </row>
    <row r="2903" spans="4:4" x14ac:dyDescent="0.3">
      <c r="D2903"/>
    </row>
    <row r="2904" spans="4:4" x14ac:dyDescent="0.3">
      <c r="D2904"/>
    </row>
    <row r="2905" spans="4:4" x14ac:dyDescent="0.3">
      <c r="D2905"/>
    </row>
    <row r="2906" spans="4:4" x14ac:dyDescent="0.3">
      <c r="D2906"/>
    </row>
    <row r="2907" spans="4:4" x14ac:dyDescent="0.3">
      <c r="D2907"/>
    </row>
    <row r="2908" spans="4:4" x14ac:dyDescent="0.3">
      <c r="D2908"/>
    </row>
    <row r="2909" spans="4:4" x14ac:dyDescent="0.3">
      <c r="D2909"/>
    </row>
    <row r="2910" spans="4:4" x14ac:dyDescent="0.3">
      <c r="D2910"/>
    </row>
    <row r="2911" spans="4:4" x14ac:dyDescent="0.3">
      <c r="D2911"/>
    </row>
    <row r="2912" spans="4:4" x14ac:dyDescent="0.3">
      <c r="D2912"/>
    </row>
    <row r="2913" spans="4:4" x14ac:dyDescent="0.3">
      <c r="D2913"/>
    </row>
    <row r="2914" spans="4:4" x14ac:dyDescent="0.3">
      <c r="D2914"/>
    </row>
    <row r="2915" spans="4:4" x14ac:dyDescent="0.3">
      <c r="D2915"/>
    </row>
    <row r="2916" spans="4:4" x14ac:dyDescent="0.3">
      <c r="D2916"/>
    </row>
    <row r="2917" spans="4:4" x14ac:dyDescent="0.3">
      <c r="D2917"/>
    </row>
    <row r="2918" spans="4:4" x14ac:dyDescent="0.3">
      <c r="D2918"/>
    </row>
    <row r="2919" spans="4:4" x14ac:dyDescent="0.3">
      <c r="D2919"/>
    </row>
    <row r="2920" spans="4:4" x14ac:dyDescent="0.3">
      <c r="D2920"/>
    </row>
    <row r="2921" spans="4:4" x14ac:dyDescent="0.3">
      <c r="D2921"/>
    </row>
    <row r="2922" spans="4:4" x14ac:dyDescent="0.3">
      <c r="D2922"/>
    </row>
    <row r="2923" spans="4:4" x14ac:dyDescent="0.3">
      <c r="D2923"/>
    </row>
    <row r="2924" spans="4:4" x14ac:dyDescent="0.3">
      <c r="D2924"/>
    </row>
    <row r="2925" spans="4:4" x14ac:dyDescent="0.3">
      <c r="D2925"/>
    </row>
    <row r="2926" spans="4:4" x14ac:dyDescent="0.3">
      <c r="D2926"/>
    </row>
    <row r="2927" spans="4:4" x14ac:dyDescent="0.3">
      <c r="D2927"/>
    </row>
    <row r="2928" spans="4:4" x14ac:dyDescent="0.3">
      <c r="D2928"/>
    </row>
    <row r="2929" spans="4:4" x14ac:dyDescent="0.3">
      <c r="D2929"/>
    </row>
    <row r="2930" spans="4:4" x14ac:dyDescent="0.3">
      <c r="D2930"/>
    </row>
    <row r="2931" spans="4:4" x14ac:dyDescent="0.3">
      <c r="D2931"/>
    </row>
    <row r="2932" spans="4:4" x14ac:dyDescent="0.3">
      <c r="D2932"/>
    </row>
    <row r="2933" spans="4:4" x14ac:dyDescent="0.3">
      <c r="D2933"/>
    </row>
    <row r="2934" spans="4:4" x14ac:dyDescent="0.3">
      <c r="D2934"/>
    </row>
    <row r="2935" spans="4:4" x14ac:dyDescent="0.3">
      <c r="D2935"/>
    </row>
    <row r="2936" spans="4:4" x14ac:dyDescent="0.3">
      <c r="D2936"/>
    </row>
    <row r="2937" spans="4:4" x14ac:dyDescent="0.3">
      <c r="D2937"/>
    </row>
    <row r="2938" spans="4:4" x14ac:dyDescent="0.3">
      <c r="D2938"/>
    </row>
    <row r="2939" spans="4:4" x14ac:dyDescent="0.3">
      <c r="D2939"/>
    </row>
    <row r="2940" spans="4:4" x14ac:dyDescent="0.3">
      <c r="D2940"/>
    </row>
    <row r="2941" spans="4:4" x14ac:dyDescent="0.3">
      <c r="D2941"/>
    </row>
    <row r="2942" spans="4:4" x14ac:dyDescent="0.3">
      <c r="D2942"/>
    </row>
    <row r="2943" spans="4:4" x14ac:dyDescent="0.3">
      <c r="D2943"/>
    </row>
    <row r="2944" spans="4:4" x14ac:dyDescent="0.3">
      <c r="D2944"/>
    </row>
    <row r="2945" spans="4:4" x14ac:dyDescent="0.3">
      <c r="D2945"/>
    </row>
    <row r="2946" spans="4:4" x14ac:dyDescent="0.3">
      <c r="D2946"/>
    </row>
    <row r="2947" spans="4:4" x14ac:dyDescent="0.3">
      <c r="D2947"/>
    </row>
    <row r="2948" spans="4:4" x14ac:dyDescent="0.3">
      <c r="D2948"/>
    </row>
    <row r="2949" spans="4:4" x14ac:dyDescent="0.3">
      <c r="D2949"/>
    </row>
    <row r="2950" spans="4:4" x14ac:dyDescent="0.3">
      <c r="D2950"/>
    </row>
    <row r="2951" spans="4:4" x14ac:dyDescent="0.3">
      <c r="D2951"/>
    </row>
    <row r="2952" spans="4:4" x14ac:dyDescent="0.3">
      <c r="D2952"/>
    </row>
    <row r="2953" spans="4:4" x14ac:dyDescent="0.3">
      <c r="D2953"/>
    </row>
    <row r="2954" spans="4:4" x14ac:dyDescent="0.3">
      <c r="D2954"/>
    </row>
    <row r="2955" spans="4:4" x14ac:dyDescent="0.3">
      <c r="D2955"/>
    </row>
    <row r="2956" spans="4:4" x14ac:dyDescent="0.3">
      <c r="D2956"/>
    </row>
    <row r="2957" spans="4:4" x14ac:dyDescent="0.3">
      <c r="D2957"/>
    </row>
    <row r="2958" spans="4:4" x14ac:dyDescent="0.3">
      <c r="D2958"/>
    </row>
    <row r="2959" spans="4:4" x14ac:dyDescent="0.3">
      <c r="D2959"/>
    </row>
    <row r="2960" spans="4:4" x14ac:dyDescent="0.3">
      <c r="D2960"/>
    </row>
    <row r="2961" spans="4:4" x14ac:dyDescent="0.3">
      <c r="D2961"/>
    </row>
    <row r="2962" spans="4:4" x14ac:dyDescent="0.3">
      <c r="D2962"/>
    </row>
    <row r="2963" spans="4:4" x14ac:dyDescent="0.3">
      <c r="D2963"/>
    </row>
    <row r="2964" spans="4:4" x14ac:dyDescent="0.3">
      <c r="D2964"/>
    </row>
    <row r="2965" spans="4:4" x14ac:dyDescent="0.3">
      <c r="D2965"/>
    </row>
    <row r="2966" spans="4:4" x14ac:dyDescent="0.3">
      <c r="D2966"/>
    </row>
    <row r="2967" spans="4:4" x14ac:dyDescent="0.3">
      <c r="D2967"/>
    </row>
    <row r="2968" spans="4:4" x14ac:dyDescent="0.3">
      <c r="D2968"/>
    </row>
    <row r="2969" spans="4:4" x14ac:dyDescent="0.3">
      <c r="D2969"/>
    </row>
    <row r="2970" spans="4:4" x14ac:dyDescent="0.3">
      <c r="D2970"/>
    </row>
    <row r="2971" spans="4:4" x14ac:dyDescent="0.3">
      <c r="D2971"/>
    </row>
    <row r="2972" spans="4:4" x14ac:dyDescent="0.3">
      <c r="D2972"/>
    </row>
    <row r="2973" spans="4:4" x14ac:dyDescent="0.3">
      <c r="D2973"/>
    </row>
    <row r="2974" spans="4:4" x14ac:dyDescent="0.3">
      <c r="D2974"/>
    </row>
    <row r="2975" spans="4:4" x14ac:dyDescent="0.3">
      <c r="D2975"/>
    </row>
    <row r="2976" spans="4:4" x14ac:dyDescent="0.3">
      <c r="D2976"/>
    </row>
    <row r="2977" spans="4:4" x14ac:dyDescent="0.3">
      <c r="D2977"/>
    </row>
    <row r="2978" spans="4:4" x14ac:dyDescent="0.3">
      <c r="D2978"/>
    </row>
    <row r="2979" spans="4:4" x14ac:dyDescent="0.3">
      <c r="D2979"/>
    </row>
    <row r="2980" spans="4:4" x14ac:dyDescent="0.3">
      <c r="D2980"/>
    </row>
    <row r="2981" spans="4:4" x14ac:dyDescent="0.3">
      <c r="D2981"/>
    </row>
    <row r="2982" spans="4:4" x14ac:dyDescent="0.3">
      <c r="D2982"/>
    </row>
    <row r="2983" spans="4:4" x14ac:dyDescent="0.3">
      <c r="D2983"/>
    </row>
    <row r="2984" spans="4:4" x14ac:dyDescent="0.3">
      <c r="D2984"/>
    </row>
    <row r="2985" spans="4:4" x14ac:dyDescent="0.3">
      <c r="D2985"/>
    </row>
    <row r="2986" spans="4:4" x14ac:dyDescent="0.3">
      <c r="D2986"/>
    </row>
    <row r="2987" spans="4:4" x14ac:dyDescent="0.3">
      <c r="D2987"/>
    </row>
    <row r="2988" spans="4:4" x14ac:dyDescent="0.3">
      <c r="D2988"/>
    </row>
    <row r="2989" spans="4:4" x14ac:dyDescent="0.3">
      <c r="D2989"/>
    </row>
    <row r="2990" spans="4:4" x14ac:dyDescent="0.3">
      <c r="D2990"/>
    </row>
    <row r="2991" spans="4:4" x14ac:dyDescent="0.3">
      <c r="D2991"/>
    </row>
    <row r="2992" spans="4:4" x14ac:dyDescent="0.3">
      <c r="D2992"/>
    </row>
    <row r="2993" spans="4:4" x14ac:dyDescent="0.3">
      <c r="D2993"/>
    </row>
    <row r="2994" spans="4:4" x14ac:dyDescent="0.3">
      <c r="D2994"/>
    </row>
    <row r="2995" spans="4:4" x14ac:dyDescent="0.3">
      <c r="D2995"/>
    </row>
    <row r="2996" spans="4:4" x14ac:dyDescent="0.3">
      <c r="D2996"/>
    </row>
    <row r="2997" spans="4:4" x14ac:dyDescent="0.3">
      <c r="D2997"/>
    </row>
    <row r="2998" spans="4:4" x14ac:dyDescent="0.3">
      <c r="D2998"/>
    </row>
    <row r="2999" spans="4:4" x14ac:dyDescent="0.3">
      <c r="D2999"/>
    </row>
    <row r="3000" spans="4:4" x14ac:dyDescent="0.3">
      <c r="D3000"/>
    </row>
    <row r="3001" spans="4:4" x14ac:dyDescent="0.3">
      <c r="D3001"/>
    </row>
    <row r="3002" spans="4:4" x14ac:dyDescent="0.3">
      <c r="D3002"/>
    </row>
    <row r="3003" spans="4:4" x14ac:dyDescent="0.3">
      <c r="D3003"/>
    </row>
    <row r="3004" spans="4:4" x14ac:dyDescent="0.3">
      <c r="D3004"/>
    </row>
    <row r="3005" spans="4:4" x14ac:dyDescent="0.3">
      <c r="D3005"/>
    </row>
    <row r="3006" spans="4:4" x14ac:dyDescent="0.3">
      <c r="D3006"/>
    </row>
    <row r="3007" spans="4:4" x14ac:dyDescent="0.3">
      <c r="D3007"/>
    </row>
    <row r="3008" spans="4:4" x14ac:dyDescent="0.3">
      <c r="D3008"/>
    </row>
    <row r="3009" spans="4:4" x14ac:dyDescent="0.3">
      <c r="D3009"/>
    </row>
    <row r="3010" spans="4:4" x14ac:dyDescent="0.3">
      <c r="D3010"/>
    </row>
    <row r="3011" spans="4:4" x14ac:dyDescent="0.3">
      <c r="D3011"/>
    </row>
    <row r="3012" spans="4:4" x14ac:dyDescent="0.3">
      <c r="D3012"/>
    </row>
    <row r="3013" spans="4:4" x14ac:dyDescent="0.3">
      <c r="D3013"/>
    </row>
    <row r="3014" spans="4:4" x14ac:dyDescent="0.3">
      <c r="D3014"/>
    </row>
    <row r="3015" spans="4:4" x14ac:dyDescent="0.3">
      <c r="D3015"/>
    </row>
    <row r="3016" spans="4:4" x14ac:dyDescent="0.3">
      <c r="D3016"/>
    </row>
    <row r="3017" spans="4:4" x14ac:dyDescent="0.3">
      <c r="D3017"/>
    </row>
    <row r="3018" spans="4:4" x14ac:dyDescent="0.3">
      <c r="D3018"/>
    </row>
    <row r="3019" spans="4:4" x14ac:dyDescent="0.3">
      <c r="D3019"/>
    </row>
    <row r="3020" spans="4:4" x14ac:dyDescent="0.3">
      <c r="D3020"/>
    </row>
    <row r="3021" spans="4:4" x14ac:dyDescent="0.3">
      <c r="D3021"/>
    </row>
    <row r="3022" spans="4:4" x14ac:dyDescent="0.3">
      <c r="D3022"/>
    </row>
    <row r="3023" spans="4:4" x14ac:dyDescent="0.3">
      <c r="D3023"/>
    </row>
    <row r="3024" spans="4:4" x14ac:dyDescent="0.3">
      <c r="D3024"/>
    </row>
    <row r="3025" spans="4:4" x14ac:dyDescent="0.3">
      <c r="D3025"/>
    </row>
    <row r="3026" spans="4:4" x14ac:dyDescent="0.3">
      <c r="D3026"/>
    </row>
    <row r="3027" spans="4:4" x14ac:dyDescent="0.3">
      <c r="D3027"/>
    </row>
    <row r="3028" spans="4:4" x14ac:dyDescent="0.3">
      <c r="D3028"/>
    </row>
    <row r="3029" spans="4:4" x14ac:dyDescent="0.3">
      <c r="D3029"/>
    </row>
    <row r="3030" spans="4:4" x14ac:dyDescent="0.3">
      <c r="D3030"/>
    </row>
    <row r="3031" spans="4:4" x14ac:dyDescent="0.3">
      <c r="D3031"/>
    </row>
    <row r="3032" spans="4:4" x14ac:dyDescent="0.3">
      <c r="D3032"/>
    </row>
    <row r="3033" spans="4:4" x14ac:dyDescent="0.3">
      <c r="D3033"/>
    </row>
    <row r="3034" spans="4:4" x14ac:dyDescent="0.3">
      <c r="D3034"/>
    </row>
    <row r="3035" spans="4:4" x14ac:dyDescent="0.3">
      <c r="D3035"/>
    </row>
    <row r="3036" spans="4:4" x14ac:dyDescent="0.3">
      <c r="D3036"/>
    </row>
    <row r="3037" spans="4:4" x14ac:dyDescent="0.3">
      <c r="D3037"/>
    </row>
    <row r="3038" spans="4:4" x14ac:dyDescent="0.3">
      <c r="D3038"/>
    </row>
    <row r="3039" spans="4:4" x14ac:dyDescent="0.3">
      <c r="D3039"/>
    </row>
    <row r="3040" spans="4:4" x14ac:dyDescent="0.3">
      <c r="D3040"/>
    </row>
    <row r="3041" spans="4:4" x14ac:dyDescent="0.3">
      <c r="D3041"/>
    </row>
    <row r="3042" spans="4:4" x14ac:dyDescent="0.3">
      <c r="D3042"/>
    </row>
    <row r="3043" spans="4:4" x14ac:dyDescent="0.3">
      <c r="D3043"/>
    </row>
    <row r="3044" spans="4:4" x14ac:dyDescent="0.3">
      <c r="D3044"/>
    </row>
    <row r="3045" spans="4:4" x14ac:dyDescent="0.3">
      <c r="D3045"/>
    </row>
    <row r="3046" spans="4:4" x14ac:dyDescent="0.3">
      <c r="D3046"/>
    </row>
    <row r="3047" spans="4:4" x14ac:dyDescent="0.3">
      <c r="D3047"/>
    </row>
    <row r="3048" spans="4:4" x14ac:dyDescent="0.3">
      <c r="D3048"/>
    </row>
    <row r="3049" spans="4:4" x14ac:dyDescent="0.3">
      <c r="D3049"/>
    </row>
    <row r="3050" spans="4:4" x14ac:dyDescent="0.3">
      <c r="D3050"/>
    </row>
    <row r="3051" spans="4:4" x14ac:dyDescent="0.3">
      <c r="D3051"/>
    </row>
    <row r="3052" spans="4:4" x14ac:dyDescent="0.3">
      <c r="D3052"/>
    </row>
    <row r="3053" spans="4:4" x14ac:dyDescent="0.3">
      <c r="D3053"/>
    </row>
    <row r="3054" spans="4:4" x14ac:dyDescent="0.3">
      <c r="D3054"/>
    </row>
    <row r="3055" spans="4:4" x14ac:dyDescent="0.3">
      <c r="D3055"/>
    </row>
    <row r="3056" spans="4:4" x14ac:dyDescent="0.3">
      <c r="D3056"/>
    </row>
    <row r="3057" spans="4:4" x14ac:dyDescent="0.3">
      <c r="D3057"/>
    </row>
    <row r="3058" spans="4:4" x14ac:dyDescent="0.3">
      <c r="D3058"/>
    </row>
    <row r="3059" spans="4:4" x14ac:dyDescent="0.3">
      <c r="D3059"/>
    </row>
    <row r="3060" spans="4:4" x14ac:dyDescent="0.3">
      <c r="D3060"/>
    </row>
    <row r="3061" spans="4:4" x14ac:dyDescent="0.3">
      <c r="D3061"/>
    </row>
    <row r="3062" spans="4:4" x14ac:dyDescent="0.3">
      <c r="D3062"/>
    </row>
    <row r="3063" spans="4:4" x14ac:dyDescent="0.3">
      <c r="D3063"/>
    </row>
    <row r="3064" spans="4:4" x14ac:dyDescent="0.3">
      <c r="D3064"/>
    </row>
    <row r="3065" spans="4:4" x14ac:dyDescent="0.3">
      <c r="D3065"/>
    </row>
    <row r="3066" spans="4:4" x14ac:dyDescent="0.3">
      <c r="D3066"/>
    </row>
    <row r="3067" spans="4:4" x14ac:dyDescent="0.3">
      <c r="D3067"/>
    </row>
    <row r="3068" spans="4:4" x14ac:dyDescent="0.3">
      <c r="D3068"/>
    </row>
    <row r="3069" spans="4:4" x14ac:dyDescent="0.3">
      <c r="D3069"/>
    </row>
    <row r="3070" spans="4:4" x14ac:dyDescent="0.3">
      <c r="D3070"/>
    </row>
    <row r="3071" spans="4:4" x14ac:dyDescent="0.3">
      <c r="D3071"/>
    </row>
    <row r="3072" spans="4:4" x14ac:dyDescent="0.3">
      <c r="D3072"/>
    </row>
    <row r="3073" spans="4:4" x14ac:dyDescent="0.3">
      <c r="D3073"/>
    </row>
    <row r="3074" spans="4:4" x14ac:dyDescent="0.3">
      <c r="D3074"/>
    </row>
    <row r="3075" spans="4:4" x14ac:dyDescent="0.3">
      <c r="D3075"/>
    </row>
    <row r="3076" spans="4:4" x14ac:dyDescent="0.3">
      <c r="D3076"/>
    </row>
    <row r="3077" spans="4:4" x14ac:dyDescent="0.3">
      <c r="D3077"/>
    </row>
    <row r="3078" spans="4:4" x14ac:dyDescent="0.3">
      <c r="D3078"/>
    </row>
    <row r="3079" spans="4:4" x14ac:dyDescent="0.3">
      <c r="D3079"/>
    </row>
    <row r="3080" spans="4:4" x14ac:dyDescent="0.3">
      <c r="D3080"/>
    </row>
    <row r="3081" spans="4:4" x14ac:dyDescent="0.3">
      <c r="D3081"/>
    </row>
    <row r="3082" spans="4:4" x14ac:dyDescent="0.3">
      <c r="D3082"/>
    </row>
    <row r="3083" spans="4:4" x14ac:dyDescent="0.3">
      <c r="D3083"/>
    </row>
    <row r="3084" spans="4:4" x14ac:dyDescent="0.3">
      <c r="D3084"/>
    </row>
    <row r="3085" spans="4:4" x14ac:dyDescent="0.3">
      <c r="D3085"/>
    </row>
    <row r="3086" spans="4:4" x14ac:dyDescent="0.3">
      <c r="D3086"/>
    </row>
    <row r="3087" spans="4:4" x14ac:dyDescent="0.3">
      <c r="D3087"/>
    </row>
    <row r="3088" spans="4:4" x14ac:dyDescent="0.3">
      <c r="D3088"/>
    </row>
    <row r="3089" spans="4:4" x14ac:dyDescent="0.3">
      <c r="D3089"/>
    </row>
    <row r="3090" spans="4:4" x14ac:dyDescent="0.3">
      <c r="D3090"/>
    </row>
    <row r="3091" spans="4:4" x14ac:dyDescent="0.3">
      <c r="D3091"/>
    </row>
    <row r="3092" spans="4:4" x14ac:dyDescent="0.3">
      <c r="D3092"/>
    </row>
    <row r="3093" spans="4:4" x14ac:dyDescent="0.3">
      <c r="D3093"/>
    </row>
    <row r="3094" spans="4:4" x14ac:dyDescent="0.3">
      <c r="D3094"/>
    </row>
    <row r="3095" spans="4:4" x14ac:dyDescent="0.3">
      <c r="D3095"/>
    </row>
    <row r="3096" spans="4:4" x14ac:dyDescent="0.3">
      <c r="D3096"/>
    </row>
    <row r="3097" spans="4:4" x14ac:dyDescent="0.3">
      <c r="D3097"/>
    </row>
    <row r="3098" spans="4:4" x14ac:dyDescent="0.3">
      <c r="D3098"/>
    </row>
    <row r="3099" spans="4:4" x14ac:dyDescent="0.3">
      <c r="D3099"/>
    </row>
    <row r="3100" spans="4:4" x14ac:dyDescent="0.3">
      <c r="D3100"/>
    </row>
    <row r="3101" spans="4:4" x14ac:dyDescent="0.3">
      <c r="D3101"/>
    </row>
    <row r="3102" spans="4:4" x14ac:dyDescent="0.3">
      <c r="D3102"/>
    </row>
    <row r="3103" spans="4:4" x14ac:dyDescent="0.3">
      <c r="D3103"/>
    </row>
    <row r="3104" spans="4:4" x14ac:dyDescent="0.3">
      <c r="D3104"/>
    </row>
    <row r="3105" spans="4:4" x14ac:dyDescent="0.3">
      <c r="D3105"/>
    </row>
    <row r="3106" spans="4:4" x14ac:dyDescent="0.3">
      <c r="D3106"/>
    </row>
    <row r="3107" spans="4:4" x14ac:dyDescent="0.3">
      <c r="D3107"/>
    </row>
    <row r="3108" spans="4:4" x14ac:dyDescent="0.3">
      <c r="D3108"/>
    </row>
    <row r="3109" spans="4:4" x14ac:dyDescent="0.3">
      <c r="D3109"/>
    </row>
    <row r="3110" spans="4:4" x14ac:dyDescent="0.3">
      <c r="D3110"/>
    </row>
    <row r="3111" spans="4:4" x14ac:dyDescent="0.3">
      <c r="D3111"/>
    </row>
    <row r="3112" spans="4:4" x14ac:dyDescent="0.3">
      <c r="D3112"/>
    </row>
    <row r="3113" spans="4:4" x14ac:dyDescent="0.3">
      <c r="D3113"/>
    </row>
    <row r="3114" spans="4:4" x14ac:dyDescent="0.3">
      <c r="D3114"/>
    </row>
    <row r="3115" spans="4:4" x14ac:dyDescent="0.3">
      <c r="D3115"/>
    </row>
    <row r="3116" spans="4:4" x14ac:dyDescent="0.3">
      <c r="D3116"/>
    </row>
    <row r="3117" spans="4:4" x14ac:dyDescent="0.3">
      <c r="D3117"/>
    </row>
    <row r="3118" spans="4:4" x14ac:dyDescent="0.3">
      <c r="D3118"/>
    </row>
    <row r="3119" spans="4:4" x14ac:dyDescent="0.3">
      <c r="D3119"/>
    </row>
    <row r="3120" spans="4:4" x14ac:dyDescent="0.3">
      <c r="D3120"/>
    </row>
    <row r="3121" spans="4:4" x14ac:dyDescent="0.3">
      <c r="D3121"/>
    </row>
    <row r="3122" spans="4:4" x14ac:dyDescent="0.3">
      <c r="D3122"/>
    </row>
    <row r="3123" spans="4:4" x14ac:dyDescent="0.3">
      <c r="D3123"/>
    </row>
    <row r="3124" spans="4:4" x14ac:dyDescent="0.3">
      <c r="D3124"/>
    </row>
    <row r="3125" spans="4:4" x14ac:dyDescent="0.3">
      <c r="D3125"/>
    </row>
    <row r="3126" spans="4:4" x14ac:dyDescent="0.3">
      <c r="D3126"/>
    </row>
    <row r="3127" spans="4:4" x14ac:dyDescent="0.3">
      <c r="D3127"/>
    </row>
    <row r="3128" spans="4:4" x14ac:dyDescent="0.3">
      <c r="D3128"/>
    </row>
    <row r="3129" spans="4:4" x14ac:dyDescent="0.3">
      <c r="D3129"/>
    </row>
    <row r="3130" spans="4:4" x14ac:dyDescent="0.3">
      <c r="D3130"/>
    </row>
    <row r="3131" spans="4:4" x14ac:dyDescent="0.3">
      <c r="D3131"/>
    </row>
    <row r="3132" spans="4:4" x14ac:dyDescent="0.3">
      <c r="D3132"/>
    </row>
    <row r="3133" spans="4:4" x14ac:dyDescent="0.3">
      <c r="D3133"/>
    </row>
    <row r="3134" spans="4:4" x14ac:dyDescent="0.3">
      <c r="D3134"/>
    </row>
    <row r="3135" spans="4:4" x14ac:dyDescent="0.3">
      <c r="D3135"/>
    </row>
    <row r="3136" spans="4:4" x14ac:dyDescent="0.3">
      <c r="D3136"/>
    </row>
    <row r="3137" spans="4:4" x14ac:dyDescent="0.3">
      <c r="D3137"/>
    </row>
    <row r="3138" spans="4:4" x14ac:dyDescent="0.3">
      <c r="D3138"/>
    </row>
    <row r="3139" spans="4:4" x14ac:dyDescent="0.3">
      <c r="D3139"/>
    </row>
    <row r="3140" spans="4:4" x14ac:dyDescent="0.3">
      <c r="D3140"/>
    </row>
    <row r="3141" spans="4:4" x14ac:dyDescent="0.3">
      <c r="D3141"/>
    </row>
    <row r="3142" spans="4:4" x14ac:dyDescent="0.3">
      <c r="D3142"/>
    </row>
    <row r="3143" spans="4:4" x14ac:dyDescent="0.3">
      <c r="D3143"/>
    </row>
    <row r="3144" spans="4:4" x14ac:dyDescent="0.3">
      <c r="D3144"/>
    </row>
    <row r="3145" spans="4:4" x14ac:dyDescent="0.3">
      <c r="D3145"/>
    </row>
    <row r="3146" spans="4:4" x14ac:dyDescent="0.3">
      <c r="D3146"/>
    </row>
    <row r="3147" spans="4:4" x14ac:dyDescent="0.3">
      <c r="D3147"/>
    </row>
    <row r="3148" spans="4:4" x14ac:dyDescent="0.3">
      <c r="D3148"/>
    </row>
    <row r="3149" spans="4:4" x14ac:dyDescent="0.3">
      <c r="D3149"/>
    </row>
    <row r="3150" spans="4:4" x14ac:dyDescent="0.3">
      <c r="D3150"/>
    </row>
    <row r="3151" spans="4:4" x14ac:dyDescent="0.3">
      <c r="D3151"/>
    </row>
    <row r="3152" spans="4:4" x14ac:dyDescent="0.3">
      <c r="D3152"/>
    </row>
    <row r="3153" spans="4:4" x14ac:dyDescent="0.3">
      <c r="D3153"/>
    </row>
    <row r="3154" spans="4:4" x14ac:dyDescent="0.3">
      <c r="D3154"/>
    </row>
    <row r="3155" spans="4:4" x14ac:dyDescent="0.3">
      <c r="D3155"/>
    </row>
    <row r="3156" spans="4:4" x14ac:dyDescent="0.3">
      <c r="D3156"/>
    </row>
    <row r="3157" spans="4:4" x14ac:dyDescent="0.3">
      <c r="D3157"/>
    </row>
    <row r="3158" spans="4:4" x14ac:dyDescent="0.3">
      <c r="D3158"/>
    </row>
    <row r="3159" spans="4:4" x14ac:dyDescent="0.3">
      <c r="D3159"/>
    </row>
    <row r="3160" spans="4:4" x14ac:dyDescent="0.3">
      <c r="D3160"/>
    </row>
    <row r="3161" spans="4:4" x14ac:dyDescent="0.3">
      <c r="D3161"/>
    </row>
    <row r="3162" spans="4:4" x14ac:dyDescent="0.3">
      <c r="D3162"/>
    </row>
    <row r="3163" spans="4:4" x14ac:dyDescent="0.3">
      <c r="D3163"/>
    </row>
    <row r="3164" spans="4:4" x14ac:dyDescent="0.3">
      <c r="D3164"/>
    </row>
    <row r="3165" spans="4:4" x14ac:dyDescent="0.3">
      <c r="D3165"/>
    </row>
    <row r="3166" spans="4:4" x14ac:dyDescent="0.3">
      <c r="D3166"/>
    </row>
    <row r="3167" spans="4:4" x14ac:dyDescent="0.3">
      <c r="D3167"/>
    </row>
    <row r="3168" spans="4:4" x14ac:dyDescent="0.3">
      <c r="D3168"/>
    </row>
    <row r="3169" spans="4:4" x14ac:dyDescent="0.3">
      <c r="D3169"/>
    </row>
    <row r="3170" spans="4:4" x14ac:dyDescent="0.3">
      <c r="D3170"/>
    </row>
    <row r="3171" spans="4:4" x14ac:dyDescent="0.3">
      <c r="D3171"/>
    </row>
    <row r="3172" spans="4:4" x14ac:dyDescent="0.3">
      <c r="D3172"/>
    </row>
    <row r="3173" spans="4:4" x14ac:dyDescent="0.3">
      <c r="D3173"/>
    </row>
    <row r="3174" spans="4:4" x14ac:dyDescent="0.3">
      <c r="D3174"/>
    </row>
    <row r="3175" spans="4:4" x14ac:dyDescent="0.3">
      <c r="D3175"/>
    </row>
    <row r="3176" spans="4:4" x14ac:dyDescent="0.3">
      <c r="D3176"/>
    </row>
    <row r="3177" spans="4:4" x14ac:dyDescent="0.3">
      <c r="D3177"/>
    </row>
    <row r="3178" spans="4:4" x14ac:dyDescent="0.3">
      <c r="D3178"/>
    </row>
    <row r="3179" spans="4:4" x14ac:dyDescent="0.3">
      <c r="D3179"/>
    </row>
    <row r="3180" spans="4:4" x14ac:dyDescent="0.3">
      <c r="D3180"/>
    </row>
    <row r="3181" spans="4:4" x14ac:dyDescent="0.3">
      <c r="D3181"/>
    </row>
    <row r="3182" spans="4:4" x14ac:dyDescent="0.3">
      <c r="D3182"/>
    </row>
    <row r="3183" spans="4:4" x14ac:dyDescent="0.3">
      <c r="D3183"/>
    </row>
    <row r="3184" spans="4:4" x14ac:dyDescent="0.3">
      <c r="D3184"/>
    </row>
    <row r="3185" spans="4:4" x14ac:dyDescent="0.3">
      <c r="D3185"/>
    </row>
    <row r="3186" spans="4:4" x14ac:dyDescent="0.3">
      <c r="D3186"/>
    </row>
    <row r="3187" spans="4:4" x14ac:dyDescent="0.3">
      <c r="D3187"/>
    </row>
    <row r="3188" spans="4:4" x14ac:dyDescent="0.3">
      <c r="D3188"/>
    </row>
    <row r="3189" spans="4:4" x14ac:dyDescent="0.3">
      <c r="D3189"/>
    </row>
    <row r="3190" spans="4:4" x14ac:dyDescent="0.3">
      <c r="D3190"/>
    </row>
    <row r="3191" spans="4:4" x14ac:dyDescent="0.3">
      <c r="D3191"/>
    </row>
    <row r="3192" spans="4:4" x14ac:dyDescent="0.3">
      <c r="D3192"/>
    </row>
    <row r="3193" spans="4:4" x14ac:dyDescent="0.3">
      <c r="D3193"/>
    </row>
    <row r="3194" spans="4:4" x14ac:dyDescent="0.3">
      <c r="D3194"/>
    </row>
    <row r="3195" spans="4:4" x14ac:dyDescent="0.3">
      <c r="D3195"/>
    </row>
    <row r="3196" spans="4:4" x14ac:dyDescent="0.3">
      <c r="D3196"/>
    </row>
    <row r="3197" spans="4:4" x14ac:dyDescent="0.3">
      <c r="D3197"/>
    </row>
    <row r="3198" spans="4:4" x14ac:dyDescent="0.3">
      <c r="D3198"/>
    </row>
    <row r="3199" spans="4:4" x14ac:dyDescent="0.3">
      <c r="D3199"/>
    </row>
    <row r="3200" spans="4:4" x14ac:dyDescent="0.3">
      <c r="D3200"/>
    </row>
    <row r="3201" spans="4:4" x14ac:dyDescent="0.3">
      <c r="D3201"/>
    </row>
    <row r="3202" spans="4:4" x14ac:dyDescent="0.3">
      <c r="D3202"/>
    </row>
    <row r="3203" spans="4:4" x14ac:dyDescent="0.3">
      <c r="D3203"/>
    </row>
    <row r="3204" spans="4:4" x14ac:dyDescent="0.3">
      <c r="D3204"/>
    </row>
    <row r="3205" spans="4:4" x14ac:dyDescent="0.3">
      <c r="D3205"/>
    </row>
    <row r="3206" spans="4:4" x14ac:dyDescent="0.3">
      <c r="D3206"/>
    </row>
    <row r="3207" spans="4:4" x14ac:dyDescent="0.3">
      <c r="D3207"/>
    </row>
    <row r="3208" spans="4:4" x14ac:dyDescent="0.3">
      <c r="D3208"/>
    </row>
    <row r="3209" spans="4:4" x14ac:dyDescent="0.3">
      <c r="D3209"/>
    </row>
    <row r="3210" spans="4:4" x14ac:dyDescent="0.3">
      <c r="D3210"/>
    </row>
    <row r="3211" spans="4:4" x14ac:dyDescent="0.3">
      <c r="D3211"/>
    </row>
    <row r="3212" spans="4:4" x14ac:dyDescent="0.3">
      <c r="D3212"/>
    </row>
    <row r="3213" spans="4:4" x14ac:dyDescent="0.3">
      <c r="D3213"/>
    </row>
    <row r="3214" spans="4:4" x14ac:dyDescent="0.3">
      <c r="D3214"/>
    </row>
    <row r="3215" spans="4:4" x14ac:dyDescent="0.3">
      <c r="D3215"/>
    </row>
    <row r="3216" spans="4:4" x14ac:dyDescent="0.3">
      <c r="D3216"/>
    </row>
    <row r="3217" spans="4:4" x14ac:dyDescent="0.3">
      <c r="D3217"/>
    </row>
    <row r="3218" spans="4:4" x14ac:dyDescent="0.3">
      <c r="D3218"/>
    </row>
    <row r="3219" spans="4:4" x14ac:dyDescent="0.3">
      <c r="D3219"/>
    </row>
    <row r="3220" spans="4:4" x14ac:dyDescent="0.3">
      <c r="D3220"/>
    </row>
    <row r="3221" spans="4:4" x14ac:dyDescent="0.3">
      <c r="D3221"/>
    </row>
    <row r="3222" spans="4:4" x14ac:dyDescent="0.3">
      <c r="D3222"/>
    </row>
    <row r="3223" spans="4:4" x14ac:dyDescent="0.3">
      <c r="D3223"/>
    </row>
    <row r="3224" spans="4:4" x14ac:dyDescent="0.3">
      <c r="D3224"/>
    </row>
    <row r="3225" spans="4:4" x14ac:dyDescent="0.3">
      <c r="D3225"/>
    </row>
    <row r="3226" spans="4:4" x14ac:dyDescent="0.3">
      <c r="D3226"/>
    </row>
    <row r="3227" spans="4:4" x14ac:dyDescent="0.3">
      <c r="D3227"/>
    </row>
    <row r="3228" spans="4:4" x14ac:dyDescent="0.3">
      <c r="D3228"/>
    </row>
    <row r="3229" spans="4:4" x14ac:dyDescent="0.3">
      <c r="D3229"/>
    </row>
    <row r="3230" spans="4:4" x14ac:dyDescent="0.3">
      <c r="D3230"/>
    </row>
    <row r="3231" spans="4:4" x14ac:dyDescent="0.3">
      <c r="D3231"/>
    </row>
    <row r="3232" spans="4:4" x14ac:dyDescent="0.3">
      <c r="D3232"/>
    </row>
    <row r="3233" spans="4:4" x14ac:dyDescent="0.3">
      <c r="D3233"/>
    </row>
    <row r="3234" spans="4:4" x14ac:dyDescent="0.3">
      <c r="D3234"/>
    </row>
    <row r="3235" spans="4:4" x14ac:dyDescent="0.3">
      <c r="D3235"/>
    </row>
    <row r="3236" spans="4:4" x14ac:dyDescent="0.3">
      <c r="D3236"/>
    </row>
    <row r="3237" spans="4:4" x14ac:dyDescent="0.3">
      <c r="D3237"/>
    </row>
    <row r="3238" spans="4:4" x14ac:dyDescent="0.3">
      <c r="D3238"/>
    </row>
    <row r="3239" spans="4:4" x14ac:dyDescent="0.3">
      <c r="D3239"/>
    </row>
    <row r="3240" spans="4:4" x14ac:dyDescent="0.3">
      <c r="D3240"/>
    </row>
    <row r="3241" spans="4:4" x14ac:dyDescent="0.3">
      <c r="D3241"/>
    </row>
    <row r="3242" spans="4:4" x14ac:dyDescent="0.3">
      <c r="D3242"/>
    </row>
    <row r="3243" spans="4:4" x14ac:dyDescent="0.3">
      <c r="D3243"/>
    </row>
    <row r="3244" spans="4:4" x14ac:dyDescent="0.3">
      <c r="D3244"/>
    </row>
    <row r="3245" spans="4:4" x14ac:dyDescent="0.3">
      <c r="D3245"/>
    </row>
    <row r="3246" spans="4:4" x14ac:dyDescent="0.3">
      <c r="D3246"/>
    </row>
    <row r="3247" spans="4:4" x14ac:dyDescent="0.3">
      <c r="D3247"/>
    </row>
    <row r="3248" spans="4:4" x14ac:dyDescent="0.3">
      <c r="D3248"/>
    </row>
    <row r="3249" spans="4:4" x14ac:dyDescent="0.3">
      <c r="D3249"/>
    </row>
    <row r="3250" spans="4:4" x14ac:dyDescent="0.3">
      <c r="D3250"/>
    </row>
    <row r="3251" spans="4:4" x14ac:dyDescent="0.3">
      <c r="D3251"/>
    </row>
    <row r="3252" spans="4:4" x14ac:dyDescent="0.3">
      <c r="D3252"/>
    </row>
    <row r="3253" spans="4:4" x14ac:dyDescent="0.3">
      <c r="D3253"/>
    </row>
    <row r="3254" spans="4:4" x14ac:dyDescent="0.3">
      <c r="D3254"/>
    </row>
    <row r="3255" spans="4:4" x14ac:dyDescent="0.3">
      <c r="D3255"/>
    </row>
    <row r="3256" spans="4:4" x14ac:dyDescent="0.3">
      <c r="D3256"/>
    </row>
    <row r="3257" spans="4:4" x14ac:dyDescent="0.3">
      <c r="D3257"/>
    </row>
    <row r="3258" spans="4:4" x14ac:dyDescent="0.3">
      <c r="D3258"/>
    </row>
    <row r="3259" spans="4:4" x14ac:dyDescent="0.3">
      <c r="D3259"/>
    </row>
    <row r="3260" spans="4:4" x14ac:dyDescent="0.3">
      <c r="D3260"/>
    </row>
    <row r="3261" spans="4:4" x14ac:dyDescent="0.3">
      <c r="D3261"/>
    </row>
    <row r="3262" spans="4:4" x14ac:dyDescent="0.3">
      <c r="D3262"/>
    </row>
    <row r="3263" spans="4:4" x14ac:dyDescent="0.3">
      <c r="D3263"/>
    </row>
    <row r="3264" spans="4:4" x14ac:dyDescent="0.3">
      <c r="D3264"/>
    </row>
    <row r="3265" spans="4:4" x14ac:dyDescent="0.3">
      <c r="D3265"/>
    </row>
    <row r="3266" spans="4:4" x14ac:dyDescent="0.3">
      <c r="D3266"/>
    </row>
    <row r="3267" spans="4:4" x14ac:dyDescent="0.3">
      <c r="D3267"/>
    </row>
    <row r="3268" spans="4:4" x14ac:dyDescent="0.3">
      <c r="D3268"/>
    </row>
    <row r="3269" spans="4:4" x14ac:dyDescent="0.3">
      <c r="D3269"/>
    </row>
    <row r="3270" spans="4:4" x14ac:dyDescent="0.3">
      <c r="D3270"/>
    </row>
    <row r="3271" spans="4:4" x14ac:dyDescent="0.3">
      <c r="D3271"/>
    </row>
    <row r="3272" spans="4:4" x14ac:dyDescent="0.3">
      <c r="D3272"/>
    </row>
    <row r="3273" spans="4:4" x14ac:dyDescent="0.3">
      <c r="D3273"/>
    </row>
    <row r="3274" spans="4:4" x14ac:dyDescent="0.3">
      <c r="D3274"/>
    </row>
    <row r="3275" spans="4:4" x14ac:dyDescent="0.3">
      <c r="D3275"/>
    </row>
    <row r="3276" spans="4:4" x14ac:dyDescent="0.3">
      <c r="D3276"/>
    </row>
    <row r="3277" spans="4:4" x14ac:dyDescent="0.3">
      <c r="D3277"/>
    </row>
    <row r="3278" spans="4:4" x14ac:dyDescent="0.3">
      <c r="D3278"/>
    </row>
    <row r="3279" spans="4:4" x14ac:dyDescent="0.3">
      <c r="D3279"/>
    </row>
    <row r="3280" spans="4:4" x14ac:dyDescent="0.3">
      <c r="D3280"/>
    </row>
    <row r="3281" spans="4:4" x14ac:dyDescent="0.3">
      <c r="D3281"/>
    </row>
    <row r="3282" spans="4:4" x14ac:dyDescent="0.3">
      <c r="D3282"/>
    </row>
    <row r="3283" spans="4:4" x14ac:dyDescent="0.3">
      <c r="D3283"/>
    </row>
    <row r="3284" spans="4:4" x14ac:dyDescent="0.3">
      <c r="D3284"/>
    </row>
    <row r="3285" spans="4:4" x14ac:dyDescent="0.3">
      <c r="D3285"/>
    </row>
    <row r="3286" spans="4:4" x14ac:dyDescent="0.3">
      <c r="D3286"/>
    </row>
    <row r="3287" spans="4:4" x14ac:dyDescent="0.3">
      <c r="D3287"/>
    </row>
    <row r="3288" spans="4:4" x14ac:dyDescent="0.3">
      <c r="D3288"/>
    </row>
    <row r="3289" spans="4:4" x14ac:dyDescent="0.3">
      <c r="D3289"/>
    </row>
    <row r="3290" spans="4:4" x14ac:dyDescent="0.3">
      <c r="D3290"/>
    </row>
    <row r="3291" spans="4:4" x14ac:dyDescent="0.3">
      <c r="D3291"/>
    </row>
    <row r="3292" spans="4:4" x14ac:dyDescent="0.3">
      <c r="D3292"/>
    </row>
    <row r="3293" spans="4:4" x14ac:dyDescent="0.3">
      <c r="D3293"/>
    </row>
    <row r="3294" spans="4:4" x14ac:dyDescent="0.3">
      <c r="D3294"/>
    </row>
    <row r="3295" spans="4:4" x14ac:dyDescent="0.3">
      <c r="D3295"/>
    </row>
    <row r="3296" spans="4:4" x14ac:dyDescent="0.3">
      <c r="D3296"/>
    </row>
    <row r="3297" spans="4:4" x14ac:dyDescent="0.3">
      <c r="D3297"/>
    </row>
    <row r="3298" spans="4:4" x14ac:dyDescent="0.3">
      <c r="D3298"/>
    </row>
    <row r="3299" spans="4:4" x14ac:dyDescent="0.3">
      <c r="D3299"/>
    </row>
    <row r="3300" spans="4:4" x14ac:dyDescent="0.3">
      <c r="D3300"/>
    </row>
    <row r="3301" spans="4:4" x14ac:dyDescent="0.3">
      <c r="D3301"/>
    </row>
    <row r="3302" spans="4:4" x14ac:dyDescent="0.3">
      <c r="D3302"/>
    </row>
    <row r="3303" spans="4:4" x14ac:dyDescent="0.3">
      <c r="D3303"/>
    </row>
    <row r="3304" spans="4:4" x14ac:dyDescent="0.3">
      <c r="D3304"/>
    </row>
    <row r="3305" spans="4:4" x14ac:dyDescent="0.3">
      <c r="D3305"/>
    </row>
    <row r="3306" spans="4:4" x14ac:dyDescent="0.3">
      <c r="D3306"/>
    </row>
    <row r="3307" spans="4:4" x14ac:dyDescent="0.3">
      <c r="D3307"/>
    </row>
    <row r="3308" spans="4:4" x14ac:dyDescent="0.3">
      <c r="D3308"/>
    </row>
    <row r="3309" spans="4:4" x14ac:dyDescent="0.3">
      <c r="D3309"/>
    </row>
    <row r="3310" spans="4:4" x14ac:dyDescent="0.3">
      <c r="D3310"/>
    </row>
    <row r="3311" spans="4:4" x14ac:dyDescent="0.3">
      <c r="D3311"/>
    </row>
    <row r="3312" spans="4:4" x14ac:dyDescent="0.3">
      <c r="D3312"/>
    </row>
    <row r="3313" spans="4:4" x14ac:dyDescent="0.3">
      <c r="D3313"/>
    </row>
    <row r="3314" spans="4:4" x14ac:dyDescent="0.3">
      <c r="D3314"/>
    </row>
    <row r="3315" spans="4:4" x14ac:dyDescent="0.3">
      <c r="D3315"/>
    </row>
    <row r="3316" spans="4:4" x14ac:dyDescent="0.3">
      <c r="D3316"/>
    </row>
    <row r="3317" spans="4:4" x14ac:dyDescent="0.3">
      <c r="D3317"/>
    </row>
    <row r="3318" spans="4:4" x14ac:dyDescent="0.3">
      <c r="D3318"/>
    </row>
    <row r="3319" spans="4:4" x14ac:dyDescent="0.3">
      <c r="D3319"/>
    </row>
    <row r="3320" spans="4:4" x14ac:dyDescent="0.3">
      <c r="D3320"/>
    </row>
    <row r="3321" spans="4:4" x14ac:dyDescent="0.3">
      <c r="D3321"/>
    </row>
    <row r="3322" spans="4:4" x14ac:dyDescent="0.3">
      <c r="D3322"/>
    </row>
    <row r="3323" spans="4:4" x14ac:dyDescent="0.3">
      <c r="D3323"/>
    </row>
    <row r="3324" spans="4:4" x14ac:dyDescent="0.3">
      <c r="D3324"/>
    </row>
    <row r="3325" spans="4:4" x14ac:dyDescent="0.3">
      <c r="D3325"/>
    </row>
    <row r="3326" spans="4:4" x14ac:dyDescent="0.3">
      <c r="D3326"/>
    </row>
    <row r="3327" spans="4:4" x14ac:dyDescent="0.3">
      <c r="D3327"/>
    </row>
    <row r="3328" spans="4:4" x14ac:dyDescent="0.3">
      <c r="D3328"/>
    </row>
    <row r="3329" spans="4:4" x14ac:dyDescent="0.3">
      <c r="D3329"/>
    </row>
    <row r="3330" spans="4:4" x14ac:dyDescent="0.3">
      <c r="D3330"/>
    </row>
    <row r="3331" spans="4:4" x14ac:dyDescent="0.3">
      <c r="D3331"/>
    </row>
    <row r="3332" spans="4:4" x14ac:dyDescent="0.3">
      <c r="D3332"/>
    </row>
    <row r="3333" spans="4:4" x14ac:dyDescent="0.3">
      <c r="D3333"/>
    </row>
    <row r="3334" spans="4:4" x14ac:dyDescent="0.3">
      <c r="D3334"/>
    </row>
    <row r="3335" spans="4:4" x14ac:dyDescent="0.3">
      <c r="D3335"/>
    </row>
    <row r="3336" spans="4:4" x14ac:dyDescent="0.3">
      <c r="D3336"/>
    </row>
    <row r="3337" spans="4:4" x14ac:dyDescent="0.3">
      <c r="D3337"/>
    </row>
    <row r="3338" spans="4:4" x14ac:dyDescent="0.3">
      <c r="D3338"/>
    </row>
    <row r="3339" spans="4:4" x14ac:dyDescent="0.3">
      <c r="D3339"/>
    </row>
    <row r="3340" spans="4:4" x14ac:dyDescent="0.3">
      <c r="D3340"/>
    </row>
    <row r="3341" spans="4:4" x14ac:dyDescent="0.3">
      <c r="D3341"/>
    </row>
    <row r="3342" spans="4:4" x14ac:dyDescent="0.3">
      <c r="D3342"/>
    </row>
    <row r="3343" spans="4:4" x14ac:dyDescent="0.3">
      <c r="D3343"/>
    </row>
    <row r="3344" spans="4:4" x14ac:dyDescent="0.3">
      <c r="D3344"/>
    </row>
    <row r="3345" spans="4:4" x14ac:dyDescent="0.3">
      <c r="D3345"/>
    </row>
    <row r="3346" spans="4:4" x14ac:dyDescent="0.3">
      <c r="D3346"/>
    </row>
    <row r="3347" spans="4:4" x14ac:dyDescent="0.3">
      <c r="D3347"/>
    </row>
    <row r="3348" spans="4:4" x14ac:dyDescent="0.3">
      <c r="D3348"/>
    </row>
    <row r="3349" spans="4:4" x14ac:dyDescent="0.3">
      <c r="D3349"/>
    </row>
    <row r="3350" spans="4:4" x14ac:dyDescent="0.3">
      <c r="D3350"/>
    </row>
    <row r="3351" spans="4:4" x14ac:dyDescent="0.3">
      <c r="D3351"/>
    </row>
    <row r="3352" spans="4:4" x14ac:dyDescent="0.3">
      <c r="D3352"/>
    </row>
    <row r="3353" spans="4:4" x14ac:dyDescent="0.3">
      <c r="D3353"/>
    </row>
    <row r="3354" spans="4:4" x14ac:dyDescent="0.3">
      <c r="D3354"/>
    </row>
    <row r="3355" spans="4:4" x14ac:dyDescent="0.3">
      <c r="D3355"/>
    </row>
    <row r="3356" spans="4:4" x14ac:dyDescent="0.3">
      <c r="D3356"/>
    </row>
    <row r="3357" spans="4:4" x14ac:dyDescent="0.3">
      <c r="D3357"/>
    </row>
    <row r="3358" spans="4:4" x14ac:dyDescent="0.3">
      <c r="D3358"/>
    </row>
    <row r="3359" spans="4:4" x14ac:dyDescent="0.3">
      <c r="D3359"/>
    </row>
    <row r="3360" spans="4:4" x14ac:dyDescent="0.3">
      <c r="D3360"/>
    </row>
    <row r="3361" spans="4:4" x14ac:dyDescent="0.3">
      <c r="D3361"/>
    </row>
    <row r="3362" spans="4:4" x14ac:dyDescent="0.3">
      <c r="D3362"/>
    </row>
    <row r="3363" spans="4:4" x14ac:dyDescent="0.3">
      <c r="D3363"/>
    </row>
    <row r="3364" spans="4:4" x14ac:dyDescent="0.3">
      <c r="D3364"/>
    </row>
    <row r="3365" spans="4:4" x14ac:dyDescent="0.3">
      <c r="D3365"/>
    </row>
    <row r="3366" spans="4:4" x14ac:dyDescent="0.3">
      <c r="D3366"/>
    </row>
    <row r="3367" spans="4:4" x14ac:dyDescent="0.3">
      <c r="D3367"/>
    </row>
    <row r="3368" spans="4:4" x14ac:dyDescent="0.3">
      <c r="D3368"/>
    </row>
    <row r="3369" spans="4:4" x14ac:dyDescent="0.3">
      <c r="D3369"/>
    </row>
    <row r="3370" spans="4:4" x14ac:dyDescent="0.3">
      <c r="D3370"/>
    </row>
    <row r="3371" spans="4:4" x14ac:dyDescent="0.3">
      <c r="D3371"/>
    </row>
    <row r="3372" spans="4:4" x14ac:dyDescent="0.3">
      <c r="D3372"/>
    </row>
    <row r="3373" spans="4:4" x14ac:dyDescent="0.3">
      <c r="D3373"/>
    </row>
    <row r="3374" spans="4:4" x14ac:dyDescent="0.3">
      <c r="D3374"/>
    </row>
    <row r="3375" spans="4:4" x14ac:dyDescent="0.3">
      <c r="D3375"/>
    </row>
    <row r="3376" spans="4:4" x14ac:dyDescent="0.3">
      <c r="D3376"/>
    </row>
    <row r="3377" spans="4:4" x14ac:dyDescent="0.3">
      <c r="D3377"/>
    </row>
    <row r="3378" spans="4:4" x14ac:dyDescent="0.3">
      <c r="D3378"/>
    </row>
    <row r="3379" spans="4:4" x14ac:dyDescent="0.3">
      <c r="D3379"/>
    </row>
    <row r="3380" spans="4:4" x14ac:dyDescent="0.3">
      <c r="D3380"/>
    </row>
    <row r="3381" spans="4:4" x14ac:dyDescent="0.3">
      <c r="D3381"/>
    </row>
    <row r="3382" spans="4:4" x14ac:dyDescent="0.3">
      <c r="D3382"/>
    </row>
    <row r="3383" spans="4:4" x14ac:dyDescent="0.3">
      <c r="D3383"/>
    </row>
    <row r="3384" spans="4:4" x14ac:dyDescent="0.3">
      <c r="D3384"/>
    </row>
    <row r="3385" spans="4:4" x14ac:dyDescent="0.3">
      <c r="D3385"/>
    </row>
    <row r="3386" spans="4:4" x14ac:dyDescent="0.3">
      <c r="D3386"/>
    </row>
    <row r="3387" spans="4:4" x14ac:dyDescent="0.3">
      <c r="D3387"/>
    </row>
    <row r="3388" spans="4:4" x14ac:dyDescent="0.3">
      <c r="D3388"/>
    </row>
    <row r="3389" spans="4:4" x14ac:dyDescent="0.3">
      <c r="D3389"/>
    </row>
    <row r="3390" spans="4:4" x14ac:dyDescent="0.3">
      <c r="D3390"/>
    </row>
    <row r="3391" spans="4:4" x14ac:dyDescent="0.3">
      <c r="D3391"/>
    </row>
    <row r="3392" spans="4:4" x14ac:dyDescent="0.3">
      <c r="D3392"/>
    </row>
    <row r="3393" spans="4:4" x14ac:dyDescent="0.3">
      <c r="D3393"/>
    </row>
    <row r="3394" spans="4:4" x14ac:dyDescent="0.3">
      <c r="D3394"/>
    </row>
    <row r="3395" spans="4:4" x14ac:dyDescent="0.3">
      <c r="D3395"/>
    </row>
    <row r="3396" spans="4:4" x14ac:dyDescent="0.3">
      <c r="D3396"/>
    </row>
    <row r="3397" spans="4:4" x14ac:dyDescent="0.3">
      <c r="D3397"/>
    </row>
    <row r="3398" spans="4:4" x14ac:dyDescent="0.3">
      <c r="D3398"/>
    </row>
    <row r="3399" spans="4:4" x14ac:dyDescent="0.3">
      <c r="D3399"/>
    </row>
    <row r="3400" spans="4:4" x14ac:dyDescent="0.3">
      <c r="D3400"/>
    </row>
    <row r="3401" spans="4:4" x14ac:dyDescent="0.3">
      <c r="D3401"/>
    </row>
    <row r="3402" spans="4:4" x14ac:dyDescent="0.3">
      <c r="D3402"/>
    </row>
    <row r="3403" spans="4:4" x14ac:dyDescent="0.3">
      <c r="D3403"/>
    </row>
    <row r="3404" spans="4:4" x14ac:dyDescent="0.3">
      <c r="D3404"/>
    </row>
    <row r="3405" spans="4:4" x14ac:dyDescent="0.3">
      <c r="D3405"/>
    </row>
    <row r="3406" spans="4:4" x14ac:dyDescent="0.3">
      <c r="D3406"/>
    </row>
    <row r="3407" spans="4:4" x14ac:dyDescent="0.3">
      <c r="D3407"/>
    </row>
    <row r="3408" spans="4:4" x14ac:dyDescent="0.3">
      <c r="D3408"/>
    </row>
    <row r="3409" spans="4:4" x14ac:dyDescent="0.3">
      <c r="D3409"/>
    </row>
    <row r="3410" spans="4:4" x14ac:dyDescent="0.3">
      <c r="D3410"/>
    </row>
    <row r="3411" spans="4:4" x14ac:dyDescent="0.3">
      <c r="D3411"/>
    </row>
    <row r="3412" spans="4:4" x14ac:dyDescent="0.3">
      <c r="D3412"/>
    </row>
    <row r="3413" spans="4:4" x14ac:dyDescent="0.3">
      <c r="D3413"/>
    </row>
    <row r="3414" spans="4:4" x14ac:dyDescent="0.3">
      <c r="D3414"/>
    </row>
    <row r="3415" spans="4:4" x14ac:dyDescent="0.3">
      <c r="D3415"/>
    </row>
    <row r="3416" spans="4:4" x14ac:dyDescent="0.3">
      <c r="D3416"/>
    </row>
    <row r="3417" spans="4:4" x14ac:dyDescent="0.3">
      <c r="D3417"/>
    </row>
    <row r="3418" spans="4:4" x14ac:dyDescent="0.3">
      <c r="D3418"/>
    </row>
    <row r="3419" spans="4:4" x14ac:dyDescent="0.3">
      <c r="D3419"/>
    </row>
    <row r="3420" spans="4:4" x14ac:dyDescent="0.3">
      <c r="D3420"/>
    </row>
    <row r="3421" spans="4:4" x14ac:dyDescent="0.3">
      <c r="D3421"/>
    </row>
    <row r="3422" spans="4:4" x14ac:dyDescent="0.3">
      <c r="D3422"/>
    </row>
    <row r="3423" spans="4:4" x14ac:dyDescent="0.3">
      <c r="D3423"/>
    </row>
    <row r="3424" spans="4:4" x14ac:dyDescent="0.3">
      <c r="D3424"/>
    </row>
    <row r="3425" spans="4:4" x14ac:dyDescent="0.3">
      <c r="D3425"/>
    </row>
    <row r="3426" spans="4:4" x14ac:dyDescent="0.3">
      <c r="D3426"/>
    </row>
    <row r="3427" spans="4:4" x14ac:dyDescent="0.3">
      <c r="D3427"/>
    </row>
    <row r="3428" spans="4:4" x14ac:dyDescent="0.3">
      <c r="D3428"/>
    </row>
    <row r="3429" spans="4:4" x14ac:dyDescent="0.3">
      <c r="D3429"/>
    </row>
    <row r="3430" spans="4:4" x14ac:dyDescent="0.3">
      <c r="D3430"/>
    </row>
    <row r="3431" spans="4:4" x14ac:dyDescent="0.3">
      <c r="D3431"/>
    </row>
    <row r="3432" spans="4:4" x14ac:dyDescent="0.3">
      <c r="D3432"/>
    </row>
    <row r="3433" spans="4:4" x14ac:dyDescent="0.3">
      <c r="D3433"/>
    </row>
    <row r="3434" spans="4:4" x14ac:dyDescent="0.3">
      <c r="D3434"/>
    </row>
    <row r="3435" spans="4:4" x14ac:dyDescent="0.3">
      <c r="D3435"/>
    </row>
    <row r="3436" spans="4:4" x14ac:dyDescent="0.3">
      <c r="D3436"/>
    </row>
    <row r="3437" spans="4:4" x14ac:dyDescent="0.3">
      <c r="D3437"/>
    </row>
    <row r="3438" spans="4:4" x14ac:dyDescent="0.3">
      <c r="D3438"/>
    </row>
    <row r="3439" spans="4:4" x14ac:dyDescent="0.3">
      <c r="D3439"/>
    </row>
    <row r="3440" spans="4:4" x14ac:dyDescent="0.3">
      <c r="D3440"/>
    </row>
    <row r="3441" spans="4:4" x14ac:dyDescent="0.3">
      <c r="D3441"/>
    </row>
    <row r="3442" spans="4:4" x14ac:dyDescent="0.3">
      <c r="D3442"/>
    </row>
    <row r="3443" spans="4:4" x14ac:dyDescent="0.3">
      <c r="D3443"/>
    </row>
    <row r="3444" spans="4:4" x14ac:dyDescent="0.3">
      <c r="D3444"/>
    </row>
    <row r="3445" spans="4:4" x14ac:dyDescent="0.3">
      <c r="D3445"/>
    </row>
    <row r="3446" spans="4:4" x14ac:dyDescent="0.3">
      <c r="D3446"/>
    </row>
    <row r="3447" spans="4:4" x14ac:dyDescent="0.3">
      <c r="D3447"/>
    </row>
    <row r="3448" spans="4:4" x14ac:dyDescent="0.3">
      <c r="D3448"/>
    </row>
    <row r="3449" spans="4:4" x14ac:dyDescent="0.3">
      <c r="D3449"/>
    </row>
    <row r="3450" spans="4:4" x14ac:dyDescent="0.3">
      <c r="D3450"/>
    </row>
    <row r="3451" spans="4:4" x14ac:dyDescent="0.3">
      <c r="D3451"/>
    </row>
    <row r="3452" spans="4:4" x14ac:dyDescent="0.3">
      <c r="D3452"/>
    </row>
    <row r="3453" spans="4:4" x14ac:dyDescent="0.3">
      <c r="D3453"/>
    </row>
    <row r="3454" spans="4:4" x14ac:dyDescent="0.3">
      <c r="D3454"/>
    </row>
    <row r="3455" spans="4:4" x14ac:dyDescent="0.3">
      <c r="D3455"/>
    </row>
    <row r="3456" spans="4:4" x14ac:dyDescent="0.3">
      <c r="D3456"/>
    </row>
    <row r="3457" spans="4:4" x14ac:dyDescent="0.3">
      <c r="D3457"/>
    </row>
    <row r="3458" spans="4:4" x14ac:dyDescent="0.3">
      <c r="D3458"/>
    </row>
    <row r="3459" spans="4:4" x14ac:dyDescent="0.3">
      <c r="D3459"/>
    </row>
    <row r="3460" spans="4:4" x14ac:dyDescent="0.3">
      <c r="D3460"/>
    </row>
    <row r="3461" spans="4:4" x14ac:dyDescent="0.3">
      <c r="D3461"/>
    </row>
    <row r="3462" spans="4:4" x14ac:dyDescent="0.3">
      <c r="D3462"/>
    </row>
    <row r="3463" spans="4:4" x14ac:dyDescent="0.3">
      <c r="D3463"/>
    </row>
    <row r="3464" spans="4:4" x14ac:dyDescent="0.3">
      <c r="D3464"/>
    </row>
    <row r="3465" spans="4:4" x14ac:dyDescent="0.3">
      <c r="D3465"/>
    </row>
    <row r="3466" spans="4:4" x14ac:dyDescent="0.3">
      <c r="D3466"/>
    </row>
    <row r="3467" spans="4:4" x14ac:dyDescent="0.3">
      <c r="D3467"/>
    </row>
    <row r="3468" spans="4:4" x14ac:dyDescent="0.3">
      <c r="D3468"/>
    </row>
    <row r="3469" spans="4:4" x14ac:dyDescent="0.3">
      <c r="D3469"/>
    </row>
    <row r="3470" spans="4:4" x14ac:dyDescent="0.3">
      <c r="D3470"/>
    </row>
    <row r="3471" spans="4:4" x14ac:dyDescent="0.3">
      <c r="D3471"/>
    </row>
    <row r="3472" spans="4:4" x14ac:dyDescent="0.3">
      <c r="D3472"/>
    </row>
    <row r="3473" spans="4:4" x14ac:dyDescent="0.3">
      <c r="D3473"/>
    </row>
    <row r="3474" spans="4:4" x14ac:dyDescent="0.3">
      <c r="D3474"/>
    </row>
    <row r="3475" spans="4:4" x14ac:dyDescent="0.3">
      <c r="D3475"/>
    </row>
    <row r="3476" spans="4:4" x14ac:dyDescent="0.3">
      <c r="D3476"/>
    </row>
    <row r="3477" spans="4:4" x14ac:dyDescent="0.3">
      <c r="D3477"/>
    </row>
    <row r="3478" spans="4:4" x14ac:dyDescent="0.3">
      <c r="D3478"/>
    </row>
    <row r="3479" spans="4:4" x14ac:dyDescent="0.3">
      <c r="D3479"/>
    </row>
    <row r="3480" spans="4:4" x14ac:dyDescent="0.3">
      <c r="D3480"/>
    </row>
    <row r="3481" spans="4:4" x14ac:dyDescent="0.3">
      <c r="D3481"/>
    </row>
    <row r="3482" spans="4:4" x14ac:dyDescent="0.3">
      <c r="D3482"/>
    </row>
    <row r="3483" spans="4:4" x14ac:dyDescent="0.3">
      <c r="D3483"/>
    </row>
    <row r="3484" spans="4:4" x14ac:dyDescent="0.3">
      <c r="D3484"/>
    </row>
    <row r="3485" spans="4:4" x14ac:dyDescent="0.3">
      <c r="D3485"/>
    </row>
    <row r="3486" spans="4:4" x14ac:dyDescent="0.3">
      <c r="D3486"/>
    </row>
    <row r="3487" spans="4:4" x14ac:dyDescent="0.3">
      <c r="D3487"/>
    </row>
    <row r="3488" spans="4:4" x14ac:dyDescent="0.3">
      <c r="D3488"/>
    </row>
    <row r="3489" spans="4:4" x14ac:dyDescent="0.3">
      <c r="D3489"/>
    </row>
    <row r="3490" spans="4:4" x14ac:dyDescent="0.3">
      <c r="D3490"/>
    </row>
    <row r="3491" spans="4:4" x14ac:dyDescent="0.3">
      <c r="D3491"/>
    </row>
    <row r="3492" spans="4:4" x14ac:dyDescent="0.3">
      <c r="D3492"/>
    </row>
    <row r="3493" spans="4:4" x14ac:dyDescent="0.3">
      <c r="D3493"/>
    </row>
    <row r="3494" spans="4:4" x14ac:dyDescent="0.3">
      <c r="D3494"/>
    </row>
    <row r="3495" spans="4:4" x14ac:dyDescent="0.3">
      <c r="D3495"/>
    </row>
    <row r="3496" spans="4:4" x14ac:dyDescent="0.3">
      <c r="D3496"/>
    </row>
    <row r="3497" spans="4:4" x14ac:dyDescent="0.3">
      <c r="D3497"/>
    </row>
    <row r="3498" spans="4:4" x14ac:dyDescent="0.3">
      <c r="D3498"/>
    </row>
    <row r="3499" spans="4:4" x14ac:dyDescent="0.3">
      <c r="D3499"/>
    </row>
    <row r="3500" spans="4:4" x14ac:dyDescent="0.3">
      <c r="D3500"/>
    </row>
    <row r="3501" spans="4:4" x14ac:dyDescent="0.3">
      <c r="D3501"/>
    </row>
    <row r="3502" spans="4:4" x14ac:dyDescent="0.3">
      <c r="D3502"/>
    </row>
    <row r="3503" spans="4:4" x14ac:dyDescent="0.3">
      <c r="D3503"/>
    </row>
    <row r="3504" spans="4:4" x14ac:dyDescent="0.3">
      <c r="D3504"/>
    </row>
    <row r="3505" spans="4:4" x14ac:dyDescent="0.3">
      <c r="D3505"/>
    </row>
    <row r="3506" spans="4:4" x14ac:dyDescent="0.3">
      <c r="D3506"/>
    </row>
    <row r="3507" spans="4:4" x14ac:dyDescent="0.3">
      <c r="D3507"/>
    </row>
    <row r="3508" spans="4:4" x14ac:dyDescent="0.3">
      <c r="D3508"/>
    </row>
    <row r="3509" spans="4:4" x14ac:dyDescent="0.3">
      <c r="D3509"/>
    </row>
    <row r="3510" spans="4:4" x14ac:dyDescent="0.3">
      <c r="D3510"/>
    </row>
    <row r="3511" spans="4:4" x14ac:dyDescent="0.3">
      <c r="D3511"/>
    </row>
    <row r="3512" spans="4:4" x14ac:dyDescent="0.3">
      <c r="D3512"/>
    </row>
    <row r="3513" spans="4:4" x14ac:dyDescent="0.3">
      <c r="D3513"/>
    </row>
    <row r="3514" spans="4:4" x14ac:dyDescent="0.3">
      <c r="D3514"/>
    </row>
    <row r="3515" spans="4:4" x14ac:dyDescent="0.3">
      <c r="D3515"/>
    </row>
    <row r="3516" spans="4:4" x14ac:dyDescent="0.3">
      <c r="D3516"/>
    </row>
    <row r="3517" spans="4:4" x14ac:dyDescent="0.3">
      <c r="D3517"/>
    </row>
    <row r="3518" spans="4:4" x14ac:dyDescent="0.3">
      <c r="D3518"/>
    </row>
    <row r="3519" spans="4:4" x14ac:dyDescent="0.3">
      <c r="D3519"/>
    </row>
    <row r="3520" spans="4:4" x14ac:dyDescent="0.3">
      <c r="D3520"/>
    </row>
    <row r="3521" spans="4:4" x14ac:dyDescent="0.3">
      <c r="D3521"/>
    </row>
    <row r="3522" spans="4:4" x14ac:dyDescent="0.3">
      <c r="D3522"/>
    </row>
    <row r="3523" spans="4:4" x14ac:dyDescent="0.3">
      <c r="D3523"/>
    </row>
    <row r="3524" spans="4:4" x14ac:dyDescent="0.3">
      <c r="D3524"/>
    </row>
    <row r="3525" spans="4:4" x14ac:dyDescent="0.3">
      <c r="D3525"/>
    </row>
    <row r="3526" spans="4:4" x14ac:dyDescent="0.3">
      <c r="D3526"/>
    </row>
    <row r="3527" spans="4:4" x14ac:dyDescent="0.3">
      <c r="D3527"/>
    </row>
    <row r="3528" spans="4:4" x14ac:dyDescent="0.3">
      <c r="D3528"/>
    </row>
    <row r="3529" spans="4:4" x14ac:dyDescent="0.3">
      <c r="D3529"/>
    </row>
    <row r="3530" spans="4:4" x14ac:dyDescent="0.3">
      <c r="D3530"/>
    </row>
    <row r="3531" spans="4:4" x14ac:dyDescent="0.3">
      <c r="D3531"/>
    </row>
    <row r="3532" spans="4:4" x14ac:dyDescent="0.3">
      <c r="D3532"/>
    </row>
    <row r="3533" spans="4:4" x14ac:dyDescent="0.3">
      <c r="D3533"/>
    </row>
    <row r="3534" spans="4:4" x14ac:dyDescent="0.3">
      <c r="D3534"/>
    </row>
    <row r="3535" spans="4:4" x14ac:dyDescent="0.3">
      <c r="D3535"/>
    </row>
    <row r="3536" spans="4:4" x14ac:dyDescent="0.3">
      <c r="D3536"/>
    </row>
    <row r="3537" spans="4:4" x14ac:dyDescent="0.3">
      <c r="D3537"/>
    </row>
    <row r="3538" spans="4:4" x14ac:dyDescent="0.3">
      <c r="D3538"/>
    </row>
    <row r="3539" spans="4:4" x14ac:dyDescent="0.3">
      <c r="D3539"/>
    </row>
    <row r="3540" spans="4:4" x14ac:dyDescent="0.3">
      <c r="D3540"/>
    </row>
    <row r="3541" spans="4:4" x14ac:dyDescent="0.3">
      <c r="D3541"/>
    </row>
    <row r="3542" spans="4:4" x14ac:dyDescent="0.3">
      <c r="D3542"/>
    </row>
    <row r="3543" spans="4:4" x14ac:dyDescent="0.3">
      <c r="D3543"/>
    </row>
    <row r="3544" spans="4:4" x14ac:dyDescent="0.3">
      <c r="D3544"/>
    </row>
    <row r="3545" spans="4:4" x14ac:dyDescent="0.3">
      <c r="D3545"/>
    </row>
    <row r="3546" spans="4:4" x14ac:dyDescent="0.3">
      <c r="D3546"/>
    </row>
    <row r="3547" spans="4:4" x14ac:dyDescent="0.3">
      <c r="D3547"/>
    </row>
    <row r="3548" spans="4:4" x14ac:dyDescent="0.3">
      <c r="D3548"/>
    </row>
    <row r="3549" spans="4:4" x14ac:dyDescent="0.3">
      <c r="D3549"/>
    </row>
    <row r="3550" spans="4:4" x14ac:dyDescent="0.3">
      <c r="D3550"/>
    </row>
    <row r="3551" spans="4:4" x14ac:dyDescent="0.3">
      <c r="D3551"/>
    </row>
    <row r="3552" spans="4:4" x14ac:dyDescent="0.3">
      <c r="D3552"/>
    </row>
    <row r="3553" spans="4:4" x14ac:dyDescent="0.3">
      <c r="D3553"/>
    </row>
    <row r="3554" spans="4:4" x14ac:dyDescent="0.3">
      <c r="D3554"/>
    </row>
    <row r="3555" spans="4:4" x14ac:dyDescent="0.3">
      <c r="D3555"/>
    </row>
    <row r="3556" spans="4:4" x14ac:dyDescent="0.3">
      <c r="D3556"/>
    </row>
    <row r="3557" spans="4:4" x14ac:dyDescent="0.3">
      <c r="D3557"/>
    </row>
    <row r="3558" spans="4:4" x14ac:dyDescent="0.3">
      <c r="D3558"/>
    </row>
    <row r="3559" spans="4:4" x14ac:dyDescent="0.3">
      <c r="D3559"/>
    </row>
    <row r="3560" spans="4:4" x14ac:dyDescent="0.3">
      <c r="D3560"/>
    </row>
    <row r="3561" spans="4:4" x14ac:dyDescent="0.3">
      <c r="D3561"/>
    </row>
    <row r="3562" spans="4:4" x14ac:dyDescent="0.3">
      <c r="D3562"/>
    </row>
    <row r="3563" spans="4:4" x14ac:dyDescent="0.3">
      <c r="D3563"/>
    </row>
    <row r="3564" spans="4:4" x14ac:dyDescent="0.3">
      <c r="D3564"/>
    </row>
    <row r="3565" spans="4:4" x14ac:dyDescent="0.3">
      <c r="D3565"/>
    </row>
    <row r="3566" spans="4:4" x14ac:dyDescent="0.3">
      <c r="D3566"/>
    </row>
    <row r="3567" spans="4:4" x14ac:dyDescent="0.3">
      <c r="D3567"/>
    </row>
    <row r="3568" spans="4:4" x14ac:dyDescent="0.3">
      <c r="D3568"/>
    </row>
    <row r="3569" spans="4:4" x14ac:dyDescent="0.3">
      <c r="D3569"/>
    </row>
    <row r="3570" spans="4:4" x14ac:dyDescent="0.3">
      <c r="D3570"/>
    </row>
    <row r="3571" spans="4:4" x14ac:dyDescent="0.3">
      <c r="D3571"/>
    </row>
    <row r="3572" spans="4:4" x14ac:dyDescent="0.3">
      <c r="D3572"/>
    </row>
    <row r="3573" spans="4:4" x14ac:dyDescent="0.3">
      <c r="D3573"/>
    </row>
    <row r="3574" spans="4:4" x14ac:dyDescent="0.3">
      <c r="D3574"/>
    </row>
    <row r="3575" spans="4:4" x14ac:dyDescent="0.3">
      <c r="D3575"/>
    </row>
    <row r="3576" spans="4:4" x14ac:dyDescent="0.3">
      <c r="D3576"/>
    </row>
    <row r="3577" spans="4:4" x14ac:dyDescent="0.3">
      <c r="D3577"/>
    </row>
    <row r="3578" spans="4:4" x14ac:dyDescent="0.3">
      <c r="D3578"/>
    </row>
    <row r="3579" spans="4:4" x14ac:dyDescent="0.3">
      <c r="D3579"/>
    </row>
    <row r="3580" spans="4:4" x14ac:dyDescent="0.3">
      <c r="D3580"/>
    </row>
    <row r="3581" spans="4:4" x14ac:dyDescent="0.3">
      <c r="D3581"/>
    </row>
    <row r="3582" spans="4:4" x14ac:dyDescent="0.3">
      <c r="D3582"/>
    </row>
    <row r="3583" spans="4:4" x14ac:dyDescent="0.3">
      <c r="D3583"/>
    </row>
    <row r="3584" spans="4:4" x14ac:dyDescent="0.3">
      <c r="D3584"/>
    </row>
    <row r="3585" spans="4:4" x14ac:dyDescent="0.3">
      <c r="D3585"/>
    </row>
    <row r="3586" spans="4:4" x14ac:dyDescent="0.3">
      <c r="D3586"/>
    </row>
    <row r="3587" spans="4:4" x14ac:dyDescent="0.3">
      <c r="D3587"/>
    </row>
    <row r="3588" spans="4:4" x14ac:dyDescent="0.3">
      <c r="D3588"/>
    </row>
    <row r="3589" spans="4:4" x14ac:dyDescent="0.3">
      <c r="D3589"/>
    </row>
    <row r="3590" spans="4:4" x14ac:dyDescent="0.3">
      <c r="D3590"/>
    </row>
    <row r="3591" spans="4:4" x14ac:dyDescent="0.3">
      <c r="D3591"/>
    </row>
    <row r="3592" spans="4:4" x14ac:dyDescent="0.3">
      <c r="D3592"/>
    </row>
    <row r="3593" spans="4:4" x14ac:dyDescent="0.3">
      <c r="D3593"/>
    </row>
    <row r="3594" spans="4:4" x14ac:dyDescent="0.3">
      <c r="D3594"/>
    </row>
    <row r="3595" spans="4:4" x14ac:dyDescent="0.3">
      <c r="D3595"/>
    </row>
    <row r="3596" spans="4:4" x14ac:dyDescent="0.3">
      <c r="D3596"/>
    </row>
    <row r="3597" spans="4:4" x14ac:dyDescent="0.3">
      <c r="D3597"/>
    </row>
    <row r="3598" spans="4:4" x14ac:dyDescent="0.3">
      <c r="D3598"/>
    </row>
    <row r="3599" spans="4:4" x14ac:dyDescent="0.3">
      <c r="D3599"/>
    </row>
    <row r="3600" spans="4:4" x14ac:dyDescent="0.3">
      <c r="D3600"/>
    </row>
    <row r="3601" spans="4:4" x14ac:dyDescent="0.3">
      <c r="D3601"/>
    </row>
    <row r="3602" spans="4:4" x14ac:dyDescent="0.3">
      <c r="D3602"/>
    </row>
    <row r="3603" spans="4:4" x14ac:dyDescent="0.3">
      <c r="D3603"/>
    </row>
    <row r="3604" spans="4:4" x14ac:dyDescent="0.3">
      <c r="D3604"/>
    </row>
    <row r="3605" spans="4:4" x14ac:dyDescent="0.3">
      <c r="D3605"/>
    </row>
    <row r="3606" spans="4:4" x14ac:dyDescent="0.3">
      <c r="D3606"/>
    </row>
    <row r="3607" spans="4:4" x14ac:dyDescent="0.3">
      <c r="D3607"/>
    </row>
    <row r="3608" spans="4:4" x14ac:dyDescent="0.3">
      <c r="D3608"/>
    </row>
    <row r="3609" spans="4:4" x14ac:dyDescent="0.3">
      <c r="D3609"/>
    </row>
    <row r="3610" spans="4:4" x14ac:dyDescent="0.3">
      <c r="D3610"/>
    </row>
    <row r="3611" spans="4:4" x14ac:dyDescent="0.3">
      <c r="D3611"/>
    </row>
    <row r="3612" spans="4:4" x14ac:dyDescent="0.3">
      <c r="D3612"/>
    </row>
    <row r="3613" spans="4:4" x14ac:dyDescent="0.3">
      <c r="D3613"/>
    </row>
    <row r="3614" spans="4:4" x14ac:dyDescent="0.3">
      <c r="D3614"/>
    </row>
    <row r="3615" spans="4:4" x14ac:dyDescent="0.3">
      <c r="D3615"/>
    </row>
    <row r="3616" spans="4:4" x14ac:dyDescent="0.3">
      <c r="D3616"/>
    </row>
    <row r="3617" spans="4:4" x14ac:dyDescent="0.3">
      <c r="D3617"/>
    </row>
    <row r="3618" spans="4:4" x14ac:dyDescent="0.3">
      <c r="D3618"/>
    </row>
    <row r="3619" spans="4:4" x14ac:dyDescent="0.3">
      <c r="D3619"/>
    </row>
    <row r="3620" spans="4:4" x14ac:dyDescent="0.3">
      <c r="D3620"/>
    </row>
    <row r="3621" spans="4:4" x14ac:dyDescent="0.3">
      <c r="D3621"/>
    </row>
    <row r="3622" spans="4:4" x14ac:dyDescent="0.3">
      <c r="D3622"/>
    </row>
    <row r="3623" spans="4:4" x14ac:dyDescent="0.3">
      <c r="D3623"/>
    </row>
    <row r="3624" spans="4:4" x14ac:dyDescent="0.3">
      <c r="D3624"/>
    </row>
    <row r="3625" spans="4:4" x14ac:dyDescent="0.3">
      <c r="D3625"/>
    </row>
    <row r="3626" spans="4:4" x14ac:dyDescent="0.3">
      <c r="D3626"/>
    </row>
    <row r="3627" spans="4:4" x14ac:dyDescent="0.3">
      <c r="D3627"/>
    </row>
    <row r="3628" spans="4:4" x14ac:dyDescent="0.3">
      <c r="D3628"/>
    </row>
    <row r="3629" spans="4:4" x14ac:dyDescent="0.3">
      <c r="D3629"/>
    </row>
    <row r="3630" spans="4:4" x14ac:dyDescent="0.3">
      <c r="D3630"/>
    </row>
    <row r="3631" spans="4:4" x14ac:dyDescent="0.3">
      <c r="D3631"/>
    </row>
    <row r="3632" spans="4:4" x14ac:dyDescent="0.3">
      <c r="D3632"/>
    </row>
    <row r="3633" spans="4:4" x14ac:dyDescent="0.3">
      <c r="D3633"/>
    </row>
    <row r="3634" spans="4:4" x14ac:dyDescent="0.3">
      <c r="D3634"/>
    </row>
    <row r="3635" spans="4:4" x14ac:dyDescent="0.3">
      <c r="D3635"/>
    </row>
    <row r="3636" spans="4:4" x14ac:dyDescent="0.3">
      <c r="D3636"/>
    </row>
    <row r="3637" spans="4:4" x14ac:dyDescent="0.3">
      <c r="D3637"/>
    </row>
    <row r="3638" spans="4:4" x14ac:dyDescent="0.3">
      <c r="D3638"/>
    </row>
    <row r="3639" spans="4:4" x14ac:dyDescent="0.3">
      <c r="D3639"/>
    </row>
    <row r="3640" spans="4:4" x14ac:dyDescent="0.3">
      <c r="D3640"/>
    </row>
    <row r="3641" spans="4:4" x14ac:dyDescent="0.3">
      <c r="D3641"/>
    </row>
    <row r="3642" spans="4:4" x14ac:dyDescent="0.3">
      <c r="D3642"/>
    </row>
    <row r="3643" spans="4:4" x14ac:dyDescent="0.3">
      <c r="D3643"/>
    </row>
    <row r="3644" spans="4:4" x14ac:dyDescent="0.3">
      <c r="D3644"/>
    </row>
    <row r="3645" spans="4:4" x14ac:dyDescent="0.3">
      <c r="D3645"/>
    </row>
    <row r="3646" spans="4:4" x14ac:dyDescent="0.3">
      <c r="D3646"/>
    </row>
    <row r="3647" spans="4:4" x14ac:dyDescent="0.3">
      <c r="D3647"/>
    </row>
    <row r="3648" spans="4:4" x14ac:dyDescent="0.3">
      <c r="D3648"/>
    </row>
    <row r="3649" spans="4:4" x14ac:dyDescent="0.3">
      <c r="D3649"/>
    </row>
    <row r="3650" spans="4:4" x14ac:dyDescent="0.3">
      <c r="D3650"/>
    </row>
    <row r="3651" spans="4:4" x14ac:dyDescent="0.3">
      <c r="D3651"/>
    </row>
    <row r="3652" spans="4:4" x14ac:dyDescent="0.3">
      <c r="D3652"/>
    </row>
    <row r="3653" spans="4:4" x14ac:dyDescent="0.3">
      <c r="D3653"/>
    </row>
    <row r="3654" spans="4:4" x14ac:dyDescent="0.3">
      <c r="D3654"/>
    </row>
    <row r="3655" spans="4:4" x14ac:dyDescent="0.3">
      <c r="D3655"/>
    </row>
    <row r="3656" spans="4:4" x14ac:dyDescent="0.3">
      <c r="D3656"/>
    </row>
    <row r="3657" spans="4:4" x14ac:dyDescent="0.3">
      <c r="D3657"/>
    </row>
    <row r="3658" spans="4:4" x14ac:dyDescent="0.3">
      <c r="D3658"/>
    </row>
    <row r="3659" spans="4:4" x14ac:dyDescent="0.3">
      <c r="D3659"/>
    </row>
    <row r="3660" spans="4:4" x14ac:dyDescent="0.3">
      <c r="D3660"/>
    </row>
    <row r="3661" spans="4:4" x14ac:dyDescent="0.3">
      <c r="D3661"/>
    </row>
    <row r="3662" spans="4:4" x14ac:dyDescent="0.3">
      <c r="D3662"/>
    </row>
    <row r="3663" spans="4:4" x14ac:dyDescent="0.3">
      <c r="D3663"/>
    </row>
    <row r="3664" spans="4:4" x14ac:dyDescent="0.3">
      <c r="D3664"/>
    </row>
    <row r="3665" spans="4:4" x14ac:dyDescent="0.3">
      <c r="D3665"/>
    </row>
    <row r="3666" spans="4:4" x14ac:dyDescent="0.3">
      <c r="D3666"/>
    </row>
    <row r="3667" spans="4:4" x14ac:dyDescent="0.3">
      <c r="D3667"/>
    </row>
    <row r="3668" spans="4:4" x14ac:dyDescent="0.3">
      <c r="D3668"/>
    </row>
    <row r="3669" spans="4:4" x14ac:dyDescent="0.3">
      <c r="D3669"/>
    </row>
    <row r="3670" spans="4:4" x14ac:dyDescent="0.3">
      <c r="D3670"/>
    </row>
    <row r="3671" spans="4:4" x14ac:dyDescent="0.3">
      <c r="D3671"/>
    </row>
    <row r="3672" spans="4:4" x14ac:dyDescent="0.3">
      <c r="D3672"/>
    </row>
    <row r="3673" spans="4:4" x14ac:dyDescent="0.3">
      <c r="D3673"/>
    </row>
    <row r="3674" spans="4:4" x14ac:dyDescent="0.3">
      <c r="D3674"/>
    </row>
    <row r="3675" spans="4:4" x14ac:dyDescent="0.3">
      <c r="D3675"/>
    </row>
    <row r="3676" spans="4:4" x14ac:dyDescent="0.3">
      <c r="D3676"/>
    </row>
    <row r="3677" spans="4:4" x14ac:dyDescent="0.3">
      <c r="D3677"/>
    </row>
    <row r="3678" spans="4:4" x14ac:dyDescent="0.3">
      <c r="D3678"/>
    </row>
    <row r="3679" spans="4:4" x14ac:dyDescent="0.3">
      <c r="D3679"/>
    </row>
    <row r="3680" spans="4:4" x14ac:dyDescent="0.3">
      <c r="D3680"/>
    </row>
    <row r="3681" spans="4:4" x14ac:dyDescent="0.3">
      <c r="D3681"/>
    </row>
    <row r="3682" spans="4:4" x14ac:dyDescent="0.3">
      <c r="D3682"/>
    </row>
    <row r="3683" spans="4:4" x14ac:dyDescent="0.3">
      <c r="D3683"/>
    </row>
    <row r="3684" spans="4:4" x14ac:dyDescent="0.3">
      <c r="D3684"/>
    </row>
    <row r="3685" spans="4:4" x14ac:dyDescent="0.3">
      <c r="D3685"/>
    </row>
    <row r="3686" spans="4:4" x14ac:dyDescent="0.3">
      <c r="D3686"/>
    </row>
    <row r="3687" spans="4:4" x14ac:dyDescent="0.3">
      <c r="D3687"/>
    </row>
    <row r="3688" spans="4:4" x14ac:dyDescent="0.3">
      <c r="D3688"/>
    </row>
    <row r="3689" spans="4:4" x14ac:dyDescent="0.3">
      <c r="D3689"/>
    </row>
    <row r="3690" spans="4:4" x14ac:dyDescent="0.3">
      <c r="D3690"/>
    </row>
    <row r="3691" spans="4:4" x14ac:dyDescent="0.3">
      <c r="D3691"/>
    </row>
    <row r="3692" spans="4:4" x14ac:dyDescent="0.3">
      <c r="D3692"/>
    </row>
    <row r="3693" spans="4:4" x14ac:dyDescent="0.3">
      <c r="D3693"/>
    </row>
    <row r="3694" spans="4:4" x14ac:dyDescent="0.3">
      <c r="D3694"/>
    </row>
    <row r="3695" spans="4:4" x14ac:dyDescent="0.3">
      <c r="D3695"/>
    </row>
    <row r="3696" spans="4:4" x14ac:dyDescent="0.3">
      <c r="D3696"/>
    </row>
    <row r="3697" spans="4:4" x14ac:dyDescent="0.3">
      <c r="D3697"/>
    </row>
    <row r="3698" spans="4:4" x14ac:dyDescent="0.3">
      <c r="D3698"/>
    </row>
    <row r="3699" spans="4:4" x14ac:dyDescent="0.3">
      <c r="D3699"/>
    </row>
    <row r="3700" spans="4:4" x14ac:dyDescent="0.3">
      <c r="D3700"/>
    </row>
    <row r="3701" spans="4:4" x14ac:dyDescent="0.3">
      <c r="D3701"/>
    </row>
    <row r="3702" spans="4:4" x14ac:dyDescent="0.3">
      <c r="D3702"/>
    </row>
    <row r="3703" spans="4:4" x14ac:dyDescent="0.3">
      <c r="D3703"/>
    </row>
    <row r="3704" spans="4:4" x14ac:dyDescent="0.3">
      <c r="D3704"/>
    </row>
    <row r="3705" spans="4:4" x14ac:dyDescent="0.3">
      <c r="D3705"/>
    </row>
    <row r="3706" spans="4:4" x14ac:dyDescent="0.3">
      <c r="D3706"/>
    </row>
    <row r="3707" spans="4:4" x14ac:dyDescent="0.3">
      <c r="D3707"/>
    </row>
    <row r="3708" spans="4:4" x14ac:dyDescent="0.3">
      <c r="D3708"/>
    </row>
    <row r="3709" spans="4:4" x14ac:dyDescent="0.3">
      <c r="D3709"/>
    </row>
    <row r="3710" spans="4:4" x14ac:dyDescent="0.3">
      <c r="D3710"/>
    </row>
    <row r="3711" spans="4:4" x14ac:dyDescent="0.3">
      <c r="D3711"/>
    </row>
    <row r="3712" spans="4:4" x14ac:dyDescent="0.3">
      <c r="D3712"/>
    </row>
    <row r="3713" spans="4:4" x14ac:dyDescent="0.3">
      <c r="D3713"/>
    </row>
    <row r="3714" spans="4:4" x14ac:dyDescent="0.3">
      <c r="D3714"/>
    </row>
    <row r="3715" spans="4:4" x14ac:dyDescent="0.3">
      <c r="D3715"/>
    </row>
    <row r="3716" spans="4:4" x14ac:dyDescent="0.3">
      <c r="D3716"/>
    </row>
    <row r="3717" spans="4:4" x14ac:dyDescent="0.3">
      <c r="D3717"/>
    </row>
    <row r="3718" spans="4:4" x14ac:dyDescent="0.3">
      <c r="D3718"/>
    </row>
    <row r="3719" spans="4:4" x14ac:dyDescent="0.3">
      <c r="D3719"/>
    </row>
    <row r="3720" spans="4:4" x14ac:dyDescent="0.3">
      <c r="D3720"/>
    </row>
    <row r="3721" spans="4:4" x14ac:dyDescent="0.3">
      <c r="D3721"/>
    </row>
    <row r="3722" spans="4:4" x14ac:dyDescent="0.3">
      <c r="D3722"/>
    </row>
    <row r="3723" spans="4:4" x14ac:dyDescent="0.3">
      <c r="D3723"/>
    </row>
    <row r="3724" spans="4:4" x14ac:dyDescent="0.3">
      <c r="D3724"/>
    </row>
    <row r="3725" spans="4:4" x14ac:dyDescent="0.3">
      <c r="D3725"/>
    </row>
    <row r="3726" spans="4:4" x14ac:dyDescent="0.3">
      <c r="D3726"/>
    </row>
    <row r="3727" spans="4:4" x14ac:dyDescent="0.3">
      <c r="D3727"/>
    </row>
    <row r="3728" spans="4:4" x14ac:dyDescent="0.3">
      <c r="D3728"/>
    </row>
    <row r="3729" spans="4:4" x14ac:dyDescent="0.3">
      <c r="D3729"/>
    </row>
    <row r="3730" spans="4:4" x14ac:dyDescent="0.3">
      <c r="D3730"/>
    </row>
    <row r="3731" spans="4:4" x14ac:dyDescent="0.3">
      <c r="D3731"/>
    </row>
    <row r="3732" spans="4:4" x14ac:dyDescent="0.3">
      <c r="D3732"/>
    </row>
    <row r="3733" spans="4:4" x14ac:dyDescent="0.3">
      <c r="D3733"/>
    </row>
    <row r="3734" spans="4:4" x14ac:dyDescent="0.3">
      <c r="D3734"/>
    </row>
    <row r="3735" spans="4:4" x14ac:dyDescent="0.3">
      <c r="D3735"/>
    </row>
    <row r="3736" spans="4:4" x14ac:dyDescent="0.3">
      <c r="D3736"/>
    </row>
    <row r="3737" spans="4:4" x14ac:dyDescent="0.3">
      <c r="D3737"/>
    </row>
    <row r="3738" spans="4:4" x14ac:dyDescent="0.3">
      <c r="D3738"/>
    </row>
    <row r="3739" spans="4:4" x14ac:dyDescent="0.3">
      <c r="D3739"/>
    </row>
    <row r="3740" spans="4:4" x14ac:dyDescent="0.3">
      <c r="D3740"/>
    </row>
    <row r="3741" spans="4:4" x14ac:dyDescent="0.3">
      <c r="D3741"/>
    </row>
    <row r="3742" spans="4:4" x14ac:dyDescent="0.3">
      <c r="D3742"/>
    </row>
    <row r="3743" spans="4:4" x14ac:dyDescent="0.3">
      <c r="D3743"/>
    </row>
    <row r="3744" spans="4:4" x14ac:dyDescent="0.3">
      <c r="D3744"/>
    </row>
    <row r="3745" spans="4:4" x14ac:dyDescent="0.3">
      <c r="D3745"/>
    </row>
    <row r="3746" spans="4:4" x14ac:dyDescent="0.3">
      <c r="D3746"/>
    </row>
    <row r="3747" spans="4:4" x14ac:dyDescent="0.3">
      <c r="D3747"/>
    </row>
    <row r="3748" spans="4:4" x14ac:dyDescent="0.3">
      <c r="D3748"/>
    </row>
    <row r="3749" spans="4:4" x14ac:dyDescent="0.3">
      <c r="D3749"/>
    </row>
    <row r="3750" spans="4:4" x14ac:dyDescent="0.3">
      <c r="D3750"/>
    </row>
    <row r="3751" spans="4:4" x14ac:dyDescent="0.3">
      <c r="D3751"/>
    </row>
    <row r="3752" spans="4:4" x14ac:dyDescent="0.3">
      <c r="D3752"/>
    </row>
    <row r="3753" spans="4:4" x14ac:dyDescent="0.3">
      <c r="D3753"/>
    </row>
    <row r="3754" spans="4:4" x14ac:dyDescent="0.3">
      <c r="D3754"/>
    </row>
    <row r="3755" spans="4:4" x14ac:dyDescent="0.3">
      <c r="D3755"/>
    </row>
    <row r="3756" spans="4:4" x14ac:dyDescent="0.3">
      <c r="D3756"/>
    </row>
    <row r="3757" spans="4:4" x14ac:dyDescent="0.3">
      <c r="D3757"/>
    </row>
    <row r="3758" spans="4:4" x14ac:dyDescent="0.3">
      <c r="D3758"/>
    </row>
    <row r="3759" spans="4:4" x14ac:dyDescent="0.3">
      <c r="D3759"/>
    </row>
    <row r="3760" spans="4:4" x14ac:dyDescent="0.3">
      <c r="D3760"/>
    </row>
    <row r="3761" spans="4:4" x14ac:dyDescent="0.3">
      <c r="D3761"/>
    </row>
    <row r="3762" spans="4:4" x14ac:dyDescent="0.3">
      <c r="D3762"/>
    </row>
    <row r="3763" spans="4:4" x14ac:dyDescent="0.3">
      <c r="D3763"/>
    </row>
    <row r="3764" spans="4:4" x14ac:dyDescent="0.3">
      <c r="D3764"/>
    </row>
    <row r="3765" spans="4:4" x14ac:dyDescent="0.3">
      <c r="D3765"/>
    </row>
    <row r="3766" spans="4:4" x14ac:dyDescent="0.3">
      <c r="D3766"/>
    </row>
    <row r="3767" spans="4:4" x14ac:dyDescent="0.3">
      <c r="D3767"/>
    </row>
    <row r="3768" spans="4:4" x14ac:dyDescent="0.3">
      <c r="D3768"/>
    </row>
    <row r="3769" spans="4:4" x14ac:dyDescent="0.3">
      <c r="D3769"/>
    </row>
    <row r="3770" spans="4:4" x14ac:dyDescent="0.3">
      <c r="D3770"/>
    </row>
    <row r="3771" spans="4:4" x14ac:dyDescent="0.3">
      <c r="D3771"/>
    </row>
    <row r="3772" spans="4:4" x14ac:dyDescent="0.3">
      <c r="D3772"/>
    </row>
    <row r="3773" spans="4:4" x14ac:dyDescent="0.3">
      <c r="D3773"/>
    </row>
    <row r="3774" spans="4:4" x14ac:dyDescent="0.3">
      <c r="D3774"/>
    </row>
    <row r="3775" spans="4:4" x14ac:dyDescent="0.3">
      <c r="D3775"/>
    </row>
    <row r="3776" spans="4:4" x14ac:dyDescent="0.3">
      <c r="D3776"/>
    </row>
    <row r="3777" spans="4:4" x14ac:dyDescent="0.3">
      <c r="D3777"/>
    </row>
    <row r="3778" spans="4:4" x14ac:dyDescent="0.3">
      <c r="D3778"/>
    </row>
    <row r="3779" spans="4:4" x14ac:dyDescent="0.3">
      <c r="D3779"/>
    </row>
    <row r="3780" spans="4:4" x14ac:dyDescent="0.3">
      <c r="D3780"/>
    </row>
    <row r="3781" spans="4:4" x14ac:dyDescent="0.3">
      <c r="D3781"/>
    </row>
    <row r="3782" spans="4:4" x14ac:dyDescent="0.3">
      <c r="D3782"/>
    </row>
    <row r="3783" spans="4:4" x14ac:dyDescent="0.3">
      <c r="D3783"/>
    </row>
    <row r="3784" spans="4:4" x14ac:dyDescent="0.3">
      <c r="D3784"/>
    </row>
    <row r="3785" spans="4:4" x14ac:dyDescent="0.3">
      <c r="D3785"/>
    </row>
    <row r="3786" spans="4:4" x14ac:dyDescent="0.3">
      <c r="D3786"/>
    </row>
    <row r="3787" spans="4:4" x14ac:dyDescent="0.3">
      <c r="D3787"/>
    </row>
    <row r="3788" spans="4:4" x14ac:dyDescent="0.3">
      <c r="D3788"/>
    </row>
    <row r="3789" spans="4:4" x14ac:dyDescent="0.3">
      <c r="D3789"/>
    </row>
    <row r="3790" spans="4:4" x14ac:dyDescent="0.3">
      <c r="D3790"/>
    </row>
    <row r="3791" spans="4:4" x14ac:dyDescent="0.3">
      <c r="D3791"/>
    </row>
    <row r="3792" spans="4:4" x14ac:dyDescent="0.3">
      <c r="D3792"/>
    </row>
    <row r="3793" spans="4:4" x14ac:dyDescent="0.3">
      <c r="D3793"/>
    </row>
    <row r="3794" spans="4:4" x14ac:dyDescent="0.3">
      <c r="D3794"/>
    </row>
    <row r="3795" spans="4:4" x14ac:dyDescent="0.3">
      <c r="D3795"/>
    </row>
    <row r="3796" spans="4:4" x14ac:dyDescent="0.3">
      <c r="D3796"/>
    </row>
    <row r="3797" spans="4:4" x14ac:dyDescent="0.3">
      <c r="D3797"/>
    </row>
    <row r="3798" spans="4:4" x14ac:dyDescent="0.3">
      <c r="D3798"/>
    </row>
    <row r="3799" spans="4:4" x14ac:dyDescent="0.3">
      <c r="D3799"/>
    </row>
    <row r="3800" spans="4:4" x14ac:dyDescent="0.3">
      <c r="D3800"/>
    </row>
    <row r="3801" spans="4:4" x14ac:dyDescent="0.3">
      <c r="D3801"/>
    </row>
    <row r="3802" spans="4:4" x14ac:dyDescent="0.3">
      <c r="D3802"/>
    </row>
    <row r="3803" spans="4:4" x14ac:dyDescent="0.3">
      <c r="D3803"/>
    </row>
    <row r="3804" spans="4:4" x14ac:dyDescent="0.3">
      <c r="D3804"/>
    </row>
    <row r="3805" spans="4:4" x14ac:dyDescent="0.3">
      <c r="D3805"/>
    </row>
    <row r="3806" spans="4:4" x14ac:dyDescent="0.3">
      <c r="D3806"/>
    </row>
    <row r="3807" spans="4:4" x14ac:dyDescent="0.3">
      <c r="D3807"/>
    </row>
    <row r="3808" spans="4:4" x14ac:dyDescent="0.3">
      <c r="D3808"/>
    </row>
    <row r="3809" spans="4:4" x14ac:dyDescent="0.3">
      <c r="D3809"/>
    </row>
    <row r="3810" spans="4:4" x14ac:dyDescent="0.3">
      <c r="D3810"/>
    </row>
    <row r="3811" spans="4:4" x14ac:dyDescent="0.3">
      <c r="D3811"/>
    </row>
    <row r="3812" spans="4:4" x14ac:dyDescent="0.3">
      <c r="D3812"/>
    </row>
    <row r="3813" spans="4:4" x14ac:dyDescent="0.3">
      <c r="D3813"/>
    </row>
    <row r="3814" spans="4:4" x14ac:dyDescent="0.3">
      <c r="D3814"/>
    </row>
    <row r="3815" spans="4:4" x14ac:dyDescent="0.3">
      <c r="D3815"/>
    </row>
    <row r="3816" spans="4:4" x14ac:dyDescent="0.3">
      <c r="D3816"/>
    </row>
    <row r="3817" spans="4:4" x14ac:dyDescent="0.3">
      <c r="D3817"/>
    </row>
    <row r="3818" spans="4:4" x14ac:dyDescent="0.3">
      <c r="D3818"/>
    </row>
    <row r="3819" spans="4:4" x14ac:dyDescent="0.3">
      <c r="D3819"/>
    </row>
    <row r="3820" spans="4:4" x14ac:dyDescent="0.3">
      <c r="D3820"/>
    </row>
    <row r="3821" spans="4:4" x14ac:dyDescent="0.3">
      <c r="D3821"/>
    </row>
    <row r="3822" spans="4:4" x14ac:dyDescent="0.3">
      <c r="D3822"/>
    </row>
    <row r="3823" spans="4:4" x14ac:dyDescent="0.3">
      <c r="D3823"/>
    </row>
    <row r="3824" spans="4:4" x14ac:dyDescent="0.3">
      <c r="D3824"/>
    </row>
    <row r="3825" spans="4:4" x14ac:dyDescent="0.3">
      <c r="D3825"/>
    </row>
    <row r="3826" spans="4:4" x14ac:dyDescent="0.3">
      <c r="D3826"/>
    </row>
    <row r="3827" spans="4:4" x14ac:dyDescent="0.3">
      <c r="D3827"/>
    </row>
    <row r="3828" spans="4:4" x14ac:dyDescent="0.3">
      <c r="D3828"/>
    </row>
    <row r="3829" spans="4:4" x14ac:dyDescent="0.3">
      <c r="D3829"/>
    </row>
    <row r="3830" spans="4:4" x14ac:dyDescent="0.3">
      <c r="D3830"/>
    </row>
    <row r="3831" spans="4:4" x14ac:dyDescent="0.3">
      <c r="D3831"/>
    </row>
    <row r="3832" spans="4:4" x14ac:dyDescent="0.3">
      <c r="D3832"/>
    </row>
    <row r="3833" spans="4:4" x14ac:dyDescent="0.3">
      <c r="D3833"/>
    </row>
    <row r="3834" spans="4:4" x14ac:dyDescent="0.3">
      <c r="D3834"/>
    </row>
    <row r="3835" spans="4:4" x14ac:dyDescent="0.3">
      <c r="D3835"/>
    </row>
    <row r="3836" spans="4:4" x14ac:dyDescent="0.3">
      <c r="D3836"/>
    </row>
    <row r="3837" spans="4:4" x14ac:dyDescent="0.3">
      <c r="D3837"/>
    </row>
    <row r="3838" spans="4:4" x14ac:dyDescent="0.3">
      <c r="D3838"/>
    </row>
    <row r="3839" spans="4:4" x14ac:dyDescent="0.3">
      <c r="D3839"/>
    </row>
    <row r="3840" spans="4:4" x14ac:dyDescent="0.3">
      <c r="D3840"/>
    </row>
    <row r="3841" spans="4:4" x14ac:dyDescent="0.3">
      <c r="D3841"/>
    </row>
    <row r="3842" spans="4:4" x14ac:dyDescent="0.3">
      <c r="D3842"/>
    </row>
    <row r="3843" spans="4:4" x14ac:dyDescent="0.3">
      <c r="D3843"/>
    </row>
    <row r="3844" spans="4:4" x14ac:dyDescent="0.3">
      <c r="D3844"/>
    </row>
    <row r="3845" spans="4:4" x14ac:dyDescent="0.3">
      <c r="D3845"/>
    </row>
    <row r="3846" spans="4:4" x14ac:dyDescent="0.3">
      <c r="D3846"/>
    </row>
    <row r="3847" spans="4:4" x14ac:dyDescent="0.3">
      <c r="D3847"/>
    </row>
    <row r="3848" spans="4:4" x14ac:dyDescent="0.3">
      <c r="D3848"/>
    </row>
    <row r="3849" spans="4:4" x14ac:dyDescent="0.3">
      <c r="D3849"/>
    </row>
    <row r="3850" spans="4:4" x14ac:dyDescent="0.3">
      <c r="D3850"/>
    </row>
    <row r="3851" spans="4:4" x14ac:dyDescent="0.3">
      <c r="D3851"/>
    </row>
    <row r="3852" spans="4:4" x14ac:dyDescent="0.3">
      <c r="D3852"/>
    </row>
    <row r="3853" spans="4:4" x14ac:dyDescent="0.3">
      <c r="D3853"/>
    </row>
    <row r="3854" spans="4:4" x14ac:dyDescent="0.3">
      <c r="D3854"/>
    </row>
    <row r="3855" spans="4:4" x14ac:dyDescent="0.3">
      <c r="D3855"/>
    </row>
    <row r="3856" spans="4:4" x14ac:dyDescent="0.3">
      <c r="D3856"/>
    </row>
    <row r="3857" spans="4:4" x14ac:dyDescent="0.3">
      <c r="D3857"/>
    </row>
    <row r="3858" spans="4:4" x14ac:dyDescent="0.3">
      <c r="D3858"/>
    </row>
    <row r="3859" spans="4:4" x14ac:dyDescent="0.3">
      <c r="D3859"/>
    </row>
    <row r="3860" spans="4:4" x14ac:dyDescent="0.3">
      <c r="D3860"/>
    </row>
    <row r="3861" spans="4:4" x14ac:dyDescent="0.3">
      <c r="D3861"/>
    </row>
    <row r="3862" spans="4:4" x14ac:dyDescent="0.3">
      <c r="D3862"/>
    </row>
    <row r="3863" spans="4:4" x14ac:dyDescent="0.3">
      <c r="D3863"/>
    </row>
    <row r="3864" spans="4:4" x14ac:dyDescent="0.3">
      <c r="D3864"/>
    </row>
    <row r="3865" spans="4:4" x14ac:dyDescent="0.3">
      <c r="D3865"/>
    </row>
    <row r="3866" spans="4:4" x14ac:dyDescent="0.3">
      <c r="D3866"/>
    </row>
    <row r="3867" spans="4:4" x14ac:dyDescent="0.3">
      <c r="D3867"/>
    </row>
    <row r="3868" spans="4:4" x14ac:dyDescent="0.3">
      <c r="D3868"/>
    </row>
    <row r="3869" spans="4:4" x14ac:dyDescent="0.3">
      <c r="D3869"/>
    </row>
    <row r="3870" spans="4:4" x14ac:dyDescent="0.3">
      <c r="D3870"/>
    </row>
    <row r="3871" spans="4:4" x14ac:dyDescent="0.3">
      <c r="D3871"/>
    </row>
    <row r="3872" spans="4:4" x14ac:dyDescent="0.3">
      <c r="D3872"/>
    </row>
    <row r="3873" spans="4:4" x14ac:dyDescent="0.3">
      <c r="D3873"/>
    </row>
    <row r="3874" spans="4:4" x14ac:dyDescent="0.3">
      <c r="D3874"/>
    </row>
    <row r="3875" spans="4:4" x14ac:dyDescent="0.3">
      <c r="D3875"/>
    </row>
    <row r="3876" spans="4:4" x14ac:dyDescent="0.3">
      <c r="D3876"/>
    </row>
    <row r="3877" spans="4:4" x14ac:dyDescent="0.3">
      <c r="D3877"/>
    </row>
    <row r="3878" spans="4:4" x14ac:dyDescent="0.3">
      <c r="D3878"/>
    </row>
    <row r="3879" spans="4:4" x14ac:dyDescent="0.3">
      <c r="D3879"/>
    </row>
    <row r="3880" spans="4:4" x14ac:dyDescent="0.3">
      <c r="D3880"/>
    </row>
    <row r="3881" spans="4:4" x14ac:dyDescent="0.3">
      <c r="D3881"/>
    </row>
    <row r="3882" spans="4:4" x14ac:dyDescent="0.3">
      <c r="D3882"/>
    </row>
    <row r="3883" spans="4:4" x14ac:dyDescent="0.3">
      <c r="D3883"/>
    </row>
    <row r="3884" spans="4:4" x14ac:dyDescent="0.3">
      <c r="D3884"/>
    </row>
    <row r="3885" spans="4:4" x14ac:dyDescent="0.3">
      <c r="D3885"/>
    </row>
    <row r="3886" spans="4:4" x14ac:dyDescent="0.3">
      <c r="D3886"/>
    </row>
    <row r="3887" spans="4:4" x14ac:dyDescent="0.3">
      <c r="D3887"/>
    </row>
    <row r="3888" spans="4:4" x14ac:dyDescent="0.3">
      <c r="D3888"/>
    </row>
    <row r="3889" spans="4:4" x14ac:dyDescent="0.3">
      <c r="D3889"/>
    </row>
    <row r="3890" spans="4:4" x14ac:dyDescent="0.3">
      <c r="D3890"/>
    </row>
    <row r="3891" spans="4:4" x14ac:dyDescent="0.3">
      <c r="D3891"/>
    </row>
    <row r="3892" spans="4:4" x14ac:dyDescent="0.3">
      <c r="D3892"/>
    </row>
    <row r="3893" spans="4:4" x14ac:dyDescent="0.3">
      <c r="D3893"/>
    </row>
    <row r="3894" spans="4:4" x14ac:dyDescent="0.3">
      <c r="D3894"/>
    </row>
    <row r="3895" spans="4:4" x14ac:dyDescent="0.3">
      <c r="D3895"/>
    </row>
    <row r="3896" spans="4:4" x14ac:dyDescent="0.3">
      <c r="D3896"/>
    </row>
    <row r="3897" spans="4:4" x14ac:dyDescent="0.3">
      <c r="D3897"/>
    </row>
    <row r="3898" spans="4:4" x14ac:dyDescent="0.3">
      <c r="D3898"/>
    </row>
    <row r="3899" spans="4:4" x14ac:dyDescent="0.3">
      <c r="D3899"/>
    </row>
    <row r="3900" spans="4:4" x14ac:dyDescent="0.3">
      <c r="D3900"/>
    </row>
    <row r="3901" spans="4:4" x14ac:dyDescent="0.3">
      <c r="D3901"/>
    </row>
    <row r="3902" spans="4:4" x14ac:dyDescent="0.3">
      <c r="D3902"/>
    </row>
    <row r="3903" spans="4:4" x14ac:dyDescent="0.3">
      <c r="D3903"/>
    </row>
    <row r="3904" spans="4:4" x14ac:dyDescent="0.3">
      <c r="D3904"/>
    </row>
    <row r="3905" spans="4:4" x14ac:dyDescent="0.3">
      <c r="D3905"/>
    </row>
    <row r="3906" spans="4:4" x14ac:dyDescent="0.3">
      <c r="D3906"/>
    </row>
    <row r="3907" spans="4:4" x14ac:dyDescent="0.3">
      <c r="D3907"/>
    </row>
    <row r="3908" spans="4:4" x14ac:dyDescent="0.3">
      <c r="D3908"/>
    </row>
    <row r="3909" spans="4:4" x14ac:dyDescent="0.3">
      <c r="D3909"/>
    </row>
    <row r="3910" spans="4:4" x14ac:dyDescent="0.3">
      <c r="D3910"/>
    </row>
    <row r="3911" spans="4:4" x14ac:dyDescent="0.3">
      <c r="D3911"/>
    </row>
    <row r="3912" spans="4:4" x14ac:dyDescent="0.3">
      <c r="D3912"/>
    </row>
    <row r="3913" spans="4:4" x14ac:dyDescent="0.3">
      <c r="D3913"/>
    </row>
    <row r="3914" spans="4:4" x14ac:dyDescent="0.3">
      <c r="D3914"/>
    </row>
    <row r="3915" spans="4:4" x14ac:dyDescent="0.3">
      <c r="D3915"/>
    </row>
    <row r="3916" spans="4:4" x14ac:dyDescent="0.3">
      <c r="D3916"/>
    </row>
    <row r="3917" spans="4:4" x14ac:dyDescent="0.3">
      <c r="D3917"/>
    </row>
    <row r="3918" spans="4:4" x14ac:dyDescent="0.3">
      <c r="D3918"/>
    </row>
    <row r="3919" spans="4:4" x14ac:dyDescent="0.3">
      <c r="D3919"/>
    </row>
    <row r="3920" spans="4:4" x14ac:dyDescent="0.3">
      <c r="D3920"/>
    </row>
    <row r="3921" spans="4:4" x14ac:dyDescent="0.3">
      <c r="D3921"/>
    </row>
    <row r="3922" spans="4:4" x14ac:dyDescent="0.3">
      <c r="D3922"/>
    </row>
    <row r="3923" spans="4:4" x14ac:dyDescent="0.3">
      <c r="D3923"/>
    </row>
    <row r="3924" spans="4:4" x14ac:dyDescent="0.3">
      <c r="D3924"/>
    </row>
    <row r="3925" spans="4:4" x14ac:dyDescent="0.3">
      <c r="D3925"/>
    </row>
    <row r="3926" spans="4:4" x14ac:dyDescent="0.3">
      <c r="D3926"/>
    </row>
    <row r="3927" spans="4:4" x14ac:dyDescent="0.3">
      <c r="D3927"/>
    </row>
    <row r="3928" spans="4:4" x14ac:dyDescent="0.3">
      <c r="D3928"/>
    </row>
    <row r="3929" spans="4:4" x14ac:dyDescent="0.3">
      <c r="D3929"/>
    </row>
    <row r="3930" spans="4:4" x14ac:dyDescent="0.3">
      <c r="D3930"/>
    </row>
    <row r="3931" spans="4:4" x14ac:dyDescent="0.3">
      <c r="D3931"/>
    </row>
    <row r="3932" spans="4:4" x14ac:dyDescent="0.3">
      <c r="D3932"/>
    </row>
    <row r="3933" spans="4:4" x14ac:dyDescent="0.3">
      <c r="D3933"/>
    </row>
    <row r="3934" spans="4:4" x14ac:dyDescent="0.3">
      <c r="D3934"/>
    </row>
    <row r="3935" spans="4:4" x14ac:dyDescent="0.3">
      <c r="D3935"/>
    </row>
    <row r="3936" spans="4:4" x14ac:dyDescent="0.3">
      <c r="D3936"/>
    </row>
    <row r="3937" spans="4:4" x14ac:dyDescent="0.3">
      <c r="D3937"/>
    </row>
    <row r="3938" spans="4:4" x14ac:dyDescent="0.3">
      <c r="D3938"/>
    </row>
    <row r="3939" spans="4:4" x14ac:dyDescent="0.3">
      <c r="D3939"/>
    </row>
    <row r="3940" spans="4:4" x14ac:dyDescent="0.3">
      <c r="D3940"/>
    </row>
    <row r="3941" spans="4:4" x14ac:dyDescent="0.3">
      <c r="D3941"/>
    </row>
    <row r="3942" spans="4:4" x14ac:dyDescent="0.3">
      <c r="D3942"/>
    </row>
    <row r="3943" spans="4:4" x14ac:dyDescent="0.3">
      <c r="D3943"/>
    </row>
    <row r="3944" spans="4:4" x14ac:dyDescent="0.3">
      <c r="D3944"/>
    </row>
    <row r="3945" spans="4:4" x14ac:dyDescent="0.3">
      <c r="D3945"/>
    </row>
    <row r="3946" spans="4:4" x14ac:dyDescent="0.3">
      <c r="D3946"/>
    </row>
    <row r="3947" spans="4:4" x14ac:dyDescent="0.3">
      <c r="D3947"/>
    </row>
    <row r="3948" spans="4:4" x14ac:dyDescent="0.3">
      <c r="D3948"/>
    </row>
    <row r="3949" spans="4:4" x14ac:dyDescent="0.3">
      <c r="D3949"/>
    </row>
    <row r="3950" spans="4:4" x14ac:dyDescent="0.3">
      <c r="D3950"/>
    </row>
    <row r="3951" spans="4:4" x14ac:dyDescent="0.3">
      <c r="D3951"/>
    </row>
    <row r="3952" spans="4:4" x14ac:dyDescent="0.3">
      <c r="D3952"/>
    </row>
    <row r="3953" spans="4:4" x14ac:dyDescent="0.3">
      <c r="D3953"/>
    </row>
    <row r="3954" spans="4:4" x14ac:dyDescent="0.3">
      <c r="D3954"/>
    </row>
    <row r="3955" spans="4:4" x14ac:dyDescent="0.3">
      <c r="D3955"/>
    </row>
    <row r="3956" spans="4:4" x14ac:dyDescent="0.3">
      <c r="D3956"/>
    </row>
    <row r="3957" spans="4:4" x14ac:dyDescent="0.3">
      <c r="D3957"/>
    </row>
    <row r="3958" spans="4:4" x14ac:dyDescent="0.3">
      <c r="D3958"/>
    </row>
    <row r="3959" spans="4:4" x14ac:dyDescent="0.3">
      <c r="D3959"/>
    </row>
    <row r="3960" spans="4:4" x14ac:dyDescent="0.3">
      <c r="D3960"/>
    </row>
    <row r="3961" spans="4:4" x14ac:dyDescent="0.3">
      <c r="D3961"/>
    </row>
    <row r="3962" spans="4:4" x14ac:dyDescent="0.3">
      <c r="D3962"/>
    </row>
    <row r="3963" spans="4:4" x14ac:dyDescent="0.3">
      <c r="D3963"/>
    </row>
    <row r="3964" spans="4:4" x14ac:dyDescent="0.3">
      <c r="D3964"/>
    </row>
    <row r="3965" spans="4:4" x14ac:dyDescent="0.3">
      <c r="D3965"/>
    </row>
    <row r="3966" spans="4:4" x14ac:dyDescent="0.3">
      <c r="D3966"/>
    </row>
    <row r="3967" spans="4:4" x14ac:dyDescent="0.3">
      <c r="D3967"/>
    </row>
    <row r="3968" spans="4:4" x14ac:dyDescent="0.3">
      <c r="D3968"/>
    </row>
    <row r="3969" spans="4:4" x14ac:dyDescent="0.3">
      <c r="D3969"/>
    </row>
    <row r="3970" spans="4:4" x14ac:dyDescent="0.3">
      <c r="D3970"/>
    </row>
    <row r="3971" spans="4:4" x14ac:dyDescent="0.3">
      <c r="D3971"/>
    </row>
    <row r="3972" spans="4:4" x14ac:dyDescent="0.3">
      <c r="D3972"/>
    </row>
    <row r="3973" spans="4:4" x14ac:dyDescent="0.3">
      <c r="D3973"/>
    </row>
    <row r="3974" spans="4:4" x14ac:dyDescent="0.3">
      <c r="D3974"/>
    </row>
    <row r="3975" spans="4:4" x14ac:dyDescent="0.3">
      <c r="D3975"/>
    </row>
    <row r="3976" spans="4:4" x14ac:dyDescent="0.3">
      <c r="D3976"/>
    </row>
    <row r="3977" spans="4:4" x14ac:dyDescent="0.3">
      <c r="D3977"/>
    </row>
    <row r="3978" spans="4:4" x14ac:dyDescent="0.3">
      <c r="D3978"/>
    </row>
    <row r="3979" spans="4:4" x14ac:dyDescent="0.3">
      <c r="D3979"/>
    </row>
    <row r="3980" spans="4:4" x14ac:dyDescent="0.3">
      <c r="D3980"/>
    </row>
    <row r="3981" spans="4:4" x14ac:dyDescent="0.3">
      <c r="D3981"/>
    </row>
    <row r="3982" spans="4:4" x14ac:dyDescent="0.3">
      <c r="D3982"/>
    </row>
    <row r="3983" spans="4:4" x14ac:dyDescent="0.3">
      <c r="D3983"/>
    </row>
    <row r="3984" spans="4:4" x14ac:dyDescent="0.3">
      <c r="D3984"/>
    </row>
    <row r="3985" spans="4:4" x14ac:dyDescent="0.3">
      <c r="D3985"/>
    </row>
    <row r="3986" spans="4:4" x14ac:dyDescent="0.3">
      <c r="D3986"/>
    </row>
    <row r="3987" spans="4:4" x14ac:dyDescent="0.3">
      <c r="D3987"/>
    </row>
    <row r="3988" spans="4:4" x14ac:dyDescent="0.3">
      <c r="D3988"/>
    </row>
    <row r="3989" spans="4:4" x14ac:dyDescent="0.3">
      <c r="D3989"/>
    </row>
    <row r="3990" spans="4:4" x14ac:dyDescent="0.3">
      <c r="D3990"/>
    </row>
    <row r="3991" spans="4:4" x14ac:dyDescent="0.3">
      <c r="D3991"/>
    </row>
    <row r="3992" spans="4:4" x14ac:dyDescent="0.3">
      <c r="D3992"/>
    </row>
    <row r="3993" spans="4:4" x14ac:dyDescent="0.3">
      <c r="D3993"/>
    </row>
    <row r="3994" spans="4:4" x14ac:dyDescent="0.3">
      <c r="D3994"/>
    </row>
    <row r="3995" spans="4:4" x14ac:dyDescent="0.3">
      <c r="D3995"/>
    </row>
    <row r="3996" spans="4:4" x14ac:dyDescent="0.3">
      <c r="D3996"/>
    </row>
    <row r="3997" spans="4:4" x14ac:dyDescent="0.3">
      <c r="D3997"/>
    </row>
    <row r="3998" spans="4:4" x14ac:dyDescent="0.3">
      <c r="D3998"/>
    </row>
    <row r="3999" spans="4:4" x14ac:dyDescent="0.3">
      <c r="D3999"/>
    </row>
    <row r="4000" spans="4:4" x14ac:dyDescent="0.3">
      <c r="D4000"/>
    </row>
    <row r="4001" spans="4:4" x14ac:dyDescent="0.3">
      <c r="D4001"/>
    </row>
    <row r="4002" spans="4:4" x14ac:dyDescent="0.3">
      <c r="D4002"/>
    </row>
    <row r="4003" spans="4:4" x14ac:dyDescent="0.3">
      <c r="D4003"/>
    </row>
    <row r="4004" spans="4:4" x14ac:dyDescent="0.3">
      <c r="D4004"/>
    </row>
    <row r="4005" spans="4:4" x14ac:dyDescent="0.3">
      <c r="D4005"/>
    </row>
    <row r="4006" spans="4:4" x14ac:dyDescent="0.3">
      <c r="D4006"/>
    </row>
    <row r="4007" spans="4:4" x14ac:dyDescent="0.3">
      <c r="D4007"/>
    </row>
    <row r="4008" spans="4:4" x14ac:dyDescent="0.3">
      <c r="D4008"/>
    </row>
    <row r="4009" spans="4:4" x14ac:dyDescent="0.3">
      <c r="D4009"/>
    </row>
    <row r="4010" spans="4:4" x14ac:dyDescent="0.3">
      <c r="D4010"/>
    </row>
    <row r="4011" spans="4:4" x14ac:dyDescent="0.3">
      <c r="D4011"/>
    </row>
    <row r="4012" spans="4:4" x14ac:dyDescent="0.3">
      <c r="D4012"/>
    </row>
    <row r="4013" spans="4:4" x14ac:dyDescent="0.3">
      <c r="D4013"/>
    </row>
    <row r="4014" spans="4:4" x14ac:dyDescent="0.3">
      <c r="D4014"/>
    </row>
    <row r="4015" spans="4:4" x14ac:dyDescent="0.3">
      <c r="D4015"/>
    </row>
    <row r="4016" spans="4:4" x14ac:dyDescent="0.3">
      <c r="D4016"/>
    </row>
    <row r="4017" spans="4:4" x14ac:dyDescent="0.3">
      <c r="D4017"/>
    </row>
    <row r="4018" spans="4:4" x14ac:dyDescent="0.3">
      <c r="D4018"/>
    </row>
    <row r="4019" spans="4:4" x14ac:dyDescent="0.3">
      <c r="D4019"/>
    </row>
    <row r="4020" spans="4:4" x14ac:dyDescent="0.3">
      <c r="D4020"/>
    </row>
    <row r="4021" spans="4:4" x14ac:dyDescent="0.3">
      <c r="D4021"/>
    </row>
    <row r="4022" spans="4:4" x14ac:dyDescent="0.3">
      <c r="D4022"/>
    </row>
    <row r="4023" spans="4:4" x14ac:dyDescent="0.3">
      <c r="D4023"/>
    </row>
    <row r="4024" spans="4:4" x14ac:dyDescent="0.3">
      <c r="D4024"/>
    </row>
    <row r="4025" spans="4:4" x14ac:dyDescent="0.3">
      <c r="D4025"/>
    </row>
    <row r="4026" spans="4:4" x14ac:dyDescent="0.3">
      <c r="D4026"/>
    </row>
    <row r="4027" spans="4:4" x14ac:dyDescent="0.3">
      <c r="D4027"/>
    </row>
    <row r="4028" spans="4:4" x14ac:dyDescent="0.3">
      <c r="D4028"/>
    </row>
    <row r="4029" spans="4:4" x14ac:dyDescent="0.3">
      <c r="D4029"/>
    </row>
    <row r="4030" spans="4:4" x14ac:dyDescent="0.3">
      <c r="D4030"/>
    </row>
    <row r="4031" spans="4:4" x14ac:dyDescent="0.3">
      <c r="D4031"/>
    </row>
    <row r="4032" spans="4:4" x14ac:dyDescent="0.3">
      <c r="D4032"/>
    </row>
    <row r="4033" spans="4:4" x14ac:dyDescent="0.3">
      <c r="D4033"/>
    </row>
    <row r="4034" spans="4:4" x14ac:dyDescent="0.3">
      <c r="D4034"/>
    </row>
    <row r="4035" spans="4:4" x14ac:dyDescent="0.3">
      <c r="D4035"/>
    </row>
    <row r="4036" spans="4:4" x14ac:dyDescent="0.3">
      <c r="D4036"/>
    </row>
    <row r="4037" spans="4:4" x14ac:dyDescent="0.3">
      <c r="D4037"/>
    </row>
    <row r="4038" spans="4:4" x14ac:dyDescent="0.3">
      <c r="D4038"/>
    </row>
    <row r="4039" spans="4:4" x14ac:dyDescent="0.3">
      <c r="D4039"/>
    </row>
    <row r="4040" spans="4:4" x14ac:dyDescent="0.3">
      <c r="D4040"/>
    </row>
    <row r="4041" spans="4:4" x14ac:dyDescent="0.3">
      <c r="D4041"/>
    </row>
    <row r="4042" spans="4:4" x14ac:dyDescent="0.3">
      <c r="D4042"/>
    </row>
    <row r="4043" spans="4:4" x14ac:dyDescent="0.3">
      <c r="D4043"/>
    </row>
    <row r="4044" spans="4:4" x14ac:dyDescent="0.3">
      <c r="D4044"/>
    </row>
    <row r="4045" spans="4:4" x14ac:dyDescent="0.3">
      <c r="D4045"/>
    </row>
    <row r="4046" spans="4:4" x14ac:dyDescent="0.3">
      <c r="D4046"/>
    </row>
    <row r="4047" spans="4:4" x14ac:dyDescent="0.3">
      <c r="D4047"/>
    </row>
    <row r="4048" spans="4:4" x14ac:dyDescent="0.3">
      <c r="D4048"/>
    </row>
    <row r="4049" spans="4:4" x14ac:dyDescent="0.3">
      <c r="D4049"/>
    </row>
    <row r="4050" spans="4:4" x14ac:dyDescent="0.3">
      <c r="D4050"/>
    </row>
    <row r="4051" spans="4:4" x14ac:dyDescent="0.3">
      <c r="D4051"/>
    </row>
    <row r="4052" spans="4:4" x14ac:dyDescent="0.3">
      <c r="D4052"/>
    </row>
    <row r="4053" spans="4:4" x14ac:dyDescent="0.3">
      <c r="D4053"/>
    </row>
    <row r="4054" spans="4:4" x14ac:dyDescent="0.3">
      <c r="D4054"/>
    </row>
    <row r="4055" spans="4:4" x14ac:dyDescent="0.3">
      <c r="D4055"/>
    </row>
    <row r="4056" spans="4:4" x14ac:dyDescent="0.3">
      <c r="D4056"/>
    </row>
    <row r="4057" spans="4:4" x14ac:dyDescent="0.3">
      <c r="D4057"/>
    </row>
    <row r="4058" spans="4:4" x14ac:dyDescent="0.3">
      <c r="D4058"/>
    </row>
    <row r="4059" spans="4:4" x14ac:dyDescent="0.3">
      <c r="D4059"/>
    </row>
    <row r="4060" spans="4:4" x14ac:dyDescent="0.3">
      <c r="D4060"/>
    </row>
    <row r="4061" spans="4:4" x14ac:dyDescent="0.3">
      <c r="D4061"/>
    </row>
    <row r="4062" spans="4:4" x14ac:dyDescent="0.3">
      <c r="D4062"/>
    </row>
    <row r="4063" spans="4:4" x14ac:dyDescent="0.3">
      <c r="D4063"/>
    </row>
    <row r="4064" spans="4:4" x14ac:dyDescent="0.3">
      <c r="D4064"/>
    </row>
    <row r="4065" spans="4:4" x14ac:dyDescent="0.3">
      <c r="D4065"/>
    </row>
    <row r="4066" spans="4:4" x14ac:dyDescent="0.3">
      <c r="D4066"/>
    </row>
    <row r="4067" spans="4:4" x14ac:dyDescent="0.3">
      <c r="D4067"/>
    </row>
    <row r="4068" spans="4:4" x14ac:dyDescent="0.3">
      <c r="D4068"/>
    </row>
    <row r="4069" spans="4:4" x14ac:dyDescent="0.3">
      <c r="D4069"/>
    </row>
    <row r="4070" spans="4:4" x14ac:dyDescent="0.3">
      <c r="D4070"/>
    </row>
    <row r="4071" spans="4:4" x14ac:dyDescent="0.3">
      <c r="D4071"/>
    </row>
    <row r="4072" spans="4:4" x14ac:dyDescent="0.3">
      <c r="D4072"/>
    </row>
    <row r="4073" spans="4:4" x14ac:dyDescent="0.3">
      <c r="D4073"/>
    </row>
    <row r="4074" spans="4:4" x14ac:dyDescent="0.3">
      <c r="D4074"/>
    </row>
    <row r="4075" spans="4:4" x14ac:dyDescent="0.3">
      <c r="D4075"/>
    </row>
    <row r="4076" spans="4:4" x14ac:dyDescent="0.3">
      <c r="D4076"/>
    </row>
    <row r="4077" spans="4:4" x14ac:dyDescent="0.3">
      <c r="D4077"/>
    </row>
    <row r="4078" spans="4:4" x14ac:dyDescent="0.3">
      <c r="D4078"/>
    </row>
    <row r="4079" spans="4:4" x14ac:dyDescent="0.3">
      <c r="D4079"/>
    </row>
    <row r="4080" spans="4:4" x14ac:dyDescent="0.3">
      <c r="D4080"/>
    </row>
    <row r="4081" spans="4:4" x14ac:dyDescent="0.3">
      <c r="D4081"/>
    </row>
    <row r="4082" spans="4:4" x14ac:dyDescent="0.3">
      <c r="D4082"/>
    </row>
    <row r="4083" spans="4:4" x14ac:dyDescent="0.3">
      <c r="D4083"/>
    </row>
    <row r="4084" spans="4:4" x14ac:dyDescent="0.3">
      <c r="D4084"/>
    </row>
    <row r="4085" spans="4:4" x14ac:dyDescent="0.3">
      <c r="D4085"/>
    </row>
    <row r="4086" spans="4:4" x14ac:dyDescent="0.3">
      <c r="D4086"/>
    </row>
    <row r="4087" spans="4:4" x14ac:dyDescent="0.3">
      <c r="D4087"/>
    </row>
    <row r="4088" spans="4:4" x14ac:dyDescent="0.3">
      <c r="D4088"/>
    </row>
    <row r="4089" spans="4:4" x14ac:dyDescent="0.3">
      <c r="D4089"/>
    </row>
    <row r="4090" spans="4:4" x14ac:dyDescent="0.3">
      <c r="D4090"/>
    </row>
    <row r="4091" spans="4:4" x14ac:dyDescent="0.3">
      <c r="D4091"/>
    </row>
    <row r="4092" spans="4:4" x14ac:dyDescent="0.3">
      <c r="D4092"/>
    </row>
    <row r="4093" spans="4:4" x14ac:dyDescent="0.3">
      <c r="D4093"/>
    </row>
    <row r="4094" spans="4:4" x14ac:dyDescent="0.3">
      <c r="D4094"/>
    </row>
    <row r="4095" spans="4:4" x14ac:dyDescent="0.3">
      <c r="D4095"/>
    </row>
    <row r="4096" spans="4:4" x14ac:dyDescent="0.3">
      <c r="D4096"/>
    </row>
    <row r="4097" spans="4:4" x14ac:dyDescent="0.3">
      <c r="D4097"/>
    </row>
    <row r="4098" spans="4:4" x14ac:dyDescent="0.3">
      <c r="D4098"/>
    </row>
    <row r="4099" spans="4:4" x14ac:dyDescent="0.3">
      <c r="D4099"/>
    </row>
    <row r="4100" spans="4:4" x14ac:dyDescent="0.3">
      <c r="D4100"/>
    </row>
    <row r="4101" spans="4:4" x14ac:dyDescent="0.3">
      <c r="D4101"/>
    </row>
    <row r="4102" spans="4:4" x14ac:dyDescent="0.3">
      <c r="D4102"/>
    </row>
    <row r="4103" spans="4:4" x14ac:dyDescent="0.3">
      <c r="D4103"/>
    </row>
    <row r="4104" spans="4:4" x14ac:dyDescent="0.3">
      <c r="D4104"/>
    </row>
    <row r="4105" spans="4:4" x14ac:dyDescent="0.3">
      <c r="D4105"/>
    </row>
    <row r="4106" spans="4:4" x14ac:dyDescent="0.3">
      <c r="D4106"/>
    </row>
    <row r="4107" spans="4:4" x14ac:dyDescent="0.3">
      <c r="D4107"/>
    </row>
    <row r="4108" spans="4:4" x14ac:dyDescent="0.3">
      <c r="D4108"/>
    </row>
    <row r="4109" spans="4:4" x14ac:dyDescent="0.3">
      <c r="D4109"/>
    </row>
    <row r="4110" spans="4:4" x14ac:dyDescent="0.3">
      <c r="D4110"/>
    </row>
    <row r="4111" spans="4:4" x14ac:dyDescent="0.3">
      <c r="D4111"/>
    </row>
    <row r="4112" spans="4:4" x14ac:dyDescent="0.3">
      <c r="D4112"/>
    </row>
    <row r="4113" spans="4:4" x14ac:dyDescent="0.3">
      <c r="D4113"/>
    </row>
    <row r="4114" spans="4:4" x14ac:dyDescent="0.3">
      <c r="D4114"/>
    </row>
    <row r="4115" spans="4:4" x14ac:dyDescent="0.3">
      <c r="D4115"/>
    </row>
    <row r="4116" spans="4:4" x14ac:dyDescent="0.3">
      <c r="D4116"/>
    </row>
    <row r="4117" spans="4:4" x14ac:dyDescent="0.3">
      <c r="D4117"/>
    </row>
    <row r="4118" spans="4:4" x14ac:dyDescent="0.3">
      <c r="D4118"/>
    </row>
    <row r="4119" spans="4:4" x14ac:dyDescent="0.3">
      <c r="D4119"/>
    </row>
    <row r="4120" spans="4:4" x14ac:dyDescent="0.3">
      <c r="D4120"/>
    </row>
    <row r="4121" spans="4:4" x14ac:dyDescent="0.3">
      <c r="D4121"/>
    </row>
    <row r="4122" spans="4:4" x14ac:dyDescent="0.3">
      <c r="D4122"/>
    </row>
    <row r="4123" spans="4:4" x14ac:dyDescent="0.3">
      <c r="D4123"/>
    </row>
    <row r="4124" spans="4:4" x14ac:dyDescent="0.3">
      <c r="D4124"/>
    </row>
    <row r="4125" spans="4:4" x14ac:dyDescent="0.3">
      <c r="D4125"/>
    </row>
    <row r="4126" spans="4:4" x14ac:dyDescent="0.3">
      <c r="D4126"/>
    </row>
    <row r="4127" spans="4:4" x14ac:dyDescent="0.3">
      <c r="D4127"/>
    </row>
    <row r="4128" spans="4:4" x14ac:dyDescent="0.3">
      <c r="D4128"/>
    </row>
    <row r="4129" spans="4:4" x14ac:dyDescent="0.3">
      <c r="D4129"/>
    </row>
    <row r="4130" spans="4:4" x14ac:dyDescent="0.3">
      <c r="D4130"/>
    </row>
    <row r="4131" spans="4:4" x14ac:dyDescent="0.3">
      <c r="D4131"/>
    </row>
    <row r="4132" spans="4:4" x14ac:dyDescent="0.3">
      <c r="D4132"/>
    </row>
    <row r="4133" spans="4:4" x14ac:dyDescent="0.3">
      <c r="D4133"/>
    </row>
    <row r="4134" spans="4:4" x14ac:dyDescent="0.3">
      <c r="D4134"/>
    </row>
    <row r="4135" spans="4:4" x14ac:dyDescent="0.3">
      <c r="D4135"/>
    </row>
    <row r="4136" spans="4:4" x14ac:dyDescent="0.3">
      <c r="D4136"/>
    </row>
    <row r="4137" spans="4:4" x14ac:dyDescent="0.3">
      <c r="D4137"/>
    </row>
    <row r="4138" spans="4:4" x14ac:dyDescent="0.3">
      <c r="D4138"/>
    </row>
    <row r="4139" spans="4:4" x14ac:dyDescent="0.3">
      <c r="D4139"/>
    </row>
    <row r="4140" spans="4:4" x14ac:dyDescent="0.3">
      <c r="D4140"/>
    </row>
    <row r="4141" spans="4:4" x14ac:dyDescent="0.3">
      <c r="D4141"/>
    </row>
    <row r="4142" spans="4:4" x14ac:dyDescent="0.3">
      <c r="D4142"/>
    </row>
    <row r="4143" spans="4:4" x14ac:dyDescent="0.3">
      <c r="D4143"/>
    </row>
    <row r="4144" spans="4:4" x14ac:dyDescent="0.3">
      <c r="D4144"/>
    </row>
    <row r="4145" spans="4:4" x14ac:dyDescent="0.3">
      <c r="D4145"/>
    </row>
    <row r="4146" spans="4:4" x14ac:dyDescent="0.3">
      <c r="D4146"/>
    </row>
    <row r="4147" spans="4:4" x14ac:dyDescent="0.3">
      <c r="D4147"/>
    </row>
    <row r="4148" spans="4:4" x14ac:dyDescent="0.3">
      <c r="D4148"/>
    </row>
    <row r="4149" spans="4:4" x14ac:dyDescent="0.3">
      <c r="D4149"/>
    </row>
    <row r="4150" spans="4:4" x14ac:dyDescent="0.3">
      <c r="D4150"/>
    </row>
    <row r="4151" spans="4:4" x14ac:dyDescent="0.3">
      <c r="D4151"/>
    </row>
    <row r="4152" spans="4:4" x14ac:dyDescent="0.3">
      <c r="D4152"/>
    </row>
    <row r="4153" spans="4:4" x14ac:dyDescent="0.3">
      <c r="D4153"/>
    </row>
    <row r="4154" spans="4:4" x14ac:dyDescent="0.3">
      <c r="D4154"/>
    </row>
    <row r="4155" spans="4:4" x14ac:dyDescent="0.3">
      <c r="D4155"/>
    </row>
    <row r="4156" spans="4:4" x14ac:dyDescent="0.3">
      <c r="D4156"/>
    </row>
    <row r="4157" spans="4:4" x14ac:dyDescent="0.3">
      <c r="D4157"/>
    </row>
    <row r="4158" spans="4:4" x14ac:dyDescent="0.3">
      <c r="D4158"/>
    </row>
    <row r="4159" spans="4:4" x14ac:dyDescent="0.3">
      <c r="D4159"/>
    </row>
    <row r="4160" spans="4:4" x14ac:dyDescent="0.3">
      <c r="D4160"/>
    </row>
    <row r="4161" spans="4:4" x14ac:dyDescent="0.3">
      <c r="D4161"/>
    </row>
    <row r="4162" spans="4:4" x14ac:dyDescent="0.3">
      <c r="D4162"/>
    </row>
    <row r="4163" spans="4:4" x14ac:dyDescent="0.3">
      <c r="D4163"/>
    </row>
    <row r="4164" spans="4:4" x14ac:dyDescent="0.3">
      <c r="D4164"/>
    </row>
    <row r="4165" spans="4:4" x14ac:dyDescent="0.3">
      <c r="D4165"/>
    </row>
    <row r="4166" spans="4:4" x14ac:dyDescent="0.3">
      <c r="D4166"/>
    </row>
    <row r="4167" spans="4:4" x14ac:dyDescent="0.3">
      <c r="D4167"/>
    </row>
    <row r="4168" spans="4:4" x14ac:dyDescent="0.3">
      <c r="D4168"/>
    </row>
    <row r="4169" spans="4:4" x14ac:dyDescent="0.3">
      <c r="D4169"/>
    </row>
    <row r="4170" spans="4:4" x14ac:dyDescent="0.3">
      <c r="D4170"/>
    </row>
    <row r="4171" spans="4:4" x14ac:dyDescent="0.3">
      <c r="D4171"/>
    </row>
    <row r="4172" spans="4:4" x14ac:dyDescent="0.3">
      <c r="D4172"/>
    </row>
    <row r="4173" spans="4:4" x14ac:dyDescent="0.3">
      <c r="D4173"/>
    </row>
    <row r="4174" spans="4:4" x14ac:dyDescent="0.3">
      <c r="D4174"/>
    </row>
    <row r="4175" spans="4:4" x14ac:dyDescent="0.3">
      <c r="D4175"/>
    </row>
    <row r="4176" spans="4:4" x14ac:dyDescent="0.3">
      <c r="D4176"/>
    </row>
    <row r="4177" spans="4:4" x14ac:dyDescent="0.3">
      <c r="D4177"/>
    </row>
    <row r="4178" spans="4:4" x14ac:dyDescent="0.3">
      <c r="D4178"/>
    </row>
    <row r="4179" spans="4:4" x14ac:dyDescent="0.3">
      <c r="D4179"/>
    </row>
    <row r="4180" spans="4:4" x14ac:dyDescent="0.3">
      <c r="D4180"/>
    </row>
    <row r="4181" spans="4:4" x14ac:dyDescent="0.3">
      <c r="D4181"/>
    </row>
    <row r="4182" spans="4:4" x14ac:dyDescent="0.3">
      <c r="D4182"/>
    </row>
    <row r="4183" spans="4:4" x14ac:dyDescent="0.3">
      <c r="D4183"/>
    </row>
    <row r="4184" spans="4:4" x14ac:dyDescent="0.3">
      <c r="D4184"/>
    </row>
    <row r="4185" spans="4:4" x14ac:dyDescent="0.3">
      <c r="D4185"/>
    </row>
    <row r="4186" spans="4:4" x14ac:dyDescent="0.3">
      <c r="D4186"/>
    </row>
    <row r="4187" spans="4:4" x14ac:dyDescent="0.3">
      <c r="D4187"/>
    </row>
    <row r="4188" spans="4:4" x14ac:dyDescent="0.3">
      <c r="D4188"/>
    </row>
    <row r="4189" spans="4:4" x14ac:dyDescent="0.3">
      <c r="D4189"/>
    </row>
    <row r="4190" spans="4:4" x14ac:dyDescent="0.3">
      <c r="D4190"/>
    </row>
    <row r="4191" spans="4:4" x14ac:dyDescent="0.3">
      <c r="D4191"/>
    </row>
    <row r="4192" spans="4:4" x14ac:dyDescent="0.3">
      <c r="D4192"/>
    </row>
    <row r="4193" spans="4:4" x14ac:dyDescent="0.3">
      <c r="D4193"/>
    </row>
    <row r="4194" spans="4:4" x14ac:dyDescent="0.3">
      <c r="D4194"/>
    </row>
    <row r="4195" spans="4:4" x14ac:dyDescent="0.3">
      <c r="D4195"/>
    </row>
    <row r="4196" spans="4:4" x14ac:dyDescent="0.3">
      <c r="D4196"/>
    </row>
    <row r="4197" spans="4:4" x14ac:dyDescent="0.3">
      <c r="D4197"/>
    </row>
    <row r="4198" spans="4:4" x14ac:dyDescent="0.3">
      <c r="D4198"/>
    </row>
    <row r="4199" spans="4:4" x14ac:dyDescent="0.3">
      <c r="D4199"/>
    </row>
    <row r="4200" spans="4:4" x14ac:dyDescent="0.3">
      <c r="D4200"/>
    </row>
    <row r="4201" spans="4:4" x14ac:dyDescent="0.3">
      <c r="D4201"/>
    </row>
    <row r="4202" spans="4:4" x14ac:dyDescent="0.3">
      <c r="D4202"/>
    </row>
    <row r="4203" spans="4:4" x14ac:dyDescent="0.3">
      <c r="D4203"/>
    </row>
    <row r="4204" spans="4:4" x14ac:dyDescent="0.3">
      <c r="D4204"/>
    </row>
    <row r="4205" spans="4:4" x14ac:dyDescent="0.3">
      <c r="D4205"/>
    </row>
    <row r="4206" spans="4:4" x14ac:dyDescent="0.3">
      <c r="D4206"/>
    </row>
    <row r="4207" spans="4:4" x14ac:dyDescent="0.3">
      <c r="D4207"/>
    </row>
    <row r="4208" spans="4:4" x14ac:dyDescent="0.3">
      <c r="D4208"/>
    </row>
    <row r="4209" spans="4:4" x14ac:dyDescent="0.3">
      <c r="D4209"/>
    </row>
    <row r="4210" spans="4:4" x14ac:dyDescent="0.3">
      <c r="D4210"/>
    </row>
    <row r="4211" spans="4:4" x14ac:dyDescent="0.3">
      <c r="D4211"/>
    </row>
    <row r="4212" spans="4:4" x14ac:dyDescent="0.3">
      <c r="D4212"/>
    </row>
    <row r="4213" spans="4:4" x14ac:dyDescent="0.3">
      <c r="D4213"/>
    </row>
    <row r="4214" spans="4:4" x14ac:dyDescent="0.3">
      <c r="D4214"/>
    </row>
    <row r="4215" spans="4:4" x14ac:dyDescent="0.3">
      <c r="D4215"/>
    </row>
    <row r="4216" spans="4:4" x14ac:dyDescent="0.3">
      <c r="D4216"/>
    </row>
    <row r="4217" spans="4:4" x14ac:dyDescent="0.3">
      <c r="D4217"/>
    </row>
    <row r="4218" spans="4:4" x14ac:dyDescent="0.3">
      <c r="D4218"/>
    </row>
    <row r="4219" spans="4:4" x14ac:dyDescent="0.3">
      <c r="D4219"/>
    </row>
    <row r="4220" spans="4:4" x14ac:dyDescent="0.3">
      <c r="D4220"/>
    </row>
    <row r="4221" spans="4:4" x14ac:dyDescent="0.3">
      <c r="D4221"/>
    </row>
    <row r="4222" spans="4:4" x14ac:dyDescent="0.3">
      <c r="D4222"/>
    </row>
    <row r="4223" spans="4:4" x14ac:dyDescent="0.3">
      <c r="D4223"/>
    </row>
    <row r="4224" spans="4:4" x14ac:dyDescent="0.3">
      <c r="D4224"/>
    </row>
    <row r="4225" spans="4:4" x14ac:dyDescent="0.3">
      <c r="D4225"/>
    </row>
    <row r="4226" spans="4:4" x14ac:dyDescent="0.3">
      <c r="D4226"/>
    </row>
    <row r="4227" spans="4:4" x14ac:dyDescent="0.3">
      <c r="D4227"/>
    </row>
    <row r="4228" spans="4:4" x14ac:dyDescent="0.3">
      <c r="D4228"/>
    </row>
    <row r="4229" spans="4:4" x14ac:dyDescent="0.3">
      <c r="D4229"/>
    </row>
    <row r="4230" spans="4:4" x14ac:dyDescent="0.3">
      <c r="D4230"/>
    </row>
    <row r="4231" spans="4:4" x14ac:dyDescent="0.3">
      <c r="D4231"/>
    </row>
    <row r="4232" spans="4:4" x14ac:dyDescent="0.3">
      <c r="D4232"/>
    </row>
    <row r="4233" spans="4:4" x14ac:dyDescent="0.3">
      <c r="D4233"/>
    </row>
    <row r="4234" spans="4:4" x14ac:dyDescent="0.3">
      <c r="D4234"/>
    </row>
    <row r="4235" spans="4:4" x14ac:dyDescent="0.3">
      <c r="D4235"/>
    </row>
    <row r="4236" spans="4:4" x14ac:dyDescent="0.3">
      <c r="D4236"/>
    </row>
    <row r="4237" spans="4:4" x14ac:dyDescent="0.3">
      <c r="D4237"/>
    </row>
    <row r="4238" spans="4:4" x14ac:dyDescent="0.3">
      <c r="D4238"/>
    </row>
    <row r="4239" spans="4:4" x14ac:dyDescent="0.3">
      <c r="D4239"/>
    </row>
    <row r="4240" spans="4:4" x14ac:dyDescent="0.3">
      <c r="D4240"/>
    </row>
    <row r="4241" spans="4:4" x14ac:dyDescent="0.3">
      <c r="D4241"/>
    </row>
    <row r="4242" spans="4:4" x14ac:dyDescent="0.3">
      <c r="D4242"/>
    </row>
    <row r="4243" spans="4:4" x14ac:dyDescent="0.3">
      <c r="D4243"/>
    </row>
    <row r="4244" spans="4:4" x14ac:dyDescent="0.3">
      <c r="D4244"/>
    </row>
    <row r="4245" spans="4:4" x14ac:dyDescent="0.3">
      <c r="D4245"/>
    </row>
    <row r="4246" spans="4:4" x14ac:dyDescent="0.3">
      <c r="D4246"/>
    </row>
    <row r="4247" spans="4:4" x14ac:dyDescent="0.3">
      <c r="D4247"/>
    </row>
    <row r="4248" spans="4:4" x14ac:dyDescent="0.3">
      <c r="D4248"/>
    </row>
    <row r="4249" spans="4:4" x14ac:dyDescent="0.3">
      <c r="D4249"/>
    </row>
    <row r="4250" spans="4:4" x14ac:dyDescent="0.3">
      <c r="D4250"/>
    </row>
    <row r="4251" spans="4:4" x14ac:dyDescent="0.3">
      <c r="D4251"/>
    </row>
    <row r="4252" spans="4:4" x14ac:dyDescent="0.3">
      <c r="D4252"/>
    </row>
    <row r="4253" spans="4:4" x14ac:dyDescent="0.3">
      <c r="D4253"/>
    </row>
    <row r="4254" spans="4:4" x14ac:dyDescent="0.3">
      <c r="D4254"/>
    </row>
    <row r="4255" spans="4:4" x14ac:dyDescent="0.3">
      <c r="D4255"/>
    </row>
    <row r="4256" spans="4:4" x14ac:dyDescent="0.3">
      <c r="D4256"/>
    </row>
    <row r="4257" spans="4:4" x14ac:dyDescent="0.3">
      <c r="D4257"/>
    </row>
    <row r="4258" spans="4:4" x14ac:dyDescent="0.3">
      <c r="D4258"/>
    </row>
    <row r="4259" spans="4:4" x14ac:dyDescent="0.3">
      <c r="D4259"/>
    </row>
    <row r="4260" spans="4:4" x14ac:dyDescent="0.3">
      <c r="D4260"/>
    </row>
    <row r="4261" spans="4:4" x14ac:dyDescent="0.3">
      <c r="D4261"/>
    </row>
    <row r="4262" spans="4:4" x14ac:dyDescent="0.3">
      <c r="D4262"/>
    </row>
    <row r="4263" spans="4:4" x14ac:dyDescent="0.3">
      <c r="D4263"/>
    </row>
    <row r="4264" spans="4:4" x14ac:dyDescent="0.3">
      <c r="D4264"/>
    </row>
    <row r="4265" spans="4:4" x14ac:dyDescent="0.3">
      <c r="D4265"/>
    </row>
    <row r="4266" spans="4:4" x14ac:dyDescent="0.3">
      <c r="D4266"/>
    </row>
    <row r="4267" spans="4:4" x14ac:dyDescent="0.3">
      <c r="D4267"/>
    </row>
    <row r="4268" spans="4:4" x14ac:dyDescent="0.3">
      <c r="D4268"/>
    </row>
    <row r="4269" spans="4:4" x14ac:dyDescent="0.3">
      <c r="D4269"/>
    </row>
    <row r="4270" spans="4:4" x14ac:dyDescent="0.3">
      <c r="D4270"/>
    </row>
    <row r="4271" spans="4:4" x14ac:dyDescent="0.3">
      <c r="D4271"/>
    </row>
    <row r="4272" spans="4:4" x14ac:dyDescent="0.3">
      <c r="D4272"/>
    </row>
    <row r="4273" spans="4:4" x14ac:dyDescent="0.3">
      <c r="D4273"/>
    </row>
    <row r="4274" spans="4:4" x14ac:dyDescent="0.3">
      <c r="D4274"/>
    </row>
    <row r="4275" spans="4:4" x14ac:dyDescent="0.3">
      <c r="D4275"/>
    </row>
    <row r="4276" spans="4:4" x14ac:dyDescent="0.3">
      <c r="D4276"/>
    </row>
    <row r="4277" spans="4:4" x14ac:dyDescent="0.3">
      <c r="D4277"/>
    </row>
    <row r="4278" spans="4:4" x14ac:dyDescent="0.3">
      <c r="D4278"/>
    </row>
    <row r="4279" spans="4:4" x14ac:dyDescent="0.3">
      <c r="D4279"/>
    </row>
    <row r="4280" spans="4:4" x14ac:dyDescent="0.3">
      <c r="D4280"/>
    </row>
    <row r="4281" spans="4:4" x14ac:dyDescent="0.3">
      <c r="D4281"/>
    </row>
    <row r="4282" spans="4:4" x14ac:dyDescent="0.3">
      <c r="D4282"/>
    </row>
    <row r="4283" spans="4:4" x14ac:dyDescent="0.3">
      <c r="D4283"/>
    </row>
    <row r="4284" spans="4:4" x14ac:dyDescent="0.3">
      <c r="D4284"/>
    </row>
    <row r="4285" spans="4:4" x14ac:dyDescent="0.3">
      <c r="D4285"/>
    </row>
    <row r="4286" spans="4:4" x14ac:dyDescent="0.3">
      <c r="D4286"/>
    </row>
    <row r="4287" spans="4:4" x14ac:dyDescent="0.3">
      <c r="D4287"/>
    </row>
    <row r="4288" spans="4:4" x14ac:dyDescent="0.3">
      <c r="D4288"/>
    </row>
    <row r="4289" spans="4:4" x14ac:dyDescent="0.3">
      <c r="D4289"/>
    </row>
    <row r="4290" spans="4:4" x14ac:dyDescent="0.3">
      <c r="D4290"/>
    </row>
    <row r="4291" spans="4:4" x14ac:dyDescent="0.3">
      <c r="D4291"/>
    </row>
    <row r="4292" spans="4:4" x14ac:dyDescent="0.3">
      <c r="D4292"/>
    </row>
    <row r="4293" spans="4:4" x14ac:dyDescent="0.3">
      <c r="D4293"/>
    </row>
    <row r="4294" spans="4:4" x14ac:dyDescent="0.3">
      <c r="D4294"/>
    </row>
    <row r="4295" spans="4:4" x14ac:dyDescent="0.3">
      <c r="D4295"/>
    </row>
    <row r="4296" spans="4:4" x14ac:dyDescent="0.3">
      <c r="D4296"/>
    </row>
    <row r="4297" spans="4:4" x14ac:dyDescent="0.3">
      <c r="D4297"/>
    </row>
    <row r="4298" spans="4:4" x14ac:dyDescent="0.3">
      <c r="D4298"/>
    </row>
    <row r="4299" spans="4:4" x14ac:dyDescent="0.3">
      <c r="D4299"/>
    </row>
    <row r="4300" spans="4:4" x14ac:dyDescent="0.3">
      <c r="D4300"/>
    </row>
    <row r="4301" spans="4:4" x14ac:dyDescent="0.3">
      <c r="D4301"/>
    </row>
    <row r="4302" spans="4:4" x14ac:dyDescent="0.3">
      <c r="D4302"/>
    </row>
    <row r="4303" spans="4:4" x14ac:dyDescent="0.3">
      <c r="D4303"/>
    </row>
    <row r="4304" spans="4:4" x14ac:dyDescent="0.3">
      <c r="D4304"/>
    </row>
    <row r="4305" spans="4:4" x14ac:dyDescent="0.3">
      <c r="D4305"/>
    </row>
    <row r="4306" spans="4:4" x14ac:dyDescent="0.3">
      <c r="D4306"/>
    </row>
    <row r="4307" spans="4:4" x14ac:dyDescent="0.3">
      <c r="D4307"/>
    </row>
    <row r="4308" spans="4:4" x14ac:dyDescent="0.3">
      <c r="D4308"/>
    </row>
    <row r="4309" spans="4:4" x14ac:dyDescent="0.3">
      <c r="D4309"/>
    </row>
    <row r="4310" spans="4:4" x14ac:dyDescent="0.3">
      <c r="D4310"/>
    </row>
    <row r="4311" spans="4:4" x14ac:dyDescent="0.3">
      <c r="D4311"/>
    </row>
    <row r="4312" spans="4:4" x14ac:dyDescent="0.3">
      <c r="D4312"/>
    </row>
    <row r="4313" spans="4:4" x14ac:dyDescent="0.3">
      <c r="D4313"/>
    </row>
    <row r="4314" spans="4:4" x14ac:dyDescent="0.3">
      <c r="D4314"/>
    </row>
    <row r="4315" spans="4:4" x14ac:dyDescent="0.3">
      <c r="D4315"/>
    </row>
    <row r="4316" spans="4:4" x14ac:dyDescent="0.3">
      <c r="D4316"/>
    </row>
    <row r="4317" spans="4:4" x14ac:dyDescent="0.3">
      <c r="D4317"/>
    </row>
    <row r="4318" spans="4:4" x14ac:dyDescent="0.3">
      <c r="D4318"/>
    </row>
    <row r="4319" spans="4:4" x14ac:dyDescent="0.3">
      <c r="D4319"/>
    </row>
    <row r="4320" spans="4:4" x14ac:dyDescent="0.3">
      <c r="D4320"/>
    </row>
    <row r="4321" spans="4:4" x14ac:dyDescent="0.3">
      <c r="D4321"/>
    </row>
    <row r="4322" spans="4:4" x14ac:dyDescent="0.3">
      <c r="D4322"/>
    </row>
    <row r="4323" spans="4:4" x14ac:dyDescent="0.3">
      <c r="D4323"/>
    </row>
    <row r="4324" spans="4:4" x14ac:dyDescent="0.3">
      <c r="D4324"/>
    </row>
    <row r="4325" spans="4:4" x14ac:dyDescent="0.3">
      <c r="D4325"/>
    </row>
    <row r="4326" spans="4:4" x14ac:dyDescent="0.3">
      <c r="D4326"/>
    </row>
    <row r="4327" spans="4:4" x14ac:dyDescent="0.3">
      <c r="D4327"/>
    </row>
    <row r="4328" spans="4:4" x14ac:dyDescent="0.3">
      <c r="D4328"/>
    </row>
    <row r="4329" spans="4:4" x14ac:dyDescent="0.3">
      <c r="D4329"/>
    </row>
    <row r="4330" spans="4:4" x14ac:dyDescent="0.3">
      <c r="D4330"/>
    </row>
    <row r="4331" spans="4:4" x14ac:dyDescent="0.3">
      <c r="D4331"/>
    </row>
    <row r="4332" spans="4:4" x14ac:dyDescent="0.3">
      <c r="D4332"/>
    </row>
    <row r="4333" spans="4:4" x14ac:dyDescent="0.3">
      <c r="D4333"/>
    </row>
    <row r="4334" spans="4:4" x14ac:dyDescent="0.3">
      <c r="D4334"/>
    </row>
    <row r="4335" spans="4:4" x14ac:dyDescent="0.3">
      <c r="D4335"/>
    </row>
    <row r="4336" spans="4:4" x14ac:dyDescent="0.3">
      <c r="D4336"/>
    </row>
    <row r="4337" spans="4:4" x14ac:dyDescent="0.3">
      <c r="D4337"/>
    </row>
    <row r="4338" spans="4:4" x14ac:dyDescent="0.3">
      <c r="D4338"/>
    </row>
    <row r="4339" spans="4:4" x14ac:dyDescent="0.3">
      <c r="D4339"/>
    </row>
    <row r="4340" spans="4:4" x14ac:dyDescent="0.3">
      <c r="D4340"/>
    </row>
    <row r="4341" spans="4:4" x14ac:dyDescent="0.3">
      <c r="D4341"/>
    </row>
    <row r="4342" spans="4:4" x14ac:dyDescent="0.3">
      <c r="D4342"/>
    </row>
    <row r="4343" spans="4:4" x14ac:dyDescent="0.3">
      <c r="D4343"/>
    </row>
    <row r="4344" spans="4:4" x14ac:dyDescent="0.3">
      <c r="D4344"/>
    </row>
    <row r="4345" spans="4:4" x14ac:dyDescent="0.3">
      <c r="D4345"/>
    </row>
    <row r="4346" spans="4:4" x14ac:dyDescent="0.3">
      <c r="D4346"/>
    </row>
    <row r="4347" spans="4:4" x14ac:dyDescent="0.3">
      <c r="D4347"/>
    </row>
    <row r="4348" spans="4:4" x14ac:dyDescent="0.3">
      <c r="D4348"/>
    </row>
    <row r="4349" spans="4:4" x14ac:dyDescent="0.3">
      <c r="D4349"/>
    </row>
    <row r="4350" spans="4:4" x14ac:dyDescent="0.3">
      <c r="D4350"/>
    </row>
    <row r="4351" spans="4:4" x14ac:dyDescent="0.3">
      <c r="D4351"/>
    </row>
    <row r="4352" spans="4:4" x14ac:dyDescent="0.3">
      <c r="D4352"/>
    </row>
    <row r="4353" spans="4:4" x14ac:dyDescent="0.3">
      <c r="D4353"/>
    </row>
    <row r="4354" spans="4:4" x14ac:dyDescent="0.3">
      <c r="D4354"/>
    </row>
    <row r="4355" spans="4:4" x14ac:dyDescent="0.3">
      <c r="D4355"/>
    </row>
    <row r="4356" spans="4:4" x14ac:dyDescent="0.3">
      <c r="D4356"/>
    </row>
    <row r="4357" spans="4:4" x14ac:dyDescent="0.3">
      <c r="D4357"/>
    </row>
    <row r="4358" spans="4:4" x14ac:dyDescent="0.3">
      <c r="D4358"/>
    </row>
    <row r="4359" spans="4:4" x14ac:dyDescent="0.3">
      <c r="D4359"/>
    </row>
    <row r="4360" spans="4:4" x14ac:dyDescent="0.3">
      <c r="D4360"/>
    </row>
    <row r="4361" spans="4:4" x14ac:dyDescent="0.3">
      <c r="D4361"/>
    </row>
    <row r="4362" spans="4:4" x14ac:dyDescent="0.3">
      <c r="D4362"/>
    </row>
    <row r="4363" spans="4:4" x14ac:dyDescent="0.3">
      <c r="D4363"/>
    </row>
    <row r="4364" spans="4:4" x14ac:dyDescent="0.3">
      <c r="D4364"/>
    </row>
    <row r="4365" spans="4:4" x14ac:dyDescent="0.3">
      <c r="D4365"/>
    </row>
    <row r="4366" spans="4:4" x14ac:dyDescent="0.3">
      <c r="D4366"/>
    </row>
    <row r="4367" spans="4:4" x14ac:dyDescent="0.3">
      <c r="D4367"/>
    </row>
    <row r="4368" spans="4:4" x14ac:dyDescent="0.3">
      <c r="D4368"/>
    </row>
    <row r="4369" spans="4:4" x14ac:dyDescent="0.3">
      <c r="D4369"/>
    </row>
    <row r="4370" spans="4:4" x14ac:dyDescent="0.3">
      <c r="D4370"/>
    </row>
    <row r="4371" spans="4:4" x14ac:dyDescent="0.3">
      <c r="D4371"/>
    </row>
    <row r="4372" spans="4:4" x14ac:dyDescent="0.3">
      <c r="D4372"/>
    </row>
    <row r="4373" spans="4:4" x14ac:dyDescent="0.3">
      <c r="D4373"/>
    </row>
    <row r="4374" spans="4:4" x14ac:dyDescent="0.3">
      <c r="D4374"/>
    </row>
    <row r="4375" spans="4:4" x14ac:dyDescent="0.3">
      <c r="D4375"/>
    </row>
    <row r="4376" spans="4:4" x14ac:dyDescent="0.3">
      <c r="D4376"/>
    </row>
    <row r="4377" spans="4:4" x14ac:dyDescent="0.3">
      <c r="D4377"/>
    </row>
    <row r="4378" spans="4:4" x14ac:dyDescent="0.3">
      <c r="D4378"/>
    </row>
    <row r="4379" spans="4:4" x14ac:dyDescent="0.3">
      <c r="D4379"/>
    </row>
    <row r="4380" spans="4:4" x14ac:dyDescent="0.3">
      <c r="D4380"/>
    </row>
    <row r="4381" spans="4:4" x14ac:dyDescent="0.3">
      <c r="D4381"/>
    </row>
    <row r="4382" spans="4:4" x14ac:dyDescent="0.3">
      <c r="D4382"/>
    </row>
    <row r="4383" spans="4:4" x14ac:dyDescent="0.3">
      <c r="D4383"/>
    </row>
    <row r="4384" spans="4:4" x14ac:dyDescent="0.3">
      <c r="D4384"/>
    </row>
    <row r="4385" spans="4:4" x14ac:dyDescent="0.3">
      <c r="D4385"/>
    </row>
    <row r="4386" spans="4:4" x14ac:dyDescent="0.3">
      <c r="D4386"/>
    </row>
    <row r="4387" spans="4:4" x14ac:dyDescent="0.3">
      <c r="D4387"/>
    </row>
    <row r="4388" spans="4:4" x14ac:dyDescent="0.3">
      <c r="D4388"/>
    </row>
    <row r="4389" spans="4:4" x14ac:dyDescent="0.3">
      <c r="D4389"/>
    </row>
    <row r="4390" spans="4:4" x14ac:dyDescent="0.3">
      <c r="D4390"/>
    </row>
    <row r="4391" spans="4:4" x14ac:dyDescent="0.3">
      <c r="D4391"/>
    </row>
    <row r="4392" spans="4:4" x14ac:dyDescent="0.3">
      <c r="D4392"/>
    </row>
    <row r="4393" spans="4:4" x14ac:dyDescent="0.3">
      <c r="D4393"/>
    </row>
    <row r="4394" spans="4:4" x14ac:dyDescent="0.3">
      <c r="D4394"/>
    </row>
    <row r="4395" spans="4:4" x14ac:dyDescent="0.3">
      <c r="D4395"/>
    </row>
    <row r="4396" spans="4:4" x14ac:dyDescent="0.3">
      <c r="D4396"/>
    </row>
    <row r="4397" spans="4:4" x14ac:dyDescent="0.3">
      <c r="D4397"/>
    </row>
    <row r="4398" spans="4:4" x14ac:dyDescent="0.3">
      <c r="D4398"/>
    </row>
    <row r="4399" spans="4:4" x14ac:dyDescent="0.3">
      <c r="D4399"/>
    </row>
    <row r="4400" spans="4:4" x14ac:dyDescent="0.3">
      <c r="D4400"/>
    </row>
    <row r="4401" spans="4:4" x14ac:dyDescent="0.3">
      <c r="D4401"/>
    </row>
    <row r="4402" spans="4:4" x14ac:dyDescent="0.3">
      <c r="D4402"/>
    </row>
    <row r="4403" spans="4:4" x14ac:dyDescent="0.3">
      <c r="D4403"/>
    </row>
    <row r="4404" spans="4:4" x14ac:dyDescent="0.3">
      <c r="D4404"/>
    </row>
    <row r="4405" spans="4:4" x14ac:dyDescent="0.3">
      <c r="D4405"/>
    </row>
    <row r="4406" spans="4:4" x14ac:dyDescent="0.3">
      <c r="D4406"/>
    </row>
    <row r="4407" spans="4:4" x14ac:dyDescent="0.3">
      <c r="D4407"/>
    </row>
    <row r="4408" spans="4:4" x14ac:dyDescent="0.3">
      <c r="D4408"/>
    </row>
    <row r="4409" spans="4:4" x14ac:dyDescent="0.3">
      <c r="D4409"/>
    </row>
    <row r="4410" spans="4:4" x14ac:dyDescent="0.3">
      <c r="D4410"/>
    </row>
    <row r="4411" spans="4:4" x14ac:dyDescent="0.3">
      <c r="D4411"/>
    </row>
    <row r="4412" spans="4:4" x14ac:dyDescent="0.3">
      <c r="D4412"/>
    </row>
    <row r="4413" spans="4:4" x14ac:dyDescent="0.3">
      <c r="D4413"/>
    </row>
    <row r="4414" spans="4:4" x14ac:dyDescent="0.3">
      <c r="D4414"/>
    </row>
    <row r="4415" spans="4:4" x14ac:dyDescent="0.3">
      <c r="D4415"/>
    </row>
    <row r="4416" spans="4:4" x14ac:dyDescent="0.3">
      <c r="D4416"/>
    </row>
    <row r="4417" spans="4:4" x14ac:dyDescent="0.3">
      <c r="D4417"/>
    </row>
    <row r="4418" spans="4:4" x14ac:dyDescent="0.3">
      <c r="D4418"/>
    </row>
    <row r="4419" spans="4:4" x14ac:dyDescent="0.3">
      <c r="D4419"/>
    </row>
    <row r="4420" spans="4:4" x14ac:dyDescent="0.3">
      <c r="D4420"/>
    </row>
    <row r="4421" spans="4:4" x14ac:dyDescent="0.3">
      <c r="D4421"/>
    </row>
    <row r="4422" spans="4:4" x14ac:dyDescent="0.3">
      <c r="D4422"/>
    </row>
    <row r="4423" spans="4:4" x14ac:dyDescent="0.3">
      <c r="D4423"/>
    </row>
    <row r="4424" spans="4:4" x14ac:dyDescent="0.3">
      <c r="D4424"/>
    </row>
    <row r="4425" spans="4:4" x14ac:dyDescent="0.3">
      <c r="D4425"/>
    </row>
    <row r="4426" spans="4:4" x14ac:dyDescent="0.3">
      <c r="D4426"/>
    </row>
    <row r="4427" spans="4:4" x14ac:dyDescent="0.3">
      <c r="D4427"/>
    </row>
    <row r="4428" spans="4:4" x14ac:dyDescent="0.3">
      <c r="D4428"/>
    </row>
    <row r="4429" spans="4:4" x14ac:dyDescent="0.3">
      <c r="D4429"/>
    </row>
    <row r="4430" spans="4:4" x14ac:dyDescent="0.3">
      <c r="D4430"/>
    </row>
    <row r="4431" spans="4:4" x14ac:dyDescent="0.3">
      <c r="D4431"/>
    </row>
    <row r="4432" spans="4:4" x14ac:dyDescent="0.3">
      <c r="D4432"/>
    </row>
    <row r="4433" spans="4:4" x14ac:dyDescent="0.3">
      <c r="D4433"/>
    </row>
    <row r="4434" spans="4:4" x14ac:dyDescent="0.3">
      <c r="D4434"/>
    </row>
    <row r="4435" spans="4:4" x14ac:dyDescent="0.3">
      <c r="D4435"/>
    </row>
    <row r="4436" spans="4:4" x14ac:dyDescent="0.3">
      <c r="D4436"/>
    </row>
    <row r="4437" spans="4:4" x14ac:dyDescent="0.3">
      <c r="D4437"/>
    </row>
    <row r="4438" spans="4:4" x14ac:dyDescent="0.3">
      <c r="D4438"/>
    </row>
    <row r="4439" spans="4:4" x14ac:dyDescent="0.3">
      <c r="D4439"/>
    </row>
    <row r="4440" spans="4:4" x14ac:dyDescent="0.3">
      <c r="D4440"/>
    </row>
    <row r="4441" spans="4:4" x14ac:dyDescent="0.3">
      <c r="D4441"/>
    </row>
    <row r="4442" spans="4:4" x14ac:dyDescent="0.3">
      <c r="D4442"/>
    </row>
    <row r="4443" spans="4:4" x14ac:dyDescent="0.3">
      <c r="D4443"/>
    </row>
    <row r="4444" spans="4:4" x14ac:dyDescent="0.3">
      <c r="D4444"/>
    </row>
    <row r="4445" spans="4:4" x14ac:dyDescent="0.3">
      <c r="D4445"/>
    </row>
    <row r="4446" spans="4:4" x14ac:dyDescent="0.3">
      <c r="D4446"/>
    </row>
    <row r="4447" spans="4:4" x14ac:dyDescent="0.3">
      <c r="D4447"/>
    </row>
    <row r="4448" spans="4:4" x14ac:dyDescent="0.3">
      <c r="D4448"/>
    </row>
    <row r="4449" spans="4:4" x14ac:dyDescent="0.3">
      <c r="D4449"/>
    </row>
    <row r="4450" spans="4:4" x14ac:dyDescent="0.3">
      <c r="D4450"/>
    </row>
    <row r="4451" spans="4:4" x14ac:dyDescent="0.3">
      <c r="D4451"/>
    </row>
    <row r="4452" spans="4:4" x14ac:dyDescent="0.3">
      <c r="D4452"/>
    </row>
    <row r="4453" spans="4:4" x14ac:dyDescent="0.3">
      <c r="D4453"/>
    </row>
    <row r="4454" spans="4:4" x14ac:dyDescent="0.3">
      <c r="D4454"/>
    </row>
    <row r="4455" spans="4:4" x14ac:dyDescent="0.3">
      <c r="D4455"/>
    </row>
    <row r="4456" spans="4:4" x14ac:dyDescent="0.3">
      <c r="D4456"/>
    </row>
    <row r="4457" spans="4:4" x14ac:dyDescent="0.3">
      <c r="D4457"/>
    </row>
    <row r="4458" spans="4:4" x14ac:dyDescent="0.3">
      <c r="D4458"/>
    </row>
    <row r="4459" spans="4:4" x14ac:dyDescent="0.3">
      <c r="D4459"/>
    </row>
    <row r="4460" spans="4:4" x14ac:dyDescent="0.3">
      <c r="D4460"/>
    </row>
    <row r="4461" spans="4:4" x14ac:dyDescent="0.3">
      <c r="D4461"/>
    </row>
    <row r="4462" spans="4:4" x14ac:dyDescent="0.3">
      <c r="D4462"/>
    </row>
    <row r="4463" spans="4:4" x14ac:dyDescent="0.3">
      <c r="D4463"/>
    </row>
    <row r="4464" spans="4:4" x14ac:dyDescent="0.3">
      <c r="D4464"/>
    </row>
    <row r="4465" spans="4:4" x14ac:dyDescent="0.3">
      <c r="D4465"/>
    </row>
    <row r="4466" spans="4:4" x14ac:dyDescent="0.3">
      <c r="D4466"/>
    </row>
    <row r="4467" spans="4:4" x14ac:dyDescent="0.3">
      <c r="D4467"/>
    </row>
    <row r="4468" spans="4:4" x14ac:dyDescent="0.3">
      <c r="D4468"/>
    </row>
    <row r="4469" spans="4:4" x14ac:dyDescent="0.3">
      <c r="D4469"/>
    </row>
    <row r="4470" spans="4:4" x14ac:dyDescent="0.3">
      <c r="D4470"/>
    </row>
    <row r="4471" spans="4:4" x14ac:dyDescent="0.3">
      <c r="D4471"/>
    </row>
    <row r="4472" spans="4:4" x14ac:dyDescent="0.3">
      <c r="D4472"/>
    </row>
    <row r="4473" spans="4:4" x14ac:dyDescent="0.3">
      <c r="D4473"/>
    </row>
    <row r="4474" spans="4:4" x14ac:dyDescent="0.3">
      <c r="D4474"/>
    </row>
    <row r="4475" spans="4:4" x14ac:dyDescent="0.3">
      <c r="D4475"/>
    </row>
    <row r="4476" spans="4:4" x14ac:dyDescent="0.3">
      <c r="D4476"/>
    </row>
    <row r="4477" spans="4:4" x14ac:dyDescent="0.3">
      <c r="D4477"/>
    </row>
    <row r="4478" spans="4:4" x14ac:dyDescent="0.3">
      <c r="D4478"/>
    </row>
    <row r="4479" spans="4:4" x14ac:dyDescent="0.3">
      <c r="D4479"/>
    </row>
    <row r="4480" spans="4:4" x14ac:dyDescent="0.3">
      <c r="D4480"/>
    </row>
    <row r="4481" spans="4:4" x14ac:dyDescent="0.3">
      <c r="D4481"/>
    </row>
    <row r="4482" spans="4:4" x14ac:dyDescent="0.3">
      <c r="D4482"/>
    </row>
    <row r="4483" spans="4:4" x14ac:dyDescent="0.3">
      <c r="D4483"/>
    </row>
    <row r="4484" spans="4:4" x14ac:dyDescent="0.3">
      <c r="D4484"/>
    </row>
    <row r="4485" spans="4:4" x14ac:dyDescent="0.3">
      <c r="D4485"/>
    </row>
    <row r="4486" spans="4:4" x14ac:dyDescent="0.3">
      <c r="D4486"/>
    </row>
    <row r="4487" spans="4:4" x14ac:dyDescent="0.3">
      <c r="D4487"/>
    </row>
    <row r="4488" spans="4:4" x14ac:dyDescent="0.3">
      <c r="D4488"/>
    </row>
    <row r="4489" spans="4:4" x14ac:dyDescent="0.3">
      <c r="D4489"/>
    </row>
    <row r="4490" spans="4:4" x14ac:dyDescent="0.3">
      <c r="D4490"/>
    </row>
    <row r="4491" spans="4:4" x14ac:dyDescent="0.3">
      <c r="D4491"/>
    </row>
    <row r="4492" spans="4:4" x14ac:dyDescent="0.3">
      <c r="D4492"/>
    </row>
    <row r="4493" spans="4:4" x14ac:dyDescent="0.3">
      <c r="D4493"/>
    </row>
    <row r="4494" spans="4:4" x14ac:dyDescent="0.3">
      <c r="D4494"/>
    </row>
    <row r="4495" spans="4:4" x14ac:dyDescent="0.3">
      <c r="D4495"/>
    </row>
    <row r="4496" spans="4:4" x14ac:dyDescent="0.3">
      <c r="D4496"/>
    </row>
    <row r="4497" spans="4:4" x14ac:dyDescent="0.3">
      <c r="D4497"/>
    </row>
    <row r="4498" spans="4:4" x14ac:dyDescent="0.3">
      <c r="D4498"/>
    </row>
    <row r="4499" spans="4:4" x14ac:dyDescent="0.3">
      <c r="D4499"/>
    </row>
    <row r="4500" spans="4:4" x14ac:dyDescent="0.3">
      <c r="D4500"/>
    </row>
    <row r="4501" spans="4:4" x14ac:dyDescent="0.3">
      <c r="D4501"/>
    </row>
    <row r="4502" spans="4:4" x14ac:dyDescent="0.3">
      <c r="D4502"/>
    </row>
    <row r="4503" spans="4:4" x14ac:dyDescent="0.3">
      <c r="D4503"/>
    </row>
    <row r="4504" spans="4:4" x14ac:dyDescent="0.3">
      <c r="D4504"/>
    </row>
    <row r="4505" spans="4:4" x14ac:dyDescent="0.3">
      <c r="D4505"/>
    </row>
    <row r="4506" spans="4:4" x14ac:dyDescent="0.3">
      <c r="D4506"/>
    </row>
    <row r="4507" spans="4:4" x14ac:dyDescent="0.3">
      <c r="D4507"/>
    </row>
    <row r="4508" spans="4:4" x14ac:dyDescent="0.3">
      <c r="D4508"/>
    </row>
    <row r="4509" spans="4:4" x14ac:dyDescent="0.3">
      <c r="D4509"/>
    </row>
    <row r="4510" spans="4:4" x14ac:dyDescent="0.3">
      <c r="D4510"/>
    </row>
    <row r="4511" spans="4:4" x14ac:dyDescent="0.3">
      <c r="D4511"/>
    </row>
    <row r="4512" spans="4:4" x14ac:dyDescent="0.3">
      <c r="D4512"/>
    </row>
    <row r="4513" spans="4:4" x14ac:dyDescent="0.3">
      <c r="D4513"/>
    </row>
    <row r="4514" spans="4:4" x14ac:dyDescent="0.3">
      <c r="D4514"/>
    </row>
    <row r="4515" spans="4:4" x14ac:dyDescent="0.3">
      <c r="D4515"/>
    </row>
    <row r="4516" spans="4:4" x14ac:dyDescent="0.3">
      <c r="D4516"/>
    </row>
    <row r="4517" spans="4:4" x14ac:dyDescent="0.3">
      <c r="D4517"/>
    </row>
    <row r="4518" spans="4:4" x14ac:dyDescent="0.3">
      <c r="D4518"/>
    </row>
    <row r="4519" spans="4:4" x14ac:dyDescent="0.3">
      <c r="D4519"/>
    </row>
    <row r="4520" spans="4:4" x14ac:dyDescent="0.3">
      <c r="D4520"/>
    </row>
    <row r="4521" spans="4:4" x14ac:dyDescent="0.3">
      <c r="D4521"/>
    </row>
    <row r="4522" spans="4:4" x14ac:dyDescent="0.3">
      <c r="D4522"/>
    </row>
    <row r="4523" spans="4:4" x14ac:dyDescent="0.3">
      <c r="D4523"/>
    </row>
    <row r="4524" spans="4:4" x14ac:dyDescent="0.3">
      <c r="D4524"/>
    </row>
    <row r="4525" spans="4:4" x14ac:dyDescent="0.3">
      <c r="D4525"/>
    </row>
    <row r="4526" spans="4:4" x14ac:dyDescent="0.3">
      <c r="D4526"/>
    </row>
    <row r="4527" spans="4:4" x14ac:dyDescent="0.3">
      <c r="D4527"/>
    </row>
    <row r="4528" spans="4:4" x14ac:dyDescent="0.3">
      <c r="D4528"/>
    </row>
    <row r="4529" spans="4:4" x14ac:dyDescent="0.3">
      <c r="D4529"/>
    </row>
    <row r="4530" spans="4:4" x14ac:dyDescent="0.3">
      <c r="D4530"/>
    </row>
    <row r="4531" spans="4:4" x14ac:dyDescent="0.3">
      <c r="D4531"/>
    </row>
    <row r="4532" spans="4:4" x14ac:dyDescent="0.3">
      <c r="D4532"/>
    </row>
    <row r="4533" spans="4:4" x14ac:dyDescent="0.3">
      <c r="D4533"/>
    </row>
    <row r="4534" spans="4:4" x14ac:dyDescent="0.3">
      <c r="D4534"/>
    </row>
    <row r="4535" spans="4:4" x14ac:dyDescent="0.3">
      <c r="D4535"/>
    </row>
    <row r="4536" spans="4:4" x14ac:dyDescent="0.3">
      <c r="D4536"/>
    </row>
    <row r="4537" spans="4:4" x14ac:dyDescent="0.3">
      <c r="D4537"/>
    </row>
    <row r="4538" spans="4:4" x14ac:dyDescent="0.3">
      <c r="D4538"/>
    </row>
    <row r="4539" spans="4:4" x14ac:dyDescent="0.3">
      <c r="D4539"/>
    </row>
    <row r="4540" spans="4:4" x14ac:dyDescent="0.3">
      <c r="D4540"/>
    </row>
    <row r="4541" spans="4:4" x14ac:dyDescent="0.3">
      <c r="D4541"/>
    </row>
    <row r="4542" spans="4:4" x14ac:dyDescent="0.3">
      <c r="D4542"/>
    </row>
    <row r="4543" spans="4:4" x14ac:dyDescent="0.3">
      <c r="D4543"/>
    </row>
    <row r="4544" spans="4:4" x14ac:dyDescent="0.3">
      <c r="D4544"/>
    </row>
    <row r="4545" spans="4:4" x14ac:dyDescent="0.3">
      <c r="D4545"/>
    </row>
    <row r="4546" spans="4:4" x14ac:dyDescent="0.3">
      <c r="D4546"/>
    </row>
    <row r="4547" spans="4:4" x14ac:dyDescent="0.3">
      <c r="D4547"/>
    </row>
    <row r="4548" spans="4:4" x14ac:dyDescent="0.3">
      <c r="D4548"/>
    </row>
    <row r="4549" spans="4:4" x14ac:dyDescent="0.3">
      <c r="D4549"/>
    </row>
    <row r="4550" spans="4:4" x14ac:dyDescent="0.3">
      <c r="D4550"/>
    </row>
    <row r="4551" spans="4:4" x14ac:dyDescent="0.3">
      <c r="D4551"/>
    </row>
    <row r="4552" spans="4:4" x14ac:dyDescent="0.3">
      <c r="D4552"/>
    </row>
    <row r="4553" spans="4:4" x14ac:dyDescent="0.3">
      <c r="D4553"/>
    </row>
    <row r="4554" spans="4:4" x14ac:dyDescent="0.3">
      <c r="D4554"/>
    </row>
    <row r="4555" spans="4:4" x14ac:dyDescent="0.3">
      <c r="D4555"/>
    </row>
    <row r="4556" spans="4:4" x14ac:dyDescent="0.3">
      <c r="D4556"/>
    </row>
    <row r="4557" spans="4:4" x14ac:dyDescent="0.3">
      <c r="D4557"/>
    </row>
    <row r="4558" spans="4:4" x14ac:dyDescent="0.3">
      <c r="D4558"/>
    </row>
    <row r="4559" spans="4:4" x14ac:dyDescent="0.3">
      <c r="D4559"/>
    </row>
    <row r="4560" spans="4:4" x14ac:dyDescent="0.3">
      <c r="D4560"/>
    </row>
    <row r="4561" spans="4:4" x14ac:dyDescent="0.3">
      <c r="D4561"/>
    </row>
    <row r="4562" spans="4:4" x14ac:dyDescent="0.3">
      <c r="D4562"/>
    </row>
    <row r="4563" spans="4:4" x14ac:dyDescent="0.3">
      <c r="D4563"/>
    </row>
    <row r="4564" spans="4:4" x14ac:dyDescent="0.3">
      <c r="D4564"/>
    </row>
    <row r="4565" spans="4:4" x14ac:dyDescent="0.3">
      <c r="D4565"/>
    </row>
    <row r="4566" spans="4:4" x14ac:dyDescent="0.3">
      <c r="D4566"/>
    </row>
    <row r="4567" spans="4:4" x14ac:dyDescent="0.3">
      <c r="D4567"/>
    </row>
    <row r="4568" spans="4:4" x14ac:dyDescent="0.3">
      <c r="D4568"/>
    </row>
    <row r="4569" spans="4:4" x14ac:dyDescent="0.3">
      <c r="D4569"/>
    </row>
    <row r="4570" spans="4:4" x14ac:dyDescent="0.3">
      <c r="D4570"/>
    </row>
    <row r="4571" spans="4:4" x14ac:dyDescent="0.3">
      <c r="D4571"/>
    </row>
    <row r="4572" spans="4:4" x14ac:dyDescent="0.3">
      <c r="D4572"/>
    </row>
    <row r="4573" spans="4:4" x14ac:dyDescent="0.3">
      <c r="D4573"/>
    </row>
    <row r="4574" spans="4:4" x14ac:dyDescent="0.3">
      <c r="D4574"/>
    </row>
    <row r="4575" spans="4:4" x14ac:dyDescent="0.3">
      <c r="D4575"/>
    </row>
    <row r="4576" spans="4:4" x14ac:dyDescent="0.3">
      <c r="D4576"/>
    </row>
    <row r="4577" spans="4:4" x14ac:dyDescent="0.3">
      <c r="D4577"/>
    </row>
    <row r="4578" spans="4:4" x14ac:dyDescent="0.3">
      <c r="D4578"/>
    </row>
    <row r="4579" spans="4:4" x14ac:dyDescent="0.3">
      <c r="D4579"/>
    </row>
    <row r="4580" spans="4:4" x14ac:dyDescent="0.3">
      <c r="D4580"/>
    </row>
    <row r="4581" spans="4:4" x14ac:dyDescent="0.3">
      <c r="D4581"/>
    </row>
    <row r="4582" spans="4:4" x14ac:dyDescent="0.3">
      <c r="D4582"/>
    </row>
    <row r="4583" spans="4:4" x14ac:dyDescent="0.3">
      <c r="D4583"/>
    </row>
    <row r="4584" spans="4:4" x14ac:dyDescent="0.3">
      <c r="D4584"/>
    </row>
    <row r="4585" spans="4:4" x14ac:dyDescent="0.3">
      <c r="D4585"/>
    </row>
    <row r="4586" spans="4:4" x14ac:dyDescent="0.3">
      <c r="D4586"/>
    </row>
    <row r="4587" spans="4:4" x14ac:dyDescent="0.3">
      <c r="D4587"/>
    </row>
    <row r="4588" spans="4:4" x14ac:dyDescent="0.3">
      <c r="D4588"/>
    </row>
    <row r="4589" spans="4:4" x14ac:dyDescent="0.3">
      <c r="D4589"/>
    </row>
    <row r="4590" spans="4:4" x14ac:dyDescent="0.3">
      <c r="D4590"/>
    </row>
    <row r="4591" spans="4:4" x14ac:dyDescent="0.3">
      <c r="D4591"/>
    </row>
    <row r="4592" spans="4:4" x14ac:dyDescent="0.3">
      <c r="D4592"/>
    </row>
    <row r="4593" spans="4:4" x14ac:dyDescent="0.3">
      <c r="D4593"/>
    </row>
    <row r="4594" spans="4:4" x14ac:dyDescent="0.3">
      <c r="D4594"/>
    </row>
    <row r="4595" spans="4:4" x14ac:dyDescent="0.3">
      <c r="D4595"/>
    </row>
    <row r="4596" spans="4:4" x14ac:dyDescent="0.3">
      <c r="D4596"/>
    </row>
    <row r="4597" spans="4:4" x14ac:dyDescent="0.3">
      <c r="D4597"/>
    </row>
    <row r="4598" spans="4:4" x14ac:dyDescent="0.3">
      <c r="D4598"/>
    </row>
    <row r="4599" spans="4:4" x14ac:dyDescent="0.3">
      <c r="D4599"/>
    </row>
    <row r="4600" spans="4:4" x14ac:dyDescent="0.3">
      <c r="D4600"/>
    </row>
    <row r="4601" spans="4:4" x14ac:dyDescent="0.3">
      <c r="D4601"/>
    </row>
    <row r="4602" spans="4:4" x14ac:dyDescent="0.3">
      <c r="D4602"/>
    </row>
    <row r="4603" spans="4:4" x14ac:dyDescent="0.3">
      <c r="D4603"/>
    </row>
    <row r="4604" spans="4:4" x14ac:dyDescent="0.3">
      <c r="D4604"/>
    </row>
    <row r="4605" spans="4:4" x14ac:dyDescent="0.3">
      <c r="D4605"/>
    </row>
    <row r="4606" spans="4:4" x14ac:dyDescent="0.3">
      <c r="D4606"/>
    </row>
    <row r="4607" spans="4:4" x14ac:dyDescent="0.3">
      <c r="D4607"/>
    </row>
    <row r="4608" spans="4:4" x14ac:dyDescent="0.3">
      <c r="D4608"/>
    </row>
    <row r="4609" spans="4:4" x14ac:dyDescent="0.3">
      <c r="D4609"/>
    </row>
    <row r="4610" spans="4:4" x14ac:dyDescent="0.3">
      <c r="D4610"/>
    </row>
    <row r="4611" spans="4:4" x14ac:dyDescent="0.3">
      <c r="D4611"/>
    </row>
    <row r="4612" spans="4:4" x14ac:dyDescent="0.3">
      <c r="D4612"/>
    </row>
    <row r="4613" spans="4:4" x14ac:dyDescent="0.3">
      <c r="D4613"/>
    </row>
    <row r="4614" spans="4:4" x14ac:dyDescent="0.3">
      <c r="D4614"/>
    </row>
    <row r="4615" spans="4:4" x14ac:dyDescent="0.3">
      <c r="D4615"/>
    </row>
    <row r="4616" spans="4:4" x14ac:dyDescent="0.3">
      <c r="D4616"/>
    </row>
    <row r="4617" spans="4:4" x14ac:dyDescent="0.3">
      <c r="D4617"/>
    </row>
    <row r="4618" spans="4:4" x14ac:dyDescent="0.3">
      <c r="D4618"/>
    </row>
    <row r="4619" spans="4:4" x14ac:dyDescent="0.3">
      <c r="D4619"/>
    </row>
    <row r="4620" spans="4:4" x14ac:dyDescent="0.3">
      <c r="D4620"/>
    </row>
    <row r="4621" spans="4:4" x14ac:dyDescent="0.3">
      <c r="D4621"/>
    </row>
    <row r="4622" spans="4:4" x14ac:dyDescent="0.3">
      <c r="D4622"/>
    </row>
    <row r="4623" spans="4:4" x14ac:dyDescent="0.3">
      <c r="D4623"/>
    </row>
    <row r="4624" spans="4:4" x14ac:dyDescent="0.3">
      <c r="D4624"/>
    </row>
    <row r="4625" spans="4:4" x14ac:dyDescent="0.3">
      <c r="D4625"/>
    </row>
    <row r="4626" spans="4:4" x14ac:dyDescent="0.3">
      <c r="D4626"/>
    </row>
    <row r="4627" spans="4:4" x14ac:dyDescent="0.3">
      <c r="D4627"/>
    </row>
    <row r="4628" spans="4:4" x14ac:dyDescent="0.3">
      <c r="D4628"/>
    </row>
    <row r="4629" spans="4:4" x14ac:dyDescent="0.3">
      <c r="D4629"/>
    </row>
    <row r="4630" spans="4:4" x14ac:dyDescent="0.3">
      <c r="D4630"/>
    </row>
    <row r="4631" spans="4:4" x14ac:dyDescent="0.3">
      <c r="D4631"/>
    </row>
    <row r="4632" spans="4:4" x14ac:dyDescent="0.3">
      <c r="D4632"/>
    </row>
    <row r="4633" spans="4:4" x14ac:dyDescent="0.3">
      <c r="D4633"/>
    </row>
    <row r="4634" spans="4:4" x14ac:dyDescent="0.3">
      <c r="D4634"/>
    </row>
    <row r="4635" spans="4:4" x14ac:dyDescent="0.3">
      <c r="D4635"/>
    </row>
    <row r="4636" spans="4:4" x14ac:dyDescent="0.3">
      <c r="D4636"/>
    </row>
    <row r="4637" spans="4:4" x14ac:dyDescent="0.3">
      <c r="D4637"/>
    </row>
    <row r="4638" spans="4:4" x14ac:dyDescent="0.3">
      <c r="D4638"/>
    </row>
    <row r="4639" spans="4:4" x14ac:dyDescent="0.3">
      <c r="D4639"/>
    </row>
    <row r="4640" spans="4:4" x14ac:dyDescent="0.3">
      <c r="D4640"/>
    </row>
    <row r="4641" spans="4:4" x14ac:dyDescent="0.3">
      <c r="D4641"/>
    </row>
    <row r="4642" spans="4:4" x14ac:dyDescent="0.3">
      <c r="D4642"/>
    </row>
    <row r="4643" spans="4:4" x14ac:dyDescent="0.3">
      <c r="D4643"/>
    </row>
    <row r="4644" spans="4:4" x14ac:dyDescent="0.3">
      <c r="D4644"/>
    </row>
    <row r="4645" spans="4:4" x14ac:dyDescent="0.3">
      <c r="D4645"/>
    </row>
    <row r="4646" spans="4:4" x14ac:dyDescent="0.3">
      <c r="D4646"/>
    </row>
    <row r="4647" spans="4:4" x14ac:dyDescent="0.3">
      <c r="D4647"/>
    </row>
    <row r="4648" spans="4:4" x14ac:dyDescent="0.3">
      <c r="D4648"/>
    </row>
    <row r="4649" spans="4:4" x14ac:dyDescent="0.3">
      <c r="D4649"/>
    </row>
    <row r="4650" spans="4:4" x14ac:dyDescent="0.3">
      <c r="D4650"/>
    </row>
    <row r="4651" spans="4:4" x14ac:dyDescent="0.3">
      <c r="D4651"/>
    </row>
    <row r="4652" spans="4:4" x14ac:dyDescent="0.3">
      <c r="D4652"/>
    </row>
    <row r="4653" spans="4:4" x14ac:dyDescent="0.3">
      <c r="D4653"/>
    </row>
    <row r="4654" spans="4:4" x14ac:dyDescent="0.3">
      <c r="D4654"/>
    </row>
    <row r="4655" spans="4:4" x14ac:dyDescent="0.3">
      <c r="D4655"/>
    </row>
    <row r="4656" spans="4:4" x14ac:dyDescent="0.3">
      <c r="D4656"/>
    </row>
    <row r="4657" spans="4:4" x14ac:dyDescent="0.3">
      <c r="D4657"/>
    </row>
    <row r="4658" spans="4:4" x14ac:dyDescent="0.3">
      <c r="D4658"/>
    </row>
    <row r="4659" spans="4:4" x14ac:dyDescent="0.3">
      <c r="D4659"/>
    </row>
    <row r="4660" spans="4:4" x14ac:dyDescent="0.3">
      <c r="D4660"/>
    </row>
    <row r="4661" spans="4:4" x14ac:dyDescent="0.3">
      <c r="D4661"/>
    </row>
    <row r="4662" spans="4:4" x14ac:dyDescent="0.3">
      <c r="D4662"/>
    </row>
    <row r="4663" spans="4:4" x14ac:dyDescent="0.3">
      <c r="D4663"/>
    </row>
    <row r="4664" spans="4:4" x14ac:dyDescent="0.3">
      <c r="D4664"/>
    </row>
    <row r="4665" spans="4:4" x14ac:dyDescent="0.3">
      <c r="D4665"/>
    </row>
    <row r="4666" spans="4:4" x14ac:dyDescent="0.3">
      <c r="D4666"/>
    </row>
    <row r="4667" spans="4:4" x14ac:dyDescent="0.3">
      <c r="D4667"/>
    </row>
    <row r="4668" spans="4:4" x14ac:dyDescent="0.3">
      <c r="D4668"/>
    </row>
    <row r="4669" spans="4:4" x14ac:dyDescent="0.3">
      <c r="D4669"/>
    </row>
    <row r="4670" spans="4:4" x14ac:dyDescent="0.3">
      <c r="D4670"/>
    </row>
    <row r="4671" spans="4:4" x14ac:dyDescent="0.3">
      <c r="D4671"/>
    </row>
    <row r="4672" spans="4:4" x14ac:dyDescent="0.3">
      <c r="D4672"/>
    </row>
    <row r="4673" spans="4:4" x14ac:dyDescent="0.3">
      <c r="D4673"/>
    </row>
    <row r="4674" spans="4:4" x14ac:dyDescent="0.3">
      <c r="D4674"/>
    </row>
    <row r="4675" spans="4:4" x14ac:dyDescent="0.3">
      <c r="D4675"/>
    </row>
    <row r="4676" spans="4:4" x14ac:dyDescent="0.3">
      <c r="D4676"/>
    </row>
    <row r="4677" spans="4:4" x14ac:dyDescent="0.3">
      <c r="D4677"/>
    </row>
    <row r="4678" spans="4:4" x14ac:dyDescent="0.3">
      <c r="D4678"/>
    </row>
    <row r="4679" spans="4:4" x14ac:dyDescent="0.3">
      <c r="D4679"/>
    </row>
    <row r="4680" spans="4:4" x14ac:dyDescent="0.3">
      <c r="D4680"/>
    </row>
    <row r="4681" spans="4:4" x14ac:dyDescent="0.3">
      <c r="D4681"/>
    </row>
    <row r="4682" spans="4:4" x14ac:dyDescent="0.3">
      <c r="D4682"/>
    </row>
    <row r="4683" spans="4:4" x14ac:dyDescent="0.3">
      <c r="D4683"/>
    </row>
    <row r="4684" spans="4:4" x14ac:dyDescent="0.3">
      <c r="D4684"/>
    </row>
    <row r="4685" spans="4:4" x14ac:dyDescent="0.3">
      <c r="D4685"/>
    </row>
    <row r="4686" spans="4:4" x14ac:dyDescent="0.3">
      <c r="D4686"/>
    </row>
    <row r="4687" spans="4:4" x14ac:dyDescent="0.3">
      <c r="D4687"/>
    </row>
    <row r="4688" spans="4:4" x14ac:dyDescent="0.3">
      <c r="D4688"/>
    </row>
    <row r="4689" spans="4:4" x14ac:dyDescent="0.3">
      <c r="D4689"/>
    </row>
    <row r="4690" spans="4:4" x14ac:dyDescent="0.3">
      <c r="D4690"/>
    </row>
    <row r="4691" spans="4:4" x14ac:dyDescent="0.3">
      <c r="D4691"/>
    </row>
    <row r="4692" spans="4:4" x14ac:dyDescent="0.3">
      <c r="D4692"/>
    </row>
    <row r="4693" spans="4:4" x14ac:dyDescent="0.3">
      <c r="D4693"/>
    </row>
    <row r="4694" spans="4:4" x14ac:dyDescent="0.3">
      <c r="D4694"/>
    </row>
    <row r="4695" spans="4:4" x14ac:dyDescent="0.3">
      <c r="D4695"/>
    </row>
    <row r="4696" spans="4:4" x14ac:dyDescent="0.3">
      <c r="D4696"/>
    </row>
    <row r="4697" spans="4:4" x14ac:dyDescent="0.3">
      <c r="D4697"/>
    </row>
    <row r="4698" spans="4:4" x14ac:dyDescent="0.3">
      <c r="D4698"/>
    </row>
    <row r="4699" spans="4:4" x14ac:dyDescent="0.3">
      <c r="D4699"/>
    </row>
    <row r="4700" spans="4:4" x14ac:dyDescent="0.3">
      <c r="D4700"/>
    </row>
    <row r="4701" spans="4:4" x14ac:dyDescent="0.3">
      <c r="D4701"/>
    </row>
    <row r="4702" spans="4:4" x14ac:dyDescent="0.3">
      <c r="D4702"/>
    </row>
    <row r="4703" spans="4:4" x14ac:dyDescent="0.3">
      <c r="D4703"/>
    </row>
    <row r="4704" spans="4:4" x14ac:dyDescent="0.3">
      <c r="D4704"/>
    </row>
    <row r="4705" spans="4:4" x14ac:dyDescent="0.3">
      <c r="D4705"/>
    </row>
    <row r="4706" spans="4:4" x14ac:dyDescent="0.3">
      <c r="D4706"/>
    </row>
    <row r="4707" spans="4:4" x14ac:dyDescent="0.3">
      <c r="D4707"/>
    </row>
    <row r="4708" spans="4:4" x14ac:dyDescent="0.3">
      <c r="D4708"/>
    </row>
    <row r="4709" spans="4:4" x14ac:dyDescent="0.3">
      <c r="D4709"/>
    </row>
    <row r="4710" spans="4:4" x14ac:dyDescent="0.3">
      <c r="D4710"/>
    </row>
    <row r="4711" spans="4:4" x14ac:dyDescent="0.3">
      <c r="D4711"/>
    </row>
    <row r="4712" spans="4:4" x14ac:dyDescent="0.3">
      <c r="D4712"/>
    </row>
    <row r="4713" spans="4:4" x14ac:dyDescent="0.3">
      <c r="D4713"/>
    </row>
    <row r="4714" spans="4:4" x14ac:dyDescent="0.3">
      <c r="D4714"/>
    </row>
    <row r="4715" spans="4:4" x14ac:dyDescent="0.3">
      <c r="D4715"/>
    </row>
    <row r="4716" spans="4:4" x14ac:dyDescent="0.3">
      <c r="D4716"/>
    </row>
    <row r="4717" spans="4:4" x14ac:dyDescent="0.3">
      <c r="D4717"/>
    </row>
    <row r="4718" spans="4:4" x14ac:dyDescent="0.3">
      <c r="D4718"/>
    </row>
    <row r="4719" spans="4:4" x14ac:dyDescent="0.3">
      <c r="D4719"/>
    </row>
    <row r="4720" spans="4:4" x14ac:dyDescent="0.3">
      <c r="D4720"/>
    </row>
    <row r="4721" spans="4:4" x14ac:dyDescent="0.3">
      <c r="D4721"/>
    </row>
    <row r="4722" spans="4:4" x14ac:dyDescent="0.3">
      <c r="D4722"/>
    </row>
    <row r="4723" spans="4:4" x14ac:dyDescent="0.3">
      <c r="D4723"/>
    </row>
    <row r="4724" spans="4:4" x14ac:dyDescent="0.3">
      <c r="D4724"/>
    </row>
    <row r="4725" spans="4:4" x14ac:dyDescent="0.3">
      <c r="D4725"/>
    </row>
    <row r="4726" spans="4:4" x14ac:dyDescent="0.3">
      <c r="D4726"/>
    </row>
    <row r="4727" spans="4:4" x14ac:dyDescent="0.3">
      <c r="D4727"/>
    </row>
    <row r="4728" spans="4:4" x14ac:dyDescent="0.3">
      <c r="D4728"/>
    </row>
    <row r="4729" spans="4:4" x14ac:dyDescent="0.3">
      <c r="D4729"/>
    </row>
    <row r="4730" spans="4:4" x14ac:dyDescent="0.3">
      <c r="D4730"/>
    </row>
    <row r="4731" spans="4:4" x14ac:dyDescent="0.3">
      <c r="D4731"/>
    </row>
    <row r="4732" spans="4:4" x14ac:dyDescent="0.3">
      <c r="D4732"/>
    </row>
    <row r="4733" spans="4:4" x14ac:dyDescent="0.3">
      <c r="D4733"/>
    </row>
    <row r="4734" spans="4:4" x14ac:dyDescent="0.3">
      <c r="D4734"/>
    </row>
    <row r="4735" spans="4:4" x14ac:dyDescent="0.3">
      <c r="D4735"/>
    </row>
    <row r="4736" spans="4:4" x14ac:dyDescent="0.3">
      <c r="D4736"/>
    </row>
    <row r="4737" spans="4:4" x14ac:dyDescent="0.3">
      <c r="D4737"/>
    </row>
    <row r="4738" spans="4:4" x14ac:dyDescent="0.3">
      <c r="D4738"/>
    </row>
    <row r="4739" spans="4:4" x14ac:dyDescent="0.3">
      <c r="D4739"/>
    </row>
    <row r="4740" spans="4:4" x14ac:dyDescent="0.3">
      <c r="D4740"/>
    </row>
    <row r="4741" spans="4:4" x14ac:dyDescent="0.3">
      <c r="D4741"/>
    </row>
    <row r="4742" spans="4:4" x14ac:dyDescent="0.3">
      <c r="D4742"/>
    </row>
    <row r="4743" spans="4:4" x14ac:dyDescent="0.3">
      <c r="D4743"/>
    </row>
    <row r="4744" spans="4:4" x14ac:dyDescent="0.3">
      <c r="D4744"/>
    </row>
    <row r="4745" spans="4:4" x14ac:dyDescent="0.3">
      <c r="D4745"/>
    </row>
    <row r="4746" spans="4:4" x14ac:dyDescent="0.3">
      <c r="D4746"/>
    </row>
    <row r="4747" spans="4:4" x14ac:dyDescent="0.3">
      <c r="D4747"/>
    </row>
    <row r="4748" spans="4:4" x14ac:dyDescent="0.3">
      <c r="D4748"/>
    </row>
    <row r="4749" spans="4:4" x14ac:dyDescent="0.3">
      <c r="D4749"/>
    </row>
    <row r="4750" spans="4:4" x14ac:dyDescent="0.3">
      <c r="D4750"/>
    </row>
    <row r="4751" spans="4:4" x14ac:dyDescent="0.3">
      <c r="D4751"/>
    </row>
    <row r="4752" spans="4:4" x14ac:dyDescent="0.3">
      <c r="D4752"/>
    </row>
    <row r="4753" spans="4:4" x14ac:dyDescent="0.3">
      <c r="D4753"/>
    </row>
    <row r="4754" spans="4:4" x14ac:dyDescent="0.3">
      <c r="D4754"/>
    </row>
    <row r="4755" spans="4:4" x14ac:dyDescent="0.3">
      <c r="D4755"/>
    </row>
    <row r="4756" spans="4:4" x14ac:dyDescent="0.3">
      <c r="D4756"/>
    </row>
    <row r="4757" spans="4:4" x14ac:dyDescent="0.3">
      <c r="D4757"/>
    </row>
    <row r="4758" spans="4:4" x14ac:dyDescent="0.3">
      <c r="D4758"/>
    </row>
    <row r="4759" spans="4:4" x14ac:dyDescent="0.3">
      <c r="D4759"/>
    </row>
    <row r="4760" spans="4:4" x14ac:dyDescent="0.3">
      <c r="D4760"/>
    </row>
    <row r="4761" spans="4:4" x14ac:dyDescent="0.3">
      <c r="D4761"/>
    </row>
    <row r="4762" spans="4:4" x14ac:dyDescent="0.3">
      <c r="D4762"/>
    </row>
    <row r="4763" spans="4:4" x14ac:dyDescent="0.3">
      <c r="D4763"/>
    </row>
    <row r="4764" spans="4:4" x14ac:dyDescent="0.3">
      <c r="D4764"/>
    </row>
    <row r="4765" spans="4:4" x14ac:dyDescent="0.3">
      <c r="D4765"/>
    </row>
    <row r="4766" spans="4:4" x14ac:dyDescent="0.3">
      <c r="D4766"/>
    </row>
    <row r="4767" spans="4:4" x14ac:dyDescent="0.3">
      <c r="D4767"/>
    </row>
    <row r="4768" spans="4:4" x14ac:dyDescent="0.3">
      <c r="D4768"/>
    </row>
    <row r="4769" spans="4:4" x14ac:dyDescent="0.3">
      <c r="D4769"/>
    </row>
    <row r="4770" spans="4:4" x14ac:dyDescent="0.3">
      <c r="D4770"/>
    </row>
    <row r="4771" spans="4:4" x14ac:dyDescent="0.3">
      <c r="D4771"/>
    </row>
    <row r="4772" spans="4:4" x14ac:dyDescent="0.3">
      <c r="D4772"/>
    </row>
    <row r="4773" spans="4:4" x14ac:dyDescent="0.3">
      <c r="D4773"/>
    </row>
    <row r="4774" spans="4:4" x14ac:dyDescent="0.3">
      <c r="D4774"/>
    </row>
    <row r="4775" spans="4:4" x14ac:dyDescent="0.3">
      <c r="D4775"/>
    </row>
    <row r="4776" spans="4:4" x14ac:dyDescent="0.3">
      <c r="D4776"/>
    </row>
    <row r="4777" spans="4:4" x14ac:dyDescent="0.3">
      <c r="D4777"/>
    </row>
    <row r="4778" spans="4:4" x14ac:dyDescent="0.3">
      <c r="D4778"/>
    </row>
    <row r="4779" spans="4:4" x14ac:dyDescent="0.3">
      <c r="D4779"/>
    </row>
    <row r="4780" spans="4:4" x14ac:dyDescent="0.3">
      <c r="D4780"/>
    </row>
    <row r="4781" spans="4:4" x14ac:dyDescent="0.3">
      <c r="D4781"/>
    </row>
    <row r="4782" spans="4:4" x14ac:dyDescent="0.3">
      <c r="D4782"/>
    </row>
    <row r="4783" spans="4:4" x14ac:dyDescent="0.3">
      <c r="D4783"/>
    </row>
    <row r="4784" spans="4:4" x14ac:dyDescent="0.3">
      <c r="D4784"/>
    </row>
    <row r="4785" spans="4:4" x14ac:dyDescent="0.3">
      <c r="D4785"/>
    </row>
    <row r="4786" spans="4:4" x14ac:dyDescent="0.3">
      <c r="D4786"/>
    </row>
    <row r="4787" spans="4:4" x14ac:dyDescent="0.3">
      <c r="D4787"/>
    </row>
    <row r="4788" spans="4:4" x14ac:dyDescent="0.3">
      <c r="D4788"/>
    </row>
    <row r="4789" spans="4:4" x14ac:dyDescent="0.3">
      <c r="D4789"/>
    </row>
    <row r="4790" spans="4:4" x14ac:dyDescent="0.3">
      <c r="D4790"/>
    </row>
    <row r="4791" spans="4:4" x14ac:dyDescent="0.3">
      <c r="D4791"/>
    </row>
    <row r="4792" spans="4:4" x14ac:dyDescent="0.3">
      <c r="D4792"/>
    </row>
    <row r="4793" spans="4:4" x14ac:dyDescent="0.3">
      <c r="D4793"/>
    </row>
    <row r="4794" spans="4:4" x14ac:dyDescent="0.3">
      <c r="D4794"/>
    </row>
    <row r="4795" spans="4:4" x14ac:dyDescent="0.3">
      <c r="D4795"/>
    </row>
    <row r="4796" spans="4:4" x14ac:dyDescent="0.3">
      <c r="D4796"/>
    </row>
    <row r="4797" spans="4:4" x14ac:dyDescent="0.3">
      <c r="D4797"/>
    </row>
    <row r="4798" spans="4:4" x14ac:dyDescent="0.3">
      <c r="D4798"/>
    </row>
    <row r="4799" spans="4:4" x14ac:dyDescent="0.3">
      <c r="D4799"/>
    </row>
    <row r="4800" spans="4:4" x14ac:dyDescent="0.3">
      <c r="D4800"/>
    </row>
    <row r="4801" spans="4:4" x14ac:dyDescent="0.3">
      <c r="D4801"/>
    </row>
    <row r="4802" spans="4:4" x14ac:dyDescent="0.3">
      <c r="D4802"/>
    </row>
    <row r="4803" spans="4:4" x14ac:dyDescent="0.3">
      <c r="D4803"/>
    </row>
    <row r="4804" spans="4:4" x14ac:dyDescent="0.3">
      <c r="D4804"/>
    </row>
    <row r="4805" spans="4:4" x14ac:dyDescent="0.3">
      <c r="D4805"/>
    </row>
    <row r="4806" spans="4:4" x14ac:dyDescent="0.3">
      <c r="D4806"/>
    </row>
    <row r="4807" spans="4:4" x14ac:dyDescent="0.3">
      <c r="D4807"/>
    </row>
    <row r="4808" spans="4:4" x14ac:dyDescent="0.3">
      <c r="D4808"/>
    </row>
    <row r="4809" spans="4:4" x14ac:dyDescent="0.3">
      <c r="D4809"/>
    </row>
    <row r="4810" spans="4:4" x14ac:dyDescent="0.3">
      <c r="D4810"/>
    </row>
    <row r="4811" spans="4:4" x14ac:dyDescent="0.3">
      <c r="D4811"/>
    </row>
    <row r="4812" spans="4:4" x14ac:dyDescent="0.3">
      <c r="D4812"/>
    </row>
    <row r="4813" spans="4:4" x14ac:dyDescent="0.3">
      <c r="D4813"/>
    </row>
    <row r="4814" spans="4:4" x14ac:dyDescent="0.3">
      <c r="D4814"/>
    </row>
    <row r="4815" spans="4:4" x14ac:dyDescent="0.3">
      <c r="D4815"/>
    </row>
    <row r="4816" spans="4:4" x14ac:dyDescent="0.3">
      <c r="D4816"/>
    </row>
    <row r="4817" spans="4:4" x14ac:dyDescent="0.3">
      <c r="D4817"/>
    </row>
    <row r="4818" spans="4:4" x14ac:dyDescent="0.3">
      <c r="D4818"/>
    </row>
    <row r="4819" spans="4:4" x14ac:dyDescent="0.3">
      <c r="D4819"/>
    </row>
    <row r="4820" spans="4:4" x14ac:dyDescent="0.3">
      <c r="D4820"/>
    </row>
    <row r="4821" spans="4:4" x14ac:dyDescent="0.3">
      <c r="D4821"/>
    </row>
    <row r="4822" spans="4:4" x14ac:dyDescent="0.3">
      <c r="D4822"/>
    </row>
    <row r="4823" spans="4:4" x14ac:dyDescent="0.3">
      <c r="D4823"/>
    </row>
    <row r="4824" spans="4:4" x14ac:dyDescent="0.3">
      <c r="D4824"/>
    </row>
    <row r="4825" spans="4:4" x14ac:dyDescent="0.3">
      <c r="D4825"/>
    </row>
    <row r="4826" spans="4:4" x14ac:dyDescent="0.3">
      <c r="D4826"/>
    </row>
    <row r="4827" spans="4:4" x14ac:dyDescent="0.3">
      <c r="D4827"/>
    </row>
    <row r="4828" spans="4:4" x14ac:dyDescent="0.3">
      <c r="D4828"/>
    </row>
    <row r="4829" spans="4:4" x14ac:dyDescent="0.3">
      <c r="D4829"/>
    </row>
    <row r="4830" spans="4:4" x14ac:dyDescent="0.3">
      <c r="D4830"/>
    </row>
    <row r="4831" spans="4:4" x14ac:dyDescent="0.3">
      <c r="D4831"/>
    </row>
    <row r="4832" spans="4:4" x14ac:dyDescent="0.3">
      <c r="D4832"/>
    </row>
    <row r="4833" spans="4:4" x14ac:dyDescent="0.3">
      <c r="D4833"/>
    </row>
    <row r="4834" spans="4:4" x14ac:dyDescent="0.3">
      <c r="D4834"/>
    </row>
    <row r="4835" spans="4:4" x14ac:dyDescent="0.3">
      <c r="D4835"/>
    </row>
    <row r="4836" spans="4:4" x14ac:dyDescent="0.3">
      <c r="D4836"/>
    </row>
    <row r="4837" spans="4:4" x14ac:dyDescent="0.3">
      <c r="D4837"/>
    </row>
    <row r="4838" spans="4:4" x14ac:dyDescent="0.3">
      <c r="D4838"/>
    </row>
    <row r="4839" spans="4:4" x14ac:dyDescent="0.3">
      <c r="D4839"/>
    </row>
    <row r="4840" spans="4:4" x14ac:dyDescent="0.3">
      <c r="D4840"/>
    </row>
    <row r="4841" spans="4:4" x14ac:dyDescent="0.3">
      <c r="D4841"/>
    </row>
    <row r="4842" spans="4:4" x14ac:dyDescent="0.3">
      <c r="D4842"/>
    </row>
    <row r="4843" spans="4:4" x14ac:dyDescent="0.3">
      <c r="D4843"/>
    </row>
    <row r="4844" spans="4:4" x14ac:dyDescent="0.3">
      <c r="D4844"/>
    </row>
    <row r="4845" spans="4:4" x14ac:dyDescent="0.3">
      <c r="D4845"/>
    </row>
    <row r="4846" spans="4:4" x14ac:dyDescent="0.3">
      <c r="D4846"/>
    </row>
    <row r="4847" spans="4:4" x14ac:dyDescent="0.3">
      <c r="D4847"/>
    </row>
    <row r="4848" spans="4:4" x14ac:dyDescent="0.3">
      <c r="D4848"/>
    </row>
    <row r="4849" spans="4:4" x14ac:dyDescent="0.3">
      <c r="D4849"/>
    </row>
    <row r="4850" spans="4:4" x14ac:dyDescent="0.3">
      <c r="D4850"/>
    </row>
    <row r="4851" spans="4:4" x14ac:dyDescent="0.3">
      <c r="D4851"/>
    </row>
    <row r="4852" spans="4:4" x14ac:dyDescent="0.3">
      <c r="D4852"/>
    </row>
    <row r="4853" spans="4:4" x14ac:dyDescent="0.3">
      <c r="D4853"/>
    </row>
    <row r="4854" spans="4:4" x14ac:dyDescent="0.3">
      <c r="D4854"/>
    </row>
    <row r="4855" spans="4:4" x14ac:dyDescent="0.3">
      <c r="D4855"/>
    </row>
    <row r="4856" spans="4:4" x14ac:dyDescent="0.3">
      <c r="D4856"/>
    </row>
    <row r="4857" spans="4:4" x14ac:dyDescent="0.3">
      <c r="D4857"/>
    </row>
    <row r="4858" spans="4:4" x14ac:dyDescent="0.3">
      <c r="D4858"/>
    </row>
    <row r="4859" spans="4:4" x14ac:dyDescent="0.3">
      <c r="D4859"/>
    </row>
    <row r="4860" spans="4:4" x14ac:dyDescent="0.3">
      <c r="D4860"/>
    </row>
    <row r="4861" spans="4:4" x14ac:dyDescent="0.3">
      <c r="D4861"/>
    </row>
    <row r="4862" spans="4:4" x14ac:dyDescent="0.3">
      <c r="D4862"/>
    </row>
    <row r="4863" spans="4:4" x14ac:dyDescent="0.3">
      <c r="D4863"/>
    </row>
    <row r="4864" spans="4:4" x14ac:dyDescent="0.3">
      <c r="D4864"/>
    </row>
    <row r="4865" spans="4:4" x14ac:dyDescent="0.3">
      <c r="D4865"/>
    </row>
    <row r="4866" spans="4:4" x14ac:dyDescent="0.3">
      <c r="D4866"/>
    </row>
    <row r="4867" spans="4:4" x14ac:dyDescent="0.3">
      <c r="D4867"/>
    </row>
    <row r="4868" spans="4:4" x14ac:dyDescent="0.3">
      <c r="D4868"/>
    </row>
    <row r="4869" spans="4:4" x14ac:dyDescent="0.3">
      <c r="D4869"/>
    </row>
    <row r="4870" spans="4:4" x14ac:dyDescent="0.3">
      <c r="D4870"/>
    </row>
    <row r="4871" spans="4:4" x14ac:dyDescent="0.3">
      <c r="D4871"/>
    </row>
    <row r="4872" spans="4:4" x14ac:dyDescent="0.3">
      <c r="D4872"/>
    </row>
    <row r="4873" spans="4:4" x14ac:dyDescent="0.3">
      <c r="D4873"/>
    </row>
    <row r="4874" spans="4:4" x14ac:dyDescent="0.3">
      <c r="D4874"/>
    </row>
    <row r="4875" spans="4:4" x14ac:dyDescent="0.3">
      <c r="D4875"/>
    </row>
    <row r="4876" spans="4:4" x14ac:dyDescent="0.3">
      <c r="D4876"/>
    </row>
    <row r="4877" spans="4:4" x14ac:dyDescent="0.3">
      <c r="D4877"/>
    </row>
    <row r="4878" spans="4:4" x14ac:dyDescent="0.3">
      <c r="D4878"/>
    </row>
    <row r="4879" spans="4:4" x14ac:dyDescent="0.3">
      <c r="D4879"/>
    </row>
    <row r="4880" spans="4:4" x14ac:dyDescent="0.3">
      <c r="D4880"/>
    </row>
    <row r="4881" spans="4:4" x14ac:dyDescent="0.3">
      <c r="D4881"/>
    </row>
    <row r="4882" spans="4:4" x14ac:dyDescent="0.3">
      <c r="D4882"/>
    </row>
    <row r="4883" spans="4:4" x14ac:dyDescent="0.3">
      <c r="D4883"/>
    </row>
    <row r="4884" spans="4:4" x14ac:dyDescent="0.3">
      <c r="D4884"/>
    </row>
    <row r="4885" spans="4:4" x14ac:dyDescent="0.3">
      <c r="D4885"/>
    </row>
    <row r="4886" spans="4:4" x14ac:dyDescent="0.3">
      <c r="D4886"/>
    </row>
    <row r="4887" spans="4:4" x14ac:dyDescent="0.3">
      <c r="D4887"/>
    </row>
    <row r="4888" spans="4:4" x14ac:dyDescent="0.3">
      <c r="D4888"/>
    </row>
    <row r="4889" spans="4:4" x14ac:dyDescent="0.3">
      <c r="D4889"/>
    </row>
    <row r="4890" spans="4:4" x14ac:dyDescent="0.3">
      <c r="D4890"/>
    </row>
    <row r="4891" spans="4:4" x14ac:dyDescent="0.3">
      <c r="D4891"/>
    </row>
    <row r="4892" spans="4:4" x14ac:dyDescent="0.3">
      <c r="D4892"/>
    </row>
    <row r="4893" spans="4:4" x14ac:dyDescent="0.3">
      <c r="D4893"/>
    </row>
    <row r="4894" spans="4:4" x14ac:dyDescent="0.3">
      <c r="D4894"/>
    </row>
    <row r="4895" spans="4:4" x14ac:dyDescent="0.3">
      <c r="D4895"/>
    </row>
    <row r="4896" spans="4:4" x14ac:dyDescent="0.3">
      <c r="D4896"/>
    </row>
    <row r="4897" spans="4:4" x14ac:dyDescent="0.3">
      <c r="D4897"/>
    </row>
    <row r="4898" spans="4:4" x14ac:dyDescent="0.3">
      <c r="D4898"/>
    </row>
    <row r="4899" spans="4:4" x14ac:dyDescent="0.3">
      <c r="D4899"/>
    </row>
    <row r="4900" spans="4:4" x14ac:dyDescent="0.3">
      <c r="D4900"/>
    </row>
    <row r="4901" spans="4:4" x14ac:dyDescent="0.3">
      <c r="D4901"/>
    </row>
    <row r="4902" spans="4:4" x14ac:dyDescent="0.3">
      <c r="D4902"/>
    </row>
    <row r="4903" spans="4:4" x14ac:dyDescent="0.3">
      <c r="D4903"/>
    </row>
    <row r="4904" spans="4:4" x14ac:dyDescent="0.3">
      <c r="D4904"/>
    </row>
    <row r="4905" spans="4:4" x14ac:dyDescent="0.3">
      <c r="D4905"/>
    </row>
    <row r="4906" spans="4:4" x14ac:dyDescent="0.3">
      <c r="D4906"/>
    </row>
    <row r="4907" spans="4:4" x14ac:dyDescent="0.3">
      <c r="D4907"/>
    </row>
    <row r="4908" spans="4:4" x14ac:dyDescent="0.3">
      <c r="D4908"/>
    </row>
    <row r="4909" spans="4:4" x14ac:dyDescent="0.3">
      <c r="D4909"/>
    </row>
    <row r="4910" spans="4:4" x14ac:dyDescent="0.3">
      <c r="D4910"/>
    </row>
    <row r="4911" spans="4:4" x14ac:dyDescent="0.3">
      <c r="D4911"/>
    </row>
    <row r="4912" spans="4:4" x14ac:dyDescent="0.3">
      <c r="D4912"/>
    </row>
    <row r="4913" spans="4:4" x14ac:dyDescent="0.3">
      <c r="D4913"/>
    </row>
    <row r="4914" spans="4:4" x14ac:dyDescent="0.3">
      <c r="D4914"/>
    </row>
    <row r="4915" spans="4:4" x14ac:dyDescent="0.3">
      <c r="D4915"/>
    </row>
    <row r="4916" spans="4:4" x14ac:dyDescent="0.3">
      <c r="D4916"/>
    </row>
    <row r="4917" spans="4:4" x14ac:dyDescent="0.3">
      <c r="D4917"/>
    </row>
    <row r="4918" spans="4:4" x14ac:dyDescent="0.3">
      <c r="D4918"/>
    </row>
    <row r="4919" spans="4:4" x14ac:dyDescent="0.3">
      <c r="D4919"/>
    </row>
    <row r="4920" spans="4:4" x14ac:dyDescent="0.3">
      <c r="D4920"/>
    </row>
    <row r="4921" spans="4:4" x14ac:dyDescent="0.3">
      <c r="D4921"/>
    </row>
    <row r="4922" spans="4:4" x14ac:dyDescent="0.3">
      <c r="D4922"/>
    </row>
    <row r="4923" spans="4:4" x14ac:dyDescent="0.3">
      <c r="D4923"/>
    </row>
    <row r="4924" spans="4:4" x14ac:dyDescent="0.3">
      <c r="D4924"/>
    </row>
    <row r="4925" spans="4:4" x14ac:dyDescent="0.3">
      <c r="D4925"/>
    </row>
    <row r="4926" spans="4:4" x14ac:dyDescent="0.3">
      <c r="D4926"/>
    </row>
    <row r="4927" spans="4:4" x14ac:dyDescent="0.3">
      <c r="D4927"/>
    </row>
    <row r="4928" spans="4:4" x14ac:dyDescent="0.3">
      <c r="D4928"/>
    </row>
    <row r="4929" spans="4:4" x14ac:dyDescent="0.3">
      <c r="D4929"/>
    </row>
    <row r="4930" spans="4:4" x14ac:dyDescent="0.3">
      <c r="D4930"/>
    </row>
    <row r="4931" spans="4:4" x14ac:dyDescent="0.3">
      <c r="D4931"/>
    </row>
    <row r="4932" spans="4:4" x14ac:dyDescent="0.3">
      <c r="D4932"/>
    </row>
    <row r="4933" spans="4:4" x14ac:dyDescent="0.3">
      <c r="D4933"/>
    </row>
    <row r="4934" spans="4:4" x14ac:dyDescent="0.3">
      <c r="D4934"/>
    </row>
    <row r="4935" spans="4:4" x14ac:dyDescent="0.3">
      <c r="D4935"/>
    </row>
    <row r="4936" spans="4:4" x14ac:dyDescent="0.3">
      <c r="D4936"/>
    </row>
    <row r="4937" spans="4:4" x14ac:dyDescent="0.3">
      <c r="D4937"/>
    </row>
    <row r="4938" spans="4:4" x14ac:dyDescent="0.3">
      <c r="D4938"/>
    </row>
    <row r="4939" spans="4:4" x14ac:dyDescent="0.3">
      <c r="D4939"/>
    </row>
    <row r="4940" spans="4:4" x14ac:dyDescent="0.3">
      <c r="D4940"/>
    </row>
    <row r="4941" spans="4:4" x14ac:dyDescent="0.3">
      <c r="D4941"/>
    </row>
    <row r="4942" spans="4:4" x14ac:dyDescent="0.3">
      <c r="D4942"/>
    </row>
    <row r="4943" spans="4:4" x14ac:dyDescent="0.3">
      <c r="D4943"/>
    </row>
    <row r="4944" spans="4:4" x14ac:dyDescent="0.3">
      <c r="D4944"/>
    </row>
    <row r="4945" spans="4:4" x14ac:dyDescent="0.3">
      <c r="D4945"/>
    </row>
    <row r="4946" spans="4:4" x14ac:dyDescent="0.3">
      <c r="D4946"/>
    </row>
    <row r="4947" spans="4:4" x14ac:dyDescent="0.3">
      <c r="D4947"/>
    </row>
    <row r="4948" spans="4:4" x14ac:dyDescent="0.3">
      <c r="D4948"/>
    </row>
    <row r="4949" spans="4:4" x14ac:dyDescent="0.3">
      <c r="D4949"/>
    </row>
    <row r="4950" spans="4:4" x14ac:dyDescent="0.3">
      <c r="D4950"/>
    </row>
    <row r="4951" spans="4:4" x14ac:dyDescent="0.3">
      <c r="D4951"/>
    </row>
    <row r="4952" spans="4:4" x14ac:dyDescent="0.3">
      <c r="D4952"/>
    </row>
    <row r="4953" spans="4:4" x14ac:dyDescent="0.3">
      <c r="D4953"/>
    </row>
    <row r="4954" spans="4:4" x14ac:dyDescent="0.3">
      <c r="D4954"/>
    </row>
    <row r="4955" spans="4:4" x14ac:dyDescent="0.3">
      <c r="D4955"/>
    </row>
    <row r="4956" spans="4:4" x14ac:dyDescent="0.3">
      <c r="D4956"/>
    </row>
    <row r="4957" spans="4:4" x14ac:dyDescent="0.3">
      <c r="D4957"/>
    </row>
    <row r="4958" spans="4:4" x14ac:dyDescent="0.3">
      <c r="D4958"/>
    </row>
    <row r="4959" spans="4:4" x14ac:dyDescent="0.3">
      <c r="D4959"/>
    </row>
    <row r="4960" spans="4:4" x14ac:dyDescent="0.3">
      <c r="D4960"/>
    </row>
    <row r="4961" spans="4:4" x14ac:dyDescent="0.3">
      <c r="D4961"/>
    </row>
    <row r="4962" spans="4:4" x14ac:dyDescent="0.3">
      <c r="D4962"/>
    </row>
    <row r="4963" spans="4:4" x14ac:dyDescent="0.3">
      <c r="D4963"/>
    </row>
    <row r="4964" spans="4:4" x14ac:dyDescent="0.3">
      <c r="D4964"/>
    </row>
    <row r="4965" spans="4:4" x14ac:dyDescent="0.3">
      <c r="D4965"/>
    </row>
    <row r="4966" spans="4:4" x14ac:dyDescent="0.3">
      <c r="D4966"/>
    </row>
    <row r="4967" spans="4:4" x14ac:dyDescent="0.3">
      <c r="D4967"/>
    </row>
    <row r="4968" spans="4:4" x14ac:dyDescent="0.3">
      <c r="D4968"/>
    </row>
    <row r="4969" spans="4:4" x14ac:dyDescent="0.3">
      <c r="D4969"/>
    </row>
    <row r="4970" spans="4:4" x14ac:dyDescent="0.3">
      <c r="D4970"/>
    </row>
    <row r="4971" spans="4:4" x14ac:dyDescent="0.3">
      <c r="D4971"/>
    </row>
    <row r="4972" spans="4:4" x14ac:dyDescent="0.3">
      <c r="D4972"/>
    </row>
    <row r="4973" spans="4:4" x14ac:dyDescent="0.3">
      <c r="D4973"/>
    </row>
    <row r="4974" spans="4:4" x14ac:dyDescent="0.3">
      <c r="D4974"/>
    </row>
    <row r="4975" spans="4:4" x14ac:dyDescent="0.3">
      <c r="D4975"/>
    </row>
    <row r="4976" spans="4:4" x14ac:dyDescent="0.3">
      <c r="D4976"/>
    </row>
    <row r="4977" spans="4:4" x14ac:dyDescent="0.3">
      <c r="D4977"/>
    </row>
    <row r="4978" spans="4:4" x14ac:dyDescent="0.3">
      <c r="D4978"/>
    </row>
    <row r="4979" spans="4:4" x14ac:dyDescent="0.3">
      <c r="D4979"/>
    </row>
    <row r="4980" spans="4:4" x14ac:dyDescent="0.3">
      <c r="D4980"/>
    </row>
    <row r="4981" spans="4:4" x14ac:dyDescent="0.3">
      <c r="D4981"/>
    </row>
    <row r="4982" spans="4:4" x14ac:dyDescent="0.3">
      <c r="D4982"/>
    </row>
    <row r="4983" spans="4:4" x14ac:dyDescent="0.3">
      <c r="D4983"/>
    </row>
    <row r="4984" spans="4:4" x14ac:dyDescent="0.3">
      <c r="D4984"/>
    </row>
    <row r="4985" spans="4:4" x14ac:dyDescent="0.3">
      <c r="D4985"/>
    </row>
    <row r="4986" spans="4:4" x14ac:dyDescent="0.3">
      <c r="D4986"/>
    </row>
    <row r="4987" spans="4:4" x14ac:dyDescent="0.3">
      <c r="D4987"/>
    </row>
    <row r="4988" spans="4:4" x14ac:dyDescent="0.3">
      <c r="D4988"/>
    </row>
    <row r="4989" spans="4:4" x14ac:dyDescent="0.3">
      <c r="D4989"/>
    </row>
    <row r="4990" spans="4:4" x14ac:dyDescent="0.3">
      <c r="D4990"/>
    </row>
    <row r="4991" spans="4:4" x14ac:dyDescent="0.3">
      <c r="D4991"/>
    </row>
    <row r="4992" spans="4:4" x14ac:dyDescent="0.3">
      <c r="D4992"/>
    </row>
    <row r="4993" spans="4:4" x14ac:dyDescent="0.3">
      <c r="D4993"/>
    </row>
    <row r="4994" spans="4:4" x14ac:dyDescent="0.3">
      <c r="D4994"/>
    </row>
    <row r="4995" spans="4:4" x14ac:dyDescent="0.3">
      <c r="D4995"/>
    </row>
    <row r="4996" spans="4:4" x14ac:dyDescent="0.3">
      <c r="D4996"/>
    </row>
    <row r="4997" spans="4:4" x14ac:dyDescent="0.3">
      <c r="D4997"/>
    </row>
    <row r="4998" spans="4:4" x14ac:dyDescent="0.3">
      <c r="D4998"/>
    </row>
    <row r="4999" spans="4:4" x14ac:dyDescent="0.3">
      <c r="D4999"/>
    </row>
    <row r="5000" spans="4:4" x14ac:dyDescent="0.3">
      <c r="D5000"/>
    </row>
    <row r="5001" spans="4:4" x14ac:dyDescent="0.3">
      <c r="D5001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797A1-49FE-46D1-9B40-6058716D497C}">
  <sheetPr codeName="Planilha5"/>
  <dimension ref="A1:P5001"/>
  <sheetViews>
    <sheetView workbookViewId="0">
      <selection sqref="A1:P5001"/>
    </sheetView>
  </sheetViews>
  <sheetFormatPr defaultRowHeight="14.4" x14ac:dyDescent="0.3"/>
  <cols>
    <col min="1" max="1" width="11" customWidth="1"/>
    <col min="2" max="2" width="12.33203125" customWidth="1"/>
    <col min="3" max="3" width="35.77734375" customWidth="1"/>
    <col min="4" max="4" width="8.88671875" style="4" customWidth="1"/>
    <col min="5" max="5" width="10.33203125" style="1" customWidth="1"/>
    <col min="6" max="6" width="14.6640625" style="1" bestFit="1" customWidth="1"/>
    <col min="7" max="7" width="10.5546875" style="2" bestFit="1" customWidth="1"/>
    <col min="8" max="8" width="11" bestFit="1" customWidth="1"/>
    <col min="12" max="12" width="11.5546875" bestFit="1" customWidth="1"/>
    <col min="13" max="13" width="11.6640625" bestFit="1" customWidth="1"/>
    <col min="15" max="15" width="12.33203125" bestFit="1" customWidth="1"/>
    <col min="16" max="16" width="12.77734375" bestFit="1" customWidth="1"/>
    <col min="17" max="17" width="11.88671875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4</v>
      </c>
      <c r="E1" t="s">
        <v>3</v>
      </c>
      <c r="F1" t="s">
        <v>6</v>
      </c>
      <c r="G1" t="s">
        <v>5</v>
      </c>
      <c r="H1" t="s">
        <v>8</v>
      </c>
      <c r="I1" t="s">
        <v>9</v>
      </c>
      <c r="J1" t="s">
        <v>7</v>
      </c>
      <c r="L1" t="s">
        <v>12</v>
      </c>
      <c r="M1">
        <f>SUM(TempMovEntrada!D2:D1048576)</f>
        <v>0</v>
      </c>
      <c r="O1" t="s">
        <v>11</v>
      </c>
      <c r="P1" s="5">
        <f>SUM(TempMovEntrada!F2:F1048576)</f>
        <v>0</v>
      </c>
    </row>
    <row r="2" spans="1:16" x14ac:dyDescent="0.3">
      <c r="D2"/>
    </row>
    <row r="3" spans="1:16" x14ac:dyDescent="0.3">
      <c r="D3"/>
    </row>
    <row r="4" spans="1:16" x14ac:dyDescent="0.3">
      <c r="D4"/>
    </row>
    <row r="5" spans="1:16" x14ac:dyDescent="0.3">
      <c r="D5"/>
    </row>
    <row r="6" spans="1:16" x14ac:dyDescent="0.3">
      <c r="D6"/>
    </row>
    <row r="7" spans="1:16" x14ac:dyDescent="0.3">
      <c r="D7"/>
    </row>
    <row r="8" spans="1:16" x14ac:dyDescent="0.3">
      <c r="D8"/>
    </row>
    <row r="9" spans="1:16" x14ac:dyDescent="0.3">
      <c r="D9"/>
    </row>
    <row r="10" spans="1:16" x14ac:dyDescent="0.3">
      <c r="D10"/>
    </row>
    <row r="11" spans="1:16" x14ac:dyDescent="0.3">
      <c r="D11"/>
    </row>
    <row r="12" spans="1:16" x14ac:dyDescent="0.3">
      <c r="D12"/>
    </row>
    <row r="13" spans="1:16" x14ac:dyDescent="0.3">
      <c r="D13"/>
    </row>
    <row r="14" spans="1:16" x14ac:dyDescent="0.3">
      <c r="D14"/>
    </row>
    <row r="15" spans="1:16" x14ac:dyDescent="0.3">
      <c r="D15"/>
    </row>
    <row r="16" spans="1:16" x14ac:dyDescent="0.3">
      <c r="D16"/>
    </row>
    <row r="17" spans="4:4" x14ac:dyDescent="0.3">
      <c r="D17"/>
    </row>
    <row r="18" spans="4:4" x14ac:dyDescent="0.3">
      <c r="D18"/>
    </row>
    <row r="19" spans="4:4" x14ac:dyDescent="0.3">
      <c r="D19"/>
    </row>
    <row r="20" spans="4:4" x14ac:dyDescent="0.3">
      <c r="D20"/>
    </row>
    <row r="21" spans="4:4" x14ac:dyDescent="0.3">
      <c r="D21"/>
    </row>
    <row r="22" spans="4:4" x14ac:dyDescent="0.3">
      <c r="D22"/>
    </row>
    <row r="23" spans="4:4" x14ac:dyDescent="0.3">
      <c r="D23"/>
    </row>
    <row r="24" spans="4:4" x14ac:dyDescent="0.3">
      <c r="D24"/>
    </row>
    <row r="25" spans="4:4" x14ac:dyDescent="0.3">
      <c r="D25"/>
    </row>
    <row r="26" spans="4:4" x14ac:dyDescent="0.3">
      <c r="D26"/>
    </row>
    <row r="27" spans="4:4" x14ac:dyDescent="0.3">
      <c r="D27"/>
    </row>
    <row r="28" spans="4:4" x14ac:dyDescent="0.3">
      <c r="D28"/>
    </row>
    <row r="29" spans="4:4" x14ac:dyDescent="0.3">
      <c r="D29"/>
    </row>
    <row r="30" spans="4:4" x14ac:dyDescent="0.3">
      <c r="D30"/>
    </row>
    <row r="31" spans="4:4" x14ac:dyDescent="0.3">
      <c r="D31"/>
    </row>
    <row r="32" spans="4:4" x14ac:dyDescent="0.3">
      <c r="D32"/>
    </row>
    <row r="33" spans="4:4" x14ac:dyDescent="0.3">
      <c r="D33"/>
    </row>
    <row r="34" spans="4:4" x14ac:dyDescent="0.3">
      <c r="D34"/>
    </row>
    <row r="35" spans="4:4" x14ac:dyDescent="0.3">
      <c r="D35"/>
    </row>
    <row r="36" spans="4:4" x14ac:dyDescent="0.3">
      <c r="D36"/>
    </row>
    <row r="37" spans="4:4" x14ac:dyDescent="0.3">
      <c r="D37"/>
    </row>
    <row r="38" spans="4:4" x14ac:dyDescent="0.3">
      <c r="D38"/>
    </row>
    <row r="39" spans="4:4" x14ac:dyDescent="0.3">
      <c r="D39"/>
    </row>
    <row r="40" spans="4:4" x14ac:dyDescent="0.3">
      <c r="D40"/>
    </row>
    <row r="41" spans="4:4" x14ac:dyDescent="0.3">
      <c r="D41"/>
    </row>
    <row r="42" spans="4:4" x14ac:dyDescent="0.3">
      <c r="D42"/>
    </row>
    <row r="43" spans="4:4" x14ac:dyDescent="0.3">
      <c r="D43"/>
    </row>
    <row r="44" spans="4:4" x14ac:dyDescent="0.3">
      <c r="D44"/>
    </row>
    <row r="45" spans="4:4" x14ac:dyDescent="0.3">
      <c r="D45"/>
    </row>
    <row r="46" spans="4:4" x14ac:dyDescent="0.3">
      <c r="D46"/>
    </row>
    <row r="47" spans="4:4" x14ac:dyDescent="0.3">
      <c r="D47"/>
    </row>
    <row r="48" spans="4:4" x14ac:dyDescent="0.3">
      <c r="D48"/>
    </row>
    <row r="49" spans="4:4" x14ac:dyDescent="0.3">
      <c r="D49"/>
    </row>
    <row r="50" spans="4:4" x14ac:dyDescent="0.3">
      <c r="D50"/>
    </row>
    <row r="51" spans="4:4" x14ac:dyDescent="0.3">
      <c r="D51"/>
    </row>
    <row r="52" spans="4:4" x14ac:dyDescent="0.3">
      <c r="D52"/>
    </row>
    <row r="53" spans="4:4" x14ac:dyDescent="0.3">
      <c r="D53"/>
    </row>
    <row r="54" spans="4:4" x14ac:dyDescent="0.3">
      <c r="D54"/>
    </row>
    <row r="55" spans="4:4" x14ac:dyDescent="0.3">
      <c r="D55"/>
    </row>
    <row r="56" spans="4:4" x14ac:dyDescent="0.3">
      <c r="D56"/>
    </row>
    <row r="57" spans="4:4" x14ac:dyDescent="0.3">
      <c r="D57"/>
    </row>
    <row r="58" spans="4:4" x14ac:dyDescent="0.3">
      <c r="D58"/>
    </row>
    <row r="59" spans="4:4" x14ac:dyDescent="0.3">
      <c r="D59"/>
    </row>
    <row r="60" spans="4:4" x14ac:dyDescent="0.3">
      <c r="D60"/>
    </row>
    <row r="61" spans="4:4" x14ac:dyDescent="0.3">
      <c r="D61"/>
    </row>
    <row r="62" spans="4:4" x14ac:dyDescent="0.3">
      <c r="D62"/>
    </row>
    <row r="63" spans="4:4" x14ac:dyDescent="0.3">
      <c r="D63"/>
    </row>
    <row r="64" spans="4:4" x14ac:dyDescent="0.3">
      <c r="D64"/>
    </row>
    <row r="65" spans="4:4" x14ac:dyDescent="0.3">
      <c r="D65"/>
    </row>
    <row r="66" spans="4:4" x14ac:dyDescent="0.3">
      <c r="D66"/>
    </row>
    <row r="67" spans="4:4" x14ac:dyDescent="0.3">
      <c r="D67"/>
    </row>
    <row r="68" spans="4:4" x14ac:dyDescent="0.3">
      <c r="D68"/>
    </row>
    <row r="69" spans="4:4" x14ac:dyDescent="0.3">
      <c r="D69"/>
    </row>
    <row r="70" spans="4:4" x14ac:dyDescent="0.3">
      <c r="D70"/>
    </row>
    <row r="71" spans="4:4" x14ac:dyDescent="0.3">
      <c r="D71"/>
    </row>
    <row r="72" spans="4:4" x14ac:dyDescent="0.3">
      <c r="D72"/>
    </row>
    <row r="73" spans="4:4" x14ac:dyDescent="0.3">
      <c r="D73"/>
    </row>
    <row r="74" spans="4:4" x14ac:dyDescent="0.3">
      <c r="D74"/>
    </row>
    <row r="75" spans="4:4" x14ac:dyDescent="0.3">
      <c r="D75"/>
    </row>
    <row r="76" spans="4:4" x14ac:dyDescent="0.3">
      <c r="D76"/>
    </row>
    <row r="77" spans="4:4" x14ac:dyDescent="0.3">
      <c r="D77"/>
    </row>
    <row r="78" spans="4:4" x14ac:dyDescent="0.3">
      <c r="D78"/>
    </row>
    <row r="79" spans="4:4" x14ac:dyDescent="0.3">
      <c r="D79"/>
    </row>
    <row r="80" spans="4:4" x14ac:dyDescent="0.3">
      <c r="D80"/>
    </row>
    <row r="81" spans="4:4" x14ac:dyDescent="0.3">
      <c r="D81"/>
    </row>
    <row r="82" spans="4:4" x14ac:dyDescent="0.3">
      <c r="D82"/>
    </row>
    <row r="83" spans="4:4" x14ac:dyDescent="0.3">
      <c r="D83"/>
    </row>
    <row r="84" spans="4:4" x14ac:dyDescent="0.3">
      <c r="D84"/>
    </row>
    <row r="85" spans="4:4" x14ac:dyDescent="0.3">
      <c r="D85"/>
    </row>
    <row r="86" spans="4:4" x14ac:dyDescent="0.3">
      <c r="D86"/>
    </row>
    <row r="87" spans="4:4" x14ac:dyDescent="0.3">
      <c r="D87"/>
    </row>
    <row r="88" spans="4:4" x14ac:dyDescent="0.3">
      <c r="D88"/>
    </row>
    <row r="89" spans="4:4" x14ac:dyDescent="0.3">
      <c r="D89"/>
    </row>
    <row r="90" spans="4:4" x14ac:dyDescent="0.3">
      <c r="D90"/>
    </row>
    <row r="91" spans="4:4" x14ac:dyDescent="0.3">
      <c r="D91"/>
    </row>
    <row r="92" spans="4:4" x14ac:dyDescent="0.3">
      <c r="D92"/>
    </row>
    <row r="93" spans="4:4" x14ac:dyDescent="0.3">
      <c r="D93"/>
    </row>
    <row r="94" spans="4:4" x14ac:dyDescent="0.3">
      <c r="D94"/>
    </row>
    <row r="95" spans="4:4" x14ac:dyDescent="0.3">
      <c r="D95"/>
    </row>
    <row r="96" spans="4:4" x14ac:dyDescent="0.3">
      <c r="D96"/>
    </row>
    <row r="97" spans="4:4" x14ac:dyDescent="0.3">
      <c r="D97"/>
    </row>
    <row r="98" spans="4:4" x14ac:dyDescent="0.3">
      <c r="D98"/>
    </row>
    <row r="99" spans="4:4" x14ac:dyDescent="0.3">
      <c r="D99"/>
    </row>
    <row r="100" spans="4:4" x14ac:dyDescent="0.3">
      <c r="D100"/>
    </row>
    <row r="101" spans="4:4" x14ac:dyDescent="0.3">
      <c r="D101"/>
    </row>
    <row r="102" spans="4:4" x14ac:dyDescent="0.3">
      <c r="D102"/>
    </row>
    <row r="103" spans="4:4" x14ac:dyDescent="0.3">
      <c r="D103"/>
    </row>
    <row r="104" spans="4:4" x14ac:dyDescent="0.3">
      <c r="D104"/>
    </row>
    <row r="105" spans="4:4" x14ac:dyDescent="0.3">
      <c r="D105"/>
    </row>
    <row r="106" spans="4:4" x14ac:dyDescent="0.3">
      <c r="D106"/>
    </row>
    <row r="107" spans="4:4" x14ac:dyDescent="0.3">
      <c r="D107"/>
    </row>
    <row r="108" spans="4:4" x14ac:dyDescent="0.3">
      <c r="D108"/>
    </row>
    <row r="109" spans="4:4" x14ac:dyDescent="0.3">
      <c r="D109"/>
    </row>
    <row r="110" spans="4:4" x14ac:dyDescent="0.3">
      <c r="D110"/>
    </row>
    <row r="111" spans="4:4" x14ac:dyDescent="0.3">
      <c r="D111"/>
    </row>
    <row r="112" spans="4:4" x14ac:dyDescent="0.3">
      <c r="D112"/>
    </row>
    <row r="113" spans="4:4" x14ac:dyDescent="0.3">
      <c r="D113"/>
    </row>
    <row r="114" spans="4:4" x14ac:dyDescent="0.3">
      <c r="D114"/>
    </row>
    <row r="115" spans="4:4" x14ac:dyDescent="0.3">
      <c r="D115"/>
    </row>
    <row r="116" spans="4:4" x14ac:dyDescent="0.3">
      <c r="D116"/>
    </row>
    <row r="117" spans="4:4" x14ac:dyDescent="0.3">
      <c r="D117"/>
    </row>
    <row r="118" spans="4:4" x14ac:dyDescent="0.3">
      <c r="D118"/>
    </row>
    <row r="119" spans="4:4" x14ac:dyDescent="0.3">
      <c r="D119"/>
    </row>
    <row r="120" spans="4:4" x14ac:dyDescent="0.3">
      <c r="D120"/>
    </row>
    <row r="121" spans="4:4" x14ac:dyDescent="0.3">
      <c r="D121"/>
    </row>
    <row r="122" spans="4:4" x14ac:dyDescent="0.3">
      <c r="D122"/>
    </row>
    <row r="123" spans="4:4" x14ac:dyDescent="0.3">
      <c r="D123"/>
    </row>
    <row r="124" spans="4:4" x14ac:dyDescent="0.3">
      <c r="D124"/>
    </row>
    <row r="125" spans="4:4" x14ac:dyDescent="0.3">
      <c r="D125"/>
    </row>
    <row r="126" spans="4:4" x14ac:dyDescent="0.3">
      <c r="D126"/>
    </row>
    <row r="127" spans="4:4" x14ac:dyDescent="0.3">
      <c r="D127"/>
    </row>
    <row r="128" spans="4:4" x14ac:dyDescent="0.3">
      <c r="D128"/>
    </row>
    <row r="129" spans="4:4" x14ac:dyDescent="0.3">
      <c r="D129"/>
    </row>
    <row r="130" spans="4:4" x14ac:dyDescent="0.3">
      <c r="D130"/>
    </row>
    <row r="131" spans="4:4" x14ac:dyDescent="0.3">
      <c r="D131"/>
    </row>
    <row r="132" spans="4:4" x14ac:dyDescent="0.3">
      <c r="D132"/>
    </row>
    <row r="133" spans="4:4" x14ac:dyDescent="0.3">
      <c r="D133"/>
    </row>
    <row r="134" spans="4:4" x14ac:dyDescent="0.3">
      <c r="D134"/>
    </row>
    <row r="135" spans="4:4" x14ac:dyDescent="0.3">
      <c r="D135"/>
    </row>
    <row r="136" spans="4:4" x14ac:dyDescent="0.3">
      <c r="D136"/>
    </row>
    <row r="137" spans="4:4" x14ac:dyDescent="0.3">
      <c r="D137"/>
    </row>
    <row r="138" spans="4:4" x14ac:dyDescent="0.3">
      <c r="D138"/>
    </row>
    <row r="139" spans="4:4" x14ac:dyDescent="0.3">
      <c r="D139"/>
    </row>
    <row r="140" spans="4:4" x14ac:dyDescent="0.3">
      <c r="D140"/>
    </row>
    <row r="141" spans="4:4" x14ac:dyDescent="0.3">
      <c r="D141"/>
    </row>
    <row r="142" spans="4:4" x14ac:dyDescent="0.3">
      <c r="D142"/>
    </row>
    <row r="143" spans="4:4" x14ac:dyDescent="0.3">
      <c r="D143"/>
    </row>
    <row r="144" spans="4:4" x14ac:dyDescent="0.3">
      <c r="D144"/>
    </row>
    <row r="145" spans="4:4" x14ac:dyDescent="0.3">
      <c r="D145"/>
    </row>
    <row r="146" spans="4:4" x14ac:dyDescent="0.3">
      <c r="D146"/>
    </row>
    <row r="147" spans="4:4" x14ac:dyDescent="0.3">
      <c r="D147"/>
    </row>
    <row r="148" spans="4:4" x14ac:dyDescent="0.3">
      <c r="D148"/>
    </row>
    <row r="149" spans="4:4" x14ac:dyDescent="0.3">
      <c r="D149"/>
    </row>
    <row r="150" spans="4:4" x14ac:dyDescent="0.3">
      <c r="D150"/>
    </row>
    <row r="151" spans="4:4" x14ac:dyDescent="0.3">
      <c r="D151"/>
    </row>
    <row r="152" spans="4:4" x14ac:dyDescent="0.3">
      <c r="D152"/>
    </row>
    <row r="153" spans="4:4" x14ac:dyDescent="0.3">
      <c r="D153"/>
    </row>
    <row r="154" spans="4:4" x14ac:dyDescent="0.3">
      <c r="D154"/>
    </row>
    <row r="155" spans="4:4" x14ac:dyDescent="0.3">
      <c r="D155"/>
    </row>
    <row r="156" spans="4:4" x14ac:dyDescent="0.3">
      <c r="D156"/>
    </row>
    <row r="157" spans="4:4" x14ac:dyDescent="0.3">
      <c r="D157"/>
    </row>
    <row r="158" spans="4:4" x14ac:dyDescent="0.3">
      <c r="D158"/>
    </row>
    <row r="159" spans="4:4" x14ac:dyDescent="0.3">
      <c r="D159"/>
    </row>
    <row r="160" spans="4:4" x14ac:dyDescent="0.3">
      <c r="D160"/>
    </row>
    <row r="161" spans="4:4" x14ac:dyDescent="0.3">
      <c r="D161"/>
    </row>
    <row r="162" spans="4:4" x14ac:dyDescent="0.3">
      <c r="D162"/>
    </row>
    <row r="163" spans="4:4" x14ac:dyDescent="0.3">
      <c r="D163"/>
    </row>
    <row r="164" spans="4:4" x14ac:dyDescent="0.3">
      <c r="D164"/>
    </row>
    <row r="165" spans="4:4" x14ac:dyDescent="0.3">
      <c r="D165"/>
    </row>
    <row r="166" spans="4:4" x14ac:dyDescent="0.3">
      <c r="D166"/>
    </row>
    <row r="167" spans="4:4" x14ac:dyDescent="0.3">
      <c r="D167"/>
    </row>
    <row r="168" spans="4:4" x14ac:dyDescent="0.3">
      <c r="D168"/>
    </row>
    <row r="169" spans="4:4" x14ac:dyDescent="0.3">
      <c r="D169"/>
    </row>
    <row r="170" spans="4:4" x14ac:dyDescent="0.3">
      <c r="D170"/>
    </row>
    <row r="171" spans="4:4" x14ac:dyDescent="0.3">
      <c r="D171"/>
    </row>
    <row r="172" spans="4:4" x14ac:dyDescent="0.3">
      <c r="D172"/>
    </row>
    <row r="173" spans="4:4" x14ac:dyDescent="0.3">
      <c r="D173"/>
    </row>
    <row r="174" spans="4:4" x14ac:dyDescent="0.3">
      <c r="D174"/>
    </row>
    <row r="175" spans="4:4" x14ac:dyDescent="0.3">
      <c r="D175"/>
    </row>
    <row r="176" spans="4:4" x14ac:dyDescent="0.3">
      <c r="D176"/>
    </row>
    <row r="177" spans="4:4" x14ac:dyDescent="0.3">
      <c r="D177"/>
    </row>
    <row r="178" spans="4:4" x14ac:dyDescent="0.3">
      <c r="D178"/>
    </row>
    <row r="179" spans="4:4" x14ac:dyDescent="0.3">
      <c r="D179"/>
    </row>
    <row r="180" spans="4:4" x14ac:dyDescent="0.3">
      <c r="D180"/>
    </row>
    <row r="181" spans="4:4" x14ac:dyDescent="0.3">
      <c r="D181"/>
    </row>
    <row r="182" spans="4:4" x14ac:dyDescent="0.3">
      <c r="D182"/>
    </row>
    <row r="183" spans="4:4" x14ac:dyDescent="0.3">
      <c r="D183"/>
    </row>
    <row r="184" spans="4:4" x14ac:dyDescent="0.3">
      <c r="D184"/>
    </row>
    <row r="185" spans="4:4" x14ac:dyDescent="0.3">
      <c r="D185"/>
    </row>
    <row r="186" spans="4:4" x14ac:dyDescent="0.3">
      <c r="D186"/>
    </row>
    <row r="187" spans="4:4" x14ac:dyDescent="0.3">
      <c r="D187"/>
    </row>
    <row r="188" spans="4:4" x14ac:dyDescent="0.3">
      <c r="D188"/>
    </row>
    <row r="189" spans="4:4" x14ac:dyDescent="0.3">
      <c r="D189"/>
    </row>
    <row r="190" spans="4:4" x14ac:dyDescent="0.3">
      <c r="D190"/>
    </row>
    <row r="191" spans="4:4" x14ac:dyDescent="0.3">
      <c r="D191"/>
    </row>
    <row r="192" spans="4:4" x14ac:dyDescent="0.3">
      <c r="D192"/>
    </row>
    <row r="193" spans="4:4" x14ac:dyDescent="0.3">
      <c r="D193"/>
    </row>
    <row r="194" spans="4:4" x14ac:dyDescent="0.3">
      <c r="D194"/>
    </row>
    <row r="195" spans="4:4" x14ac:dyDescent="0.3">
      <c r="D195"/>
    </row>
    <row r="196" spans="4:4" x14ac:dyDescent="0.3">
      <c r="D196"/>
    </row>
    <row r="197" spans="4:4" x14ac:dyDescent="0.3">
      <c r="D197"/>
    </row>
    <row r="198" spans="4:4" x14ac:dyDescent="0.3">
      <c r="D198"/>
    </row>
    <row r="199" spans="4:4" x14ac:dyDescent="0.3">
      <c r="D199"/>
    </row>
    <row r="200" spans="4:4" x14ac:dyDescent="0.3">
      <c r="D200"/>
    </row>
    <row r="201" spans="4:4" x14ac:dyDescent="0.3">
      <c r="D201"/>
    </row>
    <row r="202" spans="4:4" x14ac:dyDescent="0.3">
      <c r="D202"/>
    </row>
    <row r="203" spans="4:4" x14ac:dyDescent="0.3">
      <c r="D203"/>
    </row>
    <row r="204" spans="4:4" x14ac:dyDescent="0.3">
      <c r="D204"/>
    </row>
    <row r="205" spans="4:4" x14ac:dyDescent="0.3">
      <c r="D205"/>
    </row>
    <row r="206" spans="4:4" x14ac:dyDescent="0.3">
      <c r="D206"/>
    </row>
    <row r="207" spans="4:4" x14ac:dyDescent="0.3">
      <c r="D207"/>
    </row>
    <row r="208" spans="4:4" x14ac:dyDescent="0.3">
      <c r="D208"/>
    </row>
    <row r="209" spans="4:4" x14ac:dyDescent="0.3">
      <c r="D209"/>
    </row>
    <row r="210" spans="4:4" x14ac:dyDescent="0.3">
      <c r="D210"/>
    </row>
    <row r="211" spans="4:4" x14ac:dyDescent="0.3">
      <c r="D211"/>
    </row>
    <row r="212" spans="4:4" x14ac:dyDescent="0.3">
      <c r="D212"/>
    </row>
    <row r="213" spans="4:4" x14ac:dyDescent="0.3">
      <c r="D213"/>
    </row>
    <row r="214" spans="4:4" x14ac:dyDescent="0.3">
      <c r="D214"/>
    </row>
    <row r="215" spans="4:4" x14ac:dyDescent="0.3">
      <c r="D215"/>
    </row>
    <row r="216" spans="4:4" x14ac:dyDescent="0.3">
      <c r="D216"/>
    </row>
    <row r="217" spans="4:4" x14ac:dyDescent="0.3">
      <c r="D217"/>
    </row>
    <row r="218" spans="4:4" x14ac:dyDescent="0.3">
      <c r="D218"/>
    </row>
    <row r="219" spans="4:4" x14ac:dyDescent="0.3">
      <c r="D219"/>
    </row>
    <row r="220" spans="4:4" x14ac:dyDescent="0.3">
      <c r="D220"/>
    </row>
    <row r="221" spans="4:4" x14ac:dyDescent="0.3">
      <c r="D221"/>
    </row>
    <row r="222" spans="4:4" x14ac:dyDescent="0.3">
      <c r="D222"/>
    </row>
    <row r="223" spans="4:4" x14ac:dyDescent="0.3">
      <c r="D223"/>
    </row>
    <row r="224" spans="4:4" x14ac:dyDescent="0.3">
      <c r="D224"/>
    </row>
    <row r="225" spans="4:4" x14ac:dyDescent="0.3">
      <c r="D225"/>
    </row>
    <row r="226" spans="4:4" x14ac:dyDescent="0.3">
      <c r="D226"/>
    </row>
    <row r="227" spans="4:4" x14ac:dyDescent="0.3">
      <c r="D227"/>
    </row>
    <row r="228" spans="4:4" x14ac:dyDescent="0.3">
      <c r="D228"/>
    </row>
    <row r="229" spans="4:4" x14ac:dyDescent="0.3">
      <c r="D229"/>
    </row>
    <row r="230" spans="4:4" x14ac:dyDescent="0.3">
      <c r="D230"/>
    </row>
    <row r="231" spans="4:4" x14ac:dyDescent="0.3">
      <c r="D231"/>
    </row>
    <row r="232" spans="4:4" x14ac:dyDescent="0.3">
      <c r="D232"/>
    </row>
    <row r="233" spans="4:4" x14ac:dyDescent="0.3">
      <c r="D233"/>
    </row>
    <row r="234" spans="4:4" x14ac:dyDescent="0.3">
      <c r="D234"/>
    </row>
    <row r="235" spans="4:4" x14ac:dyDescent="0.3">
      <c r="D235"/>
    </row>
    <row r="236" spans="4:4" x14ac:dyDescent="0.3">
      <c r="D236"/>
    </row>
    <row r="237" spans="4:4" x14ac:dyDescent="0.3">
      <c r="D237"/>
    </row>
    <row r="238" spans="4:4" x14ac:dyDescent="0.3">
      <c r="D238"/>
    </row>
    <row r="239" spans="4:4" x14ac:dyDescent="0.3">
      <c r="D239"/>
    </row>
    <row r="240" spans="4:4" x14ac:dyDescent="0.3">
      <c r="D240"/>
    </row>
    <row r="241" spans="4:4" x14ac:dyDescent="0.3">
      <c r="D241"/>
    </row>
    <row r="242" spans="4:4" x14ac:dyDescent="0.3">
      <c r="D242"/>
    </row>
    <row r="243" spans="4:4" x14ac:dyDescent="0.3">
      <c r="D243"/>
    </row>
    <row r="244" spans="4:4" x14ac:dyDescent="0.3">
      <c r="D244"/>
    </row>
    <row r="245" spans="4:4" x14ac:dyDescent="0.3">
      <c r="D245"/>
    </row>
    <row r="246" spans="4:4" x14ac:dyDescent="0.3">
      <c r="D246"/>
    </row>
    <row r="247" spans="4:4" x14ac:dyDescent="0.3">
      <c r="D247"/>
    </row>
    <row r="248" spans="4:4" x14ac:dyDescent="0.3">
      <c r="D248"/>
    </row>
    <row r="249" spans="4:4" x14ac:dyDescent="0.3">
      <c r="D249"/>
    </row>
    <row r="250" spans="4:4" x14ac:dyDescent="0.3">
      <c r="D250"/>
    </row>
    <row r="251" spans="4:4" x14ac:dyDescent="0.3">
      <c r="D251"/>
    </row>
    <row r="252" spans="4:4" x14ac:dyDescent="0.3">
      <c r="D252"/>
    </row>
    <row r="253" spans="4:4" x14ac:dyDescent="0.3">
      <c r="D253"/>
    </row>
    <row r="254" spans="4:4" x14ac:dyDescent="0.3">
      <c r="D254"/>
    </row>
    <row r="255" spans="4:4" x14ac:dyDescent="0.3">
      <c r="D255"/>
    </row>
    <row r="256" spans="4:4" x14ac:dyDescent="0.3">
      <c r="D256"/>
    </row>
    <row r="257" spans="4:4" x14ac:dyDescent="0.3">
      <c r="D257"/>
    </row>
    <row r="258" spans="4:4" x14ac:dyDescent="0.3">
      <c r="D258"/>
    </row>
    <row r="259" spans="4:4" x14ac:dyDescent="0.3">
      <c r="D259"/>
    </row>
    <row r="260" spans="4:4" x14ac:dyDescent="0.3">
      <c r="D260"/>
    </row>
    <row r="261" spans="4:4" x14ac:dyDescent="0.3">
      <c r="D261"/>
    </row>
    <row r="262" spans="4:4" x14ac:dyDescent="0.3">
      <c r="D262"/>
    </row>
    <row r="263" spans="4:4" x14ac:dyDescent="0.3">
      <c r="D263"/>
    </row>
    <row r="264" spans="4:4" x14ac:dyDescent="0.3">
      <c r="D264"/>
    </row>
    <row r="265" spans="4:4" x14ac:dyDescent="0.3">
      <c r="D265"/>
    </row>
    <row r="266" spans="4:4" x14ac:dyDescent="0.3">
      <c r="D266"/>
    </row>
    <row r="267" spans="4:4" x14ac:dyDescent="0.3">
      <c r="D267"/>
    </row>
    <row r="268" spans="4:4" x14ac:dyDescent="0.3">
      <c r="D268"/>
    </row>
    <row r="269" spans="4:4" x14ac:dyDescent="0.3">
      <c r="D269"/>
    </row>
    <row r="270" spans="4:4" x14ac:dyDescent="0.3">
      <c r="D270"/>
    </row>
    <row r="271" spans="4:4" x14ac:dyDescent="0.3">
      <c r="D271"/>
    </row>
    <row r="272" spans="4:4" x14ac:dyDescent="0.3">
      <c r="D272"/>
    </row>
    <row r="273" spans="4:4" x14ac:dyDescent="0.3">
      <c r="D273"/>
    </row>
    <row r="274" spans="4:4" x14ac:dyDescent="0.3">
      <c r="D274"/>
    </row>
    <row r="275" spans="4:4" x14ac:dyDescent="0.3">
      <c r="D275"/>
    </row>
    <row r="276" spans="4:4" x14ac:dyDescent="0.3">
      <c r="D276"/>
    </row>
    <row r="277" spans="4:4" x14ac:dyDescent="0.3">
      <c r="D277"/>
    </row>
    <row r="278" spans="4:4" x14ac:dyDescent="0.3">
      <c r="D278"/>
    </row>
    <row r="279" spans="4:4" x14ac:dyDescent="0.3">
      <c r="D279"/>
    </row>
    <row r="280" spans="4:4" x14ac:dyDescent="0.3">
      <c r="D280"/>
    </row>
    <row r="281" spans="4:4" x14ac:dyDescent="0.3">
      <c r="D281"/>
    </row>
    <row r="282" spans="4:4" x14ac:dyDescent="0.3">
      <c r="D282"/>
    </row>
    <row r="283" spans="4:4" x14ac:dyDescent="0.3">
      <c r="D283"/>
    </row>
    <row r="284" spans="4:4" x14ac:dyDescent="0.3">
      <c r="D284"/>
    </row>
    <row r="285" spans="4:4" x14ac:dyDescent="0.3">
      <c r="D285"/>
    </row>
    <row r="286" spans="4:4" x14ac:dyDescent="0.3">
      <c r="D286"/>
    </row>
    <row r="287" spans="4:4" x14ac:dyDescent="0.3">
      <c r="D287"/>
    </row>
    <row r="288" spans="4:4" x14ac:dyDescent="0.3">
      <c r="D288"/>
    </row>
    <row r="289" spans="4:4" x14ac:dyDescent="0.3">
      <c r="D289"/>
    </row>
    <row r="290" spans="4:4" x14ac:dyDescent="0.3">
      <c r="D290"/>
    </row>
    <row r="291" spans="4:4" x14ac:dyDescent="0.3">
      <c r="D291"/>
    </row>
    <row r="292" spans="4:4" x14ac:dyDescent="0.3">
      <c r="D292"/>
    </row>
    <row r="293" spans="4:4" x14ac:dyDescent="0.3">
      <c r="D293"/>
    </row>
    <row r="294" spans="4:4" x14ac:dyDescent="0.3">
      <c r="D294"/>
    </row>
    <row r="295" spans="4:4" x14ac:dyDescent="0.3">
      <c r="D295"/>
    </row>
    <row r="296" spans="4:4" x14ac:dyDescent="0.3">
      <c r="D296"/>
    </row>
    <row r="297" spans="4:4" x14ac:dyDescent="0.3">
      <c r="D297"/>
    </row>
    <row r="298" spans="4:4" x14ac:dyDescent="0.3">
      <c r="D298"/>
    </row>
    <row r="299" spans="4:4" x14ac:dyDescent="0.3">
      <c r="D299"/>
    </row>
    <row r="300" spans="4:4" x14ac:dyDescent="0.3">
      <c r="D300"/>
    </row>
    <row r="301" spans="4:4" x14ac:dyDescent="0.3">
      <c r="D301"/>
    </row>
    <row r="302" spans="4:4" x14ac:dyDescent="0.3">
      <c r="D302"/>
    </row>
    <row r="303" spans="4:4" x14ac:dyDescent="0.3">
      <c r="D303"/>
    </row>
    <row r="304" spans="4:4" x14ac:dyDescent="0.3">
      <c r="D304"/>
    </row>
    <row r="305" spans="4:4" x14ac:dyDescent="0.3">
      <c r="D305"/>
    </row>
    <row r="306" spans="4:4" x14ac:dyDescent="0.3">
      <c r="D306"/>
    </row>
    <row r="307" spans="4:4" x14ac:dyDescent="0.3">
      <c r="D307"/>
    </row>
    <row r="308" spans="4:4" x14ac:dyDescent="0.3">
      <c r="D308"/>
    </row>
    <row r="309" spans="4:4" x14ac:dyDescent="0.3">
      <c r="D309"/>
    </row>
    <row r="310" spans="4:4" x14ac:dyDescent="0.3">
      <c r="D310"/>
    </row>
    <row r="311" spans="4:4" x14ac:dyDescent="0.3">
      <c r="D311"/>
    </row>
    <row r="312" spans="4:4" x14ac:dyDescent="0.3">
      <c r="D312"/>
    </row>
    <row r="313" spans="4:4" x14ac:dyDescent="0.3">
      <c r="D313"/>
    </row>
    <row r="314" spans="4:4" x14ac:dyDescent="0.3">
      <c r="D314"/>
    </row>
    <row r="315" spans="4:4" x14ac:dyDescent="0.3">
      <c r="D315"/>
    </row>
    <row r="316" spans="4:4" x14ac:dyDescent="0.3">
      <c r="D316"/>
    </row>
    <row r="317" spans="4:4" x14ac:dyDescent="0.3">
      <c r="D317"/>
    </row>
    <row r="318" spans="4:4" x14ac:dyDescent="0.3">
      <c r="D318"/>
    </row>
    <row r="319" spans="4:4" x14ac:dyDescent="0.3">
      <c r="D319"/>
    </row>
    <row r="320" spans="4:4" x14ac:dyDescent="0.3">
      <c r="D320"/>
    </row>
    <row r="321" spans="4:4" x14ac:dyDescent="0.3">
      <c r="D321"/>
    </row>
    <row r="322" spans="4:4" x14ac:dyDescent="0.3">
      <c r="D322"/>
    </row>
    <row r="323" spans="4:4" x14ac:dyDescent="0.3">
      <c r="D323"/>
    </row>
    <row r="324" spans="4:4" x14ac:dyDescent="0.3">
      <c r="D324"/>
    </row>
    <row r="325" spans="4:4" x14ac:dyDescent="0.3">
      <c r="D325"/>
    </row>
    <row r="326" spans="4:4" x14ac:dyDescent="0.3">
      <c r="D326"/>
    </row>
    <row r="327" spans="4:4" x14ac:dyDescent="0.3">
      <c r="D327"/>
    </row>
    <row r="328" spans="4:4" x14ac:dyDescent="0.3">
      <c r="D328"/>
    </row>
    <row r="329" spans="4:4" x14ac:dyDescent="0.3">
      <c r="D329"/>
    </row>
    <row r="330" spans="4:4" x14ac:dyDescent="0.3">
      <c r="D330"/>
    </row>
    <row r="331" spans="4:4" x14ac:dyDescent="0.3">
      <c r="D331"/>
    </row>
    <row r="332" spans="4:4" x14ac:dyDescent="0.3">
      <c r="D332"/>
    </row>
    <row r="333" spans="4:4" x14ac:dyDescent="0.3">
      <c r="D333"/>
    </row>
    <row r="334" spans="4:4" x14ac:dyDescent="0.3">
      <c r="D334"/>
    </row>
    <row r="335" spans="4:4" x14ac:dyDescent="0.3">
      <c r="D335"/>
    </row>
    <row r="336" spans="4:4" x14ac:dyDescent="0.3">
      <c r="D336"/>
    </row>
    <row r="337" spans="4:4" x14ac:dyDescent="0.3">
      <c r="D337"/>
    </row>
    <row r="338" spans="4:4" x14ac:dyDescent="0.3">
      <c r="D338"/>
    </row>
    <row r="339" spans="4:4" x14ac:dyDescent="0.3">
      <c r="D339"/>
    </row>
    <row r="340" spans="4:4" x14ac:dyDescent="0.3">
      <c r="D340"/>
    </row>
    <row r="341" spans="4:4" x14ac:dyDescent="0.3">
      <c r="D341"/>
    </row>
    <row r="342" spans="4:4" x14ac:dyDescent="0.3">
      <c r="D342"/>
    </row>
    <row r="343" spans="4:4" x14ac:dyDescent="0.3">
      <c r="D343"/>
    </row>
    <row r="344" spans="4:4" x14ac:dyDescent="0.3">
      <c r="D344"/>
    </row>
    <row r="345" spans="4:4" x14ac:dyDescent="0.3">
      <c r="D345"/>
    </row>
    <row r="346" spans="4:4" x14ac:dyDescent="0.3">
      <c r="D346"/>
    </row>
    <row r="347" spans="4:4" x14ac:dyDescent="0.3">
      <c r="D347"/>
    </row>
    <row r="348" spans="4:4" x14ac:dyDescent="0.3">
      <c r="D348"/>
    </row>
    <row r="349" spans="4:4" x14ac:dyDescent="0.3">
      <c r="D349"/>
    </row>
    <row r="350" spans="4:4" x14ac:dyDescent="0.3">
      <c r="D350"/>
    </row>
    <row r="351" spans="4:4" x14ac:dyDescent="0.3">
      <c r="D351"/>
    </row>
    <row r="352" spans="4:4" x14ac:dyDescent="0.3">
      <c r="D352"/>
    </row>
    <row r="353" spans="4:4" x14ac:dyDescent="0.3">
      <c r="D353"/>
    </row>
    <row r="354" spans="4:4" x14ac:dyDescent="0.3">
      <c r="D354"/>
    </row>
    <row r="355" spans="4:4" x14ac:dyDescent="0.3">
      <c r="D355"/>
    </row>
    <row r="356" spans="4:4" x14ac:dyDescent="0.3">
      <c r="D356"/>
    </row>
    <row r="357" spans="4:4" x14ac:dyDescent="0.3">
      <c r="D357"/>
    </row>
    <row r="358" spans="4:4" x14ac:dyDescent="0.3">
      <c r="D358"/>
    </row>
    <row r="359" spans="4:4" x14ac:dyDescent="0.3">
      <c r="D359"/>
    </row>
    <row r="360" spans="4:4" x14ac:dyDescent="0.3">
      <c r="D360"/>
    </row>
    <row r="361" spans="4:4" x14ac:dyDescent="0.3">
      <c r="D361"/>
    </row>
    <row r="362" spans="4:4" x14ac:dyDescent="0.3">
      <c r="D362"/>
    </row>
    <row r="363" spans="4:4" x14ac:dyDescent="0.3">
      <c r="D363"/>
    </row>
    <row r="364" spans="4:4" x14ac:dyDescent="0.3">
      <c r="D364"/>
    </row>
    <row r="365" spans="4:4" x14ac:dyDescent="0.3">
      <c r="D365"/>
    </row>
    <row r="366" spans="4:4" x14ac:dyDescent="0.3">
      <c r="D366"/>
    </row>
    <row r="367" spans="4:4" x14ac:dyDescent="0.3">
      <c r="D367"/>
    </row>
    <row r="368" spans="4:4" x14ac:dyDescent="0.3">
      <c r="D368"/>
    </row>
    <row r="369" spans="4:4" x14ac:dyDescent="0.3">
      <c r="D369"/>
    </row>
    <row r="370" spans="4:4" x14ac:dyDescent="0.3">
      <c r="D370"/>
    </row>
    <row r="371" spans="4:4" x14ac:dyDescent="0.3">
      <c r="D371"/>
    </row>
    <row r="372" spans="4:4" x14ac:dyDescent="0.3">
      <c r="D372"/>
    </row>
    <row r="373" spans="4:4" x14ac:dyDescent="0.3">
      <c r="D373"/>
    </row>
    <row r="374" spans="4:4" x14ac:dyDescent="0.3">
      <c r="D374"/>
    </row>
    <row r="375" spans="4:4" x14ac:dyDescent="0.3">
      <c r="D375"/>
    </row>
    <row r="376" spans="4:4" x14ac:dyDescent="0.3">
      <c r="D376"/>
    </row>
    <row r="377" spans="4:4" x14ac:dyDescent="0.3">
      <c r="D377"/>
    </row>
    <row r="378" spans="4:4" x14ac:dyDescent="0.3">
      <c r="D378"/>
    </row>
    <row r="379" spans="4:4" x14ac:dyDescent="0.3">
      <c r="D379"/>
    </row>
    <row r="380" spans="4:4" x14ac:dyDescent="0.3">
      <c r="D380"/>
    </row>
    <row r="381" spans="4:4" x14ac:dyDescent="0.3">
      <c r="D381"/>
    </row>
    <row r="382" spans="4:4" x14ac:dyDescent="0.3">
      <c r="D382"/>
    </row>
    <row r="383" spans="4:4" x14ac:dyDescent="0.3">
      <c r="D383"/>
    </row>
    <row r="384" spans="4:4" x14ac:dyDescent="0.3">
      <c r="D384"/>
    </row>
    <row r="385" spans="4:4" x14ac:dyDescent="0.3">
      <c r="D385"/>
    </row>
    <row r="386" spans="4:4" x14ac:dyDescent="0.3">
      <c r="D386"/>
    </row>
    <row r="387" spans="4:4" x14ac:dyDescent="0.3">
      <c r="D387"/>
    </row>
    <row r="388" spans="4:4" x14ac:dyDescent="0.3">
      <c r="D388"/>
    </row>
    <row r="389" spans="4:4" x14ac:dyDescent="0.3">
      <c r="D389"/>
    </row>
    <row r="390" spans="4:4" x14ac:dyDescent="0.3">
      <c r="D390"/>
    </row>
    <row r="391" spans="4:4" x14ac:dyDescent="0.3">
      <c r="D391"/>
    </row>
    <row r="392" spans="4:4" x14ac:dyDescent="0.3">
      <c r="D392"/>
    </row>
    <row r="393" spans="4:4" x14ac:dyDescent="0.3">
      <c r="D393"/>
    </row>
    <row r="394" spans="4:4" x14ac:dyDescent="0.3">
      <c r="D394"/>
    </row>
    <row r="395" spans="4:4" x14ac:dyDescent="0.3">
      <c r="D395"/>
    </row>
    <row r="396" spans="4:4" x14ac:dyDescent="0.3">
      <c r="D396"/>
    </row>
    <row r="397" spans="4:4" x14ac:dyDescent="0.3">
      <c r="D397"/>
    </row>
    <row r="398" spans="4:4" x14ac:dyDescent="0.3">
      <c r="D398"/>
    </row>
    <row r="399" spans="4:4" x14ac:dyDescent="0.3">
      <c r="D399"/>
    </row>
    <row r="400" spans="4:4" x14ac:dyDescent="0.3">
      <c r="D400"/>
    </row>
    <row r="401" spans="4:4" x14ac:dyDescent="0.3">
      <c r="D401"/>
    </row>
    <row r="402" spans="4:4" x14ac:dyDescent="0.3">
      <c r="D402"/>
    </row>
    <row r="403" spans="4:4" x14ac:dyDescent="0.3">
      <c r="D403"/>
    </row>
    <row r="404" spans="4:4" x14ac:dyDescent="0.3">
      <c r="D404"/>
    </row>
    <row r="405" spans="4:4" x14ac:dyDescent="0.3">
      <c r="D405"/>
    </row>
    <row r="406" spans="4:4" x14ac:dyDescent="0.3">
      <c r="D406"/>
    </row>
    <row r="407" spans="4:4" x14ac:dyDescent="0.3">
      <c r="D407"/>
    </row>
    <row r="408" spans="4:4" x14ac:dyDescent="0.3">
      <c r="D408"/>
    </row>
    <row r="409" spans="4:4" x14ac:dyDescent="0.3">
      <c r="D409"/>
    </row>
    <row r="410" spans="4:4" x14ac:dyDescent="0.3">
      <c r="D410"/>
    </row>
    <row r="411" spans="4:4" x14ac:dyDescent="0.3">
      <c r="D411"/>
    </row>
    <row r="412" spans="4:4" x14ac:dyDescent="0.3">
      <c r="D412"/>
    </row>
    <row r="413" spans="4:4" x14ac:dyDescent="0.3">
      <c r="D413"/>
    </row>
    <row r="414" spans="4:4" x14ac:dyDescent="0.3">
      <c r="D414"/>
    </row>
    <row r="415" spans="4:4" x14ac:dyDescent="0.3">
      <c r="D415"/>
    </row>
    <row r="416" spans="4:4" x14ac:dyDescent="0.3">
      <c r="D416"/>
    </row>
    <row r="417" spans="4:4" x14ac:dyDescent="0.3">
      <c r="D417"/>
    </row>
    <row r="418" spans="4:4" x14ac:dyDescent="0.3">
      <c r="D418"/>
    </row>
    <row r="419" spans="4:4" x14ac:dyDescent="0.3">
      <c r="D419"/>
    </row>
    <row r="420" spans="4:4" x14ac:dyDescent="0.3">
      <c r="D420"/>
    </row>
    <row r="421" spans="4:4" x14ac:dyDescent="0.3">
      <c r="D421"/>
    </row>
    <row r="422" spans="4:4" x14ac:dyDescent="0.3">
      <c r="D422"/>
    </row>
    <row r="423" spans="4:4" x14ac:dyDescent="0.3">
      <c r="D423"/>
    </row>
    <row r="424" spans="4:4" x14ac:dyDescent="0.3">
      <c r="D424"/>
    </row>
    <row r="425" spans="4:4" x14ac:dyDescent="0.3">
      <c r="D425"/>
    </row>
    <row r="426" spans="4:4" x14ac:dyDescent="0.3">
      <c r="D426"/>
    </row>
    <row r="427" spans="4:4" x14ac:dyDescent="0.3">
      <c r="D427"/>
    </row>
    <row r="428" spans="4:4" x14ac:dyDescent="0.3">
      <c r="D428"/>
    </row>
    <row r="429" spans="4:4" x14ac:dyDescent="0.3">
      <c r="D429"/>
    </row>
    <row r="430" spans="4:4" x14ac:dyDescent="0.3">
      <c r="D430"/>
    </row>
    <row r="431" spans="4:4" x14ac:dyDescent="0.3">
      <c r="D431"/>
    </row>
    <row r="432" spans="4:4" x14ac:dyDescent="0.3">
      <c r="D432"/>
    </row>
    <row r="433" spans="4:4" x14ac:dyDescent="0.3">
      <c r="D433"/>
    </row>
    <row r="434" spans="4:4" x14ac:dyDescent="0.3">
      <c r="D434"/>
    </row>
    <row r="435" spans="4:4" x14ac:dyDescent="0.3">
      <c r="D435"/>
    </row>
    <row r="436" spans="4:4" x14ac:dyDescent="0.3">
      <c r="D436"/>
    </row>
    <row r="437" spans="4:4" x14ac:dyDescent="0.3">
      <c r="D437"/>
    </row>
    <row r="438" spans="4:4" x14ac:dyDescent="0.3">
      <c r="D438"/>
    </row>
    <row r="439" spans="4:4" x14ac:dyDescent="0.3">
      <c r="D439"/>
    </row>
    <row r="440" spans="4:4" x14ac:dyDescent="0.3">
      <c r="D440"/>
    </row>
    <row r="441" spans="4:4" x14ac:dyDescent="0.3">
      <c r="D441"/>
    </row>
    <row r="442" spans="4:4" x14ac:dyDescent="0.3">
      <c r="D442"/>
    </row>
    <row r="443" spans="4:4" x14ac:dyDescent="0.3">
      <c r="D443"/>
    </row>
    <row r="444" spans="4:4" x14ac:dyDescent="0.3">
      <c r="D444"/>
    </row>
    <row r="445" spans="4:4" x14ac:dyDescent="0.3">
      <c r="D445"/>
    </row>
    <row r="446" spans="4:4" x14ac:dyDescent="0.3">
      <c r="D446"/>
    </row>
    <row r="447" spans="4:4" x14ac:dyDescent="0.3">
      <c r="D447"/>
    </row>
    <row r="448" spans="4:4" x14ac:dyDescent="0.3">
      <c r="D448"/>
    </row>
    <row r="449" spans="4:4" x14ac:dyDescent="0.3">
      <c r="D449"/>
    </row>
    <row r="450" spans="4:4" x14ac:dyDescent="0.3">
      <c r="D450"/>
    </row>
    <row r="451" spans="4:4" x14ac:dyDescent="0.3">
      <c r="D451"/>
    </row>
    <row r="452" spans="4:4" x14ac:dyDescent="0.3">
      <c r="D452"/>
    </row>
    <row r="453" spans="4:4" x14ac:dyDescent="0.3">
      <c r="D453"/>
    </row>
    <row r="454" spans="4:4" x14ac:dyDescent="0.3">
      <c r="D454"/>
    </row>
    <row r="455" spans="4:4" x14ac:dyDescent="0.3">
      <c r="D455"/>
    </row>
    <row r="456" spans="4:4" x14ac:dyDescent="0.3">
      <c r="D456"/>
    </row>
    <row r="457" spans="4:4" x14ac:dyDescent="0.3">
      <c r="D457"/>
    </row>
    <row r="458" spans="4:4" x14ac:dyDescent="0.3">
      <c r="D458"/>
    </row>
    <row r="459" spans="4:4" x14ac:dyDescent="0.3">
      <c r="D459"/>
    </row>
    <row r="460" spans="4:4" x14ac:dyDescent="0.3">
      <c r="D460"/>
    </row>
    <row r="461" spans="4:4" x14ac:dyDescent="0.3">
      <c r="D461"/>
    </row>
    <row r="462" spans="4:4" x14ac:dyDescent="0.3">
      <c r="D462"/>
    </row>
    <row r="463" spans="4:4" x14ac:dyDescent="0.3">
      <c r="D463"/>
    </row>
    <row r="464" spans="4:4" x14ac:dyDescent="0.3">
      <c r="D464"/>
    </row>
    <row r="465" spans="4:4" x14ac:dyDescent="0.3">
      <c r="D465"/>
    </row>
    <row r="466" spans="4:4" x14ac:dyDescent="0.3">
      <c r="D466"/>
    </row>
    <row r="467" spans="4:4" x14ac:dyDescent="0.3">
      <c r="D467"/>
    </row>
    <row r="468" spans="4:4" x14ac:dyDescent="0.3">
      <c r="D468"/>
    </row>
    <row r="469" spans="4:4" x14ac:dyDescent="0.3">
      <c r="D469"/>
    </row>
    <row r="470" spans="4:4" x14ac:dyDescent="0.3">
      <c r="D470"/>
    </row>
    <row r="471" spans="4:4" x14ac:dyDescent="0.3">
      <c r="D471"/>
    </row>
    <row r="472" spans="4:4" x14ac:dyDescent="0.3">
      <c r="D472"/>
    </row>
    <row r="473" spans="4:4" x14ac:dyDescent="0.3">
      <c r="D473"/>
    </row>
    <row r="474" spans="4:4" x14ac:dyDescent="0.3">
      <c r="D474"/>
    </row>
    <row r="475" spans="4:4" x14ac:dyDescent="0.3">
      <c r="D475"/>
    </row>
    <row r="476" spans="4:4" x14ac:dyDescent="0.3">
      <c r="D476"/>
    </row>
    <row r="477" spans="4:4" x14ac:dyDescent="0.3">
      <c r="D477"/>
    </row>
    <row r="478" spans="4:4" x14ac:dyDescent="0.3">
      <c r="D478"/>
    </row>
    <row r="479" spans="4:4" x14ac:dyDescent="0.3">
      <c r="D479"/>
    </row>
    <row r="480" spans="4:4" x14ac:dyDescent="0.3">
      <c r="D480"/>
    </row>
    <row r="481" spans="4:4" x14ac:dyDescent="0.3">
      <c r="D481"/>
    </row>
    <row r="482" spans="4:4" x14ac:dyDescent="0.3">
      <c r="D482"/>
    </row>
    <row r="483" spans="4:4" x14ac:dyDescent="0.3">
      <c r="D483"/>
    </row>
    <row r="484" spans="4:4" x14ac:dyDescent="0.3">
      <c r="D484"/>
    </row>
    <row r="485" spans="4:4" x14ac:dyDescent="0.3">
      <c r="D485"/>
    </row>
    <row r="486" spans="4:4" x14ac:dyDescent="0.3">
      <c r="D486"/>
    </row>
    <row r="487" spans="4:4" x14ac:dyDescent="0.3">
      <c r="D487"/>
    </row>
    <row r="488" spans="4:4" x14ac:dyDescent="0.3">
      <c r="D488"/>
    </row>
    <row r="489" spans="4:4" x14ac:dyDescent="0.3">
      <c r="D489"/>
    </row>
    <row r="490" spans="4:4" x14ac:dyDescent="0.3">
      <c r="D490"/>
    </row>
    <row r="491" spans="4:4" x14ac:dyDescent="0.3">
      <c r="D491"/>
    </row>
    <row r="492" spans="4:4" x14ac:dyDescent="0.3">
      <c r="D492"/>
    </row>
    <row r="493" spans="4:4" x14ac:dyDescent="0.3">
      <c r="D493"/>
    </row>
    <row r="494" spans="4:4" x14ac:dyDescent="0.3">
      <c r="D494"/>
    </row>
    <row r="495" spans="4:4" x14ac:dyDescent="0.3">
      <c r="D495"/>
    </row>
    <row r="496" spans="4:4" x14ac:dyDescent="0.3">
      <c r="D496"/>
    </row>
    <row r="497" spans="4:4" x14ac:dyDescent="0.3">
      <c r="D497"/>
    </row>
    <row r="498" spans="4:4" x14ac:dyDescent="0.3">
      <c r="D498"/>
    </row>
    <row r="499" spans="4:4" x14ac:dyDescent="0.3">
      <c r="D499"/>
    </row>
    <row r="500" spans="4:4" x14ac:dyDescent="0.3">
      <c r="D500"/>
    </row>
    <row r="501" spans="4:4" x14ac:dyDescent="0.3">
      <c r="D501"/>
    </row>
    <row r="502" spans="4:4" x14ac:dyDescent="0.3">
      <c r="D502"/>
    </row>
    <row r="503" spans="4:4" x14ac:dyDescent="0.3">
      <c r="D503"/>
    </row>
    <row r="504" spans="4:4" x14ac:dyDescent="0.3">
      <c r="D504"/>
    </row>
    <row r="505" spans="4:4" x14ac:dyDescent="0.3">
      <c r="D505"/>
    </row>
    <row r="506" spans="4:4" x14ac:dyDescent="0.3">
      <c r="D506"/>
    </row>
    <row r="507" spans="4:4" x14ac:dyDescent="0.3">
      <c r="D507"/>
    </row>
    <row r="508" spans="4:4" x14ac:dyDescent="0.3">
      <c r="D508"/>
    </row>
    <row r="509" spans="4:4" x14ac:dyDescent="0.3">
      <c r="D509"/>
    </row>
    <row r="510" spans="4:4" x14ac:dyDescent="0.3">
      <c r="D510"/>
    </row>
    <row r="511" spans="4:4" x14ac:dyDescent="0.3">
      <c r="D511"/>
    </row>
    <row r="512" spans="4:4" x14ac:dyDescent="0.3">
      <c r="D512"/>
    </row>
    <row r="513" spans="4:4" x14ac:dyDescent="0.3">
      <c r="D513"/>
    </row>
    <row r="514" spans="4:4" x14ac:dyDescent="0.3">
      <c r="D514"/>
    </row>
    <row r="515" spans="4:4" x14ac:dyDescent="0.3">
      <c r="D515"/>
    </row>
    <row r="516" spans="4:4" x14ac:dyDescent="0.3">
      <c r="D516"/>
    </row>
    <row r="517" spans="4:4" x14ac:dyDescent="0.3">
      <c r="D517"/>
    </row>
    <row r="518" spans="4:4" x14ac:dyDescent="0.3">
      <c r="D518"/>
    </row>
    <row r="519" spans="4:4" x14ac:dyDescent="0.3">
      <c r="D519"/>
    </row>
    <row r="520" spans="4:4" x14ac:dyDescent="0.3">
      <c r="D520"/>
    </row>
    <row r="521" spans="4:4" x14ac:dyDescent="0.3">
      <c r="D521"/>
    </row>
    <row r="522" spans="4:4" x14ac:dyDescent="0.3">
      <c r="D522"/>
    </row>
    <row r="523" spans="4:4" x14ac:dyDescent="0.3">
      <c r="D523"/>
    </row>
    <row r="524" spans="4:4" x14ac:dyDescent="0.3">
      <c r="D524"/>
    </row>
    <row r="525" spans="4:4" x14ac:dyDescent="0.3">
      <c r="D525"/>
    </row>
    <row r="526" spans="4:4" x14ac:dyDescent="0.3">
      <c r="D526"/>
    </row>
    <row r="527" spans="4:4" x14ac:dyDescent="0.3">
      <c r="D527"/>
    </row>
    <row r="528" spans="4:4" x14ac:dyDescent="0.3">
      <c r="D528"/>
    </row>
    <row r="529" spans="4:4" x14ac:dyDescent="0.3">
      <c r="D529"/>
    </row>
    <row r="530" spans="4:4" x14ac:dyDescent="0.3">
      <c r="D530"/>
    </row>
    <row r="531" spans="4:4" x14ac:dyDescent="0.3">
      <c r="D531"/>
    </row>
    <row r="532" spans="4:4" x14ac:dyDescent="0.3">
      <c r="D532"/>
    </row>
    <row r="533" spans="4:4" x14ac:dyDescent="0.3">
      <c r="D533"/>
    </row>
    <row r="534" spans="4:4" x14ac:dyDescent="0.3">
      <c r="D534"/>
    </row>
    <row r="535" spans="4:4" x14ac:dyDescent="0.3">
      <c r="D535"/>
    </row>
    <row r="536" spans="4:4" x14ac:dyDescent="0.3">
      <c r="D536"/>
    </row>
    <row r="537" spans="4:4" x14ac:dyDescent="0.3">
      <c r="D537"/>
    </row>
    <row r="538" spans="4:4" x14ac:dyDescent="0.3">
      <c r="D538"/>
    </row>
    <row r="539" spans="4:4" x14ac:dyDescent="0.3">
      <c r="D539"/>
    </row>
    <row r="540" spans="4:4" x14ac:dyDescent="0.3">
      <c r="D540"/>
    </row>
    <row r="541" spans="4:4" x14ac:dyDescent="0.3">
      <c r="D541"/>
    </row>
    <row r="542" spans="4:4" x14ac:dyDescent="0.3">
      <c r="D542"/>
    </row>
    <row r="543" spans="4:4" x14ac:dyDescent="0.3">
      <c r="D543"/>
    </row>
    <row r="544" spans="4:4" x14ac:dyDescent="0.3">
      <c r="D544"/>
    </row>
    <row r="545" spans="4:4" x14ac:dyDescent="0.3">
      <c r="D545"/>
    </row>
    <row r="546" spans="4:4" x14ac:dyDescent="0.3">
      <c r="D546"/>
    </row>
    <row r="547" spans="4:4" x14ac:dyDescent="0.3">
      <c r="D547"/>
    </row>
    <row r="548" spans="4:4" x14ac:dyDescent="0.3">
      <c r="D548"/>
    </row>
    <row r="549" spans="4:4" x14ac:dyDescent="0.3">
      <c r="D549"/>
    </row>
    <row r="550" spans="4:4" x14ac:dyDescent="0.3">
      <c r="D550"/>
    </row>
    <row r="551" spans="4:4" x14ac:dyDescent="0.3">
      <c r="D551"/>
    </row>
    <row r="552" spans="4:4" x14ac:dyDescent="0.3">
      <c r="D552"/>
    </row>
    <row r="553" spans="4:4" x14ac:dyDescent="0.3">
      <c r="D553"/>
    </row>
    <row r="554" spans="4:4" x14ac:dyDescent="0.3">
      <c r="D554"/>
    </row>
    <row r="555" spans="4:4" x14ac:dyDescent="0.3">
      <c r="D555"/>
    </row>
    <row r="556" spans="4:4" x14ac:dyDescent="0.3">
      <c r="D556"/>
    </row>
    <row r="557" spans="4:4" x14ac:dyDescent="0.3">
      <c r="D557"/>
    </row>
    <row r="558" spans="4:4" x14ac:dyDescent="0.3">
      <c r="D558"/>
    </row>
    <row r="559" spans="4:4" x14ac:dyDescent="0.3">
      <c r="D559"/>
    </row>
    <row r="560" spans="4:4" x14ac:dyDescent="0.3">
      <c r="D560"/>
    </row>
    <row r="561" spans="4:4" x14ac:dyDescent="0.3">
      <c r="D561"/>
    </row>
    <row r="562" spans="4:4" x14ac:dyDescent="0.3">
      <c r="D562"/>
    </row>
    <row r="563" spans="4:4" x14ac:dyDescent="0.3">
      <c r="D563"/>
    </row>
    <row r="564" spans="4:4" x14ac:dyDescent="0.3">
      <c r="D564"/>
    </row>
    <row r="565" spans="4:4" x14ac:dyDescent="0.3">
      <c r="D565"/>
    </row>
    <row r="566" spans="4:4" x14ac:dyDescent="0.3">
      <c r="D566"/>
    </row>
    <row r="567" spans="4:4" x14ac:dyDescent="0.3">
      <c r="D567"/>
    </row>
    <row r="568" spans="4:4" x14ac:dyDescent="0.3">
      <c r="D568"/>
    </row>
    <row r="569" spans="4:4" x14ac:dyDescent="0.3">
      <c r="D569"/>
    </row>
    <row r="570" spans="4:4" x14ac:dyDescent="0.3">
      <c r="D570"/>
    </row>
    <row r="571" spans="4:4" x14ac:dyDescent="0.3">
      <c r="D571"/>
    </row>
    <row r="572" spans="4:4" x14ac:dyDescent="0.3">
      <c r="D572"/>
    </row>
    <row r="573" spans="4:4" x14ac:dyDescent="0.3">
      <c r="D573"/>
    </row>
    <row r="574" spans="4:4" x14ac:dyDescent="0.3">
      <c r="D574"/>
    </row>
    <row r="575" spans="4:4" x14ac:dyDescent="0.3">
      <c r="D575"/>
    </row>
    <row r="576" spans="4:4" x14ac:dyDescent="0.3">
      <c r="D576"/>
    </row>
    <row r="577" spans="4:4" x14ac:dyDescent="0.3">
      <c r="D577"/>
    </row>
    <row r="578" spans="4:4" x14ac:dyDescent="0.3">
      <c r="D578"/>
    </row>
    <row r="579" spans="4:4" x14ac:dyDescent="0.3">
      <c r="D579"/>
    </row>
    <row r="580" spans="4:4" x14ac:dyDescent="0.3">
      <c r="D580"/>
    </row>
    <row r="581" spans="4:4" x14ac:dyDescent="0.3">
      <c r="D581"/>
    </row>
    <row r="582" spans="4:4" x14ac:dyDescent="0.3">
      <c r="D582"/>
    </row>
    <row r="583" spans="4:4" x14ac:dyDescent="0.3">
      <c r="D583"/>
    </row>
    <row r="584" spans="4:4" x14ac:dyDescent="0.3">
      <c r="D584"/>
    </row>
    <row r="585" spans="4:4" x14ac:dyDescent="0.3">
      <c r="D585"/>
    </row>
    <row r="586" spans="4:4" x14ac:dyDescent="0.3">
      <c r="D586"/>
    </row>
    <row r="587" spans="4:4" x14ac:dyDescent="0.3">
      <c r="D587"/>
    </row>
    <row r="588" spans="4:4" x14ac:dyDescent="0.3">
      <c r="D588"/>
    </row>
    <row r="589" spans="4:4" x14ac:dyDescent="0.3">
      <c r="D589"/>
    </row>
    <row r="590" spans="4:4" x14ac:dyDescent="0.3">
      <c r="D590"/>
    </row>
    <row r="591" spans="4:4" x14ac:dyDescent="0.3">
      <c r="D591"/>
    </row>
    <row r="592" spans="4:4" x14ac:dyDescent="0.3">
      <c r="D592"/>
    </row>
    <row r="593" spans="4:4" x14ac:dyDescent="0.3">
      <c r="D593"/>
    </row>
    <row r="594" spans="4:4" x14ac:dyDescent="0.3">
      <c r="D594"/>
    </row>
    <row r="595" spans="4:4" x14ac:dyDescent="0.3">
      <c r="D595"/>
    </row>
    <row r="596" spans="4:4" x14ac:dyDescent="0.3">
      <c r="D596"/>
    </row>
    <row r="597" spans="4:4" x14ac:dyDescent="0.3">
      <c r="D597"/>
    </row>
    <row r="598" spans="4:4" x14ac:dyDescent="0.3">
      <c r="D598"/>
    </row>
    <row r="599" spans="4:4" x14ac:dyDescent="0.3">
      <c r="D599"/>
    </row>
    <row r="600" spans="4:4" x14ac:dyDescent="0.3">
      <c r="D600"/>
    </row>
    <row r="601" spans="4:4" x14ac:dyDescent="0.3">
      <c r="D601"/>
    </row>
    <row r="602" spans="4:4" x14ac:dyDescent="0.3">
      <c r="D602"/>
    </row>
    <row r="603" spans="4:4" x14ac:dyDescent="0.3">
      <c r="D603"/>
    </row>
    <row r="604" spans="4:4" x14ac:dyDescent="0.3">
      <c r="D604"/>
    </row>
    <row r="605" spans="4:4" x14ac:dyDescent="0.3">
      <c r="D605"/>
    </row>
    <row r="606" spans="4:4" x14ac:dyDescent="0.3">
      <c r="D606"/>
    </row>
    <row r="607" spans="4:4" x14ac:dyDescent="0.3">
      <c r="D607"/>
    </row>
    <row r="608" spans="4:4" x14ac:dyDescent="0.3">
      <c r="D608"/>
    </row>
    <row r="609" spans="4:4" x14ac:dyDescent="0.3">
      <c r="D609"/>
    </row>
    <row r="610" spans="4:4" x14ac:dyDescent="0.3">
      <c r="D610"/>
    </row>
    <row r="611" spans="4:4" x14ac:dyDescent="0.3">
      <c r="D611"/>
    </row>
    <row r="612" spans="4:4" x14ac:dyDescent="0.3">
      <c r="D612"/>
    </row>
    <row r="613" spans="4:4" x14ac:dyDescent="0.3">
      <c r="D613"/>
    </row>
    <row r="614" spans="4:4" x14ac:dyDescent="0.3">
      <c r="D614"/>
    </row>
    <row r="615" spans="4:4" x14ac:dyDescent="0.3">
      <c r="D615"/>
    </row>
    <row r="616" spans="4:4" x14ac:dyDescent="0.3">
      <c r="D616"/>
    </row>
    <row r="617" spans="4:4" x14ac:dyDescent="0.3">
      <c r="D617"/>
    </row>
    <row r="618" spans="4:4" x14ac:dyDescent="0.3">
      <c r="D618"/>
    </row>
    <row r="619" spans="4:4" x14ac:dyDescent="0.3">
      <c r="D619"/>
    </row>
    <row r="620" spans="4:4" x14ac:dyDescent="0.3">
      <c r="D620"/>
    </row>
    <row r="621" spans="4:4" x14ac:dyDescent="0.3">
      <c r="D621"/>
    </row>
    <row r="622" spans="4:4" x14ac:dyDescent="0.3">
      <c r="D622"/>
    </row>
    <row r="623" spans="4:4" x14ac:dyDescent="0.3">
      <c r="D623"/>
    </row>
    <row r="624" spans="4:4" x14ac:dyDescent="0.3">
      <c r="D624"/>
    </row>
    <row r="625" spans="4:4" x14ac:dyDescent="0.3">
      <c r="D625"/>
    </row>
    <row r="626" spans="4:4" x14ac:dyDescent="0.3">
      <c r="D626"/>
    </row>
    <row r="627" spans="4:4" x14ac:dyDescent="0.3">
      <c r="D627"/>
    </row>
    <row r="628" spans="4:4" x14ac:dyDescent="0.3">
      <c r="D628"/>
    </row>
    <row r="629" spans="4:4" x14ac:dyDescent="0.3">
      <c r="D629"/>
    </row>
    <row r="630" spans="4:4" x14ac:dyDescent="0.3">
      <c r="D630"/>
    </row>
    <row r="631" spans="4:4" x14ac:dyDescent="0.3">
      <c r="D631"/>
    </row>
    <row r="632" spans="4:4" x14ac:dyDescent="0.3">
      <c r="D632"/>
    </row>
    <row r="633" spans="4:4" x14ac:dyDescent="0.3">
      <c r="D633"/>
    </row>
    <row r="634" spans="4:4" x14ac:dyDescent="0.3">
      <c r="D634"/>
    </row>
    <row r="635" spans="4:4" x14ac:dyDescent="0.3">
      <c r="D635"/>
    </row>
    <row r="636" spans="4:4" x14ac:dyDescent="0.3">
      <c r="D636"/>
    </row>
    <row r="637" spans="4:4" x14ac:dyDescent="0.3">
      <c r="D637"/>
    </row>
    <row r="638" spans="4:4" x14ac:dyDescent="0.3">
      <c r="D638"/>
    </row>
    <row r="639" spans="4:4" x14ac:dyDescent="0.3">
      <c r="D639"/>
    </row>
    <row r="640" spans="4:4" x14ac:dyDescent="0.3">
      <c r="D640"/>
    </row>
    <row r="641" spans="4:4" x14ac:dyDescent="0.3">
      <c r="D641"/>
    </row>
    <row r="642" spans="4:4" x14ac:dyDescent="0.3">
      <c r="D642"/>
    </row>
    <row r="643" spans="4:4" x14ac:dyDescent="0.3">
      <c r="D643"/>
    </row>
    <row r="644" spans="4:4" x14ac:dyDescent="0.3">
      <c r="D644"/>
    </row>
    <row r="645" spans="4:4" x14ac:dyDescent="0.3">
      <c r="D645"/>
    </row>
    <row r="646" spans="4:4" x14ac:dyDescent="0.3">
      <c r="D646"/>
    </row>
    <row r="647" spans="4:4" x14ac:dyDescent="0.3">
      <c r="D647"/>
    </row>
    <row r="648" spans="4:4" x14ac:dyDescent="0.3">
      <c r="D648"/>
    </row>
    <row r="649" spans="4:4" x14ac:dyDescent="0.3">
      <c r="D649"/>
    </row>
    <row r="650" spans="4:4" x14ac:dyDescent="0.3">
      <c r="D650"/>
    </row>
    <row r="651" spans="4:4" x14ac:dyDescent="0.3">
      <c r="D651"/>
    </row>
    <row r="652" spans="4:4" x14ac:dyDescent="0.3">
      <c r="D652"/>
    </row>
    <row r="653" spans="4:4" x14ac:dyDescent="0.3">
      <c r="D653"/>
    </row>
    <row r="654" spans="4:4" x14ac:dyDescent="0.3">
      <c r="D654"/>
    </row>
    <row r="655" spans="4:4" x14ac:dyDescent="0.3">
      <c r="D655"/>
    </row>
    <row r="656" spans="4:4" x14ac:dyDescent="0.3">
      <c r="D656"/>
    </row>
    <row r="657" spans="4:4" x14ac:dyDescent="0.3">
      <c r="D657"/>
    </row>
    <row r="658" spans="4:4" x14ac:dyDescent="0.3">
      <c r="D658"/>
    </row>
    <row r="659" spans="4:4" x14ac:dyDescent="0.3">
      <c r="D659"/>
    </row>
    <row r="660" spans="4:4" x14ac:dyDescent="0.3">
      <c r="D660"/>
    </row>
    <row r="661" spans="4:4" x14ac:dyDescent="0.3">
      <c r="D661"/>
    </row>
    <row r="662" spans="4:4" x14ac:dyDescent="0.3">
      <c r="D662"/>
    </row>
    <row r="663" spans="4:4" x14ac:dyDescent="0.3">
      <c r="D663"/>
    </row>
    <row r="664" spans="4:4" x14ac:dyDescent="0.3">
      <c r="D664"/>
    </row>
    <row r="665" spans="4:4" x14ac:dyDescent="0.3">
      <c r="D665"/>
    </row>
    <row r="666" spans="4:4" x14ac:dyDescent="0.3">
      <c r="D666"/>
    </row>
    <row r="667" spans="4:4" x14ac:dyDescent="0.3">
      <c r="D667"/>
    </row>
    <row r="668" spans="4:4" x14ac:dyDescent="0.3">
      <c r="D668"/>
    </row>
    <row r="669" spans="4:4" x14ac:dyDescent="0.3">
      <c r="D669"/>
    </row>
    <row r="670" spans="4:4" x14ac:dyDescent="0.3">
      <c r="D670"/>
    </row>
    <row r="671" spans="4:4" x14ac:dyDescent="0.3">
      <c r="D671"/>
    </row>
    <row r="672" spans="4:4" x14ac:dyDescent="0.3">
      <c r="D672"/>
    </row>
    <row r="673" spans="4:4" x14ac:dyDescent="0.3">
      <c r="D673"/>
    </row>
    <row r="674" spans="4:4" x14ac:dyDescent="0.3">
      <c r="D674"/>
    </row>
    <row r="675" spans="4:4" x14ac:dyDescent="0.3">
      <c r="D675"/>
    </row>
    <row r="676" spans="4:4" x14ac:dyDescent="0.3">
      <c r="D676"/>
    </row>
    <row r="677" spans="4:4" x14ac:dyDescent="0.3">
      <c r="D677"/>
    </row>
    <row r="678" spans="4:4" x14ac:dyDescent="0.3">
      <c r="D678"/>
    </row>
    <row r="679" spans="4:4" x14ac:dyDescent="0.3">
      <c r="D679"/>
    </row>
    <row r="680" spans="4:4" x14ac:dyDescent="0.3">
      <c r="D680"/>
    </row>
    <row r="681" spans="4:4" x14ac:dyDescent="0.3">
      <c r="D681"/>
    </row>
    <row r="682" spans="4:4" x14ac:dyDescent="0.3">
      <c r="D682"/>
    </row>
    <row r="683" spans="4:4" x14ac:dyDescent="0.3">
      <c r="D683"/>
    </row>
    <row r="684" spans="4:4" x14ac:dyDescent="0.3">
      <c r="D684"/>
    </row>
    <row r="685" spans="4:4" x14ac:dyDescent="0.3">
      <c r="D685"/>
    </row>
    <row r="686" spans="4:4" x14ac:dyDescent="0.3">
      <c r="D686"/>
    </row>
    <row r="687" spans="4:4" x14ac:dyDescent="0.3">
      <c r="D687"/>
    </row>
    <row r="688" spans="4:4" x14ac:dyDescent="0.3">
      <c r="D688"/>
    </row>
    <row r="689" spans="4:4" x14ac:dyDescent="0.3">
      <c r="D689"/>
    </row>
    <row r="690" spans="4:4" x14ac:dyDescent="0.3">
      <c r="D690"/>
    </row>
    <row r="691" spans="4:4" x14ac:dyDescent="0.3">
      <c r="D691"/>
    </row>
    <row r="692" spans="4:4" x14ac:dyDescent="0.3">
      <c r="D692"/>
    </row>
    <row r="693" spans="4:4" x14ac:dyDescent="0.3">
      <c r="D693"/>
    </row>
    <row r="694" spans="4:4" x14ac:dyDescent="0.3">
      <c r="D694"/>
    </row>
    <row r="695" spans="4:4" x14ac:dyDescent="0.3">
      <c r="D695"/>
    </row>
    <row r="696" spans="4:4" x14ac:dyDescent="0.3">
      <c r="D696"/>
    </row>
    <row r="697" spans="4:4" x14ac:dyDescent="0.3">
      <c r="D697"/>
    </row>
    <row r="698" spans="4:4" x14ac:dyDescent="0.3">
      <c r="D698"/>
    </row>
    <row r="699" spans="4:4" x14ac:dyDescent="0.3">
      <c r="D699"/>
    </row>
    <row r="700" spans="4:4" x14ac:dyDescent="0.3">
      <c r="D700"/>
    </row>
    <row r="701" spans="4:4" x14ac:dyDescent="0.3">
      <c r="D701"/>
    </row>
    <row r="702" spans="4:4" x14ac:dyDescent="0.3">
      <c r="D702"/>
    </row>
    <row r="703" spans="4:4" x14ac:dyDescent="0.3">
      <c r="D703"/>
    </row>
    <row r="704" spans="4:4" x14ac:dyDescent="0.3">
      <c r="D704"/>
    </row>
    <row r="705" spans="4:4" x14ac:dyDescent="0.3">
      <c r="D705"/>
    </row>
    <row r="706" spans="4:4" x14ac:dyDescent="0.3">
      <c r="D706"/>
    </row>
    <row r="707" spans="4:4" x14ac:dyDescent="0.3">
      <c r="D707"/>
    </row>
    <row r="708" spans="4:4" x14ac:dyDescent="0.3">
      <c r="D708"/>
    </row>
    <row r="709" spans="4:4" x14ac:dyDescent="0.3">
      <c r="D709"/>
    </row>
    <row r="710" spans="4:4" x14ac:dyDescent="0.3">
      <c r="D710"/>
    </row>
    <row r="711" spans="4:4" x14ac:dyDescent="0.3">
      <c r="D711"/>
    </row>
    <row r="712" spans="4:4" x14ac:dyDescent="0.3">
      <c r="D712"/>
    </row>
    <row r="713" spans="4:4" x14ac:dyDescent="0.3">
      <c r="D713"/>
    </row>
    <row r="714" spans="4:4" x14ac:dyDescent="0.3">
      <c r="D714"/>
    </row>
    <row r="715" spans="4:4" x14ac:dyDescent="0.3">
      <c r="D715"/>
    </row>
    <row r="716" spans="4:4" x14ac:dyDescent="0.3">
      <c r="D716"/>
    </row>
    <row r="717" spans="4:4" x14ac:dyDescent="0.3">
      <c r="D717"/>
    </row>
    <row r="718" spans="4:4" x14ac:dyDescent="0.3">
      <c r="D718"/>
    </row>
    <row r="719" spans="4:4" x14ac:dyDescent="0.3">
      <c r="D719"/>
    </row>
    <row r="720" spans="4:4" x14ac:dyDescent="0.3">
      <c r="D720"/>
    </row>
    <row r="721" spans="4:4" x14ac:dyDescent="0.3">
      <c r="D721"/>
    </row>
    <row r="722" spans="4:4" x14ac:dyDescent="0.3">
      <c r="D722"/>
    </row>
    <row r="723" spans="4:4" x14ac:dyDescent="0.3">
      <c r="D723"/>
    </row>
    <row r="724" spans="4:4" x14ac:dyDescent="0.3">
      <c r="D724"/>
    </row>
    <row r="725" spans="4:4" x14ac:dyDescent="0.3">
      <c r="D725"/>
    </row>
    <row r="726" spans="4:4" x14ac:dyDescent="0.3">
      <c r="D726"/>
    </row>
    <row r="727" spans="4:4" x14ac:dyDescent="0.3">
      <c r="D727"/>
    </row>
    <row r="728" spans="4:4" x14ac:dyDescent="0.3">
      <c r="D728"/>
    </row>
    <row r="729" spans="4:4" x14ac:dyDescent="0.3">
      <c r="D729"/>
    </row>
    <row r="730" spans="4:4" x14ac:dyDescent="0.3">
      <c r="D730"/>
    </row>
    <row r="731" spans="4:4" x14ac:dyDescent="0.3">
      <c r="D731"/>
    </row>
    <row r="732" spans="4:4" x14ac:dyDescent="0.3">
      <c r="D732"/>
    </row>
    <row r="733" spans="4:4" x14ac:dyDescent="0.3">
      <c r="D733"/>
    </row>
    <row r="734" spans="4:4" x14ac:dyDescent="0.3">
      <c r="D734"/>
    </row>
    <row r="735" spans="4:4" x14ac:dyDescent="0.3">
      <c r="D735"/>
    </row>
    <row r="736" spans="4:4" x14ac:dyDescent="0.3">
      <c r="D736"/>
    </row>
    <row r="737" spans="4:4" x14ac:dyDescent="0.3">
      <c r="D737"/>
    </row>
    <row r="738" spans="4:4" x14ac:dyDescent="0.3">
      <c r="D738"/>
    </row>
    <row r="739" spans="4:4" x14ac:dyDescent="0.3">
      <c r="D739"/>
    </row>
    <row r="740" spans="4:4" x14ac:dyDescent="0.3">
      <c r="D740"/>
    </row>
    <row r="741" spans="4:4" x14ac:dyDescent="0.3">
      <c r="D741"/>
    </row>
    <row r="742" spans="4:4" x14ac:dyDescent="0.3">
      <c r="D742"/>
    </row>
    <row r="743" spans="4:4" x14ac:dyDescent="0.3">
      <c r="D743"/>
    </row>
    <row r="744" spans="4:4" x14ac:dyDescent="0.3">
      <c r="D744"/>
    </row>
    <row r="745" spans="4:4" x14ac:dyDescent="0.3">
      <c r="D745"/>
    </row>
    <row r="746" spans="4:4" x14ac:dyDescent="0.3">
      <c r="D746"/>
    </row>
    <row r="747" spans="4:4" x14ac:dyDescent="0.3">
      <c r="D747"/>
    </row>
    <row r="748" spans="4:4" x14ac:dyDescent="0.3">
      <c r="D748"/>
    </row>
    <row r="749" spans="4:4" x14ac:dyDescent="0.3">
      <c r="D749"/>
    </row>
    <row r="750" spans="4:4" x14ac:dyDescent="0.3">
      <c r="D750"/>
    </row>
    <row r="751" spans="4:4" x14ac:dyDescent="0.3">
      <c r="D751"/>
    </row>
    <row r="752" spans="4:4" x14ac:dyDescent="0.3">
      <c r="D752"/>
    </row>
    <row r="753" spans="4:4" x14ac:dyDescent="0.3">
      <c r="D753"/>
    </row>
    <row r="754" spans="4:4" x14ac:dyDescent="0.3">
      <c r="D754"/>
    </row>
    <row r="755" spans="4:4" x14ac:dyDescent="0.3">
      <c r="D755"/>
    </row>
    <row r="756" spans="4:4" x14ac:dyDescent="0.3">
      <c r="D756"/>
    </row>
    <row r="757" spans="4:4" x14ac:dyDescent="0.3">
      <c r="D757"/>
    </row>
    <row r="758" spans="4:4" x14ac:dyDescent="0.3">
      <c r="D758"/>
    </row>
    <row r="759" spans="4:4" x14ac:dyDescent="0.3">
      <c r="D759"/>
    </row>
    <row r="760" spans="4:4" x14ac:dyDescent="0.3">
      <c r="D760"/>
    </row>
    <row r="761" spans="4:4" x14ac:dyDescent="0.3">
      <c r="D761"/>
    </row>
    <row r="762" spans="4:4" x14ac:dyDescent="0.3">
      <c r="D762"/>
    </row>
    <row r="763" spans="4:4" x14ac:dyDescent="0.3">
      <c r="D763"/>
    </row>
    <row r="764" spans="4:4" x14ac:dyDescent="0.3">
      <c r="D764"/>
    </row>
    <row r="765" spans="4:4" x14ac:dyDescent="0.3">
      <c r="D765"/>
    </row>
    <row r="766" spans="4:4" x14ac:dyDescent="0.3">
      <c r="D766"/>
    </row>
    <row r="767" spans="4:4" x14ac:dyDescent="0.3">
      <c r="D767"/>
    </row>
    <row r="768" spans="4:4" x14ac:dyDescent="0.3">
      <c r="D768"/>
    </row>
    <row r="769" spans="4:4" x14ac:dyDescent="0.3">
      <c r="D769"/>
    </row>
    <row r="770" spans="4:4" x14ac:dyDescent="0.3">
      <c r="D770"/>
    </row>
    <row r="771" spans="4:4" x14ac:dyDescent="0.3">
      <c r="D771"/>
    </row>
    <row r="772" spans="4:4" x14ac:dyDescent="0.3">
      <c r="D772"/>
    </row>
    <row r="773" spans="4:4" x14ac:dyDescent="0.3">
      <c r="D773"/>
    </row>
    <row r="774" spans="4:4" x14ac:dyDescent="0.3">
      <c r="D774"/>
    </row>
    <row r="775" spans="4:4" x14ac:dyDescent="0.3">
      <c r="D775"/>
    </row>
    <row r="776" spans="4:4" x14ac:dyDescent="0.3">
      <c r="D776"/>
    </row>
    <row r="777" spans="4:4" x14ac:dyDescent="0.3">
      <c r="D777"/>
    </row>
    <row r="778" spans="4:4" x14ac:dyDescent="0.3">
      <c r="D778"/>
    </row>
    <row r="779" spans="4:4" x14ac:dyDescent="0.3">
      <c r="D779"/>
    </row>
    <row r="780" spans="4:4" x14ac:dyDescent="0.3">
      <c r="D780"/>
    </row>
    <row r="781" spans="4:4" x14ac:dyDescent="0.3">
      <c r="D781"/>
    </row>
    <row r="782" spans="4:4" x14ac:dyDescent="0.3">
      <c r="D782"/>
    </row>
    <row r="783" spans="4:4" x14ac:dyDescent="0.3">
      <c r="D783"/>
    </row>
    <row r="784" spans="4:4" x14ac:dyDescent="0.3">
      <c r="D784"/>
    </row>
    <row r="785" spans="4:4" x14ac:dyDescent="0.3">
      <c r="D785"/>
    </row>
    <row r="786" spans="4:4" x14ac:dyDescent="0.3">
      <c r="D786"/>
    </row>
    <row r="787" spans="4:4" x14ac:dyDescent="0.3">
      <c r="D787"/>
    </row>
    <row r="788" spans="4:4" x14ac:dyDescent="0.3">
      <c r="D788"/>
    </row>
    <row r="789" spans="4:4" x14ac:dyDescent="0.3">
      <c r="D789"/>
    </row>
    <row r="790" spans="4:4" x14ac:dyDescent="0.3">
      <c r="D790"/>
    </row>
    <row r="791" spans="4:4" x14ac:dyDescent="0.3">
      <c r="D791"/>
    </row>
    <row r="792" spans="4:4" x14ac:dyDescent="0.3">
      <c r="D792"/>
    </row>
    <row r="793" spans="4:4" x14ac:dyDescent="0.3">
      <c r="D793"/>
    </row>
    <row r="794" spans="4:4" x14ac:dyDescent="0.3">
      <c r="D794"/>
    </row>
    <row r="795" spans="4:4" x14ac:dyDescent="0.3">
      <c r="D795"/>
    </row>
    <row r="796" spans="4:4" x14ac:dyDescent="0.3">
      <c r="D796"/>
    </row>
    <row r="797" spans="4:4" x14ac:dyDescent="0.3">
      <c r="D797"/>
    </row>
    <row r="798" spans="4:4" x14ac:dyDescent="0.3">
      <c r="D798"/>
    </row>
    <row r="799" spans="4:4" x14ac:dyDescent="0.3">
      <c r="D799"/>
    </row>
    <row r="800" spans="4:4" x14ac:dyDescent="0.3">
      <c r="D800"/>
    </row>
    <row r="801" spans="4:4" x14ac:dyDescent="0.3">
      <c r="D801"/>
    </row>
    <row r="802" spans="4:4" x14ac:dyDescent="0.3">
      <c r="D802"/>
    </row>
    <row r="803" spans="4:4" x14ac:dyDescent="0.3">
      <c r="D803"/>
    </row>
    <row r="804" spans="4:4" x14ac:dyDescent="0.3">
      <c r="D804"/>
    </row>
    <row r="805" spans="4:4" x14ac:dyDescent="0.3">
      <c r="D805"/>
    </row>
    <row r="806" spans="4:4" x14ac:dyDescent="0.3">
      <c r="D806"/>
    </row>
    <row r="807" spans="4:4" x14ac:dyDescent="0.3">
      <c r="D807"/>
    </row>
    <row r="808" spans="4:4" x14ac:dyDescent="0.3">
      <c r="D808"/>
    </row>
    <row r="809" spans="4:4" x14ac:dyDescent="0.3">
      <c r="D809"/>
    </row>
    <row r="810" spans="4:4" x14ac:dyDescent="0.3">
      <c r="D810"/>
    </row>
    <row r="811" spans="4:4" x14ac:dyDescent="0.3">
      <c r="D811"/>
    </row>
    <row r="812" spans="4:4" x14ac:dyDescent="0.3">
      <c r="D812"/>
    </row>
    <row r="813" spans="4:4" x14ac:dyDescent="0.3">
      <c r="D813"/>
    </row>
    <row r="814" spans="4:4" x14ac:dyDescent="0.3">
      <c r="D814"/>
    </row>
    <row r="815" spans="4:4" x14ac:dyDescent="0.3">
      <c r="D815"/>
    </row>
    <row r="816" spans="4:4" x14ac:dyDescent="0.3">
      <c r="D816"/>
    </row>
    <row r="817" spans="4:4" x14ac:dyDescent="0.3">
      <c r="D817"/>
    </row>
    <row r="818" spans="4:4" x14ac:dyDescent="0.3">
      <c r="D818"/>
    </row>
    <row r="819" spans="4:4" x14ac:dyDescent="0.3">
      <c r="D819"/>
    </row>
    <row r="820" spans="4:4" x14ac:dyDescent="0.3">
      <c r="D820"/>
    </row>
    <row r="821" spans="4:4" x14ac:dyDescent="0.3">
      <c r="D821"/>
    </row>
    <row r="822" spans="4:4" x14ac:dyDescent="0.3">
      <c r="D822"/>
    </row>
    <row r="823" spans="4:4" x14ac:dyDescent="0.3">
      <c r="D823"/>
    </row>
    <row r="824" spans="4:4" x14ac:dyDescent="0.3">
      <c r="D824"/>
    </row>
    <row r="825" spans="4:4" x14ac:dyDescent="0.3">
      <c r="D825"/>
    </row>
    <row r="826" spans="4:4" x14ac:dyDescent="0.3">
      <c r="D826"/>
    </row>
    <row r="827" spans="4:4" x14ac:dyDescent="0.3">
      <c r="D827"/>
    </row>
    <row r="828" spans="4:4" x14ac:dyDescent="0.3">
      <c r="D828"/>
    </row>
    <row r="829" spans="4:4" x14ac:dyDescent="0.3">
      <c r="D829"/>
    </row>
    <row r="830" spans="4:4" x14ac:dyDescent="0.3">
      <c r="D830"/>
    </row>
    <row r="831" spans="4:4" x14ac:dyDescent="0.3">
      <c r="D831"/>
    </row>
    <row r="832" spans="4:4" x14ac:dyDescent="0.3">
      <c r="D832"/>
    </row>
    <row r="833" spans="4:4" x14ac:dyDescent="0.3">
      <c r="D833"/>
    </row>
    <row r="834" spans="4:4" x14ac:dyDescent="0.3">
      <c r="D834"/>
    </row>
    <row r="835" spans="4:4" x14ac:dyDescent="0.3">
      <c r="D835"/>
    </row>
    <row r="836" spans="4:4" x14ac:dyDescent="0.3">
      <c r="D836"/>
    </row>
    <row r="837" spans="4:4" x14ac:dyDescent="0.3">
      <c r="D837"/>
    </row>
    <row r="838" spans="4:4" x14ac:dyDescent="0.3">
      <c r="D838"/>
    </row>
    <row r="839" spans="4:4" x14ac:dyDescent="0.3">
      <c r="D839"/>
    </row>
    <row r="840" spans="4:4" x14ac:dyDescent="0.3">
      <c r="D840"/>
    </row>
    <row r="841" spans="4:4" x14ac:dyDescent="0.3">
      <c r="D841"/>
    </row>
    <row r="842" spans="4:4" x14ac:dyDescent="0.3">
      <c r="D842"/>
    </row>
    <row r="843" spans="4:4" x14ac:dyDescent="0.3">
      <c r="D843"/>
    </row>
    <row r="844" spans="4:4" x14ac:dyDescent="0.3">
      <c r="D844"/>
    </row>
    <row r="845" spans="4:4" x14ac:dyDescent="0.3">
      <c r="D845"/>
    </row>
    <row r="846" spans="4:4" x14ac:dyDescent="0.3">
      <c r="D846"/>
    </row>
    <row r="847" spans="4:4" x14ac:dyDescent="0.3">
      <c r="D847"/>
    </row>
    <row r="848" spans="4:4" x14ac:dyDescent="0.3">
      <c r="D848"/>
    </row>
    <row r="849" spans="4:4" x14ac:dyDescent="0.3">
      <c r="D849"/>
    </row>
    <row r="850" spans="4:4" x14ac:dyDescent="0.3">
      <c r="D850"/>
    </row>
    <row r="851" spans="4:4" x14ac:dyDescent="0.3">
      <c r="D851"/>
    </row>
    <row r="852" spans="4:4" x14ac:dyDescent="0.3">
      <c r="D852"/>
    </row>
    <row r="853" spans="4:4" x14ac:dyDescent="0.3">
      <c r="D853"/>
    </row>
    <row r="854" spans="4:4" x14ac:dyDescent="0.3">
      <c r="D854"/>
    </row>
    <row r="855" spans="4:4" x14ac:dyDescent="0.3">
      <c r="D855"/>
    </row>
    <row r="856" spans="4:4" x14ac:dyDescent="0.3">
      <c r="D856"/>
    </row>
    <row r="857" spans="4:4" x14ac:dyDescent="0.3">
      <c r="D857"/>
    </row>
    <row r="858" spans="4:4" x14ac:dyDescent="0.3">
      <c r="D858"/>
    </row>
    <row r="859" spans="4:4" x14ac:dyDescent="0.3">
      <c r="D859"/>
    </row>
    <row r="860" spans="4:4" x14ac:dyDescent="0.3">
      <c r="D860"/>
    </row>
    <row r="861" spans="4:4" x14ac:dyDescent="0.3">
      <c r="D861"/>
    </row>
    <row r="862" spans="4:4" x14ac:dyDescent="0.3">
      <c r="D862"/>
    </row>
    <row r="863" spans="4:4" x14ac:dyDescent="0.3">
      <c r="D863"/>
    </row>
    <row r="864" spans="4:4" x14ac:dyDescent="0.3">
      <c r="D864"/>
    </row>
    <row r="865" spans="4:4" x14ac:dyDescent="0.3">
      <c r="D865"/>
    </row>
    <row r="866" spans="4:4" x14ac:dyDescent="0.3">
      <c r="D866"/>
    </row>
    <row r="867" spans="4:4" x14ac:dyDescent="0.3">
      <c r="D867"/>
    </row>
    <row r="868" spans="4:4" x14ac:dyDescent="0.3">
      <c r="D868"/>
    </row>
    <row r="869" spans="4:4" x14ac:dyDescent="0.3">
      <c r="D869"/>
    </row>
    <row r="870" spans="4:4" x14ac:dyDescent="0.3">
      <c r="D870"/>
    </row>
    <row r="871" spans="4:4" x14ac:dyDescent="0.3">
      <c r="D871"/>
    </row>
    <row r="872" spans="4:4" x14ac:dyDescent="0.3">
      <c r="D872"/>
    </row>
    <row r="873" spans="4:4" x14ac:dyDescent="0.3">
      <c r="D873"/>
    </row>
    <row r="874" spans="4:4" x14ac:dyDescent="0.3">
      <c r="D874"/>
    </row>
    <row r="875" spans="4:4" x14ac:dyDescent="0.3">
      <c r="D875"/>
    </row>
    <row r="876" spans="4:4" x14ac:dyDescent="0.3">
      <c r="D876"/>
    </row>
    <row r="877" spans="4:4" x14ac:dyDescent="0.3">
      <c r="D877"/>
    </row>
    <row r="878" spans="4:4" x14ac:dyDescent="0.3">
      <c r="D878"/>
    </row>
    <row r="879" spans="4:4" x14ac:dyDescent="0.3">
      <c r="D879"/>
    </row>
    <row r="880" spans="4:4" x14ac:dyDescent="0.3">
      <c r="D880"/>
    </row>
    <row r="881" spans="4:4" x14ac:dyDescent="0.3">
      <c r="D881"/>
    </row>
    <row r="882" spans="4:4" x14ac:dyDescent="0.3">
      <c r="D882"/>
    </row>
    <row r="883" spans="4:4" x14ac:dyDescent="0.3">
      <c r="D883"/>
    </row>
    <row r="884" spans="4:4" x14ac:dyDescent="0.3">
      <c r="D884"/>
    </row>
    <row r="885" spans="4:4" x14ac:dyDescent="0.3">
      <c r="D885"/>
    </row>
    <row r="886" spans="4:4" x14ac:dyDescent="0.3">
      <c r="D886"/>
    </row>
    <row r="887" spans="4:4" x14ac:dyDescent="0.3">
      <c r="D887"/>
    </row>
    <row r="888" spans="4:4" x14ac:dyDescent="0.3">
      <c r="D888"/>
    </row>
    <row r="889" spans="4:4" x14ac:dyDescent="0.3">
      <c r="D889"/>
    </row>
    <row r="890" spans="4:4" x14ac:dyDescent="0.3">
      <c r="D890"/>
    </row>
    <row r="891" spans="4:4" x14ac:dyDescent="0.3">
      <c r="D891"/>
    </row>
    <row r="892" spans="4:4" x14ac:dyDescent="0.3">
      <c r="D892"/>
    </row>
    <row r="893" spans="4:4" x14ac:dyDescent="0.3">
      <c r="D893"/>
    </row>
    <row r="894" spans="4:4" x14ac:dyDescent="0.3">
      <c r="D894"/>
    </row>
    <row r="895" spans="4:4" x14ac:dyDescent="0.3">
      <c r="D895"/>
    </row>
    <row r="896" spans="4:4" x14ac:dyDescent="0.3">
      <c r="D896"/>
    </row>
    <row r="897" spans="4:4" x14ac:dyDescent="0.3">
      <c r="D897"/>
    </row>
    <row r="898" spans="4:4" x14ac:dyDescent="0.3">
      <c r="D898"/>
    </row>
    <row r="899" spans="4:4" x14ac:dyDescent="0.3">
      <c r="D899"/>
    </row>
    <row r="900" spans="4:4" x14ac:dyDescent="0.3">
      <c r="D900"/>
    </row>
    <row r="901" spans="4:4" x14ac:dyDescent="0.3">
      <c r="D901"/>
    </row>
    <row r="902" spans="4:4" x14ac:dyDescent="0.3">
      <c r="D902"/>
    </row>
    <row r="903" spans="4:4" x14ac:dyDescent="0.3">
      <c r="D903"/>
    </row>
    <row r="904" spans="4:4" x14ac:dyDescent="0.3">
      <c r="D904"/>
    </row>
    <row r="905" spans="4:4" x14ac:dyDescent="0.3">
      <c r="D905"/>
    </row>
    <row r="906" spans="4:4" x14ac:dyDescent="0.3">
      <c r="D906"/>
    </row>
    <row r="907" spans="4:4" x14ac:dyDescent="0.3">
      <c r="D907"/>
    </row>
    <row r="908" spans="4:4" x14ac:dyDescent="0.3">
      <c r="D908"/>
    </row>
    <row r="909" spans="4:4" x14ac:dyDescent="0.3">
      <c r="D909"/>
    </row>
    <row r="910" spans="4:4" x14ac:dyDescent="0.3">
      <c r="D910"/>
    </row>
    <row r="911" spans="4:4" x14ac:dyDescent="0.3">
      <c r="D911"/>
    </row>
    <row r="912" spans="4:4" x14ac:dyDescent="0.3">
      <c r="D912"/>
    </row>
    <row r="913" spans="4:4" x14ac:dyDescent="0.3">
      <c r="D913"/>
    </row>
    <row r="914" spans="4:4" x14ac:dyDescent="0.3">
      <c r="D914"/>
    </row>
    <row r="915" spans="4:4" x14ac:dyDescent="0.3">
      <c r="D915"/>
    </row>
    <row r="916" spans="4:4" x14ac:dyDescent="0.3">
      <c r="D916"/>
    </row>
    <row r="917" spans="4:4" x14ac:dyDescent="0.3">
      <c r="D917"/>
    </row>
    <row r="918" spans="4:4" x14ac:dyDescent="0.3">
      <c r="D918"/>
    </row>
    <row r="919" spans="4:4" x14ac:dyDescent="0.3">
      <c r="D919"/>
    </row>
    <row r="920" spans="4:4" x14ac:dyDescent="0.3">
      <c r="D920"/>
    </row>
    <row r="921" spans="4:4" x14ac:dyDescent="0.3">
      <c r="D921"/>
    </row>
    <row r="922" spans="4:4" x14ac:dyDescent="0.3">
      <c r="D922"/>
    </row>
    <row r="923" spans="4:4" x14ac:dyDescent="0.3">
      <c r="D923"/>
    </row>
    <row r="924" spans="4:4" x14ac:dyDescent="0.3">
      <c r="D924"/>
    </row>
    <row r="925" spans="4:4" x14ac:dyDescent="0.3">
      <c r="D925"/>
    </row>
    <row r="926" spans="4:4" x14ac:dyDescent="0.3">
      <c r="D926"/>
    </row>
    <row r="927" spans="4:4" x14ac:dyDescent="0.3">
      <c r="D927"/>
    </row>
    <row r="928" spans="4:4" x14ac:dyDescent="0.3">
      <c r="D928"/>
    </row>
    <row r="929" spans="4:4" x14ac:dyDescent="0.3">
      <c r="D929"/>
    </row>
    <row r="930" spans="4:4" x14ac:dyDescent="0.3">
      <c r="D930"/>
    </row>
    <row r="931" spans="4:4" x14ac:dyDescent="0.3">
      <c r="D931"/>
    </row>
    <row r="932" spans="4:4" x14ac:dyDescent="0.3">
      <c r="D932"/>
    </row>
    <row r="933" spans="4:4" x14ac:dyDescent="0.3">
      <c r="D933"/>
    </row>
    <row r="934" spans="4:4" x14ac:dyDescent="0.3">
      <c r="D934"/>
    </row>
    <row r="935" spans="4:4" x14ac:dyDescent="0.3">
      <c r="D935"/>
    </row>
    <row r="936" spans="4:4" x14ac:dyDescent="0.3">
      <c r="D936"/>
    </row>
    <row r="937" spans="4:4" x14ac:dyDescent="0.3">
      <c r="D937"/>
    </row>
    <row r="938" spans="4:4" x14ac:dyDescent="0.3">
      <c r="D938"/>
    </row>
    <row r="939" spans="4:4" x14ac:dyDescent="0.3">
      <c r="D939"/>
    </row>
    <row r="940" spans="4:4" x14ac:dyDescent="0.3">
      <c r="D940"/>
    </row>
    <row r="941" spans="4:4" x14ac:dyDescent="0.3">
      <c r="D941"/>
    </row>
    <row r="942" spans="4:4" x14ac:dyDescent="0.3">
      <c r="D942"/>
    </row>
    <row r="943" spans="4:4" x14ac:dyDescent="0.3">
      <c r="D943"/>
    </row>
    <row r="944" spans="4:4" x14ac:dyDescent="0.3">
      <c r="D944"/>
    </row>
    <row r="945" spans="4:4" x14ac:dyDescent="0.3">
      <c r="D945"/>
    </row>
    <row r="946" spans="4:4" x14ac:dyDescent="0.3">
      <c r="D946"/>
    </row>
    <row r="947" spans="4:4" x14ac:dyDescent="0.3">
      <c r="D947"/>
    </row>
    <row r="948" spans="4:4" x14ac:dyDescent="0.3">
      <c r="D948"/>
    </row>
    <row r="949" spans="4:4" x14ac:dyDescent="0.3">
      <c r="D949"/>
    </row>
    <row r="950" spans="4:4" x14ac:dyDescent="0.3">
      <c r="D950"/>
    </row>
    <row r="951" spans="4:4" x14ac:dyDescent="0.3">
      <c r="D951"/>
    </row>
    <row r="952" spans="4:4" x14ac:dyDescent="0.3">
      <c r="D952"/>
    </row>
    <row r="953" spans="4:4" x14ac:dyDescent="0.3">
      <c r="D953"/>
    </row>
    <row r="954" spans="4:4" x14ac:dyDescent="0.3">
      <c r="D954"/>
    </row>
    <row r="955" spans="4:4" x14ac:dyDescent="0.3">
      <c r="D955"/>
    </row>
    <row r="956" spans="4:4" x14ac:dyDescent="0.3">
      <c r="D956"/>
    </row>
    <row r="957" spans="4:4" x14ac:dyDescent="0.3">
      <c r="D957"/>
    </row>
    <row r="958" spans="4:4" x14ac:dyDescent="0.3">
      <c r="D958"/>
    </row>
    <row r="959" spans="4:4" x14ac:dyDescent="0.3">
      <c r="D959"/>
    </row>
    <row r="960" spans="4:4" x14ac:dyDescent="0.3">
      <c r="D960"/>
    </row>
    <row r="961" spans="4:4" x14ac:dyDescent="0.3">
      <c r="D961"/>
    </row>
    <row r="962" spans="4:4" x14ac:dyDescent="0.3">
      <c r="D962"/>
    </row>
    <row r="963" spans="4:4" x14ac:dyDescent="0.3">
      <c r="D963"/>
    </row>
    <row r="964" spans="4:4" x14ac:dyDescent="0.3">
      <c r="D964"/>
    </row>
    <row r="965" spans="4:4" x14ac:dyDescent="0.3">
      <c r="D965"/>
    </row>
    <row r="966" spans="4:4" x14ac:dyDescent="0.3">
      <c r="D966"/>
    </row>
    <row r="967" spans="4:4" x14ac:dyDescent="0.3">
      <c r="D967"/>
    </row>
    <row r="968" spans="4:4" x14ac:dyDescent="0.3">
      <c r="D968"/>
    </row>
    <row r="969" spans="4:4" x14ac:dyDescent="0.3">
      <c r="D969"/>
    </row>
    <row r="970" spans="4:4" x14ac:dyDescent="0.3">
      <c r="D970"/>
    </row>
    <row r="971" spans="4:4" x14ac:dyDescent="0.3">
      <c r="D971"/>
    </row>
    <row r="972" spans="4:4" x14ac:dyDescent="0.3">
      <c r="D972"/>
    </row>
    <row r="973" spans="4:4" x14ac:dyDescent="0.3">
      <c r="D973"/>
    </row>
    <row r="974" spans="4:4" x14ac:dyDescent="0.3">
      <c r="D974"/>
    </row>
    <row r="975" spans="4:4" x14ac:dyDescent="0.3">
      <c r="D975"/>
    </row>
    <row r="976" spans="4:4" x14ac:dyDescent="0.3">
      <c r="D976"/>
    </row>
    <row r="977" spans="4:4" x14ac:dyDescent="0.3">
      <c r="D977"/>
    </row>
    <row r="978" spans="4:4" x14ac:dyDescent="0.3">
      <c r="D978"/>
    </row>
    <row r="979" spans="4:4" x14ac:dyDescent="0.3">
      <c r="D979"/>
    </row>
    <row r="980" spans="4:4" x14ac:dyDescent="0.3">
      <c r="D980"/>
    </row>
    <row r="981" spans="4:4" x14ac:dyDescent="0.3">
      <c r="D981"/>
    </row>
    <row r="982" spans="4:4" x14ac:dyDescent="0.3">
      <c r="D982"/>
    </row>
    <row r="983" spans="4:4" x14ac:dyDescent="0.3">
      <c r="D983"/>
    </row>
    <row r="984" spans="4:4" x14ac:dyDescent="0.3">
      <c r="D984"/>
    </row>
    <row r="985" spans="4:4" x14ac:dyDescent="0.3">
      <c r="D985"/>
    </row>
    <row r="986" spans="4:4" x14ac:dyDescent="0.3">
      <c r="D986"/>
    </row>
    <row r="987" spans="4:4" x14ac:dyDescent="0.3">
      <c r="D987"/>
    </row>
    <row r="988" spans="4:4" x14ac:dyDescent="0.3">
      <c r="D988"/>
    </row>
    <row r="989" spans="4:4" x14ac:dyDescent="0.3">
      <c r="D989"/>
    </row>
    <row r="990" spans="4:4" x14ac:dyDescent="0.3">
      <c r="D990"/>
    </row>
    <row r="991" spans="4:4" x14ac:dyDescent="0.3">
      <c r="D991"/>
    </row>
    <row r="992" spans="4:4" x14ac:dyDescent="0.3">
      <c r="D992"/>
    </row>
    <row r="993" spans="4:4" x14ac:dyDescent="0.3">
      <c r="D993"/>
    </row>
    <row r="994" spans="4:4" x14ac:dyDescent="0.3">
      <c r="D994"/>
    </row>
    <row r="995" spans="4:4" x14ac:dyDescent="0.3">
      <c r="D995"/>
    </row>
    <row r="996" spans="4:4" x14ac:dyDescent="0.3">
      <c r="D996"/>
    </row>
    <row r="997" spans="4:4" x14ac:dyDescent="0.3">
      <c r="D997"/>
    </row>
    <row r="998" spans="4:4" x14ac:dyDescent="0.3">
      <c r="D998"/>
    </row>
    <row r="999" spans="4:4" x14ac:dyDescent="0.3">
      <c r="D999"/>
    </row>
    <row r="1000" spans="4:4" x14ac:dyDescent="0.3">
      <c r="D1000"/>
    </row>
    <row r="1001" spans="4:4" x14ac:dyDescent="0.3">
      <c r="D1001"/>
    </row>
    <row r="1002" spans="4:4" x14ac:dyDescent="0.3">
      <c r="D1002"/>
    </row>
    <row r="1003" spans="4:4" x14ac:dyDescent="0.3">
      <c r="D1003"/>
    </row>
    <row r="1004" spans="4:4" x14ac:dyDescent="0.3">
      <c r="D1004"/>
    </row>
    <row r="1005" spans="4:4" x14ac:dyDescent="0.3">
      <c r="D1005"/>
    </row>
    <row r="1006" spans="4:4" x14ac:dyDescent="0.3">
      <c r="D1006"/>
    </row>
    <row r="1007" spans="4:4" x14ac:dyDescent="0.3">
      <c r="D1007"/>
    </row>
    <row r="1008" spans="4:4" x14ac:dyDescent="0.3">
      <c r="D1008"/>
    </row>
    <row r="1009" spans="4:4" x14ac:dyDescent="0.3">
      <c r="D1009"/>
    </row>
    <row r="1010" spans="4:4" x14ac:dyDescent="0.3">
      <c r="D1010"/>
    </row>
    <row r="1011" spans="4:4" x14ac:dyDescent="0.3">
      <c r="D1011"/>
    </row>
    <row r="1012" spans="4:4" x14ac:dyDescent="0.3">
      <c r="D1012"/>
    </row>
    <row r="1013" spans="4:4" x14ac:dyDescent="0.3">
      <c r="D1013"/>
    </row>
    <row r="1014" spans="4:4" x14ac:dyDescent="0.3">
      <c r="D1014"/>
    </row>
    <row r="1015" spans="4:4" x14ac:dyDescent="0.3">
      <c r="D1015"/>
    </row>
    <row r="1016" spans="4:4" x14ac:dyDescent="0.3">
      <c r="D1016"/>
    </row>
    <row r="1017" spans="4:4" x14ac:dyDescent="0.3">
      <c r="D1017"/>
    </row>
    <row r="1018" spans="4:4" x14ac:dyDescent="0.3">
      <c r="D1018"/>
    </row>
    <row r="1019" spans="4:4" x14ac:dyDescent="0.3">
      <c r="D1019"/>
    </row>
    <row r="1020" spans="4:4" x14ac:dyDescent="0.3">
      <c r="D1020"/>
    </row>
    <row r="1021" spans="4:4" x14ac:dyDescent="0.3">
      <c r="D1021"/>
    </row>
    <row r="1022" spans="4:4" x14ac:dyDescent="0.3">
      <c r="D1022"/>
    </row>
    <row r="1023" spans="4:4" x14ac:dyDescent="0.3">
      <c r="D1023"/>
    </row>
    <row r="1024" spans="4:4" x14ac:dyDescent="0.3">
      <c r="D1024"/>
    </row>
    <row r="1025" spans="4:4" x14ac:dyDescent="0.3">
      <c r="D1025"/>
    </row>
    <row r="1026" spans="4:4" x14ac:dyDescent="0.3">
      <c r="D1026"/>
    </row>
    <row r="1027" spans="4:4" x14ac:dyDescent="0.3">
      <c r="D1027"/>
    </row>
    <row r="1028" spans="4:4" x14ac:dyDescent="0.3">
      <c r="D1028"/>
    </row>
    <row r="1029" spans="4:4" x14ac:dyDescent="0.3">
      <c r="D1029"/>
    </row>
    <row r="1030" spans="4:4" x14ac:dyDescent="0.3">
      <c r="D1030"/>
    </row>
    <row r="1031" spans="4:4" x14ac:dyDescent="0.3">
      <c r="D1031"/>
    </row>
    <row r="1032" spans="4:4" x14ac:dyDescent="0.3">
      <c r="D1032"/>
    </row>
    <row r="1033" spans="4:4" x14ac:dyDescent="0.3">
      <c r="D1033"/>
    </row>
    <row r="1034" spans="4:4" x14ac:dyDescent="0.3">
      <c r="D1034"/>
    </row>
    <row r="1035" spans="4:4" x14ac:dyDescent="0.3">
      <c r="D1035"/>
    </row>
    <row r="1036" spans="4:4" x14ac:dyDescent="0.3">
      <c r="D1036"/>
    </row>
    <row r="1037" spans="4:4" x14ac:dyDescent="0.3">
      <c r="D1037"/>
    </row>
    <row r="1038" spans="4:4" x14ac:dyDescent="0.3">
      <c r="D1038"/>
    </row>
    <row r="1039" spans="4:4" x14ac:dyDescent="0.3">
      <c r="D1039"/>
    </row>
    <row r="1040" spans="4:4" x14ac:dyDescent="0.3">
      <c r="D1040"/>
    </row>
    <row r="1041" spans="4:4" x14ac:dyDescent="0.3">
      <c r="D1041"/>
    </row>
    <row r="1042" spans="4:4" x14ac:dyDescent="0.3">
      <c r="D1042"/>
    </row>
    <row r="1043" spans="4:4" x14ac:dyDescent="0.3">
      <c r="D1043"/>
    </row>
    <row r="1044" spans="4:4" x14ac:dyDescent="0.3">
      <c r="D1044"/>
    </row>
    <row r="1045" spans="4:4" x14ac:dyDescent="0.3">
      <c r="D1045"/>
    </row>
    <row r="1046" spans="4:4" x14ac:dyDescent="0.3">
      <c r="D1046"/>
    </row>
    <row r="1047" spans="4:4" x14ac:dyDescent="0.3">
      <c r="D1047"/>
    </row>
    <row r="1048" spans="4:4" x14ac:dyDescent="0.3">
      <c r="D1048"/>
    </row>
    <row r="1049" spans="4:4" x14ac:dyDescent="0.3">
      <c r="D1049"/>
    </row>
    <row r="1050" spans="4:4" x14ac:dyDescent="0.3">
      <c r="D1050"/>
    </row>
    <row r="1051" spans="4:4" x14ac:dyDescent="0.3">
      <c r="D1051"/>
    </row>
    <row r="1052" spans="4:4" x14ac:dyDescent="0.3">
      <c r="D1052"/>
    </row>
    <row r="1053" spans="4:4" x14ac:dyDescent="0.3">
      <c r="D1053"/>
    </row>
    <row r="1054" spans="4:4" x14ac:dyDescent="0.3">
      <c r="D1054"/>
    </row>
    <row r="1055" spans="4:4" x14ac:dyDescent="0.3">
      <c r="D1055"/>
    </row>
    <row r="1056" spans="4:4" x14ac:dyDescent="0.3">
      <c r="D1056"/>
    </row>
    <row r="1057" spans="4:4" x14ac:dyDescent="0.3">
      <c r="D1057"/>
    </row>
    <row r="1058" spans="4:4" x14ac:dyDescent="0.3">
      <c r="D1058"/>
    </row>
    <row r="1059" spans="4:4" x14ac:dyDescent="0.3">
      <c r="D1059"/>
    </row>
    <row r="1060" spans="4:4" x14ac:dyDescent="0.3">
      <c r="D1060"/>
    </row>
    <row r="1061" spans="4:4" x14ac:dyDescent="0.3">
      <c r="D1061"/>
    </row>
    <row r="1062" spans="4:4" x14ac:dyDescent="0.3">
      <c r="D1062"/>
    </row>
    <row r="1063" spans="4:4" x14ac:dyDescent="0.3">
      <c r="D1063"/>
    </row>
    <row r="1064" spans="4:4" x14ac:dyDescent="0.3">
      <c r="D1064"/>
    </row>
    <row r="1065" spans="4:4" x14ac:dyDescent="0.3">
      <c r="D1065"/>
    </row>
    <row r="1066" spans="4:4" x14ac:dyDescent="0.3">
      <c r="D1066"/>
    </row>
    <row r="1067" spans="4:4" x14ac:dyDescent="0.3">
      <c r="D1067"/>
    </row>
    <row r="1068" spans="4:4" x14ac:dyDescent="0.3">
      <c r="D1068"/>
    </row>
    <row r="1069" spans="4:4" x14ac:dyDescent="0.3">
      <c r="D1069"/>
    </row>
    <row r="1070" spans="4:4" x14ac:dyDescent="0.3">
      <c r="D1070"/>
    </row>
    <row r="1071" spans="4:4" x14ac:dyDescent="0.3">
      <c r="D1071"/>
    </row>
    <row r="1072" spans="4:4" x14ac:dyDescent="0.3">
      <c r="D1072"/>
    </row>
    <row r="1073" spans="4:4" x14ac:dyDescent="0.3">
      <c r="D1073"/>
    </row>
    <row r="1074" spans="4:4" x14ac:dyDescent="0.3">
      <c r="D1074"/>
    </row>
    <row r="1075" spans="4:4" x14ac:dyDescent="0.3">
      <c r="D1075"/>
    </row>
    <row r="1076" spans="4:4" x14ac:dyDescent="0.3">
      <c r="D1076"/>
    </row>
    <row r="1077" spans="4:4" x14ac:dyDescent="0.3">
      <c r="D1077"/>
    </row>
    <row r="1078" spans="4:4" x14ac:dyDescent="0.3">
      <c r="D1078"/>
    </row>
    <row r="1079" spans="4:4" x14ac:dyDescent="0.3">
      <c r="D1079"/>
    </row>
    <row r="1080" spans="4:4" x14ac:dyDescent="0.3">
      <c r="D1080"/>
    </row>
    <row r="1081" spans="4:4" x14ac:dyDescent="0.3">
      <c r="D1081"/>
    </row>
    <row r="1082" spans="4:4" x14ac:dyDescent="0.3">
      <c r="D1082"/>
    </row>
    <row r="1083" spans="4:4" x14ac:dyDescent="0.3">
      <c r="D1083"/>
    </row>
    <row r="1084" spans="4:4" x14ac:dyDescent="0.3">
      <c r="D1084"/>
    </row>
    <row r="1085" spans="4:4" x14ac:dyDescent="0.3">
      <c r="D1085"/>
    </row>
    <row r="1086" spans="4:4" x14ac:dyDescent="0.3">
      <c r="D1086"/>
    </row>
    <row r="1087" spans="4:4" x14ac:dyDescent="0.3">
      <c r="D1087"/>
    </row>
    <row r="1088" spans="4:4" x14ac:dyDescent="0.3">
      <c r="D1088"/>
    </row>
    <row r="1089" spans="4:4" x14ac:dyDescent="0.3">
      <c r="D1089"/>
    </row>
    <row r="1090" spans="4:4" x14ac:dyDescent="0.3">
      <c r="D1090"/>
    </row>
    <row r="1091" spans="4:4" x14ac:dyDescent="0.3">
      <c r="D1091"/>
    </row>
    <row r="1092" spans="4:4" x14ac:dyDescent="0.3">
      <c r="D1092"/>
    </row>
    <row r="1093" spans="4:4" x14ac:dyDescent="0.3">
      <c r="D1093"/>
    </row>
    <row r="1094" spans="4:4" x14ac:dyDescent="0.3">
      <c r="D1094"/>
    </row>
    <row r="1095" spans="4:4" x14ac:dyDescent="0.3">
      <c r="D1095"/>
    </row>
    <row r="1096" spans="4:4" x14ac:dyDescent="0.3">
      <c r="D1096"/>
    </row>
    <row r="1097" spans="4:4" x14ac:dyDescent="0.3">
      <c r="D1097"/>
    </row>
    <row r="1098" spans="4:4" x14ac:dyDescent="0.3">
      <c r="D1098"/>
    </row>
    <row r="1099" spans="4:4" x14ac:dyDescent="0.3">
      <c r="D1099"/>
    </row>
    <row r="1100" spans="4:4" x14ac:dyDescent="0.3">
      <c r="D1100"/>
    </row>
    <row r="1101" spans="4:4" x14ac:dyDescent="0.3">
      <c r="D1101"/>
    </row>
    <row r="1102" spans="4:4" x14ac:dyDescent="0.3">
      <c r="D1102"/>
    </row>
    <row r="1103" spans="4:4" x14ac:dyDescent="0.3">
      <c r="D1103"/>
    </row>
    <row r="1104" spans="4:4" x14ac:dyDescent="0.3">
      <c r="D1104"/>
    </row>
    <row r="1105" spans="4:4" x14ac:dyDescent="0.3">
      <c r="D1105"/>
    </row>
    <row r="1106" spans="4:4" x14ac:dyDescent="0.3">
      <c r="D1106"/>
    </row>
    <row r="1107" spans="4:4" x14ac:dyDescent="0.3">
      <c r="D1107"/>
    </row>
    <row r="1108" spans="4:4" x14ac:dyDescent="0.3">
      <c r="D1108"/>
    </row>
    <row r="1109" spans="4:4" x14ac:dyDescent="0.3">
      <c r="D1109"/>
    </row>
    <row r="1110" spans="4:4" x14ac:dyDescent="0.3">
      <c r="D1110"/>
    </row>
    <row r="1111" spans="4:4" x14ac:dyDescent="0.3">
      <c r="D1111"/>
    </row>
    <row r="1112" spans="4:4" x14ac:dyDescent="0.3">
      <c r="D1112"/>
    </row>
    <row r="1113" spans="4:4" x14ac:dyDescent="0.3">
      <c r="D1113"/>
    </row>
    <row r="1114" spans="4:4" x14ac:dyDescent="0.3">
      <c r="D1114"/>
    </row>
    <row r="1115" spans="4:4" x14ac:dyDescent="0.3">
      <c r="D1115"/>
    </row>
    <row r="1116" spans="4:4" x14ac:dyDescent="0.3">
      <c r="D1116"/>
    </row>
    <row r="1117" spans="4:4" x14ac:dyDescent="0.3">
      <c r="D1117"/>
    </row>
    <row r="1118" spans="4:4" x14ac:dyDescent="0.3">
      <c r="D1118"/>
    </row>
    <row r="1119" spans="4:4" x14ac:dyDescent="0.3">
      <c r="D1119"/>
    </row>
    <row r="1120" spans="4:4" x14ac:dyDescent="0.3">
      <c r="D1120"/>
    </row>
    <row r="1121" spans="4:4" x14ac:dyDescent="0.3">
      <c r="D1121"/>
    </row>
    <row r="1122" spans="4:4" x14ac:dyDescent="0.3">
      <c r="D1122"/>
    </row>
    <row r="1123" spans="4:4" x14ac:dyDescent="0.3">
      <c r="D1123"/>
    </row>
    <row r="1124" spans="4:4" x14ac:dyDescent="0.3">
      <c r="D1124"/>
    </row>
    <row r="1125" spans="4:4" x14ac:dyDescent="0.3">
      <c r="D1125"/>
    </row>
    <row r="1126" spans="4:4" x14ac:dyDescent="0.3">
      <c r="D1126"/>
    </row>
    <row r="1127" spans="4:4" x14ac:dyDescent="0.3">
      <c r="D1127"/>
    </row>
    <row r="1128" spans="4:4" x14ac:dyDescent="0.3">
      <c r="D1128"/>
    </row>
    <row r="1129" spans="4:4" x14ac:dyDescent="0.3">
      <c r="D1129"/>
    </row>
    <row r="1130" spans="4:4" x14ac:dyDescent="0.3">
      <c r="D1130"/>
    </row>
    <row r="1131" spans="4:4" x14ac:dyDescent="0.3">
      <c r="D1131"/>
    </row>
    <row r="1132" spans="4:4" x14ac:dyDescent="0.3">
      <c r="D1132"/>
    </row>
    <row r="1133" spans="4:4" x14ac:dyDescent="0.3">
      <c r="D1133"/>
    </row>
    <row r="1134" spans="4:4" x14ac:dyDescent="0.3">
      <c r="D1134"/>
    </row>
    <row r="1135" spans="4:4" x14ac:dyDescent="0.3">
      <c r="D1135"/>
    </row>
    <row r="1136" spans="4:4" x14ac:dyDescent="0.3">
      <c r="D1136"/>
    </row>
    <row r="1137" spans="4:4" x14ac:dyDescent="0.3">
      <c r="D1137"/>
    </row>
    <row r="1138" spans="4:4" x14ac:dyDescent="0.3">
      <c r="D1138"/>
    </row>
    <row r="1139" spans="4:4" x14ac:dyDescent="0.3">
      <c r="D1139"/>
    </row>
    <row r="1140" spans="4:4" x14ac:dyDescent="0.3">
      <c r="D1140"/>
    </row>
    <row r="1141" spans="4:4" x14ac:dyDescent="0.3">
      <c r="D1141"/>
    </row>
    <row r="1142" spans="4:4" x14ac:dyDescent="0.3">
      <c r="D1142"/>
    </row>
    <row r="1143" spans="4:4" x14ac:dyDescent="0.3">
      <c r="D1143"/>
    </row>
    <row r="1144" spans="4:4" x14ac:dyDescent="0.3">
      <c r="D1144"/>
    </row>
    <row r="1145" spans="4:4" x14ac:dyDescent="0.3">
      <c r="D1145"/>
    </row>
    <row r="1146" spans="4:4" x14ac:dyDescent="0.3">
      <c r="D1146"/>
    </row>
    <row r="1147" spans="4:4" x14ac:dyDescent="0.3">
      <c r="D1147"/>
    </row>
    <row r="1148" spans="4:4" x14ac:dyDescent="0.3">
      <c r="D1148"/>
    </row>
    <row r="1149" spans="4:4" x14ac:dyDescent="0.3">
      <c r="D1149"/>
    </row>
    <row r="1150" spans="4:4" x14ac:dyDescent="0.3">
      <c r="D1150"/>
    </row>
    <row r="1151" spans="4:4" x14ac:dyDescent="0.3">
      <c r="D1151"/>
    </row>
    <row r="1152" spans="4:4" x14ac:dyDescent="0.3">
      <c r="D1152"/>
    </row>
    <row r="1153" spans="4:4" x14ac:dyDescent="0.3">
      <c r="D1153"/>
    </row>
    <row r="1154" spans="4:4" x14ac:dyDescent="0.3">
      <c r="D1154"/>
    </row>
    <row r="1155" spans="4:4" x14ac:dyDescent="0.3">
      <c r="D1155"/>
    </row>
    <row r="1156" spans="4:4" x14ac:dyDescent="0.3">
      <c r="D1156"/>
    </row>
    <row r="1157" spans="4:4" x14ac:dyDescent="0.3">
      <c r="D1157"/>
    </row>
    <row r="1158" spans="4:4" x14ac:dyDescent="0.3">
      <c r="D1158"/>
    </row>
    <row r="1159" spans="4:4" x14ac:dyDescent="0.3">
      <c r="D1159"/>
    </row>
    <row r="1160" spans="4:4" x14ac:dyDescent="0.3">
      <c r="D1160"/>
    </row>
    <row r="1161" spans="4:4" x14ac:dyDescent="0.3">
      <c r="D1161"/>
    </row>
    <row r="1162" spans="4:4" x14ac:dyDescent="0.3">
      <c r="D1162"/>
    </row>
    <row r="1163" spans="4:4" x14ac:dyDescent="0.3">
      <c r="D1163"/>
    </row>
    <row r="1164" spans="4:4" x14ac:dyDescent="0.3">
      <c r="D1164"/>
    </row>
    <row r="1165" spans="4:4" x14ac:dyDescent="0.3">
      <c r="D1165"/>
    </row>
    <row r="1166" spans="4:4" x14ac:dyDescent="0.3">
      <c r="D1166"/>
    </row>
    <row r="1167" spans="4:4" x14ac:dyDescent="0.3">
      <c r="D1167"/>
    </row>
    <row r="1168" spans="4:4" x14ac:dyDescent="0.3">
      <c r="D1168"/>
    </row>
    <row r="1169" spans="4:4" x14ac:dyDescent="0.3">
      <c r="D1169"/>
    </row>
    <row r="1170" spans="4:4" x14ac:dyDescent="0.3">
      <c r="D1170"/>
    </row>
    <row r="1171" spans="4:4" x14ac:dyDescent="0.3">
      <c r="D1171"/>
    </row>
    <row r="1172" spans="4:4" x14ac:dyDescent="0.3">
      <c r="D1172"/>
    </row>
    <row r="1173" spans="4:4" x14ac:dyDescent="0.3">
      <c r="D1173"/>
    </row>
    <row r="1174" spans="4:4" x14ac:dyDescent="0.3">
      <c r="D1174"/>
    </row>
    <row r="1175" spans="4:4" x14ac:dyDescent="0.3">
      <c r="D1175"/>
    </row>
    <row r="1176" spans="4:4" x14ac:dyDescent="0.3">
      <c r="D1176"/>
    </row>
    <row r="1177" spans="4:4" x14ac:dyDescent="0.3">
      <c r="D1177"/>
    </row>
    <row r="1178" spans="4:4" x14ac:dyDescent="0.3">
      <c r="D1178"/>
    </row>
    <row r="1179" spans="4:4" x14ac:dyDescent="0.3">
      <c r="D1179"/>
    </row>
    <row r="1180" spans="4:4" x14ac:dyDescent="0.3">
      <c r="D1180"/>
    </row>
    <row r="1181" spans="4:4" x14ac:dyDescent="0.3">
      <c r="D1181"/>
    </row>
    <row r="1182" spans="4:4" x14ac:dyDescent="0.3">
      <c r="D1182"/>
    </row>
    <row r="1183" spans="4:4" x14ac:dyDescent="0.3">
      <c r="D1183"/>
    </row>
    <row r="1184" spans="4:4" x14ac:dyDescent="0.3">
      <c r="D1184"/>
    </row>
    <row r="1185" spans="4:4" x14ac:dyDescent="0.3">
      <c r="D1185"/>
    </row>
    <row r="1186" spans="4:4" x14ac:dyDescent="0.3">
      <c r="D1186"/>
    </row>
    <row r="1187" spans="4:4" x14ac:dyDescent="0.3">
      <c r="D1187"/>
    </row>
    <row r="1188" spans="4:4" x14ac:dyDescent="0.3">
      <c r="D1188"/>
    </row>
    <row r="1189" spans="4:4" x14ac:dyDescent="0.3">
      <c r="D1189"/>
    </row>
    <row r="1190" spans="4:4" x14ac:dyDescent="0.3">
      <c r="D1190"/>
    </row>
    <row r="1191" spans="4:4" x14ac:dyDescent="0.3">
      <c r="D1191"/>
    </row>
    <row r="1192" spans="4:4" x14ac:dyDescent="0.3">
      <c r="D1192"/>
    </row>
    <row r="1193" spans="4:4" x14ac:dyDescent="0.3">
      <c r="D1193"/>
    </row>
    <row r="1194" spans="4:4" x14ac:dyDescent="0.3">
      <c r="D1194"/>
    </row>
    <row r="1195" spans="4:4" x14ac:dyDescent="0.3">
      <c r="D1195"/>
    </row>
    <row r="1196" spans="4:4" x14ac:dyDescent="0.3">
      <c r="D1196"/>
    </row>
    <row r="1197" spans="4:4" x14ac:dyDescent="0.3">
      <c r="D1197"/>
    </row>
    <row r="1198" spans="4:4" x14ac:dyDescent="0.3">
      <c r="D1198"/>
    </row>
    <row r="1199" spans="4:4" x14ac:dyDescent="0.3">
      <c r="D1199"/>
    </row>
    <row r="1200" spans="4:4" x14ac:dyDescent="0.3">
      <c r="D1200"/>
    </row>
    <row r="1201" spans="4:4" x14ac:dyDescent="0.3">
      <c r="D1201"/>
    </row>
    <row r="1202" spans="4:4" x14ac:dyDescent="0.3">
      <c r="D1202"/>
    </row>
    <row r="1203" spans="4:4" x14ac:dyDescent="0.3">
      <c r="D1203"/>
    </row>
    <row r="1204" spans="4:4" x14ac:dyDescent="0.3">
      <c r="D1204"/>
    </row>
    <row r="1205" spans="4:4" x14ac:dyDescent="0.3">
      <c r="D1205"/>
    </row>
    <row r="1206" spans="4:4" x14ac:dyDescent="0.3">
      <c r="D1206"/>
    </row>
    <row r="1207" spans="4:4" x14ac:dyDescent="0.3">
      <c r="D1207"/>
    </row>
    <row r="1208" spans="4:4" x14ac:dyDescent="0.3">
      <c r="D1208"/>
    </row>
    <row r="1209" spans="4:4" x14ac:dyDescent="0.3">
      <c r="D1209"/>
    </row>
    <row r="1210" spans="4:4" x14ac:dyDescent="0.3">
      <c r="D1210"/>
    </row>
    <row r="1211" spans="4:4" x14ac:dyDescent="0.3">
      <c r="D1211"/>
    </row>
    <row r="1212" spans="4:4" x14ac:dyDescent="0.3">
      <c r="D1212"/>
    </row>
    <row r="1213" spans="4:4" x14ac:dyDescent="0.3">
      <c r="D1213"/>
    </row>
    <row r="1214" spans="4:4" x14ac:dyDescent="0.3">
      <c r="D1214"/>
    </row>
    <row r="1215" spans="4:4" x14ac:dyDescent="0.3">
      <c r="D1215"/>
    </row>
    <row r="1216" spans="4:4" x14ac:dyDescent="0.3">
      <c r="D1216"/>
    </row>
    <row r="1217" spans="4:4" x14ac:dyDescent="0.3">
      <c r="D1217"/>
    </row>
    <row r="1218" spans="4:4" x14ac:dyDescent="0.3">
      <c r="D1218"/>
    </row>
    <row r="1219" spans="4:4" x14ac:dyDescent="0.3">
      <c r="D1219"/>
    </row>
    <row r="1220" spans="4:4" x14ac:dyDescent="0.3">
      <c r="D1220"/>
    </row>
    <row r="1221" spans="4:4" x14ac:dyDescent="0.3">
      <c r="D1221"/>
    </row>
    <row r="1222" spans="4:4" x14ac:dyDescent="0.3">
      <c r="D1222"/>
    </row>
    <row r="1223" spans="4:4" x14ac:dyDescent="0.3">
      <c r="D1223"/>
    </row>
    <row r="1224" spans="4:4" x14ac:dyDescent="0.3">
      <c r="D1224"/>
    </row>
    <row r="1225" spans="4:4" x14ac:dyDescent="0.3">
      <c r="D1225"/>
    </row>
    <row r="1226" spans="4:4" x14ac:dyDescent="0.3">
      <c r="D1226"/>
    </row>
    <row r="1227" spans="4:4" x14ac:dyDescent="0.3">
      <c r="D1227"/>
    </row>
    <row r="1228" spans="4:4" x14ac:dyDescent="0.3">
      <c r="D1228"/>
    </row>
    <row r="1229" spans="4:4" x14ac:dyDescent="0.3">
      <c r="D1229"/>
    </row>
    <row r="1230" spans="4:4" x14ac:dyDescent="0.3">
      <c r="D1230"/>
    </row>
    <row r="1231" spans="4:4" x14ac:dyDescent="0.3">
      <c r="D1231"/>
    </row>
    <row r="1232" spans="4:4" x14ac:dyDescent="0.3">
      <c r="D1232"/>
    </row>
    <row r="1233" spans="4:4" x14ac:dyDescent="0.3">
      <c r="D1233"/>
    </row>
    <row r="1234" spans="4:4" x14ac:dyDescent="0.3">
      <c r="D1234"/>
    </row>
    <row r="1235" spans="4:4" x14ac:dyDescent="0.3">
      <c r="D1235"/>
    </row>
    <row r="1236" spans="4:4" x14ac:dyDescent="0.3">
      <c r="D1236"/>
    </row>
    <row r="1237" spans="4:4" x14ac:dyDescent="0.3">
      <c r="D1237"/>
    </row>
    <row r="1238" spans="4:4" x14ac:dyDescent="0.3">
      <c r="D1238"/>
    </row>
    <row r="1239" spans="4:4" x14ac:dyDescent="0.3">
      <c r="D1239"/>
    </row>
    <row r="1240" spans="4:4" x14ac:dyDescent="0.3">
      <c r="D1240"/>
    </row>
    <row r="1241" spans="4:4" x14ac:dyDescent="0.3">
      <c r="D1241"/>
    </row>
    <row r="1242" spans="4:4" x14ac:dyDescent="0.3">
      <c r="D1242"/>
    </row>
    <row r="1243" spans="4:4" x14ac:dyDescent="0.3">
      <c r="D1243"/>
    </row>
    <row r="1244" spans="4:4" x14ac:dyDescent="0.3">
      <c r="D1244"/>
    </row>
    <row r="1245" spans="4:4" x14ac:dyDescent="0.3">
      <c r="D1245"/>
    </row>
    <row r="1246" spans="4:4" x14ac:dyDescent="0.3">
      <c r="D1246"/>
    </row>
    <row r="1247" spans="4:4" x14ac:dyDescent="0.3">
      <c r="D1247"/>
    </row>
    <row r="1248" spans="4:4" x14ac:dyDescent="0.3">
      <c r="D1248"/>
    </row>
    <row r="1249" spans="4:4" x14ac:dyDescent="0.3">
      <c r="D1249"/>
    </row>
    <row r="1250" spans="4:4" x14ac:dyDescent="0.3">
      <c r="D1250"/>
    </row>
    <row r="1251" spans="4:4" x14ac:dyDescent="0.3">
      <c r="D1251"/>
    </row>
    <row r="1252" spans="4:4" x14ac:dyDescent="0.3">
      <c r="D1252"/>
    </row>
    <row r="1253" spans="4:4" x14ac:dyDescent="0.3">
      <c r="D1253"/>
    </row>
    <row r="1254" spans="4:4" x14ac:dyDescent="0.3">
      <c r="D1254"/>
    </row>
    <row r="1255" spans="4:4" x14ac:dyDescent="0.3">
      <c r="D1255"/>
    </row>
    <row r="1256" spans="4:4" x14ac:dyDescent="0.3">
      <c r="D1256"/>
    </row>
    <row r="1257" spans="4:4" x14ac:dyDescent="0.3">
      <c r="D1257"/>
    </row>
    <row r="1258" spans="4:4" x14ac:dyDescent="0.3">
      <c r="D1258"/>
    </row>
    <row r="1259" spans="4:4" x14ac:dyDescent="0.3">
      <c r="D1259"/>
    </row>
    <row r="1260" spans="4:4" x14ac:dyDescent="0.3">
      <c r="D1260"/>
    </row>
    <row r="1261" spans="4:4" x14ac:dyDescent="0.3">
      <c r="D1261"/>
    </row>
    <row r="1262" spans="4:4" x14ac:dyDescent="0.3">
      <c r="D1262"/>
    </row>
    <row r="1263" spans="4:4" x14ac:dyDescent="0.3">
      <c r="D1263"/>
    </row>
    <row r="1264" spans="4:4" x14ac:dyDescent="0.3">
      <c r="D1264"/>
    </row>
    <row r="1265" spans="4:4" x14ac:dyDescent="0.3">
      <c r="D1265"/>
    </row>
    <row r="1266" spans="4:4" x14ac:dyDescent="0.3">
      <c r="D1266"/>
    </row>
    <row r="1267" spans="4:4" x14ac:dyDescent="0.3">
      <c r="D1267"/>
    </row>
    <row r="1268" spans="4:4" x14ac:dyDescent="0.3">
      <c r="D1268"/>
    </row>
    <row r="1269" spans="4:4" x14ac:dyDescent="0.3">
      <c r="D1269"/>
    </row>
    <row r="1270" spans="4:4" x14ac:dyDescent="0.3">
      <c r="D1270"/>
    </row>
    <row r="1271" spans="4:4" x14ac:dyDescent="0.3">
      <c r="D1271"/>
    </row>
    <row r="1272" spans="4:4" x14ac:dyDescent="0.3">
      <c r="D1272"/>
    </row>
    <row r="1273" spans="4:4" x14ac:dyDescent="0.3">
      <c r="D1273"/>
    </row>
    <row r="1274" spans="4:4" x14ac:dyDescent="0.3">
      <c r="D1274"/>
    </row>
    <row r="1275" spans="4:4" x14ac:dyDescent="0.3">
      <c r="D1275"/>
    </row>
    <row r="1276" spans="4:4" x14ac:dyDescent="0.3">
      <c r="D1276"/>
    </row>
    <row r="1277" spans="4:4" x14ac:dyDescent="0.3">
      <c r="D1277"/>
    </row>
    <row r="1278" spans="4:4" x14ac:dyDescent="0.3">
      <c r="D1278"/>
    </row>
    <row r="1279" spans="4:4" x14ac:dyDescent="0.3">
      <c r="D1279"/>
    </row>
    <row r="1280" spans="4:4" x14ac:dyDescent="0.3">
      <c r="D1280"/>
    </row>
    <row r="1281" spans="4:4" x14ac:dyDescent="0.3">
      <c r="D1281"/>
    </row>
    <row r="1282" spans="4:4" x14ac:dyDescent="0.3">
      <c r="D1282"/>
    </row>
    <row r="1283" spans="4:4" x14ac:dyDescent="0.3">
      <c r="D1283"/>
    </row>
    <row r="1284" spans="4:4" x14ac:dyDescent="0.3">
      <c r="D1284"/>
    </row>
    <row r="1285" spans="4:4" x14ac:dyDescent="0.3">
      <c r="D1285"/>
    </row>
    <row r="1286" spans="4:4" x14ac:dyDescent="0.3">
      <c r="D1286"/>
    </row>
    <row r="1287" spans="4:4" x14ac:dyDescent="0.3">
      <c r="D1287"/>
    </row>
    <row r="1288" spans="4:4" x14ac:dyDescent="0.3">
      <c r="D1288"/>
    </row>
    <row r="1289" spans="4:4" x14ac:dyDescent="0.3">
      <c r="D1289"/>
    </row>
    <row r="1290" spans="4:4" x14ac:dyDescent="0.3">
      <c r="D1290"/>
    </row>
    <row r="1291" spans="4:4" x14ac:dyDescent="0.3">
      <c r="D1291"/>
    </row>
    <row r="1292" spans="4:4" x14ac:dyDescent="0.3">
      <c r="D1292"/>
    </row>
    <row r="1293" spans="4:4" x14ac:dyDescent="0.3">
      <c r="D1293"/>
    </row>
    <row r="1294" spans="4:4" x14ac:dyDescent="0.3">
      <c r="D1294"/>
    </row>
    <row r="1295" spans="4:4" x14ac:dyDescent="0.3">
      <c r="D1295"/>
    </row>
    <row r="1296" spans="4:4" x14ac:dyDescent="0.3">
      <c r="D1296"/>
    </row>
    <row r="1297" spans="4:4" x14ac:dyDescent="0.3">
      <c r="D1297"/>
    </row>
    <row r="1298" spans="4:4" x14ac:dyDescent="0.3">
      <c r="D1298"/>
    </row>
    <row r="1299" spans="4:4" x14ac:dyDescent="0.3">
      <c r="D1299"/>
    </row>
    <row r="1300" spans="4:4" x14ac:dyDescent="0.3">
      <c r="D1300"/>
    </row>
    <row r="1301" spans="4:4" x14ac:dyDescent="0.3">
      <c r="D1301"/>
    </row>
    <row r="1302" spans="4:4" x14ac:dyDescent="0.3">
      <c r="D1302"/>
    </row>
    <row r="1303" spans="4:4" x14ac:dyDescent="0.3">
      <c r="D1303"/>
    </row>
    <row r="1304" spans="4:4" x14ac:dyDescent="0.3">
      <c r="D1304"/>
    </row>
    <row r="1305" spans="4:4" x14ac:dyDescent="0.3">
      <c r="D1305"/>
    </row>
    <row r="1306" spans="4:4" x14ac:dyDescent="0.3">
      <c r="D1306"/>
    </row>
    <row r="1307" spans="4:4" x14ac:dyDescent="0.3">
      <c r="D1307"/>
    </row>
    <row r="1308" spans="4:4" x14ac:dyDescent="0.3">
      <c r="D1308"/>
    </row>
    <row r="1309" spans="4:4" x14ac:dyDescent="0.3">
      <c r="D1309"/>
    </row>
    <row r="1310" spans="4:4" x14ac:dyDescent="0.3">
      <c r="D1310"/>
    </row>
    <row r="1311" spans="4:4" x14ac:dyDescent="0.3">
      <c r="D1311"/>
    </row>
    <row r="1312" spans="4:4" x14ac:dyDescent="0.3">
      <c r="D1312"/>
    </row>
    <row r="1313" spans="4:4" x14ac:dyDescent="0.3">
      <c r="D1313"/>
    </row>
    <row r="1314" spans="4:4" x14ac:dyDescent="0.3">
      <c r="D1314"/>
    </row>
    <row r="1315" spans="4:4" x14ac:dyDescent="0.3">
      <c r="D1315"/>
    </row>
    <row r="1316" spans="4:4" x14ac:dyDescent="0.3">
      <c r="D1316"/>
    </row>
    <row r="1317" spans="4:4" x14ac:dyDescent="0.3">
      <c r="D1317"/>
    </row>
    <row r="1318" spans="4:4" x14ac:dyDescent="0.3">
      <c r="D1318"/>
    </row>
    <row r="1319" spans="4:4" x14ac:dyDescent="0.3">
      <c r="D1319"/>
    </row>
    <row r="1320" spans="4:4" x14ac:dyDescent="0.3">
      <c r="D1320"/>
    </row>
    <row r="1321" spans="4:4" x14ac:dyDescent="0.3">
      <c r="D1321"/>
    </row>
    <row r="1322" spans="4:4" x14ac:dyDescent="0.3">
      <c r="D1322"/>
    </row>
    <row r="1323" spans="4:4" x14ac:dyDescent="0.3">
      <c r="D1323"/>
    </row>
    <row r="1324" spans="4:4" x14ac:dyDescent="0.3">
      <c r="D1324"/>
    </row>
    <row r="1325" spans="4:4" x14ac:dyDescent="0.3">
      <c r="D1325"/>
    </row>
    <row r="1326" spans="4:4" x14ac:dyDescent="0.3">
      <c r="D1326"/>
    </row>
    <row r="1327" spans="4:4" x14ac:dyDescent="0.3">
      <c r="D1327"/>
    </row>
    <row r="1328" spans="4:4" x14ac:dyDescent="0.3">
      <c r="D1328"/>
    </row>
    <row r="1329" spans="4:4" x14ac:dyDescent="0.3">
      <c r="D1329"/>
    </row>
    <row r="1330" spans="4:4" x14ac:dyDescent="0.3">
      <c r="D1330"/>
    </row>
    <row r="1331" spans="4:4" x14ac:dyDescent="0.3">
      <c r="D1331"/>
    </row>
    <row r="1332" spans="4:4" x14ac:dyDescent="0.3">
      <c r="D1332"/>
    </row>
    <row r="1333" spans="4:4" x14ac:dyDescent="0.3">
      <c r="D1333"/>
    </row>
    <row r="1334" spans="4:4" x14ac:dyDescent="0.3">
      <c r="D1334"/>
    </row>
    <row r="1335" spans="4:4" x14ac:dyDescent="0.3">
      <c r="D1335"/>
    </row>
    <row r="1336" spans="4:4" x14ac:dyDescent="0.3">
      <c r="D1336"/>
    </row>
    <row r="1337" spans="4:4" x14ac:dyDescent="0.3">
      <c r="D1337"/>
    </row>
    <row r="1338" spans="4:4" x14ac:dyDescent="0.3">
      <c r="D1338"/>
    </row>
    <row r="1339" spans="4:4" x14ac:dyDescent="0.3">
      <c r="D1339"/>
    </row>
    <row r="1340" spans="4:4" x14ac:dyDescent="0.3">
      <c r="D1340"/>
    </row>
    <row r="1341" spans="4:4" x14ac:dyDescent="0.3">
      <c r="D1341"/>
    </row>
    <row r="1342" spans="4:4" x14ac:dyDescent="0.3">
      <c r="D1342"/>
    </row>
    <row r="1343" spans="4:4" x14ac:dyDescent="0.3">
      <c r="D1343"/>
    </row>
    <row r="1344" spans="4:4" x14ac:dyDescent="0.3">
      <c r="D1344"/>
    </row>
    <row r="1345" spans="4:4" x14ac:dyDescent="0.3">
      <c r="D1345"/>
    </row>
    <row r="1346" spans="4:4" x14ac:dyDescent="0.3">
      <c r="D1346"/>
    </row>
    <row r="1347" spans="4:4" x14ac:dyDescent="0.3">
      <c r="D1347"/>
    </row>
    <row r="1348" spans="4:4" x14ac:dyDescent="0.3">
      <c r="D1348"/>
    </row>
    <row r="1349" spans="4:4" x14ac:dyDescent="0.3">
      <c r="D1349"/>
    </row>
    <row r="1350" spans="4:4" x14ac:dyDescent="0.3">
      <c r="D1350"/>
    </row>
    <row r="1351" spans="4:4" x14ac:dyDescent="0.3">
      <c r="D1351"/>
    </row>
    <row r="1352" spans="4:4" x14ac:dyDescent="0.3">
      <c r="D1352"/>
    </row>
    <row r="1353" spans="4:4" x14ac:dyDescent="0.3">
      <c r="D1353"/>
    </row>
    <row r="1354" spans="4:4" x14ac:dyDescent="0.3">
      <c r="D1354"/>
    </row>
    <row r="1355" spans="4:4" x14ac:dyDescent="0.3">
      <c r="D1355"/>
    </row>
    <row r="1356" spans="4:4" x14ac:dyDescent="0.3">
      <c r="D1356"/>
    </row>
    <row r="1357" spans="4:4" x14ac:dyDescent="0.3">
      <c r="D1357"/>
    </row>
    <row r="1358" spans="4:4" x14ac:dyDescent="0.3">
      <c r="D1358"/>
    </row>
    <row r="1359" spans="4:4" x14ac:dyDescent="0.3">
      <c r="D1359"/>
    </row>
    <row r="1360" spans="4:4" x14ac:dyDescent="0.3">
      <c r="D1360"/>
    </row>
    <row r="1361" spans="4:4" x14ac:dyDescent="0.3">
      <c r="D1361"/>
    </row>
    <row r="1362" spans="4:4" x14ac:dyDescent="0.3">
      <c r="D1362"/>
    </row>
    <row r="1363" spans="4:4" x14ac:dyDescent="0.3">
      <c r="D1363"/>
    </row>
    <row r="1364" spans="4:4" x14ac:dyDescent="0.3">
      <c r="D1364"/>
    </row>
    <row r="1365" spans="4:4" x14ac:dyDescent="0.3">
      <c r="D1365"/>
    </row>
    <row r="1366" spans="4:4" x14ac:dyDescent="0.3">
      <c r="D1366"/>
    </row>
    <row r="1367" spans="4:4" x14ac:dyDescent="0.3">
      <c r="D1367"/>
    </row>
    <row r="1368" spans="4:4" x14ac:dyDescent="0.3">
      <c r="D1368"/>
    </row>
    <row r="1369" spans="4:4" x14ac:dyDescent="0.3">
      <c r="D1369"/>
    </row>
    <row r="1370" spans="4:4" x14ac:dyDescent="0.3">
      <c r="D1370"/>
    </row>
    <row r="1371" spans="4:4" x14ac:dyDescent="0.3">
      <c r="D1371"/>
    </row>
    <row r="1372" spans="4:4" x14ac:dyDescent="0.3">
      <c r="D1372"/>
    </row>
    <row r="1373" spans="4:4" x14ac:dyDescent="0.3">
      <c r="D1373"/>
    </row>
    <row r="1374" spans="4:4" x14ac:dyDescent="0.3">
      <c r="D1374"/>
    </row>
    <row r="1375" spans="4:4" x14ac:dyDescent="0.3">
      <c r="D1375"/>
    </row>
    <row r="1376" spans="4:4" x14ac:dyDescent="0.3">
      <c r="D1376"/>
    </row>
    <row r="1377" spans="4:4" x14ac:dyDescent="0.3">
      <c r="D1377"/>
    </row>
    <row r="1378" spans="4:4" x14ac:dyDescent="0.3">
      <c r="D1378"/>
    </row>
    <row r="1379" spans="4:4" x14ac:dyDescent="0.3">
      <c r="D1379"/>
    </row>
    <row r="1380" spans="4:4" x14ac:dyDescent="0.3">
      <c r="D1380"/>
    </row>
    <row r="1381" spans="4:4" x14ac:dyDescent="0.3">
      <c r="D1381"/>
    </row>
    <row r="1382" spans="4:4" x14ac:dyDescent="0.3">
      <c r="D1382"/>
    </row>
    <row r="1383" spans="4:4" x14ac:dyDescent="0.3">
      <c r="D1383"/>
    </row>
    <row r="1384" spans="4:4" x14ac:dyDescent="0.3">
      <c r="D1384"/>
    </row>
    <row r="1385" spans="4:4" x14ac:dyDescent="0.3">
      <c r="D1385"/>
    </row>
    <row r="1386" spans="4:4" x14ac:dyDescent="0.3">
      <c r="D1386"/>
    </row>
    <row r="1387" spans="4:4" x14ac:dyDescent="0.3">
      <c r="D1387"/>
    </row>
    <row r="1388" spans="4:4" x14ac:dyDescent="0.3">
      <c r="D1388"/>
    </row>
    <row r="1389" spans="4:4" x14ac:dyDescent="0.3">
      <c r="D1389"/>
    </row>
    <row r="1390" spans="4:4" x14ac:dyDescent="0.3">
      <c r="D1390"/>
    </row>
    <row r="1391" spans="4:4" x14ac:dyDescent="0.3">
      <c r="D1391"/>
    </row>
    <row r="1392" spans="4:4" x14ac:dyDescent="0.3">
      <c r="D1392"/>
    </row>
    <row r="1393" spans="4:4" x14ac:dyDescent="0.3">
      <c r="D1393"/>
    </row>
    <row r="1394" spans="4:4" x14ac:dyDescent="0.3">
      <c r="D1394"/>
    </row>
    <row r="1395" spans="4:4" x14ac:dyDescent="0.3">
      <c r="D1395"/>
    </row>
    <row r="1396" spans="4:4" x14ac:dyDescent="0.3">
      <c r="D1396"/>
    </row>
    <row r="1397" spans="4:4" x14ac:dyDescent="0.3">
      <c r="D1397"/>
    </row>
    <row r="1398" spans="4:4" x14ac:dyDescent="0.3">
      <c r="D1398"/>
    </row>
    <row r="1399" spans="4:4" x14ac:dyDescent="0.3">
      <c r="D1399"/>
    </row>
    <row r="1400" spans="4:4" x14ac:dyDescent="0.3">
      <c r="D1400"/>
    </row>
    <row r="1401" spans="4:4" x14ac:dyDescent="0.3">
      <c r="D1401"/>
    </row>
    <row r="1402" spans="4:4" x14ac:dyDescent="0.3">
      <c r="D1402"/>
    </row>
    <row r="1403" spans="4:4" x14ac:dyDescent="0.3">
      <c r="D1403"/>
    </row>
    <row r="1404" spans="4:4" x14ac:dyDescent="0.3">
      <c r="D1404"/>
    </row>
    <row r="1405" spans="4:4" x14ac:dyDescent="0.3">
      <c r="D1405"/>
    </row>
    <row r="1406" spans="4:4" x14ac:dyDescent="0.3">
      <c r="D1406"/>
    </row>
    <row r="1407" spans="4:4" x14ac:dyDescent="0.3">
      <c r="D1407"/>
    </row>
    <row r="1408" spans="4:4" x14ac:dyDescent="0.3">
      <c r="D1408"/>
    </row>
    <row r="1409" spans="4:4" x14ac:dyDescent="0.3">
      <c r="D1409"/>
    </row>
    <row r="1410" spans="4:4" x14ac:dyDescent="0.3">
      <c r="D1410"/>
    </row>
    <row r="1411" spans="4:4" x14ac:dyDescent="0.3">
      <c r="D1411"/>
    </row>
    <row r="1412" spans="4:4" x14ac:dyDescent="0.3">
      <c r="D1412"/>
    </row>
    <row r="1413" spans="4:4" x14ac:dyDescent="0.3">
      <c r="D1413"/>
    </row>
    <row r="1414" spans="4:4" x14ac:dyDescent="0.3">
      <c r="D1414"/>
    </row>
    <row r="1415" spans="4:4" x14ac:dyDescent="0.3">
      <c r="D1415"/>
    </row>
    <row r="1416" spans="4:4" x14ac:dyDescent="0.3">
      <c r="D1416"/>
    </row>
    <row r="1417" spans="4:4" x14ac:dyDescent="0.3">
      <c r="D1417"/>
    </row>
    <row r="1418" spans="4:4" x14ac:dyDescent="0.3">
      <c r="D1418"/>
    </row>
    <row r="1419" spans="4:4" x14ac:dyDescent="0.3">
      <c r="D1419"/>
    </row>
    <row r="1420" spans="4:4" x14ac:dyDescent="0.3">
      <c r="D1420"/>
    </row>
    <row r="1421" spans="4:4" x14ac:dyDescent="0.3">
      <c r="D1421"/>
    </row>
    <row r="1422" spans="4:4" x14ac:dyDescent="0.3">
      <c r="D1422"/>
    </row>
    <row r="1423" spans="4:4" x14ac:dyDescent="0.3">
      <c r="D1423"/>
    </row>
    <row r="1424" spans="4:4" x14ac:dyDescent="0.3">
      <c r="D1424"/>
    </row>
    <row r="1425" spans="4:4" x14ac:dyDescent="0.3">
      <c r="D1425"/>
    </row>
    <row r="1426" spans="4:4" x14ac:dyDescent="0.3">
      <c r="D1426"/>
    </row>
    <row r="1427" spans="4:4" x14ac:dyDescent="0.3">
      <c r="D1427"/>
    </row>
    <row r="1428" spans="4:4" x14ac:dyDescent="0.3">
      <c r="D1428"/>
    </row>
    <row r="1429" spans="4:4" x14ac:dyDescent="0.3">
      <c r="D1429"/>
    </row>
    <row r="1430" spans="4:4" x14ac:dyDescent="0.3">
      <c r="D1430"/>
    </row>
    <row r="1431" spans="4:4" x14ac:dyDescent="0.3">
      <c r="D1431"/>
    </row>
    <row r="1432" spans="4:4" x14ac:dyDescent="0.3">
      <c r="D1432"/>
    </row>
    <row r="1433" spans="4:4" x14ac:dyDescent="0.3">
      <c r="D1433"/>
    </row>
    <row r="1434" spans="4:4" x14ac:dyDescent="0.3">
      <c r="D1434"/>
    </row>
    <row r="1435" spans="4:4" x14ac:dyDescent="0.3">
      <c r="D1435"/>
    </row>
    <row r="1436" spans="4:4" x14ac:dyDescent="0.3">
      <c r="D1436"/>
    </row>
    <row r="1437" spans="4:4" x14ac:dyDescent="0.3">
      <c r="D1437"/>
    </row>
    <row r="1438" spans="4:4" x14ac:dyDescent="0.3">
      <c r="D1438"/>
    </row>
    <row r="1439" spans="4:4" x14ac:dyDescent="0.3">
      <c r="D1439"/>
    </row>
    <row r="1440" spans="4:4" x14ac:dyDescent="0.3">
      <c r="D1440"/>
    </row>
    <row r="1441" spans="4:4" x14ac:dyDescent="0.3">
      <c r="D1441"/>
    </row>
    <row r="1442" spans="4:4" x14ac:dyDescent="0.3">
      <c r="D1442"/>
    </row>
    <row r="1443" spans="4:4" x14ac:dyDescent="0.3">
      <c r="D1443"/>
    </row>
    <row r="1444" spans="4:4" x14ac:dyDescent="0.3">
      <c r="D1444"/>
    </row>
    <row r="1445" spans="4:4" x14ac:dyDescent="0.3">
      <c r="D1445"/>
    </row>
    <row r="1446" spans="4:4" x14ac:dyDescent="0.3">
      <c r="D1446"/>
    </row>
    <row r="1447" spans="4:4" x14ac:dyDescent="0.3">
      <c r="D1447"/>
    </row>
    <row r="1448" spans="4:4" x14ac:dyDescent="0.3">
      <c r="D1448"/>
    </row>
    <row r="1449" spans="4:4" x14ac:dyDescent="0.3">
      <c r="D1449"/>
    </row>
    <row r="1450" spans="4:4" x14ac:dyDescent="0.3">
      <c r="D1450"/>
    </row>
    <row r="1451" spans="4:4" x14ac:dyDescent="0.3">
      <c r="D1451"/>
    </row>
    <row r="1452" spans="4:4" x14ac:dyDescent="0.3">
      <c r="D1452"/>
    </row>
    <row r="1453" spans="4:4" x14ac:dyDescent="0.3">
      <c r="D1453"/>
    </row>
    <row r="1454" spans="4:4" x14ac:dyDescent="0.3">
      <c r="D1454"/>
    </row>
    <row r="1455" spans="4:4" x14ac:dyDescent="0.3">
      <c r="D1455"/>
    </row>
    <row r="1456" spans="4:4" x14ac:dyDescent="0.3">
      <c r="D1456"/>
    </row>
    <row r="1457" spans="4:4" x14ac:dyDescent="0.3">
      <c r="D1457"/>
    </row>
    <row r="1458" spans="4:4" x14ac:dyDescent="0.3">
      <c r="D1458"/>
    </row>
    <row r="1459" spans="4:4" x14ac:dyDescent="0.3">
      <c r="D1459"/>
    </row>
    <row r="1460" spans="4:4" x14ac:dyDescent="0.3">
      <c r="D1460"/>
    </row>
    <row r="1461" spans="4:4" x14ac:dyDescent="0.3">
      <c r="D1461"/>
    </row>
    <row r="1462" spans="4:4" x14ac:dyDescent="0.3">
      <c r="D1462"/>
    </row>
    <row r="1463" spans="4:4" x14ac:dyDescent="0.3">
      <c r="D1463"/>
    </row>
    <row r="1464" spans="4:4" x14ac:dyDescent="0.3">
      <c r="D1464"/>
    </row>
    <row r="1465" spans="4:4" x14ac:dyDescent="0.3">
      <c r="D1465"/>
    </row>
    <row r="1466" spans="4:4" x14ac:dyDescent="0.3">
      <c r="D1466"/>
    </row>
    <row r="1467" spans="4:4" x14ac:dyDescent="0.3">
      <c r="D1467"/>
    </row>
    <row r="1468" spans="4:4" x14ac:dyDescent="0.3">
      <c r="D1468"/>
    </row>
    <row r="1469" spans="4:4" x14ac:dyDescent="0.3">
      <c r="D1469"/>
    </row>
    <row r="1470" spans="4:4" x14ac:dyDescent="0.3">
      <c r="D1470"/>
    </row>
    <row r="1471" spans="4:4" x14ac:dyDescent="0.3">
      <c r="D1471"/>
    </row>
    <row r="1472" spans="4:4" x14ac:dyDescent="0.3">
      <c r="D1472"/>
    </row>
    <row r="1473" spans="4:4" x14ac:dyDescent="0.3">
      <c r="D1473"/>
    </row>
    <row r="1474" spans="4:4" x14ac:dyDescent="0.3">
      <c r="D1474"/>
    </row>
    <row r="1475" spans="4:4" x14ac:dyDescent="0.3">
      <c r="D1475"/>
    </row>
    <row r="1476" spans="4:4" x14ac:dyDescent="0.3">
      <c r="D1476"/>
    </row>
    <row r="1477" spans="4:4" x14ac:dyDescent="0.3">
      <c r="D1477"/>
    </row>
    <row r="1478" spans="4:4" x14ac:dyDescent="0.3">
      <c r="D1478"/>
    </row>
    <row r="1479" spans="4:4" x14ac:dyDescent="0.3">
      <c r="D1479"/>
    </row>
    <row r="1480" spans="4:4" x14ac:dyDescent="0.3">
      <c r="D1480"/>
    </row>
    <row r="1481" spans="4:4" x14ac:dyDescent="0.3">
      <c r="D1481"/>
    </row>
    <row r="1482" spans="4:4" x14ac:dyDescent="0.3">
      <c r="D1482"/>
    </row>
    <row r="1483" spans="4:4" x14ac:dyDescent="0.3">
      <c r="D1483"/>
    </row>
    <row r="1484" spans="4:4" x14ac:dyDescent="0.3">
      <c r="D1484"/>
    </row>
    <row r="1485" spans="4:4" x14ac:dyDescent="0.3">
      <c r="D1485"/>
    </row>
    <row r="1486" spans="4:4" x14ac:dyDescent="0.3">
      <c r="D1486"/>
    </row>
    <row r="1487" spans="4:4" x14ac:dyDescent="0.3">
      <c r="D1487"/>
    </row>
    <row r="1488" spans="4:4" x14ac:dyDescent="0.3">
      <c r="D1488"/>
    </row>
    <row r="1489" spans="4:4" x14ac:dyDescent="0.3">
      <c r="D1489"/>
    </row>
    <row r="1490" spans="4:4" x14ac:dyDescent="0.3">
      <c r="D1490"/>
    </row>
    <row r="1491" spans="4:4" x14ac:dyDescent="0.3">
      <c r="D1491"/>
    </row>
    <row r="1492" spans="4:4" x14ac:dyDescent="0.3">
      <c r="D1492"/>
    </row>
    <row r="1493" spans="4:4" x14ac:dyDescent="0.3">
      <c r="D1493"/>
    </row>
    <row r="1494" spans="4:4" x14ac:dyDescent="0.3">
      <c r="D1494"/>
    </row>
    <row r="1495" spans="4:4" x14ac:dyDescent="0.3">
      <c r="D1495"/>
    </row>
    <row r="1496" spans="4:4" x14ac:dyDescent="0.3">
      <c r="D1496"/>
    </row>
    <row r="1497" spans="4:4" x14ac:dyDescent="0.3">
      <c r="D1497"/>
    </row>
    <row r="1498" spans="4:4" x14ac:dyDescent="0.3">
      <c r="D1498"/>
    </row>
    <row r="1499" spans="4:4" x14ac:dyDescent="0.3">
      <c r="D1499"/>
    </row>
    <row r="1500" spans="4:4" x14ac:dyDescent="0.3">
      <c r="D1500"/>
    </row>
    <row r="1501" spans="4:4" x14ac:dyDescent="0.3">
      <c r="D1501"/>
    </row>
    <row r="1502" spans="4:4" x14ac:dyDescent="0.3">
      <c r="D1502"/>
    </row>
    <row r="1503" spans="4:4" x14ac:dyDescent="0.3">
      <c r="D1503"/>
    </row>
    <row r="1504" spans="4:4" x14ac:dyDescent="0.3">
      <c r="D1504"/>
    </row>
    <row r="1505" spans="4:4" x14ac:dyDescent="0.3">
      <c r="D1505"/>
    </row>
    <row r="1506" spans="4:4" x14ac:dyDescent="0.3">
      <c r="D1506"/>
    </row>
    <row r="1507" spans="4:4" x14ac:dyDescent="0.3">
      <c r="D1507"/>
    </row>
    <row r="1508" spans="4:4" x14ac:dyDescent="0.3">
      <c r="D1508"/>
    </row>
    <row r="1509" spans="4:4" x14ac:dyDescent="0.3">
      <c r="D1509"/>
    </row>
    <row r="1510" spans="4:4" x14ac:dyDescent="0.3">
      <c r="D1510"/>
    </row>
    <row r="1511" spans="4:4" x14ac:dyDescent="0.3">
      <c r="D1511"/>
    </row>
    <row r="1512" spans="4:4" x14ac:dyDescent="0.3">
      <c r="D1512"/>
    </row>
    <row r="1513" spans="4:4" x14ac:dyDescent="0.3">
      <c r="D1513"/>
    </row>
    <row r="1514" spans="4:4" x14ac:dyDescent="0.3">
      <c r="D1514"/>
    </row>
    <row r="1515" spans="4:4" x14ac:dyDescent="0.3">
      <c r="D1515"/>
    </row>
    <row r="1516" spans="4:4" x14ac:dyDescent="0.3">
      <c r="D1516"/>
    </row>
    <row r="1517" spans="4:4" x14ac:dyDescent="0.3">
      <c r="D1517"/>
    </row>
    <row r="1518" spans="4:4" x14ac:dyDescent="0.3">
      <c r="D1518"/>
    </row>
    <row r="1519" spans="4:4" x14ac:dyDescent="0.3">
      <c r="D1519"/>
    </row>
    <row r="1520" spans="4:4" x14ac:dyDescent="0.3">
      <c r="D1520"/>
    </row>
    <row r="1521" spans="4:4" x14ac:dyDescent="0.3">
      <c r="D1521"/>
    </row>
    <row r="1522" spans="4:4" x14ac:dyDescent="0.3">
      <c r="D1522"/>
    </row>
    <row r="1523" spans="4:4" x14ac:dyDescent="0.3">
      <c r="D1523"/>
    </row>
    <row r="1524" spans="4:4" x14ac:dyDescent="0.3">
      <c r="D1524"/>
    </row>
    <row r="1525" spans="4:4" x14ac:dyDescent="0.3">
      <c r="D1525"/>
    </row>
    <row r="1526" spans="4:4" x14ac:dyDescent="0.3">
      <c r="D1526"/>
    </row>
    <row r="1527" spans="4:4" x14ac:dyDescent="0.3">
      <c r="D1527"/>
    </row>
    <row r="1528" spans="4:4" x14ac:dyDescent="0.3">
      <c r="D1528"/>
    </row>
    <row r="1529" spans="4:4" x14ac:dyDescent="0.3">
      <c r="D1529"/>
    </row>
    <row r="1530" spans="4:4" x14ac:dyDescent="0.3">
      <c r="D1530"/>
    </row>
    <row r="1531" spans="4:4" x14ac:dyDescent="0.3">
      <c r="D1531"/>
    </row>
    <row r="1532" spans="4:4" x14ac:dyDescent="0.3">
      <c r="D1532"/>
    </row>
    <row r="1533" spans="4:4" x14ac:dyDescent="0.3">
      <c r="D1533"/>
    </row>
    <row r="1534" spans="4:4" x14ac:dyDescent="0.3">
      <c r="D1534"/>
    </row>
    <row r="1535" spans="4:4" x14ac:dyDescent="0.3">
      <c r="D1535"/>
    </row>
    <row r="1536" spans="4:4" x14ac:dyDescent="0.3">
      <c r="D1536"/>
    </row>
    <row r="1537" spans="4:4" x14ac:dyDescent="0.3">
      <c r="D1537"/>
    </row>
    <row r="1538" spans="4:4" x14ac:dyDescent="0.3">
      <c r="D1538"/>
    </row>
    <row r="1539" spans="4:4" x14ac:dyDescent="0.3">
      <c r="D1539"/>
    </row>
    <row r="1540" spans="4:4" x14ac:dyDescent="0.3">
      <c r="D1540"/>
    </row>
    <row r="1541" spans="4:4" x14ac:dyDescent="0.3">
      <c r="D1541"/>
    </row>
    <row r="1542" spans="4:4" x14ac:dyDescent="0.3">
      <c r="D1542"/>
    </row>
    <row r="1543" spans="4:4" x14ac:dyDescent="0.3">
      <c r="D1543"/>
    </row>
    <row r="1544" spans="4:4" x14ac:dyDescent="0.3">
      <c r="D1544"/>
    </row>
    <row r="1545" spans="4:4" x14ac:dyDescent="0.3">
      <c r="D1545"/>
    </row>
    <row r="1546" spans="4:4" x14ac:dyDescent="0.3">
      <c r="D1546"/>
    </row>
    <row r="1547" spans="4:4" x14ac:dyDescent="0.3">
      <c r="D1547"/>
    </row>
    <row r="1548" spans="4:4" x14ac:dyDescent="0.3">
      <c r="D1548"/>
    </row>
    <row r="1549" spans="4:4" x14ac:dyDescent="0.3">
      <c r="D1549"/>
    </row>
    <row r="1550" spans="4:4" x14ac:dyDescent="0.3">
      <c r="D1550"/>
    </row>
    <row r="1551" spans="4:4" x14ac:dyDescent="0.3">
      <c r="D1551"/>
    </row>
    <row r="1552" spans="4:4" x14ac:dyDescent="0.3">
      <c r="D1552"/>
    </row>
    <row r="1553" spans="4:4" x14ac:dyDescent="0.3">
      <c r="D1553"/>
    </row>
    <row r="1554" spans="4:4" x14ac:dyDescent="0.3">
      <c r="D1554"/>
    </row>
    <row r="1555" spans="4:4" x14ac:dyDescent="0.3">
      <c r="D1555"/>
    </row>
    <row r="1556" spans="4:4" x14ac:dyDescent="0.3">
      <c r="D1556"/>
    </row>
    <row r="1557" spans="4:4" x14ac:dyDescent="0.3">
      <c r="D1557"/>
    </row>
    <row r="1558" spans="4:4" x14ac:dyDescent="0.3">
      <c r="D1558"/>
    </row>
    <row r="1559" spans="4:4" x14ac:dyDescent="0.3">
      <c r="D1559"/>
    </row>
    <row r="1560" spans="4:4" x14ac:dyDescent="0.3">
      <c r="D1560"/>
    </row>
    <row r="1561" spans="4:4" x14ac:dyDescent="0.3">
      <c r="D1561"/>
    </row>
    <row r="1562" spans="4:4" x14ac:dyDescent="0.3">
      <c r="D1562"/>
    </row>
    <row r="1563" spans="4:4" x14ac:dyDescent="0.3">
      <c r="D1563"/>
    </row>
    <row r="1564" spans="4:4" x14ac:dyDescent="0.3">
      <c r="D1564"/>
    </row>
    <row r="1565" spans="4:4" x14ac:dyDescent="0.3">
      <c r="D1565"/>
    </row>
    <row r="1566" spans="4:4" x14ac:dyDescent="0.3">
      <c r="D1566"/>
    </row>
    <row r="1567" spans="4:4" x14ac:dyDescent="0.3">
      <c r="D1567"/>
    </row>
    <row r="1568" spans="4:4" x14ac:dyDescent="0.3">
      <c r="D1568"/>
    </row>
    <row r="1569" spans="4:4" x14ac:dyDescent="0.3">
      <c r="D1569"/>
    </row>
    <row r="1570" spans="4:4" x14ac:dyDescent="0.3">
      <c r="D1570"/>
    </row>
    <row r="1571" spans="4:4" x14ac:dyDescent="0.3">
      <c r="D1571"/>
    </row>
    <row r="1572" spans="4:4" x14ac:dyDescent="0.3">
      <c r="D1572"/>
    </row>
    <row r="1573" spans="4:4" x14ac:dyDescent="0.3">
      <c r="D1573"/>
    </row>
    <row r="1574" spans="4:4" x14ac:dyDescent="0.3">
      <c r="D1574"/>
    </row>
    <row r="1575" spans="4:4" x14ac:dyDescent="0.3">
      <c r="D1575"/>
    </row>
    <row r="1576" spans="4:4" x14ac:dyDescent="0.3">
      <c r="D1576"/>
    </row>
    <row r="1577" spans="4:4" x14ac:dyDescent="0.3">
      <c r="D1577"/>
    </row>
    <row r="1578" spans="4:4" x14ac:dyDescent="0.3">
      <c r="D1578"/>
    </row>
    <row r="1579" spans="4:4" x14ac:dyDescent="0.3">
      <c r="D1579"/>
    </row>
    <row r="1580" spans="4:4" x14ac:dyDescent="0.3">
      <c r="D1580"/>
    </row>
    <row r="1581" spans="4:4" x14ac:dyDescent="0.3">
      <c r="D1581"/>
    </row>
    <row r="1582" spans="4:4" x14ac:dyDescent="0.3">
      <c r="D1582"/>
    </row>
    <row r="1583" spans="4:4" x14ac:dyDescent="0.3">
      <c r="D1583"/>
    </row>
    <row r="1584" spans="4:4" x14ac:dyDescent="0.3">
      <c r="D1584"/>
    </row>
    <row r="1585" spans="4:4" x14ac:dyDescent="0.3">
      <c r="D1585"/>
    </row>
    <row r="1586" spans="4:4" x14ac:dyDescent="0.3">
      <c r="D1586"/>
    </row>
    <row r="1587" spans="4:4" x14ac:dyDescent="0.3">
      <c r="D1587"/>
    </row>
    <row r="1588" spans="4:4" x14ac:dyDescent="0.3">
      <c r="D1588"/>
    </row>
    <row r="1589" spans="4:4" x14ac:dyDescent="0.3">
      <c r="D1589"/>
    </row>
    <row r="1590" spans="4:4" x14ac:dyDescent="0.3">
      <c r="D1590"/>
    </row>
    <row r="1591" spans="4:4" x14ac:dyDescent="0.3">
      <c r="D1591"/>
    </row>
    <row r="1592" spans="4:4" x14ac:dyDescent="0.3">
      <c r="D1592"/>
    </row>
    <row r="1593" spans="4:4" x14ac:dyDescent="0.3">
      <c r="D1593"/>
    </row>
    <row r="1594" spans="4:4" x14ac:dyDescent="0.3">
      <c r="D1594"/>
    </row>
    <row r="1595" spans="4:4" x14ac:dyDescent="0.3">
      <c r="D1595"/>
    </row>
    <row r="1596" spans="4:4" x14ac:dyDescent="0.3">
      <c r="D1596"/>
    </row>
    <row r="1597" spans="4:4" x14ac:dyDescent="0.3">
      <c r="D1597"/>
    </row>
    <row r="1598" spans="4:4" x14ac:dyDescent="0.3">
      <c r="D1598"/>
    </row>
    <row r="1599" spans="4:4" x14ac:dyDescent="0.3">
      <c r="D1599"/>
    </row>
    <row r="1600" spans="4:4" x14ac:dyDescent="0.3">
      <c r="D1600"/>
    </row>
    <row r="1601" spans="4:4" x14ac:dyDescent="0.3">
      <c r="D1601"/>
    </row>
    <row r="1602" spans="4:4" x14ac:dyDescent="0.3">
      <c r="D1602"/>
    </row>
    <row r="1603" spans="4:4" x14ac:dyDescent="0.3">
      <c r="D1603"/>
    </row>
    <row r="1604" spans="4:4" x14ac:dyDescent="0.3">
      <c r="D1604"/>
    </row>
    <row r="1605" spans="4:4" x14ac:dyDescent="0.3">
      <c r="D1605"/>
    </row>
    <row r="1606" spans="4:4" x14ac:dyDescent="0.3">
      <c r="D1606"/>
    </row>
    <row r="1607" spans="4:4" x14ac:dyDescent="0.3">
      <c r="D1607"/>
    </row>
    <row r="1608" spans="4:4" x14ac:dyDescent="0.3">
      <c r="D1608"/>
    </row>
    <row r="1609" spans="4:4" x14ac:dyDescent="0.3">
      <c r="D1609"/>
    </row>
    <row r="1610" spans="4:4" x14ac:dyDescent="0.3">
      <c r="D1610"/>
    </row>
    <row r="1611" spans="4:4" x14ac:dyDescent="0.3">
      <c r="D1611"/>
    </row>
    <row r="1612" spans="4:4" x14ac:dyDescent="0.3">
      <c r="D1612"/>
    </row>
    <row r="1613" spans="4:4" x14ac:dyDescent="0.3">
      <c r="D1613"/>
    </row>
    <row r="1614" spans="4:4" x14ac:dyDescent="0.3">
      <c r="D1614"/>
    </row>
    <row r="1615" spans="4:4" x14ac:dyDescent="0.3">
      <c r="D1615"/>
    </row>
    <row r="1616" spans="4:4" x14ac:dyDescent="0.3">
      <c r="D1616"/>
    </row>
    <row r="1617" spans="4:4" x14ac:dyDescent="0.3">
      <c r="D1617"/>
    </row>
    <row r="1618" spans="4:4" x14ac:dyDescent="0.3">
      <c r="D1618"/>
    </row>
    <row r="1619" spans="4:4" x14ac:dyDescent="0.3">
      <c r="D1619"/>
    </row>
    <row r="1620" spans="4:4" x14ac:dyDescent="0.3">
      <c r="D1620"/>
    </row>
    <row r="1621" spans="4:4" x14ac:dyDescent="0.3">
      <c r="D1621"/>
    </row>
    <row r="1622" spans="4:4" x14ac:dyDescent="0.3">
      <c r="D1622"/>
    </row>
    <row r="1623" spans="4:4" x14ac:dyDescent="0.3">
      <c r="D1623"/>
    </row>
    <row r="1624" spans="4:4" x14ac:dyDescent="0.3">
      <c r="D1624"/>
    </row>
    <row r="1625" spans="4:4" x14ac:dyDescent="0.3">
      <c r="D1625"/>
    </row>
    <row r="1626" spans="4:4" x14ac:dyDescent="0.3">
      <c r="D1626"/>
    </row>
    <row r="1627" spans="4:4" x14ac:dyDescent="0.3">
      <c r="D1627"/>
    </row>
    <row r="1628" spans="4:4" x14ac:dyDescent="0.3">
      <c r="D1628"/>
    </row>
    <row r="1629" spans="4:4" x14ac:dyDescent="0.3">
      <c r="D1629"/>
    </row>
    <row r="1630" spans="4:4" x14ac:dyDescent="0.3">
      <c r="D1630"/>
    </row>
    <row r="1631" spans="4:4" x14ac:dyDescent="0.3">
      <c r="D1631"/>
    </row>
    <row r="1632" spans="4:4" x14ac:dyDescent="0.3">
      <c r="D1632"/>
    </row>
    <row r="1633" spans="4:4" x14ac:dyDescent="0.3">
      <c r="D1633"/>
    </row>
    <row r="1634" spans="4:4" x14ac:dyDescent="0.3">
      <c r="D1634"/>
    </row>
    <row r="1635" spans="4:4" x14ac:dyDescent="0.3">
      <c r="D1635"/>
    </row>
    <row r="1636" spans="4:4" x14ac:dyDescent="0.3">
      <c r="D1636"/>
    </row>
    <row r="1637" spans="4:4" x14ac:dyDescent="0.3">
      <c r="D1637"/>
    </row>
    <row r="1638" spans="4:4" x14ac:dyDescent="0.3">
      <c r="D1638"/>
    </row>
    <row r="1639" spans="4:4" x14ac:dyDescent="0.3">
      <c r="D1639"/>
    </row>
    <row r="1640" spans="4:4" x14ac:dyDescent="0.3">
      <c r="D1640"/>
    </row>
    <row r="1641" spans="4:4" x14ac:dyDescent="0.3">
      <c r="D1641"/>
    </row>
    <row r="1642" spans="4:4" x14ac:dyDescent="0.3">
      <c r="D1642"/>
    </row>
    <row r="1643" spans="4:4" x14ac:dyDescent="0.3">
      <c r="D1643"/>
    </row>
    <row r="1644" spans="4:4" x14ac:dyDescent="0.3">
      <c r="D1644"/>
    </row>
    <row r="1645" spans="4:4" x14ac:dyDescent="0.3">
      <c r="D1645"/>
    </row>
    <row r="1646" spans="4:4" x14ac:dyDescent="0.3">
      <c r="D1646"/>
    </row>
    <row r="1647" spans="4:4" x14ac:dyDescent="0.3">
      <c r="D1647"/>
    </row>
    <row r="1648" spans="4:4" x14ac:dyDescent="0.3">
      <c r="D1648"/>
    </row>
    <row r="1649" spans="4:4" x14ac:dyDescent="0.3">
      <c r="D1649"/>
    </row>
    <row r="1650" spans="4:4" x14ac:dyDescent="0.3">
      <c r="D1650"/>
    </row>
    <row r="1651" spans="4:4" x14ac:dyDescent="0.3">
      <c r="D1651"/>
    </row>
    <row r="1652" spans="4:4" x14ac:dyDescent="0.3">
      <c r="D1652"/>
    </row>
    <row r="1653" spans="4:4" x14ac:dyDescent="0.3">
      <c r="D1653"/>
    </row>
    <row r="1654" spans="4:4" x14ac:dyDescent="0.3">
      <c r="D1654"/>
    </row>
    <row r="1655" spans="4:4" x14ac:dyDescent="0.3">
      <c r="D1655"/>
    </row>
    <row r="1656" spans="4:4" x14ac:dyDescent="0.3">
      <c r="D1656"/>
    </row>
    <row r="1657" spans="4:4" x14ac:dyDescent="0.3">
      <c r="D1657"/>
    </row>
    <row r="1658" spans="4:4" x14ac:dyDescent="0.3">
      <c r="D1658"/>
    </row>
    <row r="1659" spans="4:4" x14ac:dyDescent="0.3">
      <c r="D1659"/>
    </row>
    <row r="1660" spans="4:4" x14ac:dyDescent="0.3">
      <c r="D1660"/>
    </row>
    <row r="1661" spans="4:4" x14ac:dyDescent="0.3">
      <c r="D1661"/>
    </row>
    <row r="1662" spans="4:4" x14ac:dyDescent="0.3">
      <c r="D1662"/>
    </row>
    <row r="1663" spans="4:4" x14ac:dyDescent="0.3">
      <c r="D1663"/>
    </row>
    <row r="1664" spans="4:4" x14ac:dyDescent="0.3">
      <c r="D1664"/>
    </row>
    <row r="1665" spans="4:4" x14ac:dyDescent="0.3">
      <c r="D1665"/>
    </row>
    <row r="1666" spans="4:4" x14ac:dyDescent="0.3">
      <c r="D1666"/>
    </row>
    <row r="1667" spans="4:4" x14ac:dyDescent="0.3">
      <c r="D1667"/>
    </row>
    <row r="1668" spans="4:4" x14ac:dyDescent="0.3">
      <c r="D1668"/>
    </row>
    <row r="1669" spans="4:4" x14ac:dyDescent="0.3">
      <c r="D1669"/>
    </row>
    <row r="1670" spans="4:4" x14ac:dyDescent="0.3">
      <c r="D1670"/>
    </row>
    <row r="1671" spans="4:4" x14ac:dyDescent="0.3">
      <c r="D1671"/>
    </row>
    <row r="1672" spans="4:4" x14ac:dyDescent="0.3">
      <c r="D1672"/>
    </row>
    <row r="1673" spans="4:4" x14ac:dyDescent="0.3">
      <c r="D1673"/>
    </row>
    <row r="1674" spans="4:4" x14ac:dyDescent="0.3">
      <c r="D1674"/>
    </row>
    <row r="1675" spans="4:4" x14ac:dyDescent="0.3">
      <c r="D1675"/>
    </row>
    <row r="1676" spans="4:4" x14ac:dyDescent="0.3">
      <c r="D1676"/>
    </row>
    <row r="1677" spans="4:4" x14ac:dyDescent="0.3">
      <c r="D1677"/>
    </row>
    <row r="1678" spans="4:4" x14ac:dyDescent="0.3">
      <c r="D1678"/>
    </row>
    <row r="1679" spans="4:4" x14ac:dyDescent="0.3">
      <c r="D1679"/>
    </row>
    <row r="1680" spans="4:4" x14ac:dyDescent="0.3">
      <c r="D1680"/>
    </row>
    <row r="1681" spans="4:4" x14ac:dyDescent="0.3">
      <c r="D1681"/>
    </row>
    <row r="1682" spans="4:4" x14ac:dyDescent="0.3">
      <c r="D1682"/>
    </row>
    <row r="1683" spans="4:4" x14ac:dyDescent="0.3">
      <c r="D1683"/>
    </row>
    <row r="1684" spans="4:4" x14ac:dyDescent="0.3">
      <c r="D1684"/>
    </row>
    <row r="1685" spans="4:4" x14ac:dyDescent="0.3">
      <c r="D1685"/>
    </row>
    <row r="1686" spans="4:4" x14ac:dyDescent="0.3">
      <c r="D1686"/>
    </row>
    <row r="1687" spans="4:4" x14ac:dyDescent="0.3">
      <c r="D1687"/>
    </row>
    <row r="1688" spans="4:4" x14ac:dyDescent="0.3">
      <c r="D1688"/>
    </row>
    <row r="1689" spans="4:4" x14ac:dyDescent="0.3">
      <c r="D1689"/>
    </row>
    <row r="1690" spans="4:4" x14ac:dyDescent="0.3">
      <c r="D1690"/>
    </row>
    <row r="1691" spans="4:4" x14ac:dyDescent="0.3">
      <c r="D1691"/>
    </row>
    <row r="1692" spans="4:4" x14ac:dyDescent="0.3">
      <c r="D1692"/>
    </row>
    <row r="1693" spans="4:4" x14ac:dyDescent="0.3">
      <c r="D1693"/>
    </row>
    <row r="1694" spans="4:4" x14ac:dyDescent="0.3">
      <c r="D1694"/>
    </row>
    <row r="1695" spans="4:4" x14ac:dyDescent="0.3">
      <c r="D1695"/>
    </row>
    <row r="1696" spans="4:4" x14ac:dyDescent="0.3">
      <c r="D1696"/>
    </row>
    <row r="1697" spans="4:4" x14ac:dyDescent="0.3">
      <c r="D1697"/>
    </row>
    <row r="1698" spans="4:4" x14ac:dyDescent="0.3">
      <c r="D1698"/>
    </row>
    <row r="1699" spans="4:4" x14ac:dyDescent="0.3">
      <c r="D1699"/>
    </row>
    <row r="1700" spans="4:4" x14ac:dyDescent="0.3">
      <c r="D1700"/>
    </row>
    <row r="1701" spans="4:4" x14ac:dyDescent="0.3">
      <c r="D1701"/>
    </row>
    <row r="1702" spans="4:4" x14ac:dyDescent="0.3">
      <c r="D1702"/>
    </row>
    <row r="1703" spans="4:4" x14ac:dyDescent="0.3">
      <c r="D1703"/>
    </row>
    <row r="1704" spans="4:4" x14ac:dyDescent="0.3">
      <c r="D1704"/>
    </row>
    <row r="1705" spans="4:4" x14ac:dyDescent="0.3">
      <c r="D1705"/>
    </row>
    <row r="1706" spans="4:4" x14ac:dyDescent="0.3">
      <c r="D1706"/>
    </row>
    <row r="1707" spans="4:4" x14ac:dyDescent="0.3">
      <c r="D1707"/>
    </row>
    <row r="1708" spans="4:4" x14ac:dyDescent="0.3">
      <c r="D1708"/>
    </row>
    <row r="1709" spans="4:4" x14ac:dyDescent="0.3">
      <c r="D1709"/>
    </row>
    <row r="1710" spans="4:4" x14ac:dyDescent="0.3">
      <c r="D1710"/>
    </row>
    <row r="1711" spans="4:4" x14ac:dyDescent="0.3">
      <c r="D1711"/>
    </row>
    <row r="1712" spans="4:4" x14ac:dyDescent="0.3">
      <c r="D1712"/>
    </row>
    <row r="1713" spans="4:4" x14ac:dyDescent="0.3">
      <c r="D1713"/>
    </row>
    <row r="1714" spans="4:4" x14ac:dyDescent="0.3">
      <c r="D1714"/>
    </row>
    <row r="1715" spans="4:4" x14ac:dyDescent="0.3">
      <c r="D1715"/>
    </row>
    <row r="1716" spans="4:4" x14ac:dyDescent="0.3">
      <c r="D1716"/>
    </row>
    <row r="1717" spans="4:4" x14ac:dyDescent="0.3">
      <c r="D1717"/>
    </row>
    <row r="1718" spans="4:4" x14ac:dyDescent="0.3">
      <c r="D1718"/>
    </row>
    <row r="1719" spans="4:4" x14ac:dyDescent="0.3">
      <c r="D1719"/>
    </row>
    <row r="1720" spans="4:4" x14ac:dyDescent="0.3">
      <c r="D1720"/>
    </row>
    <row r="1721" spans="4:4" x14ac:dyDescent="0.3">
      <c r="D1721"/>
    </row>
    <row r="1722" spans="4:4" x14ac:dyDescent="0.3">
      <c r="D1722"/>
    </row>
    <row r="1723" spans="4:4" x14ac:dyDescent="0.3">
      <c r="D1723"/>
    </row>
    <row r="1724" spans="4:4" x14ac:dyDescent="0.3">
      <c r="D1724"/>
    </row>
    <row r="1725" spans="4:4" x14ac:dyDescent="0.3">
      <c r="D1725"/>
    </row>
    <row r="1726" spans="4:4" x14ac:dyDescent="0.3">
      <c r="D1726"/>
    </row>
    <row r="1727" spans="4:4" x14ac:dyDescent="0.3">
      <c r="D1727"/>
    </row>
    <row r="1728" spans="4:4" x14ac:dyDescent="0.3">
      <c r="D1728"/>
    </row>
    <row r="1729" spans="4:4" x14ac:dyDescent="0.3">
      <c r="D1729"/>
    </row>
    <row r="1730" spans="4:4" x14ac:dyDescent="0.3">
      <c r="D1730"/>
    </row>
    <row r="1731" spans="4:4" x14ac:dyDescent="0.3">
      <c r="D1731"/>
    </row>
    <row r="1732" spans="4:4" x14ac:dyDescent="0.3">
      <c r="D1732"/>
    </row>
    <row r="1733" spans="4:4" x14ac:dyDescent="0.3">
      <c r="D1733"/>
    </row>
    <row r="1734" spans="4:4" x14ac:dyDescent="0.3">
      <c r="D1734"/>
    </row>
    <row r="1735" spans="4:4" x14ac:dyDescent="0.3">
      <c r="D1735"/>
    </row>
    <row r="1736" spans="4:4" x14ac:dyDescent="0.3">
      <c r="D1736"/>
    </row>
    <row r="1737" spans="4:4" x14ac:dyDescent="0.3">
      <c r="D1737"/>
    </row>
    <row r="1738" spans="4:4" x14ac:dyDescent="0.3">
      <c r="D1738"/>
    </row>
    <row r="1739" spans="4:4" x14ac:dyDescent="0.3">
      <c r="D1739"/>
    </row>
    <row r="1740" spans="4:4" x14ac:dyDescent="0.3">
      <c r="D1740"/>
    </row>
    <row r="1741" spans="4:4" x14ac:dyDescent="0.3">
      <c r="D1741"/>
    </row>
    <row r="1742" spans="4:4" x14ac:dyDescent="0.3">
      <c r="D1742"/>
    </row>
    <row r="1743" spans="4:4" x14ac:dyDescent="0.3">
      <c r="D1743"/>
    </row>
    <row r="1744" spans="4:4" x14ac:dyDescent="0.3">
      <c r="D1744"/>
    </row>
    <row r="1745" spans="4:4" x14ac:dyDescent="0.3">
      <c r="D1745"/>
    </row>
    <row r="1746" spans="4:4" x14ac:dyDescent="0.3">
      <c r="D1746"/>
    </row>
    <row r="1747" spans="4:4" x14ac:dyDescent="0.3">
      <c r="D1747"/>
    </row>
    <row r="1748" spans="4:4" x14ac:dyDescent="0.3">
      <c r="D1748"/>
    </row>
    <row r="1749" spans="4:4" x14ac:dyDescent="0.3">
      <c r="D1749"/>
    </row>
    <row r="1750" spans="4:4" x14ac:dyDescent="0.3">
      <c r="D1750"/>
    </row>
    <row r="1751" spans="4:4" x14ac:dyDescent="0.3">
      <c r="D1751"/>
    </row>
    <row r="1752" spans="4:4" x14ac:dyDescent="0.3">
      <c r="D1752"/>
    </row>
    <row r="1753" spans="4:4" x14ac:dyDescent="0.3">
      <c r="D1753"/>
    </row>
    <row r="1754" spans="4:4" x14ac:dyDescent="0.3">
      <c r="D1754"/>
    </row>
    <row r="1755" spans="4:4" x14ac:dyDescent="0.3">
      <c r="D1755"/>
    </row>
    <row r="1756" spans="4:4" x14ac:dyDescent="0.3">
      <c r="D1756"/>
    </row>
    <row r="1757" spans="4:4" x14ac:dyDescent="0.3">
      <c r="D1757"/>
    </row>
    <row r="1758" spans="4:4" x14ac:dyDescent="0.3">
      <c r="D1758"/>
    </row>
    <row r="1759" spans="4:4" x14ac:dyDescent="0.3">
      <c r="D1759"/>
    </row>
    <row r="1760" spans="4:4" x14ac:dyDescent="0.3">
      <c r="D1760"/>
    </row>
    <row r="1761" spans="4:4" x14ac:dyDescent="0.3">
      <c r="D1761"/>
    </row>
    <row r="1762" spans="4:4" x14ac:dyDescent="0.3">
      <c r="D1762"/>
    </row>
    <row r="1763" spans="4:4" x14ac:dyDescent="0.3">
      <c r="D1763"/>
    </row>
    <row r="1764" spans="4:4" x14ac:dyDescent="0.3">
      <c r="D1764"/>
    </row>
    <row r="1765" spans="4:4" x14ac:dyDescent="0.3">
      <c r="D1765"/>
    </row>
    <row r="1766" spans="4:4" x14ac:dyDescent="0.3">
      <c r="D1766"/>
    </row>
    <row r="1767" spans="4:4" x14ac:dyDescent="0.3">
      <c r="D1767"/>
    </row>
    <row r="1768" spans="4:4" x14ac:dyDescent="0.3">
      <c r="D1768"/>
    </row>
    <row r="1769" spans="4:4" x14ac:dyDescent="0.3">
      <c r="D1769"/>
    </row>
    <row r="1770" spans="4:4" x14ac:dyDescent="0.3">
      <c r="D1770"/>
    </row>
    <row r="1771" spans="4:4" x14ac:dyDescent="0.3">
      <c r="D1771"/>
    </row>
    <row r="1772" spans="4:4" x14ac:dyDescent="0.3">
      <c r="D1772"/>
    </row>
    <row r="1773" spans="4:4" x14ac:dyDescent="0.3">
      <c r="D1773"/>
    </row>
    <row r="1774" spans="4:4" x14ac:dyDescent="0.3">
      <c r="D1774"/>
    </row>
    <row r="1775" spans="4:4" x14ac:dyDescent="0.3">
      <c r="D1775"/>
    </row>
    <row r="1776" spans="4:4" x14ac:dyDescent="0.3">
      <c r="D1776"/>
    </row>
    <row r="1777" spans="4:4" x14ac:dyDescent="0.3">
      <c r="D1777"/>
    </row>
    <row r="1778" spans="4:4" x14ac:dyDescent="0.3">
      <c r="D1778"/>
    </row>
    <row r="1779" spans="4:4" x14ac:dyDescent="0.3">
      <c r="D1779"/>
    </row>
    <row r="1780" spans="4:4" x14ac:dyDescent="0.3">
      <c r="D1780"/>
    </row>
    <row r="1781" spans="4:4" x14ac:dyDescent="0.3">
      <c r="D1781"/>
    </row>
    <row r="1782" spans="4:4" x14ac:dyDescent="0.3">
      <c r="D1782"/>
    </row>
    <row r="1783" spans="4:4" x14ac:dyDescent="0.3">
      <c r="D1783"/>
    </row>
    <row r="1784" spans="4:4" x14ac:dyDescent="0.3">
      <c r="D1784"/>
    </row>
    <row r="1785" spans="4:4" x14ac:dyDescent="0.3">
      <c r="D1785"/>
    </row>
    <row r="1786" spans="4:4" x14ac:dyDescent="0.3">
      <c r="D1786"/>
    </row>
    <row r="1787" spans="4:4" x14ac:dyDescent="0.3">
      <c r="D1787"/>
    </row>
    <row r="1788" spans="4:4" x14ac:dyDescent="0.3">
      <c r="D1788"/>
    </row>
    <row r="1789" spans="4:4" x14ac:dyDescent="0.3">
      <c r="D1789"/>
    </row>
    <row r="1790" spans="4:4" x14ac:dyDescent="0.3">
      <c r="D1790"/>
    </row>
    <row r="1791" spans="4:4" x14ac:dyDescent="0.3">
      <c r="D1791"/>
    </row>
    <row r="1792" spans="4:4" x14ac:dyDescent="0.3">
      <c r="D1792"/>
    </row>
    <row r="1793" spans="4:4" x14ac:dyDescent="0.3">
      <c r="D1793"/>
    </row>
    <row r="1794" spans="4:4" x14ac:dyDescent="0.3">
      <c r="D1794"/>
    </row>
    <row r="1795" spans="4:4" x14ac:dyDescent="0.3">
      <c r="D1795"/>
    </row>
    <row r="1796" spans="4:4" x14ac:dyDescent="0.3">
      <c r="D1796"/>
    </row>
    <row r="1797" spans="4:4" x14ac:dyDescent="0.3">
      <c r="D1797"/>
    </row>
    <row r="1798" spans="4:4" x14ac:dyDescent="0.3">
      <c r="D1798"/>
    </row>
    <row r="1799" spans="4:4" x14ac:dyDescent="0.3">
      <c r="D1799"/>
    </row>
    <row r="1800" spans="4:4" x14ac:dyDescent="0.3">
      <c r="D1800"/>
    </row>
    <row r="1801" spans="4:4" x14ac:dyDescent="0.3">
      <c r="D1801"/>
    </row>
    <row r="1802" spans="4:4" x14ac:dyDescent="0.3">
      <c r="D1802"/>
    </row>
    <row r="1803" spans="4:4" x14ac:dyDescent="0.3">
      <c r="D1803"/>
    </row>
    <row r="1804" spans="4:4" x14ac:dyDescent="0.3">
      <c r="D1804"/>
    </row>
    <row r="1805" spans="4:4" x14ac:dyDescent="0.3">
      <c r="D1805"/>
    </row>
    <row r="1806" spans="4:4" x14ac:dyDescent="0.3">
      <c r="D1806"/>
    </row>
    <row r="1807" spans="4:4" x14ac:dyDescent="0.3">
      <c r="D1807"/>
    </row>
    <row r="1808" spans="4:4" x14ac:dyDescent="0.3">
      <c r="D1808"/>
    </row>
    <row r="1809" spans="4:4" x14ac:dyDescent="0.3">
      <c r="D1809"/>
    </row>
    <row r="1810" spans="4:4" x14ac:dyDescent="0.3">
      <c r="D1810"/>
    </row>
    <row r="1811" spans="4:4" x14ac:dyDescent="0.3">
      <c r="D1811"/>
    </row>
    <row r="1812" spans="4:4" x14ac:dyDescent="0.3">
      <c r="D1812"/>
    </row>
    <row r="1813" spans="4:4" x14ac:dyDescent="0.3">
      <c r="D1813"/>
    </row>
    <row r="1814" spans="4:4" x14ac:dyDescent="0.3">
      <c r="D1814"/>
    </row>
    <row r="1815" spans="4:4" x14ac:dyDescent="0.3">
      <c r="D1815"/>
    </row>
    <row r="1816" spans="4:4" x14ac:dyDescent="0.3">
      <c r="D1816"/>
    </row>
    <row r="1817" spans="4:4" x14ac:dyDescent="0.3">
      <c r="D1817"/>
    </row>
    <row r="1818" spans="4:4" x14ac:dyDescent="0.3">
      <c r="D1818"/>
    </row>
    <row r="1819" spans="4:4" x14ac:dyDescent="0.3">
      <c r="D1819"/>
    </row>
    <row r="1820" spans="4:4" x14ac:dyDescent="0.3">
      <c r="D1820"/>
    </row>
    <row r="1821" spans="4:4" x14ac:dyDescent="0.3">
      <c r="D1821"/>
    </row>
    <row r="1822" spans="4:4" x14ac:dyDescent="0.3">
      <c r="D1822"/>
    </row>
    <row r="1823" spans="4:4" x14ac:dyDescent="0.3">
      <c r="D1823"/>
    </row>
    <row r="1824" spans="4:4" x14ac:dyDescent="0.3">
      <c r="D1824"/>
    </row>
    <row r="1825" spans="4:4" x14ac:dyDescent="0.3">
      <c r="D1825"/>
    </row>
    <row r="1826" spans="4:4" x14ac:dyDescent="0.3">
      <c r="D1826"/>
    </row>
    <row r="1827" spans="4:4" x14ac:dyDescent="0.3">
      <c r="D1827"/>
    </row>
    <row r="1828" spans="4:4" x14ac:dyDescent="0.3">
      <c r="D1828"/>
    </row>
    <row r="1829" spans="4:4" x14ac:dyDescent="0.3">
      <c r="D1829"/>
    </row>
    <row r="1830" spans="4:4" x14ac:dyDescent="0.3">
      <c r="D1830"/>
    </row>
    <row r="1831" spans="4:4" x14ac:dyDescent="0.3">
      <c r="D1831"/>
    </row>
    <row r="1832" spans="4:4" x14ac:dyDescent="0.3">
      <c r="D1832"/>
    </row>
    <row r="1833" spans="4:4" x14ac:dyDescent="0.3">
      <c r="D1833"/>
    </row>
    <row r="1834" spans="4:4" x14ac:dyDescent="0.3">
      <c r="D1834"/>
    </row>
    <row r="1835" spans="4:4" x14ac:dyDescent="0.3">
      <c r="D1835"/>
    </row>
    <row r="1836" spans="4:4" x14ac:dyDescent="0.3">
      <c r="D1836"/>
    </row>
    <row r="1837" spans="4:4" x14ac:dyDescent="0.3">
      <c r="D1837"/>
    </row>
    <row r="1838" spans="4:4" x14ac:dyDescent="0.3">
      <c r="D1838"/>
    </row>
    <row r="1839" spans="4:4" x14ac:dyDescent="0.3">
      <c r="D1839"/>
    </row>
    <row r="1840" spans="4:4" x14ac:dyDescent="0.3">
      <c r="D1840"/>
    </row>
    <row r="1841" spans="4:4" x14ac:dyDescent="0.3">
      <c r="D1841"/>
    </row>
    <row r="1842" spans="4:4" x14ac:dyDescent="0.3">
      <c r="D1842"/>
    </row>
    <row r="1843" spans="4:4" x14ac:dyDescent="0.3">
      <c r="D1843"/>
    </row>
    <row r="1844" spans="4:4" x14ac:dyDescent="0.3">
      <c r="D1844"/>
    </row>
    <row r="1845" spans="4:4" x14ac:dyDescent="0.3">
      <c r="D1845"/>
    </row>
    <row r="1846" spans="4:4" x14ac:dyDescent="0.3">
      <c r="D1846"/>
    </row>
    <row r="1847" spans="4:4" x14ac:dyDescent="0.3">
      <c r="D1847"/>
    </row>
    <row r="1848" spans="4:4" x14ac:dyDescent="0.3">
      <c r="D1848"/>
    </row>
    <row r="1849" spans="4:4" x14ac:dyDescent="0.3">
      <c r="D1849"/>
    </row>
    <row r="1850" spans="4:4" x14ac:dyDescent="0.3">
      <c r="D1850"/>
    </row>
    <row r="1851" spans="4:4" x14ac:dyDescent="0.3">
      <c r="D1851"/>
    </row>
    <row r="1852" spans="4:4" x14ac:dyDescent="0.3">
      <c r="D1852"/>
    </row>
    <row r="1853" spans="4:4" x14ac:dyDescent="0.3">
      <c r="D1853"/>
    </row>
    <row r="1854" spans="4:4" x14ac:dyDescent="0.3">
      <c r="D1854"/>
    </row>
    <row r="1855" spans="4:4" x14ac:dyDescent="0.3">
      <c r="D1855"/>
    </row>
    <row r="1856" spans="4:4" x14ac:dyDescent="0.3">
      <c r="D1856"/>
    </row>
    <row r="1857" spans="4:4" x14ac:dyDescent="0.3">
      <c r="D1857"/>
    </row>
    <row r="1858" spans="4:4" x14ac:dyDescent="0.3">
      <c r="D1858"/>
    </row>
    <row r="1859" spans="4:4" x14ac:dyDescent="0.3">
      <c r="D1859"/>
    </row>
    <row r="1860" spans="4:4" x14ac:dyDescent="0.3">
      <c r="D1860"/>
    </row>
    <row r="1861" spans="4:4" x14ac:dyDescent="0.3">
      <c r="D1861"/>
    </row>
    <row r="1862" spans="4:4" x14ac:dyDescent="0.3">
      <c r="D1862"/>
    </row>
    <row r="1863" spans="4:4" x14ac:dyDescent="0.3">
      <c r="D1863"/>
    </row>
    <row r="1864" spans="4:4" x14ac:dyDescent="0.3">
      <c r="D1864"/>
    </row>
    <row r="1865" spans="4:4" x14ac:dyDescent="0.3">
      <c r="D1865"/>
    </row>
    <row r="1866" spans="4:4" x14ac:dyDescent="0.3">
      <c r="D1866"/>
    </row>
    <row r="1867" spans="4:4" x14ac:dyDescent="0.3">
      <c r="D1867"/>
    </row>
    <row r="1868" spans="4:4" x14ac:dyDescent="0.3">
      <c r="D1868"/>
    </row>
    <row r="1869" spans="4:4" x14ac:dyDescent="0.3">
      <c r="D1869"/>
    </row>
    <row r="1870" spans="4:4" x14ac:dyDescent="0.3">
      <c r="D1870"/>
    </row>
    <row r="1871" spans="4:4" x14ac:dyDescent="0.3">
      <c r="D1871"/>
    </row>
    <row r="1872" spans="4:4" x14ac:dyDescent="0.3">
      <c r="D1872"/>
    </row>
    <row r="1873" spans="4:4" x14ac:dyDescent="0.3">
      <c r="D1873"/>
    </row>
    <row r="1874" spans="4:4" x14ac:dyDescent="0.3">
      <c r="D1874"/>
    </row>
    <row r="1875" spans="4:4" x14ac:dyDescent="0.3">
      <c r="D1875"/>
    </row>
    <row r="1876" spans="4:4" x14ac:dyDescent="0.3">
      <c r="D1876"/>
    </row>
    <row r="1877" spans="4:4" x14ac:dyDescent="0.3">
      <c r="D1877"/>
    </row>
    <row r="1878" spans="4:4" x14ac:dyDescent="0.3">
      <c r="D1878"/>
    </row>
    <row r="1879" spans="4:4" x14ac:dyDescent="0.3">
      <c r="D1879"/>
    </row>
    <row r="1880" spans="4:4" x14ac:dyDescent="0.3">
      <c r="D1880"/>
    </row>
    <row r="1881" spans="4:4" x14ac:dyDescent="0.3">
      <c r="D1881"/>
    </row>
    <row r="1882" spans="4:4" x14ac:dyDescent="0.3">
      <c r="D1882"/>
    </row>
    <row r="1883" spans="4:4" x14ac:dyDescent="0.3">
      <c r="D1883"/>
    </row>
    <row r="1884" spans="4:4" x14ac:dyDescent="0.3">
      <c r="D1884"/>
    </row>
    <row r="1885" spans="4:4" x14ac:dyDescent="0.3">
      <c r="D1885"/>
    </row>
    <row r="1886" spans="4:4" x14ac:dyDescent="0.3">
      <c r="D1886"/>
    </row>
    <row r="1887" spans="4:4" x14ac:dyDescent="0.3">
      <c r="D1887"/>
    </row>
    <row r="1888" spans="4:4" x14ac:dyDescent="0.3">
      <c r="D1888"/>
    </row>
    <row r="1889" spans="4:4" x14ac:dyDescent="0.3">
      <c r="D1889"/>
    </row>
    <row r="1890" spans="4:4" x14ac:dyDescent="0.3">
      <c r="D1890"/>
    </row>
    <row r="1891" spans="4:4" x14ac:dyDescent="0.3">
      <c r="D1891"/>
    </row>
    <row r="1892" spans="4:4" x14ac:dyDescent="0.3">
      <c r="D1892"/>
    </row>
    <row r="1893" spans="4:4" x14ac:dyDescent="0.3">
      <c r="D1893"/>
    </row>
    <row r="1894" spans="4:4" x14ac:dyDescent="0.3">
      <c r="D1894"/>
    </row>
    <row r="1895" spans="4:4" x14ac:dyDescent="0.3">
      <c r="D1895"/>
    </row>
    <row r="1896" spans="4:4" x14ac:dyDescent="0.3">
      <c r="D1896"/>
    </row>
    <row r="1897" spans="4:4" x14ac:dyDescent="0.3">
      <c r="D1897"/>
    </row>
    <row r="1898" spans="4:4" x14ac:dyDescent="0.3">
      <c r="D1898"/>
    </row>
    <row r="1899" spans="4:4" x14ac:dyDescent="0.3">
      <c r="D1899"/>
    </row>
    <row r="1900" spans="4:4" x14ac:dyDescent="0.3">
      <c r="D1900"/>
    </row>
    <row r="1901" spans="4:4" x14ac:dyDescent="0.3">
      <c r="D1901"/>
    </row>
    <row r="1902" spans="4:4" x14ac:dyDescent="0.3">
      <c r="D1902"/>
    </row>
    <row r="1903" spans="4:4" x14ac:dyDescent="0.3">
      <c r="D1903"/>
    </row>
    <row r="1904" spans="4:4" x14ac:dyDescent="0.3">
      <c r="D1904"/>
    </row>
    <row r="1905" spans="4:4" x14ac:dyDescent="0.3">
      <c r="D1905"/>
    </row>
    <row r="1906" spans="4:4" x14ac:dyDescent="0.3">
      <c r="D1906"/>
    </row>
    <row r="1907" spans="4:4" x14ac:dyDescent="0.3">
      <c r="D1907"/>
    </row>
    <row r="1908" spans="4:4" x14ac:dyDescent="0.3">
      <c r="D1908"/>
    </row>
    <row r="1909" spans="4:4" x14ac:dyDescent="0.3">
      <c r="D1909"/>
    </row>
    <row r="1910" spans="4:4" x14ac:dyDescent="0.3">
      <c r="D1910"/>
    </row>
    <row r="1911" spans="4:4" x14ac:dyDescent="0.3">
      <c r="D1911"/>
    </row>
    <row r="1912" spans="4:4" x14ac:dyDescent="0.3">
      <c r="D1912"/>
    </row>
    <row r="1913" spans="4:4" x14ac:dyDescent="0.3">
      <c r="D1913"/>
    </row>
    <row r="1914" spans="4:4" x14ac:dyDescent="0.3">
      <c r="D1914"/>
    </row>
    <row r="1915" spans="4:4" x14ac:dyDescent="0.3">
      <c r="D1915"/>
    </row>
    <row r="1916" spans="4:4" x14ac:dyDescent="0.3">
      <c r="D1916"/>
    </row>
    <row r="1917" spans="4:4" x14ac:dyDescent="0.3">
      <c r="D1917"/>
    </row>
    <row r="1918" spans="4:4" x14ac:dyDescent="0.3">
      <c r="D1918"/>
    </row>
    <row r="1919" spans="4:4" x14ac:dyDescent="0.3">
      <c r="D1919"/>
    </row>
    <row r="1920" spans="4:4" x14ac:dyDescent="0.3">
      <c r="D1920"/>
    </row>
    <row r="1921" spans="4:4" x14ac:dyDescent="0.3">
      <c r="D1921"/>
    </row>
    <row r="1922" spans="4:4" x14ac:dyDescent="0.3">
      <c r="D1922"/>
    </row>
    <row r="1923" spans="4:4" x14ac:dyDescent="0.3">
      <c r="D1923"/>
    </row>
    <row r="1924" spans="4:4" x14ac:dyDescent="0.3">
      <c r="D1924"/>
    </row>
    <row r="1925" spans="4:4" x14ac:dyDescent="0.3">
      <c r="D1925"/>
    </row>
    <row r="1926" spans="4:4" x14ac:dyDescent="0.3">
      <c r="D1926"/>
    </row>
    <row r="1927" spans="4:4" x14ac:dyDescent="0.3">
      <c r="D1927"/>
    </row>
    <row r="1928" spans="4:4" x14ac:dyDescent="0.3">
      <c r="D1928"/>
    </row>
    <row r="1929" spans="4:4" x14ac:dyDescent="0.3">
      <c r="D1929"/>
    </row>
    <row r="1930" spans="4:4" x14ac:dyDescent="0.3">
      <c r="D1930"/>
    </row>
    <row r="1931" spans="4:4" x14ac:dyDescent="0.3">
      <c r="D1931"/>
    </row>
    <row r="1932" spans="4:4" x14ac:dyDescent="0.3">
      <c r="D1932"/>
    </row>
    <row r="1933" spans="4:4" x14ac:dyDescent="0.3">
      <c r="D1933"/>
    </row>
    <row r="1934" spans="4:4" x14ac:dyDescent="0.3">
      <c r="D1934"/>
    </row>
    <row r="1935" spans="4:4" x14ac:dyDescent="0.3">
      <c r="D1935"/>
    </row>
    <row r="1936" spans="4:4" x14ac:dyDescent="0.3">
      <c r="D1936"/>
    </row>
    <row r="1937" spans="4:4" x14ac:dyDescent="0.3">
      <c r="D1937"/>
    </row>
    <row r="1938" spans="4:4" x14ac:dyDescent="0.3">
      <c r="D1938"/>
    </row>
    <row r="1939" spans="4:4" x14ac:dyDescent="0.3">
      <c r="D1939"/>
    </row>
    <row r="1940" spans="4:4" x14ac:dyDescent="0.3">
      <c r="D1940"/>
    </row>
    <row r="1941" spans="4:4" x14ac:dyDescent="0.3">
      <c r="D1941"/>
    </row>
    <row r="1942" spans="4:4" x14ac:dyDescent="0.3">
      <c r="D1942"/>
    </row>
    <row r="1943" spans="4:4" x14ac:dyDescent="0.3">
      <c r="D1943"/>
    </row>
    <row r="1944" spans="4:4" x14ac:dyDescent="0.3">
      <c r="D1944"/>
    </row>
    <row r="1945" spans="4:4" x14ac:dyDescent="0.3">
      <c r="D1945"/>
    </row>
    <row r="1946" spans="4:4" x14ac:dyDescent="0.3">
      <c r="D1946"/>
    </row>
    <row r="1947" spans="4:4" x14ac:dyDescent="0.3">
      <c r="D1947"/>
    </row>
    <row r="1948" spans="4:4" x14ac:dyDescent="0.3">
      <c r="D1948"/>
    </row>
    <row r="1949" spans="4:4" x14ac:dyDescent="0.3">
      <c r="D1949"/>
    </row>
    <row r="1950" spans="4:4" x14ac:dyDescent="0.3">
      <c r="D1950"/>
    </row>
    <row r="1951" spans="4:4" x14ac:dyDescent="0.3">
      <c r="D1951"/>
    </row>
    <row r="1952" spans="4:4" x14ac:dyDescent="0.3">
      <c r="D1952"/>
    </row>
    <row r="1953" spans="4:4" x14ac:dyDescent="0.3">
      <c r="D1953"/>
    </row>
    <row r="1954" spans="4:4" x14ac:dyDescent="0.3">
      <c r="D1954"/>
    </row>
    <row r="1955" spans="4:4" x14ac:dyDescent="0.3">
      <c r="D1955"/>
    </row>
    <row r="1956" spans="4:4" x14ac:dyDescent="0.3">
      <c r="D1956"/>
    </row>
    <row r="1957" spans="4:4" x14ac:dyDescent="0.3">
      <c r="D1957"/>
    </row>
    <row r="1958" spans="4:4" x14ac:dyDescent="0.3">
      <c r="D1958"/>
    </row>
    <row r="1959" spans="4:4" x14ac:dyDescent="0.3">
      <c r="D1959"/>
    </row>
    <row r="1960" spans="4:4" x14ac:dyDescent="0.3">
      <c r="D1960"/>
    </row>
    <row r="1961" spans="4:4" x14ac:dyDescent="0.3">
      <c r="D1961"/>
    </row>
    <row r="1962" spans="4:4" x14ac:dyDescent="0.3">
      <c r="D1962"/>
    </row>
    <row r="1963" spans="4:4" x14ac:dyDescent="0.3">
      <c r="D1963"/>
    </row>
    <row r="1964" spans="4:4" x14ac:dyDescent="0.3">
      <c r="D1964"/>
    </row>
    <row r="1965" spans="4:4" x14ac:dyDescent="0.3">
      <c r="D1965"/>
    </row>
    <row r="1966" spans="4:4" x14ac:dyDescent="0.3">
      <c r="D1966"/>
    </row>
    <row r="1967" spans="4:4" x14ac:dyDescent="0.3">
      <c r="D1967"/>
    </row>
    <row r="1968" spans="4:4" x14ac:dyDescent="0.3">
      <c r="D1968"/>
    </row>
    <row r="1969" spans="4:4" x14ac:dyDescent="0.3">
      <c r="D1969"/>
    </row>
    <row r="1970" spans="4:4" x14ac:dyDescent="0.3">
      <c r="D1970"/>
    </row>
    <row r="1971" spans="4:4" x14ac:dyDescent="0.3">
      <c r="D1971"/>
    </row>
    <row r="1972" spans="4:4" x14ac:dyDescent="0.3">
      <c r="D1972"/>
    </row>
    <row r="1973" spans="4:4" x14ac:dyDescent="0.3">
      <c r="D1973"/>
    </row>
    <row r="1974" spans="4:4" x14ac:dyDescent="0.3">
      <c r="D1974"/>
    </row>
    <row r="1975" spans="4:4" x14ac:dyDescent="0.3">
      <c r="D1975"/>
    </row>
    <row r="1976" spans="4:4" x14ac:dyDescent="0.3">
      <c r="D1976"/>
    </row>
    <row r="1977" spans="4:4" x14ac:dyDescent="0.3">
      <c r="D1977"/>
    </row>
    <row r="1978" spans="4:4" x14ac:dyDescent="0.3">
      <c r="D1978"/>
    </row>
    <row r="1979" spans="4:4" x14ac:dyDescent="0.3">
      <c r="D1979"/>
    </row>
    <row r="1980" spans="4:4" x14ac:dyDescent="0.3">
      <c r="D1980"/>
    </row>
    <row r="1981" spans="4:4" x14ac:dyDescent="0.3">
      <c r="D1981"/>
    </row>
    <row r="1982" spans="4:4" x14ac:dyDescent="0.3">
      <c r="D1982"/>
    </row>
    <row r="1983" spans="4:4" x14ac:dyDescent="0.3">
      <c r="D1983"/>
    </row>
    <row r="1984" spans="4:4" x14ac:dyDescent="0.3">
      <c r="D1984"/>
    </row>
    <row r="1985" spans="4:4" x14ac:dyDescent="0.3">
      <c r="D1985"/>
    </row>
    <row r="1986" spans="4:4" x14ac:dyDescent="0.3">
      <c r="D1986"/>
    </row>
    <row r="1987" spans="4:4" x14ac:dyDescent="0.3">
      <c r="D1987"/>
    </row>
    <row r="1988" spans="4:4" x14ac:dyDescent="0.3">
      <c r="D1988"/>
    </row>
    <row r="1989" spans="4:4" x14ac:dyDescent="0.3">
      <c r="D1989"/>
    </row>
    <row r="1990" spans="4:4" x14ac:dyDescent="0.3">
      <c r="D1990"/>
    </row>
    <row r="1991" spans="4:4" x14ac:dyDescent="0.3">
      <c r="D1991"/>
    </row>
    <row r="1992" spans="4:4" x14ac:dyDescent="0.3">
      <c r="D1992"/>
    </row>
    <row r="1993" spans="4:4" x14ac:dyDescent="0.3">
      <c r="D1993"/>
    </row>
    <row r="1994" spans="4:4" x14ac:dyDescent="0.3">
      <c r="D1994"/>
    </row>
    <row r="1995" spans="4:4" x14ac:dyDescent="0.3">
      <c r="D1995"/>
    </row>
    <row r="1996" spans="4:4" x14ac:dyDescent="0.3">
      <c r="D1996"/>
    </row>
    <row r="1997" spans="4:4" x14ac:dyDescent="0.3">
      <c r="D1997"/>
    </row>
    <row r="1998" spans="4:4" x14ac:dyDescent="0.3">
      <c r="D1998"/>
    </row>
    <row r="1999" spans="4:4" x14ac:dyDescent="0.3">
      <c r="D1999"/>
    </row>
    <row r="2000" spans="4:4" x14ac:dyDescent="0.3">
      <c r="D2000"/>
    </row>
    <row r="2001" spans="4:4" x14ac:dyDescent="0.3">
      <c r="D2001"/>
    </row>
    <row r="2002" spans="4:4" x14ac:dyDescent="0.3">
      <c r="D2002"/>
    </row>
    <row r="2003" spans="4:4" x14ac:dyDescent="0.3">
      <c r="D2003"/>
    </row>
    <row r="2004" spans="4:4" x14ac:dyDescent="0.3">
      <c r="D2004"/>
    </row>
    <row r="2005" spans="4:4" x14ac:dyDescent="0.3">
      <c r="D2005"/>
    </row>
    <row r="2006" spans="4:4" x14ac:dyDescent="0.3">
      <c r="D2006"/>
    </row>
    <row r="2007" spans="4:4" x14ac:dyDescent="0.3">
      <c r="D2007"/>
    </row>
    <row r="2008" spans="4:4" x14ac:dyDescent="0.3">
      <c r="D2008"/>
    </row>
    <row r="2009" spans="4:4" x14ac:dyDescent="0.3">
      <c r="D2009"/>
    </row>
    <row r="2010" spans="4:4" x14ac:dyDescent="0.3">
      <c r="D2010"/>
    </row>
    <row r="2011" spans="4:4" x14ac:dyDescent="0.3">
      <c r="D2011"/>
    </row>
    <row r="2012" spans="4:4" x14ac:dyDescent="0.3">
      <c r="D2012"/>
    </row>
    <row r="2013" spans="4:4" x14ac:dyDescent="0.3">
      <c r="D2013"/>
    </row>
    <row r="2014" spans="4:4" x14ac:dyDescent="0.3">
      <c r="D2014"/>
    </row>
    <row r="2015" spans="4:4" x14ac:dyDescent="0.3">
      <c r="D2015"/>
    </row>
    <row r="2016" spans="4:4" x14ac:dyDescent="0.3">
      <c r="D2016"/>
    </row>
    <row r="2017" spans="4:4" x14ac:dyDescent="0.3">
      <c r="D2017"/>
    </row>
    <row r="2018" spans="4:4" x14ac:dyDescent="0.3">
      <c r="D2018"/>
    </row>
    <row r="2019" spans="4:4" x14ac:dyDescent="0.3">
      <c r="D2019"/>
    </row>
    <row r="2020" spans="4:4" x14ac:dyDescent="0.3">
      <c r="D2020"/>
    </row>
    <row r="2021" spans="4:4" x14ac:dyDescent="0.3">
      <c r="D2021"/>
    </row>
    <row r="2022" spans="4:4" x14ac:dyDescent="0.3">
      <c r="D2022"/>
    </row>
    <row r="2023" spans="4:4" x14ac:dyDescent="0.3">
      <c r="D2023"/>
    </row>
    <row r="2024" spans="4:4" x14ac:dyDescent="0.3">
      <c r="D2024"/>
    </row>
    <row r="2025" spans="4:4" x14ac:dyDescent="0.3">
      <c r="D2025"/>
    </row>
    <row r="2026" spans="4:4" x14ac:dyDescent="0.3">
      <c r="D2026"/>
    </row>
    <row r="2027" spans="4:4" x14ac:dyDescent="0.3">
      <c r="D2027"/>
    </row>
    <row r="2028" spans="4:4" x14ac:dyDescent="0.3">
      <c r="D2028"/>
    </row>
    <row r="2029" spans="4:4" x14ac:dyDescent="0.3">
      <c r="D2029"/>
    </row>
    <row r="2030" spans="4:4" x14ac:dyDescent="0.3">
      <c r="D2030"/>
    </row>
    <row r="2031" spans="4:4" x14ac:dyDescent="0.3">
      <c r="D2031"/>
    </row>
    <row r="2032" spans="4:4" x14ac:dyDescent="0.3">
      <c r="D2032"/>
    </row>
    <row r="2033" spans="4:4" x14ac:dyDescent="0.3">
      <c r="D2033"/>
    </row>
    <row r="2034" spans="4:4" x14ac:dyDescent="0.3">
      <c r="D2034"/>
    </row>
    <row r="2035" spans="4:4" x14ac:dyDescent="0.3">
      <c r="D2035"/>
    </row>
    <row r="2036" spans="4:4" x14ac:dyDescent="0.3">
      <c r="D2036"/>
    </row>
    <row r="2037" spans="4:4" x14ac:dyDescent="0.3">
      <c r="D2037"/>
    </row>
    <row r="2038" spans="4:4" x14ac:dyDescent="0.3">
      <c r="D2038"/>
    </row>
    <row r="2039" spans="4:4" x14ac:dyDescent="0.3">
      <c r="D2039"/>
    </row>
    <row r="2040" spans="4:4" x14ac:dyDescent="0.3">
      <c r="D2040"/>
    </row>
    <row r="2041" spans="4:4" x14ac:dyDescent="0.3">
      <c r="D2041"/>
    </row>
    <row r="2042" spans="4:4" x14ac:dyDescent="0.3">
      <c r="D2042"/>
    </row>
    <row r="2043" spans="4:4" x14ac:dyDescent="0.3">
      <c r="D2043"/>
    </row>
    <row r="2044" spans="4:4" x14ac:dyDescent="0.3">
      <c r="D2044"/>
    </row>
    <row r="2045" spans="4:4" x14ac:dyDescent="0.3">
      <c r="D2045"/>
    </row>
    <row r="2046" spans="4:4" x14ac:dyDescent="0.3">
      <c r="D2046"/>
    </row>
    <row r="2047" spans="4:4" x14ac:dyDescent="0.3">
      <c r="D2047"/>
    </row>
    <row r="2048" spans="4:4" x14ac:dyDescent="0.3">
      <c r="D2048"/>
    </row>
    <row r="2049" spans="4:4" x14ac:dyDescent="0.3">
      <c r="D2049"/>
    </row>
    <row r="2050" spans="4:4" x14ac:dyDescent="0.3">
      <c r="D2050"/>
    </row>
    <row r="2051" spans="4:4" x14ac:dyDescent="0.3">
      <c r="D2051"/>
    </row>
    <row r="2052" spans="4:4" x14ac:dyDescent="0.3">
      <c r="D2052"/>
    </row>
    <row r="2053" spans="4:4" x14ac:dyDescent="0.3">
      <c r="D2053"/>
    </row>
    <row r="2054" spans="4:4" x14ac:dyDescent="0.3">
      <c r="D2054"/>
    </row>
    <row r="2055" spans="4:4" x14ac:dyDescent="0.3">
      <c r="D2055"/>
    </row>
    <row r="2056" spans="4:4" x14ac:dyDescent="0.3">
      <c r="D2056"/>
    </row>
    <row r="2057" spans="4:4" x14ac:dyDescent="0.3">
      <c r="D2057"/>
    </row>
    <row r="2058" spans="4:4" x14ac:dyDescent="0.3">
      <c r="D2058"/>
    </row>
    <row r="2059" spans="4:4" x14ac:dyDescent="0.3">
      <c r="D2059"/>
    </row>
    <row r="2060" spans="4:4" x14ac:dyDescent="0.3">
      <c r="D2060"/>
    </row>
    <row r="2061" spans="4:4" x14ac:dyDescent="0.3">
      <c r="D2061"/>
    </row>
    <row r="2062" spans="4:4" x14ac:dyDescent="0.3">
      <c r="D2062"/>
    </row>
    <row r="2063" spans="4:4" x14ac:dyDescent="0.3">
      <c r="D2063"/>
    </row>
    <row r="2064" spans="4:4" x14ac:dyDescent="0.3">
      <c r="D2064"/>
    </row>
    <row r="2065" spans="4:4" x14ac:dyDescent="0.3">
      <c r="D2065"/>
    </row>
    <row r="2066" spans="4:4" x14ac:dyDescent="0.3">
      <c r="D2066"/>
    </row>
    <row r="2067" spans="4:4" x14ac:dyDescent="0.3">
      <c r="D2067"/>
    </row>
    <row r="2068" spans="4:4" x14ac:dyDescent="0.3">
      <c r="D2068"/>
    </row>
    <row r="2069" spans="4:4" x14ac:dyDescent="0.3">
      <c r="D2069"/>
    </row>
    <row r="2070" spans="4:4" x14ac:dyDescent="0.3">
      <c r="D2070"/>
    </row>
    <row r="2071" spans="4:4" x14ac:dyDescent="0.3">
      <c r="D2071"/>
    </row>
    <row r="2072" spans="4:4" x14ac:dyDescent="0.3">
      <c r="D2072"/>
    </row>
    <row r="2073" spans="4:4" x14ac:dyDescent="0.3">
      <c r="D2073"/>
    </row>
    <row r="2074" spans="4:4" x14ac:dyDescent="0.3">
      <c r="D2074"/>
    </row>
    <row r="2075" spans="4:4" x14ac:dyDescent="0.3">
      <c r="D2075"/>
    </row>
    <row r="2076" spans="4:4" x14ac:dyDescent="0.3">
      <c r="D2076"/>
    </row>
    <row r="2077" spans="4:4" x14ac:dyDescent="0.3">
      <c r="D2077"/>
    </row>
    <row r="2078" spans="4:4" x14ac:dyDescent="0.3">
      <c r="D2078"/>
    </row>
    <row r="2079" spans="4:4" x14ac:dyDescent="0.3">
      <c r="D2079"/>
    </row>
    <row r="2080" spans="4:4" x14ac:dyDescent="0.3">
      <c r="D2080"/>
    </row>
    <row r="2081" spans="4:4" x14ac:dyDescent="0.3">
      <c r="D2081"/>
    </row>
    <row r="2082" spans="4:4" x14ac:dyDescent="0.3">
      <c r="D2082"/>
    </row>
    <row r="2083" spans="4:4" x14ac:dyDescent="0.3">
      <c r="D2083"/>
    </row>
    <row r="2084" spans="4:4" x14ac:dyDescent="0.3">
      <c r="D2084"/>
    </row>
    <row r="2085" spans="4:4" x14ac:dyDescent="0.3">
      <c r="D2085"/>
    </row>
    <row r="2086" spans="4:4" x14ac:dyDescent="0.3">
      <c r="D2086"/>
    </row>
    <row r="2087" spans="4:4" x14ac:dyDescent="0.3">
      <c r="D2087"/>
    </row>
    <row r="2088" spans="4:4" x14ac:dyDescent="0.3">
      <c r="D2088"/>
    </row>
    <row r="2089" spans="4:4" x14ac:dyDescent="0.3">
      <c r="D2089"/>
    </row>
    <row r="2090" spans="4:4" x14ac:dyDescent="0.3">
      <c r="D2090"/>
    </row>
    <row r="2091" spans="4:4" x14ac:dyDescent="0.3">
      <c r="D2091"/>
    </row>
    <row r="2092" spans="4:4" x14ac:dyDescent="0.3">
      <c r="D2092"/>
    </row>
    <row r="2093" spans="4:4" x14ac:dyDescent="0.3">
      <c r="D2093"/>
    </row>
    <row r="2094" spans="4:4" x14ac:dyDescent="0.3">
      <c r="D2094"/>
    </row>
    <row r="2095" spans="4:4" x14ac:dyDescent="0.3">
      <c r="D2095"/>
    </row>
    <row r="2096" spans="4:4" x14ac:dyDescent="0.3">
      <c r="D2096"/>
    </row>
    <row r="2097" spans="4:4" x14ac:dyDescent="0.3">
      <c r="D2097"/>
    </row>
    <row r="2098" spans="4:4" x14ac:dyDescent="0.3">
      <c r="D2098"/>
    </row>
    <row r="2099" spans="4:4" x14ac:dyDescent="0.3">
      <c r="D2099"/>
    </row>
    <row r="2100" spans="4:4" x14ac:dyDescent="0.3">
      <c r="D2100"/>
    </row>
    <row r="2101" spans="4:4" x14ac:dyDescent="0.3">
      <c r="D2101"/>
    </row>
    <row r="2102" spans="4:4" x14ac:dyDescent="0.3">
      <c r="D2102"/>
    </row>
    <row r="2103" spans="4:4" x14ac:dyDescent="0.3">
      <c r="D2103"/>
    </row>
    <row r="2104" spans="4:4" x14ac:dyDescent="0.3">
      <c r="D2104"/>
    </row>
    <row r="2105" spans="4:4" x14ac:dyDescent="0.3">
      <c r="D2105"/>
    </row>
    <row r="2106" spans="4:4" x14ac:dyDescent="0.3">
      <c r="D2106"/>
    </row>
    <row r="2107" spans="4:4" x14ac:dyDescent="0.3">
      <c r="D2107"/>
    </row>
    <row r="2108" spans="4:4" x14ac:dyDescent="0.3">
      <c r="D2108"/>
    </row>
    <row r="2109" spans="4:4" x14ac:dyDescent="0.3">
      <c r="D2109"/>
    </row>
    <row r="2110" spans="4:4" x14ac:dyDescent="0.3">
      <c r="D2110"/>
    </row>
    <row r="2111" spans="4:4" x14ac:dyDescent="0.3">
      <c r="D2111"/>
    </row>
    <row r="2112" spans="4:4" x14ac:dyDescent="0.3">
      <c r="D2112"/>
    </row>
    <row r="2113" spans="4:4" x14ac:dyDescent="0.3">
      <c r="D2113"/>
    </row>
    <row r="2114" spans="4:4" x14ac:dyDescent="0.3">
      <c r="D2114"/>
    </row>
    <row r="2115" spans="4:4" x14ac:dyDescent="0.3">
      <c r="D2115"/>
    </row>
    <row r="2116" spans="4:4" x14ac:dyDescent="0.3">
      <c r="D2116"/>
    </row>
    <row r="2117" spans="4:4" x14ac:dyDescent="0.3">
      <c r="D2117"/>
    </row>
    <row r="2118" spans="4:4" x14ac:dyDescent="0.3">
      <c r="D2118"/>
    </row>
    <row r="2119" spans="4:4" x14ac:dyDescent="0.3">
      <c r="D2119"/>
    </row>
    <row r="2120" spans="4:4" x14ac:dyDescent="0.3">
      <c r="D2120"/>
    </row>
    <row r="2121" spans="4:4" x14ac:dyDescent="0.3">
      <c r="D2121"/>
    </row>
    <row r="2122" spans="4:4" x14ac:dyDescent="0.3">
      <c r="D2122"/>
    </row>
    <row r="2123" spans="4:4" x14ac:dyDescent="0.3">
      <c r="D2123"/>
    </row>
    <row r="2124" spans="4:4" x14ac:dyDescent="0.3">
      <c r="D2124"/>
    </row>
    <row r="2125" spans="4:4" x14ac:dyDescent="0.3">
      <c r="D2125"/>
    </row>
    <row r="2126" spans="4:4" x14ac:dyDescent="0.3">
      <c r="D2126"/>
    </row>
    <row r="2127" spans="4:4" x14ac:dyDescent="0.3">
      <c r="D2127"/>
    </row>
    <row r="2128" spans="4:4" x14ac:dyDescent="0.3">
      <c r="D2128"/>
    </row>
    <row r="2129" spans="4:4" x14ac:dyDescent="0.3">
      <c r="D2129"/>
    </row>
    <row r="2130" spans="4:4" x14ac:dyDescent="0.3">
      <c r="D2130"/>
    </row>
    <row r="2131" spans="4:4" x14ac:dyDescent="0.3">
      <c r="D2131"/>
    </row>
    <row r="2132" spans="4:4" x14ac:dyDescent="0.3">
      <c r="D2132"/>
    </row>
    <row r="2133" spans="4:4" x14ac:dyDescent="0.3">
      <c r="D2133"/>
    </row>
    <row r="2134" spans="4:4" x14ac:dyDescent="0.3">
      <c r="D2134"/>
    </row>
    <row r="2135" spans="4:4" x14ac:dyDescent="0.3">
      <c r="D2135"/>
    </row>
    <row r="2136" spans="4:4" x14ac:dyDescent="0.3">
      <c r="D2136"/>
    </row>
    <row r="2137" spans="4:4" x14ac:dyDescent="0.3">
      <c r="D2137"/>
    </row>
    <row r="2138" spans="4:4" x14ac:dyDescent="0.3">
      <c r="D2138"/>
    </row>
    <row r="2139" spans="4:4" x14ac:dyDescent="0.3">
      <c r="D2139"/>
    </row>
    <row r="2140" spans="4:4" x14ac:dyDescent="0.3">
      <c r="D2140"/>
    </row>
    <row r="2141" spans="4:4" x14ac:dyDescent="0.3">
      <c r="D2141"/>
    </row>
    <row r="2142" spans="4:4" x14ac:dyDescent="0.3">
      <c r="D2142"/>
    </row>
    <row r="2143" spans="4:4" x14ac:dyDescent="0.3">
      <c r="D2143"/>
    </row>
    <row r="2144" spans="4:4" x14ac:dyDescent="0.3">
      <c r="D2144"/>
    </row>
    <row r="2145" spans="4:4" x14ac:dyDescent="0.3">
      <c r="D2145"/>
    </row>
    <row r="2146" spans="4:4" x14ac:dyDescent="0.3">
      <c r="D2146"/>
    </row>
    <row r="2147" spans="4:4" x14ac:dyDescent="0.3">
      <c r="D2147"/>
    </row>
    <row r="2148" spans="4:4" x14ac:dyDescent="0.3">
      <c r="D2148"/>
    </row>
    <row r="2149" spans="4:4" x14ac:dyDescent="0.3">
      <c r="D2149"/>
    </row>
    <row r="2150" spans="4:4" x14ac:dyDescent="0.3">
      <c r="D2150"/>
    </row>
    <row r="2151" spans="4:4" x14ac:dyDescent="0.3">
      <c r="D2151"/>
    </row>
    <row r="2152" spans="4:4" x14ac:dyDescent="0.3">
      <c r="D2152"/>
    </row>
    <row r="2153" spans="4:4" x14ac:dyDescent="0.3">
      <c r="D2153"/>
    </row>
    <row r="2154" spans="4:4" x14ac:dyDescent="0.3">
      <c r="D2154"/>
    </row>
    <row r="2155" spans="4:4" x14ac:dyDescent="0.3">
      <c r="D2155"/>
    </row>
    <row r="2156" spans="4:4" x14ac:dyDescent="0.3">
      <c r="D2156"/>
    </row>
    <row r="2157" spans="4:4" x14ac:dyDescent="0.3">
      <c r="D2157"/>
    </row>
    <row r="2158" spans="4:4" x14ac:dyDescent="0.3">
      <c r="D2158"/>
    </row>
    <row r="2159" spans="4:4" x14ac:dyDescent="0.3">
      <c r="D2159"/>
    </row>
    <row r="2160" spans="4:4" x14ac:dyDescent="0.3">
      <c r="D2160"/>
    </row>
    <row r="2161" spans="4:4" x14ac:dyDescent="0.3">
      <c r="D2161"/>
    </row>
    <row r="2162" spans="4:4" x14ac:dyDescent="0.3">
      <c r="D2162"/>
    </row>
    <row r="2163" spans="4:4" x14ac:dyDescent="0.3">
      <c r="D2163"/>
    </row>
    <row r="2164" spans="4:4" x14ac:dyDescent="0.3">
      <c r="D2164"/>
    </row>
    <row r="2165" spans="4:4" x14ac:dyDescent="0.3">
      <c r="D2165"/>
    </row>
    <row r="2166" spans="4:4" x14ac:dyDescent="0.3">
      <c r="D2166"/>
    </row>
    <row r="2167" spans="4:4" x14ac:dyDescent="0.3">
      <c r="D2167"/>
    </row>
    <row r="2168" spans="4:4" x14ac:dyDescent="0.3">
      <c r="D2168"/>
    </row>
    <row r="2169" spans="4:4" x14ac:dyDescent="0.3">
      <c r="D2169"/>
    </row>
    <row r="2170" spans="4:4" x14ac:dyDescent="0.3">
      <c r="D2170"/>
    </row>
    <row r="2171" spans="4:4" x14ac:dyDescent="0.3">
      <c r="D2171"/>
    </row>
    <row r="2172" spans="4:4" x14ac:dyDescent="0.3">
      <c r="D2172"/>
    </row>
    <row r="2173" spans="4:4" x14ac:dyDescent="0.3">
      <c r="D2173"/>
    </row>
    <row r="2174" spans="4:4" x14ac:dyDescent="0.3">
      <c r="D2174"/>
    </row>
    <row r="2175" spans="4:4" x14ac:dyDescent="0.3">
      <c r="D2175"/>
    </row>
    <row r="2176" spans="4:4" x14ac:dyDescent="0.3">
      <c r="D2176"/>
    </row>
    <row r="2177" spans="4:4" x14ac:dyDescent="0.3">
      <c r="D2177"/>
    </row>
    <row r="2178" spans="4:4" x14ac:dyDescent="0.3">
      <c r="D2178"/>
    </row>
    <row r="2179" spans="4:4" x14ac:dyDescent="0.3">
      <c r="D2179"/>
    </row>
    <row r="2180" spans="4:4" x14ac:dyDescent="0.3">
      <c r="D2180"/>
    </row>
    <row r="2181" spans="4:4" x14ac:dyDescent="0.3">
      <c r="D2181"/>
    </row>
    <row r="2182" spans="4:4" x14ac:dyDescent="0.3">
      <c r="D2182"/>
    </row>
    <row r="2183" spans="4:4" x14ac:dyDescent="0.3">
      <c r="D2183"/>
    </row>
    <row r="2184" spans="4:4" x14ac:dyDescent="0.3">
      <c r="D2184"/>
    </row>
    <row r="2185" spans="4:4" x14ac:dyDescent="0.3">
      <c r="D2185"/>
    </row>
    <row r="2186" spans="4:4" x14ac:dyDescent="0.3">
      <c r="D2186"/>
    </row>
    <row r="2187" spans="4:4" x14ac:dyDescent="0.3">
      <c r="D2187"/>
    </row>
    <row r="2188" spans="4:4" x14ac:dyDescent="0.3">
      <c r="D2188"/>
    </row>
    <row r="2189" spans="4:4" x14ac:dyDescent="0.3">
      <c r="D2189"/>
    </row>
    <row r="2190" spans="4:4" x14ac:dyDescent="0.3">
      <c r="D2190"/>
    </row>
    <row r="2191" spans="4:4" x14ac:dyDescent="0.3">
      <c r="D2191"/>
    </row>
    <row r="2192" spans="4:4" x14ac:dyDescent="0.3">
      <c r="D2192"/>
    </row>
    <row r="2193" spans="4:4" x14ac:dyDescent="0.3">
      <c r="D2193"/>
    </row>
    <row r="2194" spans="4:4" x14ac:dyDescent="0.3">
      <c r="D2194"/>
    </row>
    <row r="2195" spans="4:4" x14ac:dyDescent="0.3">
      <c r="D2195"/>
    </row>
    <row r="2196" spans="4:4" x14ac:dyDescent="0.3">
      <c r="D2196"/>
    </row>
    <row r="2197" spans="4:4" x14ac:dyDescent="0.3">
      <c r="D2197"/>
    </row>
    <row r="2198" spans="4:4" x14ac:dyDescent="0.3">
      <c r="D2198"/>
    </row>
    <row r="2199" spans="4:4" x14ac:dyDescent="0.3">
      <c r="D2199"/>
    </row>
    <row r="2200" spans="4:4" x14ac:dyDescent="0.3">
      <c r="D2200"/>
    </row>
    <row r="2201" spans="4:4" x14ac:dyDescent="0.3">
      <c r="D2201"/>
    </row>
    <row r="2202" spans="4:4" x14ac:dyDescent="0.3">
      <c r="D2202"/>
    </row>
    <row r="2203" spans="4:4" x14ac:dyDescent="0.3">
      <c r="D2203"/>
    </row>
    <row r="2204" spans="4:4" x14ac:dyDescent="0.3">
      <c r="D2204"/>
    </row>
    <row r="2205" spans="4:4" x14ac:dyDescent="0.3">
      <c r="D2205"/>
    </row>
    <row r="2206" spans="4:4" x14ac:dyDescent="0.3">
      <c r="D2206"/>
    </row>
    <row r="2207" spans="4:4" x14ac:dyDescent="0.3">
      <c r="D2207"/>
    </row>
    <row r="2208" spans="4:4" x14ac:dyDescent="0.3">
      <c r="D2208"/>
    </row>
    <row r="2209" spans="4:4" x14ac:dyDescent="0.3">
      <c r="D2209"/>
    </row>
    <row r="2210" spans="4:4" x14ac:dyDescent="0.3">
      <c r="D2210"/>
    </row>
    <row r="2211" spans="4:4" x14ac:dyDescent="0.3">
      <c r="D2211"/>
    </row>
    <row r="2212" spans="4:4" x14ac:dyDescent="0.3">
      <c r="D2212"/>
    </row>
    <row r="2213" spans="4:4" x14ac:dyDescent="0.3">
      <c r="D2213"/>
    </row>
    <row r="2214" spans="4:4" x14ac:dyDescent="0.3">
      <c r="D2214"/>
    </row>
    <row r="2215" spans="4:4" x14ac:dyDescent="0.3">
      <c r="D2215"/>
    </row>
    <row r="2216" spans="4:4" x14ac:dyDescent="0.3">
      <c r="D2216"/>
    </row>
    <row r="2217" spans="4:4" x14ac:dyDescent="0.3">
      <c r="D2217"/>
    </row>
    <row r="2218" spans="4:4" x14ac:dyDescent="0.3">
      <c r="D2218"/>
    </row>
    <row r="2219" spans="4:4" x14ac:dyDescent="0.3">
      <c r="D2219"/>
    </row>
    <row r="2220" spans="4:4" x14ac:dyDescent="0.3">
      <c r="D2220"/>
    </row>
    <row r="2221" spans="4:4" x14ac:dyDescent="0.3">
      <c r="D2221"/>
    </row>
    <row r="2222" spans="4:4" x14ac:dyDescent="0.3">
      <c r="D2222"/>
    </row>
    <row r="2223" spans="4:4" x14ac:dyDescent="0.3">
      <c r="D2223"/>
    </row>
    <row r="2224" spans="4:4" x14ac:dyDescent="0.3">
      <c r="D2224"/>
    </row>
    <row r="2225" spans="4:4" x14ac:dyDescent="0.3">
      <c r="D2225"/>
    </row>
    <row r="2226" spans="4:4" x14ac:dyDescent="0.3">
      <c r="D2226"/>
    </row>
    <row r="2227" spans="4:4" x14ac:dyDescent="0.3">
      <c r="D2227"/>
    </row>
    <row r="2228" spans="4:4" x14ac:dyDescent="0.3">
      <c r="D2228"/>
    </row>
    <row r="2229" spans="4:4" x14ac:dyDescent="0.3">
      <c r="D2229"/>
    </row>
    <row r="2230" spans="4:4" x14ac:dyDescent="0.3">
      <c r="D2230"/>
    </row>
    <row r="2231" spans="4:4" x14ac:dyDescent="0.3">
      <c r="D2231"/>
    </row>
    <row r="2232" spans="4:4" x14ac:dyDescent="0.3">
      <c r="D2232"/>
    </row>
    <row r="2233" spans="4:4" x14ac:dyDescent="0.3">
      <c r="D2233"/>
    </row>
    <row r="2234" spans="4:4" x14ac:dyDescent="0.3">
      <c r="D2234"/>
    </row>
    <row r="2235" spans="4:4" x14ac:dyDescent="0.3">
      <c r="D2235"/>
    </row>
    <row r="2236" spans="4:4" x14ac:dyDescent="0.3">
      <c r="D2236"/>
    </row>
    <row r="2237" spans="4:4" x14ac:dyDescent="0.3">
      <c r="D2237"/>
    </row>
    <row r="2238" spans="4:4" x14ac:dyDescent="0.3">
      <c r="D2238"/>
    </row>
    <row r="2239" spans="4:4" x14ac:dyDescent="0.3">
      <c r="D2239"/>
    </row>
    <row r="2240" spans="4:4" x14ac:dyDescent="0.3">
      <c r="D2240"/>
    </row>
    <row r="2241" spans="4:4" x14ac:dyDescent="0.3">
      <c r="D2241"/>
    </row>
    <row r="2242" spans="4:4" x14ac:dyDescent="0.3">
      <c r="D2242"/>
    </row>
    <row r="2243" spans="4:4" x14ac:dyDescent="0.3">
      <c r="D2243"/>
    </row>
    <row r="2244" spans="4:4" x14ac:dyDescent="0.3">
      <c r="D2244"/>
    </row>
    <row r="2245" spans="4:4" x14ac:dyDescent="0.3">
      <c r="D2245"/>
    </row>
    <row r="2246" spans="4:4" x14ac:dyDescent="0.3">
      <c r="D2246"/>
    </row>
    <row r="2247" spans="4:4" x14ac:dyDescent="0.3">
      <c r="D2247"/>
    </row>
    <row r="2248" spans="4:4" x14ac:dyDescent="0.3">
      <c r="D2248"/>
    </row>
    <row r="2249" spans="4:4" x14ac:dyDescent="0.3">
      <c r="D2249"/>
    </row>
    <row r="2250" spans="4:4" x14ac:dyDescent="0.3">
      <c r="D2250"/>
    </row>
    <row r="2251" spans="4:4" x14ac:dyDescent="0.3">
      <c r="D2251"/>
    </row>
    <row r="2252" spans="4:4" x14ac:dyDescent="0.3">
      <c r="D2252"/>
    </row>
    <row r="2253" spans="4:4" x14ac:dyDescent="0.3">
      <c r="D2253"/>
    </row>
    <row r="2254" spans="4:4" x14ac:dyDescent="0.3">
      <c r="D2254"/>
    </row>
    <row r="2255" spans="4:4" x14ac:dyDescent="0.3">
      <c r="D2255"/>
    </row>
    <row r="2256" spans="4:4" x14ac:dyDescent="0.3">
      <c r="D2256"/>
    </row>
    <row r="2257" spans="4:4" x14ac:dyDescent="0.3">
      <c r="D2257"/>
    </row>
    <row r="2258" spans="4:4" x14ac:dyDescent="0.3">
      <c r="D2258"/>
    </row>
    <row r="2259" spans="4:4" x14ac:dyDescent="0.3">
      <c r="D2259"/>
    </row>
    <row r="2260" spans="4:4" x14ac:dyDescent="0.3">
      <c r="D2260"/>
    </row>
    <row r="2261" spans="4:4" x14ac:dyDescent="0.3">
      <c r="D2261"/>
    </row>
    <row r="2262" spans="4:4" x14ac:dyDescent="0.3">
      <c r="D2262"/>
    </row>
    <row r="2263" spans="4:4" x14ac:dyDescent="0.3">
      <c r="D2263"/>
    </row>
    <row r="2264" spans="4:4" x14ac:dyDescent="0.3">
      <c r="D2264"/>
    </row>
    <row r="2265" spans="4:4" x14ac:dyDescent="0.3">
      <c r="D2265"/>
    </row>
    <row r="2266" spans="4:4" x14ac:dyDescent="0.3">
      <c r="D2266"/>
    </row>
    <row r="2267" spans="4:4" x14ac:dyDescent="0.3">
      <c r="D2267"/>
    </row>
    <row r="2268" spans="4:4" x14ac:dyDescent="0.3">
      <c r="D2268"/>
    </row>
    <row r="2269" spans="4:4" x14ac:dyDescent="0.3">
      <c r="D2269"/>
    </row>
    <row r="2270" spans="4:4" x14ac:dyDescent="0.3">
      <c r="D2270"/>
    </row>
    <row r="2271" spans="4:4" x14ac:dyDescent="0.3">
      <c r="D2271"/>
    </row>
    <row r="2272" spans="4:4" x14ac:dyDescent="0.3">
      <c r="D2272"/>
    </row>
    <row r="2273" spans="4:4" x14ac:dyDescent="0.3">
      <c r="D2273"/>
    </row>
    <row r="2274" spans="4:4" x14ac:dyDescent="0.3">
      <c r="D2274"/>
    </row>
    <row r="2275" spans="4:4" x14ac:dyDescent="0.3">
      <c r="D2275"/>
    </row>
    <row r="2276" spans="4:4" x14ac:dyDescent="0.3">
      <c r="D2276"/>
    </row>
    <row r="2277" spans="4:4" x14ac:dyDescent="0.3">
      <c r="D2277"/>
    </row>
    <row r="2278" spans="4:4" x14ac:dyDescent="0.3">
      <c r="D2278"/>
    </row>
    <row r="2279" spans="4:4" x14ac:dyDescent="0.3">
      <c r="D2279"/>
    </row>
    <row r="2280" spans="4:4" x14ac:dyDescent="0.3">
      <c r="D2280"/>
    </row>
    <row r="2281" spans="4:4" x14ac:dyDescent="0.3">
      <c r="D2281"/>
    </row>
    <row r="2282" spans="4:4" x14ac:dyDescent="0.3">
      <c r="D2282"/>
    </row>
    <row r="2283" spans="4:4" x14ac:dyDescent="0.3">
      <c r="D2283"/>
    </row>
    <row r="2284" spans="4:4" x14ac:dyDescent="0.3">
      <c r="D2284"/>
    </row>
    <row r="2285" spans="4:4" x14ac:dyDescent="0.3">
      <c r="D2285"/>
    </row>
    <row r="2286" spans="4:4" x14ac:dyDescent="0.3">
      <c r="D2286"/>
    </row>
    <row r="2287" spans="4:4" x14ac:dyDescent="0.3">
      <c r="D2287"/>
    </row>
    <row r="2288" spans="4:4" x14ac:dyDescent="0.3">
      <c r="D2288"/>
    </row>
    <row r="2289" spans="4:4" x14ac:dyDescent="0.3">
      <c r="D2289"/>
    </row>
    <row r="2290" spans="4:4" x14ac:dyDescent="0.3">
      <c r="D2290"/>
    </row>
    <row r="2291" spans="4:4" x14ac:dyDescent="0.3">
      <c r="D2291"/>
    </row>
    <row r="2292" spans="4:4" x14ac:dyDescent="0.3">
      <c r="D2292"/>
    </row>
    <row r="2293" spans="4:4" x14ac:dyDescent="0.3">
      <c r="D2293"/>
    </row>
    <row r="2294" spans="4:4" x14ac:dyDescent="0.3">
      <c r="D2294"/>
    </row>
    <row r="2295" spans="4:4" x14ac:dyDescent="0.3">
      <c r="D2295"/>
    </row>
    <row r="2296" spans="4:4" x14ac:dyDescent="0.3">
      <c r="D2296"/>
    </row>
    <row r="2297" spans="4:4" x14ac:dyDescent="0.3">
      <c r="D2297"/>
    </row>
    <row r="2298" spans="4:4" x14ac:dyDescent="0.3">
      <c r="D2298"/>
    </row>
    <row r="2299" spans="4:4" x14ac:dyDescent="0.3">
      <c r="D2299"/>
    </row>
    <row r="2300" spans="4:4" x14ac:dyDescent="0.3">
      <c r="D2300"/>
    </row>
    <row r="2301" spans="4:4" x14ac:dyDescent="0.3">
      <c r="D2301"/>
    </row>
    <row r="2302" spans="4:4" x14ac:dyDescent="0.3">
      <c r="D2302"/>
    </row>
    <row r="2303" spans="4:4" x14ac:dyDescent="0.3">
      <c r="D2303"/>
    </row>
    <row r="2304" spans="4:4" x14ac:dyDescent="0.3">
      <c r="D2304"/>
    </row>
    <row r="2305" spans="4:4" x14ac:dyDescent="0.3">
      <c r="D2305"/>
    </row>
    <row r="2306" spans="4:4" x14ac:dyDescent="0.3">
      <c r="D2306"/>
    </row>
    <row r="2307" spans="4:4" x14ac:dyDescent="0.3">
      <c r="D2307"/>
    </row>
    <row r="2308" spans="4:4" x14ac:dyDescent="0.3">
      <c r="D2308"/>
    </row>
    <row r="2309" spans="4:4" x14ac:dyDescent="0.3">
      <c r="D2309"/>
    </row>
    <row r="2310" spans="4:4" x14ac:dyDescent="0.3">
      <c r="D2310"/>
    </row>
    <row r="2311" spans="4:4" x14ac:dyDescent="0.3">
      <c r="D2311"/>
    </row>
    <row r="2312" spans="4:4" x14ac:dyDescent="0.3">
      <c r="D2312"/>
    </row>
    <row r="2313" spans="4:4" x14ac:dyDescent="0.3">
      <c r="D2313"/>
    </row>
    <row r="2314" spans="4:4" x14ac:dyDescent="0.3">
      <c r="D2314"/>
    </row>
    <row r="2315" spans="4:4" x14ac:dyDescent="0.3">
      <c r="D2315"/>
    </row>
    <row r="2316" spans="4:4" x14ac:dyDescent="0.3">
      <c r="D2316"/>
    </row>
    <row r="2317" spans="4:4" x14ac:dyDescent="0.3">
      <c r="D2317"/>
    </row>
    <row r="2318" spans="4:4" x14ac:dyDescent="0.3">
      <c r="D2318"/>
    </row>
    <row r="2319" spans="4:4" x14ac:dyDescent="0.3">
      <c r="D2319"/>
    </row>
    <row r="2320" spans="4:4" x14ac:dyDescent="0.3">
      <c r="D2320"/>
    </row>
    <row r="2321" spans="4:4" x14ac:dyDescent="0.3">
      <c r="D2321"/>
    </row>
    <row r="2322" spans="4:4" x14ac:dyDescent="0.3">
      <c r="D2322"/>
    </row>
    <row r="2323" spans="4:4" x14ac:dyDescent="0.3">
      <c r="D2323"/>
    </row>
    <row r="2324" spans="4:4" x14ac:dyDescent="0.3">
      <c r="D2324"/>
    </row>
    <row r="2325" spans="4:4" x14ac:dyDescent="0.3">
      <c r="D2325"/>
    </row>
    <row r="2326" spans="4:4" x14ac:dyDescent="0.3">
      <c r="D2326"/>
    </row>
    <row r="2327" spans="4:4" x14ac:dyDescent="0.3">
      <c r="D2327"/>
    </row>
    <row r="2328" spans="4:4" x14ac:dyDescent="0.3">
      <c r="D2328"/>
    </row>
    <row r="2329" spans="4:4" x14ac:dyDescent="0.3">
      <c r="D2329"/>
    </row>
    <row r="2330" spans="4:4" x14ac:dyDescent="0.3">
      <c r="D2330"/>
    </row>
    <row r="2331" spans="4:4" x14ac:dyDescent="0.3">
      <c r="D2331"/>
    </row>
    <row r="2332" spans="4:4" x14ac:dyDescent="0.3">
      <c r="D2332"/>
    </row>
    <row r="2333" spans="4:4" x14ac:dyDescent="0.3">
      <c r="D2333"/>
    </row>
    <row r="2334" spans="4:4" x14ac:dyDescent="0.3">
      <c r="D2334"/>
    </row>
    <row r="2335" spans="4:4" x14ac:dyDescent="0.3">
      <c r="D2335"/>
    </row>
    <row r="2336" spans="4:4" x14ac:dyDescent="0.3">
      <c r="D2336"/>
    </row>
    <row r="2337" spans="4:4" x14ac:dyDescent="0.3">
      <c r="D2337"/>
    </row>
    <row r="2338" spans="4:4" x14ac:dyDescent="0.3">
      <c r="D2338"/>
    </row>
    <row r="2339" spans="4:4" x14ac:dyDescent="0.3">
      <c r="D2339"/>
    </row>
    <row r="2340" spans="4:4" x14ac:dyDescent="0.3">
      <c r="D2340"/>
    </row>
    <row r="2341" spans="4:4" x14ac:dyDescent="0.3">
      <c r="D2341"/>
    </row>
    <row r="2342" spans="4:4" x14ac:dyDescent="0.3">
      <c r="D2342"/>
    </row>
    <row r="2343" spans="4:4" x14ac:dyDescent="0.3">
      <c r="D2343"/>
    </row>
    <row r="2344" spans="4:4" x14ac:dyDescent="0.3">
      <c r="D2344"/>
    </row>
    <row r="2345" spans="4:4" x14ac:dyDescent="0.3">
      <c r="D2345"/>
    </row>
    <row r="2346" spans="4:4" x14ac:dyDescent="0.3">
      <c r="D2346"/>
    </row>
    <row r="2347" spans="4:4" x14ac:dyDescent="0.3">
      <c r="D2347"/>
    </row>
    <row r="2348" spans="4:4" x14ac:dyDescent="0.3">
      <c r="D2348"/>
    </row>
    <row r="2349" spans="4:4" x14ac:dyDescent="0.3">
      <c r="D2349"/>
    </row>
    <row r="2350" spans="4:4" x14ac:dyDescent="0.3">
      <c r="D2350"/>
    </row>
    <row r="2351" spans="4:4" x14ac:dyDescent="0.3">
      <c r="D2351"/>
    </row>
    <row r="2352" spans="4:4" x14ac:dyDescent="0.3">
      <c r="D2352"/>
    </row>
    <row r="2353" spans="4:4" x14ac:dyDescent="0.3">
      <c r="D2353"/>
    </row>
    <row r="2354" spans="4:4" x14ac:dyDescent="0.3">
      <c r="D2354"/>
    </row>
    <row r="2355" spans="4:4" x14ac:dyDescent="0.3">
      <c r="D2355"/>
    </row>
    <row r="2356" spans="4:4" x14ac:dyDescent="0.3">
      <c r="D2356"/>
    </row>
    <row r="2357" spans="4:4" x14ac:dyDescent="0.3">
      <c r="D2357"/>
    </row>
    <row r="2358" spans="4:4" x14ac:dyDescent="0.3">
      <c r="D2358"/>
    </row>
    <row r="2359" spans="4:4" x14ac:dyDescent="0.3">
      <c r="D2359"/>
    </row>
    <row r="2360" spans="4:4" x14ac:dyDescent="0.3">
      <c r="D2360"/>
    </row>
    <row r="2361" spans="4:4" x14ac:dyDescent="0.3">
      <c r="D2361"/>
    </row>
    <row r="2362" spans="4:4" x14ac:dyDescent="0.3">
      <c r="D2362"/>
    </row>
    <row r="2363" spans="4:4" x14ac:dyDescent="0.3">
      <c r="D2363"/>
    </row>
    <row r="2364" spans="4:4" x14ac:dyDescent="0.3">
      <c r="D2364"/>
    </row>
    <row r="2365" spans="4:4" x14ac:dyDescent="0.3">
      <c r="D2365"/>
    </row>
    <row r="2366" spans="4:4" x14ac:dyDescent="0.3">
      <c r="D2366"/>
    </row>
    <row r="2367" spans="4:4" x14ac:dyDescent="0.3">
      <c r="D2367"/>
    </row>
    <row r="2368" spans="4:4" x14ac:dyDescent="0.3">
      <c r="D2368"/>
    </row>
    <row r="2369" spans="4:4" x14ac:dyDescent="0.3">
      <c r="D2369"/>
    </row>
    <row r="2370" spans="4:4" x14ac:dyDescent="0.3">
      <c r="D2370"/>
    </row>
    <row r="2371" spans="4:4" x14ac:dyDescent="0.3">
      <c r="D2371"/>
    </row>
    <row r="2372" spans="4:4" x14ac:dyDescent="0.3">
      <c r="D2372"/>
    </row>
    <row r="2373" spans="4:4" x14ac:dyDescent="0.3">
      <c r="D2373"/>
    </row>
    <row r="2374" spans="4:4" x14ac:dyDescent="0.3">
      <c r="D2374"/>
    </row>
    <row r="2375" spans="4:4" x14ac:dyDescent="0.3">
      <c r="D2375"/>
    </row>
    <row r="2376" spans="4:4" x14ac:dyDescent="0.3">
      <c r="D2376"/>
    </row>
    <row r="2377" spans="4:4" x14ac:dyDescent="0.3">
      <c r="D2377"/>
    </row>
    <row r="2378" spans="4:4" x14ac:dyDescent="0.3">
      <c r="D2378"/>
    </row>
    <row r="2379" spans="4:4" x14ac:dyDescent="0.3">
      <c r="D2379"/>
    </row>
    <row r="2380" spans="4:4" x14ac:dyDescent="0.3">
      <c r="D2380"/>
    </row>
    <row r="2381" spans="4:4" x14ac:dyDescent="0.3">
      <c r="D2381"/>
    </row>
    <row r="2382" spans="4:4" x14ac:dyDescent="0.3">
      <c r="D2382"/>
    </row>
    <row r="2383" spans="4:4" x14ac:dyDescent="0.3">
      <c r="D2383"/>
    </row>
    <row r="2384" spans="4:4" x14ac:dyDescent="0.3">
      <c r="D2384"/>
    </row>
    <row r="2385" spans="4:4" x14ac:dyDescent="0.3">
      <c r="D2385"/>
    </row>
    <row r="2386" spans="4:4" x14ac:dyDescent="0.3">
      <c r="D2386"/>
    </row>
    <row r="2387" spans="4:4" x14ac:dyDescent="0.3">
      <c r="D2387"/>
    </row>
    <row r="2388" spans="4:4" x14ac:dyDescent="0.3">
      <c r="D2388"/>
    </row>
    <row r="2389" spans="4:4" x14ac:dyDescent="0.3">
      <c r="D2389"/>
    </row>
    <row r="2390" spans="4:4" x14ac:dyDescent="0.3">
      <c r="D2390"/>
    </row>
    <row r="2391" spans="4:4" x14ac:dyDescent="0.3">
      <c r="D2391"/>
    </row>
    <row r="2392" spans="4:4" x14ac:dyDescent="0.3">
      <c r="D2392"/>
    </row>
    <row r="2393" spans="4:4" x14ac:dyDescent="0.3">
      <c r="D2393"/>
    </row>
    <row r="2394" spans="4:4" x14ac:dyDescent="0.3">
      <c r="D2394"/>
    </row>
    <row r="2395" spans="4:4" x14ac:dyDescent="0.3">
      <c r="D2395"/>
    </row>
    <row r="2396" spans="4:4" x14ac:dyDescent="0.3">
      <c r="D2396"/>
    </row>
    <row r="2397" spans="4:4" x14ac:dyDescent="0.3">
      <c r="D2397"/>
    </row>
    <row r="2398" spans="4:4" x14ac:dyDescent="0.3">
      <c r="D2398"/>
    </row>
    <row r="2399" spans="4:4" x14ac:dyDescent="0.3">
      <c r="D2399"/>
    </row>
    <row r="2400" spans="4:4" x14ac:dyDescent="0.3">
      <c r="D2400"/>
    </row>
    <row r="2401" spans="4:4" x14ac:dyDescent="0.3">
      <c r="D2401"/>
    </row>
    <row r="2402" spans="4:4" x14ac:dyDescent="0.3">
      <c r="D2402"/>
    </row>
    <row r="2403" spans="4:4" x14ac:dyDescent="0.3">
      <c r="D2403"/>
    </row>
    <row r="2404" spans="4:4" x14ac:dyDescent="0.3">
      <c r="D2404"/>
    </row>
    <row r="2405" spans="4:4" x14ac:dyDescent="0.3">
      <c r="D2405"/>
    </row>
    <row r="2406" spans="4:4" x14ac:dyDescent="0.3">
      <c r="D2406"/>
    </row>
    <row r="2407" spans="4:4" x14ac:dyDescent="0.3">
      <c r="D2407"/>
    </row>
    <row r="2408" spans="4:4" x14ac:dyDescent="0.3">
      <c r="D2408"/>
    </row>
    <row r="2409" spans="4:4" x14ac:dyDescent="0.3">
      <c r="D2409"/>
    </row>
    <row r="2410" spans="4:4" x14ac:dyDescent="0.3">
      <c r="D2410"/>
    </row>
    <row r="2411" spans="4:4" x14ac:dyDescent="0.3">
      <c r="D2411"/>
    </row>
    <row r="2412" spans="4:4" x14ac:dyDescent="0.3">
      <c r="D2412"/>
    </row>
    <row r="2413" spans="4:4" x14ac:dyDescent="0.3">
      <c r="D2413"/>
    </row>
    <row r="2414" spans="4:4" x14ac:dyDescent="0.3">
      <c r="D2414"/>
    </row>
    <row r="2415" spans="4:4" x14ac:dyDescent="0.3">
      <c r="D2415"/>
    </row>
    <row r="2416" spans="4:4" x14ac:dyDescent="0.3">
      <c r="D2416"/>
    </row>
    <row r="2417" spans="4:4" x14ac:dyDescent="0.3">
      <c r="D2417"/>
    </row>
    <row r="2418" spans="4:4" x14ac:dyDescent="0.3">
      <c r="D2418"/>
    </row>
    <row r="2419" spans="4:4" x14ac:dyDescent="0.3">
      <c r="D2419"/>
    </row>
    <row r="2420" spans="4:4" x14ac:dyDescent="0.3">
      <c r="D2420"/>
    </row>
    <row r="2421" spans="4:4" x14ac:dyDescent="0.3">
      <c r="D2421"/>
    </row>
    <row r="2422" spans="4:4" x14ac:dyDescent="0.3">
      <c r="D2422"/>
    </row>
    <row r="2423" spans="4:4" x14ac:dyDescent="0.3">
      <c r="D2423"/>
    </row>
    <row r="2424" spans="4:4" x14ac:dyDescent="0.3">
      <c r="D2424"/>
    </row>
    <row r="2425" spans="4:4" x14ac:dyDescent="0.3">
      <c r="D2425"/>
    </row>
    <row r="2426" spans="4:4" x14ac:dyDescent="0.3">
      <c r="D2426"/>
    </row>
    <row r="2427" spans="4:4" x14ac:dyDescent="0.3">
      <c r="D2427"/>
    </row>
    <row r="2428" spans="4:4" x14ac:dyDescent="0.3">
      <c r="D2428"/>
    </row>
    <row r="2429" spans="4:4" x14ac:dyDescent="0.3">
      <c r="D2429"/>
    </row>
    <row r="2430" spans="4:4" x14ac:dyDescent="0.3">
      <c r="D2430"/>
    </row>
    <row r="2431" spans="4:4" x14ac:dyDescent="0.3">
      <c r="D2431"/>
    </row>
    <row r="2432" spans="4:4" x14ac:dyDescent="0.3">
      <c r="D2432"/>
    </row>
    <row r="2433" spans="4:4" x14ac:dyDescent="0.3">
      <c r="D2433"/>
    </row>
    <row r="2434" spans="4:4" x14ac:dyDescent="0.3">
      <c r="D2434"/>
    </row>
    <row r="2435" spans="4:4" x14ac:dyDescent="0.3">
      <c r="D2435"/>
    </row>
    <row r="2436" spans="4:4" x14ac:dyDescent="0.3">
      <c r="D2436"/>
    </row>
    <row r="2437" spans="4:4" x14ac:dyDescent="0.3">
      <c r="D2437"/>
    </row>
    <row r="2438" spans="4:4" x14ac:dyDescent="0.3">
      <c r="D2438"/>
    </row>
    <row r="2439" spans="4:4" x14ac:dyDescent="0.3">
      <c r="D2439"/>
    </row>
    <row r="2440" spans="4:4" x14ac:dyDescent="0.3">
      <c r="D2440"/>
    </row>
    <row r="2441" spans="4:4" x14ac:dyDescent="0.3">
      <c r="D2441"/>
    </row>
    <row r="2442" spans="4:4" x14ac:dyDescent="0.3">
      <c r="D2442"/>
    </row>
    <row r="2443" spans="4:4" x14ac:dyDescent="0.3">
      <c r="D2443"/>
    </row>
    <row r="2444" spans="4:4" x14ac:dyDescent="0.3">
      <c r="D2444"/>
    </row>
    <row r="2445" spans="4:4" x14ac:dyDescent="0.3">
      <c r="D2445"/>
    </row>
    <row r="2446" spans="4:4" x14ac:dyDescent="0.3">
      <c r="D2446"/>
    </row>
    <row r="2447" spans="4:4" x14ac:dyDescent="0.3">
      <c r="D2447"/>
    </row>
    <row r="2448" spans="4:4" x14ac:dyDescent="0.3">
      <c r="D2448"/>
    </row>
    <row r="2449" spans="4:4" x14ac:dyDescent="0.3">
      <c r="D2449"/>
    </row>
    <row r="2450" spans="4:4" x14ac:dyDescent="0.3">
      <c r="D2450"/>
    </row>
    <row r="2451" spans="4:4" x14ac:dyDescent="0.3">
      <c r="D2451"/>
    </row>
    <row r="2452" spans="4:4" x14ac:dyDescent="0.3">
      <c r="D2452"/>
    </row>
    <row r="2453" spans="4:4" x14ac:dyDescent="0.3">
      <c r="D2453"/>
    </row>
    <row r="2454" spans="4:4" x14ac:dyDescent="0.3">
      <c r="D2454"/>
    </row>
    <row r="2455" spans="4:4" x14ac:dyDescent="0.3">
      <c r="D2455"/>
    </row>
    <row r="2456" spans="4:4" x14ac:dyDescent="0.3">
      <c r="D2456"/>
    </row>
    <row r="2457" spans="4:4" x14ac:dyDescent="0.3">
      <c r="D2457"/>
    </row>
    <row r="2458" spans="4:4" x14ac:dyDescent="0.3">
      <c r="D2458"/>
    </row>
    <row r="2459" spans="4:4" x14ac:dyDescent="0.3">
      <c r="D2459"/>
    </row>
    <row r="2460" spans="4:4" x14ac:dyDescent="0.3">
      <c r="D2460"/>
    </row>
    <row r="2461" spans="4:4" x14ac:dyDescent="0.3">
      <c r="D2461"/>
    </row>
    <row r="2462" spans="4:4" x14ac:dyDescent="0.3">
      <c r="D2462"/>
    </row>
    <row r="2463" spans="4:4" x14ac:dyDescent="0.3">
      <c r="D2463"/>
    </row>
    <row r="2464" spans="4:4" x14ac:dyDescent="0.3">
      <c r="D2464"/>
    </row>
    <row r="2465" spans="4:4" x14ac:dyDescent="0.3">
      <c r="D2465"/>
    </row>
    <row r="2466" spans="4:4" x14ac:dyDescent="0.3">
      <c r="D2466"/>
    </row>
    <row r="2467" spans="4:4" x14ac:dyDescent="0.3">
      <c r="D2467"/>
    </row>
    <row r="2468" spans="4:4" x14ac:dyDescent="0.3">
      <c r="D2468"/>
    </row>
    <row r="2469" spans="4:4" x14ac:dyDescent="0.3">
      <c r="D2469"/>
    </row>
    <row r="2470" spans="4:4" x14ac:dyDescent="0.3">
      <c r="D2470"/>
    </row>
    <row r="2471" spans="4:4" x14ac:dyDescent="0.3">
      <c r="D2471"/>
    </row>
    <row r="2472" spans="4:4" x14ac:dyDescent="0.3">
      <c r="D2472"/>
    </row>
    <row r="2473" spans="4:4" x14ac:dyDescent="0.3">
      <c r="D2473"/>
    </row>
    <row r="2474" spans="4:4" x14ac:dyDescent="0.3">
      <c r="D2474"/>
    </row>
    <row r="2475" spans="4:4" x14ac:dyDescent="0.3">
      <c r="D2475"/>
    </row>
    <row r="2476" spans="4:4" x14ac:dyDescent="0.3">
      <c r="D2476"/>
    </row>
    <row r="2477" spans="4:4" x14ac:dyDescent="0.3">
      <c r="D2477"/>
    </row>
    <row r="2478" spans="4:4" x14ac:dyDescent="0.3">
      <c r="D2478"/>
    </row>
    <row r="2479" spans="4:4" x14ac:dyDescent="0.3">
      <c r="D2479"/>
    </row>
    <row r="2480" spans="4:4" x14ac:dyDescent="0.3">
      <c r="D2480"/>
    </row>
    <row r="2481" spans="4:4" x14ac:dyDescent="0.3">
      <c r="D2481"/>
    </row>
    <row r="2482" spans="4:4" x14ac:dyDescent="0.3">
      <c r="D2482"/>
    </row>
    <row r="2483" spans="4:4" x14ac:dyDescent="0.3">
      <c r="D2483"/>
    </row>
    <row r="2484" spans="4:4" x14ac:dyDescent="0.3">
      <c r="D2484"/>
    </row>
    <row r="2485" spans="4:4" x14ac:dyDescent="0.3">
      <c r="D2485"/>
    </row>
    <row r="2486" spans="4:4" x14ac:dyDescent="0.3">
      <c r="D2486"/>
    </row>
    <row r="2487" spans="4:4" x14ac:dyDescent="0.3">
      <c r="D2487"/>
    </row>
    <row r="2488" spans="4:4" x14ac:dyDescent="0.3">
      <c r="D2488"/>
    </row>
    <row r="2489" spans="4:4" x14ac:dyDescent="0.3">
      <c r="D2489"/>
    </row>
    <row r="2490" spans="4:4" x14ac:dyDescent="0.3">
      <c r="D2490"/>
    </row>
    <row r="2491" spans="4:4" x14ac:dyDescent="0.3">
      <c r="D2491"/>
    </row>
    <row r="2492" spans="4:4" x14ac:dyDescent="0.3">
      <c r="D2492"/>
    </row>
    <row r="2493" spans="4:4" x14ac:dyDescent="0.3">
      <c r="D2493"/>
    </row>
    <row r="2494" spans="4:4" x14ac:dyDescent="0.3">
      <c r="D2494"/>
    </row>
    <row r="2495" spans="4:4" x14ac:dyDescent="0.3">
      <c r="D2495"/>
    </row>
    <row r="2496" spans="4:4" x14ac:dyDescent="0.3">
      <c r="D2496"/>
    </row>
    <row r="2497" spans="4:4" x14ac:dyDescent="0.3">
      <c r="D2497"/>
    </row>
    <row r="2498" spans="4:4" x14ac:dyDescent="0.3">
      <c r="D2498"/>
    </row>
    <row r="2499" spans="4:4" x14ac:dyDescent="0.3">
      <c r="D2499"/>
    </row>
    <row r="2500" spans="4:4" x14ac:dyDescent="0.3">
      <c r="D2500"/>
    </row>
    <row r="2501" spans="4:4" x14ac:dyDescent="0.3">
      <c r="D2501"/>
    </row>
    <row r="2502" spans="4:4" x14ac:dyDescent="0.3">
      <c r="D2502"/>
    </row>
    <row r="2503" spans="4:4" x14ac:dyDescent="0.3">
      <c r="D2503"/>
    </row>
    <row r="2504" spans="4:4" x14ac:dyDescent="0.3">
      <c r="D2504"/>
    </row>
    <row r="2505" spans="4:4" x14ac:dyDescent="0.3">
      <c r="D2505"/>
    </row>
    <row r="2506" spans="4:4" x14ac:dyDescent="0.3">
      <c r="D2506"/>
    </row>
    <row r="2507" spans="4:4" x14ac:dyDescent="0.3">
      <c r="D2507"/>
    </row>
    <row r="2508" spans="4:4" x14ac:dyDescent="0.3">
      <c r="D2508"/>
    </row>
    <row r="2509" spans="4:4" x14ac:dyDescent="0.3">
      <c r="D2509"/>
    </row>
    <row r="2510" spans="4:4" x14ac:dyDescent="0.3">
      <c r="D2510"/>
    </row>
    <row r="2511" spans="4:4" x14ac:dyDescent="0.3">
      <c r="D2511"/>
    </row>
    <row r="2512" spans="4:4" x14ac:dyDescent="0.3">
      <c r="D2512"/>
    </row>
    <row r="2513" spans="4:4" x14ac:dyDescent="0.3">
      <c r="D2513"/>
    </row>
    <row r="2514" spans="4:4" x14ac:dyDescent="0.3">
      <c r="D2514"/>
    </row>
    <row r="2515" spans="4:4" x14ac:dyDescent="0.3">
      <c r="D2515"/>
    </row>
    <row r="2516" spans="4:4" x14ac:dyDescent="0.3">
      <c r="D2516"/>
    </row>
    <row r="2517" spans="4:4" x14ac:dyDescent="0.3">
      <c r="D2517"/>
    </row>
    <row r="2518" spans="4:4" x14ac:dyDescent="0.3">
      <c r="D2518"/>
    </row>
    <row r="2519" spans="4:4" x14ac:dyDescent="0.3">
      <c r="D2519"/>
    </row>
    <row r="2520" spans="4:4" x14ac:dyDescent="0.3">
      <c r="D2520"/>
    </row>
    <row r="2521" spans="4:4" x14ac:dyDescent="0.3">
      <c r="D2521"/>
    </row>
    <row r="2522" spans="4:4" x14ac:dyDescent="0.3">
      <c r="D2522"/>
    </row>
    <row r="2523" spans="4:4" x14ac:dyDescent="0.3">
      <c r="D2523"/>
    </row>
    <row r="2524" spans="4:4" x14ac:dyDescent="0.3">
      <c r="D2524"/>
    </row>
    <row r="2525" spans="4:4" x14ac:dyDescent="0.3">
      <c r="D2525"/>
    </row>
    <row r="2526" spans="4:4" x14ac:dyDescent="0.3">
      <c r="D2526"/>
    </row>
    <row r="2527" spans="4:4" x14ac:dyDescent="0.3">
      <c r="D2527"/>
    </row>
    <row r="2528" spans="4:4" x14ac:dyDescent="0.3">
      <c r="D2528"/>
    </row>
    <row r="2529" spans="4:4" x14ac:dyDescent="0.3">
      <c r="D2529"/>
    </row>
    <row r="2530" spans="4:4" x14ac:dyDescent="0.3">
      <c r="D2530"/>
    </row>
    <row r="2531" spans="4:4" x14ac:dyDescent="0.3">
      <c r="D2531"/>
    </row>
    <row r="2532" spans="4:4" x14ac:dyDescent="0.3">
      <c r="D2532"/>
    </row>
    <row r="2533" spans="4:4" x14ac:dyDescent="0.3">
      <c r="D2533"/>
    </row>
    <row r="2534" spans="4:4" x14ac:dyDescent="0.3">
      <c r="D2534"/>
    </row>
    <row r="2535" spans="4:4" x14ac:dyDescent="0.3">
      <c r="D2535"/>
    </row>
    <row r="2536" spans="4:4" x14ac:dyDescent="0.3">
      <c r="D2536"/>
    </row>
    <row r="2537" spans="4:4" x14ac:dyDescent="0.3">
      <c r="D2537"/>
    </row>
    <row r="2538" spans="4:4" x14ac:dyDescent="0.3">
      <c r="D2538"/>
    </row>
    <row r="2539" spans="4:4" x14ac:dyDescent="0.3">
      <c r="D2539"/>
    </row>
    <row r="2540" spans="4:4" x14ac:dyDescent="0.3">
      <c r="D2540"/>
    </row>
    <row r="2541" spans="4:4" x14ac:dyDescent="0.3">
      <c r="D2541"/>
    </row>
    <row r="2542" spans="4:4" x14ac:dyDescent="0.3">
      <c r="D2542"/>
    </row>
    <row r="2543" spans="4:4" x14ac:dyDescent="0.3">
      <c r="D2543"/>
    </row>
    <row r="2544" spans="4:4" x14ac:dyDescent="0.3">
      <c r="D2544"/>
    </row>
    <row r="2545" spans="4:4" x14ac:dyDescent="0.3">
      <c r="D2545"/>
    </row>
    <row r="2546" spans="4:4" x14ac:dyDescent="0.3">
      <c r="D2546"/>
    </row>
    <row r="2547" spans="4:4" x14ac:dyDescent="0.3">
      <c r="D2547"/>
    </row>
    <row r="2548" spans="4:4" x14ac:dyDescent="0.3">
      <c r="D2548"/>
    </row>
    <row r="2549" spans="4:4" x14ac:dyDescent="0.3">
      <c r="D2549"/>
    </row>
    <row r="2550" spans="4:4" x14ac:dyDescent="0.3">
      <c r="D2550"/>
    </row>
    <row r="2551" spans="4:4" x14ac:dyDescent="0.3">
      <c r="D2551"/>
    </row>
    <row r="2552" spans="4:4" x14ac:dyDescent="0.3">
      <c r="D2552"/>
    </row>
    <row r="2553" spans="4:4" x14ac:dyDescent="0.3">
      <c r="D2553"/>
    </row>
    <row r="2554" spans="4:4" x14ac:dyDescent="0.3">
      <c r="D2554"/>
    </row>
    <row r="2555" spans="4:4" x14ac:dyDescent="0.3">
      <c r="D2555"/>
    </row>
    <row r="2556" spans="4:4" x14ac:dyDescent="0.3">
      <c r="D2556"/>
    </row>
    <row r="2557" spans="4:4" x14ac:dyDescent="0.3">
      <c r="D2557"/>
    </row>
    <row r="2558" spans="4:4" x14ac:dyDescent="0.3">
      <c r="D2558"/>
    </row>
    <row r="2559" spans="4:4" x14ac:dyDescent="0.3">
      <c r="D2559"/>
    </row>
    <row r="2560" spans="4:4" x14ac:dyDescent="0.3">
      <c r="D2560"/>
    </row>
    <row r="2561" spans="4:4" x14ac:dyDescent="0.3">
      <c r="D2561"/>
    </row>
    <row r="2562" spans="4:4" x14ac:dyDescent="0.3">
      <c r="D2562"/>
    </row>
    <row r="2563" spans="4:4" x14ac:dyDescent="0.3">
      <c r="D2563"/>
    </row>
    <row r="2564" spans="4:4" x14ac:dyDescent="0.3">
      <c r="D2564"/>
    </row>
    <row r="2565" spans="4:4" x14ac:dyDescent="0.3">
      <c r="D2565"/>
    </row>
    <row r="2566" spans="4:4" x14ac:dyDescent="0.3">
      <c r="D2566"/>
    </row>
    <row r="2567" spans="4:4" x14ac:dyDescent="0.3">
      <c r="D2567"/>
    </row>
    <row r="2568" spans="4:4" x14ac:dyDescent="0.3">
      <c r="D2568"/>
    </row>
    <row r="2569" spans="4:4" x14ac:dyDescent="0.3">
      <c r="D2569"/>
    </row>
    <row r="2570" spans="4:4" x14ac:dyDescent="0.3">
      <c r="D2570"/>
    </row>
    <row r="2571" spans="4:4" x14ac:dyDescent="0.3">
      <c r="D2571"/>
    </row>
    <row r="2572" spans="4:4" x14ac:dyDescent="0.3">
      <c r="D2572"/>
    </row>
    <row r="2573" spans="4:4" x14ac:dyDescent="0.3">
      <c r="D2573"/>
    </row>
    <row r="2574" spans="4:4" x14ac:dyDescent="0.3">
      <c r="D2574"/>
    </row>
    <row r="2575" spans="4:4" x14ac:dyDescent="0.3">
      <c r="D2575"/>
    </row>
    <row r="2576" spans="4:4" x14ac:dyDescent="0.3">
      <c r="D2576"/>
    </row>
    <row r="2577" spans="4:4" x14ac:dyDescent="0.3">
      <c r="D2577"/>
    </row>
    <row r="2578" spans="4:4" x14ac:dyDescent="0.3">
      <c r="D2578"/>
    </row>
    <row r="2579" spans="4:4" x14ac:dyDescent="0.3">
      <c r="D2579"/>
    </row>
    <row r="2580" spans="4:4" x14ac:dyDescent="0.3">
      <c r="D2580"/>
    </row>
    <row r="2581" spans="4:4" x14ac:dyDescent="0.3">
      <c r="D2581"/>
    </row>
    <row r="2582" spans="4:4" x14ac:dyDescent="0.3">
      <c r="D2582"/>
    </row>
    <row r="2583" spans="4:4" x14ac:dyDescent="0.3">
      <c r="D2583"/>
    </row>
    <row r="2584" spans="4:4" x14ac:dyDescent="0.3">
      <c r="D2584"/>
    </row>
    <row r="2585" spans="4:4" x14ac:dyDescent="0.3">
      <c r="D2585"/>
    </row>
    <row r="2586" spans="4:4" x14ac:dyDescent="0.3">
      <c r="D2586"/>
    </row>
    <row r="2587" spans="4:4" x14ac:dyDescent="0.3">
      <c r="D2587"/>
    </row>
    <row r="2588" spans="4:4" x14ac:dyDescent="0.3">
      <c r="D2588"/>
    </row>
    <row r="2589" spans="4:4" x14ac:dyDescent="0.3">
      <c r="D2589"/>
    </row>
    <row r="2590" spans="4:4" x14ac:dyDescent="0.3">
      <c r="D2590"/>
    </row>
    <row r="2591" spans="4:4" x14ac:dyDescent="0.3">
      <c r="D2591"/>
    </row>
    <row r="2592" spans="4:4" x14ac:dyDescent="0.3">
      <c r="D2592"/>
    </row>
    <row r="2593" spans="4:4" x14ac:dyDescent="0.3">
      <c r="D2593"/>
    </row>
    <row r="2594" spans="4:4" x14ac:dyDescent="0.3">
      <c r="D2594"/>
    </row>
    <row r="2595" spans="4:4" x14ac:dyDescent="0.3">
      <c r="D2595"/>
    </row>
    <row r="2596" spans="4:4" x14ac:dyDescent="0.3">
      <c r="D2596"/>
    </row>
    <row r="2597" spans="4:4" x14ac:dyDescent="0.3">
      <c r="D2597"/>
    </row>
    <row r="2598" spans="4:4" x14ac:dyDescent="0.3">
      <c r="D2598"/>
    </row>
    <row r="2599" spans="4:4" x14ac:dyDescent="0.3">
      <c r="D2599"/>
    </row>
    <row r="2600" spans="4:4" x14ac:dyDescent="0.3">
      <c r="D2600"/>
    </row>
    <row r="2601" spans="4:4" x14ac:dyDescent="0.3">
      <c r="D2601"/>
    </row>
    <row r="2602" spans="4:4" x14ac:dyDescent="0.3">
      <c r="D2602"/>
    </row>
    <row r="2603" spans="4:4" x14ac:dyDescent="0.3">
      <c r="D2603"/>
    </row>
    <row r="2604" spans="4:4" x14ac:dyDescent="0.3">
      <c r="D2604"/>
    </row>
    <row r="2605" spans="4:4" x14ac:dyDescent="0.3">
      <c r="D2605"/>
    </row>
    <row r="2606" spans="4:4" x14ac:dyDescent="0.3">
      <c r="D2606"/>
    </row>
    <row r="2607" spans="4:4" x14ac:dyDescent="0.3">
      <c r="D2607"/>
    </row>
    <row r="2608" spans="4:4" x14ac:dyDescent="0.3">
      <c r="D2608"/>
    </row>
    <row r="2609" spans="4:4" x14ac:dyDescent="0.3">
      <c r="D2609"/>
    </row>
    <row r="2610" spans="4:4" x14ac:dyDescent="0.3">
      <c r="D2610"/>
    </row>
    <row r="2611" spans="4:4" x14ac:dyDescent="0.3">
      <c r="D2611"/>
    </row>
    <row r="2612" spans="4:4" x14ac:dyDescent="0.3">
      <c r="D2612"/>
    </row>
    <row r="2613" spans="4:4" x14ac:dyDescent="0.3">
      <c r="D2613"/>
    </row>
    <row r="2614" spans="4:4" x14ac:dyDescent="0.3">
      <c r="D2614"/>
    </row>
    <row r="2615" spans="4:4" x14ac:dyDescent="0.3">
      <c r="D2615"/>
    </row>
    <row r="2616" spans="4:4" x14ac:dyDescent="0.3">
      <c r="D2616"/>
    </row>
    <row r="2617" spans="4:4" x14ac:dyDescent="0.3">
      <c r="D2617"/>
    </row>
    <row r="2618" spans="4:4" x14ac:dyDescent="0.3">
      <c r="D2618"/>
    </row>
    <row r="2619" spans="4:4" x14ac:dyDescent="0.3">
      <c r="D2619"/>
    </row>
    <row r="2620" spans="4:4" x14ac:dyDescent="0.3">
      <c r="D2620"/>
    </row>
    <row r="2621" spans="4:4" x14ac:dyDescent="0.3">
      <c r="D2621"/>
    </row>
    <row r="2622" spans="4:4" x14ac:dyDescent="0.3">
      <c r="D2622"/>
    </row>
    <row r="2623" spans="4:4" x14ac:dyDescent="0.3">
      <c r="D2623"/>
    </row>
    <row r="2624" spans="4:4" x14ac:dyDescent="0.3">
      <c r="D2624"/>
    </row>
    <row r="2625" spans="4:4" x14ac:dyDescent="0.3">
      <c r="D2625"/>
    </row>
    <row r="2626" spans="4:4" x14ac:dyDescent="0.3">
      <c r="D2626"/>
    </row>
    <row r="2627" spans="4:4" x14ac:dyDescent="0.3">
      <c r="D2627"/>
    </row>
    <row r="2628" spans="4:4" x14ac:dyDescent="0.3">
      <c r="D2628"/>
    </row>
    <row r="2629" spans="4:4" x14ac:dyDescent="0.3">
      <c r="D2629"/>
    </row>
    <row r="2630" spans="4:4" x14ac:dyDescent="0.3">
      <c r="D2630"/>
    </row>
    <row r="2631" spans="4:4" x14ac:dyDescent="0.3">
      <c r="D2631"/>
    </row>
    <row r="2632" spans="4:4" x14ac:dyDescent="0.3">
      <c r="D2632"/>
    </row>
    <row r="2633" spans="4:4" x14ac:dyDescent="0.3">
      <c r="D2633"/>
    </row>
    <row r="2634" spans="4:4" x14ac:dyDescent="0.3">
      <c r="D2634"/>
    </row>
    <row r="2635" spans="4:4" x14ac:dyDescent="0.3">
      <c r="D2635"/>
    </row>
    <row r="2636" spans="4:4" x14ac:dyDescent="0.3">
      <c r="D2636"/>
    </row>
    <row r="2637" spans="4:4" x14ac:dyDescent="0.3">
      <c r="D2637"/>
    </row>
    <row r="2638" spans="4:4" x14ac:dyDescent="0.3">
      <c r="D2638"/>
    </row>
    <row r="2639" spans="4:4" x14ac:dyDescent="0.3">
      <c r="D2639"/>
    </row>
    <row r="2640" spans="4:4" x14ac:dyDescent="0.3">
      <c r="D2640"/>
    </row>
    <row r="2641" spans="4:4" x14ac:dyDescent="0.3">
      <c r="D2641"/>
    </row>
    <row r="2642" spans="4:4" x14ac:dyDescent="0.3">
      <c r="D2642"/>
    </row>
    <row r="2643" spans="4:4" x14ac:dyDescent="0.3">
      <c r="D2643"/>
    </row>
    <row r="2644" spans="4:4" x14ac:dyDescent="0.3">
      <c r="D2644"/>
    </row>
    <row r="2645" spans="4:4" x14ac:dyDescent="0.3">
      <c r="D2645"/>
    </row>
    <row r="2646" spans="4:4" x14ac:dyDescent="0.3">
      <c r="D2646"/>
    </row>
    <row r="2647" spans="4:4" x14ac:dyDescent="0.3">
      <c r="D2647"/>
    </row>
    <row r="2648" spans="4:4" x14ac:dyDescent="0.3">
      <c r="D2648"/>
    </row>
    <row r="2649" spans="4:4" x14ac:dyDescent="0.3">
      <c r="D2649"/>
    </row>
    <row r="2650" spans="4:4" x14ac:dyDescent="0.3">
      <c r="D2650"/>
    </row>
    <row r="2651" spans="4:4" x14ac:dyDescent="0.3">
      <c r="D2651"/>
    </row>
    <row r="2652" spans="4:4" x14ac:dyDescent="0.3">
      <c r="D2652"/>
    </row>
    <row r="2653" spans="4:4" x14ac:dyDescent="0.3">
      <c r="D2653"/>
    </row>
    <row r="2654" spans="4:4" x14ac:dyDescent="0.3">
      <c r="D2654"/>
    </row>
    <row r="2655" spans="4:4" x14ac:dyDescent="0.3">
      <c r="D2655"/>
    </row>
    <row r="2656" spans="4:4" x14ac:dyDescent="0.3">
      <c r="D2656"/>
    </row>
    <row r="2657" spans="4:4" x14ac:dyDescent="0.3">
      <c r="D2657"/>
    </row>
    <row r="2658" spans="4:4" x14ac:dyDescent="0.3">
      <c r="D2658"/>
    </row>
    <row r="2659" spans="4:4" x14ac:dyDescent="0.3">
      <c r="D2659"/>
    </row>
    <row r="2660" spans="4:4" x14ac:dyDescent="0.3">
      <c r="D2660"/>
    </row>
    <row r="2661" spans="4:4" x14ac:dyDescent="0.3">
      <c r="D2661"/>
    </row>
    <row r="2662" spans="4:4" x14ac:dyDescent="0.3">
      <c r="D2662"/>
    </row>
    <row r="2663" spans="4:4" x14ac:dyDescent="0.3">
      <c r="D2663"/>
    </row>
    <row r="2664" spans="4:4" x14ac:dyDescent="0.3">
      <c r="D2664"/>
    </row>
    <row r="2665" spans="4:4" x14ac:dyDescent="0.3">
      <c r="D2665"/>
    </row>
    <row r="2666" spans="4:4" x14ac:dyDescent="0.3">
      <c r="D2666"/>
    </row>
    <row r="2667" spans="4:4" x14ac:dyDescent="0.3">
      <c r="D2667"/>
    </row>
    <row r="2668" spans="4:4" x14ac:dyDescent="0.3">
      <c r="D2668"/>
    </row>
    <row r="2669" spans="4:4" x14ac:dyDescent="0.3">
      <c r="D2669"/>
    </row>
    <row r="2670" spans="4:4" x14ac:dyDescent="0.3">
      <c r="D2670"/>
    </row>
    <row r="2671" spans="4:4" x14ac:dyDescent="0.3">
      <c r="D2671"/>
    </row>
    <row r="2672" spans="4:4" x14ac:dyDescent="0.3">
      <c r="D2672"/>
    </row>
    <row r="2673" spans="4:4" x14ac:dyDescent="0.3">
      <c r="D2673"/>
    </row>
    <row r="2674" spans="4:4" x14ac:dyDescent="0.3">
      <c r="D2674"/>
    </row>
    <row r="2675" spans="4:4" x14ac:dyDescent="0.3">
      <c r="D2675"/>
    </row>
    <row r="2676" spans="4:4" x14ac:dyDescent="0.3">
      <c r="D2676"/>
    </row>
    <row r="2677" spans="4:4" x14ac:dyDescent="0.3">
      <c r="D2677"/>
    </row>
    <row r="2678" spans="4:4" x14ac:dyDescent="0.3">
      <c r="D2678"/>
    </row>
    <row r="2679" spans="4:4" x14ac:dyDescent="0.3">
      <c r="D2679"/>
    </row>
    <row r="2680" spans="4:4" x14ac:dyDescent="0.3">
      <c r="D2680"/>
    </row>
    <row r="2681" spans="4:4" x14ac:dyDescent="0.3">
      <c r="D2681"/>
    </row>
    <row r="2682" spans="4:4" x14ac:dyDescent="0.3">
      <c r="D2682"/>
    </row>
    <row r="2683" spans="4:4" x14ac:dyDescent="0.3">
      <c r="D2683"/>
    </row>
    <row r="2684" spans="4:4" x14ac:dyDescent="0.3">
      <c r="D2684"/>
    </row>
    <row r="2685" spans="4:4" x14ac:dyDescent="0.3">
      <c r="D2685"/>
    </row>
    <row r="2686" spans="4:4" x14ac:dyDescent="0.3">
      <c r="D2686"/>
    </row>
    <row r="2687" spans="4:4" x14ac:dyDescent="0.3">
      <c r="D2687"/>
    </row>
    <row r="2688" spans="4:4" x14ac:dyDescent="0.3">
      <c r="D2688"/>
    </row>
    <row r="2689" spans="4:4" x14ac:dyDescent="0.3">
      <c r="D2689"/>
    </row>
    <row r="2690" spans="4:4" x14ac:dyDescent="0.3">
      <c r="D2690"/>
    </row>
    <row r="2691" spans="4:4" x14ac:dyDescent="0.3">
      <c r="D2691"/>
    </row>
    <row r="2692" spans="4:4" x14ac:dyDescent="0.3">
      <c r="D2692"/>
    </row>
    <row r="2693" spans="4:4" x14ac:dyDescent="0.3">
      <c r="D2693"/>
    </row>
    <row r="2694" spans="4:4" x14ac:dyDescent="0.3">
      <c r="D2694"/>
    </row>
    <row r="2695" spans="4:4" x14ac:dyDescent="0.3">
      <c r="D2695"/>
    </row>
    <row r="2696" spans="4:4" x14ac:dyDescent="0.3">
      <c r="D2696"/>
    </row>
    <row r="2697" spans="4:4" x14ac:dyDescent="0.3">
      <c r="D2697"/>
    </row>
    <row r="2698" spans="4:4" x14ac:dyDescent="0.3">
      <c r="D2698"/>
    </row>
    <row r="2699" spans="4:4" x14ac:dyDescent="0.3">
      <c r="D2699"/>
    </row>
    <row r="2700" spans="4:4" x14ac:dyDescent="0.3">
      <c r="D2700"/>
    </row>
    <row r="2701" spans="4:4" x14ac:dyDescent="0.3">
      <c r="D2701"/>
    </row>
    <row r="2702" spans="4:4" x14ac:dyDescent="0.3">
      <c r="D2702"/>
    </row>
    <row r="2703" spans="4:4" x14ac:dyDescent="0.3">
      <c r="D2703"/>
    </row>
    <row r="2704" spans="4:4" x14ac:dyDescent="0.3">
      <c r="D2704"/>
    </row>
    <row r="2705" spans="4:4" x14ac:dyDescent="0.3">
      <c r="D2705"/>
    </row>
    <row r="2706" spans="4:4" x14ac:dyDescent="0.3">
      <c r="D2706"/>
    </row>
    <row r="2707" spans="4:4" x14ac:dyDescent="0.3">
      <c r="D2707"/>
    </row>
    <row r="2708" spans="4:4" x14ac:dyDescent="0.3">
      <c r="D2708"/>
    </row>
    <row r="2709" spans="4:4" x14ac:dyDescent="0.3">
      <c r="D2709"/>
    </row>
    <row r="2710" spans="4:4" x14ac:dyDescent="0.3">
      <c r="D2710"/>
    </row>
    <row r="2711" spans="4:4" x14ac:dyDescent="0.3">
      <c r="D2711"/>
    </row>
    <row r="2712" spans="4:4" x14ac:dyDescent="0.3">
      <c r="D2712"/>
    </row>
    <row r="2713" spans="4:4" x14ac:dyDescent="0.3">
      <c r="D2713"/>
    </row>
    <row r="2714" spans="4:4" x14ac:dyDescent="0.3">
      <c r="D2714"/>
    </row>
    <row r="2715" spans="4:4" x14ac:dyDescent="0.3">
      <c r="D2715"/>
    </row>
    <row r="2716" spans="4:4" x14ac:dyDescent="0.3">
      <c r="D2716"/>
    </row>
    <row r="2717" spans="4:4" x14ac:dyDescent="0.3">
      <c r="D2717"/>
    </row>
    <row r="2718" spans="4:4" x14ac:dyDescent="0.3">
      <c r="D2718"/>
    </row>
    <row r="2719" spans="4:4" x14ac:dyDescent="0.3">
      <c r="D2719"/>
    </row>
    <row r="2720" spans="4:4" x14ac:dyDescent="0.3">
      <c r="D2720"/>
    </row>
    <row r="2721" spans="4:4" x14ac:dyDescent="0.3">
      <c r="D2721"/>
    </row>
    <row r="2722" spans="4:4" x14ac:dyDescent="0.3">
      <c r="D2722"/>
    </row>
    <row r="2723" spans="4:4" x14ac:dyDescent="0.3">
      <c r="D2723"/>
    </row>
    <row r="2724" spans="4:4" x14ac:dyDescent="0.3">
      <c r="D2724"/>
    </row>
    <row r="2725" spans="4:4" x14ac:dyDescent="0.3">
      <c r="D2725"/>
    </row>
    <row r="2726" spans="4:4" x14ac:dyDescent="0.3">
      <c r="D2726"/>
    </row>
    <row r="2727" spans="4:4" x14ac:dyDescent="0.3">
      <c r="D2727"/>
    </row>
    <row r="2728" spans="4:4" x14ac:dyDescent="0.3">
      <c r="D2728"/>
    </row>
    <row r="2729" spans="4:4" x14ac:dyDescent="0.3">
      <c r="D2729"/>
    </row>
    <row r="2730" spans="4:4" x14ac:dyDescent="0.3">
      <c r="D2730"/>
    </row>
    <row r="2731" spans="4:4" x14ac:dyDescent="0.3">
      <c r="D2731"/>
    </row>
    <row r="2732" spans="4:4" x14ac:dyDescent="0.3">
      <c r="D2732"/>
    </row>
    <row r="2733" spans="4:4" x14ac:dyDescent="0.3">
      <c r="D2733"/>
    </row>
    <row r="2734" spans="4:4" x14ac:dyDescent="0.3">
      <c r="D2734"/>
    </row>
    <row r="2735" spans="4:4" x14ac:dyDescent="0.3">
      <c r="D2735"/>
    </row>
    <row r="2736" spans="4:4" x14ac:dyDescent="0.3">
      <c r="D2736"/>
    </row>
    <row r="2737" spans="4:4" x14ac:dyDescent="0.3">
      <c r="D2737"/>
    </row>
    <row r="2738" spans="4:4" x14ac:dyDescent="0.3">
      <c r="D2738"/>
    </row>
    <row r="2739" spans="4:4" x14ac:dyDescent="0.3">
      <c r="D2739"/>
    </row>
    <row r="2740" spans="4:4" x14ac:dyDescent="0.3">
      <c r="D2740"/>
    </row>
    <row r="2741" spans="4:4" x14ac:dyDescent="0.3">
      <c r="D2741"/>
    </row>
    <row r="2742" spans="4:4" x14ac:dyDescent="0.3">
      <c r="D2742"/>
    </row>
    <row r="2743" spans="4:4" x14ac:dyDescent="0.3">
      <c r="D2743"/>
    </row>
    <row r="2744" spans="4:4" x14ac:dyDescent="0.3">
      <c r="D2744"/>
    </row>
    <row r="2745" spans="4:4" x14ac:dyDescent="0.3">
      <c r="D2745"/>
    </row>
    <row r="2746" spans="4:4" x14ac:dyDescent="0.3">
      <c r="D2746"/>
    </row>
    <row r="2747" spans="4:4" x14ac:dyDescent="0.3">
      <c r="D2747"/>
    </row>
    <row r="2748" spans="4:4" x14ac:dyDescent="0.3">
      <c r="D2748"/>
    </row>
    <row r="2749" spans="4:4" x14ac:dyDescent="0.3">
      <c r="D2749"/>
    </row>
    <row r="2750" spans="4:4" x14ac:dyDescent="0.3">
      <c r="D2750"/>
    </row>
    <row r="2751" spans="4:4" x14ac:dyDescent="0.3">
      <c r="D2751"/>
    </row>
    <row r="2752" spans="4:4" x14ac:dyDescent="0.3">
      <c r="D2752"/>
    </row>
    <row r="2753" spans="4:4" x14ac:dyDescent="0.3">
      <c r="D2753"/>
    </row>
    <row r="2754" spans="4:4" x14ac:dyDescent="0.3">
      <c r="D2754"/>
    </row>
    <row r="2755" spans="4:4" x14ac:dyDescent="0.3">
      <c r="D2755"/>
    </row>
    <row r="2756" spans="4:4" x14ac:dyDescent="0.3">
      <c r="D2756"/>
    </row>
    <row r="2757" spans="4:4" x14ac:dyDescent="0.3">
      <c r="D2757"/>
    </row>
    <row r="2758" spans="4:4" x14ac:dyDescent="0.3">
      <c r="D2758"/>
    </row>
    <row r="2759" spans="4:4" x14ac:dyDescent="0.3">
      <c r="D2759"/>
    </row>
    <row r="2760" spans="4:4" x14ac:dyDescent="0.3">
      <c r="D2760"/>
    </row>
    <row r="2761" spans="4:4" x14ac:dyDescent="0.3">
      <c r="D2761"/>
    </row>
    <row r="2762" spans="4:4" x14ac:dyDescent="0.3">
      <c r="D2762"/>
    </row>
    <row r="2763" spans="4:4" x14ac:dyDescent="0.3">
      <c r="D2763"/>
    </row>
    <row r="2764" spans="4:4" x14ac:dyDescent="0.3">
      <c r="D2764"/>
    </row>
    <row r="2765" spans="4:4" x14ac:dyDescent="0.3">
      <c r="D2765"/>
    </row>
    <row r="2766" spans="4:4" x14ac:dyDescent="0.3">
      <c r="D2766"/>
    </row>
    <row r="2767" spans="4:4" x14ac:dyDescent="0.3">
      <c r="D2767"/>
    </row>
    <row r="2768" spans="4:4" x14ac:dyDescent="0.3">
      <c r="D2768"/>
    </row>
    <row r="2769" spans="4:4" x14ac:dyDescent="0.3">
      <c r="D2769"/>
    </row>
    <row r="2770" spans="4:4" x14ac:dyDescent="0.3">
      <c r="D2770"/>
    </row>
    <row r="2771" spans="4:4" x14ac:dyDescent="0.3">
      <c r="D2771"/>
    </row>
    <row r="2772" spans="4:4" x14ac:dyDescent="0.3">
      <c r="D2772"/>
    </row>
    <row r="2773" spans="4:4" x14ac:dyDescent="0.3">
      <c r="D2773"/>
    </row>
    <row r="2774" spans="4:4" x14ac:dyDescent="0.3">
      <c r="D2774"/>
    </row>
    <row r="2775" spans="4:4" x14ac:dyDescent="0.3">
      <c r="D2775"/>
    </row>
    <row r="2776" spans="4:4" x14ac:dyDescent="0.3">
      <c r="D2776"/>
    </row>
    <row r="2777" spans="4:4" x14ac:dyDescent="0.3">
      <c r="D2777"/>
    </row>
    <row r="2778" spans="4:4" x14ac:dyDescent="0.3">
      <c r="D2778"/>
    </row>
    <row r="2779" spans="4:4" x14ac:dyDescent="0.3">
      <c r="D2779"/>
    </row>
    <row r="2780" spans="4:4" x14ac:dyDescent="0.3">
      <c r="D2780"/>
    </row>
    <row r="2781" spans="4:4" x14ac:dyDescent="0.3">
      <c r="D2781"/>
    </row>
    <row r="2782" spans="4:4" x14ac:dyDescent="0.3">
      <c r="D2782"/>
    </row>
    <row r="2783" spans="4:4" x14ac:dyDescent="0.3">
      <c r="D2783"/>
    </row>
    <row r="2784" spans="4:4" x14ac:dyDescent="0.3">
      <c r="D2784"/>
    </row>
    <row r="2785" spans="4:4" x14ac:dyDescent="0.3">
      <c r="D2785"/>
    </row>
    <row r="2786" spans="4:4" x14ac:dyDescent="0.3">
      <c r="D2786"/>
    </row>
    <row r="2787" spans="4:4" x14ac:dyDescent="0.3">
      <c r="D2787"/>
    </row>
    <row r="2788" spans="4:4" x14ac:dyDescent="0.3">
      <c r="D2788"/>
    </row>
    <row r="2789" spans="4:4" x14ac:dyDescent="0.3">
      <c r="D2789"/>
    </row>
    <row r="2790" spans="4:4" x14ac:dyDescent="0.3">
      <c r="D2790"/>
    </row>
    <row r="2791" spans="4:4" x14ac:dyDescent="0.3">
      <c r="D2791"/>
    </row>
    <row r="2792" spans="4:4" x14ac:dyDescent="0.3">
      <c r="D2792"/>
    </row>
    <row r="2793" spans="4:4" x14ac:dyDescent="0.3">
      <c r="D2793"/>
    </row>
    <row r="2794" spans="4:4" x14ac:dyDescent="0.3">
      <c r="D2794"/>
    </row>
    <row r="2795" spans="4:4" x14ac:dyDescent="0.3">
      <c r="D2795"/>
    </row>
    <row r="2796" spans="4:4" x14ac:dyDescent="0.3">
      <c r="D2796"/>
    </row>
    <row r="2797" spans="4:4" x14ac:dyDescent="0.3">
      <c r="D2797"/>
    </row>
    <row r="2798" spans="4:4" x14ac:dyDescent="0.3">
      <c r="D2798"/>
    </row>
    <row r="2799" spans="4:4" x14ac:dyDescent="0.3">
      <c r="D2799"/>
    </row>
    <row r="2800" spans="4:4" x14ac:dyDescent="0.3">
      <c r="D2800"/>
    </row>
    <row r="2801" spans="4:4" x14ac:dyDescent="0.3">
      <c r="D2801"/>
    </row>
    <row r="2802" spans="4:4" x14ac:dyDescent="0.3">
      <c r="D2802"/>
    </row>
    <row r="2803" spans="4:4" x14ac:dyDescent="0.3">
      <c r="D2803"/>
    </row>
    <row r="2804" spans="4:4" x14ac:dyDescent="0.3">
      <c r="D2804"/>
    </row>
    <row r="2805" spans="4:4" x14ac:dyDescent="0.3">
      <c r="D2805"/>
    </row>
    <row r="2806" spans="4:4" x14ac:dyDescent="0.3">
      <c r="D2806"/>
    </row>
    <row r="2807" spans="4:4" x14ac:dyDescent="0.3">
      <c r="D2807"/>
    </row>
    <row r="2808" spans="4:4" x14ac:dyDescent="0.3">
      <c r="D2808"/>
    </row>
    <row r="2809" spans="4:4" x14ac:dyDescent="0.3">
      <c r="D2809"/>
    </row>
    <row r="2810" spans="4:4" x14ac:dyDescent="0.3">
      <c r="D2810"/>
    </row>
    <row r="2811" spans="4:4" x14ac:dyDescent="0.3">
      <c r="D2811"/>
    </row>
    <row r="2812" spans="4:4" x14ac:dyDescent="0.3">
      <c r="D2812"/>
    </row>
    <row r="2813" spans="4:4" x14ac:dyDescent="0.3">
      <c r="D2813"/>
    </row>
    <row r="2814" spans="4:4" x14ac:dyDescent="0.3">
      <c r="D2814"/>
    </row>
    <row r="2815" spans="4:4" x14ac:dyDescent="0.3">
      <c r="D2815"/>
    </row>
    <row r="2816" spans="4:4" x14ac:dyDescent="0.3">
      <c r="D2816"/>
    </row>
    <row r="2817" spans="4:4" x14ac:dyDescent="0.3">
      <c r="D2817"/>
    </row>
    <row r="2818" spans="4:4" x14ac:dyDescent="0.3">
      <c r="D2818"/>
    </row>
    <row r="2819" spans="4:4" x14ac:dyDescent="0.3">
      <c r="D2819"/>
    </row>
    <row r="2820" spans="4:4" x14ac:dyDescent="0.3">
      <c r="D2820"/>
    </row>
    <row r="2821" spans="4:4" x14ac:dyDescent="0.3">
      <c r="D2821"/>
    </row>
    <row r="2822" spans="4:4" x14ac:dyDescent="0.3">
      <c r="D2822"/>
    </row>
    <row r="2823" spans="4:4" x14ac:dyDescent="0.3">
      <c r="D2823"/>
    </row>
    <row r="2824" spans="4:4" x14ac:dyDescent="0.3">
      <c r="D2824"/>
    </row>
    <row r="2825" spans="4:4" x14ac:dyDescent="0.3">
      <c r="D2825"/>
    </row>
    <row r="2826" spans="4:4" x14ac:dyDescent="0.3">
      <c r="D2826"/>
    </row>
    <row r="2827" spans="4:4" x14ac:dyDescent="0.3">
      <c r="D2827"/>
    </row>
    <row r="2828" spans="4:4" x14ac:dyDescent="0.3">
      <c r="D2828"/>
    </row>
    <row r="2829" spans="4:4" x14ac:dyDescent="0.3">
      <c r="D2829"/>
    </row>
    <row r="2830" spans="4:4" x14ac:dyDescent="0.3">
      <c r="D2830"/>
    </row>
    <row r="2831" spans="4:4" x14ac:dyDescent="0.3">
      <c r="D2831"/>
    </row>
    <row r="2832" spans="4:4" x14ac:dyDescent="0.3">
      <c r="D2832"/>
    </row>
    <row r="2833" spans="4:4" x14ac:dyDescent="0.3">
      <c r="D2833"/>
    </row>
    <row r="2834" spans="4:4" x14ac:dyDescent="0.3">
      <c r="D2834"/>
    </row>
    <row r="2835" spans="4:4" x14ac:dyDescent="0.3">
      <c r="D2835"/>
    </row>
    <row r="2836" spans="4:4" x14ac:dyDescent="0.3">
      <c r="D2836"/>
    </row>
    <row r="2837" spans="4:4" x14ac:dyDescent="0.3">
      <c r="D2837"/>
    </row>
    <row r="2838" spans="4:4" x14ac:dyDescent="0.3">
      <c r="D2838"/>
    </row>
    <row r="2839" spans="4:4" x14ac:dyDescent="0.3">
      <c r="D2839"/>
    </row>
    <row r="2840" spans="4:4" x14ac:dyDescent="0.3">
      <c r="D2840"/>
    </row>
    <row r="2841" spans="4:4" x14ac:dyDescent="0.3">
      <c r="D2841"/>
    </row>
    <row r="2842" spans="4:4" x14ac:dyDescent="0.3">
      <c r="D2842"/>
    </row>
    <row r="2843" spans="4:4" x14ac:dyDescent="0.3">
      <c r="D2843"/>
    </row>
    <row r="2844" spans="4:4" x14ac:dyDescent="0.3">
      <c r="D2844"/>
    </row>
    <row r="2845" spans="4:4" x14ac:dyDescent="0.3">
      <c r="D2845"/>
    </row>
    <row r="2846" spans="4:4" x14ac:dyDescent="0.3">
      <c r="D2846"/>
    </row>
    <row r="2847" spans="4:4" x14ac:dyDescent="0.3">
      <c r="D2847"/>
    </row>
    <row r="2848" spans="4:4" x14ac:dyDescent="0.3">
      <c r="D2848"/>
    </row>
    <row r="2849" spans="4:4" x14ac:dyDescent="0.3">
      <c r="D2849"/>
    </row>
    <row r="2850" spans="4:4" x14ac:dyDescent="0.3">
      <c r="D2850"/>
    </row>
    <row r="2851" spans="4:4" x14ac:dyDescent="0.3">
      <c r="D2851"/>
    </row>
    <row r="2852" spans="4:4" x14ac:dyDescent="0.3">
      <c r="D2852"/>
    </row>
    <row r="2853" spans="4:4" x14ac:dyDescent="0.3">
      <c r="D2853"/>
    </row>
    <row r="2854" spans="4:4" x14ac:dyDescent="0.3">
      <c r="D2854"/>
    </row>
    <row r="2855" spans="4:4" x14ac:dyDescent="0.3">
      <c r="D2855"/>
    </row>
    <row r="2856" spans="4:4" x14ac:dyDescent="0.3">
      <c r="D2856"/>
    </row>
    <row r="2857" spans="4:4" x14ac:dyDescent="0.3">
      <c r="D2857"/>
    </row>
    <row r="2858" spans="4:4" x14ac:dyDescent="0.3">
      <c r="D2858"/>
    </row>
    <row r="2859" spans="4:4" x14ac:dyDescent="0.3">
      <c r="D2859"/>
    </row>
    <row r="2860" spans="4:4" x14ac:dyDescent="0.3">
      <c r="D2860"/>
    </row>
    <row r="2861" spans="4:4" x14ac:dyDescent="0.3">
      <c r="D2861"/>
    </row>
    <row r="2862" spans="4:4" x14ac:dyDescent="0.3">
      <c r="D2862"/>
    </row>
    <row r="2863" spans="4:4" x14ac:dyDescent="0.3">
      <c r="D2863"/>
    </row>
    <row r="2864" spans="4:4" x14ac:dyDescent="0.3">
      <c r="D2864"/>
    </row>
    <row r="2865" spans="4:4" x14ac:dyDescent="0.3">
      <c r="D2865"/>
    </row>
    <row r="2866" spans="4:4" x14ac:dyDescent="0.3">
      <c r="D2866"/>
    </row>
    <row r="2867" spans="4:4" x14ac:dyDescent="0.3">
      <c r="D2867"/>
    </row>
    <row r="2868" spans="4:4" x14ac:dyDescent="0.3">
      <c r="D2868"/>
    </row>
    <row r="2869" spans="4:4" x14ac:dyDescent="0.3">
      <c r="D2869"/>
    </row>
    <row r="2870" spans="4:4" x14ac:dyDescent="0.3">
      <c r="D2870"/>
    </row>
    <row r="2871" spans="4:4" x14ac:dyDescent="0.3">
      <c r="D2871"/>
    </row>
    <row r="2872" spans="4:4" x14ac:dyDescent="0.3">
      <c r="D2872"/>
    </row>
    <row r="2873" spans="4:4" x14ac:dyDescent="0.3">
      <c r="D2873"/>
    </row>
    <row r="2874" spans="4:4" x14ac:dyDescent="0.3">
      <c r="D2874"/>
    </row>
    <row r="2875" spans="4:4" x14ac:dyDescent="0.3">
      <c r="D2875"/>
    </row>
    <row r="2876" spans="4:4" x14ac:dyDescent="0.3">
      <c r="D2876"/>
    </row>
    <row r="2877" spans="4:4" x14ac:dyDescent="0.3">
      <c r="D2877"/>
    </row>
    <row r="2878" spans="4:4" x14ac:dyDescent="0.3">
      <c r="D2878"/>
    </row>
    <row r="2879" spans="4:4" x14ac:dyDescent="0.3">
      <c r="D2879"/>
    </row>
    <row r="2880" spans="4:4" x14ac:dyDescent="0.3">
      <c r="D2880"/>
    </row>
    <row r="2881" spans="4:4" x14ac:dyDescent="0.3">
      <c r="D2881"/>
    </row>
    <row r="2882" spans="4:4" x14ac:dyDescent="0.3">
      <c r="D2882"/>
    </row>
    <row r="2883" spans="4:4" x14ac:dyDescent="0.3">
      <c r="D2883"/>
    </row>
    <row r="2884" spans="4:4" x14ac:dyDescent="0.3">
      <c r="D2884"/>
    </row>
    <row r="2885" spans="4:4" x14ac:dyDescent="0.3">
      <c r="D2885"/>
    </row>
    <row r="2886" spans="4:4" x14ac:dyDescent="0.3">
      <c r="D2886"/>
    </row>
    <row r="2887" spans="4:4" x14ac:dyDescent="0.3">
      <c r="D2887"/>
    </row>
    <row r="2888" spans="4:4" x14ac:dyDescent="0.3">
      <c r="D2888"/>
    </row>
    <row r="2889" spans="4:4" x14ac:dyDescent="0.3">
      <c r="D2889"/>
    </row>
    <row r="2890" spans="4:4" x14ac:dyDescent="0.3">
      <c r="D2890"/>
    </row>
    <row r="2891" spans="4:4" x14ac:dyDescent="0.3">
      <c r="D2891"/>
    </row>
    <row r="2892" spans="4:4" x14ac:dyDescent="0.3">
      <c r="D2892"/>
    </row>
    <row r="2893" spans="4:4" x14ac:dyDescent="0.3">
      <c r="D2893"/>
    </row>
    <row r="2894" spans="4:4" x14ac:dyDescent="0.3">
      <c r="D2894"/>
    </row>
    <row r="2895" spans="4:4" x14ac:dyDescent="0.3">
      <c r="D2895"/>
    </row>
    <row r="2896" spans="4:4" x14ac:dyDescent="0.3">
      <c r="D2896"/>
    </row>
    <row r="2897" spans="4:4" x14ac:dyDescent="0.3">
      <c r="D2897"/>
    </row>
    <row r="2898" spans="4:4" x14ac:dyDescent="0.3">
      <c r="D2898"/>
    </row>
    <row r="2899" spans="4:4" x14ac:dyDescent="0.3">
      <c r="D2899"/>
    </row>
    <row r="2900" spans="4:4" x14ac:dyDescent="0.3">
      <c r="D2900"/>
    </row>
    <row r="2901" spans="4:4" x14ac:dyDescent="0.3">
      <c r="D2901"/>
    </row>
    <row r="2902" spans="4:4" x14ac:dyDescent="0.3">
      <c r="D2902"/>
    </row>
    <row r="2903" spans="4:4" x14ac:dyDescent="0.3">
      <c r="D2903"/>
    </row>
    <row r="2904" spans="4:4" x14ac:dyDescent="0.3">
      <c r="D2904"/>
    </row>
    <row r="2905" spans="4:4" x14ac:dyDescent="0.3">
      <c r="D2905"/>
    </row>
    <row r="2906" spans="4:4" x14ac:dyDescent="0.3">
      <c r="D2906"/>
    </row>
    <row r="2907" spans="4:4" x14ac:dyDescent="0.3">
      <c r="D2907"/>
    </row>
    <row r="2908" spans="4:4" x14ac:dyDescent="0.3">
      <c r="D2908"/>
    </row>
    <row r="2909" spans="4:4" x14ac:dyDescent="0.3">
      <c r="D2909"/>
    </row>
    <row r="2910" spans="4:4" x14ac:dyDescent="0.3">
      <c r="D2910"/>
    </row>
    <row r="2911" spans="4:4" x14ac:dyDescent="0.3">
      <c r="D2911"/>
    </row>
    <row r="2912" spans="4:4" x14ac:dyDescent="0.3">
      <c r="D2912"/>
    </row>
    <row r="2913" spans="4:4" x14ac:dyDescent="0.3">
      <c r="D2913"/>
    </row>
    <row r="2914" spans="4:4" x14ac:dyDescent="0.3">
      <c r="D2914"/>
    </row>
    <row r="2915" spans="4:4" x14ac:dyDescent="0.3">
      <c r="D2915"/>
    </row>
    <row r="2916" spans="4:4" x14ac:dyDescent="0.3">
      <c r="D2916"/>
    </row>
    <row r="2917" spans="4:4" x14ac:dyDescent="0.3">
      <c r="D2917"/>
    </row>
    <row r="2918" spans="4:4" x14ac:dyDescent="0.3">
      <c r="D2918"/>
    </row>
    <row r="2919" spans="4:4" x14ac:dyDescent="0.3">
      <c r="D2919"/>
    </row>
    <row r="2920" spans="4:4" x14ac:dyDescent="0.3">
      <c r="D2920"/>
    </row>
    <row r="2921" spans="4:4" x14ac:dyDescent="0.3">
      <c r="D2921"/>
    </row>
    <row r="2922" spans="4:4" x14ac:dyDescent="0.3">
      <c r="D2922"/>
    </row>
    <row r="2923" spans="4:4" x14ac:dyDescent="0.3">
      <c r="D2923"/>
    </row>
    <row r="2924" spans="4:4" x14ac:dyDescent="0.3">
      <c r="D2924"/>
    </row>
    <row r="2925" spans="4:4" x14ac:dyDescent="0.3">
      <c r="D2925"/>
    </row>
    <row r="2926" spans="4:4" x14ac:dyDescent="0.3">
      <c r="D2926"/>
    </row>
    <row r="2927" spans="4:4" x14ac:dyDescent="0.3">
      <c r="D2927"/>
    </row>
    <row r="2928" spans="4:4" x14ac:dyDescent="0.3">
      <c r="D2928"/>
    </row>
    <row r="2929" spans="4:4" x14ac:dyDescent="0.3">
      <c r="D2929"/>
    </row>
    <row r="2930" spans="4:4" x14ac:dyDescent="0.3">
      <c r="D2930"/>
    </row>
    <row r="2931" spans="4:4" x14ac:dyDescent="0.3">
      <c r="D2931"/>
    </row>
    <row r="2932" spans="4:4" x14ac:dyDescent="0.3">
      <c r="D2932"/>
    </row>
    <row r="2933" spans="4:4" x14ac:dyDescent="0.3">
      <c r="D2933"/>
    </row>
    <row r="2934" spans="4:4" x14ac:dyDescent="0.3">
      <c r="D2934"/>
    </row>
    <row r="2935" spans="4:4" x14ac:dyDescent="0.3">
      <c r="D2935"/>
    </row>
    <row r="2936" spans="4:4" x14ac:dyDescent="0.3">
      <c r="D2936"/>
    </row>
    <row r="2937" spans="4:4" x14ac:dyDescent="0.3">
      <c r="D2937"/>
    </row>
    <row r="2938" spans="4:4" x14ac:dyDescent="0.3">
      <c r="D2938"/>
    </row>
    <row r="2939" spans="4:4" x14ac:dyDescent="0.3">
      <c r="D2939"/>
    </row>
    <row r="2940" spans="4:4" x14ac:dyDescent="0.3">
      <c r="D2940"/>
    </row>
    <row r="2941" spans="4:4" x14ac:dyDescent="0.3">
      <c r="D2941"/>
    </row>
    <row r="2942" spans="4:4" x14ac:dyDescent="0.3">
      <c r="D2942"/>
    </row>
    <row r="2943" spans="4:4" x14ac:dyDescent="0.3">
      <c r="D2943"/>
    </row>
    <row r="2944" spans="4:4" x14ac:dyDescent="0.3">
      <c r="D2944"/>
    </row>
    <row r="2945" spans="4:4" x14ac:dyDescent="0.3">
      <c r="D2945"/>
    </row>
    <row r="2946" spans="4:4" x14ac:dyDescent="0.3">
      <c r="D2946"/>
    </row>
    <row r="2947" spans="4:4" x14ac:dyDescent="0.3">
      <c r="D2947"/>
    </row>
    <row r="2948" spans="4:4" x14ac:dyDescent="0.3">
      <c r="D2948"/>
    </row>
    <row r="2949" spans="4:4" x14ac:dyDescent="0.3">
      <c r="D2949"/>
    </row>
    <row r="2950" spans="4:4" x14ac:dyDescent="0.3">
      <c r="D2950"/>
    </row>
    <row r="2951" spans="4:4" x14ac:dyDescent="0.3">
      <c r="D2951"/>
    </row>
    <row r="2952" spans="4:4" x14ac:dyDescent="0.3">
      <c r="D2952"/>
    </row>
    <row r="2953" spans="4:4" x14ac:dyDescent="0.3">
      <c r="D2953"/>
    </row>
    <row r="2954" spans="4:4" x14ac:dyDescent="0.3">
      <c r="D2954"/>
    </row>
    <row r="2955" spans="4:4" x14ac:dyDescent="0.3">
      <c r="D2955"/>
    </row>
    <row r="2956" spans="4:4" x14ac:dyDescent="0.3">
      <c r="D2956"/>
    </row>
    <row r="2957" spans="4:4" x14ac:dyDescent="0.3">
      <c r="D2957"/>
    </row>
    <row r="2958" spans="4:4" x14ac:dyDescent="0.3">
      <c r="D2958"/>
    </row>
    <row r="2959" spans="4:4" x14ac:dyDescent="0.3">
      <c r="D2959"/>
    </row>
    <row r="2960" spans="4:4" x14ac:dyDescent="0.3">
      <c r="D2960"/>
    </row>
    <row r="2961" spans="4:4" x14ac:dyDescent="0.3">
      <c r="D2961"/>
    </row>
    <row r="2962" spans="4:4" x14ac:dyDescent="0.3">
      <c r="D2962"/>
    </row>
    <row r="2963" spans="4:4" x14ac:dyDescent="0.3">
      <c r="D2963"/>
    </row>
    <row r="2964" spans="4:4" x14ac:dyDescent="0.3">
      <c r="D2964"/>
    </row>
    <row r="2965" spans="4:4" x14ac:dyDescent="0.3">
      <c r="D2965"/>
    </row>
    <row r="2966" spans="4:4" x14ac:dyDescent="0.3">
      <c r="D2966"/>
    </row>
    <row r="2967" spans="4:4" x14ac:dyDescent="0.3">
      <c r="D2967"/>
    </row>
    <row r="2968" spans="4:4" x14ac:dyDescent="0.3">
      <c r="D2968"/>
    </row>
    <row r="2969" spans="4:4" x14ac:dyDescent="0.3">
      <c r="D2969"/>
    </row>
    <row r="2970" spans="4:4" x14ac:dyDescent="0.3">
      <c r="D2970"/>
    </row>
    <row r="2971" spans="4:4" x14ac:dyDescent="0.3">
      <c r="D2971"/>
    </row>
    <row r="2972" spans="4:4" x14ac:dyDescent="0.3">
      <c r="D2972"/>
    </row>
    <row r="2973" spans="4:4" x14ac:dyDescent="0.3">
      <c r="D2973"/>
    </row>
    <row r="2974" spans="4:4" x14ac:dyDescent="0.3">
      <c r="D2974"/>
    </row>
    <row r="2975" spans="4:4" x14ac:dyDescent="0.3">
      <c r="D2975"/>
    </row>
    <row r="2976" spans="4:4" x14ac:dyDescent="0.3">
      <c r="D2976"/>
    </row>
    <row r="2977" spans="4:4" x14ac:dyDescent="0.3">
      <c r="D2977"/>
    </row>
    <row r="2978" spans="4:4" x14ac:dyDescent="0.3">
      <c r="D2978"/>
    </row>
    <row r="2979" spans="4:4" x14ac:dyDescent="0.3">
      <c r="D2979"/>
    </row>
    <row r="2980" spans="4:4" x14ac:dyDescent="0.3">
      <c r="D2980"/>
    </row>
    <row r="2981" spans="4:4" x14ac:dyDescent="0.3">
      <c r="D2981"/>
    </row>
    <row r="2982" spans="4:4" x14ac:dyDescent="0.3">
      <c r="D2982"/>
    </row>
    <row r="2983" spans="4:4" x14ac:dyDescent="0.3">
      <c r="D2983"/>
    </row>
    <row r="2984" spans="4:4" x14ac:dyDescent="0.3">
      <c r="D2984"/>
    </row>
    <row r="2985" spans="4:4" x14ac:dyDescent="0.3">
      <c r="D2985"/>
    </row>
    <row r="2986" spans="4:4" x14ac:dyDescent="0.3">
      <c r="D2986"/>
    </row>
    <row r="2987" spans="4:4" x14ac:dyDescent="0.3">
      <c r="D2987"/>
    </row>
    <row r="2988" spans="4:4" x14ac:dyDescent="0.3">
      <c r="D2988"/>
    </row>
    <row r="2989" spans="4:4" x14ac:dyDescent="0.3">
      <c r="D2989"/>
    </row>
    <row r="2990" spans="4:4" x14ac:dyDescent="0.3">
      <c r="D2990"/>
    </row>
    <row r="2991" spans="4:4" x14ac:dyDescent="0.3">
      <c r="D2991"/>
    </row>
    <row r="2992" spans="4:4" x14ac:dyDescent="0.3">
      <c r="D2992"/>
    </row>
    <row r="2993" spans="4:4" x14ac:dyDescent="0.3">
      <c r="D2993"/>
    </row>
    <row r="2994" spans="4:4" x14ac:dyDescent="0.3">
      <c r="D2994"/>
    </row>
    <row r="2995" spans="4:4" x14ac:dyDescent="0.3">
      <c r="D2995"/>
    </row>
    <row r="2996" spans="4:4" x14ac:dyDescent="0.3">
      <c r="D2996"/>
    </row>
    <row r="2997" spans="4:4" x14ac:dyDescent="0.3">
      <c r="D2997"/>
    </row>
    <row r="2998" spans="4:4" x14ac:dyDescent="0.3">
      <c r="D2998"/>
    </row>
    <row r="2999" spans="4:4" x14ac:dyDescent="0.3">
      <c r="D2999"/>
    </row>
    <row r="3000" spans="4:4" x14ac:dyDescent="0.3">
      <c r="D3000"/>
    </row>
    <row r="3001" spans="4:4" x14ac:dyDescent="0.3">
      <c r="D3001"/>
    </row>
    <row r="3002" spans="4:4" x14ac:dyDescent="0.3">
      <c r="D3002"/>
    </row>
    <row r="3003" spans="4:4" x14ac:dyDescent="0.3">
      <c r="D3003"/>
    </row>
    <row r="3004" spans="4:4" x14ac:dyDescent="0.3">
      <c r="D3004"/>
    </row>
    <row r="3005" spans="4:4" x14ac:dyDescent="0.3">
      <c r="D3005"/>
    </row>
    <row r="3006" spans="4:4" x14ac:dyDescent="0.3">
      <c r="D3006"/>
    </row>
    <row r="3007" spans="4:4" x14ac:dyDescent="0.3">
      <c r="D3007"/>
    </row>
    <row r="3008" spans="4:4" x14ac:dyDescent="0.3">
      <c r="D3008"/>
    </row>
    <row r="3009" spans="4:4" x14ac:dyDescent="0.3">
      <c r="D3009"/>
    </row>
    <row r="3010" spans="4:4" x14ac:dyDescent="0.3">
      <c r="D3010"/>
    </row>
    <row r="3011" spans="4:4" x14ac:dyDescent="0.3">
      <c r="D3011"/>
    </row>
    <row r="3012" spans="4:4" x14ac:dyDescent="0.3">
      <c r="D3012"/>
    </row>
    <row r="3013" spans="4:4" x14ac:dyDescent="0.3">
      <c r="D3013"/>
    </row>
    <row r="3014" spans="4:4" x14ac:dyDescent="0.3">
      <c r="D3014"/>
    </row>
    <row r="3015" spans="4:4" x14ac:dyDescent="0.3">
      <c r="D3015"/>
    </row>
    <row r="3016" spans="4:4" x14ac:dyDescent="0.3">
      <c r="D3016"/>
    </row>
    <row r="3017" spans="4:4" x14ac:dyDescent="0.3">
      <c r="D3017"/>
    </row>
    <row r="3018" spans="4:4" x14ac:dyDescent="0.3">
      <c r="D3018"/>
    </row>
    <row r="3019" spans="4:4" x14ac:dyDescent="0.3">
      <c r="D3019"/>
    </row>
    <row r="3020" spans="4:4" x14ac:dyDescent="0.3">
      <c r="D3020"/>
    </row>
    <row r="3021" spans="4:4" x14ac:dyDescent="0.3">
      <c r="D3021"/>
    </row>
    <row r="3022" spans="4:4" x14ac:dyDescent="0.3">
      <c r="D3022"/>
    </row>
    <row r="3023" spans="4:4" x14ac:dyDescent="0.3">
      <c r="D3023"/>
    </row>
    <row r="3024" spans="4:4" x14ac:dyDescent="0.3">
      <c r="D3024"/>
    </row>
    <row r="3025" spans="4:4" x14ac:dyDescent="0.3">
      <c r="D3025"/>
    </row>
    <row r="3026" spans="4:4" x14ac:dyDescent="0.3">
      <c r="D3026"/>
    </row>
    <row r="3027" spans="4:4" x14ac:dyDescent="0.3">
      <c r="D3027"/>
    </row>
    <row r="3028" spans="4:4" x14ac:dyDescent="0.3">
      <c r="D3028"/>
    </row>
    <row r="3029" spans="4:4" x14ac:dyDescent="0.3">
      <c r="D3029"/>
    </row>
    <row r="3030" spans="4:4" x14ac:dyDescent="0.3">
      <c r="D3030"/>
    </row>
    <row r="3031" spans="4:4" x14ac:dyDescent="0.3">
      <c r="D3031"/>
    </row>
    <row r="3032" spans="4:4" x14ac:dyDescent="0.3">
      <c r="D3032"/>
    </row>
    <row r="3033" spans="4:4" x14ac:dyDescent="0.3">
      <c r="D3033"/>
    </row>
    <row r="3034" spans="4:4" x14ac:dyDescent="0.3">
      <c r="D3034"/>
    </row>
    <row r="3035" spans="4:4" x14ac:dyDescent="0.3">
      <c r="D3035"/>
    </row>
    <row r="3036" spans="4:4" x14ac:dyDescent="0.3">
      <c r="D3036"/>
    </row>
    <row r="3037" spans="4:4" x14ac:dyDescent="0.3">
      <c r="D3037"/>
    </row>
    <row r="3038" spans="4:4" x14ac:dyDescent="0.3">
      <c r="D3038"/>
    </row>
    <row r="3039" spans="4:4" x14ac:dyDescent="0.3">
      <c r="D3039"/>
    </row>
    <row r="3040" spans="4:4" x14ac:dyDescent="0.3">
      <c r="D3040"/>
    </row>
    <row r="3041" spans="4:4" x14ac:dyDescent="0.3">
      <c r="D3041"/>
    </row>
    <row r="3042" spans="4:4" x14ac:dyDescent="0.3">
      <c r="D3042"/>
    </row>
    <row r="3043" spans="4:4" x14ac:dyDescent="0.3">
      <c r="D3043"/>
    </row>
    <row r="3044" spans="4:4" x14ac:dyDescent="0.3">
      <c r="D3044"/>
    </row>
    <row r="3045" spans="4:4" x14ac:dyDescent="0.3">
      <c r="D3045"/>
    </row>
    <row r="3046" spans="4:4" x14ac:dyDescent="0.3">
      <c r="D3046"/>
    </row>
    <row r="3047" spans="4:4" x14ac:dyDescent="0.3">
      <c r="D3047"/>
    </row>
    <row r="3048" spans="4:4" x14ac:dyDescent="0.3">
      <c r="D3048"/>
    </row>
    <row r="3049" spans="4:4" x14ac:dyDescent="0.3">
      <c r="D3049"/>
    </row>
    <row r="3050" spans="4:4" x14ac:dyDescent="0.3">
      <c r="D3050"/>
    </row>
    <row r="3051" spans="4:4" x14ac:dyDescent="0.3">
      <c r="D3051"/>
    </row>
    <row r="3052" spans="4:4" x14ac:dyDescent="0.3">
      <c r="D3052"/>
    </row>
    <row r="3053" spans="4:4" x14ac:dyDescent="0.3">
      <c r="D3053"/>
    </row>
    <row r="3054" spans="4:4" x14ac:dyDescent="0.3">
      <c r="D3054"/>
    </row>
    <row r="3055" spans="4:4" x14ac:dyDescent="0.3">
      <c r="D3055"/>
    </row>
    <row r="3056" spans="4:4" x14ac:dyDescent="0.3">
      <c r="D3056"/>
    </row>
    <row r="3057" spans="4:4" x14ac:dyDescent="0.3">
      <c r="D3057"/>
    </row>
    <row r="3058" spans="4:4" x14ac:dyDescent="0.3">
      <c r="D3058"/>
    </row>
    <row r="3059" spans="4:4" x14ac:dyDescent="0.3">
      <c r="D3059"/>
    </row>
    <row r="3060" spans="4:4" x14ac:dyDescent="0.3">
      <c r="D3060"/>
    </row>
    <row r="3061" spans="4:4" x14ac:dyDescent="0.3">
      <c r="D3061"/>
    </row>
    <row r="3062" spans="4:4" x14ac:dyDescent="0.3">
      <c r="D3062"/>
    </row>
    <row r="3063" spans="4:4" x14ac:dyDescent="0.3">
      <c r="D3063"/>
    </row>
    <row r="3064" spans="4:4" x14ac:dyDescent="0.3">
      <c r="D3064"/>
    </row>
    <row r="3065" spans="4:4" x14ac:dyDescent="0.3">
      <c r="D3065"/>
    </row>
    <row r="3066" spans="4:4" x14ac:dyDescent="0.3">
      <c r="D3066"/>
    </row>
    <row r="3067" spans="4:4" x14ac:dyDescent="0.3">
      <c r="D3067"/>
    </row>
    <row r="3068" spans="4:4" x14ac:dyDescent="0.3">
      <c r="D3068"/>
    </row>
    <row r="3069" spans="4:4" x14ac:dyDescent="0.3">
      <c r="D3069"/>
    </row>
    <row r="3070" spans="4:4" x14ac:dyDescent="0.3">
      <c r="D3070"/>
    </row>
    <row r="3071" spans="4:4" x14ac:dyDescent="0.3">
      <c r="D3071"/>
    </row>
    <row r="3072" spans="4:4" x14ac:dyDescent="0.3">
      <c r="D3072"/>
    </row>
    <row r="3073" spans="4:4" x14ac:dyDescent="0.3">
      <c r="D3073"/>
    </row>
    <row r="3074" spans="4:4" x14ac:dyDescent="0.3">
      <c r="D3074"/>
    </row>
    <row r="3075" spans="4:4" x14ac:dyDescent="0.3">
      <c r="D3075"/>
    </row>
    <row r="3076" spans="4:4" x14ac:dyDescent="0.3">
      <c r="D3076"/>
    </row>
    <row r="3077" spans="4:4" x14ac:dyDescent="0.3">
      <c r="D3077"/>
    </row>
    <row r="3078" spans="4:4" x14ac:dyDescent="0.3">
      <c r="D3078"/>
    </row>
    <row r="3079" spans="4:4" x14ac:dyDescent="0.3">
      <c r="D3079"/>
    </row>
    <row r="3080" spans="4:4" x14ac:dyDescent="0.3">
      <c r="D3080"/>
    </row>
    <row r="3081" spans="4:4" x14ac:dyDescent="0.3">
      <c r="D3081"/>
    </row>
    <row r="3082" spans="4:4" x14ac:dyDescent="0.3">
      <c r="D3082"/>
    </row>
    <row r="3083" spans="4:4" x14ac:dyDescent="0.3">
      <c r="D3083"/>
    </row>
    <row r="3084" spans="4:4" x14ac:dyDescent="0.3">
      <c r="D3084"/>
    </row>
    <row r="3085" spans="4:4" x14ac:dyDescent="0.3">
      <c r="D3085"/>
    </row>
    <row r="3086" spans="4:4" x14ac:dyDescent="0.3">
      <c r="D3086"/>
    </row>
    <row r="3087" spans="4:4" x14ac:dyDescent="0.3">
      <c r="D3087"/>
    </row>
    <row r="3088" spans="4:4" x14ac:dyDescent="0.3">
      <c r="D3088"/>
    </row>
    <row r="3089" spans="4:4" x14ac:dyDescent="0.3">
      <c r="D3089"/>
    </row>
    <row r="3090" spans="4:4" x14ac:dyDescent="0.3">
      <c r="D3090"/>
    </row>
    <row r="3091" spans="4:4" x14ac:dyDescent="0.3">
      <c r="D3091"/>
    </row>
    <row r="3092" spans="4:4" x14ac:dyDescent="0.3">
      <c r="D3092"/>
    </row>
    <row r="3093" spans="4:4" x14ac:dyDescent="0.3">
      <c r="D3093"/>
    </row>
    <row r="3094" spans="4:4" x14ac:dyDescent="0.3">
      <c r="D3094"/>
    </row>
    <row r="3095" spans="4:4" x14ac:dyDescent="0.3">
      <c r="D3095"/>
    </row>
    <row r="3096" spans="4:4" x14ac:dyDescent="0.3">
      <c r="D3096"/>
    </row>
    <row r="3097" spans="4:4" x14ac:dyDescent="0.3">
      <c r="D3097"/>
    </row>
    <row r="3098" spans="4:4" x14ac:dyDescent="0.3">
      <c r="D3098"/>
    </row>
    <row r="3099" spans="4:4" x14ac:dyDescent="0.3">
      <c r="D3099"/>
    </row>
    <row r="3100" spans="4:4" x14ac:dyDescent="0.3">
      <c r="D3100"/>
    </row>
    <row r="3101" spans="4:4" x14ac:dyDescent="0.3">
      <c r="D3101"/>
    </row>
    <row r="3102" spans="4:4" x14ac:dyDescent="0.3">
      <c r="D3102"/>
    </row>
    <row r="3103" spans="4:4" x14ac:dyDescent="0.3">
      <c r="D3103"/>
    </row>
    <row r="3104" spans="4:4" x14ac:dyDescent="0.3">
      <c r="D3104"/>
    </row>
    <row r="3105" spans="4:4" x14ac:dyDescent="0.3">
      <c r="D3105"/>
    </row>
    <row r="3106" spans="4:4" x14ac:dyDescent="0.3">
      <c r="D3106"/>
    </row>
    <row r="3107" spans="4:4" x14ac:dyDescent="0.3">
      <c r="D3107"/>
    </row>
    <row r="3108" spans="4:4" x14ac:dyDescent="0.3">
      <c r="D3108"/>
    </row>
    <row r="3109" spans="4:4" x14ac:dyDescent="0.3">
      <c r="D3109"/>
    </row>
    <row r="3110" spans="4:4" x14ac:dyDescent="0.3">
      <c r="D3110"/>
    </row>
    <row r="3111" spans="4:4" x14ac:dyDescent="0.3">
      <c r="D3111"/>
    </row>
    <row r="3112" spans="4:4" x14ac:dyDescent="0.3">
      <c r="D3112"/>
    </row>
    <row r="3113" spans="4:4" x14ac:dyDescent="0.3">
      <c r="D3113"/>
    </row>
    <row r="3114" spans="4:4" x14ac:dyDescent="0.3">
      <c r="D3114"/>
    </row>
    <row r="3115" spans="4:4" x14ac:dyDescent="0.3">
      <c r="D3115"/>
    </row>
    <row r="3116" spans="4:4" x14ac:dyDescent="0.3">
      <c r="D3116"/>
    </row>
    <row r="3117" spans="4:4" x14ac:dyDescent="0.3">
      <c r="D3117"/>
    </row>
    <row r="3118" spans="4:4" x14ac:dyDescent="0.3">
      <c r="D3118"/>
    </row>
    <row r="3119" spans="4:4" x14ac:dyDescent="0.3">
      <c r="D3119"/>
    </row>
    <row r="3120" spans="4:4" x14ac:dyDescent="0.3">
      <c r="D3120"/>
    </row>
    <row r="3121" spans="4:4" x14ac:dyDescent="0.3">
      <c r="D3121"/>
    </row>
    <row r="3122" spans="4:4" x14ac:dyDescent="0.3">
      <c r="D3122"/>
    </row>
    <row r="3123" spans="4:4" x14ac:dyDescent="0.3">
      <c r="D3123"/>
    </row>
    <row r="3124" spans="4:4" x14ac:dyDescent="0.3">
      <c r="D3124"/>
    </row>
    <row r="3125" spans="4:4" x14ac:dyDescent="0.3">
      <c r="D3125"/>
    </row>
    <row r="3126" spans="4:4" x14ac:dyDescent="0.3">
      <c r="D3126"/>
    </row>
    <row r="3127" spans="4:4" x14ac:dyDescent="0.3">
      <c r="D3127"/>
    </row>
    <row r="3128" spans="4:4" x14ac:dyDescent="0.3">
      <c r="D3128"/>
    </row>
    <row r="3129" spans="4:4" x14ac:dyDescent="0.3">
      <c r="D3129"/>
    </row>
    <row r="3130" spans="4:4" x14ac:dyDescent="0.3">
      <c r="D3130"/>
    </row>
    <row r="3131" spans="4:4" x14ac:dyDescent="0.3">
      <c r="D3131"/>
    </row>
    <row r="3132" spans="4:4" x14ac:dyDescent="0.3">
      <c r="D3132"/>
    </row>
    <row r="3133" spans="4:4" x14ac:dyDescent="0.3">
      <c r="D3133"/>
    </row>
    <row r="3134" spans="4:4" x14ac:dyDescent="0.3">
      <c r="D3134"/>
    </row>
    <row r="3135" spans="4:4" x14ac:dyDescent="0.3">
      <c r="D3135"/>
    </row>
    <row r="3136" spans="4:4" x14ac:dyDescent="0.3">
      <c r="D3136"/>
    </row>
    <row r="3137" spans="4:4" x14ac:dyDescent="0.3">
      <c r="D3137"/>
    </row>
    <row r="3138" spans="4:4" x14ac:dyDescent="0.3">
      <c r="D3138"/>
    </row>
    <row r="3139" spans="4:4" x14ac:dyDescent="0.3">
      <c r="D3139"/>
    </row>
    <row r="3140" spans="4:4" x14ac:dyDescent="0.3">
      <c r="D3140"/>
    </row>
    <row r="3141" spans="4:4" x14ac:dyDescent="0.3">
      <c r="D3141"/>
    </row>
    <row r="3142" spans="4:4" x14ac:dyDescent="0.3">
      <c r="D3142"/>
    </row>
    <row r="3143" spans="4:4" x14ac:dyDescent="0.3">
      <c r="D3143"/>
    </row>
    <row r="3144" spans="4:4" x14ac:dyDescent="0.3">
      <c r="D3144"/>
    </row>
    <row r="3145" spans="4:4" x14ac:dyDescent="0.3">
      <c r="D3145"/>
    </row>
    <row r="3146" spans="4:4" x14ac:dyDescent="0.3">
      <c r="D3146"/>
    </row>
    <row r="3147" spans="4:4" x14ac:dyDescent="0.3">
      <c r="D3147"/>
    </row>
    <row r="3148" spans="4:4" x14ac:dyDescent="0.3">
      <c r="D3148"/>
    </row>
    <row r="3149" spans="4:4" x14ac:dyDescent="0.3">
      <c r="D3149"/>
    </row>
    <row r="3150" spans="4:4" x14ac:dyDescent="0.3">
      <c r="D3150"/>
    </row>
    <row r="3151" spans="4:4" x14ac:dyDescent="0.3">
      <c r="D3151"/>
    </row>
    <row r="3152" spans="4:4" x14ac:dyDescent="0.3">
      <c r="D3152"/>
    </row>
    <row r="3153" spans="4:4" x14ac:dyDescent="0.3">
      <c r="D3153"/>
    </row>
    <row r="3154" spans="4:4" x14ac:dyDescent="0.3">
      <c r="D3154"/>
    </row>
    <row r="3155" spans="4:4" x14ac:dyDescent="0.3">
      <c r="D3155"/>
    </row>
    <row r="3156" spans="4:4" x14ac:dyDescent="0.3">
      <c r="D3156"/>
    </row>
    <row r="3157" spans="4:4" x14ac:dyDescent="0.3">
      <c r="D3157"/>
    </row>
    <row r="3158" spans="4:4" x14ac:dyDescent="0.3">
      <c r="D3158"/>
    </row>
    <row r="3159" spans="4:4" x14ac:dyDescent="0.3">
      <c r="D3159"/>
    </row>
    <row r="3160" spans="4:4" x14ac:dyDescent="0.3">
      <c r="D3160"/>
    </row>
    <row r="3161" spans="4:4" x14ac:dyDescent="0.3">
      <c r="D3161"/>
    </row>
    <row r="3162" spans="4:4" x14ac:dyDescent="0.3">
      <c r="D3162"/>
    </row>
    <row r="3163" spans="4:4" x14ac:dyDescent="0.3">
      <c r="D3163"/>
    </row>
    <row r="3164" spans="4:4" x14ac:dyDescent="0.3">
      <c r="D3164"/>
    </row>
    <row r="3165" spans="4:4" x14ac:dyDescent="0.3">
      <c r="D3165"/>
    </row>
    <row r="3166" spans="4:4" x14ac:dyDescent="0.3">
      <c r="D3166"/>
    </row>
    <row r="3167" spans="4:4" x14ac:dyDescent="0.3">
      <c r="D3167"/>
    </row>
    <row r="3168" spans="4:4" x14ac:dyDescent="0.3">
      <c r="D3168"/>
    </row>
    <row r="3169" spans="4:4" x14ac:dyDescent="0.3">
      <c r="D3169"/>
    </row>
    <row r="3170" spans="4:4" x14ac:dyDescent="0.3">
      <c r="D3170"/>
    </row>
    <row r="3171" spans="4:4" x14ac:dyDescent="0.3">
      <c r="D3171"/>
    </row>
    <row r="3172" spans="4:4" x14ac:dyDescent="0.3">
      <c r="D3172"/>
    </row>
    <row r="3173" spans="4:4" x14ac:dyDescent="0.3">
      <c r="D3173"/>
    </row>
    <row r="3174" spans="4:4" x14ac:dyDescent="0.3">
      <c r="D3174"/>
    </row>
    <row r="3175" spans="4:4" x14ac:dyDescent="0.3">
      <c r="D3175"/>
    </row>
    <row r="3176" spans="4:4" x14ac:dyDescent="0.3">
      <c r="D3176"/>
    </row>
    <row r="3177" spans="4:4" x14ac:dyDescent="0.3">
      <c r="D3177"/>
    </row>
    <row r="3178" spans="4:4" x14ac:dyDescent="0.3">
      <c r="D3178"/>
    </row>
    <row r="3179" spans="4:4" x14ac:dyDescent="0.3">
      <c r="D3179"/>
    </row>
    <row r="3180" spans="4:4" x14ac:dyDescent="0.3">
      <c r="D3180"/>
    </row>
    <row r="3181" spans="4:4" x14ac:dyDescent="0.3">
      <c r="D3181"/>
    </row>
    <row r="3182" spans="4:4" x14ac:dyDescent="0.3">
      <c r="D3182"/>
    </row>
    <row r="3183" spans="4:4" x14ac:dyDescent="0.3">
      <c r="D3183"/>
    </row>
    <row r="3184" spans="4:4" x14ac:dyDescent="0.3">
      <c r="D3184"/>
    </row>
    <row r="3185" spans="4:4" x14ac:dyDescent="0.3">
      <c r="D3185"/>
    </row>
    <row r="3186" spans="4:4" x14ac:dyDescent="0.3">
      <c r="D3186"/>
    </row>
    <row r="3187" spans="4:4" x14ac:dyDescent="0.3">
      <c r="D3187"/>
    </row>
    <row r="3188" spans="4:4" x14ac:dyDescent="0.3">
      <c r="D3188"/>
    </row>
    <row r="3189" spans="4:4" x14ac:dyDescent="0.3">
      <c r="D3189"/>
    </row>
    <row r="3190" spans="4:4" x14ac:dyDescent="0.3">
      <c r="D3190"/>
    </row>
    <row r="3191" spans="4:4" x14ac:dyDescent="0.3">
      <c r="D3191"/>
    </row>
    <row r="3192" spans="4:4" x14ac:dyDescent="0.3">
      <c r="D3192"/>
    </row>
    <row r="3193" spans="4:4" x14ac:dyDescent="0.3">
      <c r="D3193"/>
    </row>
    <row r="3194" spans="4:4" x14ac:dyDescent="0.3">
      <c r="D3194"/>
    </row>
    <row r="3195" spans="4:4" x14ac:dyDescent="0.3">
      <c r="D3195"/>
    </row>
    <row r="3196" spans="4:4" x14ac:dyDescent="0.3">
      <c r="D3196"/>
    </row>
    <row r="3197" spans="4:4" x14ac:dyDescent="0.3">
      <c r="D3197"/>
    </row>
    <row r="3198" spans="4:4" x14ac:dyDescent="0.3">
      <c r="D3198"/>
    </row>
    <row r="3199" spans="4:4" x14ac:dyDescent="0.3">
      <c r="D3199"/>
    </row>
    <row r="3200" spans="4:4" x14ac:dyDescent="0.3">
      <c r="D3200"/>
    </row>
    <row r="3201" spans="4:4" x14ac:dyDescent="0.3">
      <c r="D3201"/>
    </row>
    <row r="3202" spans="4:4" x14ac:dyDescent="0.3">
      <c r="D3202"/>
    </row>
    <row r="3203" spans="4:4" x14ac:dyDescent="0.3">
      <c r="D3203"/>
    </row>
    <row r="3204" spans="4:4" x14ac:dyDescent="0.3">
      <c r="D3204"/>
    </row>
    <row r="3205" spans="4:4" x14ac:dyDescent="0.3">
      <c r="D3205"/>
    </row>
    <row r="3206" spans="4:4" x14ac:dyDescent="0.3">
      <c r="D3206"/>
    </row>
    <row r="3207" spans="4:4" x14ac:dyDescent="0.3">
      <c r="D3207"/>
    </row>
    <row r="3208" spans="4:4" x14ac:dyDescent="0.3">
      <c r="D3208"/>
    </row>
    <row r="3209" spans="4:4" x14ac:dyDescent="0.3">
      <c r="D3209"/>
    </row>
    <row r="3210" spans="4:4" x14ac:dyDescent="0.3">
      <c r="D3210"/>
    </row>
    <row r="3211" spans="4:4" x14ac:dyDescent="0.3">
      <c r="D3211"/>
    </row>
    <row r="3212" spans="4:4" x14ac:dyDescent="0.3">
      <c r="D3212"/>
    </row>
    <row r="3213" spans="4:4" x14ac:dyDescent="0.3">
      <c r="D3213"/>
    </row>
    <row r="3214" spans="4:4" x14ac:dyDescent="0.3">
      <c r="D3214"/>
    </row>
    <row r="3215" spans="4:4" x14ac:dyDescent="0.3">
      <c r="D3215"/>
    </row>
    <row r="3216" spans="4:4" x14ac:dyDescent="0.3">
      <c r="D3216"/>
    </row>
    <row r="3217" spans="4:4" x14ac:dyDescent="0.3">
      <c r="D3217"/>
    </row>
    <row r="3218" spans="4:4" x14ac:dyDescent="0.3">
      <c r="D3218"/>
    </row>
    <row r="3219" spans="4:4" x14ac:dyDescent="0.3">
      <c r="D3219"/>
    </row>
    <row r="3220" spans="4:4" x14ac:dyDescent="0.3">
      <c r="D3220"/>
    </row>
    <row r="3221" spans="4:4" x14ac:dyDescent="0.3">
      <c r="D3221"/>
    </row>
    <row r="3222" spans="4:4" x14ac:dyDescent="0.3">
      <c r="D3222"/>
    </row>
    <row r="3223" spans="4:4" x14ac:dyDescent="0.3">
      <c r="D3223"/>
    </row>
    <row r="3224" spans="4:4" x14ac:dyDescent="0.3">
      <c r="D3224"/>
    </row>
    <row r="3225" spans="4:4" x14ac:dyDescent="0.3">
      <c r="D3225"/>
    </row>
    <row r="3226" spans="4:4" x14ac:dyDescent="0.3">
      <c r="D3226"/>
    </row>
    <row r="3227" spans="4:4" x14ac:dyDescent="0.3">
      <c r="D3227"/>
    </row>
    <row r="3228" spans="4:4" x14ac:dyDescent="0.3">
      <c r="D3228"/>
    </row>
    <row r="3229" spans="4:4" x14ac:dyDescent="0.3">
      <c r="D3229"/>
    </row>
    <row r="3230" spans="4:4" x14ac:dyDescent="0.3">
      <c r="D3230"/>
    </row>
    <row r="3231" spans="4:4" x14ac:dyDescent="0.3">
      <c r="D3231"/>
    </row>
    <row r="3232" spans="4:4" x14ac:dyDescent="0.3">
      <c r="D3232"/>
    </row>
    <row r="3233" spans="4:4" x14ac:dyDescent="0.3">
      <c r="D3233"/>
    </row>
    <row r="3234" spans="4:4" x14ac:dyDescent="0.3">
      <c r="D3234"/>
    </row>
    <row r="3235" spans="4:4" x14ac:dyDescent="0.3">
      <c r="D3235"/>
    </row>
    <row r="3236" spans="4:4" x14ac:dyDescent="0.3">
      <c r="D3236"/>
    </row>
    <row r="3237" spans="4:4" x14ac:dyDescent="0.3">
      <c r="D3237"/>
    </row>
    <row r="3238" spans="4:4" x14ac:dyDescent="0.3">
      <c r="D3238"/>
    </row>
    <row r="3239" spans="4:4" x14ac:dyDescent="0.3">
      <c r="D3239"/>
    </row>
    <row r="3240" spans="4:4" x14ac:dyDescent="0.3">
      <c r="D3240"/>
    </row>
    <row r="3241" spans="4:4" x14ac:dyDescent="0.3">
      <c r="D3241"/>
    </row>
    <row r="3242" spans="4:4" x14ac:dyDescent="0.3">
      <c r="D3242"/>
    </row>
    <row r="3243" spans="4:4" x14ac:dyDescent="0.3">
      <c r="D3243"/>
    </row>
    <row r="3244" spans="4:4" x14ac:dyDescent="0.3">
      <c r="D3244"/>
    </row>
    <row r="3245" spans="4:4" x14ac:dyDescent="0.3">
      <c r="D3245"/>
    </row>
    <row r="3246" spans="4:4" x14ac:dyDescent="0.3">
      <c r="D3246"/>
    </row>
    <row r="3247" spans="4:4" x14ac:dyDescent="0.3">
      <c r="D3247"/>
    </row>
    <row r="3248" spans="4:4" x14ac:dyDescent="0.3">
      <c r="D3248"/>
    </row>
    <row r="3249" spans="4:4" x14ac:dyDescent="0.3">
      <c r="D3249"/>
    </row>
    <row r="3250" spans="4:4" x14ac:dyDescent="0.3">
      <c r="D3250"/>
    </row>
    <row r="3251" spans="4:4" x14ac:dyDescent="0.3">
      <c r="D3251"/>
    </row>
    <row r="3252" spans="4:4" x14ac:dyDescent="0.3">
      <c r="D3252"/>
    </row>
    <row r="3253" spans="4:4" x14ac:dyDescent="0.3">
      <c r="D3253"/>
    </row>
    <row r="3254" spans="4:4" x14ac:dyDescent="0.3">
      <c r="D3254"/>
    </row>
    <row r="3255" spans="4:4" x14ac:dyDescent="0.3">
      <c r="D3255"/>
    </row>
    <row r="3256" spans="4:4" x14ac:dyDescent="0.3">
      <c r="D3256"/>
    </row>
    <row r="3257" spans="4:4" x14ac:dyDescent="0.3">
      <c r="D3257"/>
    </row>
    <row r="3258" spans="4:4" x14ac:dyDescent="0.3">
      <c r="D3258"/>
    </row>
    <row r="3259" spans="4:4" x14ac:dyDescent="0.3">
      <c r="D3259"/>
    </row>
    <row r="3260" spans="4:4" x14ac:dyDescent="0.3">
      <c r="D3260"/>
    </row>
    <row r="3261" spans="4:4" x14ac:dyDescent="0.3">
      <c r="D3261"/>
    </row>
    <row r="3262" spans="4:4" x14ac:dyDescent="0.3">
      <c r="D3262"/>
    </row>
    <row r="3263" spans="4:4" x14ac:dyDescent="0.3">
      <c r="D3263"/>
    </row>
    <row r="3264" spans="4:4" x14ac:dyDescent="0.3">
      <c r="D3264"/>
    </row>
    <row r="3265" spans="4:4" x14ac:dyDescent="0.3">
      <c r="D3265"/>
    </row>
    <row r="3266" spans="4:4" x14ac:dyDescent="0.3">
      <c r="D3266"/>
    </row>
    <row r="3267" spans="4:4" x14ac:dyDescent="0.3">
      <c r="D3267"/>
    </row>
    <row r="3268" spans="4:4" x14ac:dyDescent="0.3">
      <c r="D3268"/>
    </row>
    <row r="3269" spans="4:4" x14ac:dyDescent="0.3">
      <c r="D3269"/>
    </row>
    <row r="3270" spans="4:4" x14ac:dyDescent="0.3">
      <c r="D3270"/>
    </row>
    <row r="3271" spans="4:4" x14ac:dyDescent="0.3">
      <c r="D3271"/>
    </row>
    <row r="3272" spans="4:4" x14ac:dyDescent="0.3">
      <c r="D3272"/>
    </row>
    <row r="3273" spans="4:4" x14ac:dyDescent="0.3">
      <c r="D3273"/>
    </row>
    <row r="3274" spans="4:4" x14ac:dyDescent="0.3">
      <c r="D3274"/>
    </row>
    <row r="3275" spans="4:4" x14ac:dyDescent="0.3">
      <c r="D3275"/>
    </row>
    <row r="3276" spans="4:4" x14ac:dyDescent="0.3">
      <c r="D3276"/>
    </row>
    <row r="3277" spans="4:4" x14ac:dyDescent="0.3">
      <c r="D3277"/>
    </row>
    <row r="3278" spans="4:4" x14ac:dyDescent="0.3">
      <c r="D3278"/>
    </row>
    <row r="3279" spans="4:4" x14ac:dyDescent="0.3">
      <c r="D3279"/>
    </row>
    <row r="3280" spans="4:4" x14ac:dyDescent="0.3">
      <c r="D3280"/>
    </row>
    <row r="3281" spans="4:4" x14ac:dyDescent="0.3">
      <c r="D3281"/>
    </row>
    <row r="3282" spans="4:4" x14ac:dyDescent="0.3">
      <c r="D3282"/>
    </row>
    <row r="3283" spans="4:4" x14ac:dyDescent="0.3">
      <c r="D3283"/>
    </row>
    <row r="3284" spans="4:4" x14ac:dyDescent="0.3">
      <c r="D3284"/>
    </row>
    <row r="3285" spans="4:4" x14ac:dyDescent="0.3">
      <c r="D3285"/>
    </row>
    <row r="3286" spans="4:4" x14ac:dyDescent="0.3">
      <c r="D3286"/>
    </row>
    <row r="3287" spans="4:4" x14ac:dyDescent="0.3">
      <c r="D3287"/>
    </row>
    <row r="3288" spans="4:4" x14ac:dyDescent="0.3">
      <c r="D3288"/>
    </row>
    <row r="3289" spans="4:4" x14ac:dyDescent="0.3">
      <c r="D3289"/>
    </row>
    <row r="3290" spans="4:4" x14ac:dyDescent="0.3">
      <c r="D3290"/>
    </row>
    <row r="3291" spans="4:4" x14ac:dyDescent="0.3">
      <c r="D3291"/>
    </row>
    <row r="3292" spans="4:4" x14ac:dyDescent="0.3">
      <c r="D3292"/>
    </row>
    <row r="3293" spans="4:4" x14ac:dyDescent="0.3">
      <c r="D3293"/>
    </row>
    <row r="3294" spans="4:4" x14ac:dyDescent="0.3">
      <c r="D3294"/>
    </row>
    <row r="3295" spans="4:4" x14ac:dyDescent="0.3">
      <c r="D3295"/>
    </row>
    <row r="3296" spans="4:4" x14ac:dyDescent="0.3">
      <c r="D3296"/>
    </row>
    <row r="3297" spans="4:4" x14ac:dyDescent="0.3">
      <c r="D3297"/>
    </row>
    <row r="3298" spans="4:4" x14ac:dyDescent="0.3">
      <c r="D3298"/>
    </row>
    <row r="3299" spans="4:4" x14ac:dyDescent="0.3">
      <c r="D3299"/>
    </row>
    <row r="3300" spans="4:4" x14ac:dyDescent="0.3">
      <c r="D3300"/>
    </row>
    <row r="3301" spans="4:4" x14ac:dyDescent="0.3">
      <c r="D3301"/>
    </row>
    <row r="3302" spans="4:4" x14ac:dyDescent="0.3">
      <c r="D3302"/>
    </row>
    <row r="3303" spans="4:4" x14ac:dyDescent="0.3">
      <c r="D3303"/>
    </row>
    <row r="3304" spans="4:4" x14ac:dyDescent="0.3">
      <c r="D3304"/>
    </row>
    <row r="3305" spans="4:4" x14ac:dyDescent="0.3">
      <c r="D3305"/>
    </row>
    <row r="3306" spans="4:4" x14ac:dyDescent="0.3">
      <c r="D3306"/>
    </row>
    <row r="3307" spans="4:4" x14ac:dyDescent="0.3">
      <c r="D3307"/>
    </row>
    <row r="3308" spans="4:4" x14ac:dyDescent="0.3">
      <c r="D3308"/>
    </row>
    <row r="3309" spans="4:4" x14ac:dyDescent="0.3">
      <c r="D3309"/>
    </row>
    <row r="3310" spans="4:4" x14ac:dyDescent="0.3">
      <c r="D3310"/>
    </row>
    <row r="3311" spans="4:4" x14ac:dyDescent="0.3">
      <c r="D3311"/>
    </row>
    <row r="3312" spans="4:4" x14ac:dyDescent="0.3">
      <c r="D3312"/>
    </row>
    <row r="3313" spans="4:4" x14ac:dyDescent="0.3">
      <c r="D3313"/>
    </row>
    <row r="3314" spans="4:4" x14ac:dyDescent="0.3">
      <c r="D3314"/>
    </row>
    <row r="3315" spans="4:4" x14ac:dyDescent="0.3">
      <c r="D3315"/>
    </row>
    <row r="3316" spans="4:4" x14ac:dyDescent="0.3">
      <c r="D3316"/>
    </row>
    <row r="3317" spans="4:4" x14ac:dyDescent="0.3">
      <c r="D3317"/>
    </row>
    <row r="3318" spans="4:4" x14ac:dyDescent="0.3">
      <c r="D3318"/>
    </row>
    <row r="3319" spans="4:4" x14ac:dyDescent="0.3">
      <c r="D3319"/>
    </row>
    <row r="3320" spans="4:4" x14ac:dyDescent="0.3">
      <c r="D3320"/>
    </row>
    <row r="3321" spans="4:4" x14ac:dyDescent="0.3">
      <c r="D3321"/>
    </row>
    <row r="3322" spans="4:4" x14ac:dyDescent="0.3">
      <c r="D3322"/>
    </row>
    <row r="3323" spans="4:4" x14ac:dyDescent="0.3">
      <c r="D3323"/>
    </row>
    <row r="3324" spans="4:4" x14ac:dyDescent="0.3">
      <c r="D3324"/>
    </row>
    <row r="3325" spans="4:4" x14ac:dyDescent="0.3">
      <c r="D3325"/>
    </row>
    <row r="3326" spans="4:4" x14ac:dyDescent="0.3">
      <c r="D3326"/>
    </row>
    <row r="3327" spans="4:4" x14ac:dyDescent="0.3">
      <c r="D3327"/>
    </row>
    <row r="3328" spans="4:4" x14ac:dyDescent="0.3">
      <c r="D3328"/>
    </row>
    <row r="3329" spans="4:4" x14ac:dyDescent="0.3">
      <c r="D3329"/>
    </row>
    <row r="3330" spans="4:4" x14ac:dyDescent="0.3">
      <c r="D3330"/>
    </row>
    <row r="3331" spans="4:4" x14ac:dyDescent="0.3">
      <c r="D3331"/>
    </row>
    <row r="3332" spans="4:4" x14ac:dyDescent="0.3">
      <c r="D3332"/>
    </row>
    <row r="3333" spans="4:4" x14ac:dyDescent="0.3">
      <c r="D3333"/>
    </row>
    <row r="3334" spans="4:4" x14ac:dyDescent="0.3">
      <c r="D3334"/>
    </row>
    <row r="3335" spans="4:4" x14ac:dyDescent="0.3">
      <c r="D3335"/>
    </row>
    <row r="3336" spans="4:4" x14ac:dyDescent="0.3">
      <c r="D3336"/>
    </row>
    <row r="3337" spans="4:4" x14ac:dyDescent="0.3">
      <c r="D3337"/>
    </row>
    <row r="3338" spans="4:4" x14ac:dyDescent="0.3">
      <c r="D3338"/>
    </row>
    <row r="3339" spans="4:4" x14ac:dyDescent="0.3">
      <c r="D3339"/>
    </row>
    <row r="3340" spans="4:4" x14ac:dyDescent="0.3">
      <c r="D3340"/>
    </row>
    <row r="3341" spans="4:4" x14ac:dyDescent="0.3">
      <c r="D3341"/>
    </row>
    <row r="3342" spans="4:4" x14ac:dyDescent="0.3">
      <c r="D3342"/>
    </row>
    <row r="3343" spans="4:4" x14ac:dyDescent="0.3">
      <c r="D3343"/>
    </row>
    <row r="3344" spans="4:4" x14ac:dyDescent="0.3">
      <c r="D3344"/>
    </row>
    <row r="3345" spans="4:4" x14ac:dyDescent="0.3">
      <c r="D3345"/>
    </row>
    <row r="3346" spans="4:4" x14ac:dyDescent="0.3">
      <c r="D3346"/>
    </row>
    <row r="3347" spans="4:4" x14ac:dyDescent="0.3">
      <c r="D3347"/>
    </row>
    <row r="3348" spans="4:4" x14ac:dyDescent="0.3">
      <c r="D3348"/>
    </row>
    <row r="3349" spans="4:4" x14ac:dyDescent="0.3">
      <c r="D3349"/>
    </row>
    <row r="3350" spans="4:4" x14ac:dyDescent="0.3">
      <c r="D3350"/>
    </row>
    <row r="3351" spans="4:4" x14ac:dyDescent="0.3">
      <c r="D3351"/>
    </row>
    <row r="3352" spans="4:4" x14ac:dyDescent="0.3">
      <c r="D3352"/>
    </row>
    <row r="3353" spans="4:4" x14ac:dyDescent="0.3">
      <c r="D3353"/>
    </row>
    <row r="3354" spans="4:4" x14ac:dyDescent="0.3">
      <c r="D3354"/>
    </row>
    <row r="3355" spans="4:4" x14ac:dyDescent="0.3">
      <c r="D3355"/>
    </row>
    <row r="3356" spans="4:4" x14ac:dyDescent="0.3">
      <c r="D3356"/>
    </row>
    <row r="3357" spans="4:4" x14ac:dyDescent="0.3">
      <c r="D3357"/>
    </row>
    <row r="3358" spans="4:4" x14ac:dyDescent="0.3">
      <c r="D3358"/>
    </row>
    <row r="3359" spans="4:4" x14ac:dyDescent="0.3">
      <c r="D3359"/>
    </row>
    <row r="3360" spans="4:4" x14ac:dyDescent="0.3">
      <c r="D3360"/>
    </row>
    <row r="3361" spans="4:4" x14ac:dyDescent="0.3">
      <c r="D3361"/>
    </row>
    <row r="3362" spans="4:4" x14ac:dyDescent="0.3">
      <c r="D3362"/>
    </row>
    <row r="3363" spans="4:4" x14ac:dyDescent="0.3">
      <c r="D3363"/>
    </row>
    <row r="3364" spans="4:4" x14ac:dyDescent="0.3">
      <c r="D3364"/>
    </row>
    <row r="3365" spans="4:4" x14ac:dyDescent="0.3">
      <c r="D3365"/>
    </row>
    <row r="3366" spans="4:4" x14ac:dyDescent="0.3">
      <c r="D3366"/>
    </row>
    <row r="3367" spans="4:4" x14ac:dyDescent="0.3">
      <c r="D3367"/>
    </row>
    <row r="3368" spans="4:4" x14ac:dyDescent="0.3">
      <c r="D3368"/>
    </row>
    <row r="3369" spans="4:4" x14ac:dyDescent="0.3">
      <c r="D3369"/>
    </row>
    <row r="3370" spans="4:4" x14ac:dyDescent="0.3">
      <c r="D3370"/>
    </row>
    <row r="3371" spans="4:4" x14ac:dyDescent="0.3">
      <c r="D3371"/>
    </row>
    <row r="3372" spans="4:4" x14ac:dyDescent="0.3">
      <c r="D3372"/>
    </row>
    <row r="3373" spans="4:4" x14ac:dyDescent="0.3">
      <c r="D3373"/>
    </row>
    <row r="3374" spans="4:4" x14ac:dyDescent="0.3">
      <c r="D3374"/>
    </row>
    <row r="3375" spans="4:4" x14ac:dyDescent="0.3">
      <c r="D3375"/>
    </row>
    <row r="3376" spans="4:4" x14ac:dyDescent="0.3">
      <c r="D3376"/>
    </row>
    <row r="3377" spans="4:4" x14ac:dyDescent="0.3">
      <c r="D3377"/>
    </row>
    <row r="3378" spans="4:4" x14ac:dyDescent="0.3">
      <c r="D3378"/>
    </row>
    <row r="3379" spans="4:4" x14ac:dyDescent="0.3">
      <c r="D3379"/>
    </row>
    <row r="3380" spans="4:4" x14ac:dyDescent="0.3">
      <c r="D3380"/>
    </row>
    <row r="3381" spans="4:4" x14ac:dyDescent="0.3">
      <c r="D3381"/>
    </row>
    <row r="3382" spans="4:4" x14ac:dyDescent="0.3">
      <c r="D3382"/>
    </row>
    <row r="3383" spans="4:4" x14ac:dyDescent="0.3">
      <c r="D3383"/>
    </row>
    <row r="3384" spans="4:4" x14ac:dyDescent="0.3">
      <c r="D3384"/>
    </row>
    <row r="3385" spans="4:4" x14ac:dyDescent="0.3">
      <c r="D3385"/>
    </row>
    <row r="3386" spans="4:4" x14ac:dyDescent="0.3">
      <c r="D3386"/>
    </row>
    <row r="3387" spans="4:4" x14ac:dyDescent="0.3">
      <c r="D3387"/>
    </row>
    <row r="3388" spans="4:4" x14ac:dyDescent="0.3">
      <c r="D3388"/>
    </row>
    <row r="3389" spans="4:4" x14ac:dyDescent="0.3">
      <c r="D3389"/>
    </row>
    <row r="3390" spans="4:4" x14ac:dyDescent="0.3">
      <c r="D3390"/>
    </row>
    <row r="3391" spans="4:4" x14ac:dyDescent="0.3">
      <c r="D3391"/>
    </row>
    <row r="3392" spans="4:4" x14ac:dyDescent="0.3">
      <c r="D3392"/>
    </row>
    <row r="3393" spans="4:4" x14ac:dyDescent="0.3">
      <c r="D3393"/>
    </row>
    <row r="3394" spans="4:4" x14ac:dyDescent="0.3">
      <c r="D3394"/>
    </row>
    <row r="3395" spans="4:4" x14ac:dyDescent="0.3">
      <c r="D3395"/>
    </row>
    <row r="3396" spans="4:4" x14ac:dyDescent="0.3">
      <c r="D3396"/>
    </row>
    <row r="3397" spans="4:4" x14ac:dyDescent="0.3">
      <c r="D3397"/>
    </row>
    <row r="3398" spans="4:4" x14ac:dyDescent="0.3">
      <c r="D3398"/>
    </row>
    <row r="3399" spans="4:4" x14ac:dyDescent="0.3">
      <c r="D3399"/>
    </row>
    <row r="3400" spans="4:4" x14ac:dyDescent="0.3">
      <c r="D3400"/>
    </row>
    <row r="3401" spans="4:4" x14ac:dyDescent="0.3">
      <c r="D3401"/>
    </row>
    <row r="3402" spans="4:4" x14ac:dyDescent="0.3">
      <c r="D3402"/>
    </row>
    <row r="3403" spans="4:4" x14ac:dyDescent="0.3">
      <c r="D3403"/>
    </row>
    <row r="3404" spans="4:4" x14ac:dyDescent="0.3">
      <c r="D3404"/>
    </row>
    <row r="3405" spans="4:4" x14ac:dyDescent="0.3">
      <c r="D3405"/>
    </row>
    <row r="3406" spans="4:4" x14ac:dyDescent="0.3">
      <c r="D3406"/>
    </row>
    <row r="3407" spans="4:4" x14ac:dyDescent="0.3">
      <c r="D3407"/>
    </row>
    <row r="3408" spans="4:4" x14ac:dyDescent="0.3">
      <c r="D3408"/>
    </row>
    <row r="3409" spans="4:4" x14ac:dyDescent="0.3">
      <c r="D3409"/>
    </row>
    <row r="3410" spans="4:4" x14ac:dyDescent="0.3">
      <c r="D3410"/>
    </row>
    <row r="3411" spans="4:4" x14ac:dyDescent="0.3">
      <c r="D3411"/>
    </row>
    <row r="3412" spans="4:4" x14ac:dyDescent="0.3">
      <c r="D3412"/>
    </row>
    <row r="3413" spans="4:4" x14ac:dyDescent="0.3">
      <c r="D3413"/>
    </row>
    <row r="3414" spans="4:4" x14ac:dyDescent="0.3">
      <c r="D3414"/>
    </row>
    <row r="3415" spans="4:4" x14ac:dyDescent="0.3">
      <c r="D3415"/>
    </row>
    <row r="3416" spans="4:4" x14ac:dyDescent="0.3">
      <c r="D3416"/>
    </row>
    <row r="3417" spans="4:4" x14ac:dyDescent="0.3">
      <c r="D3417"/>
    </row>
    <row r="3418" spans="4:4" x14ac:dyDescent="0.3">
      <c r="D3418"/>
    </row>
    <row r="3419" spans="4:4" x14ac:dyDescent="0.3">
      <c r="D3419"/>
    </row>
    <row r="3420" spans="4:4" x14ac:dyDescent="0.3">
      <c r="D3420"/>
    </row>
    <row r="3421" spans="4:4" x14ac:dyDescent="0.3">
      <c r="D3421"/>
    </row>
    <row r="3422" spans="4:4" x14ac:dyDescent="0.3">
      <c r="D3422"/>
    </row>
    <row r="3423" spans="4:4" x14ac:dyDescent="0.3">
      <c r="D3423"/>
    </row>
    <row r="3424" spans="4:4" x14ac:dyDescent="0.3">
      <c r="D3424"/>
    </row>
    <row r="3425" spans="4:4" x14ac:dyDescent="0.3">
      <c r="D3425"/>
    </row>
    <row r="3426" spans="4:4" x14ac:dyDescent="0.3">
      <c r="D3426"/>
    </row>
    <row r="3427" spans="4:4" x14ac:dyDescent="0.3">
      <c r="D3427"/>
    </row>
    <row r="3428" spans="4:4" x14ac:dyDescent="0.3">
      <c r="D3428"/>
    </row>
    <row r="3429" spans="4:4" x14ac:dyDescent="0.3">
      <c r="D3429"/>
    </row>
    <row r="3430" spans="4:4" x14ac:dyDescent="0.3">
      <c r="D3430"/>
    </row>
    <row r="3431" spans="4:4" x14ac:dyDescent="0.3">
      <c r="D3431"/>
    </row>
    <row r="3432" spans="4:4" x14ac:dyDescent="0.3">
      <c r="D3432"/>
    </row>
    <row r="3433" spans="4:4" x14ac:dyDescent="0.3">
      <c r="D3433"/>
    </row>
    <row r="3434" spans="4:4" x14ac:dyDescent="0.3">
      <c r="D3434"/>
    </row>
    <row r="3435" spans="4:4" x14ac:dyDescent="0.3">
      <c r="D3435"/>
    </row>
    <row r="3436" spans="4:4" x14ac:dyDescent="0.3">
      <c r="D3436"/>
    </row>
    <row r="3437" spans="4:4" x14ac:dyDescent="0.3">
      <c r="D3437"/>
    </row>
    <row r="3438" spans="4:4" x14ac:dyDescent="0.3">
      <c r="D3438"/>
    </row>
    <row r="3439" spans="4:4" x14ac:dyDescent="0.3">
      <c r="D3439"/>
    </row>
    <row r="3440" spans="4:4" x14ac:dyDescent="0.3">
      <c r="D3440"/>
    </row>
    <row r="3441" spans="4:4" x14ac:dyDescent="0.3">
      <c r="D3441"/>
    </row>
    <row r="3442" spans="4:4" x14ac:dyDescent="0.3">
      <c r="D3442"/>
    </row>
    <row r="3443" spans="4:4" x14ac:dyDescent="0.3">
      <c r="D3443"/>
    </row>
    <row r="3444" spans="4:4" x14ac:dyDescent="0.3">
      <c r="D3444"/>
    </row>
    <row r="3445" spans="4:4" x14ac:dyDescent="0.3">
      <c r="D3445"/>
    </row>
    <row r="3446" spans="4:4" x14ac:dyDescent="0.3">
      <c r="D3446"/>
    </row>
    <row r="3447" spans="4:4" x14ac:dyDescent="0.3">
      <c r="D3447"/>
    </row>
    <row r="3448" spans="4:4" x14ac:dyDescent="0.3">
      <c r="D3448"/>
    </row>
    <row r="3449" spans="4:4" x14ac:dyDescent="0.3">
      <c r="D3449"/>
    </row>
    <row r="3450" spans="4:4" x14ac:dyDescent="0.3">
      <c r="D3450"/>
    </row>
    <row r="3451" spans="4:4" x14ac:dyDescent="0.3">
      <c r="D3451"/>
    </row>
    <row r="3452" spans="4:4" x14ac:dyDescent="0.3">
      <c r="D3452"/>
    </row>
    <row r="3453" spans="4:4" x14ac:dyDescent="0.3">
      <c r="D3453"/>
    </row>
    <row r="3454" spans="4:4" x14ac:dyDescent="0.3">
      <c r="D3454"/>
    </row>
    <row r="3455" spans="4:4" x14ac:dyDescent="0.3">
      <c r="D3455"/>
    </row>
    <row r="3456" spans="4:4" x14ac:dyDescent="0.3">
      <c r="D3456"/>
    </row>
    <row r="3457" spans="4:4" x14ac:dyDescent="0.3">
      <c r="D3457"/>
    </row>
    <row r="3458" spans="4:4" x14ac:dyDescent="0.3">
      <c r="D3458"/>
    </row>
    <row r="3459" spans="4:4" x14ac:dyDescent="0.3">
      <c r="D3459"/>
    </row>
    <row r="3460" spans="4:4" x14ac:dyDescent="0.3">
      <c r="D3460"/>
    </row>
    <row r="3461" spans="4:4" x14ac:dyDescent="0.3">
      <c r="D3461"/>
    </row>
    <row r="3462" spans="4:4" x14ac:dyDescent="0.3">
      <c r="D3462"/>
    </row>
    <row r="3463" spans="4:4" x14ac:dyDescent="0.3">
      <c r="D3463"/>
    </row>
    <row r="3464" spans="4:4" x14ac:dyDescent="0.3">
      <c r="D3464"/>
    </row>
    <row r="3465" spans="4:4" x14ac:dyDescent="0.3">
      <c r="D3465"/>
    </row>
    <row r="3466" spans="4:4" x14ac:dyDescent="0.3">
      <c r="D3466"/>
    </row>
    <row r="3467" spans="4:4" x14ac:dyDescent="0.3">
      <c r="D3467"/>
    </row>
    <row r="3468" spans="4:4" x14ac:dyDescent="0.3">
      <c r="D3468"/>
    </row>
    <row r="3469" spans="4:4" x14ac:dyDescent="0.3">
      <c r="D3469"/>
    </row>
    <row r="3470" spans="4:4" x14ac:dyDescent="0.3">
      <c r="D3470"/>
    </row>
    <row r="3471" spans="4:4" x14ac:dyDescent="0.3">
      <c r="D3471"/>
    </row>
    <row r="3472" spans="4:4" x14ac:dyDescent="0.3">
      <c r="D3472"/>
    </row>
    <row r="3473" spans="4:4" x14ac:dyDescent="0.3">
      <c r="D3473"/>
    </row>
    <row r="3474" spans="4:4" x14ac:dyDescent="0.3">
      <c r="D3474"/>
    </row>
    <row r="3475" spans="4:4" x14ac:dyDescent="0.3">
      <c r="D3475"/>
    </row>
    <row r="3476" spans="4:4" x14ac:dyDescent="0.3">
      <c r="D3476"/>
    </row>
    <row r="3477" spans="4:4" x14ac:dyDescent="0.3">
      <c r="D3477"/>
    </row>
    <row r="3478" spans="4:4" x14ac:dyDescent="0.3">
      <c r="D3478"/>
    </row>
    <row r="3479" spans="4:4" x14ac:dyDescent="0.3">
      <c r="D3479"/>
    </row>
    <row r="3480" spans="4:4" x14ac:dyDescent="0.3">
      <c r="D3480"/>
    </row>
    <row r="3481" spans="4:4" x14ac:dyDescent="0.3">
      <c r="D3481"/>
    </row>
    <row r="3482" spans="4:4" x14ac:dyDescent="0.3">
      <c r="D3482"/>
    </row>
    <row r="3483" spans="4:4" x14ac:dyDescent="0.3">
      <c r="D3483"/>
    </row>
    <row r="3484" spans="4:4" x14ac:dyDescent="0.3">
      <c r="D3484"/>
    </row>
    <row r="3485" spans="4:4" x14ac:dyDescent="0.3">
      <c r="D3485"/>
    </row>
    <row r="3486" spans="4:4" x14ac:dyDescent="0.3">
      <c r="D3486"/>
    </row>
    <row r="3487" spans="4:4" x14ac:dyDescent="0.3">
      <c r="D3487"/>
    </row>
    <row r="3488" spans="4:4" x14ac:dyDescent="0.3">
      <c r="D3488"/>
    </row>
    <row r="3489" spans="4:4" x14ac:dyDescent="0.3">
      <c r="D3489"/>
    </row>
    <row r="3490" spans="4:4" x14ac:dyDescent="0.3">
      <c r="D3490"/>
    </row>
    <row r="3491" spans="4:4" x14ac:dyDescent="0.3">
      <c r="D3491"/>
    </row>
    <row r="3492" spans="4:4" x14ac:dyDescent="0.3">
      <c r="D3492"/>
    </row>
    <row r="3493" spans="4:4" x14ac:dyDescent="0.3">
      <c r="D3493"/>
    </row>
    <row r="3494" spans="4:4" x14ac:dyDescent="0.3">
      <c r="D3494"/>
    </row>
    <row r="3495" spans="4:4" x14ac:dyDescent="0.3">
      <c r="D3495"/>
    </row>
    <row r="3496" spans="4:4" x14ac:dyDescent="0.3">
      <c r="D3496"/>
    </row>
    <row r="3497" spans="4:4" x14ac:dyDescent="0.3">
      <c r="D3497"/>
    </row>
    <row r="3498" spans="4:4" x14ac:dyDescent="0.3">
      <c r="D3498"/>
    </row>
    <row r="3499" spans="4:4" x14ac:dyDescent="0.3">
      <c r="D3499"/>
    </row>
    <row r="3500" spans="4:4" x14ac:dyDescent="0.3">
      <c r="D3500"/>
    </row>
    <row r="3501" spans="4:4" x14ac:dyDescent="0.3">
      <c r="D3501"/>
    </row>
    <row r="3502" spans="4:4" x14ac:dyDescent="0.3">
      <c r="D3502"/>
    </row>
    <row r="3503" spans="4:4" x14ac:dyDescent="0.3">
      <c r="D3503"/>
    </row>
    <row r="3504" spans="4:4" x14ac:dyDescent="0.3">
      <c r="D3504"/>
    </row>
    <row r="3505" spans="4:4" x14ac:dyDescent="0.3">
      <c r="D3505"/>
    </row>
    <row r="3506" spans="4:4" x14ac:dyDescent="0.3">
      <c r="D3506"/>
    </row>
    <row r="3507" spans="4:4" x14ac:dyDescent="0.3">
      <c r="D3507"/>
    </row>
    <row r="3508" spans="4:4" x14ac:dyDescent="0.3">
      <c r="D3508"/>
    </row>
    <row r="3509" spans="4:4" x14ac:dyDescent="0.3">
      <c r="D3509"/>
    </row>
    <row r="3510" spans="4:4" x14ac:dyDescent="0.3">
      <c r="D3510"/>
    </row>
    <row r="3511" spans="4:4" x14ac:dyDescent="0.3">
      <c r="D3511"/>
    </row>
    <row r="3512" spans="4:4" x14ac:dyDescent="0.3">
      <c r="D3512"/>
    </row>
    <row r="3513" spans="4:4" x14ac:dyDescent="0.3">
      <c r="D3513"/>
    </row>
    <row r="3514" spans="4:4" x14ac:dyDescent="0.3">
      <c r="D3514"/>
    </row>
    <row r="3515" spans="4:4" x14ac:dyDescent="0.3">
      <c r="D3515"/>
    </row>
    <row r="3516" spans="4:4" x14ac:dyDescent="0.3">
      <c r="D3516"/>
    </row>
    <row r="3517" spans="4:4" x14ac:dyDescent="0.3">
      <c r="D3517"/>
    </row>
    <row r="3518" spans="4:4" x14ac:dyDescent="0.3">
      <c r="D3518"/>
    </row>
    <row r="3519" spans="4:4" x14ac:dyDescent="0.3">
      <c r="D3519"/>
    </row>
    <row r="3520" spans="4:4" x14ac:dyDescent="0.3">
      <c r="D3520"/>
    </row>
    <row r="3521" spans="4:4" x14ac:dyDescent="0.3">
      <c r="D3521"/>
    </row>
    <row r="3522" spans="4:4" x14ac:dyDescent="0.3">
      <c r="D3522"/>
    </row>
    <row r="3523" spans="4:4" x14ac:dyDescent="0.3">
      <c r="D3523"/>
    </row>
    <row r="3524" spans="4:4" x14ac:dyDescent="0.3">
      <c r="D3524"/>
    </row>
    <row r="3525" spans="4:4" x14ac:dyDescent="0.3">
      <c r="D3525"/>
    </row>
    <row r="3526" spans="4:4" x14ac:dyDescent="0.3">
      <c r="D3526"/>
    </row>
    <row r="3527" spans="4:4" x14ac:dyDescent="0.3">
      <c r="D3527"/>
    </row>
    <row r="3528" spans="4:4" x14ac:dyDescent="0.3">
      <c r="D3528"/>
    </row>
    <row r="3529" spans="4:4" x14ac:dyDescent="0.3">
      <c r="D3529"/>
    </row>
    <row r="3530" spans="4:4" x14ac:dyDescent="0.3">
      <c r="D3530"/>
    </row>
    <row r="3531" spans="4:4" x14ac:dyDescent="0.3">
      <c r="D3531"/>
    </row>
    <row r="3532" spans="4:4" x14ac:dyDescent="0.3">
      <c r="D3532"/>
    </row>
    <row r="3533" spans="4:4" x14ac:dyDescent="0.3">
      <c r="D3533"/>
    </row>
    <row r="3534" spans="4:4" x14ac:dyDescent="0.3">
      <c r="D3534"/>
    </row>
    <row r="3535" spans="4:4" x14ac:dyDescent="0.3">
      <c r="D3535"/>
    </row>
    <row r="3536" spans="4:4" x14ac:dyDescent="0.3">
      <c r="D3536"/>
    </row>
    <row r="3537" spans="4:4" x14ac:dyDescent="0.3">
      <c r="D3537"/>
    </row>
    <row r="3538" spans="4:4" x14ac:dyDescent="0.3">
      <c r="D3538"/>
    </row>
    <row r="3539" spans="4:4" x14ac:dyDescent="0.3">
      <c r="D3539"/>
    </row>
    <row r="3540" spans="4:4" x14ac:dyDescent="0.3">
      <c r="D3540"/>
    </row>
    <row r="3541" spans="4:4" x14ac:dyDescent="0.3">
      <c r="D3541"/>
    </row>
    <row r="3542" spans="4:4" x14ac:dyDescent="0.3">
      <c r="D3542"/>
    </row>
    <row r="3543" spans="4:4" x14ac:dyDescent="0.3">
      <c r="D3543"/>
    </row>
    <row r="3544" spans="4:4" x14ac:dyDescent="0.3">
      <c r="D3544"/>
    </row>
    <row r="3545" spans="4:4" x14ac:dyDescent="0.3">
      <c r="D3545"/>
    </row>
    <row r="3546" spans="4:4" x14ac:dyDescent="0.3">
      <c r="D3546"/>
    </row>
    <row r="3547" spans="4:4" x14ac:dyDescent="0.3">
      <c r="D3547"/>
    </row>
    <row r="3548" spans="4:4" x14ac:dyDescent="0.3">
      <c r="D3548"/>
    </row>
    <row r="3549" spans="4:4" x14ac:dyDescent="0.3">
      <c r="D3549"/>
    </row>
    <row r="3550" spans="4:4" x14ac:dyDescent="0.3">
      <c r="D3550"/>
    </row>
    <row r="3551" spans="4:4" x14ac:dyDescent="0.3">
      <c r="D3551"/>
    </row>
    <row r="3552" spans="4:4" x14ac:dyDescent="0.3">
      <c r="D3552"/>
    </row>
    <row r="3553" spans="4:4" x14ac:dyDescent="0.3">
      <c r="D3553"/>
    </row>
    <row r="3554" spans="4:4" x14ac:dyDescent="0.3">
      <c r="D3554"/>
    </row>
    <row r="3555" spans="4:4" x14ac:dyDescent="0.3">
      <c r="D3555"/>
    </row>
    <row r="3556" spans="4:4" x14ac:dyDescent="0.3">
      <c r="D3556"/>
    </row>
    <row r="3557" spans="4:4" x14ac:dyDescent="0.3">
      <c r="D3557"/>
    </row>
    <row r="3558" spans="4:4" x14ac:dyDescent="0.3">
      <c r="D3558"/>
    </row>
    <row r="3559" spans="4:4" x14ac:dyDescent="0.3">
      <c r="D3559"/>
    </row>
    <row r="3560" spans="4:4" x14ac:dyDescent="0.3">
      <c r="D3560"/>
    </row>
    <row r="3561" spans="4:4" x14ac:dyDescent="0.3">
      <c r="D3561"/>
    </row>
    <row r="3562" spans="4:4" x14ac:dyDescent="0.3">
      <c r="D3562"/>
    </row>
    <row r="3563" spans="4:4" x14ac:dyDescent="0.3">
      <c r="D3563"/>
    </row>
    <row r="3564" spans="4:4" x14ac:dyDescent="0.3">
      <c r="D3564"/>
    </row>
    <row r="3565" spans="4:4" x14ac:dyDescent="0.3">
      <c r="D3565"/>
    </row>
    <row r="3566" spans="4:4" x14ac:dyDescent="0.3">
      <c r="D3566"/>
    </row>
    <row r="3567" spans="4:4" x14ac:dyDescent="0.3">
      <c r="D3567"/>
    </row>
    <row r="3568" spans="4:4" x14ac:dyDescent="0.3">
      <c r="D3568"/>
    </row>
    <row r="3569" spans="4:4" x14ac:dyDescent="0.3">
      <c r="D3569"/>
    </row>
    <row r="3570" spans="4:4" x14ac:dyDescent="0.3">
      <c r="D3570"/>
    </row>
    <row r="3571" spans="4:4" x14ac:dyDescent="0.3">
      <c r="D3571"/>
    </row>
    <row r="3572" spans="4:4" x14ac:dyDescent="0.3">
      <c r="D3572"/>
    </row>
    <row r="3573" spans="4:4" x14ac:dyDescent="0.3">
      <c r="D3573"/>
    </row>
    <row r="3574" spans="4:4" x14ac:dyDescent="0.3">
      <c r="D3574"/>
    </row>
    <row r="3575" spans="4:4" x14ac:dyDescent="0.3">
      <c r="D3575"/>
    </row>
    <row r="3576" spans="4:4" x14ac:dyDescent="0.3">
      <c r="D3576"/>
    </row>
    <row r="3577" spans="4:4" x14ac:dyDescent="0.3">
      <c r="D3577"/>
    </row>
    <row r="3578" spans="4:4" x14ac:dyDescent="0.3">
      <c r="D3578"/>
    </row>
    <row r="3579" spans="4:4" x14ac:dyDescent="0.3">
      <c r="D3579"/>
    </row>
    <row r="3580" spans="4:4" x14ac:dyDescent="0.3">
      <c r="D3580"/>
    </row>
    <row r="3581" spans="4:4" x14ac:dyDescent="0.3">
      <c r="D3581"/>
    </row>
    <row r="3582" spans="4:4" x14ac:dyDescent="0.3">
      <c r="D3582"/>
    </row>
    <row r="3583" spans="4:4" x14ac:dyDescent="0.3">
      <c r="D3583"/>
    </row>
    <row r="3584" spans="4:4" x14ac:dyDescent="0.3">
      <c r="D3584"/>
    </row>
    <row r="3585" spans="4:4" x14ac:dyDescent="0.3">
      <c r="D3585"/>
    </row>
    <row r="3586" spans="4:4" x14ac:dyDescent="0.3">
      <c r="D3586"/>
    </row>
    <row r="3587" spans="4:4" x14ac:dyDescent="0.3">
      <c r="D3587"/>
    </row>
    <row r="3588" spans="4:4" x14ac:dyDescent="0.3">
      <c r="D3588"/>
    </row>
    <row r="3589" spans="4:4" x14ac:dyDescent="0.3">
      <c r="D3589"/>
    </row>
    <row r="3590" spans="4:4" x14ac:dyDescent="0.3">
      <c r="D3590"/>
    </row>
    <row r="3591" spans="4:4" x14ac:dyDescent="0.3">
      <c r="D3591"/>
    </row>
    <row r="3592" spans="4:4" x14ac:dyDescent="0.3">
      <c r="D3592"/>
    </row>
    <row r="3593" spans="4:4" x14ac:dyDescent="0.3">
      <c r="D3593"/>
    </row>
    <row r="3594" spans="4:4" x14ac:dyDescent="0.3">
      <c r="D3594"/>
    </row>
    <row r="3595" spans="4:4" x14ac:dyDescent="0.3">
      <c r="D3595"/>
    </row>
    <row r="3596" spans="4:4" x14ac:dyDescent="0.3">
      <c r="D3596"/>
    </row>
    <row r="3597" spans="4:4" x14ac:dyDescent="0.3">
      <c r="D3597"/>
    </row>
    <row r="3598" spans="4:4" x14ac:dyDescent="0.3">
      <c r="D3598"/>
    </row>
    <row r="3599" spans="4:4" x14ac:dyDescent="0.3">
      <c r="D3599"/>
    </row>
    <row r="3600" spans="4:4" x14ac:dyDescent="0.3">
      <c r="D3600"/>
    </row>
    <row r="3601" spans="4:4" x14ac:dyDescent="0.3">
      <c r="D3601"/>
    </row>
    <row r="3602" spans="4:4" x14ac:dyDescent="0.3">
      <c r="D3602"/>
    </row>
    <row r="3603" spans="4:4" x14ac:dyDescent="0.3">
      <c r="D3603"/>
    </row>
    <row r="3604" spans="4:4" x14ac:dyDescent="0.3">
      <c r="D3604"/>
    </row>
    <row r="3605" spans="4:4" x14ac:dyDescent="0.3">
      <c r="D3605"/>
    </row>
    <row r="3606" spans="4:4" x14ac:dyDescent="0.3">
      <c r="D3606"/>
    </row>
    <row r="3607" spans="4:4" x14ac:dyDescent="0.3">
      <c r="D3607"/>
    </row>
    <row r="3608" spans="4:4" x14ac:dyDescent="0.3">
      <c r="D3608"/>
    </row>
    <row r="3609" spans="4:4" x14ac:dyDescent="0.3">
      <c r="D3609"/>
    </row>
    <row r="3610" spans="4:4" x14ac:dyDescent="0.3">
      <c r="D3610"/>
    </row>
    <row r="3611" spans="4:4" x14ac:dyDescent="0.3">
      <c r="D3611"/>
    </row>
    <row r="3612" spans="4:4" x14ac:dyDescent="0.3">
      <c r="D3612"/>
    </row>
    <row r="3613" spans="4:4" x14ac:dyDescent="0.3">
      <c r="D3613"/>
    </row>
    <row r="3614" spans="4:4" x14ac:dyDescent="0.3">
      <c r="D3614"/>
    </row>
    <row r="3615" spans="4:4" x14ac:dyDescent="0.3">
      <c r="D3615"/>
    </row>
    <row r="3616" spans="4:4" x14ac:dyDescent="0.3">
      <c r="D3616"/>
    </row>
    <row r="3617" spans="4:4" x14ac:dyDescent="0.3">
      <c r="D3617"/>
    </row>
    <row r="3618" spans="4:4" x14ac:dyDescent="0.3">
      <c r="D3618"/>
    </row>
    <row r="3619" spans="4:4" x14ac:dyDescent="0.3">
      <c r="D3619"/>
    </row>
    <row r="3620" spans="4:4" x14ac:dyDescent="0.3">
      <c r="D3620"/>
    </row>
    <row r="3621" spans="4:4" x14ac:dyDescent="0.3">
      <c r="D3621"/>
    </row>
    <row r="3622" spans="4:4" x14ac:dyDescent="0.3">
      <c r="D3622"/>
    </row>
    <row r="3623" spans="4:4" x14ac:dyDescent="0.3">
      <c r="D3623"/>
    </row>
    <row r="3624" spans="4:4" x14ac:dyDescent="0.3">
      <c r="D3624"/>
    </row>
    <row r="3625" spans="4:4" x14ac:dyDescent="0.3">
      <c r="D3625"/>
    </row>
    <row r="3626" spans="4:4" x14ac:dyDescent="0.3">
      <c r="D3626"/>
    </row>
    <row r="3627" spans="4:4" x14ac:dyDescent="0.3">
      <c r="D3627"/>
    </row>
    <row r="3628" spans="4:4" x14ac:dyDescent="0.3">
      <c r="D3628"/>
    </row>
    <row r="3629" spans="4:4" x14ac:dyDescent="0.3">
      <c r="D3629"/>
    </row>
    <row r="3630" spans="4:4" x14ac:dyDescent="0.3">
      <c r="D3630"/>
    </row>
    <row r="3631" spans="4:4" x14ac:dyDescent="0.3">
      <c r="D3631"/>
    </row>
    <row r="3632" spans="4:4" x14ac:dyDescent="0.3">
      <c r="D3632"/>
    </row>
    <row r="3633" spans="4:4" x14ac:dyDescent="0.3">
      <c r="D3633"/>
    </row>
    <row r="3634" spans="4:4" x14ac:dyDescent="0.3">
      <c r="D3634"/>
    </row>
    <row r="3635" spans="4:4" x14ac:dyDescent="0.3">
      <c r="D3635"/>
    </row>
    <row r="3636" spans="4:4" x14ac:dyDescent="0.3">
      <c r="D3636"/>
    </row>
    <row r="3637" spans="4:4" x14ac:dyDescent="0.3">
      <c r="D3637"/>
    </row>
    <row r="3638" spans="4:4" x14ac:dyDescent="0.3">
      <c r="D3638"/>
    </row>
    <row r="3639" spans="4:4" x14ac:dyDescent="0.3">
      <c r="D3639"/>
    </row>
    <row r="3640" spans="4:4" x14ac:dyDescent="0.3">
      <c r="D3640"/>
    </row>
    <row r="3641" spans="4:4" x14ac:dyDescent="0.3">
      <c r="D3641"/>
    </row>
    <row r="3642" spans="4:4" x14ac:dyDescent="0.3">
      <c r="D3642"/>
    </row>
    <row r="3643" spans="4:4" x14ac:dyDescent="0.3">
      <c r="D3643"/>
    </row>
    <row r="3644" spans="4:4" x14ac:dyDescent="0.3">
      <c r="D3644"/>
    </row>
    <row r="3645" spans="4:4" x14ac:dyDescent="0.3">
      <c r="D3645"/>
    </row>
    <row r="3646" spans="4:4" x14ac:dyDescent="0.3">
      <c r="D3646"/>
    </row>
    <row r="3647" spans="4:4" x14ac:dyDescent="0.3">
      <c r="D3647"/>
    </row>
    <row r="3648" spans="4:4" x14ac:dyDescent="0.3">
      <c r="D3648"/>
    </row>
    <row r="3649" spans="4:4" x14ac:dyDescent="0.3">
      <c r="D3649"/>
    </row>
    <row r="3650" spans="4:4" x14ac:dyDescent="0.3">
      <c r="D3650"/>
    </row>
    <row r="3651" spans="4:4" x14ac:dyDescent="0.3">
      <c r="D3651"/>
    </row>
    <row r="3652" spans="4:4" x14ac:dyDescent="0.3">
      <c r="D3652"/>
    </row>
    <row r="3653" spans="4:4" x14ac:dyDescent="0.3">
      <c r="D3653"/>
    </row>
    <row r="3654" spans="4:4" x14ac:dyDescent="0.3">
      <c r="D3654"/>
    </row>
    <row r="3655" spans="4:4" x14ac:dyDescent="0.3">
      <c r="D3655"/>
    </row>
    <row r="3656" spans="4:4" x14ac:dyDescent="0.3">
      <c r="D3656"/>
    </row>
    <row r="3657" spans="4:4" x14ac:dyDescent="0.3">
      <c r="D3657"/>
    </row>
    <row r="3658" spans="4:4" x14ac:dyDescent="0.3">
      <c r="D3658"/>
    </row>
    <row r="3659" spans="4:4" x14ac:dyDescent="0.3">
      <c r="D3659"/>
    </row>
    <row r="3660" spans="4:4" x14ac:dyDescent="0.3">
      <c r="D3660"/>
    </row>
    <row r="3661" spans="4:4" x14ac:dyDescent="0.3">
      <c r="D3661"/>
    </row>
    <row r="3662" spans="4:4" x14ac:dyDescent="0.3">
      <c r="D3662"/>
    </row>
    <row r="3663" spans="4:4" x14ac:dyDescent="0.3">
      <c r="D3663"/>
    </row>
    <row r="3664" spans="4:4" x14ac:dyDescent="0.3">
      <c r="D3664"/>
    </row>
    <row r="3665" spans="4:4" x14ac:dyDescent="0.3">
      <c r="D3665"/>
    </row>
    <row r="3666" spans="4:4" x14ac:dyDescent="0.3">
      <c r="D3666"/>
    </row>
    <row r="3667" spans="4:4" x14ac:dyDescent="0.3">
      <c r="D3667"/>
    </row>
    <row r="3668" spans="4:4" x14ac:dyDescent="0.3">
      <c r="D3668"/>
    </row>
    <row r="3669" spans="4:4" x14ac:dyDescent="0.3">
      <c r="D3669"/>
    </row>
    <row r="3670" spans="4:4" x14ac:dyDescent="0.3">
      <c r="D3670"/>
    </row>
    <row r="3671" spans="4:4" x14ac:dyDescent="0.3">
      <c r="D3671"/>
    </row>
    <row r="3672" spans="4:4" x14ac:dyDescent="0.3">
      <c r="D3672"/>
    </row>
    <row r="3673" spans="4:4" x14ac:dyDescent="0.3">
      <c r="D3673"/>
    </row>
    <row r="3674" spans="4:4" x14ac:dyDescent="0.3">
      <c r="D3674"/>
    </row>
    <row r="3675" spans="4:4" x14ac:dyDescent="0.3">
      <c r="D3675"/>
    </row>
    <row r="3676" spans="4:4" x14ac:dyDescent="0.3">
      <c r="D3676"/>
    </row>
    <row r="3677" spans="4:4" x14ac:dyDescent="0.3">
      <c r="D3677"/>
    </row>
    <row r="3678" spans="4:4" x14ac:dyDescent="0.3">
      <c r="D3678"/>
    </row>
    <row r="3679" spans="4:4" x14ac:dyDescent="0.3">
      <c r="D3679"/>
    </row>
    <row r="3680" spans="4:4" x14ac:dyDescent="0.3">
      <c r="D3680"/>
    </row>
    <row r="3681" spans="4:4" x14ac:dyDescent="0.3">
      <c r="D3681"/>
    </row>
    <row r="3682" spans="4:4" x14ac:dyDescent="0.3">
      <c r="D3682"/>
    </row>
    <row r="3683" spans="4:4" x14ac:dyDescent="0.3">
      <c r="D3683"/>
    </row>
    <row r="3684" spans="4:4" x14ac:dyDescent="0.3">
      <c r="D3684"/>
    </row>
    <row r="3685" spans="4:4" x14ac:dyDescent="0.3">
      <c r="D3685"/>
    </row>
    <row r="3686" spans="4:4" x14ac:dyDescent="0.3">
      <c r="D3686"/>
    </row>
    <row r="3687" spans="4:4" x14ac:dyDescent="0.3">
      <c r="D3687"/>
    </row>
    <row r="3688" spans="4:4" x14ac:dyDescent="0.3">
      <c r="D3688"/>
    </row>
    <row r="3689" spans="4:4" x14ac:dyDescent="0.3">
      <c r="D3689"/>
    </row>
    <row r="3690" spans="4:4" x14ac:dyDescent="0.3">
      <c r="D3690"/>
    </row>
    <row r="3691" spans="4:4" x14ac:dyDescent="0.3">
      <c r="D3691"/>
    </row>
    <row r="3692" spans="4:4" x14ac:dyDescent="0.3">
      <c r="D3692"/>
    </row>
    <row r="3693" spans="4:4" x14ac:dyDescent="0.3">
      <c r="D3693"/>
    </row>
    <row r="3694" spans="4:4" x14ac:dyDescent="0.3">
      <c r="D3694"/>
    </row>
    <row r="3695" spans="4:4" x14ac:dyDescent="0.3">
      <c r="D3695"/>
    </row>
    <row r="3696" spans="4:4" x14ac:dyDescent="0.3">
      <c r="D3696"/>
    </row>
    <row r="3697" spans="4:4" x14ac:dyDescent="0.3">
      <c r="D3697"/>
    </row>
    <row r="3698" spans="4:4" x14ac:dyDescent="0.3">
      <c r="D3698"/>
    </row>
    <row r="3699" spans="4:4" x14ac:dyDescent="0.3">
      <c r="D3699"/>
    </row>
    <row r="3700" spans="4:4" x14ac:dyDescent="0.3">
      <c r="D3700"/>
    </row>
    <row r="3701" spans="4:4" x14ac:dyDescent="0.3">
      <c r="D3701"/>
    </row>
    <row r="3702" spans="4:4" x14ac:dyDescent="0.3">
      <c r="D3702"/>
    </row>
    <row r="3703" spans="4:4" x14ac:dyDescent="0.3">
      <c r="D3703"/>
    </row>
    <row r="3704" spans="4:4" x14ac:dyDescent="0.3">
      <c r="D3704"/>
    </row>
    <row r="3705" spans="4:4" x14ac:dyDescent="0.3">
      <c r="D3705"/>
    </row>
    <row r="3706" spans="4:4" x14ac:dyDescent="0.3">
      <c r="D3706"/>
    </row>
    <row r="3707" spans="4:4" x14ac:dyDescent="0.3">
      <c r="D3707"/>
    </row>
    <row r="3708" spans="4:4" x14ac:dyDescent="0.3">
      <c r="D3708"/>
    </row>
    <row r="3709" spans="4:4" x14ac:dyDescent="0.3">
      <c r="D3709"/>
    </row>
    <row r="3710" spans="4:4" x14ac:dyDescent="0.3">
      <c r="D3710"/>
    </row>
    <row r="3711" spans="4:4" x14ac:dyDescent="0.3">
      <c r="D3711"/>
    </row>
    <row r="3712" spans="4:4" x14ac:dyDescent="0.3">
      <c r="D3712"/>
    </row>
    <row r="3713" spans="4:4" x14ac:dyDescent="0.3">
      <c r="D3713"/>
    </row>
    <row r="3714" spans="4:4" x14ac:dyDescent="0.3">
      <c r="D3714"/>
    </row>
    <row r="3715" spans="4:4" x14ac:dyDescent="0.3">
      <c r="D3715"/>
    </row>
    <row r="3716" spans="4:4" x14ac:dyDescent="0.3">
      <c r="D3716"/>
    </row>
    <row r="3717" spans="4:4" x14ac:dyDescent="0.3">
      <c r="D3717"/>
    </row>
    <row r="3718" spans="4:4" x14ac:dyDescent="0.3">
      <c r="D3718"/>
    </row>
    <row r="3719" spans="4:4" x14ac:dyDescent="0.3">
      <c r="D3719"/>
    </row>
    <row r="3720" spans="4:4" x14ac:dyDescent="0.3">
      <c r="D3720"/>
    </row>
    <row r="3721" spans="4:4" x14ac:dyDescent="0.3">
      <c r="D3721"/>
    </row>
    <row r="3722" spans="4:4" x14ac:dyDescent="0.3">
      <c r="D3722"/>
    </row>
    <row r="3723" spans="4:4" x14ac:dyDescent="0.3">
      <c r="D3723"/>
    </row>
    <row r="3724" spans="4:4" x14ac:dyDescent="0.3">
      <c r="D3724"/>
    </row>
    <row r="3725" spans="4:4" x14ac:dyDescent="0.3">
      <c r="D3725"/>
    </row>
    <row r="3726" spans="4:4" x14ac:dyDescent="0.3">
      <c r="D3726"/>
    </row>
    <row r="3727" spans="4:4" x14ac:dyDescent="0.3">
      <c r="D3727"/>
    </row>
    <row r="3728" spans="4:4" x14ac:dyDescent="0.3">
      <c r="D3728"/>
    </row>
    <row r="3729" spans="4:4" x14ac:dyDescent="0.3">
      <c r="D3729"/>
    </row>
    <row r="3730" spans="4:4" x14ac:dyDescent="0.3">
      <c r="D3730"/>
    </row>
    <row r="3731" spans="4:4" x14ac:dyDescent="0.3">
      <c r="D3731"/>
    </row>
    <row r="3732" spans="4:4" x14ac:dyDescent="0.3">
      <c r="D3732"/>
    </row>
    <row r="3733" spans="4:4" x14ac:dyDescent="0.3">
      <c r="D3733"/>
    </row>
    <row r="3734" spans="4:4" x14ac:dyDescent="0.3">
      <c r="D3734"/>
    </row>
    <row r="3735" spans="4:4" x14ac:dyDescent="0.3">
      <c r="D3735"/>
    </row>
    <row r="3736" spans="4:4" x14ac:dyDescent="0.3">
      <c r="D3736"/>
    </row>
    <row r="3737" spans="4:4" x14ac:dyDescent="0.3">
      <c r="D3737"/>
    </row>
    <row r="3738" spans="4:4" x14ac:dyDescent="0.3">
      <c r="D3738"/>
    </row>
    <row r="3739" spans="4:4" x14ac:dyDescent="0.3">
      <c r="D3739"/>
    </row>
    <row r="3740" spans="4:4" x14ac:dyDescent="0.3">
      <c r="D3740"/>
    </row>
    <row r="3741" spans="4:4" x14ac:dyDescent="0.3">
      <c r="D3741"/>
    </row>
    <row r="3742" spans="4:4" x14ac:dyDescent="0.3">
      <c r="D3742"/>
    </row>
    <row r="3743" spans="4:4" x14ac:dyDescent="0.3">
      <c r="D3743"/>
    </row>
    <row r="3744" spans="4:4" x14ac:dyDescent="0.3">
      <c r="D3744"/>
    </row>
    <row r="3745" spans="4:4" x14ac:dyDescent="0.3">
      <c r="D3745"/>
    </row>
    <row r="3746" spans="4:4" x14ac:dyDescent="0.3">
      <c r="D3746"/>
    </row>
    <row r="3747" spans="4:4" x14ac:dyDescent="0.3">
      <c r="D3747"/>
    </row>
    <row r="3748" spans="4:4" x14ac:dyDescent="0.3">
      <c r="D3748"/>
    </row>
    <row r="3749" spans="4:4" x14ac:dyDescent="0.3">
      <c r="D3749"/>
    </row>
    <row r="3750" spans="4:4" x14ac:dyDescent="0.3">
      <c r="D3750"/>
    </row>
    <row r="3751" spans="4:4" x14ac:dyDescent="0.3">
      <c r="D3751"/>
    </row>
    <row r="3752" spans="4:4" x14ac:dyDescent="0.3">
      <c r="D3752"/>
    </row>
    <row r="3753" spans="4:4" x14ac:dyDescent="0.3">
      <c r="D3753"/>
    </row>
    <row r="3754" spans="4:4" x14ac:dyDescent="0.3">
      <c r="D3754"/>
    </row>
    <row r="3755" spans="4:4" x14ac:dyDescent="0.3">
      <c r="D3755"/>
    </row>
    <row r="3756" spans="4:4" x14ac:dyDescent="0.3">
      <c r="D3756"/>
    </row>
    <row r="3757" spans="4:4" x14ac:dyDescent="0.3">
      <c r="D3757"/>
    </row>
    <row r="3758" spans="4:4" x14ac:dyDescent="0.3">
      <c r="D3758"/>
    </row>
    <row r="3759" spans="4:4" x14ac:dyDescent="0.3">
      <c r="D3759"/>
    </row>
    <row r="3760" spans="4:4" x14ac:dyDescent="0.3">
      <c r="D3760"/>
    </row>
    <row r="3761" spans="4:4" x14ac:dyDescent="0.3">
      <c r="D3761"/>
    </row>
    <row r="3762" spans="4:4" x14ac:dyDescent="0.3">
      <c r="D3762"/>
    </row>
    <row r="3763" spans="4:4" x14ac:dyDescent="0.3">
      <c r="D3763"/>
    </row>
    <row r="3764" spans="4:4" x14ac:dyDescent="0.3">
      <c r="D3764"/>
    </row>
    <row r="3765" spans="4:4" x14ac:dyDescent="0.3">
      <c r="D3765"/>
    </row>
    <row r="3766" spans="4:4" x14ac:dyDescent="0.3">
      <c r="D3766"/>
    </row>
    <row r="3767" spans="4:4" x14ac:dyDescent="0.3">
      <c r="D3767"/>
    </row>
    <row r="3768" spans="4:4" x14ac:dyDescent="0.3">
      <c r="D3768"/>
    </row>
    <row r="3769" spans="4:4" x14ac:dyDescent="0.3">
      <c r="D3769"/>
    </row>
    <row r="3770" spans="4:4" x14ac:dyDescent="0.3">
      <c r="D3770"/>
    </row>
    <row r="3771" spans="4:4" x14ac:dyDescent="0.3">
      <c r="D3771"/>
    </row>
    <row r="3772" spans="4:4" x14ac:dyDescent="0.3">
      <c r="D3772"/>
    </row>
    <row r="3773" spans="4:4" x14ac:dyDescent="0.3">
      <c r="D3773"/>
    </row>
    <row r="3774" spans="4:4" x14ac:dyDescent="0.3">
      <c r="D3774"/>
    </row>
    <row r="3775" spans="4:4" x14ac:dyDescent="0.3">
      <c r="D3775"/>
    </row>
    <row r="3776" spans="4:4" x14ac:dyDescent="0.3">
      <c r="D3776"/>
    </row>
    <row r="3777" spans="4:4" x14ac:dyDescent="0.3">
      <c r="D3777"/>
    </row>
    <row r="3778" spans="4:4" x14ac:dyDescent="0.3">
      <c r="D3778"/>
    </row>
    <row r="3779" spans="4:4" x14ac:dyDescent="0.3">
      <c r="D3779"/>
    </row>
    <row r="3780" spans="4:4" x14ac:dyDescent="0.3">
      <c r="D3780"/>
    </row>
    <row r="3781" spans="4:4" x14ac:dyDescent="0.3">
      <c r="D3781"/>
    </row>
    <row r="3782" spans="4:4" x14ac:dyDescent="0.3">
      <c r="D3782"/>
    </row>
    <row r="3783" spans="4:4" x14ac:dyDescent="0.3">
      <c r="D3783"/>
    </row>
    <row r="3784" spans="4:4" x14ac:dyDescent="0.3">
      <c r="D3784"/>
    </row>
    <row r="3785" spans="4:4" x14ac:dyDescent="0.3">
      <c r="D3785"/>
    </row>
    <row r="3786" spans="4:4" x14ac:dyDescent="0.3">
      <c r="D3786"/>
    </row>
    <row r="3787" spans="4:4" x14ac:dyDescent="0.3">
      <c r="D3787"/>
    </row>
    <row r="3788" spans="4:4" x14ac:dyDescent="0.3">
      <c r="D3788"/>
    </row>
    <row r="3789" spans="4:4" x14ac:dyDescent="0.3">
      <c r="D3789"/>
    </row>
    <row r="3790" spans="4:4" x14ac:dyDescent="0.3">
      <c r="D3790"/>
    </row>
    <row r="3791" spans="4:4" x14ac:dyDescent="0.3">
      <c r="D3791"/>
    </row>
    <row r="3792" spans="4:4" x14ac:dyDescent="0.3">
      <c r="D3792"/>
    </row>
    <row r="3793" spans="4:4" x14ac:dyDescent="0.3">
      <c r="D3793"/>
    </row>
    <row r="3794" spans="4:4" x14ac:dyDescent="0.3">
      <c r="D3794"/>
    </row>
    <row r="3795" spans="4:4" x14ac:dyDescent="0.3">
      <c r="D3795"/>
    </row>
    <row r="3796" spans="4:4" x14ac:dyDescent="0.3">
      <c r="D3796"/>
    </row>
    <row r="3797" spans="4:4" x14ac:dyDescent="0.3">
      <c r="D3797"/>
    </row>
    <row r="3798" spans="4:4" x14ac:dyDescent="0.3">
      <c r="D3798"/>
    </row>
    <row r="3799" spans="4:4" x14ac:dyDescent="0.3">
      <c r="D3799"/>
    </row>
    <row r="3800" spans="4:4" x14ac:dyDescent="0.3">
      <c r="D3800"/>
    </row>
    <row r="3801" spans="4:4" x14ac:dyDescent="0.3">
      <c r="D3801"/>
    </row>
    <row r="3802" spans="4:4" x14ac:dyDescent="0.3">
      <c r="D3802"/>
    </row>
    <row r="3803" spans="4:4" x14ac:dyDescent="0.3">
      <c r="D3803"/>
    </row>
    <row r="3804" spans="4:4" x14ac:dyDescent="0.3">
      <c r="D3804"/>
    </row>
    <row r="3805" spans="4:4" x14ac:dyDescent="0.3">
      <c r="D3805"/>
    </row>
    <row r="3806" spans="4:4" x14ac:dyDescent="0.3">
      <c r="D3806"/>
    </row>
    <row r="3807" spans="4:4" x14ac:dyDescent="0.3">
      <c r="D3807"/>
    </row>
    <row r="3808" spans="4:4" x14ac:dyDescent="0.3">
      <c r="D3808"/>
    </row>
    <row r="3809" spans="4:4" x14ac:dyDescent="0.3">
      <c r="D3809"/>
    </row>
    <row r="3810" spans="4:4" x14ac:dyDescent="0.3">
      <c r="D3810"/>
    </row>
    <row r="3811" spans="4:4" x14ac:dyDescent="0.3">
      <c r="D3811"/>
    </row>
    <row r="3812" spans="4:4" x14ac:dyDescent="0.3">
      <c r="D3812"/>
    </row>
    <row r="3813" spans="4:4" x14ac:dyDescent="0.3">
      <c r="D3813"/>
    </row>
    <row r="3814" spans="4:4" x14ac:dyDescent="0.3">
      <c r="D3814"/>
    </row>
    <row r="3815" spans="4:4" x14ac:dyDescent="0.3">
      <c r="D3815"/>
    </row>
    <row r="3816" spans="4:4" x14ac:dyDescent="0.3">
      <c r="D3816"/>
    </row>
    <row r="3817" spans="4:4" x14ac:dyDescent="0.3">
      <c r="D3817"/>
    </row>
    <row r="3818" spans="4:4" x14ac:dyDescent="0.3">
      <c r="D3818"/>
    </row>
    <row r="3819" spans="4:4" x14ac:dyDescent="0.3">
      <c r="D3819"/>
    </row>
    <row r="3820" spans="4:4" x14ac:dyDescent="0.3">
      <c r="D3820"/>
    </row>
    <row r="3821" spans="4:4" x14ac:dyDescent="0.3">
      <c r="D3821"/>
    </row>
    <row r="3822" spans="4:4" x14ac:dyDescent="0.3">
      <c r="D3822"/>
    </row>
    <row r="3823" spans="4:4" x14ac:dyDescent="0.3">
      <c r="D3823"/>
    </row>
    <row r="3824" spans="4:4" x14ac:dyDescent="0.3">
      <c r="D3824"/>
    </row>
    <row r="3825" spans="4:4" x14ac:dyDescent="0.3">
      <c r="D3825"/>
    </row>
    <row r="3826" spans="4:4" x14ac:dyDescent="0.3">
      <c r="D3826"/>
    </row>
    <row r="3827" spans="4:4" x14ac:dyDescent="0.3">
      <c r="D3827"/>
    </row>
    <row r="3828" spans="4:4" x14ac:dyDescent="0.3">
      <c r="D3828"/>
    </row>
    <row r="3829" spans="4:4" x14ac:dyDescent="0.3">
      <c r="D3829"/>
    </row>
    <row r="3830" spans="4:4" x14ac:dyDescent="0.3">
      <c r="D3830"/>
    </row>
    <row r="3831" spans="4:4" x14ac:dyDescent="0.3">
      <c r="D3831"/>
    </row>
    <row r="3832" spans="4:4" x14ac:dyDescent="0.3">
      <c r="D3832"/>
    </row>
    <row r="3833" spans="4:4" x14ac:dyDescent="0.3">
      <c r="D3833"/>
    </row>
    <row r="3834" spans="4:4" x14ac:dyDescent="0.3">
      <c r="D3834"/>
    </row>
    <row r="3835" spans="4:4" x14ac:dyDescent="0.3">
      <c r="D3835"/>
    </row>
    <row r="3836" spans="4:4" x14ac:dyDescent="0.3">
      <c r="D3836"/>
    </row>
    <row r="3837" spans="4:4" x14ac:dyDescent="0.3">
      <c r="D3837"/>
    </row>
    <row r="3838" spans="4:4" x14ac:dyDescent="0.3">
      <c r="D3838"/>
    </row>
    <row r="3839" spans="4:4" x14ac:dyDescent="0.3">
      <c r="D3839"/>
    </row>
    <row r="3840" spans="4:4" x14ac:dyDescent="0.3">
      <c r="D3840"/>
    </row>
    <row r="3841" spans="4:4" x14ac:dyDescent="0.3">
      <c r="D3841"/>
    </row>
    <row r="3842" spans="4:4" x14ac:dyDescent="0.3">
      <c r="D3842"/>
    </row>
    <row r="3843" spans="4:4" x14ac:dyDescent="0.3">
      <c r="D3843"/>
    </row>
    <row r="3844" spans="4:4" x14ac:dyDescent="0.3">
      <c r="D3844"/>
    </row>
    <row r="3845" spans="4:4" x14ac:dyDescent="0.3">
      <c r="D3845"/>
    </row>
    <row r="3846" spans="4:4" x14ac:dyDescent="0.3">
      <c r="D3846"/>
    </row>
    <row r="3847" spans="4:4" x14ac:dyDescent="0.3">
      <c r="D3847"/>
    </row>
    <row r="3848" spans="4:4" x14ac:dyDescent="0.3">
      <c r="D3848"/>
    </row>
    <row r="3849" spans="4:4" x14ac:dyDescent="0.3">
      <c r="D3849"/>
    </row>
    <row r="3850" spans="4:4" x14ac:dyDescent="0.3">
      <c r="D3850"/>
    </row>
    <row r="3851" spans="4:4" x14ac:dyDescent="0.3">
      <c r="D3851"/>
    </row>
    <row r="3852" spans="4:4" x14ac:dyDescent="0.3">
      <c r="D3852"/>
    </row>
    <row r="3853" spans="4:4" x14ac:dyDescent="0.3">
      <c r="D3853"/>
    </row>
    <row r="3854" spans="4:4" x14ac:dyDescent="0.3">
      <c r="D3854"/>
    </row>
    <row r="3855" spans="4:4" x14ac:dyDescent="0.3">
      <c r="D3855"/>
    </row>
    <row r="3856" spans="4:4" x14ac:dyDescent="0.3">
      <c r="D3856"/>
    </row>
    <row r="3857" spans="4:4" x14ac:dyDescent="0.3">
      <c r="D3857"/>
    </row>
    <row r="3858" spans="4:4" x14ac:dyDescent="0.3">
      <c r="D3858"/>
    </row>
    <row r="3859" spans="4:4" x14ac:dyDescent="0.3">
      <c r="D3859"/>
    </row>
    <row r="3860" spans="4:4" x14ac:dyDescent="0.3">
      <c r="D3860"/>
    </row>
    <row r="3861" spans="4:4" x14ac:dyDescent="0.3">
      <c r="D3861"/>
    </row>
    <row r="3862" spans="4:4" x14ac:dyDescent="0.3">
      <c r="D3862"/>
    </row>
    <row r="3863" spans="4:4" x14ac:dyDescent="0.3">
      <c r="D3863"/>
    </row>
    <row r="3864" spans="4:4" x14ac:dyDescent="0.3">
      <c r="D3864"/>
    </row>
    <row r="3865" spans="4:4" x14ac:dyDescent="0.3">
      <c r="D3865"/>
    </row>
    <row r="3866" spans="4:4" x14ac:dyDescent="0.3">
      <c r="D3866"/>
    </row>
    <row r="3867" spans="4:4" x14ac:dyDescent="0.3">
      <c r="D3867"/>
    </row>
    <row r="3868" spans="4:4" x14ac:dyDescent="0.3">
      <c r="D3868"/>
    </row>
    <row r="3869" spans="4:4" x14ac:dyDescent="0.3">
      <c r="D3869"/>
    </row>
    <row r="3870" spans="4:4" x14ac:dyDescent="0.3">
      <c r="D3870"/>
    </row>
    <row r="3871" spans="4:4" x14ac:dyDescent="0.3">
      <c r="D3871"/>
    </row>
    <row r="3872" spans="4:4" x14ac:dyDescent="0.3">
      <c r="D3872"/>
    </row>
    <row r="3873" spans="4:4" x14ac:dyDescent="0.3">
      <c r="D3873"/>
    </row>
    <row r="3874" spans="4:4" x14ac:dyDescent="0.3">
      <c r="D3874"/>
    </row>
    <row r="3875" spans="4:4" x14ac:dyDescent="0.3">
      <c r="D3875"/>
    </row>
    <row r="3876" spans="4:4" x14ac:dyDescent="0.3">
      <c r="D3876"/>
    </row>
    <row r="3877" spans="4:4" x14ac:dyDescent="0.3">
      <c r="D3877"/>
    </row>
    <row r="3878" spans="4:4" x14ac:dyDescent="0.3">
      <c r="D3878"/>
    </row>
    <row r="3879" spans="4:4" x14ac:dyDescent="0.3">
      <c r="D3879"/>
    </row>
    <row r="3880" spans="4:4" x14ac:dyDescent="0.3">
      <c r="D3880"/>
    </row>
    <row r="3881" spans="4:4" x14ac:dyDescent="0.3">
      <c r="D3881"/>
    </row>
    <row r="3882" spans="4:4" x14ac:dyDescent="0.3">
      <c r="D3882"/>
    </row>
    <row r="3883" spans="4:4" x14ac:dyDescent="0.3">
      <c r="D3883"/>
    </row>
    <row r="3884" spans="4:4" x14ac:dyDescent="0.3">
      <c r="D3884"/>
    </row>
    <row r="3885" spans="4:4" x14ac:dyDescent="0.3">
      <c r="D3885"/>
    </row>
    <row r="3886" spans="4:4" x14ac:dyDescent="0.3">
      <c r="D3886"/>
    </row>
    <row r="3887" spans="4:4" x14ac:dyDescent="0.3">
      <c r="D3887"/>
    </row>
    <row r="3888" spans="4:4" x14ac:dyDescent="0.3">
      <c r="D3888"/>
    </row>
    <row r="3889" spans="4:4" x14ac:dyDescent="0.3">
      <c r="D3889"/>
    </row>
    <row r="3890" spans="4:4" x14ac:dyDescent="0.3">
      <c r="D3890"/>
    </row>
    <row r="3891" spans="4:4" x14ac:dyDescent="0.3">
      <c r="D3891"/>
    </row>
    <row r="3892" spans="4:4" x14ac:dyDescent="0.3">
      <c r="D3892"/>
    </row>
    <row r="3893" spans="4:4" x14ac:dyDescent="0.3">
      <c r="D3893"/>
    </row>
    <row r="3894" spans="4:4" x14ac:dyDescent="0.3">
      <c r="D3894"/>
    </row>
    <row r="3895" spans="4:4" x14ac:dyDescent="0.3">
      <c r="D3895"/>
    </row>
    <row r="3896" spans="4:4" x14ac:dyDescent="0.3">
      <c r="D3896"/>
    </row>
    <row r="3897" spans="4:4" x14ac:dyDescent="0.3">
      <c r="D3897"/>
    </row>
    <row r="3898" spans="4:4" x14ac:dyDescent="0.3">
      <c r="D3898"/>
    </row>
    <row r="3899" spans="4:4" x14ac:dyDescent="0.3">
      <c r="D3899"/>
    </row>
    <row r="3900" spans="4:4" x14ac:dyDescent="0.3">
      <c r="D3900"/>
    </row>
    <row r="3901" spans="4:4" x14ac:dyDescent="0.3">
      <c r="D3901"/>
    </row>
    <row r="3902" spans="4:4" x14ac:dyDescent="0.3">
      <c r="D3902"/>
    </row>
    <row r="3903" spans="4:4" x14ac:dyDescent="0.3">
      <c r="D3903"/>
    </row>
    <row r="3904" spans="4:4" x14ac:dyDescent="0.3">
      <c r="D3904"/>
    </row>
    <row r="3905" spans="4:4" x14ac:dyDescent="0.3">
      <c r="D3905"/>
    </row>
    <row r="3906" spans="4:4" x14ac:dyDescent="0.3">
      <c r="D3906"/>
    </row>
    <row r="3907" spans="4:4" x14ac:dyDescent="0.3">
      <c r="D3907"/>
    </row>
    <row r="3908" spans="4:4" x14ac:dyDescent="0.3">
      <c r="D3908"/>
    </row>
    <row r="3909" spans="4:4" x14ac:dyDescent="0.3">
      <c r="D3909"/>
    </row>
    <row r="3910" spans="4:4" x14ac:dyDescent="0.3">
      <c r="D3910"/>
    </row>
    <row r="3911" spans="4:4" x14ac:dyDescent="0.3">
      <c r="D3911"/>
    </row>
    <row r="3912" spans="4:4" x14ac:dyDescent="0.3">
      <c r="D3912"/>
    </row>
    <row r="3913" spans="4:4" x14ac:dyDescent="0.3">
      <c r="D3913"/>
    </row>
    <row r="3914" spans="4:4" x14ac:dyDescent="0.3">
      <c r="D3914"/>
    </row>
    <row r="3915" spans="4:4" x14ac:dyDescent="0.3">
      <c r="D3915"/>
    </row>
    <row r="3916" spans="4:4" x14ac:dyDescent="0.3">
      <c r="D3916"/>
    </row>
    <row r="3917" spans="4:4" x14ac:dyDescent="0.3">
      <c r="D3917"/>
    </row>
    <row r="3918" spans="4:4" x14ac:dyDescent="0.3">
      <c r="D3918"/>
    </row>
    <row r="3919" spans="4:4" x14ac:dyDescent="0.3">
      <c r="D3919"/>
    </row>
    <row r="3920" spans="4:4" x14ac:dyDescent="0.3">
      <c r="D3920"/>
    </row>
    <row r="3921" spans="4:4" x14ac:dyDescent="0.3">
      <c r="D3921"/>
    </row>
    <row r="3922" spans="4:4" x14ac:dyDescent="0.3">
      <c r="D3922"/>
    </row>
    <row r="3923" spans="4:4" x14ac:dyDescent="0.3">
      <c r="D3923"/>
    </row>
    <row r="3924" spans="4:4" x14ac:dyDescent="0.3">
      <c r="D3924"/>
    </row>
    <row r="3925" spans="4:4" x14ac:dyDescent="0.3">
      <c r="D3925"/>
    </row>
    <row r="3926" spans="4:4" x14ac:dyDescent="0.3">
      <c r="D3926"/>
    </row>
    <row r="3927" spans="4:4" x14ac:dyDescent="0.3">
      <c r="D3927"/>
    </row>
    <row r="3928" spans="4:4" x14ac:dyDescent="0.3">
      <c r="D3928"/>
    </row>
    <row r="3929" spans="4:4" x14ac:dyDescent="0.3">
      <c r="D3929"/>
    </row>
    <row r="3930" spans="4:4" x14ac:dyDescent="0.3">
      <c r="D3930"/>
    </row>
    <row r="3931" spans="4:4" x14ac:dyDescent="0.3">
      <c r="D3931"/>
    </row>
    <row r="3932" spans="4:4" x14ac:dyDescent="0.3">
      <c r="D3932"/>
    </row>
    <row r="3933" spans="4:4" x14ac:dyDescent="0.3">
      <c r="D3933"/>
    </row>
    <row r="3934" spans="4:4" x14ac:dyDescent="0.3">
      <c r="D3934"/>
    </row>
    <row r="3935" spans="4:4" x14ac:dyDescent="0.3">
      <c r="D3935"/>
    </row>
    <row r="3936" spans="4:4" x14ac:dyDescent="0.3">
      <c r="D3936"/>
    </row>
    <row r="3937" spans="4:4" x14ac:dyDescent="0.3">
      <c r="D3937"/>
    </row>
    <row r="3938" spans="4:4" x14ac:dyDescent="0.3">
      <c r="D3938"/>
    </row>
    <row r="3939" spans="4:4" x14ac:dyDescent="0.3">
      <c r="D3939"/>
    </row>
    <row r="3940" spans="4:4" x14ac:dyDescent="0.3">
      <c r="D3940"/>
    </row>
    <row r="3941" spans="4:4" x14ac:dyDescent="0.3">
      <c r="D3941"/>
    </row>
    <row r="3942" spans="4:4" x14ac:dyDescent="0.3">
      <c r="D3942"/>
    </row>
    <row r="3943" spans="4:4" x14ac:dyDescent="0.3">
      <c r="D3943"/>
    </row>
    <row r="3944" spans="4:4" x14ac:dyDescent="0.3">
      <c r="D3944"/>
    </row>
    <row r="3945" spans="4:4" x14ac:dyDescent="0.3">
      <c r="D3945"/>
    </row>
    <row r="3946" spans="4:4" x14ac:dyDescent="0.3">
      <c r="D3946"/>
    </row>
    <row r="3947" spans="4:4" x14ac:dyDescent="0.3">
      <c r="D3947"/>
    </row>
    <row r="3948" spans="4:4" x14ac:dyDescent="0.3">
      <c r="D3948"/>
    </row>
    <row r="3949" spans="4:4" x14ac:dyDescent="0.3">
      <c r="D3949"/>
    </row>
    <row r="3950" spans="4:4" x14ac:dyDescent="0.3">
      <c r="D3950"/>
    </row>
    <row r="3951" spans="4:4" x14ac:dyDescent="0.3">
      <c r="D3951"/>
    </row>
    <row r="3952" spans="4:4" x14ac:dyDescent="0.3">
      <c r="D3952"/>
    </row>
    <row r="3953" spans="4:4" x14ac:dyDescent="0.3">
      <c r="D3953"/>
    </row>
    <row r="3954" spans="4:4" x14ac:dyDescent="0.3">
      <c r="D3954"/>
    </row>
    <row r="3955" spans="4:4" x14ac:dyDescent="0.3">
      <c r="D3955"/>
    </row>
    <row r="3956" spans="4:4" x14ac:dyDescent="0.3">
      <c r="D3956"/>
    </row>
    <row r="3957" spans="4:4" x14ac:dyDescent="0.3">
      <c r="D3957"/>
    </row>
    <row r="3958" spans="4:4" x14ac:dyDescent="0.3">
      <c r="D3958"/>
    </row>
    <row r="3959" spans="4:4" x14ac:dyDescent="0.3">
      <c r="D3959"/>
    </row>
    <row r="3960" spans="4:4" x14ac:dyDescent="0.3">
      <c r="D3960"/>
    </row>
    <row r="3961" spans="4:4" x14ac:dyDescent="0.3">
      <c r="D3961"/>
    </row>
    <row r="3962" spans="4:4" x14ac:dyDescent="0.3">
      <c r="D3962"/>
    </row>
    <row r="3963" spans="4:4" x14ac:dyDescent="0.3">
      <c r="D3963"/>
    </row>
    <row r="3964" spans="4:4" x14ac:dyDescent="0.3">
      <c r="D3964"/>
    </row>
    <row r="3965" spans="4:4" x14ac:dyDescent="0.3">
      <c r="D3965"/>
    </row>
    <row r="3966" spans="4:4" x14ac:dyDescent="0.3">
      <c r="D3966"/>
    </row>
    <row r="3967" spans="4:4" x14ac:dyDescent="0.3">
      <c r="D3967"/>
    </row>
    <row r="3968" spans="4:4" x14ac:dyDescent="0.3">
      <c r="D3968"/>
    </row>
    <row r="3969" spans="4:4" x14ac:dyDescent="0.3">
      <c r="D3969"/>
    </row>
    <row r="3970" spans="4:4" x14ac:dyDescent="0.3">
      <c r="D3970"/>
    </row>
    <row r="3971" spans="4:4" x14ac:dyDescent="0.3">
      <c r="D3971"/>
    </row>
    <row r="3972" spans="4:4" x14ac:dyDescent="0.3">
      <c r="D3972"/>
    </row>
    <row r="3973" spans="4:4" x14ac:dyDescent="0.3">
      <c r="D3973"/>
    </row>
    <row r="3974" spans="4:4" x14ac:dyDescent="0.3">
      <c r="D3974"/>
    </row>
    <row r="3975" spans="4:4" x14ac:dyDescent="0.3">
      <c r="D3975"/>
    </row>
    <row r="3976" spans="4:4" x14ac:dyDescent="0.3">
      <c r="D3976"/>
    </row>
    <row r="3977" spans="4:4" x14ac:dyDescent="0.3">
      <c r="D3977"/>
    </row>
    <row r="3978" spans="4:4" x14ac:dyDescent="0.3">
      <c r="D3978"/>
    </row>
    <row r="3979" spans="4:4" x14ac:dyDescent="0.3">
      <c r="D3979"/>
    </row>
    <row r="3980" spans="4:4" x14ac:dyDescent="0.3">
      <c r="D3980"/>
    </row>
    <row r="3981" spans="4:4" x14ac:dyDescent="0.3">
      <c r="D3981"/>
    </row>
    <row r="3982" spans="4:4" x14ac:dyDescent="0.3">
      <c r="D3982"/>
    </row>
    <row r="3983" spans="4:4" x14ac:dyDescent="0.3">
      <c r="D3983"/>
    </row>
    <row r="3984" spans="4:4" x14ac:dyDescent="0.3">
      <c r="D3984"/>
    </row>
    <row r="3985" spans="4:4" x14ac:dyDescent="0.3">
      <c r="D3985"/>
    </row>
    <row r="3986" spans="4:4" x14ac:dyDescent="0.3">
      <c r="D3986"/>
    </row>
    <row r="3987" spans="4:4" x14ac:dyDescent="0.3">
      <c r="D3987"/>
    </row>
    <row r="3988" spans="4:4" x14ac:dyDescent="0.3">
      <c r="D3988"/>
    </row>
    <row r="3989" spans="4:4" x14ac:dyDescent="0.3">
      <c r="D3989"/>
    </row>
    <row r="3990" spans="4:4" x14ac:dyDescent="0.3">
      <c r="D3990"/>
    </row>
    <row r="3991" spans="4:4" x14ac:dyDescent="0.3">
      <c r="D3991"/>
    </row>
    <row r="3992" spans="4:4" x14ac:dyDescent="0.3">
      <c r="D3992"/>
    </row>
    <row r="3993" spans="4:4" x14ac:dyDescent="0.3">
      <c r="D3993"/>
    </row>
    <row r="3994" spans="4:4" x14ac:dyDescent="0.3">
      <c r="D3994"/>
    </row>
    <row r="3995" spans="4:4" x14ac:dyDescent="0.3">
      <c r="D3995"/>
    </row>
    <row r="3996" spans="4:4" x14ac:dyDescent="0.3">
      <c r="D3996"/>
    </row>
    <row r="3997" spans="4:4" x14ac:dyDescent="0.3">
      <c r="D3997"/>
    </row>
    <row r="3998" spans="4:4" x14ac:dyDescent="0.3">
      <c r="D3998"/>
    </row>
    <row r="3999" spans="4:4" x14ac:dyDescent="0.3">
      <c r="D3999"/>
    </row>
    <row r="4000" spans="4:4" x14ac:dyDescent="0.3">
      <c r="D4000"/>
    </row>
    <row r="4001" spans="4:4" x14ac:dyDescent="0.3">
      <c r="D4001"/>
    </row>
    <row r="4002" spans="4:4" x14ac:dyDescent="0.3">
      <c r="D4002"/>
    </row>
    <row r="4003" spans="4:4" x14ac:dyDescent="0.3">
      <c r="D4003"/>
    </row>
    <row r="4004" spans="4:4" x14ac:dyDescent="0.3">
      <c r="D4004"/>
    </row>
    <row r="4005" spans="4:4" x14ac:dyDescent="0.3">
      <c r="D4005"/>
    </row>
    <row r="4006" spans="4:4" x14ac:dyDescent="0.3">
      <c r="D4006"/>
    </row>
    <row r="4007" spans="4:4" x14ac:dyDescent="0.3">
      <c r="D4007"/>
    </row>
    <row r="4008" spans="4:4" x14ac:dyDescent="0.3">
      <c r="D4008"/>
    </row>
    <row r="4009" spans="4:4" x14ac:dyDescent="0.3">
      <c r="D4009"/>
    </row>
    <row r="4010" spans="4:4" x14ac:dyDescent="0.3">
      <c r="D4010"/>
    </row>
    <row r="4011" spans="4:4" x14ac:dyDescent="0.3">
      <c r="D4011"/>
    </row>
    <row r="4012" spans="4:4" x14ac:dyDescent="0.3">
      <c r="D4012"/>
    </row>
    <row r="4013" spans="4:4" x14ac:dyDescent="0.3">
      <c r="D4013"/>
    </row>
    <row r="4014" spans="4:4" x14ac:dyDescent="0.3">
      <c r="D4014"/>
    </row>
    <row r="4015" spans="4:4" x14ac:dyDescent="0.3">
      <c r="D4015"/>
    </row>
    <row r="4016" spans="4:4" x14ac:dyDescent="0.3">
      <c r="D4016"/>
    </row>
    <row r="4017" spans="4:4" x14ac:dyDescent="0.3">
      <c r="D4017"/>
    </row>
    <row r="4018" spans="4:4" x14ac:dyDescent="0.3">
      <c r="D4018"/>
    </row>
    <row r="4019" spans="4:4" x14ac:dyDescent="0.3">
      <c r="D4019"/>
    </row>
    <row r="4020" spans="4:4" x14ac:dyDescent="0.3">
      <c r="D4020"/>
    </row>
    <row r="4021" spans="4:4" x14ac:dyDescent="0.3">
      <c r="D4021"/>
    </row>
    <row r="4022" spans="4:4" x14ac:dyDescent="0.3">
      <c r="D4022"/>
    </row>
    <row r="4023" spans="4:4" x14ac:dyDescent="0.3">
      <c r="D4023"/>
    </row>
    <row r="4024" spans="4:4" x14ac:dyDescent="0.3">
      <c r="D4024"/>
    </row>
    <row r="4025" spans="4:4" x14ac:dyDescent="0.3">
      <c r="D4025"/>
    </row>
    <row r="4026" spans="4:4" x14ac:dyDescent="0.3">
      <c r="D4026"/>
    </row>
    <row r="4027" spans="4:4" x14ac:dyDescent="0.3">
      <c r="D4027"/>
    </row>
    <row r="4028" spans="4:4" x14ac:dyDescent="0.3">
      <c r="D4028"/>
    </row>
    <row r="4029" spans="4:4" x14ac:dyDescent="0.3">
      <c r="D4029"/>
    </row>
    <row r="4030" spans="4:4" x14ac:dyDescent="0.3">
      <c r="D4030"/>
    </row>
    <row r="4031" spans="4:4" x14ac:dyDescent="0.3">
      <c r="D4031"/>
    </row>
    <row r="4032" spans="4:4" x14ac:dyDescent="0.3">
      <c r="D4032"/>
    </row>
    <row r="4033" spans="4:4" x14ac:dyDescent="0.3">
      <c r="D4033"/>
    </row>
    <row r="4034" spans="4:4" x14ac:dyDescent="0.3">
      <c r="D4034"/>
    </row>
    <row r="4035" spans="4:4" x14ac:dyDescent="0.3">
      <c r="D4035"/>
    </row>
    <row r="4036" spans="4:4" x14ac:dyDescent="0.3">
      <c r="D4036"/>
    </row>
    <row r="4037" spans="4:4" x14ac:dyDescent="0.3">
      <c r="D4037"/>
    </row>
    <row r="4038" spans="4:4" x14ac:dyDescent="0.3">
      <c r="D4038"/>
    </row>
    <row r="4039" spans="4:4" x14ac:dyDescent="0.3">
      <c r="D4039"/>
    </row>
    <row r="4040" spans="4:4" x14ac:dyDescent="0.3">
      <c r="D4040"/>
    </row>
    <row r="4041" spans="4:4" x14ac:dyDescent="0.3">
      <c r="D4041"/>
    </row>
    <row r="4042" spans="4:4" x14ac:dyDescent="0.3">
      <c r="D4042"/>
    </row>
    <row r="4043" spans="4:4" x14ac:dyDescent="0.3">
      <c r="D4043"/>
    </row>
    <row r="4044" spans="4:4" x14ac:dyDescent="0.3">
      <c r="D4044"/>
    </row>
    <row r="4045" spans="4:4" x14ac:dyDescent="0.3">
      <c r="D4045"/>
    </row>
    <row r="4046" spans="4:4" x14ac:dyDescent="0.3">
      <c r="D4046"/>
    </row>
    <row r="4047" spans="4:4" x14ac:dyDescent="0.3">
      <c r="D4047"/>
    </row>
    <row r="4048" spans="4:4" x14ac:dyDescent="0.3">
      <c r="D4048"/>
    </row>
    <row r="4049" spans="4:4" x14ac:dyDescent="0.3">
      <c r="D4049"/>
    </row>
    <row r="4050" spans="4:4" x14ac:dyDescent="0.3">
      <c r="D4050"/>
    </row>
    <row r="4051" spans="4:4" x14ac:dyDescent="0.3">
      <c r="D4051"/>
    </row>
    <row r="4052" spans="4:4" x14ac:dyDescent="0.3">
      <c r="D4052"/>
    </row>
    <row r="4053" spans="4:4" x14ac:dyDescent="0.3">
      <c r="D4053"/>
    </row>
    <row r="4054" spans="4:4" x14ac:dyDescent="0.3">
      <c r="D4054"/>
    </row>
    <row r="4055" spans="4:4" x14ac:dyDescent="0.3">
      <c r="D4055"/>
    </row>
    <row r="4056" spans="4:4" x14ac:dyDescent="0.3">
      <c r="D4056"/>
    </row>
    <row r="4057" spans="4:4" x14ac:dyDescent="0.3">
      <c r="D4057"/>
    </row>
    <row r="4058" spans="4:4" x14ac:dyDescent="0.3">
      <c r="D4058"/>
    </row>
    <row r="4059" spans="4:4" x14ac:dyDescent="0.3">
      <c r="D4059"/>
    </row>
    <row r="4060" spans="4:4" x14ac:dyDescent="0.3">
      <c r="D4060"/>
    </row>
    <row r="4061" spans="4:4" x14ac:dyDescent="0.3">
      <c r="D4061"/>
    </row>
    <row r="4062" spans="4:4" x14ac:dyDescent="0.3">
      <c r="D4062"/>
    </row>
    <row r="4063" spans="4:4" x14ac:dyDescent="0.3">
      <c r="D4063"/>
    </row>
    <row r="4064" spans="4:4" x14ac:dyDescent="0.3">
      <c r="D4064"/>
    </row>
    <row r="4065" spans="4:4" x14ac:dyDescent="0.3">
      <c r="D4065"/>
    </row>
    <row r="4066" spans="4:4" x14ac:dyDescent="0.3">
      <c r="D4066"/>
    </row>
    <row r="4067" spans="4:4" x14ac:dyDescent="0.3">
      <c r="D4067"/>
    </row>
    <row r="4068" spans="4:4" x14ac:dyDescent="0.3">
      <c r="D4068"/>
    </row>
    <row r="4069" spans="4:4" x14ac:dyDescent="0.3">
      <c r="D4069"/>
    </row>
    <row r="4070" spans="4:4" x14ac:dyDescent="0.3">
      <c r="D4070"/>
    </row>
    <row r="4071" spans="4:4" x14ac:dyDescent="0.3">
      <c r="D4071"/>
    </row>
    <row r="4072" spans="4:4" x14ac:dyDescent="0.3">
      <c r="D4072"/>
    </row>
    <row r="4073" spans="4:4" x14ac:dyDescent="0.3">
      <c r="D4073"/>
    </row>
    <row r="4074" spans="4:4" x14ac:dyDescent="0.3">
      <c r="D4074"/>
    </row>
    <row r="4075" spans="4:4" x14ac:dyDescent="0.3">
      <c r="D4075"/>
    </row>
    <row r="4076" spans="4:4" x14ac:dyDescent="0.3">
      <c r="D4076"/>
    </row>
    <row r="4077" spans="4:4" x14ac:dyDescent="0.3">
      <c r="D4077"/>
    </row>
    <row r="4078" spans="4:4" x14ac:dyDescent="0.3">
      <c r="D4078"/>
    </row>
    <row r="4079" spans="4:4" x14ac:dyDescent="0.3">
      <c r="D4079"/>
    </row>
    <row r="4080" spans="4:4" x14ac:dyDescent="0.3">
      <c r="D4080"/>
    </row>
    <row r="4081" spans="4:4" x14ac:dyDescent="0.3">
      <c r="D4081"/>
    </row>
    <row r="4082" spans="4:4" x14ac:dyDescent="0.3">
      <c r="D4082"/>
    </row>
    <row r="4083" spans="4:4" x14ac:dyDescent="0.3">
      <c r="D4083"/>
    </row>
    <row r="4084" spans="4:4" x14ac:dyDescent="0.3">
      <c r="D4084"/>
    </row>
    <row r="4085" spans="4:4" x14ac:dyDescent="0.3">
      <c r="D4085"/>
    </row>
    <row r="4086" spans="4:4" x14ac:dyDescent="0.3">
      <c r="D4086"/>
    </row>
    <row r="4087" spans="4:4" x14ac:dyDescent="0.3">
      <c r="D4087"/>
    </row>
    <row r="4088" spans="4:4" x14ac:dyDescent="0.3">
      <c r="D4088"/>
    </row>
    <row r="4089" spans="4:4" x14ac:dyDescent="0.3">
      <c r="D4089"/>
    </row>
    <row r="4090" spans="4:4" x14ac:dyDescent="0.3">
      <c r="D4090"/>
    </row>
    <row r="4091" spans="4:4" x14ac:dyDescent="0.3">
      <c r="D4091"/>
    </row>
    <row r="4092" spans="4:4" x14ac:dyDescent="0.3">
      <c r="D4092"/>
    </row>
    <row r="4093" spans="4:4" x14ac:dyDescent="0.3">
      <c r="D4093"/>
    </row>
    <row r="4094" spans="4:4" x14ac:dyDescent="0.3">
      <c r="D4094"/>
    </row>
    <row r="4095" spans="4:4" x14ac:dyDescent="0.3">
      <c r="D4095"/>
    </row>
    <row r="4096" spans="4:4" x14ac:dyDescent="0.3">
      <c r="D4096"/>
    </row>
    <row r="4097" spans="4:4" x14ac:dyDescent="0.3">
      <c r="D4097"/>
    </row>
    <row r="4098" spans="4:4" x14ac:dyDescent="0.3">
      <c r="D4098"/>
    </row>
    <row r="4099" spans="4:4" x14ac:dyDescent="0.3">
      <c r="D4099"/>
    </row>
    <row r="4100" spans="4:4" x14ac:dyDescent="0.3">
      <c r="D4100"/>
    </row>
    <row r="4101" spans="4:4" x14ac:dyDescent="0.3">
      <c r="D4101"/>
    </row>
    <row r="4102" spans="4:4" x14ac:dyDescent="0.3">
      <c r="D4102"/>
    </row>
    <row r="4103" spans="4:4" x14ac:dyDescent="0.3">
      <c r="D4103"/>
    </row>
    <row r="4104" spans="4:4" x14ac:dyDescent="0.3">
      <c r="D4104"/>
    </row>
    <row r="4105" spans="4:4" x14ac:dyDescent="0.3">
      <c r="D4105"/>
    </row>
    <row r="4106" spans="4:4" x14ac:dyDescent="0.3">
      <c r="D4106"/>
    </row>
    <row r="4107" spans="4:4" x14ac:dyDescent="0.3">
      <c r="D4107"/>
    </row>
    <row r="4108" spans="4:4" x14ac:dyDescent="0.3">
      <c r="D4108"/>
    </row>
    <row r="4109" spans="4:4" x14ac:dyDescent="0.3">
      <c r="D4109"/>
    </row>
    <row r="4110" spans="4:4" x14ac:dyDescent="0.3">
      <c r="D4110"/>
    </row>
    <row r="4111" spans="4:4" x14ac:dyDescent="0.3">
      <c r="D4111"/>
    </row>
    <row r="4112" spans="4:4" x14ac:dyDescent="0.3">
      <c r="D4112"/>
    </row>
    <row r="4113" spans="4:4" x14ac:dyDescent="0.3">
      <c r="D4113"/>
    </row>
    <row r="4114" spans="4:4" x14ac:dyDescent="0.3">
      <c r="D4114"/>
    </row>
    <row r="4115" spans="4:4" x14ac:dyDescent="0.3">
      <c r="D4115"/>
    </row>
    <row r="4116" spans="4:4" x14ac:dyDescent="0.3">
      <c r="D4116"/>
    </row>
    <row r="4117" spans="4:4" x14ac:dyDescent="0.3">
      <c r="D4117"/>
    </row>
    <row r="4118" spans="4:4" x14ac:dyDescent="0.3">
      <c r="D4118"/>
    </row>
    <row r="4119" spans="4:4" x14ac:dyDescent="0.3">
      <c r="D4119"/>
    </row>
    <row r="4120" spans="4:4" x14ac:dyDescent="0.3">
      <c r="D4120"/>
    </row>
    <row r="4121" spans="4:4" x14ac:dyDescent="0.3">
      <c r="D4121"/>
    </row>
    <row r="4122" spans="4:4" x14ac:dyDescent="0.3">
      <c r="D4122"/>
    </row>
    <row r="4123" spans="4:4" x14ac:dyDescent="0.3">
      <c r="D4123"/>
    </row>
    <row r="4124" spans="4:4" x14ac:dyDescent="0.3">
      <c r="D4124"/>
    </row>
    <row r="4125" spans="4:4" x14ac:dyDescent="0.3">
      <c r="D4125"/>
    </row>
    <row r="4126" spans="4:4" x14ac:dyDescent="0.3">
      <c r="D4126"/>
    </row>
    <row r="4127" spans="4:4" x14ac:dyDescent="0.3">
      <c r="D4127"/>
    </row>
    <row r="4128" spans="4:4" x14ac:dyDescent="0.3">
      <c r="D4128"/>
    </row>
    <row r="4129" spans="4:4" x14ac:dyDescent="0.3">
      <c r="D4129"/>
    </row>
    <row r="4130" spans="4:4" x14ac:dyDescent="0.3">
      <c r="D4130"/>
    </row>
    <row r="4131" spans="4:4" x14ac:dyDescent="0.3">
      <c r="D4131"/>
    </row>
    <row r="4132" spans="4:4" x14ac:dyDescent="0.3">
      <c r="D4132"/>
    </row>
    <row r="4133" spans="4:4" x14ac:dyDescent="0.3">
      <c r="D4133"/>
    </row>
    <row r="4134" spans="4:4" x14ac:dyDescent="0.3">
      <c r="D4134"/>
    </row>
    <row r="4135" spans="4:4" x14ac:dyDescent="0.3">
      <c r="D4135"/>
    </row>
    <row r="4136" spans="4:4" x14ac:dyDescent="0.3">
      <c r="D4136"/>
    </row>
    <row r="4137" spans="4:4" x14ac:dyDescent="0.3">
      <c r="D4137"/>
    </row>
    <row r="4138" spans="4:4" x14ac:dyDescent="0.3">
      <c r="D4138"/>
    </row>
    <row r="4139" spans="4:4" x14ac:dyDescent="0.3">
      <c r="D4139"/>
    </row>
    <row r="4140" spans="4:4" x14ac:dyDescent="0.3">
      <c r="D4140"/>
    </row>
    <row r="4141" spans="4:4" x14ac:dyDescent="0.3">
      <c r="D4141"/>
    </row>
    <row r="4142" spans="4:4" x14ac:dyDescent="0.3">
      <c r="D4142"/>
    </row>
    <row r="4143" spans="4:4" x14ac:dyDescent="0.3">
      <c r="D4143"/>
    </row>
    <row r="4144" spans="4:4" x14ac:dyDescent="0.3">
      <c r="D4144"/>
    </row>
    <row r="4145" spans="4:4" x14ac:dyDescent="0.3">
      <c r="D4145"/>
    </row>
    <row r="4146" spans="4:4" x14ac:dyDescent="0.3">
      <c r="D4146"/>
    </row>
    <row r="4147" spans="4:4" x14ac:dyDescent="0.3">
      <c r="D4147"/>
    </row>
    <row r="4148" spans="4:4" x14ac:dyDescent="0.3">
      <c r="D4148"/>
    </row>
    <row r="4149" spans="4:4" x14ac:dyDescent="0.3">
      <c r="D4149"/>
    </row>
    <row r="4150" spans="4:4" x14ac:dyDescent="0.3">
      <c r="D4150"/>
    </row>
    <row r="4151" spans="4:4" x14ac:dyDescent="0.3">
      <c r="D4151"/>
    </row>
    <row r="4152" spans="4:4" x14ac:dyDescent="0.3">
      <c r="D4152"/>
    </row>
    <row r="4153" spans="4:4" x14ac:dyDescent="0.3">
      <c r="D4153"/>
    </row>
    <row r="4154" spans="4:4" x14ac:dyDescent="0.3">
      <c r="D4154"/>
    </row>
    <row r="4155" spans="4:4" x14ac:dyDescent="0.3">
      <c r="D4155"/>
    </row>
    <row r="4156" spans="4:4" x14ac:dyDescent="0.3">
      <c r="D4156"/>
    </row>
    <row r="4157" spans="4:4" x14ac:dyDescent="0.3">
      <c r="D4157"/>
    </row>
    <row r="4158" spans="4:4" x14ac:dyDescent="0.3">
      <c r="D4158"/>
    </row>
    <row r="4159" spans="4:4" x14ac:dyDescent="0.3">
      <c r="D4159"/>
    </row>
    <row r="4160" spans="4:4" x14ac:dyDescent="0.3">
      <c r="D4160"/>
    </row>
    <row r="4161" spans="4:4" x14ac:dyDescent="0.3">
      <c r="D4161"/>
    </row>
    <row r="4162" spans="4:4" x14ac:dyDescent="0.3">
      <c r="D4162"/>
    </row>
    <row r="4163" spans="4:4" x14ac:dyDescent="0.3">
      <c r="D4163"/>
    </row>
    <row r="4164" spans="4:4" x14ac:dyDescent="0.3">
      <c r="D4164"/>
    </row>
    <row r="4165" spans="4:4" x14ac:dyDescent="0.3">
      <c r="D4165"/>
    </row>
    <row r="4166" spans="4:4" x14ac:dyDescent="0.3">
      <c r="D4166"/>
    </row>
    <row r="4167" spans="4:4" x14ac:dyDescent="0.3">
      <c r="D4167"/>
    </row>
    <row r="4168" spans="4:4" x14ac:dyDescent="0.3">
      <c r="D4168"/>
    </row>
    <row r="4169" spans="4:4" x14ac:dyDescent="0.3">
      <c r="D4169"/>
    </row>
    <row r="4170" spans="4:4" x14ac:dyDescent="0.3">
      <c r="D4170"/>
    </row>
    <row r="4171" spans="4:4" x14ac:dyDescent="0.3">
      <c r="D4171"/>
    </row>
    <row r="4172" spans="4:4" x14ac:dyDescent="0.3">
      <c r="D4172"/>
    </row>
    <row r="4173" spans="4:4" x14ac:dyDescent="0.3">
      <c r="D4173"/>
    </row>
    <row r="4174" spans="4:4" x14ac:dyDescent="0.3">
      <c r="D4174"/>
    </row>
    <row r="4175" spans="4:4" x14ac:dyDescent="0.3">
      <c r="D4175"/>
    </row>
    <row r="4176" spans="4:4" x14ac:dyDescent="0.3">
      <c r="D4176"/>
    </row>
    <row r="4177" spans="4:4" x14ac:dyDescent="0.3">
      <c r="D4177"/>
    </row>
    <row r="4178" spans="4:4" x14ac:dyDescent="0.3">
      <c r="D4178"/>
    </row>
    <row r="4179" spans="4:4" x14ac:dyDescent="0.3">
      <c r="D4179"/>
    </row>
    <row r="4180" spans="4:4" x14ac:dyDescent="0.3">
      <c r="D4180"/>
    </row>
    <row r="4181" spans="4:4" x14ac:dyDescent="0.3">
      <c r="D4181"/>
    </row>
    <row r="4182" spans="4:4" x14ac:dyDescent="0.3">
      <c r="D4182"/>
    </row>
    <row r="4183" spans="4:4" x14ac:dyDescent="0.3">
      <c r="D4183"/>
    </row>
    <row r="4184" spans="4:4" x14ac:dyDescent="0.3">
      <c r="D4184"/>
    </row>
    <row r="4185" spans="4:4" x14ac:dyDescent="0.3">
      <c r="D4185"/>
    </row>
    <row r="4186" spans="4:4" x14ac:dyDescent="0.3">
      <c r="D4186"/>
    </row>
    <row r="4187" spans="4:4" x14ac:dyDescent="0.3">
      <c r="D4187"/>
    </row>
    <row r="4188" spans="4:4" x14ac:dyDescent="0.3">
      <c r="D4188"/>
    </row>
    <row r="4189" spans="4:4" x14ac:dyDescent="0.3">
      <c r="D4189"/>
    </row>
    <row r="4190" spans="4:4" x14ac:dyDescent="0.3">
      <c r="D4190"/>
    </row>
    <row r="4191" spans="4:4" x14ac:dyDescent="0.3">
      <c r="D4191"/>
    </row>
    <row r="4192" spans="4:4" x14ac:dyDescent="0.3">
      <c r="D4192"/>
    </row>
    <row r="4193" spans="4:4" x14ac:dyDescent="0.3">
      <c r="D4193"/>
    </row>
    <row r="4194" spans="4:4" x14ac:dyDescent="0.3">
      <c r="D4194"/>
    </row>
    <row r="4195" spans="4:4" x14ac:dyDescent="0.3">
      <c r="D4195"/>
    </row>
    <row r="4196" spans="4:4" x14ac:dyDescent="0.3">
      <c r="D4196"/>
    </row>
    <row r="4197" spans="4:4" x14ac:dyDescent="0.3">
      <c r="D4197"/>
    </row>
    <row r="4198" spans="4:4" x14ac:dyDescent="0.3">
      <c r="D4198"/>
    </row>
    <row r="4199" spans="4:4" x14ac:dyDescent="0.3">
      <c r="D4199"/>
    </row>
    <row r="4200" spans="4:4" x14ac:dyDescent="0.3">
      <c r="D4200"/>
    </row>
    <row r="4201" spans="4:4" x14ac:dyDescent="0.3">
      <c r="D4201"/>
    </row>
    <row r="4202" spans="4:4" x14ac:dyDescent="0.3">
      <c r="D4202"/>
    </row>
    <row r="4203" spans="4:4" x14ac:dyDescent="0.3">
      <c r="D4203"/>
    </row>
    <row r="4204" spans="4:4" x14ac:dyDescent="0.3">
      <c r="D4204"/>
    </row>
    <row r="4205" spans="4:4" x14ac:dyDescent="0.3">
      <c r="D4205"/>
    </row>
    <row r="4206" spans="4:4" x14ac:dyDescent="0.3">
      <c r="D4206"/>
    </row>
    <row r="4207" spans="4:4" x14ac:dyDescent="0.3">
      <c r="D4207"/>
    </row>
    <row r="4208" spans="4:4" x14ac:dyDescent="0.3">
      <c r="D4208"/>
    </row>
    <row r="4209" spans="4:4" x14ac:dyDescent="0.3">
      <c r="D4209"/>
    </row>
    <row r="4210" spans="4:4" x14ac:dyDescent="0.3">
      <c r="D4210"/>
    </row>
    <row r="4211" spans="4:4" x14ac:dyDescent="0.3">
      <c r="D4211"/>
    </row>
    <row r="4212" spans="4:4" x14ac:dyDescent="0.3">
      <c r="D4212"/>
    </row>
    <row r="4213" spans="4:4" x14ac:dyDescent="0.3">
      <c r="D4213"/>
    </row>
    <row r="4214" spans="4:4" x14ac:dyDescent="0.3">
      <c r="D4214"/>
    </row>
    <row r="4215" spans="4:4" x14ac:dyDescent="0.3">
      <c r="D4215"/>
    </row>
    <row r="4216" spans="4:4" x14ac:dyDescent="0.3">
      <c r="D4216"/>
    </row>
    <row r="4217" spans="4:4" x14ac:dyDescent="0.3">
      <c r="D4217"/>
    </row>
    <row r="4218" spans="4:4" x14ac:dyDescent="0.3">
      <c r="D4218"/>
    </row>
    <row r="4219" spans="4:4" x14ac:dyDescent="0.3">
      <c r="D4219"/>
    </row>
    <row r="4220" spans="4:4" x14ac:dyDescent="0.3">
      <c r="D4220"/>
    </row>
    <row r="4221" spans="4:4" x14ac:dyDescent="0.3">
      <c r="D4221"/>
    </row>
    <row r="4222" spans="4:4" x14ac:dyDescent="0.3">
      <c r="D4222"/>
    </row>
    <row r="4223" spans="4:4" x14ac:dyDescent="0.3">
      <c r="D4223"/>
    </row>
    <row r="4224" spans="4:4" x14ac:dyDescent="0.3">
      <c r="D4224"/>
    </row>
    <row r="4225" spans="4:4" x14ac:dyDescent="0.3">
      <c r="D4225"/>
    </row>
    <row r="4226" spans="4:4" x14ac:dyDescent="0.3">
      <c r="D4226"/>
    </row>
    <row r="4227" spans="4:4" x14ac:dyDescent="0.3">
      <c r="D4227"/>
    </row>
    <row r="4228" spans="4:4" x14ac:dyDescent="0.3">
      <c r="D4228"/>
    </row>
    <row r="4229" spans="4:4" x14ac:dyDescent="0.3">
      <c r="D4229"/>
    </row>
    <row r="4230" spans="4:4" x14ac:dyDescent="0.3">
      <c r="D4230"/>
    </row>
    <row r="4231" spans="4:4" x14ac:dyDescent="0.3">
      <c r="D4231"/>
    </row>
    <row r="4232" spans="4:4" x14ac:dyDescent="0.3">
      <c r="D4232"/>
    </row>
    <row r="4233" spans="4:4" x14ac:dyDescent="0.3">
      <c r="D4233"/>
    </row>
    <row r="4234" spans="4:4" x14ac:dyDescent="0.3">
      <c r="D4234"/>
    </row>
    <row r="4235" spans="4:4" x14ac:dyDescent="0.3">
      <c r="D4235"/>
    </row>
    <row r="4236" spans="4:4" x14ac:dyDescent="0.3">
      <c r="D4236"/>
    </row>
    <row r="4237" spans="4:4" x14ac:dyDescent="0.3">
      <c r="D4237"/>
    </row>
    <row r="4238" spans="4:4" x14ac:dyDescent="0.3">
      <c r="D4238"/>
    </row>
    <row r="4239" spans="4:4" x14ac:dyDescent="0.3">
      <c r="D4239"/>
    </row>
    <row r="4240" spans="4:4" x14ac:dyDescent="0.3">
      <c r="D4240"/>
    </row>
    <row r="4241" spans="4:4" x14ac:dyDescent="0.3">
      <c r="D4241"/>
    </row>
    <row r="4242" spans="4:4" x14ac:dyDescent="0.3">
      <c r="D4242"/>
    </row>
    <row r="4243" spans="4:4" x14ac:dyDescent="0.3">
      <c r="D4243"/>
    </row>
    <row r="4244" spans="4:4" x14ac:dyDescent="0.3">
      <c r="D4244"/>
    </row>
    <row r="4245" spans="4:4" x14ac:dyDescent="0.3">
      <c r="D4245"/>
    </row>
    <row r="4246" spans="4:4" x14ac:dyDescent="0.3">
      <c r="D4246"/>
    </row>
    <row r="4247" spans="4:4" x14ac:dyDescent="0.3">
      <c r="D4247"/>
    </row>
    <row r="4248" spans="4:4" x14ac:dyDescent="0.3">
      <c r="D4248"/>
    </row>
    <row r="4249" spans="4:4" x14ac:dyDescent="0.3">
      <c r="D4249"/>
    </row>
    <row r="4250" spans="4:4" x14ac:dyDescent="0.3">
      <c r="D4250"/>
    </row>
    <row r="4251" spans="4:4" x14ac:dyDescent="0.3">
      <c r="D4251"/>
    </row>
    <row r="4252" spans="4:4" x14ac:dyDescent="0.3">
      <c r="D4252"/>
    </row>
    <row r="4253" spans="4:4" x14ac:dyDescent="0.3">
      <c r="D4253"/>
    </row>
    <row r="4254" spans="4:4" x14ac:dyDescent="0.3">
      <c r="D4254"/>
    </row>
    <row r="4255" spans="4:4" x14ac:dyDescent="0.3">
      <c r="D4255"/>
    </row>
    <row r="4256" spans="4:4" x14ac:dyDescent="0.3">
      <c r="D4256"/>
    </row>
    <row r="4257" spans="4:4" x14ac:dyDescent="0.3">
      <c r="D4257"/>
    </row>
    <row r="4258" spans="4:4" x14ac:dyDescent="0.3">
      <c r="D4258"/>
    </row>
    <row r="4259" spans="4:4" x14ac:dyDescent="0.3">
      <c r="D4259"/>
    </row>
    <row r="4260" spans="4:4" x14ac:dyDescent="0.3">
      <c r="D4260"/>
    </row>
    <row r="4261" spans="4:4" x14ac:dyDescent="0.3">
      <c r="D4261"/>
    </row>
    <row r="4262" spans="4:4" x14ac:dyDescent="0.3">
      <c r="D4262"/>
    </row>
    <row r="4263" spans="4:4" x14ac:dyDescent="0.3">
      <c r="D4263"/>
    </row>
    <row r="4264" spans="4:4" x14ac:dyDescent="0.3">
      <c r="D4264"/>
    </row>
    <row r="4265" spans="4:4" x14ac:dyDescent="0.3">
      <c r="D4265"/>
    </row>
    <row r="4266" spans="4:4" x14ac:dyDescent="0.3">
      <c r="D4266"/>
    </row>
    <row r="4267" spans="4:4" x14ac:dyDescent="0.3">
      <c r="D4267"/>
    </row>
    <row r="4268" spans="4:4" x14ac:dyDescent="0.3">
      <c r="D4268"/>
    </row>
    <row r="4269" spans="4:4" x14ac:dyDescent="0.3">
      <c r="D4269"/>
    </row>
    <row r="4270" spans="4:4" x14ac:dyDescent="0.3">
      <c r="D4270"/>
    </row>
    <row r="4271" spans="4:4" x14ac:dyDescent="0.3">
      <c r="D4271"/>
    </row>
    <row r="4272" spans="4:4" x14ac:dyDescent="0.3">
      <c r="D4272"/>
    </row>
    <row r="4273" spans="4:4" x14ac:dyDescent="0.3">
      <c r="D4273"/>
    </row>
    <row r="4274" spans="4:4" x14ac:dyDescent="0.3">
      <c r="D4274"/>
    </row>
    <row r="4275" spans="4:4" x14ac:dyDescent="0.3">
      <c r="D4275"/>
    </row>
    <row r="4276" spans="4:4" x14ac:dyDescent="0.3">
      <c r="D4276"/>
    </row>
    <row r="4277" spans="4:4" x14ac:dyDescent="0.3">
      <c r="D4277"/>
    </row>
    <row r="4278" spans="4:4" x14ac:dyDescent="0.3">
      <c r="D4278"/>
    </row>
    <row r="4279" spans="4:4" x14ac:dyDescent="0.3">
      <c r="D4279"/>
    </row>
    <row r="4280" spans="4:4" x14ac:dyDescent="0.3">
      <c r="D4280"/>
    </row>
    <row r="4281" spans="4:4" x14ac:dyDescent="0.3">
      <c r="D4281"/>
    </row>
    <row r="4282" spans="4:4" x14ac:dyDescent="0.3">
      <c r="D4282"/>
    </row>
    <row r="4283" spans="4:4" x14ac:dyDescent="0.3">
      <c r="D4283"/>
    </row>
    <row r="4284" spans="4:4" x14ac:dyDescent="0.3">
      <c r="D4284"/>
    </row>
    <row r="4285" spans="4:4" x14ac:dyDescent="0.3">
      <c r="D4285"/>
    </row>
    <row r="4286" spans="4:4" x14ac:dyDescent="0.3">
      <c r="D4286"/>
    </row>
    <row r="4287" spans="4:4" x14ac:dyDescent="0.3">
      <c r="D4287"/>
    </row>
    <row r="4288" spans="4:4" x14ac:dyDescent="0.3">
      <c r="D4288"/>
    </row>
    <row r="4289" spans="4:4" x14ac:dyDescent="0.3">
      <c r="D4289"/>
    </row>
    <row r="4290" spans="4:4" x14ac:dyDescent="0.3">
      <c r="D4290"/>
    </row>
    <row r="4291" spans="4:4" x14ac:dyDescent="0.3">
      <c r="D4291"/>
    </row>
    <row r="4292" spans="4:4" x14ac:dyDescent="0.3">
      <c r="D4292"/>
    </row>
    <row r="4293" spans="4:4" x14ac:dyDescent="0.3">
      <c r="D4293"/>
    </row>
    <row r="4294" spans="4:4" x14ac:dyDescent="0.3">
      <c r="D4294"/>
    </row>
    <row r="4295" spans="4:4" x14ac:dyDescent="0.3">
      <c r="D4295"/>
    </row>
    <row r="4296" spans="4:4" x14ac:dyDescent="0.3">
      <c r="D4296"/>
    </row>
    <row r="4297" spans="4:4" x14ac:dyDescent="0.3">
      <c r="D4297"/>
    </row>
    <row r="4298" spans="4:4" x14ac:dyDescent="0.3">
      <c r="D4298"/>
    </row>
    <row r="4299" spans="4:4" x14ac:dyDescent="0.3">
      <c r="D4299"/>
    </row>
    <row r="4300" spans="4:4" x14ac:dyDescent="0.3">
      <c r="D4300"/>
    </row>
    <row r="4301" spans="4:4" x14ac:dyDescent="0.3">
      <c r="D4301"/>
    </row>
    <row r="4302" spans="4:4" x14ac:dyDescent="0.3">
      <c r="D4302"/>
    </row>
    <row r="4303" spans="4:4" x14ac:dyDescent="0.3">
      <c r="D4303"/>
    </row>
    <row r="4304" spans="4:4" x14ac:dyDescent="0.3">
      <c r="D4304"/>
    </row>
    <row r="4305" spans="4:4" x14ac:dyDescent="0.3">
      <c r="D4305"/>
    </row>
    <row r="4306" spans="4:4" x14ac:dyDescent="0.3">
      <c r="D4306"/>
    </row>
    <row r="4307" spans="4:4" x14ac:dyDescent="0.3">
      <c r="D4307"/>
    </row>
    <row r="4308" spans="4:4" x14ac:dyDescent="0.3">
      <c r="D4308"/>
    </row>
    <row r="4309" spans="4:4" x14ac:dyDescent="0.3">
      <c r="D4309"/>
    </row>
    <row r="4310" spans="4:4" x14ac:dyDescent="0.3">
      <c r="D4310"/>
    </row>
    <row r="4311" spans="4:4" x14ac:dyDescent="0.3">
      <c r="D4311"/>
    </row>
    <row r="4312" spans="4:4" x14ac:dyDescent="0.3">
      <c r="D4312"/>
    </row>
    <row r="4313" spans="4:4" x14ac:dyDescent="0.3">
      <c r="D4313"/>
    </row>
    <row r="4314" spans="4:4" x14ac:dyDescent="0.3">
      <c r="D4314"/>
    </row>
    <row r="4315" spans="4:4" x14ac:dyDescent="0.3">
      <c r="D4315"/>
    </row>
    <row r="4316" spans="4:4" x14ac:dyDescent="0.3">
      <c r="D4316"/>
    </row>
    <row r="4317" spans="4:4" x14ac:dyDescent="0.3">
      <c r="D4317"/>
    </row>
    <row r="4318" spans="4:4" x14ac:dyDescent="0.3">
      <c r="D4318"/>
    </row>
    <row r="4319" spans="4:4" x14ac:dyDescent="0.3">
      <c r="D4319"/>
    </row>
    <row r="4320" spans="4:4" x14ac:dyDescent="0.3">
      <c r="D4320"/>
    </row>
    <row r="4321" spans="4:4" x14ac:dyDescent="0.3">
      <c r="D4321"/>
    </row>
    <row r="4322" spans="4:4" x14ac:dyDescent="0.3">
      <c r="D4322"/>
    </row>
    <row r="4323" spans="4:4" x14ac:dyDescent="0.3">
      <c r="D4323"/>
    </row>
    <row r="4324" spans="4:4" x14ac:dyDescent="0.3">
      <c r="D4324"/>
    </row>
    <row r="4325" spans="4:4" x14ac:dyDescent="0.3">
      <c r="D4325"/>
    </row>
    <row r="4326" spans="4:4" x14ac:dyDescent="0.3">
      <c r="D4326"/>
    </row>
    <row r="4327" spans="4:4" x14ac:dyDescent="0.3">
      <c r="D4327"/>
    </row>
    <row r="4328" spans="4:4" x14ac:dyDescent="0.3">
      <c r="D4328"/>
    </row>
    <row r="4329" spans="4:4" x14ac:dyDescent="0.3">
      <c r="D4329"/>
    </row>
    <row r="4330" spans="4:4" x14ac:dyDescent="0.3">
      <c r="D4330"/>
    </row>
    <row r="4331" spans="4:4" x14ac:dyDescent="0.3">
      <c r="D4331"/>
    </row>
    <row r="4332" spans="4:4" x14ac:dyDescent="0.3">
      <c r="D4332"/>
    </row>
    <row r="4333" spans="4:4" x14ac:dyDescent="0.3">
      <c r="D4333"/>
    </row>
    <row r="4334" spans="4:4" x14ac:dyDescent="0.3">
      <c r="D4334"/>
    </row>
    <row r="4335" spans="4:4" x14ac:dyDescent="0.3">
      <c r="D4335"/>
    </row>
    <row r="4336" spans="4:4" x14ac:dyDescent="0.3">
      <c r="D4336"/>
    </row>
    <row r="4337" spans="4:4" x14ac:dyDescent="0.3">
      <c r="D4337"/>
    </row>
    <row r="4338" spans="4:4" x14ac:dyDescent="0.3">
      <c r="D4338"/>
    </row>
    <row r="4339" spans="4:4" x14ac:dyDescent="0.3">
      <c r="D4339"/>
    </row>
    <row r="4340" spans="4:4" x14ac:dyDescent="0.3">
      <c r="D4340"/>
    </row>
    <row r="4341" spans="4:4" x14ac:dyDescent="0.3">
      <c r="D4341"/>
    </row>
    <row r="4342" spans="4:4" x14ac:dyDescent="0.3">
      <c r="D4342"/>
    </row>
    <row r="4343" spans="4:4" x14ac:dyDescent="0.3">
      <c r="D4343"/>
    </row>
    <row r="4344" spans="4:4" x14ac:dyDescent="0.3">
      <c r="D4344"/>
    </row>
    <row r="4345" spans="4:4" x14ac:dyDescent="0.3">
      <c r="D4345"/>
    </row>
    <row r="4346" spans="4:4" x14ac:dyDescent="0.3">
      <c r="D4346"/>
    </row>
    <row r="4347" spans="4:4" x14ac:dyDescent="0.3">
      <c r="D4347"/>
    </row>
    <row r="4348" spans="4:4" x14ac:dyDescent="0.3">
      <c r="D4348"/>
    </row>
    <row r="4349" spans="4:4" x14ac:dyDescent="0.3">
      <c r="D4349"/>
    </row>
    <row r="4350" spans="4:4" x14ac:dyDescent="0.3">
      <c r="D4350"/>
    </row>
    <row r="4351" spans="4:4" x14ac:dyDescent="0.3">
      <c r="D4351"/>
    </row>
    <row r="4352" spans="4:4" x14ac:dyDescent="0.3">
      <c r="D4352"/>
    </row>
    <row r="4353" spans="4:4" x14ac:dyDescent="0.3">
      <c r="D4353"/>
    </row>
    <row r="4354" spans="4:4" x14ac:dyDescent="0.3">
      <c r="D4354"/>
    </row>
    <row r="4355" spans="4:4" x14ac:dyDescent="0.3">
      <c r="D4355"/>
    </row>
    <row r="4356" spans="4:4" x14ac:dyDescent="0.3">
      <c r="D4356"/>
    </row>
    <row r="4357" spans="4:4" x14ac:dyDescent="0.3">
      <c r="D4357"/>
    </row>
    <row r="4358" spans="4:4" x14ac:dyDescent="0.3">
      <c r="D4358"/>
    </row>
    <row r="4359" spans="4:4" x14ac:dyDescent="0.3">
      <c r="D4359"/>
    </row>
    <row r="4360" spans="4:4" x14ac:dyDescent="0.3">
      <c r="D4360"/>
    </row>
    <row r="4361" spans="4:4" x14ac:dyDescent="0.3">
      <c r="D4361"/>
    </row>
    <row r="4362" spans="4:4" x14ac:dyDescent="0.3">
      <c r="D4362"/>
    </row>
    <row r="4363" spans="4:4" x14ac:dyDescent="0.3">
      <c r="D4363"/>
    </row>
    <row r="4364" spans="4:4" x14ac:dyDescent="0.3">
      <c r="D4364"/>
    </row>
    <row r="4365" spans="4:4" x14ac:dyDescent="0.3">
      <c r="D4365"/>
    </row>
    <row r="4366" spans="4:4" x14ac:dyDescent="0.3">
      <c r="D4366"/>
    </row>
    <row r="4367" spans="4:4" x14ac:dyDescent="0.3">
      <c r="D4367"/>
    </row>
    <row r="4368" spans="4:4" x14ac:dyDescent="0.3">
      <c r="D4368"/>
    </row>
    <row r="4369" spans="4:4" x14ac:dyDescent="0.3">
      <c r="D4369"/>
    </row>
    <row r="4370" spans="4:4" x14ac:dyDescent="0.3">
      <c r="D4370"/>
    </row>
    <row r="4371" spans="4:4" x14ac:dyDescent="0.3">
      <c r="D4371"/>
    </row>
    <row r="4372" spans="4:4" x14ac:dyDescent="0.3">
      <c r="D4372"/>
    </row>
    <row r="4373" spans="4:4" x14ac:dyDescent="0.3">
      <c r="D4373"/>
    </row>
    <row r="4374" spans="4:4" x14ac:dyDescent="0.3">
      <c r="D4374"/>
    </row>
    <row r="4375" spans="4:4" x14ac:dyDescent="0.3">
      <c r="D4375"/>
    </row>
    <row r="4376" spans="4:4" x14ac:dyDescent="0.3">
      <c r="D4376"/>
    </row>
    <row r="4377" spans="4:4" x14ac:dyDescent="0.3">
      <c r="D4377"/>
    </row>
    <row r="4378" spans="4:4" x14ac:dyDescent="0.3">
      <c r="D4378"/>
    </row>
    <row r="4379" spans="4:4" x14ac:dyDescent="0.3">
      <c r="D4379"/>
    </row>
    <row r="4380" spans="4:4" x14ac:dyDescent="0.3">
      <c r="D4380"/>
    </row>
    <row r="4381" spans="4:4" x14ac:dyDescent="0.3">
      <c r="D4381"/>
    </row>
    <row r="4382" spans="4:4" x14ac:dyDescent="0.3">
      <c r="D4382"/>
    </row>
    <row r="4383" spans="4:4" x14ac:dyDescent="0.3">
      <c r="D4383"/>
    </row>
    <row r="4384" spans="4:4" x14ac:dyDescent="0.3">
      <c r="D4384"/>
    </row>
    <row r="4385" spans="4:4" x14ac:dyDescent="0.3">
      <c r="D4385"/>
    </row>
    <row r="4386" spans="4:4" x14ac:dyDescent="0.3">
      <c r="D4386"/>
    </row>
    <row r="4387" spans="4:4" x14ac:dyDescent="0.3">
      <c r="D4387"/>
    </row>
    <row r="4388" spans="4:4" x14ac:dyDescent="0.3">
      <c r="D4388"/>
    </row>
    <row r="4389" spans="4:4" x14ac:dyDescent="0.3">
      <c r="D4389"/>
    </row>
    <row r="4390" spans="4:4" x14ac:dyDescent="0.3">
      <c r="D4390"/>
    </row>
    <row r="4391" spans="4:4" x14ac:dyDescent="0.3">
      <c r="D4391"/>
    </row>
    <row r="4392" spans="4:4" x14ac:dyDescent="0.3">
      <c r="D4392"/>
    </row>
    <row r="4393" spans="4:4" x14ac:dyDescent="0.3">
      <c r="D4393"/>
    </row>
    <row r="4394" spans="4:4" x14ac:dyDescent="0.3">
      <c r="D4394"/>
    </row>
    <row r="4395" spans="4:4" x14ac:dyDescent="0.3">
      <c r="D4395"/>
    </row>
    <row r="4396" spans="4:4" x14ac:dyDescent="0.3">
      <c r="D4396"/>
    </row>
    <row r="4397" spans="4:4" x14ac:dyDescent="0.3">
      <c r="D4397"/>
    </row>
    <row r="4398" spans="4:4" x14ac:dyDescent="0.3">
      <c r="D4398"/>
    </row>
    <row r="4399" spans="4:4" x14ac:dyDescent="0.3">
      <c r="D4399"/>
    </row>
    <row r="4400" spans="4:4" x14ac:dyDescent="0.3">
      <c r="D4400"/>
    </row>
    <row r="4401" spans="4:4" x14ac:dyDescent="0.3">
      <c r="D4401"/>
    </row>
    <row r="4402" spans="4:4" x14ac:dyDescent="0.3">
      <c r="D4402"/>
    </row>
    <row r="4403" spans="4:4" x14ac:dyDescent="0.3">
      <c r="D4403"/>
    </row>
    <row r="4404" spans="4:4" x14ac:dyDescent="0.3">
      <c r="D4404"/>
    </row>
    <row r="4405" spans="4:4" x14ac:dyDescent="0.3">
      <c r="D4405"/>
    </row>
    <row r="4406" spans="4:4" x14ac:dyDescent="0.3">
      <c r="D4406"/>
    </row>
    <row r="4407" spans="4:4" x14ac:dyDescent="0.3">
      <c r="D4407"/>
    </row>
    <row r="4408" spans="4:4" x14ac:dyDescent="0.3">
      <c r="D4408"/>
    </row>
    <row r="4409" spans="4:4" x14ac:dyDescent="0.3">
      <c r="D4409"/>
    </row>
    <row r="4410" spans="4:4" x14ac:dyDescent="0.3">
      <c r="D4410"/>
    </row>
    <row r="4411" spans="4:4" x14ac:dyDescent="0.3">
      <c r="D4411"/>
    </row>
    <row r="4412" spans="4:4" x14ac:dyDescent="0.3">
      <c r="D4412"/>
    </row>
    <row r="4413" spans="4:4" x14ac:dyDescent="0.3">
      <c r="D4413"/>
    </row>
    <row r="4414" spans="4:4" x14ac:dyDescent="0.3">
      <c r="D4414"/>
    </row>
    <row r="4415" spans="4:4" x14ac:dyDescent="0.3">
      <c r="D4415"/>
    </row>
    <row r="4416" spans="4:4" x14ac:dyDescent="0.3">
      <c r="D4416"/>
    </row>
    <row r="4417" spans="4:4" x14ac:dyDescent="0.3">
      <c r="D4417"/>
    </row>
    <row r="4418" spans="4:4" x14ac:dyDescent="0.3">
      <c r="D4418"/>
    </row>
    <row r="4419" spans="4:4" x14ac:dyDescent="0.3">
      <c r="D4419"/>
    </row>
    <row r="4420" spans="4:4" x14ac:dyDescent="0.3">
      <c r="D4420"/>
    </row>
    <row r="4421" spans="4:4" x14ac:dyDescent="0.3">
      <c r="D4421"/>
    </row>
    <row r="4422" spans="4:4" x14ac:dyDescent="0.3">
      <c r="D4422"/>
    </row>
    <row r="4423" spans="4:4" x14ac:dyDescent="0.3">
      <c r="D4423"/>
    </row>
    <row r="4424" spans="4:4" x14ac:dyDescent="0.3">
      <c r="D4424"/>
    </row>
    <row r="4425" spans="4:4" x14ac:dyDescent="0.3">
      <c r="D4425"/>
    </row>
    <row r="4426" spans="4:4" x14ac:dyDescent="0.3">
      <c r="D4426"/>
    </row>
    <row r="4427" spans="4:4" x14ac:dyDescent="0.3">
      <c r="D4427"/>
    </row>
    <row r="4428" spans="4:4" x14ac:dyDescent="0.3">
      <c r="D4428"/>
    </row>
    <row r="4429" spans="4:4" x14ac:dyDescent="0.3">
      <c r="D4429"/>
    </row>
    <row r="4430" spans="4:4" x14ac:dyDescent="0.3">
      <c r="D4430"/>
    </row>
    <row r="4431" spans="4:4" x14ac:dyDescent="0.3">
      <c r="D4431"/>
    </row>
    <row r="4432" spans="4:4" x14ac:dyDescent="0.3">
      <c r="D4432"/>
    </row>
    <row r="4433" spans="4:4" x14ac:dyDescent="0.3">
      <c r="D4433"/>
    </row>
    <row r="4434" spans="4:4" x14ac:dyDescent="0.3">
      <c r="D4434"/>
    </row>
    <row r="4435" spans="4:4" x14ac:dyDescent="0.3">
      <c r="D4435"/>
    </row>
    <row r="4436" spans="4:4" x14ac:dyDescent="0.3">
      <c r="D4436"/>
    </row>
    <row r="4437" spans="4:4" x14ac:dyDescent="0.3">
      <c r="D4437"/>
    </row>
    <row r="4438" spans="4:4" x14ac:dyDescent="0.3">
      <c r="D4438"/>
    </row>
    <row r="4439" spans="4:4" x14ac:dyDescent="0.3">
      <c r="D4439"/>
    </row>
    <row r="4440" spans="4:4" x14ac:dyDescent="0.3">
      <c r="D4440"/>
    </row>
    <row r="4441" spans="4:4" x14ac:dyDescent="0.3">
      <c r="D4441"/>
    </row>
    <row r="4442" spans="4:4" x14ac:dyDescent="0.3">
      <c r="D4442"/>
    </row>
    <row r="4443" spans="4:4" x14ac:dyDescent="0.3">
      <c r="D4443"/>
    </row>
    <row r="4444" spans="4:4" x14ac:dyDescent="0.3">
      <c r="D4444"/>
    </row>
    <row r="4445" spans="4:4" x14ac:dyDescent="0.3">
      <c r="D4445"/>
    </row>
    <row r="4446" spans="4:4" x14ac:dyDescent="0.3">
      <c r="D4446"/>
    </row>
    <row r="4447" spans="4:4" x14ac:dyDescent="0.3">
      <c r="D4447"/>
    </row>
    <row r="4448" spans="4:4" x14ac:dyDescent="0.3">
      <c r="D4448"/>
    </row>
    <row r="4449" spans="4:4" x14ac:dyDescent="0.3">
      <c r="D4449"/>
    </row>
    <row r="4450" spans="4:4" x14ac:dyDescent="0.3">
      <c r="D4450"/>
    </row>
    <row r="4451" spans="4:4" x14ac:dyDescent="0.3">
      <c r="D4451"/>
    </row>
    <row r="4452" spans="4:4" x14ac:dyDescent="0.3">
      <c r="D4452"/>
    </row>
    <row r="4453" spans="4:4" x14ac:dyDescent="0.3">
      <c r="D4453"/>
    </row>
    <row r="4454" spans="4:4" x14ac:dyDescent="0.3">
      <c r="D4454"/>
    </row>
    <row r="4455" spans="4:4" x14ac:dyDescent="0.3">
      <c r="D4455"/>
    </row>
    <row r="4456" spans="4:4" x14ac:dyDescent="0.3">
      <c r="D4456"/>
    </row>
    <row r="4457" spans="4:4" x14ac:dyDescent="0.3">
      <c r="D4457"/>
    </row>
    <row r="4458" spans="4:4" x14ac:dyDescent="0.3">
      <c r="D4458"/>
    </row>
    <row r="4459" spans="4:4" x14ac:dyDescent="0.3">
      <c r="D4459"/>
    </row>
    <row r="4460" spans="4:4" x14ac:dyDescent="0.3">
      <c r="D4460"/>
    </row>
    <row r="4461" spans="4:4" x14ac:dyDescent="0.3">
      <c r="D4461"/>
    </row>
    <row r="4462" spans="4:4" x14ac:dyDescent="0.3">
      <c r="D4462"/>
    </row>
    <row r="4463" spans="4:4" x14ac:dyDescent="0.3">
      <c r="D4463"/>
    </row>
    <row r="4464" spans="4:4" x14ac:dyDescent="0.3">
      <c r="D4464"/>
    </row>
    <row r="4465" spans="4:4" x14ac:dyDescent="0.3">
      <c r="D4465"/>
    </row>
    <row r="4466" spans="4:4" x14ac:dyDescent="0.3">
      <c r="D4466"/>
    </row>
    <row r="4467" spans="4:4" x14ac:dyDescent="0.3">
      <c r="D4467"/>
    </row>
    <row r="4468" spans="4:4" x14ac:dyDescent="0.3">
      <c r="D4468"/>
    </row>
    <row r="4469" spans="4:4" x14ac:dyDescent="0.3">
      <c r="D4469"/>
    </row>
    <row r="4470" spans="4:4" x14ac:dyDescent="0.3">
      <c r="D4470"/>
    </row>
    <row r="4471" spans="4:4" x14ac:dyDescent="0.3">
      <c r="D4471"/>
    </row>
    <row r="4472" spans="4:4" x14ac:dyDescent="0.3">
      <c r="D4472"/>
    </row>
    <row r="4473" spans="4:4" x14ac:dyDescent="0.3">
      <c r="D4473"/>
    </row>
    <row r="4474" spans="4:4" x14ac:dyDescent="0.3">
      <c r="D4474"/>
    </row>
    <row r="4475" spans="4:4" x14ac:dyDescent="0.3">
      <c r="D4475"/>
    </row>
    <row r="4476" spans="4:4" x14ac:dyDescent="0.3">
      <c r="D4476"/>
    </row>
    <row r="4477" spans="4:4" x14ac:dyDescent="0.3">
      <c r="D4477"/>
    </row>
    <row r="4478" spans="4:4" x14ac:dyDescent="0.3">
      <c r="D4478"/>
    </row>
    <row r="4479" spans="4:4" x14ac:dyDescent="0.3">
      <c r="D4479"/>
    </row>
    <row r="4480" spans="4:4" x14ac:dyDescent="0.3">
      <c r="D4480"/>
    </row>
    <row r="4481" spans="4:4" x14ac:dyDescent="0.3">
      <c r="D4481"/>
    </row>
    <row r="4482" spans="4:4" x14ac:dyDescent="0.3">
      <c r="D4482"/>
    </row>
    <row r="4483" spans="4:4" x14ac:dyDescent="0.3">
      <c r="D4483"/>
    </row>
    <row r="4484" spans="4:4" x14ac:dyDescent="0.3">
      <c r="D4484"/>
    </row>
    <row r="4485" spans="4:4" x14ac:dyDescent="0.3">
      <c r="D4485"/>
    </row>
    <row r="4486" spans="4:4" x14ac:dyDescent="0.3">
      <c r="D4486"/>
    </row>
    <row r="4487" spans="4:4" x14ac:dyDescent="0.3">
      <c r="D4487"/>
    </row>
    <row r="4488" spans="4:4" x14ac:dyDescent="0.3">
      <c r="D4488"/>
    </row>
    <row r="4489" spans="4:4" x14ac:dyDescent="0.3">
      <c r="D4489"/>
    </row>
    <row r="4490" spans="4:4" x14ac:dyDescent="0.3">
      <c r="D4490"/>
    </row>
    <row r="4491" spans="4:4" x14ac:dyDescent="0.3">
      <c r="D4491"/>
    </row>
    <row r="4492" spans="4:4" x14ac:dyDescent="0.3">
      <c r="D4492"/>
    </row>
    <row r="4493" spans="4:4" x14ac:dyDescent="0.3">
      <c r="D4493"/>
    </row>
    <row r="4494" spans="4:4" x14ac:dyDescent="0.3">
      <c r="D4494"/>
    </row>
    <row r="4495" spans="4:4" x14ac:dyDescent="0.3">
      <c r="D4495"/>
    </row>
    <row r="4496" spans="4:4" x14ac:dyDescent="0.3">
      <c r="D4496"/>
    </row>
    <row r="4497" spans="4:4" x14ac:dyDescent="0.3">
      <c r="D4497"/>
    </row>
    <row r="4498" spans="4:4" x14ac:dyDescent="0.3">
      <c r="D4498"/>
    </row>
    <row r="4499" spans="4:4" x14ac:dyDescent="0.3">
      <c r="D4499"/>
    </row>
    <row r="4500" spans="4:4" x14ac:dyDescent="0.3">
      <c r="D4500"/>
    </row>
    <row r="4501" spans="4:4" x14ac:dyDescent="0.3">
      <c r="D4501"/>
    </row>
    <row r="4502" spans="4:4" x14ac:dyDescent="0.3">
      <c r="D4502"/>
    </row>
    <row r="4503" spans="4:4" x14ac:dyDescent="0.3">
      <c r="D4503"/>
    </row>
    <row r="4504" spans="4:4" x14ac:dyDescent="0.3">
      <c r="D4504"/>
    </row>
    <row r="4505" spans="4:4" x14ac:dyDescent="0.3">
      <c r="D4505"/>
    </row>
    <row r="4506" spans="4:4" x14ac:dyDescent="0.3">
      <c r="D4506"/>
    </row>
    <row r="4507" spans="4:4" x14ac:dyDescent="0.3">
      <c r="D4507"/>
    </row>
    <row r="4508" spans="4:4" x14ac:dyDescent="0.3">
      <c r="D4508"/>
    </row>
    <row r="4509" spans="4:4" x14ac:dyDescent="0.3">
      <c r="D4509"/>
    </row>
    <row r="4510" spans="4:4" x14ac:dyDescent="0.3">
      <c r="D4510"/>
    </row>
    <row r="4511" spans="4:4" x14ac:dyDescent="0.3">
      <c r="D4511"/>
    </row>
    <row r="4512" spans="4:4" x14ac:dyDescent="0.3">
      <c r="D4512"/>
    </row>
    <row r="4513" spans="4:4" x14ac:dyDescent="0.3">
      <c r="D4513"/>
    </row>
    <row r="4514" spans="4:4" x14ac:dyDescent="0.3">
      <c r="D4514"/>
    </row>
    <row r="4515" spans="4:4" x14ac:dyDescent="0.3">
      <c r="D4515"/>
    </row>
    <row r="4516" spans="4:4" x14ac:dyDescent="0.3">
      <c r="D4516"/>
    </row>
    <row r="4517" spans="4:4" x14ac:dyDescent="0.3">
      <c r="D4517"/>
    </row>
    <row r="4518" spans="4:4" x14ac:dyDescent="0.3">
      <c r="D4518"/>
    </row>
    <row r="4519" spans="4:4" x14ac:dyDescent="0.3">
      <c r="D4519"/>
    </row>
    <row r="4520" spans="4:4" x14ac:dyDescent="0.3">
      <c r="D4520"/>
    </row>
    <row r="4521" spans="4:4" x14ac:dyDescent="0.3">
      <c r="D4521"/>
    </row>
    <row r="4522" spans="4:4" x14ac:dyDescent="0.3">
      <c r="D4522"/>
    </row>
    <row r="4523" spans="4:4" x14ac:dyDescent="0.3">
      <c r="D4523"/>
    </row>
    <row r="4524" spans="4:4" x14ac:dyDescent="0.3">
      <c r="D4524"/>
    </row>
    <row r="4525" spans="4:4" x14ac:dyDescent="0.3">
      <c r="D4525"/>
    </row>
    <row r="4526" spans="4:4" x14ac:dyDescent="0.3">
      <c r="D4526"/>
    </row>
    <row r="4527" spans="4:4" x14ac:dyDescent="0.3">
      <c r="D4527"/>
    </row>
    <row r="4528" spans="4:4" x14ac:dyDescent="0.3">
      <c r="D4528"/>
    </row>
    <row r="4529" spans="4:4" x14ac:dyDescent="0.3">
      <c r="D4529"/>
    </row>
    <row r="4530" spans="4:4" x14ac:dyDescent="0.3">
      <c r="D4530"/>
    </row>
    <row r="4531" spans="4:4" x14ac:dyDescent="0.3">
      <c r="D4531"/>
    </row>
    <row r="4532" spans="4:4" x14ac:dyDescent="0.3">
      <c r="D4532"/>
    </row>
    <row r="4533" spans="4:4" x14ac:dyDescent="0.3">
      <c r="D4533"/>
    </row>
    <row r="4534" spans="4:4" x14ac:dyDescent="0.3">
      <c r="D4534"/>
    </row>
    <row r="4535" spans="4:4" x14ac:dyDescent="0.3">
      <c r="D4535"/>
    </row>
    <row r="4536" spans="4:4" x14ac:dyDescent="0.3">
      <c r="D4536"/>
    </row>
    <row r="4537" spans="4:4" x14ac:dyDescent="0.3">
      <c r="D4537"/>
    </row>
    <row r="4538" spans="4:4" x14ac:dyDescent="0.3">
      <c r="D4538"/>
    </row>
    <row r="4539" spans="4:4" x14ac:dyDescent="0.3">
      <c r="D4539"/>
    </row>
    <row r="4540" spans="4:4" x14ac:dyDescent="0.3">
      <c r="D4540"/>
    </row>
    <row r="4541" spans="4:4" x14ac:dyDescent="0.3">
      <c r="D4541"/>
    </row>
    <row r="4542" spans="4:4" x14ac:dyDescent="0.3">
      <c r="D4542"/>
    </row>
    <row r="4543" spans="4:4" x14ac:dyDescent="0.3">
      <c r="D4543"/>
    </row>
    <row r="4544" spans="4:4" x14ac:dyDescent="0.3">
      <c r="D4544"/>
    </row>
    <row r="4545" spans="4:4" x14ac:dyDescent="0.3">
      <c r="D4545"/>
    </row>
    <row r="4546" spans="4:4" x14ac:dyDescent="0.3">
      <c r="D4546"/>
    </row>
    <row r="4547" spans="4:4" x14ac:dyDescent="0.3">
      <c r="D4547"/>
    </row>
    <row r="4548" spans="4:4" x14ac:dyDescent="0.3">
      <c r="D4548"/>
    </row>
    <row r="4549" spans="4:4" x14ac:dyDescent="0.3">
      <c r="D4549"/>
    </row>
    <row r="4550" spans="4:4" x14ac:dyDescent="0.3">
      <c r="D4550"/>
    </row>
    <row r="4551" spans="4:4" x14ac:dyDescent="0.3">
      <c r="D4551"/>
    </row>
    <row r="4552" spans="4:4" x14ac:dyDescent="0.3">
      <c r="D4552"/>
    </row>
    <row r="4553" spans="4:4" x14ac:dyDescent="0.3">
      <c r="D4553"/>
    </row>
    <row r="4554" spans="4:4" x14ac:dyDescent="0.3">
      <c r="D4554"/>
    </row>
    <row r="4555" spans="4:4" x14ac:dyDescent="0.3">
      <c r="D4555"/>
    </row>
    <row r="4556" spans="4:4" x14ac:dyDescent="0.3">
      <c r="D4556"/>
    </row>
    <row r="4557" spans="4:4" x14ac:dyDescent="0.3">
      <c r="D4557"/>
    </row>
    <row r="4558" spans="4:4" x14ac:dyDescent="0.3">
      <c r="D4558"/>
    </row>
    <row r="4559" spans="4:4" x14ac:dyDescent="0.3">
      <c r="D4559"/>
    </row>
    <row r="4560" spans="4:4" x14ac:dyDescent="0.3">
      <c r="D4560"/>
    </row>
    <row r="4561" spans="4:4" x14ac:dyDescent="0.3">
      <c r="D4561"/>
    </row>
    <row r="4562" spans="4:4" x14ac:dyDescent="0.3">
      <c r="D4562"/>
    </row>
    <row r="4563" spans="4:4" x14ac:dyDescent="0.3">
      <c r="D4563"/>
    </row>
    <row r="4564" spans="4:4" x14ac:dyDescent="0.3">
      <c r="D4564"/>
    </row>
    <row r="4565" spans="4:4" x14ac:dyDescent="0.3">
      <c r="D4565"/>
    </row>
    <row r="4566" spans="4:4" x14ac:dyDescent="0.3">
      <c r="D4566"/>
    </row>
    <row r="4567" spans="4:4" x14ac:dyDescent="0.3">
      <c r="D4567"/>
    </row>
    <row r="4568" spans="4:4" x14ac:dyDescent="0.3">
      <c r="D4568"/>
    </row>
    <row r="4569" spans="4:4" x14ac:dyDescent="0.3">
      <c r="D4569"/>
    </row>
    <row r="4570" spans="4:4" x14ac:dyDescent="0.3">
      <c r="D4570"/>
    </row>
    <row r="4571" spans="4:4" x14ac:dyDescent="0.3">
      <c r="D4571"/>
    </row>
    <row r="4572" spans="4:4" x14ac:dyDescent="0.3">
      <c r="D4572"/>
    </row>
    <row r="4573" spans="4:4" x14ac:dyDescent="0.3">
      <c r="D4573"/>
    </row>
    <row r="4574" spans="4:4" x14ac:dyDescent="0.3">
      <c r="D4574"/>
    </row>
    <row r="4575" spans="4:4" x14ac:dyDescent="0.3">
      <c r="D4575"/>
    </row>
    <row r="4576" spans="4:4" x14ac:dyDescent="0.3">
      <c r="D4576"/>
    </row>
    <row r="4577" spans="4:4" x14ac:dyDescent="0.3">
      <c r="D4577"/>
    </row>
    <row r="4578" spans="4:4" x14ac:dyDescent="0.3">
      <c r="D4578"/>
    </row>
    <row r="4579" spans="4:4" x14ac:dyDescent="0.3">
      <c r="D4579"/>
    </row>
    <row r="4580" spans="4:4" x14ac:dyDescent="0.3">
      <c r="D4580"/>
    </row>
    <row r="4581" spans="4:4" x14ac:dyDescent="0.3">
      <c r="D4581"/>
    </row>
    <row r="4582" spans="4:4" x14ac:dyDescent="0.3">
      <c r="D4582"/>
    </row>
    <row r="4583" spans="4:4" x14ac:dyDescent="0.3">
      <c r="D4583"/>
    </row>
    <row r="4584" spans="4:4" x14ac:dyDescent="0.3">
      <c r="D4584"/>
    </row>
    <row r="4585" spans="4:4" x14ac:dyDescent="0.3">
      <c r="D4585"/>
    </row>
    <row r="4586" spans="4:4" x14ac:dyDescent="0.3">
      <c r="D4586"/>
    </row>
    <row r="4587" spans="4:4" x14ac:dyDescent="0.3">
      <c r="D4587"/>
    </row>
    <row r="4588" spans="4:4" x14ac:dyDescent="0.3">
      <c r="D4588"/>
    </row>
    <row r="4589" spans="4:4" x14ac:dyDescent="0.3">
      <c r="D4589"/>
    </row>
    <row r="4590" spans="4:4" x14ac:dyDescent="0.3">
      <c r="D4590"/>
    </row>
    <row r="4591" spans="4:4" x14ac:dyDescent="0.3">
      <c r="D4591"/>
    </row>
    <row r="4592" spans="4:4" x14ac:dyDescent="0.3">
      <c r="D4592"/>
    </row>
    <row r="4593" spans="4:4" x14ac:dyDescent="0.3">
      <c r="D4593"/>
    </row>
    <row r="4594" spans="4:4" x14ac:dyDescent="0.3">
      <c r="D4594"/>
    </row>
    <row r="4595" spans="4:4" x14ac:dyDescent="0.3">
      <c r="D4595"/>
    </row>
    <row r="4596" spans="4:4" x14ac:dyDescent="0.3">
      <c r="D4596"/>
    </row>
    <row r="4597" spans="4:4" x14ac:dyDescent="0.3">
      <c r="D4597"/>
    </row>
    <row r="4598" spans="4:4" x14ac:dyDescent="0.3">
      <c r="D4598"/>
    </row>
    <row r="4599" spans="4:4" x14ac:dyDescent="0.3">
      <c r="D4599"/>
    </row>
    <row r="4600" spans="4:4" x14ac:dyDescent="0.3">
      <c r="D4600"/>
    </row>
    <row r="4601" spans="4:4" x14ac:dyDescent="0.3">
      <c r="D4601"/>
    </row>
    <row r="4602" spans="4:4" x14ac:dyDescent="0.3">
      <c r="D4602"/>
    </row>
    <row r="4603" spans="4:4" x14ac:dyDescent="0.3">
      <c r="D4603"/>
    </row>
    <row r="4604" spans="4:4" x14ac:dyDescent="0.3">
      <c r="D4604"/>
    </row>
    <row r="4605" spans="4:4" x14ac:dyDescent="0.3">
      <c r="D4605"/>
    </row>
    <row r="4606" spans="4:4" x14ac:dyDescent="0.3">
      <c r="D4606"/>
    </row>
    <row r="4607" spans="4:4" x14ac:dyDescent="0.3">
      <c r="D4607"/>
    </row>
    <row r="4608" spans="4:4" x14ac:dyDescent="0.3">
      <c r="D4608"/>
    </row>
    <row r="4609" spans="4:4" x14ac:dyDescent="0.3">
      <c r="D4609"/>
    </row>
    <row r="4610" spans="4:4" x14ac:dyDescent="0.3">
      <c r="D4610"/>
    </row>
    <row r="4611" spans="4:4" x14ac:dyDescent="0.3">
      <c r="D4611"/>
    </row>
    <row r="4612" spans="4:4" x14ac:dyDescent="0.3">
      <c r="D4612"/>
    </row>
    <row r="4613" spans="4:4" x14ac:dyDescent="0.3">
      <c r="D4613"/>
    </row>
    <row r="4614" spans="4:4" x14ac:dyDescent="0.3">
      <c r="D4614"/>
    </row>
    <row r="4615" spans="4:4" x14ac:dyDescent="0.3">
      <c r="D4615"/>
    </row>
    <row r="4616" spans="4:4" x14ac:dyDescent="0.3">
      <c r="D4616"/>
    </row>
    <row r="4617" spans="4:4" x14ac:dyDescent="0.3">
      <c r="D4617"/>
    </row>
    <row r="4618" spans="4:4" x14ac:dyDescent="0.3">
      <c r="D4618"/>
    </row>
    <row r="4619" spans="4:4" x14ac:dyDescent="0.3">
      <c r="D4619"/>
    </row>
    <row r="4620" spans="4:4" x14ac:dyDescent="0.3">
      <c r="D4620"/>
    </row>
    <row r="4621" spans="4:4" x14ac:dyDescent="0.3">
      <c r="D4621"/>
    </row>
    <row r="4622" spans="4:4" x14ac:dyDescent="0.3">
      <c r="D4622"/>
    </row>
    <row r="4623" spans="4:4" x14ac:dyDescent="0.3">
      <c r="D4623"/>
    </row>
    <row r="4624" spans="4:4" x14ac:dyDescent="0.3">
      <c r="D4624"/>
    </row>
    <row r="4625" spans="4:4" x14ac:dyDescent="0.3">
      <c r="D4625"/>
    </row>
    <row r="4626" spans="4:4" x14ac:dyDescent="0.3">
      <c r="D4626"/>
    </row>
    <row r="4627" spans="4:4" x14ac:dyDescent="0.3">
      <c r="D4627"/>
    </row>
    <row r="4628" spans="4:4" x14ac:dyDescent="0.3">
      <c r="D4628"/>
    </row>
    <row r="4629" spans="4:4" x14ac:dyDescent="0.3">
      <c r="D4629"/>
    </row>
    <row r="4630" spans="4:4" x14ac:dyDescent="0.3">
      <c r="D4630"/>
    </row>
    <row r="4631" spans="4:4" x14ac:dyDescent="0.3">
      <c r="D4631"/>
    </row>
    <row r="4632" spans="4:4" x14ac:dyDescent="0.3">
      <c r="D4632"/>
    </row>
    <row r="4633" spans="4:4" x14ac:dyDescent="0.3">
      <c r="D4633"/>
    </row>
    <row r="4634" spans="4:4" x14ac:dyDescent="0.3">
      <c r="D4634"/>
    </row>
    <row r="4635" spans="4:4" x14ac:dyDescent="0.3">
      <c r="D4635"/>
    </row>
    <row r="4636" spans="4:4" x14ac:dyDescent="0.3">
      <c r="D4636"/>
    </row>
    <row r="4637" spans="4:4" x14ac:dyDescent="0.3">
      <c r="D4637"/>
    </row>
    <row r="4638" spans="4:4" x14ac:dyDescent="0.3">
      <c r="D4638"/>
    </row>
    <row r="4639" spans="4:4" x14ac:dyDescent="0.3">
      <c r="D4639"/>
    </row>
    <row r="4640" spans="4:4" x14ac:dyDescent="0.3">
      <c r="D4640"/>
    </row>
    <row r="4641" spans="4:4" x14ac:dyDescent="0.3">
      <c r="D4641"/>
    </row>
    <row r="4642" spans="4:4" x14ac:dyDescent="0.3">
      <c r="D4642"/>
    </row>
    <row r="4643" spans="4:4" x14ac:dyDescent="0.3">
      <c r="D4643"/>
    </row>
    <row r="4644" spans="4:4" x14ac:dyDescent="0.3">
      <c r="D4644"/>
    </row>
    <row r="4645" spans="4:4" x14ac:dyDescent="0.3">
      <c r="D4645"/>
    </row>
    <row r="4646" spans="4:4" x14ac:dyDescent="0.3">
      <c r="D4646"/>
    </row>
    <row r="4647" spans="4:4" x14ac:dyDescent="0.3">
      <c r="D4647"/>
    </row>
    <row r="4648" spans="4:4" x14ac:dyDescent="0.3">
      <c r="D4648"/>
    </row>
    <row r="4649" spans="4:4" x14ac:dyDescent="0.3">
      <c r="D4649"/>
    </row>
    <row r="4650" spans="4:4" x14ac:dyDescent="0.3">
      <c r="D4650"/>
    </row>
    <row r="4651" spans="4:4" x14ac:dyDescent="0.3">
      <c r="D4651"/>
    </row>
    <row r="4652" spans="4:4" x14ac:dyDescent="0.3">
      <c r="D4652"/>
    </row>
    <row r="4653" spans="4:4" x14ac:dyDescent="0.3">
      <c r="D4653"/>
    </row>
    <row r="4654" spans="4:4" x14ac:dyDescent="0.3">
      <c r="D4654"/>
    </row>
    <row r="4655" spans="4:4" x14ac:dyDescent="0.3">
      <c r="D4655"/>
    </row>
    <row r="4656" spans="4:4" x14ac:dyDescent="0.3">
      <c r="D4656"/>
    </row>
    <row r="4657" spans="4:4" x14ac:dyDescent="0.3">
      <c r="D4657"/>
    </row>
    <row r="4658" spans="4:4" x14ac:dyDescent="0.3">
      <c r="D4658"/>
    </row>
    <row r="4659" spans="4:4" x14ac:dyDescent="0.3">
      <c r="D4659"/>
    </row>
    <row r="4660" spans="4:4" x14ac:dyDescent="0.3">
      <c r="D4660"/>
    </row>
    <row r="4661" spans="4:4" x14ac:dyDescent="0.3">
      <c r="D4661"/>
    </row>
    <row r="4662" spans="4:4" x14ac:dyDescent="0.3">
      <c r="D4662"/>
    </row>
    <row r="4663" spans="4:4" x14ac:dyDescent="0.3">
      <c r="D4663"/>
    </row>
    <row r="4664" spans="4:4" x14ac:dyDescent="0.3">
      <c r="D4664"/>
    </row>
    <row r="4665" spans="4:4" x14ac:dyDescent="0.3">
      <c r="D4665"/>
    </row>
    <row r="4666" spans="4:4" x14ac:dyDescent="0.3">
      <c r="D4666"/>
    </row>
    <row r="4667" spans="4:4" x14ac:dyDescent="0.3">
      <c r="D4667"/>
    </row>
    <row r="4668" spans="4:4" x14ac:dyDescent="0.3">
      <c r="D4668"/>
    </row>
    <row r="4669" spans="4:4" x14ac:dyDescent="0.3">
      <c r="D4669"/>
    </row>
    <row r="4670" spans="4:4" x14ac:dyDescent="0.3">
      <c r="D4670"/>
    </row>
    <row r="4671" spans="4:4" x14ac:dyDescent="0.3">
      <c r="D4671"/>
    </row>
    <row r="4672" spans="4:4" x14ac:dyDescent="0.3">
      <c r="D4672"/>
    </row>
    <row r="4673" spans="4:4" x14ac:dyDescent="0.3">
      <c r="D4673"/>
    </row>
    <row r="4674" spans="4:4" x14ac:dyDescent="0.3">
      <c r="D4674"/>
    </row>
    <row r="4675" spans="4:4" x14ac:dyDescent="0.3">
      <c r="D4675"/>
    </row>
    <row r="4676" spans="4:4" x14ac:dyDescent="0.3">
      <c r="D4676"/>
    </row>
    <row r="4677" spans="4:4" x14ac:dyDescent="0.3">
      <c r="D4677"/>
    </row>
    <row r="4678" spans="4:4" x14ac:dyDescent="0.3">
      <c r="D4678"/>
    </row>
    <row r="4679" spans="4:4" x14ac:dyDescent="0.3">
      <c r="D4679"/>
    </row>
    <row r="4680" spans="4:4" x14ac:dyDescent="0.3">
      <c r="D4680"/>
    </row>
    <row r="4681" spans="4:4" x14ac:dyDescent="0.3">
      <c r="D4681"/>
    </row>
    <row r="4682" spans="4:4" x14ac:dyDescent="0.3">
      <c r="D4682"/>
    </row>
    <row r="4683" spans="4:4" x14ac:dyDescent="0.3">
      <c r="D4683"/>
    </row>
    <row r="4684" spans="4:4" x14ac:dyDescent="0.3">
      <c r="D4684"/>
    </row>
    <row r="4685" spans="4:4" x14ac:dyDescent="0.3">
      <c r="D4685"/>
    </row>
    <row r="4686" spans="4:4" x14ac:dyDescent="0.3">
      <c r="D4686"/>
    </row>
    <row r="4687" spans="4:4" x14ac:dyDescent="0.3">
      <c r="D4687"/>
    </row>
    <row r="4688" spans="4:4" x14ac:dyDescent="0.3">
      <c r="D4688"/>
    </row>
    <row r="4689" spans="4:4" x14ac:dyDescent="0.3">
      <c r="D4689"/>
    </row>
    <row r="4690" spans="4:4" x14ac:dyDescent="0.3">
      <c r="D4690"/>
    </row>
    <row r="4691" spans="4:4" x14ac:dyDescent="0.3">
      <c r="D4691"/>
    </row>
    <row r="4692" spans="4:4" x14ac:dyDescent="0.3">
      <c r="D4692"/>
    </row>
    <row r="4693" spans="4:4" x14ac:dyDescent="0.3">
      <c r="D4693"/>
    </row>
    <row r="4694" spans="4:4" x14ac:dyDescent="0.3">
      <c r="D4694"/>
    </row>
    <row r="4695" spans="4:4" x14ac:dyDescent="0.3">
      <c r="D4695"/>
    </row>
    <row r="4696" spans="4:4" x14ac:dyDescent="0.3">
      <c r="D4696"/>
    </row>
    <row r="4697" spans="4:4" x14ac:dyDescent="0.3">
      <c r="D4697"/>
    </row>
    <row r="4698" spans="4:4" x14ac:dyDescent="0.3">
      <c r="D4698"/>
    </row>
    <row r="4699" spans="4:4" x14ac:dyDescent="0.3">
      <c r="D4699"/>
    </row>
    <row r="4700" spans="4:4" x14ac:dyDescent="0.3">
      <c r="D4700"/>
    </row>
    <row r="4701" spans="4:4" x14ac:dyDescent="0.3">
      <c r="D4701"/>
    </row>
    <row r="4702" spans="4:4" x14ac:dyDescent="0.3">
      <c r="D4702"/>
    </row>
    <row r="4703" spans="4:4" x14ac:dyDescent="0.3">
      <c r="D4703"/>
    </row>
    <row r="4704" spans="4:4" x14ac:dyDescent="0.3">
      <c r="D4704"/>
    </row>
    <row r="4705" spans="4:4" x14ac:dyDescent="0.3">
      <c r="D4705"/>
    </row>
    <row r="4706" spans="4:4" x14ac:dyDescent="0.3">
      <c r="D4706"/>
    </row>
    <row r="4707" spans="4:4" x14ac:dyDescent="0.3">
      <c r="D4707"/>
    </row>
    <row r="4708" spans="4:4" x14ac:dyDescent="0.3">
      <c r="D4708"/>
    </row>
    <row r="4709" spans="4:4" x14ac:dyDescent="0.3">
      <c r="D4709"/>
    </row>
    <row r="4710" spans="4:4" x14ac:dyDescent="0.3">
      <c r="D4710"/>
    </row>
    <row r="4711" spans="4:4" x14ac:dyDescent="0.3">
      <c r="D4711"/>
    </row>
    <row r="4712" spans="4:4" x14ac:dyDescent="0.3">
      <c r="D4712"/>
    </row>
    <row r="4713" spans="4:4" x14ac:dyDescent="0.3">
      <c r="D4713"/>
    </row>
    <row r="4714" spans="4:4" x14ac:dyDescent="0.3">
      <c r="D4714"/>
    </row>
    <row r="4715" spans="4:4" x14ac:dyDescent="0.3">
      <c r="D4715"/>
    </row>
    <row r="4716" spans="4:4" x14ac:dyDescent="0.3">
      <c r="D4716"/>
    </row>
    <row r="4717" spans="4:4" x14ac:dyDescent="0.3">
      <c r="D4717"/>
    </row>
    <row r="4718" spans="4:4" x14ac:dyDescent="0.3">
      <c r="D4718"/>
    </row>
    <row r="4719" spans="4:4" x14ac:dyDescent="0.3">
      <c r="D4719"/>
    </row>
    <row r="4720" spans="4:4" x14ac:dyDescent="0.3">
      <c r="D4720"/>
    </row>
    <row r="4721" spans="4:4" x14ac:dyDescent="0.3">
      <c r="D4721"/>
    </row>
    <row r="4722" spans="4:4" x14ac:dyDescent="0.3">
      <c r="D4722"/>
    </row>
    <row r="4723" spans="4:4" x14ac:dyDescent="0.3">
      <c r="D4723"/>
    </row>
    <row r="4724" spans="4:4" x14ac:dyDescent="0.3">
      <c r="D4724"/>
    </row>
    <row r="4725" spans="4:4" x14ac:dyDescent="0.3">
      <c r="D4725"/>
    </row>
    <row r="4726" spans="4:4" x14ac:dyDescent="0.3">
      <c r="D4726"/>
    </row>
    <row r="4727" spans="4:4" x14ac:dyDescent="0.3">
      <c r="D4727"/>
    </row>
    <row r="4728" spans="4:4" x14ac:dyDescent="0.3">
      <c r="D4728"/>
    </row>
    <row r="4729" spans="4:4" x14ac:dyDescent="0.3">
      <c r="D4729"/>
    </row>
    <row r="4730" spans="4:4" x14ac:dyDescent="0.3">
      <c r="D4730"/>
    </row>
    <row r="4731" spans="4:4" x14ac:dyDescent="0.3">
      <c r="D4731"/>
    </row>
    <row r="4732" spans="4:4" x14ac:dyDescent="0.3">
      <c r="D4732"/>
    </row>
    <row r="4733" spans="4:4" x14ac:dyDescent="0.3">
      <c r="D4733"/>
    </row>
    <row r="4734" spans="4:4" x14ac:dyDescent="0.3">
      <c r="D4734"/>
    </row>
    <row r="4735" spans="4:4" x14ac:dyDescent="0.3">
      <c r="D4735"/>
    </row>
    <row r="4736" spans="4:4" x14ac:dyDescent="0.3">
      <c r="D4736"/>
    </row>
    <row r="4737" spans="4:4" x14ac:dyDescent="0.3">
      <c r="D4737"/>
    </row>
    <row r="4738" spans="4:4" x14ac:dyDescent="0.3">
      <c r="D4738"/>
    </row>
    <row r="4739" spans="4:4" x14ac:dyDescent="0.3">
      <c r="D4739"/>
    </row>
    <row r="4740" spans="4:4" x14ac:dyDescent="0.3">
      <c r="D4740"/>
    </row>
    <row r="4741" spans="4:4" x14ac:dyDescent="0.3">
      <c r="D4741"/>
    </row>
    <row r="4742" spans="4:4" x14ac:dyDescent="0.3">
      <c r="D4742"/>
    </row>
    <row r="4743" spans="4:4" x14ac:dyDescent="0.3">
      <c r="D4743"/>
    </row>
    <row r="4744" spans="4:4" x14ac:dyDescent="0.3">
      <c r="D4744"/>
    </row>
    <row r="4745" spans="4:4" x14ac:dyDescent="0.3">
      <c r="D4745"/>
    </row>
    <row r="4746" spans="4:4" x14ac:dyDescent="0.3">
      <c r="D4746"/>
    </row>
    <row r="4747" spans="4:4" x14ac:dyDescent="0.3">
      <c r="D4747"/>
    </row>
    <row r="4748" spans="4:4" x14ac:dyDescent="0.3">
      <c r="D4748"/>
    </row>
    <row r="4749" spans="4:4" x14ac:dyDescent="0.3">
      <c r="D4749"/>
    </row>
    <row r="4750" spans="4:4" x14ac:dyDescent="0.3">
      <c r="D4750"/>
    </row>
    <row r="4751" spans="4:4" x14ac:dyDescent="0.3">
      <c r="D4751"/>
    </row>
    <row r="4752" spans="4:4" x14ac:dyDescent="0.3">
      <c r="D4752"/>
    </row>
    <row r="4753" spans="4:4" x14ac:dyDescent="0.3">
      <c r="D4753"/>
    </row>
    <row r="4754" spans="4:4" x14ac:dyDescent="0.3">
      <c r="D4754"/>
    </row>
    <row r="4755" spans="4:4" x14ac:dyDescent="0.3">
      <c r="D4755"/>
    </row>
    <row r="4756" spans="4:4" x14ac:dyDescent="0.3">
      <c r="D4756"/>
    </row>
    <row r="4757" spans="4:4" x14ac:dyDescent="0.3">
      <c r="D4757"/>
    </row>
    <row r="4758" spans="4:4" x14ac:dyDescent="0.3">
      <c r="D4758"/>
    </row>
    <row r="4759" spans="4:4" x14ac:dyDescent="0.3">
      <c r="D4759"/>
    </row>
    <row r="4760" spans="4:4" x14ac:dyDescent="0.3">
      <c r="D4760"/>
    </row>
    <row r="4761" spans="4:4" x14ac:dyDescent="0.3">
      <c r="D4761"/>
    </row>
    <row r="4762" spans="4:4" x14ac:dyDescent="0.3">
      <c r="D4762"/>
    </row>
    <row r="4763" spans="4:4" x14ac:dyDescent="0.3">
      <c r="D4763"/>
    </row>
    <row r="4764" spans="4:4" x14ac:dyDescent="0.3">
      <c r="D4764"/>
    </row>
    <row r="4765" spans="4:4" x14ac:dyDescent="0.3">
      <c r="D4765"/>
    </row>
    <row r="4766" spans="4:4" x14ac:dyDescent="0.3">
      <c r="D4766"/>
    </row>
    <row r="4767" spans="4:4" x14ac:dyDescent="0.3">
      <c r="D4767"/>
    </row>
    <row r="4768" spans="4:4" x14ac:dyDescent="0.3">
      <c r="D4768"/>
    </row>
    <row r="4769" spans="4:4" x14ac:dyDescent="0.3">
      <c r="D4769"/>
    </row>
    <row r="4770" spans="4:4" x14ac:dyDescent="0.3">
      <c r="D4770"/>
    </row>
    <row r="4771" spans="4:4" x14ac:dyDescent="0.3">
      <c r="D4771"/>
    </row>
    <row r="4772" spans="4:4" x14ac:dyDescent="0.3">
      <c r="D4772"/>
    </row>
    <row r="4773" spans="4:4" x14ac:dyDescent="0.3">
      <c r="D4773"/>
    </row>
    <row r="4774" spans="4:4" x14ac:dyDescent="0.3">
      <c r="D4774"/>
    </row>
    <row r="4775" spans="4:4" x14ac:dyDescent="0.3">
      <c r="D4775"/>
    </row>
    <row r="4776" spans="4:4" x14ac:dyDescent="0.3">
      <c r="D4776"/>
    </row>
    <row r="4777" spans="4:4" x14ac:dyDescent="0.3">
      <c r="D4777"/>
    </row>
    <row r="4778" spans="4:4" x14ac:dyDescent="0.3">
      <c r="D4778"/>
    </row>
    <row r="4779" spans="4:4" x14ac:dyDescent="0.3">
      <c r="D4779"/>
    </row>
    <row r="4780" spans="4:4" x14ac:dyDescent="0.3">
      <c r="D4780"/>
    </row>
    <row r="4781" spans="4:4" x14ac:dyDescent="0.3">
      <c r="D4781"/>
    </row>
    <row r="4782" spans="4:4" x14ac:dyDescent="0.3">
      <c r="D4782"/>
    </row>
    <row r="4783" spans="4:4" x14ac:dyDescent="0.3">
      <c r="D4783"/>
    </row>
    <row r="4784" spans="4:4" x14ac:dyDescent="0.3">
      <c r="D4784"/>
    </row>
    <row r="4785" spans="4:4" x14ac:dyDescent="0.3">
      <c r="D4785"/>
    </row>
    <row r="4786" spans="4:4" x14ac:dyDescent="0.3">
      <c r="D4786"/>
    </row>
    <row r="4787" spans="4:4" x14ac:dyDescent="0.3">
      <c r="D4787"/>
    </row>
    <row r="4788" spans="4:4" x14ac:dyDescent="0.3">
      <c r="D4788"/>
    </row>
    <row r="4789" spans="4:4" x14ac:dyDescent="0.3">
      <c r="D4789"/>
    </row>
    <row r="4790" spans="4:4" x14ac:dyDescent="0.3">
      <c r="D4790"/>
    </row>
    <row r="4791" spans="4:4" x14ac:dyDescent="0.3">
      <c r="D4791"/>
    </row>
    <row r="4792" spans="4:4" x14ac:dyDescent="0.3">
      <c r="D4792"/>
    </row>
    <row r="4793" spans="4:4" x14ac:dyDescent="0.3">
      <c r="D4793"/>
    </row>
    <row r="4794" spans="4:4" x14ac:dyDescent="0.3">
      <c r="D4794"/>
    </row>
    <row r="4795" spans="4:4" x14ac:dyDescent="0.3">
      <c r="D4795"/>
    </row>
    <row r="4796" spans="4:4" x14ac:dyDescent="0.3">
      <c r="D4796"/>
    </row>
    <row r="4797" spans="4:4" x14ac:dyDescent="0.3">
      <c r="D4797"/>
    </row>
    <row r="4798" spans="4:4" x14ac:dyDescent="0.3">
      <c r="D4798"/>
    </row>
    <row r="4799" spans="4:4" x14ac:dyDescent="0.3">
      <c r="D4799"/>
    </row>
    <row r="4800" spans="4:4" x14ac:dyDescent="0.3">
      <c r="D4800"/>
    </row>
    <row r="4801" spans="4:4" x14ac:dyDescent="0.3">
      <c r="D4801"/>
    </row>
    <row r="4802" spans="4:4" x14ac:dyDescent="0.3">
      <c r="D4802"/>
    </row>
    <row r="4803" spans="4:4" x14ac:dyDescent="0.3">
      <c r="D4803"/>
    </row>
    <row r="4804" spans="4:4" x14ac:dyDescent="0.3">
      <c r="D4804"/>
    </row>
    <row r="4805" spans="4:4" x14ac:dyDescent="0.3">
      <c r="D4805"/>
    </row>
    <row r="4806" spans="4:4" x14ac:dyDescent="0.3">
      <c r="D4806"/>
    </row>
    <row r="4807" spans="4:4" x14ac:dyDescent="0.3">
      <c r="D4807"/>
    </row>
    <row r="4808" spans="4:4" x14ac:dyDescent="0.3">
      <c r="D4808"/>
    </row>
    <row r="4809" spans="4:4" x14ac:dyDescent="0.3">
      <c r="D4809"/>
    </row>
    <row r="4810" spans="4:4" x14ac:dyDescent="0.3">
      <c r="D4810"/>
    </row>
    <row r="4811" spans="4:4" x14ac:dyDescent="0.3">
      <c r="D4811"/>
    </row>
    <row r="4812" spans="4:4" x14ac:dyDescent="0.3">
      <c r="D4812"/>
    </row>
    <row r="4813" spans="4:4" x14ac:dyDescent="0.3">
      <c r="D4813"/>
    </row>
    <row r="4814" spans="4:4" x14ac:dyDescent="0.3">
      <c r="D4814"/>
    </row>
    <row r="4815" spans="4:4" x14ac:dyDescent="0.3">
      <c r="D4815"/>
    </row>
    <row r="4816" spans="4:4" x14ac:dyDescent="0.3">
      <c r="D4816"/>
    </row>
    <row r="4817" spans="4:4" x14ac:dyDescent="0.3">
      <c r="D4817"/>
    </row>
    <row r="4818" spans="4:4" x14ac:dyDescent="0.3">
      <c r="D4818"/>
    </row>
    <row r="4819" spans="4:4" x14ac:dyDescent="0.3">
      <c r="D4819"/>
    </row>
    <row r="4820" spans="4:4" x14ac:dyDescent="0.3">
      <c r="D4820"/>
    </row>
    <row r="4821" spans="4:4" x14ac:dyDescent="0.3">
      <c r="D4821"/>
    </row>
    <row r="4822" spans="4:4" x14ac:dyDescent="0.3">
      <c r="D4822"/>
    </row>
    <row r="4823" spans="4:4" x14ac:dyDescent="0.3">
      <c r="D4823"/>
    </row>
    <row r="4824" spans="4:4" x14ac:dyDescent="0.3">
      <c r="D4824"/>
    </row>
    <row r="4825" spans="4:4" x14ac:dyDescent="0.3">
      <c r="D4825"/>
    </row>
    <row r="4826" spans="4:4" x14ac:dyDescent="0.3">
      <c r="D4826"/>
    </row>
    <row r="4827" spans="4:4" x14ac:dyDescent="0.3">
      <c r="D4827"/>
    </row>
    <row r="4828" spans="4:4" x14ac:dyDescent="0.3">
      <c r="D4828"/>
    </row>
    <row r="4829" spans="4:4" x14ac:dyDescent="0.3">
      <c r="D4829"/>
    </row>
    <row r="4830" spans="4:4" x14ac:dyDescent="0.3">
      <c r="D4830"/>
    </row>
    <row r="4831" spans="4:4" x14ac:dyDescent="0.3">
      <c r="D4831"/>
    </row>
    <row r="4832" spans="4:4" x14ac:dyDescent="0.3">
      <c r="D4832"/>
    </row>
    <row r="4833" spans="4:4" x14ac:dyDescent="0.3">
      <c r="D4833"/>
    </row>
    <row r="4834" spans="4:4" x14ac:dyDescent="0.3">
      <c r="D4834"/>
    </row>
    <row r="4835" spans="4:4" x14ac:dyDescent="0.3">
      <c r="D4835"/>
    </row>
    <row r="4836" spans="4:4" x14ac:dyDescent="0.3">
      <c r="D4836"/>
    </row>
    <row r="4837" spans="4:4" x14ac:dyDescent="0.3">
      <c r="D4837"/>
    </row>
    <row r="4838" spans="4:4" x14ac:dyDescent="0.3">
      <c r="D4838"/>
    </row>
    <row r="4839" spans="4:4" x14ac:dyDescent="0.3">
      <c r="D4839"/>
    </row>
    <row r="4840" spans="4:4" x14ac:dyDescent="0.3">
      <c r="D4840"/>
    </row>
    <row r="4841" spans="4:4" x14ac:dyDescent="0.3">
      <c r="D4841"/>
    </row>
    <row r="4842" spans="4:4" x14ac:dyDescent="0.3">
      <c r="D4842"/>
    </row>
    <row r="4843" spans="4:4" x14ac:dyDescent="0.3">
      <c r="D4843"/>
    </row>
    <row r="4844" spans="4:4" x14ac:dyDescent="0.3">
      <c r="D4844"/>
    </row>
    <row r="4845" spans="4:4" x14ac:dyDescent="0.3">
      <c r="D4845"/>
    </row>
    <row r="4846" spans="4:4" x14ac:dyDescent="0.3">
      <c r="D4846"/>
    </row>
    <row r="4847" spans="4:4" x14ac:dyDescent="0.3">
      <c r="D4847"/>
    </row>
    <row r="4848" spans="4:4" x14ac:dyDescent="0.3">
      <c r="D4848"/>
    </row>
    <row r="4849" spans="4:4" x14ac:dyDescent="0.3">
      <c r="D4849"/>
    </row>
    <row r="4850" spans="4:4" x14ac:dyDescent="0.3">
      <c r="D4850"/>
    </row>
    <row r="4851" spans="4:4" x14ac:dyDescent="0.3">
      <c r="D4851"/>
    </row>
    <row r="4852" spans="4:4" x14ac:dyDescent="0.3">
      <c r="D4852"/>
    </row>
    <row r="4853" spans="4:4" x14ac:dyDescent="0.3">
      <c r="D4853"/>
    </row>
    <row r="4854" spans="4:4" x14ac:dyDescent="0.3">
      <c r="D4854"/>
    </row>
    <row r="4855" spans="4:4" x14ac:dyDescent="0.3">
      <c r="D4855"/>
    </row>
    <row r="4856" spans="4:4" x14ac:dyDescent="0.3">
      <c r="D4856"/>
    </row>
    <row r="4857" spans="4:4" x14ac:dyDescent="0.3">
      <c r="D4857"/>
    </row>
    <row r="4858" spans="4:4" x14ac:dyDescent="0.3">
      <c r="D4858"/>
    </row>
    <row r="4859" spans="4:4" x14ac:dyDescent="0.3">
      <c r="D4859"/>
    </row>
    <row r="4860" spans="4:4" x14ac:dyDescent="0.3">
      <c r="D4860"/>
    </row>
    <row r="4861" spans="4:4" x14ac:dyDescent="0.3">
      <c r="D4861"/>
    </row>
    <row r="4862" spans="4:4" x14ac:dyDescent="0.3">
      <c r="D4862"/>
    </row>
    <row r="4863" spans="4:4" x14ac:dyDescent="0.3">
      <c r="D4863"/>
    </row>
    <row r="4864" spans="4:4" x14ac:dyDescent="0.3">
      <c r="D4864"/>
    </row>
    <row r="4865" spans="4:4" x14ac:dyDescent="0.3">
      <c r="D4865"/>
    </row>
    <row r="4866" spans="4:4" x14ac:dyDescent="0.3">
      <c r="D4866"/>
    </row>
    <row r="4867" spans="4:4" x14ac:dyDescent="0.3">
      <c r="D4867"/>
    </row>
    <row r="4868" spans="4:4" x14ac:dyDescent="0.3">
      <c r="D4868"/>
    </row>
    <row r="4869" spans="4:4" x14ac:dyDescent="0.3">
      <c r="D4869"/>
    </row>
    <row r="4870" spans="4:4" x14ac:dyDescent="0.3">
      <c r="D4870"/>
    </row>
    <row r="4871" spans="4:4" x14ac:dyDescent="0.3">
      <c r="D4871"/>
    </row>
    <row r="4872" spans="4:4" x14ac:dyDescent="0.3">
      <c r="D4872"/>
    </row>
    <row r="4873" spans="4:4" x14ac:dyDescent="0.3">
      <c r="D4873"/>
    </row>
    <row r="4874" spans="4:4" x14ac:dyDescent="0.3">
      <c r="D4874"/>
    </row>
    <row r="4875" spans="4:4" x14ac:dyDescent="0.3">
      <c r="D4875"/>
    </row>
    <row r="4876" spans="4:4" x14ac:dyDescent="0.3">
      <c r="D4876"/>
    </row>
    <row r="4877" spans="4:4" x14ac:dyDescent="0.3">
      <c r="D4877"/>
    </row>
    <row r="4878" spans="4:4" x14ac:dyDescent="0.3">
      <c r="D4878"/>
    </row>
    <row r="4879" spans="4:4" x14ac:dyDescent="0.3">
      <c r="D4879"/>
    </row>
    <row r="4880" spans="4:4" x14ac:dyDescent="0.3">
      <c r="D4880"/>
    </row>
    <row r="4881" spans="4:4" x14ac:dyDescent="0.3">
      <c r="D4881"/>
    </row>
    <row r="4882" spans="4:4" x14ac:dyDescent="0.3">
      <c r="D4882"/>
    </row>
    <row r="4883" spans="4:4" x14ac:dyDescent="0.3">
      <c r="D4883"/>
    </row>
    <row r="4884" spans="4:4" x14ac:dyDescent="0.3">
      <c r="D4884"/>
    </row>
    <row r="4885" spans="4:4" x14ac:dyDescent="0.3">
      <c r="D4885"/>
    </row>
    <row r="4886" spans="4:4" x14ac:dyDescent="0.3">
      <c r="D4886"/>
    </row>
    <row r="4887" spans="4:4" x14ac:dyDescent="0.3">
      <c r="D4887"/>
    </row>
    <row r="4888" spans="4:4" x14ac:dyDescent="0.3">
      <c r="D4888"/>
    </row>
    <row r="4889" spans="4:4" x14ac:dyDescent="0.3">
      <c r="D4889"/>
    </row>
    <row r="4890" spans="4:4" x14ac:dyDescent="0.3">
      <c r="D4890"/>
    </row>
    <row r="4891" spans="4:4" x14ac:dyDescent="0.3">
      <c r="D4891"/>
    </row>
    <row r="4892" spans="4:4" x14ac:dyDescent="0.3">
      <c r="D4892"/>
    </row>
    <row r="4893" spans="4:4" x14ac:dyDescent="0.3">
      <c r="D4893"/>
    </row>
    <row r="4894" spans="4:4" x14ac:dyDescent="0.3">
      <c r="D4894"/>
    </row>
    <row r="4895" spans="4:4" x14ac:dyDescent="0.3">
      <c r="D4895"/>
    </row>
    <row r="4896" spans="4:4" x14ac:dyDescent="0.3">
      <c r="D4896"/>
    </row>
    <row r="4897" spans="4:4" x14ac:dyDescent="0.3">
      <c r="D4897"/>
    </row>
    <row r="4898" spans="4:4" x14ac:dyDescent="0.3">
      <c r="D4898"/>
    </row>
    <row r="4899" spans="4:4" x14ac:dyDescent="0.3">
      <c r="D4899"/>
    </row>
    <row r="4900" spans="4:4" x14ac:dyDescent="0.3">
      <c r="D4900"/>
    </row>
    <row r="4901" spans="4:4" x14ac:dyDescent="0.3">
      <c r="D4901"/>
    </row>
    <row r="4902" spans="4:4" x14ac:dyDescent="0.3">
      <c r="D4902"/>
    </row>
    <row r="4903" spans="4:4" x14ac:dyDescent="0.3">
      <c r="D4903"/>
    </row>
    <row r="4904" spans="4:4" x14ac:dyDescent="0.3">
      <c r="D4904"/>
    </row>
    <row r="4905" spans="4:4" x14ac:dyDescent="0.3">
      <c r="D4905"/>
    </row>
    <row r="4906" spans="4:4" x14ac:dyDescent="0.3">
      <c r="D4906"/>
    </row>
    <row r="4907" spans="4:4" x14ac:dyDescent="0.3">
      <c r="D4907"/>
    </row>
    <row r="4908" spans="4:4" x14ac:dyDescent="0.3">
      <c r="D4908"/>
    </row>
    <row r="4909" spans="4:4" x14ac:dyDescent="0.3">
      <c r="D4909"/>
    </row>
    <row r="4910" spans="4:4" x14ac:dyDescent="0.3">
      <c r="D4910"/>
    </row>
    <row r="4911" spans="4:4" x14ac:dyDescent="0.3">
      <c r="D4911"/>
    </row>
    <row r="4912" spans="4:4" x14ac:dyDescent="0.3">
      <c r="D4912"/>
    </row>
    <row r="4913" spans="4:4" x14ac:dyDescent="0.3">
      <c r="D4913"/>
    </row>
    <row r="4914" spans="4:4" x14ac:dyDescent="0.3">
      <c r="D4914"/>
    </row>
    <row r="4915" spans="4:4" x14ac:dyDescent="0.3">
      <c r="D4915"/>
    </row>
    <row r="4916" spans="4:4" x14ac:dyDescent="0.3">
      <c r="D4916"/>
    </row>
    <row r="4917" spans="4:4" x14ac:dyDescent="0.3">
      <c r="D4917"/>
    </row>
    <row r="4918" spans="4:4" x14ac:dyDescent="0.3">
      <c r="D4918"/>
    </row>
    <row r="4919" spans="4:4" x14ac:dyDescent="0.3">
      <c r="D4919"/>
    </row>
    <row r="4920" spans="4:4" x14ac:dyDescent="0.3">
      <c r="D4920"/>
    </row>
    <row r="4921" spans="4:4" x14ac:dyDescent="0.3">
      <c r="D4921"/>
    </row>
    <row r="4922" spans="4:4" x14ac:dyDescent="0.3">
      <c r="D4922"/>
    </row>
    <row r="4923" spans="4:4" x14ac:dyDescent="0.3">
      <c r="D4923"/>
    </row>
    <row r="4924" spans="4:4" x14ac:dyDescent="0.3">
      <c r="D4924"/>
    </row>
    <row r="4925" spans="4:4" x14ac:dyDescent="0.3">
      <c r="D4925"/>
    </row>
    <row r="4926" spans="4:4" x14ac:dyDescent="0.3">
      <c r="D4926"/>
    </row>
    <row r="4927" spans="4:4" x14ac:dyDescent="0.3">
      <c r="D4927"/>
    </row>
    <row r="4928" spans="4:4" x14ac:dyDescent="0.3">
      <c r="D4928"/>
    </row>
    <row r="4929" spans="4:4" x14ac:dyDescent="0.3">
      <c r="D4929"/>
    </row>
    <row r="4930" spans="4:4" x14ac:dyDescent="0.3">
      <c r="D4930"/>
    </row>
    <row r="4931" spans="4:4" x14ac:dyDescent="0.3">
      <c r="D4931"/>
    </row>
    <row r="4932" spans="4:4" x14ac:dyDescent="0.3">
      <c r="D4932"/>
    </row>
    <row r="4933" spans="4:4" x14ac:dyDescent="0.3">
      <c r="D4933"/>
    </row>
    <row r="4934" spans="4:4" x14ac:dyDescent="0.3">
      <c r="D4934"/>
    </row>
    <row r="4935" spans="4:4" x14ac:dyDescent="0.3">
      <c r="D4935"/>
    </row>
    <row r="4936" spans="4:4" x14ac:dyDescent="0.3">
      <c r="D4936"/>
    </row>
    <row r="4937" spans="4:4" x14ac:dyDescent="0.3">
      <c r="D4937"/>
    </row>
    <row r="4938" spans="4:4" x14ac:dyDescent="0.3">
      <c r="D4938"/>
    </row>
    <row r="4939" spans="4:4" x14ac:dyDescent="0.3">
      <c r="D4939"/>
    </row>
    <row r="4940" spans="4:4" x14ac:dyDescent="0.3">
      <c r="D4940"/>
    </row>
    <row r="4941" spans="4:4" x14ac:dyDescent="0.3">
      <c r="D4941"/>
    </row>
    <row r="4942" spans="4:4" x14ac:dyDescent="0.3">
      <c r="D4942"/>
    </row>
    <row r="4943" spans="4:4" x14ac:dyDescent="0.3">
      <c r="D4943"/>
    </row>
    <row r="4944" spans="4:4" x14ac:dyDescent="0.3">
      <c r="D4944"/>
    </row>
    <row r="4945" spans="4:4" x14ac:dyDescent="0.3">
      <c r="D4945"/>
    </row>
    <row r="4946" spans="4:4" x14ac:dyDescent="0.3">
      <c r="D4946"/>
    </row>
    <row r="4947" spans="4:4" x14ac:dyDescent="0.3">
      <c r="D4947"/>
    </row>
    <row r="4948" spans="4:4" x14ac:dyDescent="0.3">
      <c r="D4948"/>
    </row>
    <row r="4949" spans="4:4" x14ac:dyDescent="0.3">
      <c r="D4949"/>
    </row>
    <row r="4950" spans="4:4" x14ac:dyDescent="0.3">
      <c r="D4950"/>
    </row>
    <row r="4951" spans="4:4" x14ac:dyDescent="0.3">
      <c r="D4951"/>
    </row>
    <row r="4952" spans="4:4" x14ac:dyDescent="0.3">
      <c r="D4952"/>
    </row>
    <row r="4953" spans="4:4" x14ac:dyDescent="0.3">
      <c r="D4953"/>
    </row>
    <row r="4954" spans="4:4" x14ac:dyDescent="0.3">
      <c r="D4954"/>
    </row>
    <row r="4955" spans="4:4" x14ac:dyDescent="0.3">
      <c r="D4955"/>
    </row>
    <row r="4956" spans="4:4" x14ac:dyDescent="0.3">
      <c r="D4956"/>
    </row>
    <row r="4957" spans="4:4" x14ac:dyDescent="0.3">
      <c r="D4957"/>
    </row>
    <row r="4958" spans="4:4" x14ac:dyDescent="0.3">
      <c r="D4958"/>
    </row>
    <row r="4959" spans="4:4" x14ac:dyDescent="0.3">
      <c r="D4959"/>
    </row>
    <row r="4960" spans="4:4" x14ac:dyDescent="0.3">
      <c r="D4960"/>
    </row>
    <row r="4961" spans="4:4" x14ac:dyDescent="0.3">
      <c r="D4961"/>
    </row>
    <row r="4962" spans="4:4" x14ac:dyDescent="0.3">
      <c r="D4962"/>
    </row>
    <row r="4963" spans="4:4" x14ac:dyDescent="0.3">
      <c r="D4963"/>
    </row>
    <row r="4964" spans="4:4" x14ac:dyDescent="0.3">
      <c r="D4964"/>
    </row>
    <row r="4965" spans="4:4" x14ac:dyDescent="0.3">
      <c r="D4965"/>
    </row>
    <row r="4966" spans="4:4" x14ac:dyDescent="0.3">
      <c r="D4966"/>
    </row>
    <row r="4967" spans="4:4" x14ac:dyDescent="0.3">
      <c r="D4967"/>
    </row>
    <row r="4968" spans="4:4" x14ac:dyDescent="0.3">
      <c r="D4968"/>
    </row>
    <row r="4969" spans="4:4" x14ac:dyDescent="0.3">
      <c r="D4969"/>
    </row>
    <row r="4970" spans="4:4" x14ac:dyDescent="0.3">
      <c r="D4970"/>
    </row>
    <row r="4971" spans="4:4" x14ac:dyDescent="0.3">
      <c r="D4971"/>
    </row>
    <row r="4972" spans="4:4" x14ac:dyDescent="0.3">
      <c r="D4972"/>
    </row>
    <row r="4973" spans="4:4" x14ac:dyDescent="0.3">
      <c r="D4973"/>
    </row>
    <row r="4974" spans="4:4" x14ac:dyDescent="0.3">
      <c r="D4974"/>
    </row>
    <row r="4975" spans="4:4" x14ac:dyDescent="0.3">
      <c r="D4975"/>
    </row>
    <row r="4976" spans="4:4" x14ac:dyDescent="0.3">
      <c r="D4976"/>
    </row>
    <row r="4977" spans="4:4" x14ac:dyDescent="0.3">
      <c r="D4977"/>
    </row>
    <row r="4978" spans="4:4" x14ac:dyDescent="0.3">
      <c r="D4978"/>
    </row>
    <row r="4979" spans="4:4" x14ac:dyDescent="0.3">
      <c r="D4979"/>
    </row>
    <row r="4980" spans="4:4" x14ac:dyDescent="0.3">
      <c r="D4980"/>
    </row>
    <row r="4981" spans="4:4" x14ac:dyDescent="0.3">
      <c r="D4981"/>
    </row>
    <row r="4982" spans="4:4" x14ac:dyDescent="0.3">
      <c r="D4982"/>
    </row>
    <row r="4983" spans="4:4" x14ac:dyDescent="0.3">
      <c r="D4983"/>
    </row>
    <row r="4984" spans="4:4" x14ac:dyDescent="0.3">
      <c r="D4984"/>
    </row>
    <row r="4985" spans="4:4" x14ac:dyDescent="0.3">
      <c r="D4985"/>
    </row>
    <row r="4986" spans="4:4" x14ac:dyDescent="0.3">
      <c r="D4986"/>
    </row>
    <row r="4987" spans="4:4" x14ac:dyDescent="0.3">
      <c r="D4987"/>
    </row>
    <row r="4988" spans="4:4" x14ac:dyDescent="0.3">
      <c r="D4988"/>
    </row>
    <row r="4989" spans="4:4" x14ac:dyDescent="0.3">
      <c r="D4989"/>
    </row>
    <row r="4990" spans="4:4" x14ac:dyDescent="0.3">
      <c r="D4990"/>
    </row>
    <row r="4991" spans="4:4" x14ac:dyDescent="0.3">
      <c r="D4991"/>
    </row>
    <row r="4992" spans="4:4" x14ac:dyDescent="0.3">
      <c r="D4992"/>
    </row>
    <row r="4993" spans="4:4" x14ac:dyDescent="0.3">
      <c r="D4993"/>
    </row>
    <row r="4994" spans="4:4" x14ac:dyDescent="0.3">
      <c r="D4994"/>
    </row>
    <row r="4995" spans="4:4" x14ac:dyDescent="0.3">
      <c r="D4995"/>
    </row>
    <row r="4996" spans="4:4" x14ac:dyDescent="0.3">
      <c r="D4996"/>
    </row>
    <row r="4997" spans="4:4" x14ac:dyDescent="0.3">
      <c r="D4997"/>
    </row>
    <row r="4998" spans="4:4" x14ac:dyDescent="0.3">
      <c r="D4998"/>
    </row>
    <row r="4999" spans="4:4" x14ac:dyDescent="0.3">
      <c r="D4999"/>
    </row>
    <row r="5000" spans="4:4" x14ac:dyDescent="0.3">
      <c r="D5000"/>
    </row>
    <row r="5001" spans="4:4" x14ac:dyDescent="0.3">
      <c r="D5001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C3BE9-327D-4578-AD5B-640E83375486}">
  <sheetPr codeName="Planilha8"/>
  <dimension ref="A1:J2994"/>
  <sheetViews>
    <sheetView workbookViewId="0">
      <selection activeCell="F9" sqref="F9"/>
    </sheetView>
  </sheetViews>
  <sheetFormatPr defaultColWidth="11.109375" defaultRowHeight="14.4" x14ac:dyDescent="0.3"/>
  <cols>
    <col min="2" max="2" width="11" bestFit="1" customWidth="1"/>
    <col min="3" max="3" width="12.33203125" bestFit="1" customWidth="1"/>
    <col min="4" max="4" width="48.109375" customWidth="1"/>
    <col min="5" max="5" width="6.109375" bestFit="1" customWidth="1"/>
    <col min="6" max="6" width="11.88671875" bestFit="1" customWidth="1"/>
    <col min="7" max="7" width="12.44140625" bestFit="1" customWidth="1"/>
    <col min="8" max="8" width="13.21875" bestFit="1" customWidth="1"/>
    <col min="9" max="9" width="13.21875" style="2" bestFit="1" customWidth="1"/>
  </cols>
  <sheetData>
    <row r="1" spans="1:10" x14ac:dyDescent="0.3">
      <c r="A1" t="s">
        <v>14</v>
      </c>
      <c r="B1" t="s">
        <v>0</v>
      </c>
      <c r="C1" t="s">
        <v>1</v>
      </c>
      <c r="D1" t="s">
        <v>2</v>
      </c>
      <c r="E1" t="s">
        <v>4</v>
      </c>
      <c r="F1" t="s">
        <v>3</v>
      </c>
      <c r="G1" t="s">
        <v>11</v>
      </c>
      <c r="H1" t="s">
        <v>13</v>
      </c>
      <c r="I1" t="s">
        <v>5</v>
      </c>
      <c r="J1" t="s">
        <v>7</v>
      </c>
    </row>
    <row r="2" spans="1:10" x14ac:dyDescent="0.3">
      <c r="F2" s="1"/>
      <c r="G2" s="1"/>
    </row>
    <row r="3" spans="1:10" x14ac:dyDescent="0.3">
      <c r="F3" s="1"/>
      <c r="G3" s="1"/>
    </row>
    <row r="4" spans="1:10" x14ac:dyDescent="0.3">
      <c r="F4" s="1"/>
      <c r="G4" s="1"/>
    </row>
    <row r="5" spans="1:10" x14ac:dyDescent="0.3">
      <c r="F5" s="1"/>
      <c r="G5" s="1"/>
    </row>
    <row r="6" spans="1:10" x14ac:dyDescent="0.3">
      <c r="F6" s="1"/>
      <c r="G6" s="1"/>
    </row>
    <row r="7" spans="1:10" x14ac:dyDescent="0.3">
      <c r="F7" s="1"/>
      <c r="G7" s="1"/>
    </row>
    <row r="8" spans="1:10" x14ac:dyDescent="0.3">
      <c r="F8" s="1"/>
      <c r="G8" s="1"/>
    </row>
    <row r="9" spans="1:10" x14ac:dyDescent="0.3">
      <c r="F9" s="1"/>
      <c r="G9" s="1"/>
    </row>
    <row r="10" spans="1:10" x14ac:dyDescent="0.3">
      <c r="F10" s="1"/>
      <c r="G10" s="1"/>
    </row>
    <row r="11" spans="1:10" x14ac:dyDescent="0.3">
      <c r="F11" s="1"/>
      <c r="G11" s="1"/>
    </row>
    <row r="12" spans="1:10" x14ac:dyDescent="0.3">
      <c r="F12" s="1"/>
      <c r="G12" s="1"/>
    </row>
    <row r="13" spans="1:10" x14ac:dyDescent="0.3">
      <c r="F13" s="1"/>
      <c r="G13" s="1"/>
    </row>
    <row r="14" spans="1:10" x14ac:dyDescent="0.3">
      <c r="F14" s="1"/>
      <c r="G14" s="1"/>
    </row>
    <row r="15" spans="1:10" x14ac:dyDescent="0.3">
      <c r="F15" s="1"/>
      <c r="G15" s="1"/>
    </row>
    <row r="16" spans="1:10" x14ac:dyDescent="0.3">
      <c r="F16" s="1"/>
      <c r="G16" s="1"/>
    </row>
    <row r="17" spans="6:7" x14ac:dyDescent="0.3">
      <c r="F17" s="1"/>
      <c r="G17" s="1"/>
    </row>
    <row r="18" spans="6:7" x14ac:dyDescent="0.3">
      <c r="F18" s="1"/>
      <c r="G18" s="1"/>
    </row>
    <row r="19" spans="6:7" x14ac:dyDescent="0.3">
      <c r="F19" s="1"/>
      <c r="G19" s="1"/>
    </row>
    <row r="20" spans="6:7" x14ac:dyDescent="0.3">
      <c r="F20" s="1"/>
      <c r="G20" s="1"/>
    </row>
    <row r="21" spans="6:7" x14ac:dyDescent="0.3">
      <c r="F21" s="1"/>
      <c r="G21" s="1"/>
    </row>
    <row r="22" spans="6:7" x14ac:dyDescent="0.3">
      <c r="F22" s="1"/>
      <c r="G22" s="1"/>
    </row>
    <row r="23" spans="6:7" x14ac:dyDescent="0.3">
      <c r="F23" s="1"/>
      <c r="G23" s="1"/>
    </row>
    <row r="24" spans="6:7" x14ac:dyDescent="0.3">
      <c r="F24" s="1"/>
      <c r="G24" s="1"/>
    </row>
    <row r="25" spans="6:7" x14ac:dyDescent="0.3">
      <c r="F25" s="1"/>
      <c r="G25" s="1"/>
    </row>
    <row r="26" spans="6:7" x14ac:dyDescent="0.3">
      <c r="F26" s="1"/>
      <c r="G26" s="1"/>
    </row>
    <row r="27" spans="6:7" x14ac:dyDescent="0.3">
      <c r="F27" s="1"/>
      <c r="G27" s="1"/>
    </row>
    <row r="28" spans="6:7" x14ac:dyDescent="0.3">
      <c r="F28" s="1"/>
      <c r="G28" s="1"/>
    </row>
    <row r="29" spans="6:7" x14ac:dyDescent="0.3">
      <c r="F29" s="1"/>
      <c r="G29" s="1"/>
    </row>
    <row r="30" spans="6:7" x14ac:dyDescent="0.3">
      <c r="F30" s="1"/>
      <c r="G30" s="1"/>
    </row>
    <row r="31" spans="6:7" x14ac:dyDescent="0.3">
      <c r="F31" s="1"/>
      <c r="G31" s="1"/>
    </row>
    <row r="32" spans="6:7" x14ac:dyDescent="0.3">
      <c r="F32" s="1"/>
      <c r="G32" s="1"/>
    </row>
    <row r="33" spans="6:7" x14ac:dyDescent="0.3">
      <c r="F33" s="1"/>
      <c r="G33" s="1"/>
    </row>
    <row r="34" spans="6:7" x14ac:dyDescent="0.3">
      <c r="F34" s="1"/>
      <c r="G34" s="1"/>
    </row>
    <row r="35" spans="6:7" x14ac:dyDescent="0.3">
      <c r="F35" s="1"/>
      <c r="G35" s="1"/>
    </row>
    <row r="36" spans="6:7" x14ac:dyDescent="0.3">
      <c r="F36" s="1"/>
      <c r="G36" s="1"/>
    </row>
    <row r="37" spans="6:7" x14ac:dyDescent="0.3">
      <c r="F37" s="1"/>
      <c r="G37" s="1"/>
    </row>
    <row r="38" spans="6:7" x14ac:dyDescent="0.3">
      <c r="F38" s="1"/>
      <c r="G38" s="1"/>
    </row>
    <row r="39" spans="6:7" x14ac:dyDescent="0.3">
      <c r="F39" s="1"/>
      <c r="G39" s="1"/>
    </row>
    <row r="40" spans="6:7" x14ac:dyDescent="0.3">
      <c r="F40" s="1"/>
      <c r="G40" s="1"/>
    </row>
    <row r="41" spans="6:7" x14ac:dyDescent="0.3">
      <c r="F41" s="1"/>
      <c r="G41" s="1"/>
    </row>
    <row r="42" spans="6:7" x14ac:dyDescent="0.3">
      <c r="F42" s="1"/>
      <c r="G42" s="1"/>
    </row>
    <row r="43" spans="6:7" x14ac:dyDescent="0.3">
      <c r="F43" s="1"/>
      <c r="G43" s="1"/>
    </row>
    <row r="44" spans="6:7" x14ac:dyDescent="0.3">
      <c r="F44" s="1"/>
      <c r="G44" s="1"/>
    </row>
    <row r="45" spans="6:7" x14ac:dyDescent="0.3">
      <c r="F45" s="1"/>
      <c r="G45" s="1"/>
    </row>
    <row r="46" spans="6:7" x14ac:dyDescent="0.3">
      <c r="F46" s="1"/>
      <c r="G46" s="1"/>
    </row>
    <row r="47" spans="6:7" x14ac:dyDescent="0.3">
      <c r="F47" s="1"/>
      <c r="G47" s="1"/>
    </row>
    <row r="48" spans="6:7" x14ac:dyDescent="0.3">
      <c r="F48" s="1"/>
      <c r="G48" s="1"/>
    </row>
    <row r="49" spans="3:7" x14ac:dyDescent="0.3">
      <c r="F49" s="1"/>
      <c r="G49" s="1"/>
    </row>
    <row r="50" spans="3:7" x14ac:dyDescent="0.3">
      <c r="F50" s="1"/>
      <c r="G50" s="1"/>
    </row>
    <row r="51" spans="3:7" x14ac:dyDescent="0.3">
      <c r="F51" s="1"/>
      <c r="G51" s="1"/>
    </row>
    <row r="52" spans="3:7" x14ac:dyDescent="0.3">
      <c r="F52" s="1"/>
      <c r="G52" s="1"/>
    </row>
    <row r="53" spans="3:7" x14ac:dyDescent="0.3">
      <c r="F53" s="1"/>
      <c r="G53" s="1"/>
    </row>
    <row r="54" spans="3:7" x14ac:dyDescent="0.3">
      <c r="F54" s="1"/>
      <c r="G54" s="1"/>
    </row>
    <row r="55" spans="3:7" x14ac:dyDescent="0.3">
      <c r="F55" s="1"/>
      <c r="G55" s="1"/>
    </row>
    <row r="56" spans="3:7" x14ac:dyDescent="0.3">
      <c r="C56" t="str">
        <f>IFERROR(IF(B56="","",VLOOKUP(B56,CadProd!$A:$B,2,0)),"")</f>
        <v/>
      </c>
      <c r="D56" t="str">
        <f>IFERROR(IF(B56="","",VLOOKUP(B56,CadProd!$A:$C,3,0)),"")</f>
        <v/>
      </c>
    </row>
    <row r="57" spans="3:7" x14ac:dyDescent="0.3">
      <c r="C57" t="str">
        <f>IFERROR(IF(B57="","",VLOOKUP(B57,CadProd!$A:$B,2,0)),"")</f>
        <v/>
      </c>
      <c r="D57" t="str">
        <f>IFERROR(IF(B57="","",VLOOKUP(B57,CadProd!$A:$C,3,0)),"")</f>
        <v/>
      </c>
    </row>
    <row r="58" spans="3:7" x14ac:dyDescent="0.3">
      <c r="C58" t="str">
        <f>IFERROR(IF(B58="","",VLOOKUP(B58,CadProd!$A:$B,2,0)),"")</f>
        <v/>
      </c>
      <c r="D58" t="str">
        <f>IFERROR(IF(B58="","",VLOOKUP(B58,CadProd!$A:$C,3,0)),"")</f>
        <v/>
      </c>
    </row>
    <row r="59" spans="3:7" x14ac:dyDescent="0.3">
      <c r="C59" t="str">
        <f>IFERROR(IF(B59="","",VLOOKUP(B59,CadProd!$A:$B,2,0)),"")</f>
        <v/>
      </c>
      <c r="D59" t="str">
        <f>IFERROR(IF(B59="","",VLOOKUP(B59,CadProd!$A:$C,3,0)),"")</f>
        <v/>
      </c>
    </row>
    <row r="60" spans="3:7" x14ac:dyDescent="0.3">
      <c r="C60" t="str">
        <f>IFERROR(IF(B60="","",VLOOKUP(B60,CadProd!$A:$B,2,0)),"")</f>
        <v/>
      </c>
      <c r="D60" t="str">
        <f>IFERROR(IF(B60="","",VLOOKUP(B60,CadProd!$A:$C,3,0)),"")</f>
        <v/>
      </c>
    </row>
    <row r="61" spans="3:7" x14ac:dyDescent="0.3">
      <c r="C61" t="str">
        <f>IFERROR(IF(B61="","",VLOOKUP(B61,CadProd!$A:$B,2,0)),"")</f>
        <v/>
      </c>
      <c r="D61" t="str">
        <f>IFERROR(IF(B61="","",VLOOKUP(B61,CadProd!$A:$C,3,0)),"")</f>
        <v/>
      </c>
    </row>
    <row r="62" spans="3:7" x14ac:dyDescent="0.3">
      <c r="C62" t="str">
        <f>IFERROR(IF(B62="","",VLOOKUP(B62,CadProd!$A:$B,2,0)),"")</f>
        <v/>
      </c>
      <c r="D62" t="str">
        <f>IFERROR(IF(B62="","",VLOOKUP(B62,CadProd!$A:$C,3,0)),"")</f>
        <v/>
      </c>
    </row>
    <row r="63" spans="3:7" x14ac:dyDescent="0.3">
      <c r="C63" t="str">
        <f>IFERROR(IF(B63="","",VLOOKUP(B63,CadProd!$A:$B,2,0)),"")</f>
        <v/>
      </c>
      <c r="D63" t="str">
        <f>IFERROR(IF(B63="","",VLOOKUP(B63,CadProd!$A:$C,3,0)),"")</f>
        <v/>
      </c>
    </row>
    <row r="64" spans="3:7" x14ac:dyDescent="0.3">
      <c r="C64" t="str">
        <f>IFERROR(IF(B64="","",VLOOKUP(B64,CadProd!$A:$B,2,0)),"")</f>
        <v/>
      </c>
      <c r="D64" t="str">
        <f>IFERROR(IF(B64="","",VLOOKUP(B64,CadProd!$A:$C,3,0)),"")</f>
        <v/>
      </c>
    </row>
    <row r="65" spans="3:4" x14ac:dyDescent="0.3">
      <c r="C65" t="str">
        <f>IFERROR(IF(B65="","",VLOOKUP(B65,CadProd!$A:$B,2,0)),"")</f>
        <v/>
      </c>
      <c r="D65" t="str">
        <f>IFERROR(IF(B65="","",VLOOKUP(B65,CadProd!$A:$C,3,0)),"")</f>
        <v/>
      </c>
    </row>
    <row r="66" spans="3:4" x14ac:dyDescent="0.3">
      <c r="C66" t="str">
        <f>IFERROR(IF(B66="","",VLOOKUP(B66,CadProd!$A:$B,2,0)),"")</f>
        <v/>
      </c>
      <c r="D66" t="str">
        <f>IFERROR(IF(B66="","",VLOOKUP(B66,CadProd!$A:$C,3,0)),"")</f>
        <v/>
      </c>
    </row>
    <row r="67" spans="3:4" x14ac:dyDescent="0.3">
      <c r="C67" t="str">
        <f>IFERROR(IF(B67="","",VLOOKUP(B67,CadProd!$A:$B,2,0)),"")</f>
        <v/>
      </c>
      <c r="D67" t="str">
        <f>IFERROR(IF(B67="","",VLOOKUP(B67,CadProd!$A:$C,3,0)),"")</f>
        <v/>
      </c>
    </row>
    <row r="68" spans="3:4" x14ac:dyDescent="0.3">
      <c r="C68" t="str">
        <f>IFERROR(IF(B68="","",VLOOKUP(B68,CadProd!$A:$B,2,0)),"")</f>
        <v/>
      </c>
      <c r="D68" t="str">
        <f>IFERROR(IF(B68="","",VLOOKUP(B68,CadProd!$A:$C,3,0)),"")</f>
        <v/>
      </c>
    </row>
    <row r="69" spans="3:4" x14ac:dyDescent="0.3">
      <c r="C69" t="str">
        <f>IFERROR(IF(B69="","",VLOOKUP(B69,CadProd!$A:$B,2,0)),"")</f>
        <v/>
      </c>
      <c r="D69" t="str">
        <f>IFERROR(IF(B69="","",VLOOKUP(B69,CadProd!$A:$C,3,0)),"")</f>
        <v/>
      </c>
    </row>
    <row r="70" spans="3:4" x14ac:dyDescent="0.3">
      <c r="C70" t="str">
        <f>IFERROR(IF(B70="","",VLOOKUP(B70,CadProd!$A:$B,2,0)),"")</f>
        <v/>
      </c>
      <c r="D70" t="str">
        <f>IFERROR(IF(B70="","",VLOOKUP(B70,CadProd!$A:$C,3,0)),"")</f>
        <v/>
      </c>
    </row>
    <row r="71" spans="3:4" x14ac:dyDescent="0.3">
      <c r="C71" t="str">
        <f>IFERROR(IF(B71="","",VLOOKUP(B71,CadProd!$A:$B,2,0)),"")</f>
        <v/>
      </c>
      <c r="D71" t="str">
        <f>IFERROR(IF(B71="","",VLOOKUP(B71,CadProd!$A:$C,3,0)),"")</f>
        <v/>
      </c>
    </row>
    <row r="72" spans="3:4" x14ac:dyDescent="0.3">
      <c r="C72" t="str">
        <f>IFERROR(IF(B72="","",VLOOKUP(B72,CadProd!$A:$B,2,0)),"")</f>
        <v/>
      </c>
      <c r="D72" t="str">
        <f>IFERROR(IF(B72="","",VLOOKUP(B72,CadProd!$A:$C,3,0)),"")</f>
        <v/>
      </c>
    </row>
    <row r="73" spans="3:4" x14ac:dyDescent="0.3">
      <c r="C73" t="str">
        <f>IFERROR(IF(B73="","",VLOOKUP(B73,CadProd!$A:$B,2,0)),"")</f>
        <v/>
      </c>
      <c r="D73" t="str">
        <f>IFERROR(IF(B73="","",VLOOKUP(B73,CadProd!$A:$C,3,0)),"")</f>
        <v/>
      </c>
    </row>
    <row r="74" spans="3:4" x14ac:dyDescent="0.3">
      <c r="C74" t="str">
        <f>IFERROR(IF(B74="","",VLOOKUP(B74,CadProd!$A:$B,2,0)),"")</f>
        <v/>
      </c>
      <c r="D74" t="str">
        <f>IFERROR(IF(B74="","",VLOOKUP(B74,CadProd!$A:$C,3,0)),"")</f>
        <v/>
      </c>
    </row>
    <row r="75" spans="3:4" x14ac:dyDescent="0.3">
      <c r="C75" t="str">
        <f>IFERROR(IF(B75="","",VLOOKUP(B75,CadProd!$A:$B,2,0)),"")</f>
        <v/>
      </c>
      <c r="D75" t="str">
        <f>IFERROR(IF(B75="","",VLOOKUP(B75,CadProd!$A:$C,3,0)),"")</f>
        <v/>
      </c>
    </row>
    <row r="76" spans="3:4" x14ac:dyDescent="0.3">
      <c r="C76" t="str">
        <f>IFERROR(IF(B76="","",VLOOKUP(B76,CadProd!$A:$B,2,0)),"")</f>
        <v/>
      </c>
      <c r="D76" t="str">
        <f>IFERROR(IF(B76="","",VLOOKUP(B76,CadProd!$A:$C,3,0)),"")</f>
        <v/>
      </c>
    </row>
    <row r="77" spans="3:4" x14ac:dyDescent="0.3">
      <c r="C77" t="str">
        <f>IFERROR(IF(B77="","",VLOOKUP(B77,CadProd!$A:$B,2,0)),"")</f>
        <v/>
      </c>
      <c r="D77" t="str">
        <f>IFERROR(IF(B77="","",VLOOKUP(B77,CadProd!$A:$C,3,0)),"")</f>
        <v/>
      </c>
    </row>
    <row r="78" spans="3:4" x14ac:dyDescent="0.3">
      <c r="C78" t="str">
        <f>IFERROR(IF(B78="","",VLOOKUP(B78,CadProd!$A:$B,2,0)),"")</f>
        <v/>
      </c>
      <c r="D78" t="str">
        <f>IFERROR(IF(B78="","",VLOOKUP(B78,CadProd!$A:$C,3,0)),"")</f>
        <v/>
      </c>
    </row>
    <row r="79" spans="3:4" x14ac:dyDescent="0.3">
      <c r="C79" t="str">
        <f>IFERROR(IF(B79="","",VLOOKUP(B79,CadProd!$A:$B,2,0)),"")</f>
        <v/>
      </c>
      <c r="D79" t="str">
        <f>IFERROR(IF(B79="","",VLOOKUP(B79,CadProd!$A:$C,3,0)),"")</f>
        <v/>
      </c>
    </row>
    <row r="80" spans="3:4" x14ac:dyDescent="0.3">
      <c r="C80" t="str">
        <f>IFERROR(IF(B80="","",VLOOKUP(B80,CadProd!$A:$B,2,0)),"")</f>
        <v/>
      </c>
      <c r="D80" t="str">
        <f>IFERROR(IF(B80="","",VLOOKUP(B80,CadProd!$A:$C,3,0)),"")</f>
        <v/>
      </c>
    </row>
    <row r="81" spans="3:4" x14ac:dyDescent="0.3">
      <c r="C81" t="str">
        <f>IFERROR(IF(B81="","",VLOOKUP(B81,CadProd!$A:$B,2,0)),"")</f>
        <v/>
      </c>
      <c r="D81" t="str">
        <f>IFERROR(IF(B81="","",VLOOKUP(B81,CadProd!$A:$C,3,0)),"")</f>
        <v/>
      </c>
    </row>
    <row r="82" spans="3:4" x14ac:dyDescent="0.3">
      <c r="C82" t="str">
        <f>IFERROR(IF(B82="","",VLOOKUP(B82,CadProd!$A:$B,2,0)),"")</f>
        <v/>
      </c>
      <c r="D82" t="str">
        <f>IFERROR(IF(B82="","",VLOOKUP(B82,CadProd!$A:$C,3,0)),"")</f>
        <v/>
      </c>
    </row>
    <row r="83" spans="3:4" x14ac:dyDescent="0.3">
      <c r="C83" t="str">
        <f>IFERROR(IF(B83="","",VLOOKUP(B83,CadProd!$A:$B,2,0)),"")</f>
        <v/>
      </c>
      <c r="D83" t="str">
        <f>IFERROR(IF(B83="","",VLOOKUP(B83,CadProd!$A:$C,3,0)),"")</f>
        <v/>
      </c>
    </row>
    <row r="84" spans="3:4" x14ac:dyDescent="0.3">
      <c r="C84" t="str">
        <f>IFERROR(IF(B84="","",VLOOKUP(B84,CadProd!$A:$B,2,0)),"")</f>
        <v/>
      </c>
      <c r="D84" t="str">
        <f>IFERROR(IF(B84="","",VLOOKUP(B84,CadProd!$A:$C,3,0)),"")</f>
        <v/>
      </c>
    </row>
    <row r="85" spans="3:4" x14ac:dyDescent="0.3">
      <c r="C85" t="str">
        <f>IFERROR(IF(B85="","",VLOOKUP(B85,CadProd!$A:$B,2,0)),"")</f>
        <v/>
      </c>
      <c r="D85" t="str">
        <f>IFERROR(IF(B85="","",VLOOKUP(B85,CadProd!$A:$C,3,0)),"")</f>
        <v/>
      </c>
    </row>
    <row r="86" spans="3:4" x14ac:dyDescent="0.3">
      <c r="C86" t="str">
        <f>IFERROR(IF(B86="","",VLOOKUP(B86,CadProd!$A:$B,2,0)),"")</f>
        <v/>
      </c>
      <c r="D86" t="str">
        <f>IFERROR(IF(B86="","",VLOOKUP(B86,CadProd!$A:$C,3,0)),"")</f>
        <v/>
      </c>
    </row>
    <row r="87" spans="3:4" x14ac:dyDescent="0.3">
      <c r="C87" t="str">
        <f>IFERROR(IF(B87="","",VLOOKUP(B87,CadProd!$A:$B,2,0)),"")</f>
        <v/>
      </c>
      <c r="D87" t="str">
        <f>IFERROR(IF(B87="","",VLOOKUP(B87,CadProd!$A:$C,3,0)),"")</f>
        <v/>
      </c>
    </row>
    <row r="88" spans="3:4" x14ac:dyDescent="0.3">
      <c r="C88" t="str">
        <f>IFERROR(IF(B88="","",VLOOKUP(B88,CadProd!$A:$B,2,0)),"")</f>
        <v/>
      </c>
      <c r="D88" t="str">
        <f>IFERROR(IF(B88="","",VLOOKUP(B88,CadProd!$A:$C,3,0)),"")</f>
        <v/>
      </c>
    </row>
    <row r="89" spans="3:4" x14ac:dyDescent="0.3">
      <c r="C89" t="str">
        <f>IFERROR(IF(B89="","",VLOOKUP(B89,CadProd!$A:$B,2,0)),"")</f>
        <v/>
      </c>
      <c r="D89" t="str">
        <f>IFERROR(IF(B89="","",VLOOKUP(B89,CadProd!$A:$C,3,0)),"")</f>
        <v/>
      </c>
    </row>
    <row r="90" spans="3:4" x14ac:dyDescent="0.3">
      <c r="C90" t="str">
        <f>IFERROR(IF(B90="","",VLOOKUP(B90,CadProd!$A:$B,2,0)),"")</f>
        <v/>
      </c>
      <c r="D90" t="str">
        <f>IFERROR(IF(B90="","",VLOOKUP(B90,CadProd!$A:$C,3,0)),"")</f>
        <v/>
      </c>
    </row>
    <row r="91" spans="3:4" x14ac:dyDescent="0.3">
      <c r="C91" t="str">
        <f>IFERROR(IF(B91="","",VLOOKUP(B91,CadProd!$A:$B,2,0)),"")</f>
        <v/>
      </c>
      <c r="D91" t="str">
        <f>IFERROR(IF(B91="","",VLOOKUP(B91,CadProd!$A:$C,3,0)),"")</f>
        <v/>
      </c>
    </row>
    <row r="92" spans="3:4" x14ac:dyDescent="0.3">
      <c r="C92" t="str">
        <f>IFERROR(IF(B92="","",VLOOKUP(B92,CadProd!$A:$B,2,0)),"")</f>
        <v/>
      </c>
      <c r="D92" t="str">
        <f>IFERROR(IF(B92="","",VLOOKUP(B92,CadProd!$A:$C,3,0)),"")</f>
        <v/>
      </c>
    </row>
    <row r="93" spans="3:4" x14ac:dyDescent="0.3">
      <c r="C93" t="str">
        <f>IFERROR(IF(B93="","",VLOOKUP(B93,CadProd!$A:$B,2,0)),"")</f>
        <v/>
      </c>
      <c r="D93" t="str">
        <f>IFERROR(IF(B93="","",VLOOKUP(B93,CadProd!$A:$C,3,0)),"")</f>
        <v/>
      </c>
    </row>
    <row r="94" spans="3:4" x14ac:dyDescent="0.3">
      <c r="C94" t="str">
        <f>IFERROR(IF(B94="","",VLOOKUP(B94,CadProd!$A:$B,2,0)),"")</f>
        <v/>
      </c>
      <c r="D94" t="str">
        <f>IFERROR(IF(B94="","",VLOOKUP(B94,CadProd!$A:$C,3,0)),"")</f>
        <v/>
      </c>
    </row>
    <row r="95" spans="3:4" x14ac:dyDescent="0.3">
      <c r="C95" t="str">
        <f>IFERROR(IF(B95="","",VLOOKUP(B95,CadProd!$A:$B,2,0)),"")</f>
        <v/>
      </c>
      <c r="D95" t="str">
        <f>IFERROR(IF(B95="","",VLOOKUP(B95,CadProd!$A:$C,3,0)),"")</f>
        <v/>
      </c>
    </row>
    <row r="96" spans="3:4" x14ac:dyDescent="0.3">
      <c r="C96" t="str">
        <f>IFERROR(IF(B96="","",VLOOKUP(B96,CadProd!$A:$B,2,0)),"")</f>
        <v/>
      </c>
      <c r="D96" t="str">
        <f>IFERROR(IF(B96="","",VLOOKUP(B96,CadProd!$A:$C,3,0)),"")</f>
        <v/>
      </c>
    </row>
    <row r="97" spans="3:4" x14ac:dyDescent="0.3">
      <c r="C97" t="str">
        <f>IFERROR(IF(B97="","",VLOOKUP(B97,CadProd!$A:$B,2,0)),"")</f>
        <v/>
      </c>
      <c r="D97" t="str">
        <f>IFERROR(IF(B97="","",VLOOKUP(B97,CadProd!$A:$C,3,0)),"")</f>
        <v/>
      </c>
    </row>
    <row r="98" spans="3:4" x14ac:dyDescent="0.3">
      <c r="C98" t="str">
        <f>IFERROR(IF(B98="","",VLOOKUP(B98,CadProd!$A:$B,2,0)),"")</f>
        <v/>
      </c>
      <c r="D98" t="str">
        <f>IFERROR(IF(B98="","",VLOOKUP(B98,CadProd!$A:$C,3,0)),"")</f>
        <v/>
      </c>
    </row>
    <row r="99" spans="3:4" x14ac:dyDescent="0.3">
      <c r="C99" t="str">
        <f>IFERROR(IF(B99="","",VLOOKUP(B99,CadProd!$A:$B,2,0)),"")</f>
        <v/>
      </c>
      <c r="D99" t="str">
        <f>IFERROR(IF(B99="","",VLOOKUP(B99,CadProd!$A:$C,3,0)),"")</f>
        <v/>
      </c>
    </row>
    <row r="100" spans="3:4" x14ac:dyDescent="0.3">
      <c r="C100" t="str">
        <f>IFERROR(IF(B100="","",VLOOKUP(B100,CadProd!$A:$B,2,0)),"")</f>
        <v/>
      </c>
      <c r="D100" t="str">
        <f>IFERROR(IF(B100="","",VLOOKUP(B100,CadProd!$A:$C,3,0)),"")</f>
        <v/>
      </c>
    </row>
    <row r="101" spans="3:4" x14ac:dyDescent="0.3">
      <c r="C101" t="str">
        <f>IFERROR(IF(B101="","",VLOOKUP(B101,CadProd!$A:$B,2,0)),"")</f>
        <v/>
      </c>
      <c r="D101" t="str">
        <f>IFERROR(IF(B101="","",VLOOKUP(B101,CadProd!$A:$C,3,0)),"")</f>
        <v/>
      </c>
    </row>
    <row r="102" spans="3:4" x14ac:dyDescent="0.3">
      <c r="C102" t="str">
        <f>IFERROR(IF(B102="","",VLOOKUP(B102,CadProd!$A:$B,2,0)),"")</f>
        <v/>
      </c>
      <c r="D102" t="str">
        <f>IFERROR(IF(B102="","",VLOOKUP(B102,CadProd!$A:$C,3,0)),"")</f>
        <v/>
      </c>
    </row>
    <row r="103" spans="3:4" x14ac:dyDescent="0.3">
      <c r="C103" t="str">
        <f>IFERROR(IF(B103="","",VLOOKUP(B103,CadProd!$A:$B,2,0)),"")</f>
        <v/>
      </c>
      <c r="D103" t="str">
        <f>IFERROR(IF(B103="","",VLOOKUP(B103,CadProd!$A:$C,3,0)),"")</f>
        <v/>
      </c>
    </row>
    <row r="104" spans="3:4" x14ac:dyDescent="0.3">
      <c r="C104" t="str">
        <f>IFERROR(IF(B104="","",VLOOKUP(B104,CadProd!$A:$B,2,0)),"")</f>
        <v/>
      </c>
      <c r="D104" t="str">
        <f>IFERROR(IF(B104="","",VLOOKUP(B104,CadProd!$A:$C,3,0)),"")</f>
        <v/>
      </c>
    </row>
    <row r="105" spans="3:4" x14ac:dyDescent="0.3">
      <c r="C105" t="str">
        <f>IFERROR(IF(B105="","",VLOOKUP(B105,CadProd!$A:$B,2,0)),"")</f>
        <v/>
      </c>
      <c r="D105" t="str">
        <f>IFERROR(IF(B105="","",VLOOKUP(B105,CadProd!$A:$C,3,0)),"")</f>
        <v/>
      </c>
    </row>
    <row r="106" spans="3:4" x14ac:dyDescent="0.3">
      <c r="C106" t="str">
        <f>IFERROR(IF(B106="","",VLOOKUP(B106,CadProd!$A:$B,2,0)),"")</f>
        <v/>
      </c>
      <c r="D106" t="str">
        <f>IFERROR(IF(B106="","",VLOOKUP(B106,CadProd!$A:$C,3,0)),"")</f>
        <v/>
      </c>
    </row>
    <row r="107" spans="3:4" x14ac:dyDescent="0.3">
      <c r="C107" t="str">
        <f>IFERROR(IF(B107="","",VLOOKUP(B107,CadProd!$A:$B,2,0)),"")</f>
        <v/>
      </c>
      <c r="D107" t="str">
        <f>IFERROR(IF(B107="","",VLOOKUP(B107,CadProd!$A:$C,3,0)),"")</f>
        <v/>
      </c>
    </row>
    <row r="108" spans="3:4" x14ac:dyDescent="0.3">
      <c r="C108" t="str">
        <f>IFERROR(IF(B108="","",VLOOKUP(B108,CadProd!$A:$B,2,0)),"")</f>
        <v/>
      </c>
      <c r="D108" t="str">
        <f>IFERROR(IF(B108="","",VLOOKUP(B108,CadProd!$A:$C,3,0)),"")</f>
        <v/>
      </c>
    </row>
    <row r="109" spans="3:4" x14ac:dyDescent="0.3">
      <c r="C109" t="str">
        <f>IFERROR(IF(B109="","",VLOOKUP(B109,CadProd!$A:$B,2,0)),"")</f>
        <v/>
      </c>
      <c r="D109" t="str">
        <f>IFERROR(IF(B109="","",VLOOKUP(B109,CadProd!$A:$C,3,0)),"")</f>
        <v/>
      </c>
    </row>
    <row r="110" spans="3:4" x14ac:dyDescent="0.3">
      <c r="C110" t="str">
        <f>IFERROR(IF(B110="","",VLOOKUP(B110,CadProd!$A:$B,2,0)),"")</f>
        <v/>
      </c>
      <c r="D110" t="str">
        <f>IFERROR(IF(B110="","",VLOOKUP(B110,CadProd!$A:$C,3,0)),"")</f>
        <v/>
      </c>
    </row>
    <row r="111" spans="3:4" x14ac:dyDescent="0.3">
      <c r="C111" t="str">
        <f>IFERROR(IF(B111="","",VLOOKUP(B111,CadProd!$A:$B,2,0)),"")</f>
        <v/>
      </c>
      <c r="D111" t="str">
        <f>IFERROR(IF(B111="","",VLOOKUP(B111,CadProd!$A:$C,3,0)),"")</f>
        <v/>
      </c>
    </row>
    <row r="112" spans="3:4" x14ac:dyDescent="0.3">
      <c r="C112" t="str">
        <f>IFERROR(IF(B112="","",VLOOKUP(B112,CadProd!$A:$B,2,0)),"")</f>
        <v/>
      </c>
      <c r="D112" t="str">
        <f>IFERROR(IF(B112="","",VLOOKUP(B112,CadProd!$A:$C,3,0)),"")</f>
        <v/>
      </c>
    </row>
    <row r="113" spans="3:4" x14ac:dyDescent="0.3">
      <c r="C113" t="str">
        <f>IFERROR(IF(B113="","",VLOOKUP(B113,CadProd!$A:$B,2,0)),"")</f>
        <v/>
      </c>
      <c r="D113" t="str">
        <f>IFERROR(IF(B113="","",VLOOKUP(B113,CadProd!$A:$C,3,0)),"")</f>
        <v/>
      </c>
    </row>
    <row r="114" spans="3:4" x14ac:dyDescent="0.3">
      <c r="C114" t="str">
        <f>IFERROR(IF(B114="","",VLOOKUP(B114,CadProd!$A:$B,2,0)),"")</f>
        <v/>
      </c>
      <c r="D114" t="str">
        <f>IFERROR(IF(B114="","",VLOOKUP(B114,CadProd!$A:$C,3,0)),"")</f>
        <v/>
      </c>
    </row>
    <row r="115" spans="3:4" x14ac:dyDescent="0.3">
      <c r="C115" t="str">
        <f>IFERROR(IF(B115="","",VLOOKUP(B115,CadProd!$A:$B,2,0)),"")</f>
        <v/>
      </c>
      <c r="D115" t="str">
        <f>IFERROR(IF(B115="","",VLOOKUP(B115,CadProd!$A:$C,3,0)),"")</f>
        <v/>
      </c>
    </row>
    <row r="116" spans="3:4" x14ac:dyDescent="0.3">
      <c r="C116" t="str">
        <f>IFERROR(IF(B116="","",VLOOKUP(B116,CadProd!$A:$B,2,0)),"")</f>
        <v/>
      </c>
      <c r="D116" t="str">
        <f>IFERROR(IF(B116="","",VLOOKUP(B116,CadProd!$A:$C,3,0)),"")</f>
        <v/>
      </c>
    </row>
    <row r="117" spans="3:4" x14ac:dyDescent="0.3">
      <c r="C117" t="str">
        <f>IFERROR(IF(B117="","",VLOOKUP(B117,CadProd!$A:$B,2,0)),"")</f>
        <v/>
      </c>
      <c r="D117" t="str">
        <f>IFERROR(IF(B117="","",VLOOKUP(B117,CadProd!$A:$C,3,0)),"")</f>
        <v/>
      </c>
    </row>
    <row r="118" spans="3:4" x14ac:dyDescent="0.3">
      <c r="C118" t="str">
        <f>IFERROR(IF(B118="","",VLOOKUP(B118,CadProd!$A:$B,2,0)),"")</f>
        <v/>
      </c>
      <c r="D118" t="str">
        <f>IFERROR(IF(B118="","",VLOOKUP(B118,CadProd!$A:$C,3,0)),"")</f>
        <v/>
      </c>
    </row>
    <row r="119" spans="3:4" x14ac:dyDescent="0.3">
      <c r="C119" t="str">
        <f>IFERROR(IF(B119="","",VLOOKUP(B119,CadProd!$A:$B,2,0)),"")</f>
        <v/>
      </c>
      <c r="D119" t="str">
        <f>IFERROR(IF(B119="","",VLOOKUP(B119,CadProd!$A:$C,3,0)),"")</f>
        <v/>
      </c>
    </row>
    <row r="120" spans="3:4" x14ac:dyDescent="0.3">
      <c r="C120" t="str">
        <f>IFERROR(IF(B120="","",VLOOKUP(B120,CadProd!$A:$B,2,0)),"")</f>
        <v/>
      </c>
      <c r="D120" t="str">
        <f>IFERROR(IF(B120="","",VLOOKUP(B120,CadProd!$A:$C,3,0)),"")</f>
        <v/>
      </c>
    </row>
    <row r="121" spans="3:4" x14ac:dyDescent="0.3">
      <c r="C121" t="str">
        <f>IFERROR(IF(B121="","",VLOOKUP(B121,CadProd!$A:$B,2,0)),"")</f>
        <v/>
      </c>
      <c r="D121" t="str">
        <f>IFERROR(IF(B121="","",VLOOKUP(B121,CadProd!$A:$C,3,0)),"")</f>
        <v/>
      </c>
    </row>
    <row r="122" spans="3:4" x14ac:dyDescent="0.3">
      <c r="C122" t="str">
        <f>IFERROR(IF(B122="","",VLOOKUP(B122,CadProd!$A:$B,2,0)),"")</f>
        <v/>
      </c>
      <c r="D122" t="str">
        <f>IFERROR(IF(B122="","",VLOOKUP(B122,CadProd!$A:$C,3,0)),"")</f>
        <v/>
      </c>
    </row>
    <row r="123" spans="3:4" x14ac:dyDescent="0.3">
      <c r="C123" t="str">
        <f>IFERROR(IF(B123="","",VLOOKUP(B123,CadProd!$A:$B,2,0)),"")</f>
        <v/>
      </c>
      <c r="D123" t="str">
        <f>IFERROR(IF(B123="","",VLOOKUP(B123,CadProd!$A:$C,3,0)),"")</f>
        <v/>
      </c>
    </row>
    <row r="124" spans="3:4" x14ac:dyDescent="0.3">
      <c r="C124" t="str">
        <f>IFERROR(IF(B124="","",VLOOKUP(B124,CadProd!$A:$B,2,0)),"")</f>
        <v/>
      </c>
      <c r="D124" t="str">
        <f>IFERROR(IF(B124="","",VLOOKUP(B124,CadProd!$A:$C,3,0)),"")</f>
        <v/>
      </c>
    </row>
    <row r="125" spans="3:4" x14ac:dyDescent="0.3">
      <c r="C125" t="str">
        <f>IFERROR(IF(B125="","",VLOOKUP(B125,CadProd!$A:$B,2,0)),"")</f>
        <v/>
      </c>
      <c r="D125" t="str">
        <f>IFERROR(IF(B125="","",VLOOKUP(B125,CadProd!$A:$C,3,0)),"")</f>
        <v/>
      </c>
    </row>
    <row r="126" spans="3:4" x14ac:dyDescent="0.3">
      <c r="C126" t="str">
        <f>IFERROR(IF(B126="","",VLOOKUP(B126,CadProd!$A:$B,2,0)),"")</f>
        <v/>
      </c>
      <c r="D126" t="str">
        <f>IFERROR(IF(B126="","",VLOOKUP(B126,CadProd!$A:$C,3,0)),"")</f>
        <v/>
      </c>
    </row>
    <row r="127" spans="3:4" x14ac:dyDescent="0.3">
      <c r="C127" t="str">
        <f>IFERROR(IF(B127="","",VLOOKUP(B127,CadProd!$A:$B,2,0)),"")</f>
        <v/>
      </c>
      <c r="D127" t="str">
        <f>IFERROR(IF(B127="","",VLOOKUP(B127,CadProd!$A:$C,3,0)),"")</f>
        <v/>
      </c>
    </row>
    <row r="128" spans="3:4" x14ac:dyDescent="0.3">
      <c r="C128" t="str">
        <f>IFERROR(IF(B128="","",VLOOKUP(B128,CadProd!$A:$B,2,0)),"")</f>
        <v/>
      </c>
      <c r="D128" t="str">
        <f>IFERROR(IF(B128="","",VLOOKUP(B128,CadProd!$A:$C,3,0)),"")</f>
        <v/>
      </c>
    </row>
    <row r="129" spans="3:4" x14ac:dyDescent="0.3">
      <c r="C129" t="str">
        <f>IFERROR(IF(B129="","",VLOOKUP(B129,CadProd!$A:$B,2,0)),"")</f>
        <v/>
      </c>
      <c r="D129" t="str">
        <f>IFERROR(IF(B129="","",VLOOKUP(B129,CadProd!$A:$C,3,0)),"")</f>
        <v/>
      </c>
    </row>
    <row r="130" spans="3:4" x14ac:dyDescent="0.3">
      <c r="C130" t="str">
        <f>IFERROR(IF(B130="","",VLOOKUP(B130,CadProd!$A:$B,2,0)),"")</f>
        <v/>
      </c>
      <c r="D130" t="str">
        <f>IFERROR(IF(B130="","",VLOOKUP(B130,CadProd!$A:$C,3,0)),"")</f>
        <v/>
      </c>
    </row>
    <row r="131" spans="3:4" x14ac:dyDescent="0.3">
      <c r="C131" t="str">
        <f>IFERROR(IF(B131="","",VLOOKUP(B131,CadProd!$A:$B,2,0)),"")</f>
        <v/>
      </c>
      <c r="D131" t="str">
        <f>IFERROR(IF(B131="","",VLOOKUP(B131,CadProd!$A:$C,3,0)),"")</f>
        <v/>
      </c>
    </row>
    <row r="132" spans="3:4" x14ac:dyDescent="0.3">
      <c r="C132" t="str">
        <f>IFERROR(IF(B132="","",VLOOKUP(B132,CadProd!$A:$B,2,0)),"")</f>
        <v/>
      </c>
      <c r="D132" t="str">
        <f>IFERROR(IF(B132="","",VLOOKUP(B132,CadProd!$A:$C,3,0)),"")</f>
        <v/>
      </c>
    </row>
    <row r="133" spans="3:4" x14ac:dyDescent="0.3">
      <c r="C133" t="str">
        <f>IFERROR(IF(B133="","",VLOOKUP(B133,CadProd!$A:$B,2,0)),"")</f>
        <v/>
      </c>
      <c r="D133" t="str">
        <f>IFERROR(IF(B133="","",VLOOKUP(B133,CadProd!$A:$C,3,0)),"")</f>
        <v/>
      </c>
    </row>
    <row r="134" spans="3:4" x14ac:dyDescent="0.3">
      <c r="C134" t="str">
        <f>IFERROR(IF(B134="","",VLOOKUP(B134,CadProd!$A:$B,2,0)),"")</f>
        <v/>
      </c>
      <c r="D134" t="str">
        <f>IFERROR(IF(B134="","",VLOOKUP(B134,CadProd!$A:$C,3,0)),"")</f>
        <v/>
      </c>
    </row>
    <row r="135" spans="3:4" x14ac:dyDescent="0.3">
      <c r="C135" t="str">
        <f>IFERROR(IF(B135="","",VLOOKUP(B135,CadProd!$A:$B,2,0)),"")</f>
        <v/>
      </c>
      <c r="D135" t="str">
        <f>IFERROR(IF(B135="","",VLOOKUP(B135,CadProd!$A:$C,3,0)),"")</f>
        <v/>
      </c>
    </row>
    <row r="136" spans="3:4" x14ac:dyDescent="0.3">
      <c r="C136" t="str">
        <f>IFERROR(IF(B136="","",VLOOKUP(B136,CadProd!$A:$B,2,0)),"")</f>
        <v/>
      </c>
      <c r="D136" t="str">
        <f>IFERROR(IF(B136="","",VLOOKUP(B136,CadProd!$A:$C,3,0)),"")</f>
        <v/>
      </c>
    </row>
    <row r="137" spans="3:4" x14ac:dyDescent="0.3">
      <c r="C137" t="str">
        <f>IFERROR(IF(B137="","",VLOOKUP(B137,CadProd!$A:$B,2,0)),"")</f>
        <v/>
      </c>
      <c r="D137" t="str">
        <f>IFERROR(IF(B137="","",VLOOKUP(B137,CadProd!$A:$C,3,0)),"")</f>
        <v/>
      </c>
    </row>
    <row r="138" spans="3:4" x14ac:dyDescent="0.3">
      <c r="C138" t="str">
        <f>IFERROR(IF(B138="","",VLOOKUP(B138,CadProd!$A:$B,2,0)),"")</f>
        <v/>
      </c>
      <c r="D138" t="str">
        <f>IFERROR(IF(B138="","",VLOOKUP(B138,CadProd!$A:$C,3,0)),"")</f>
        <v/>
      </c>
    </row>
    <row r="139" spans="3:4" x14ac:dyDescent="0.3">
      <c r="C139" t="str">
        <f>IFERROR(IF(B139="","",VLOOKUP(B139,CadProd!$A:$B,2,0)),"")</f>
        <v/>
      </c>
      <c r="D139" t="str">
        <f>IFERROR(IF(B139="","",VLOOKUP(B139,CadProd!$A:$C,3,0)),"")</f>
        <v/>
      </c>
    </row>
    <row r="140" spans="3:4" x14ac:dyDescent="0.3">
      <c r="C140" t="str">
        <f>IFERROR(IF(B140="","",VLOOKUP(B140,CadProd!$A:$B,2,0)),"")</f>
        <v/>
      </c>
      <c r="D140" t="str">
        <f>IFERROR(IF(B140="","",VLOOKUP(B140,CadProd!$A:$C,3,0)),"")</f>
        <v/>
      </c>
    </row>
    <row r="141" spans="3:4" x14ac:dyDescent="0.3">
      <c r="C141" t="str">
        <f>IFERROR(IF(B141="","",VLOOKUP(B141,CadProd!$A:$B,2,0)),"")</f>
        <v/>
      </c>
      <c r="D141" t="str">
        <f>IFERROR(IF(B141="","",VLOOKUP(B141,CadProd!$A:$C,3,0)),"")</f>
        <v/>
      </c>
    </row>
    <row r="142" spans="3:4" x14ac:dyDescent="0.3">
      <c r="C142" t="str">
        <f>IFERROR(IF(B142="","",VLOOKUP(B142,CadProd!$A:$B,2,0)),"")</f>
        <v/>
      </c>
      <c r="D142" t="str">
        <f>IFERROR(IF(B142="","",VLOOKUP(B142,CadProd!$A:$C,3,0)),"")</f>
        <v/>
      </c>
    </row>
    <row r="143" spans="3:4" x14ac:dyDescent="0.3">
      <c r="C143" t="str">
        <f>IFERROR(IF(B143="","",VLOOKUP(B143,CadProd!$A:$B,2,0)),"")</f>
        <v/>
      </c>
      <c r="D143" t="str">
        <f>IFERROR(IF(B143="","",VLOOKUP(B143,CadProd!$A:$C,3,0)),"")</f>
        <v/>
      </c>
    </row>
    <row r="144" spans="3:4" x14ac:dyDescent="0.3">
      <c r="C144" t="str">
        <f>IFERROR(IF(B144="","",VLOOKUP(B144,CadProd!$A:$B,2,0)),"")</f>
        <v/>
      </c>
      <c r="D144" t="str">
        <f>IFERROR(IF(B144="","",VLOOKUP(B144,CadProd!$A:$C,3,0)),"")</f>
        <v/>
      </c>
    </row>
    <row r="145" spans="3:4" x14ac:dyDescent="0.3">
      <c r="C145" t="str">
        <f>IFERROR(IF(B145="","",VLOOKUP(B145,CadProd!$A:$B,2,0)),"")</f>
        <v/>
      </c>
      <c r="D145" t="str">
        <f>IFERROR(IF(B145="","",VLOOKUP(B145,CadProd!$A:$C,3,0)),"")</f>
        <v/>
      </c>
    </row>
    <row r="146" spans="3:4" x14ac:dyDescent="0.3">
      <c r="C146" t="str">
        <f>IFERROR(IF(B146="","",VLOOKUP(B146,CadProd!$A:$B,2,0)),"")</f>
        <v/>
      </c>
      <c r="D146" t="str">
        <f>IFERROR(IF(B146="","",VLOOKUP(B146,CadProd!$A:$C,3,0)),"")</f>
        <v/>
      </c>
    </row>
    <row r="147" spans="3:4" x14ac:dyDescent="0.3">
      <c r="C147" t="str">
        <f>IFERROR(IF(B147="","",VLOOKUP(B147,CadProd!$A:$B,2,0)),"")</f>
        <v/>
      </c>
      <c r="D147" t="str">
        <f>IFERROR(IF(B147="","",VLOOKUP(B147,CadProd!$A:$C,3,0)),"")</f>
        <v/>
      </c>
    </row>
    <row r="148" spans="3:4" x14ac:dyDescent="0.3">
      <c r="C148" t="str">
        <f>IFERROR(IF(B148="","",VLOOKUP(B148,CadProd!$A:$B,2,0)),"")</f>
        <v/>
      </c>
      <c r="D148" t="str">
        <f>IFERROR(IF(B148="","",VLOOKUP(B148,CadProd!$A:$C,3,0)),"")</f>
        <v/>
      </c>
    </row>
    <row r="149" spans="3:4" x14ac:dyDescent="0.3">
      <c r="C149" t="str">
        <f>IFERROR(IF(B149="","",VLOOKUP(B149,CadProd!$A:$B,2,0)),"")</f>
        <v/>
      </c>
      <c r="D149" t="str">
        <f>IFERROR(IF(B149="","",VLOOKUP(B149,CadProd!$A:$C,3,0)),"")</f>
        <v/>
      </c>
    </row>
    <row r="150" spans="3:4" x14ac:dyDescent="0.3">
      <c r="C150" t="str">
        <f>IFERROR(IF(B150="","",VLOOKUP(B150,CadProd!$A:$B,2,0)),"")</f>
        <v/>
      </c>
      <c r="D150" t="str">
        <f>IFERROR(IF(B150="","",VLOOKUP(B150,CadProd!$A:$C,3,0)),"")</f>
        <v/>
      </c>
    </row>
    <row r="151" spans="3:4" x14ac:dyDescent="0.3">
      <c r="C151" t="str">
        <f>IFERROR(IF(B151="","",VLOOKUP(B151,CadProd!$A:$B,2,0)),"")</f>
        <v/>
      </c>
      <c r="D151" t="str">
        <f>IFERROR(IF(B151="","",VLOOKUP(B151,CadProd!$A:$C,3,0)),"")</f>
        <v/>
      </c>
    </row>
    <row r="152" spans="3:4" x14ac:dyDescent="0.3">
      <c r="C152" t="str">
        <f>IFERROR(IF(B152="","",VLOOKUP(B152,CadProd!$A:$B,2,0)),"")</f>
        <v/>
      </c>
      <c r="D152" t="str">
        <f>IFERROR(IF(B152="","",VLOOKUP(B152,CadProd!$A:$C,3,0)),"")</f>
        <v/>
      </c>
    </row>
    <row r="153" spans="3:4" x14ac:dyDescent="0.3">
      <c r="C153" t="str">
        <f>IFERROR(IF(B153="","",VLOOKUP(B153,CadProd!$A:$B,2,0)),"")</f>
        <v/>
      </c>
      <c r="D153" t="str">
        <f>IFERROR(IF(B153="","",VLOOKUP(B153,CadProd!$A:$C,3,0)),"")</f>
        <v/>
      </c>
    </row>
    <row r="154" spans="3:4" x14ac:dyDescent="0.3">
      <c r="C154" t="str">
        <f>IFERROR(IF(B154="","",VLOOKUP(B154,CadProd!$A:$B,2,0)),"")</f>
        <v/>
      </c>
      <c r="D154" t="str">
        <f>IFERROR(IF(B154="","",VLOOKUP(B154,CadProd!$A:$C,3,0)),"")</f>
        <v/>
      </c>
    </row>
    <row r="155" spans="3:4" x14ac:dyDescent="0.3">
      <c r="C155" t="str">
        <f>IFERROR(IF(B155="","",VLOOKUP(B155,CadProd!$A:$B,2,0)),"")</f>
        <v/>
      </c>
      <c r="D155" t="str">
        <f>IFERROR(IF(B155="","",VLOOKUP(B155,CadProd!$A:$C,3,0)),"")</f>
        <v/>
      </c>
    </row>
    <row r="156" spans="3:4" x14ac:dyDescent="0.3">
      <c r="C156" t="str">
        <f>IFERROR(IF(B156="","",VLOOKUP(B156,CadProd!$A:$B,2,0)),"")</f>
        <v/>
      </c>
      <c r="D156" t="str">
        <f>IFERROR(IF(B156="","",VLOOKUP(B156,CadProd!$A:$C,3,0)),"")</f>
        <v/>
      </c>
    </row>
    <row r="157" spans="3:4" x14ac:dyDescent="0.3">
      <c r="C157" t="str">
        <f>IFERROR(IF(B157="","",VLOOKUP(B157,CadProd!$A:$B,2,0)),"")</f>
        <v/>
      </c>
      <c r="D157" t="str">
        <f>IFERROR(IF(B157="","",VLOOKUP(B157,CadProd!$A:$C,3,0)),"")</f>
        <v/>
      </c>
    </row>
    <row r="158" spans="3:4" x14ac:dyDescent="0.3">
      <c r="C158" t="str">
        <f>IFERROR(IF(B158="","",VLOOKUP(B158,CadProd!$A:$B,2,0)),"")</f>
        <v/>
      </c>
      <c r="D158" t="str">
        <f>IFERROR(IF(B158="","",VLOOKUP(B158,CadProd!$A:$C,3,0)),"")</f>
        <v/>
      </c>
    </row>
    <row r="159" spans="3:4" x14ac:dyDescent="0.3">
      <c r="C159" t="str">
        <f>IFERROR(IF(B159="","",VLOOKUP(B159,CadProd!$A:$B,2,0)),"")</f>
        <v/>
      </c>
      <c r="D159" t="str">
        <f>IFERROR(IF(B159="","",VLOOKUP(B159,CadProd!$A:$C,3,0)),"")</f>
        <v/>
      </c>
    </row>
    <row r="160" spans="3:4" x14ac:dyDescent="0.3">
      <c r="C160" t="str">
        <f>IFERROR(IF(B160="","",VLOOKUP(B160,CadProd!$A:$B,2,0)),"")</f>
        <v/>
      </c>
      <c r="D160" t="str">
        <f>IFERROR(IF(B160="","",VLOOKUP(B160,CadProd!$A:$C,3,0)),"")</f>
        <v/>
      </c>
    </row>
    <row r="161" spans="3:4" x14ac:dyDescent="0.3">
      <c r="C161" t="str">
        <f>IFERROR(IF(B161="","",VLOOKUP(B161,CadProd!$A:$B,2,0)),"")</f>
        <v/>
      </c>
      <c r="D161" t="str">
        <f>IFERROR(IF(B161="","",VLOOKUP(B161,CadProd!$A:$C,3,0)),"")</f>
        <v/>
      </c>
    </row>
    <row r="162" spans="3:4" x14ac:dyDescent="0.3">
      <c r="C162" t="str">
        <f>IFERROR(IF(B162="","",VLOOKUP(B162,CadProd!$A:$B,2,0)),"")</f>
        <v/>
      </c>
      <c r="D162" t="str">
        <f>IFERROR(IF(B162="","",VLOOKUP(B162,CadProd!$A:$C,3,0)),"")</f>
        <v/>
      </c>
    </row>
    <row r="163" spans="3:4" x14ac:dyDescent="0.3">
      <c r="C163" t="str">
        <f>IFERROR(IF(B163="","",VLOOKUP(B163,CadProd!$A:$B,2,0)),"")</f>
        <v/>
      </c>
      <c r="D163" t="str">
        <f>IFERROR(IF(B163="","",VLOOKUP(B163,CadProd!$A:$C,3,0)),"")</f>
        <v/>
      </c>
    </row>
    <row r="164" spans="3:4" x14ac:dyDescent="0.3">
      <c r="C164" t="str">
        <f>IFERROR(IF(B164="","",VLOOKUP(B164,CadProd!$A:$B,2,0)),"")</f>
        <v/>
      </c>
      <c r="D164" t="str">
        <f>IFERROR(IF(B164="","",VLOOKUP(B164,CadProd!$A:$C,3,0)),"")</f>
        <v/>
      </c>
    </row>
    <row r="165" spans="3:4" x14ac:dyDescent="0.3">
      <c r="C165" t="str">
        <f>IFERROR(IF(B165="","",VLOOKUP(B165,CadProd!$A:$B,2,0)),"")</f>
        <v/>
      </c>
      <c r="D165" t="str">
        <f>IFERROR(IF(B165="","",VLOOKUP(B165,CadProd!$A:$C,3,0)),"")</f>
        <v/>
      </c>
    </row>
    <row r="166" spans="3:4" x14ac:dyDescent="0.3">
      <c r="C166" t="str">
        <f>IFERROR(IF(B166="","",VLOOKUP(B166,CadProd!$A:$B,2,0)),"")</f>
        <v/>
      </c>
      <c r="D166" t="str">
        <f>IFERROR(IF(B166="","",VLOOKUP(B166,CadProd!$A:$C,3,0)),"")</f>
        <v/>
      </c>
    </row>
    <row r="167" spans="3:4" x14ac:dyDescent="0.3">
      <c r="C167" t="str">
        <f>IFERROR(IF(B167="","",VLOOKUP(B167,CadProd!$A:$B,2,0)),"")</f>
        <v/>
      </c>
      <c r="D167" t="str">
        <f>IFERROR(IF(B167="","",VLOOKUP(B167,CadProd!$A:$C,3,0)),"")</f>
        <v/>
      </c>
    </row>
    <row r="168" spans="3:4" x14ac:dyDescent="0.3">
      <c r="C168" t="str">
        <f>IFERROR(IF(B168="","",VLOOKUP(B168,CadProd!$A:$B,2,0)),"")</f>
        <v/>
      </c>
      <c r="D168" t="str">
        <f>IFERROR(IF(B168="","",VLOOKUP(B168,CadProd!$A:$C,3,0)),"")</f>
        <v/>
      </c>
    </row>
    <row r="169" spans="3:4" x14ac:dyDescent="0.3">
      <c r="C169" t="str">
        <f>IFERROR(IF(B169="","",VLOOKUP(B169,CadProd!$A:$B,2,0)),"")</f>
        <v/>
      </c>
      <c r="D169" t="str">
        <f>IFERROR(IF(B169="","",VLOOKUP(B169,CadProd!$A:$C,3,0)),"")</f>
        <v/>
      </c>
    </row>
    <row r="170" spans="3:4" x14ac:dyDescent="0.3">
      <c r="C170" t="str">
        <f>IFERROR(IF(B170="","",VLOOKUP(B170,CadProd!$A:$B,2,0)),"")</f>
        <v/>
      </c>
      <c r="D170" t="str">
        <f>IFERROR(IF(B170="","",VLOOKUP(B170,CadProd!$A:$C,3,0)),"")</f>
        <v/>
      </c>
    </row>
    <row r="171" spans="3:4" x14ac:dyDescent="0.3">
      <c r="C171" t="str">
        <f>IFERROR(IF(B171="","",VLOOKUP(B171,CadProd!$A:$B,2,0)),"")</f>
        <v/>
      </c>
      <c r="D171" t="str">
        <f>IFERROR(IF(B171="","",VLOOKUP(B171,CadProd!$A:$C,3,0)),"")</f>
        <v/>
      </c>
    </row>
    <row r="172" spans="3:4" x14ac:dyDescent="0.3">
      <c r="C172" t="str">
        <f>IFERROR(IF(B172="","",VLOOKUP(B172,CadProd!$A:$B,2,0)),"")</f>
        <v/>
      </c>
      <c r="D172" t="str">
        <f>IFERROR(IF(B172="","",VLOOKUP(B172,CadProd!$A:$C,3,0)),"")</f>
        <v/>
      </c>
    </row>
    <row r="173" spans="3:4" x14ac:dyDescent="0.3">
      <c r="C173" t="str">
        <f>IFERROR(IF(B173="","",VLOOKUP(B173,CadProd!$A:$B,2,0)),"")</f>
        <v/>
      </c>
      <c r="D173" t="str">
        <f>IFERROR(IF(B173="","",VLOOKUP(B173,CadProd!$A:$C,3,0)),"")</f>
        <v/>
      </c>
    </row>
    <row r="174" spans="3:4" x14ac:dyDescent="0.3">
      <c r="C174" t="str">
        <f>IFERROR(IF(B174="","",VLOOKUP(B174,CadProd!$A:$B,2,0)),"")</f>
        <v/>
      </c>
      <c r="D174" t="str">
        <f>IFERROR(IF(B174="","",VLOOKUP(B174,CadProd!$A:$C,3,0)),"")</f>
        <v/>
      </c>
    </row>
    <row r="175" spans="3:4" x14ac:dyDescent="0.3">
      <c r="C175" t="str">
        <f>IFERROR(IF(B175="","",VLOOKUP(B175,CadProd!$A:$B,2,0)),"")</f>
        <v/>
      </c>
      <c r="D175" t="str">
        <f>IFERROR(IF(B175="","",VLOOKUP(B175,CadProd!$A:$C,3,0)),"")</f>
        <v/>
      </c>
    </row>
    <row r="176" spans="3:4" x14ac:dyDescent="0.3">
      <c r="C176" t="str">
        <f>IFERROR(IF(B176="","",VLOOKUP(B176,CadProd!$A:$B,2,0)),"")</f>
        <v/>
      </c>
      <c r="D176" t="str">
        <f>IFERROR(IF(B176="","",VLOOKUP(B176,CadProd!$A:$C,3,0)),"")</f>
        <v/>
      </c>
    </row>
    <row r="177" spans="3:4" x14ac:dyDescent="0.3">
      <c r="C177" t="str">
        <f>IFERROR(IF(B177="","",VLOOKUP(B177,CadProd!$A:$B,2,0)),"")</f>
        <v/>
      </c>
      <c r="D177" t="str">
        <f>IFERROR(IF(B177="","",VLOOKUP(B177,CadProd!$A:$C,3,0)),"")</f>
        <v/>
      </c>
    </row>
    <row r="178" spans="3:4" x14ac:dyDescent="0.3">
      <c r="C178" t="str">
        <f>IFERROR(IF(B178="","",VLOOKUP(B178,CadProd!$A:$B,2,0)),"")</f>
        <v/>
      </c>
      <c r="D178" t="str">
        <f>IFERROR(IF(B178="","",VLOOKUP(B178,CadProd!$A:$C,3,0)),"")</f>
        <v/>
      </c>
    </row>
    <row r="179" spans="3:4" x14ac:dyDescent="0.3">
      <c r="C179" t="str">
        <f>IFERROR(IF(B179="","",VLOOKUP(B179,CadProd!$A:$B,2,0)),"")</f>
        <v/>
      </c>
      <c r="D179" t="str">
        <f>IFERROR(IF(B179="","",VLOOKUP(B179,CadProd!$A:$C,3,0)),"")</f>
        <v/>
      </c>
    </row>
    <row r="180" spans="3:4" x14ac:dyDescent="0.3">
      <c r="C180" t="str">
        <f>IFERROR(IF(B180="","",VLOOKUP(B180,CadProd!$A:$B,2,0)),"")</f>
        <v/>
      </c>
      <c r="D180" t="str">
        <f>IFERROR(IF(B180="","",VLOOKUP(B180,CadProd!$A:$C,3,0)),"")</f>
        <v/>
      </c>
    </row>
    <row r="181" spans="3:4" x14ac:dyDescent="0.3">
      <c r="C181" t="str">
        <f>IFERROR(IF(B181="","",VLOOKUP(B181,CadProd!$A:$B,2,0)),"")</f>
        <v/>
      </c>
      <c r="D181" t="str">
        <f>IFERROR(IF(B181="","",VLOOKUP(B181,CadProd!$A:$C,3,0)),"")</f>
        <v/>
      </c>
    </row>
    <row r="182" spans="3:4" x14ac:dyDescent="0.3">
      <c r="C182" t="str">
        <f>IFERROR(IF(B182="","",VLOOKUP(B182,CadProd!$A:$B,2,0)),"")</f>
        <v/>
      </c>
      <c r="D182" t="str">
        <f>IFERROR(IF(B182="","",VLOOKUP(B182,CadProd!$A:$C,3,0)),"")</f>
        <v/>
      </c>
    </row>
    <row r="183" spans="3:4" x14ac:dyDescent="0.3">
      <c r="C183" t="str">
        <f>IFERROR(IF(B183="","",VLOOKUP(B183,CadProd!$A:$B,2,0)),"")</f>
        <v/>
      </c>
      <c r="D183" t="str">
        <f>IFERROR(IF(B183="","",VLOOKUP(B183,CadProd!$A:$C,3,0)),"")</f>
        <v/>
      </c>
    </row>
    <row r="184" spans="3:4" x14ac:dyDescent="0.3">
      <c r="C184" t="str">
        <f>IFERROR(IF(B184="","",VLOOKUP(B184,CadProd!$A:$B,2,0)),"")</f>
        <v/>
      </c>
      <c r="D184" t="str">
        <f>IFERROR(IF(B184="","",VLOOKUP(B184,CadProd!$A:$C,3,0)),"")</f>
        <v/>
      </c>
    </row>
    <row r="185" spans="3:4" x14ac:dyDescent="0.3">
      <c r="C185" t="str">
        <f>IFERROR(IF(B185="","",VLOOKUP(B185,CadProd!$A:$B,2,0)),"")</f>
        <v/>
      </c>
      <c r="D185" t="str">
        <f>IFERROR(IF(B185="","",VLOOKUP(B185,CadProd!$A:$C,3,0)),"")</f>
        <v/>
      </c>
    </row>
    <row r="186" spans="3:4" x14ac:dyDescent="0.3">
      <c r="C186" t="str">
        <f>IFERROR(IF(B186="","",VLOOKUP(B186,CadProd!$A:$B,2,0)),"")</f>
        <v/>
      </c>
      <c r="D186" t="str">
        <f>IFERROR(IF(B186="","",VLOOKUP(B186,CadProd!$A:$C,3,0)),"")</f>
        <v/>
      </c>
    </row>
    <row r="187" spans="3:4" x14ac:dyDescent="0.3">
      <c r="C187" t="str">
        <f>IFERROR(IF(B187="","",VLOOKUP(B187,CadProd!$A:$B,2,0)),"")</f>
        <v/>
      </c>
      <c r="D187" t="str">
        <f>IFERROR(IF(B187="","",VLOOKUP(B187,CadProd!$A:$C,3,0)),"")</f>
        <v/>
      </c>
    </row>
    <row r="188" spans="3:4" x14ac:dyDescent="0.3">
      <c r="C188" t="str">
        <f>IFERROR(IF(B188="","",VLOOKUP(B188,CadProd!$A:$B,2,0)),"")</f>
        <v/>
      </c>
      <c r="D188" t="str">
        <f>IFERROR(IF(B188="","",VLOOKUP(B188,CadProd!$A:$C,3,0)),"")</f>
        <v/>
      </c>
    </row>
    <row r="189" spans="3:4" x14ac:dyDescent="0.3">
      <c r="C189" t="str">
        <f>IFERROR(IF(B189="","",VLOOKUP(B189,CadProd!$A:$B,2,0)),"")</f>
        <v/>
      </c>
      <c r="D189" t="str">
        <f>IFERROR(IF(B189="","",VLOOKUP(B189,CadProd!$A:$C,3,0)),"")</f>
        <v/>
      </c>
    </row>
    <row r="190" spans="3:4" x14ac:dyDescent="0.3">
      <c r="C190" t="str">
        <f>IFERROR(IF(B190="","",VLOOKUP(B190,CadProd!$A:$B,2,0)),"")</f>
        <v/>
      </c>
      <c r="D190" t="str">
        <f>IFERROR(IF(B190="","",VLOOKUP(B190,CadProd!$A:$C,3,0)),"")</f>
        <v/>
      </c>
    </row>
    <row r="191" spans="3:4" x14ac:dyDescent="0.3">
      <c r="C191" t="str">
        <f>IFERROR(IF(B191="","",VLOOKUP(B191,CadProd!$A:$B,2,0)),"")</f>
        <v/>
      </c>
      <c r="D191" t="str">
        <f>IFERROR(IF(B191="","",VLOOKUP(B191,CadProd!$A:$C,3,0)),"")</f>
        <v/>
      </c>
    </row>
    <row r="192" spans="3:4" x14ac:dyDescent="0.3">
      <c r="C192" t="str">
        <f>IFERROR(IF(B192="","",VLOOKUP(B192,CadProd!$A:$B,2,0)),"")</f>
        <v/>
      </c>
      <c r="D192" t="str">
        <f>IFERROR(IF(B192="","",VLOOKUP(B192,CadProd!$A:$C,3,0)),"")</f>
        <v/>
      </c>
    </row>
    <row r="193" spans="3:4" x14ac:dyDescent="0.3">
      <c r="C193" t="str">
        <f>IFERROR(IF(B193="","",VLOOKUP(B193,CadProd!$A:$B,2,0)),"")</f>
        <v/>
      </c>
      <c r="D193" t="str">
        <f>IFERROR(IF(B193="","",VLOOKUP(B193,CadProd!$A:$C,3,0)),"")</f>
        <v/>
      </c>
    </row>
    <row r="194" spans="3:4" x14ac:dyDescent="0.3">
      <c r="C194" t="str">
        <f>IFERROR(IF(B194="","",VLOOKUP(B194,CadProd!$A:$B,2,0)),"")</f>
        <v/>
      </c>
      <c r="D194" t="str">
        <f>IFERROR(IF(B194="","",VLOOKUP(B194,CadProd!$A:$C,3,0)),"")</f>
        <v/>
      </c>
    </row>
    <row r="195" spans="3:4" x14ac:dyDescent="0.3">
      <c r="C195" t="str">
        <f>IFERROR(IF(B195="","",VLOOKUP(B195,CadProd!$A:$B,2,0)),"")</f>
        <v/>
      </c>
      <c r="D195" t="str">
        <f>IFERROR(IF(B195="","",VLOOKUP(B195,CadProd!$A:$C,3,0)),"")</f>
        <v/>
      </c>
    </row>
    <row r="196" spans="3:4" x14ac:dyDescent="0.3">
      <c r="C196" t="str">
        <f>IFERROR(IF(B196="","",VLOOKUP(B196,CadProd!$A:$B,2,0)),"")</f>
        <v/>
      </c>
      <c r="D196" t="str">
        <f>IFERROR(IF(B196="","",VLOOKUP(B196,CadProd!$A:$C,3,0)),"")</f>
        <v/>
      </c>
    </row>
    <row r="197" spans="3:4" x14ac:dyDescent="0.3">
      <c r="C197" t="str">
        <f>IFERROR(IF(B197="","",VLOOKUP(B197,CadProd!$A:$B,2,0)),"")</f>
        <v/>
      </c>
      <c r="D197" t="str">
        <f>IFERROR(IF(B197="","",VLOOKUP(B197,CadProd!$A:$C,3,0)),"")</f>
        <v/>
      </c>
    </row>
    <row r="198" spans="3:4" x14ac:dyDescent="0.3">
      <c r="C198" t="str">
        <f>IFERROR(IF(B198="","",VLOOKUP(B198,CadProd!$A:$B,2,0)),"")</f>
        <v/>
      </c>
      <c r="D198" t="str">
        <f>IFERROR(IF(B198="","",VLOOKUP(B198,CadProd!$A:$C,3,0)),"")</f>
        <v/>
      </c>
    </row>
    <row r="199" spans="3:4" x14ac:dyDescent="0.3">
      <c r="C199" t="str">
        <f>IFERROR(IF(B199="","",VLOOKUP(B199,CadProd!$A:$B,2,0)),"")</f>
        <v/>
      </c>
      <c r="D199" t="str">
        <f>IFERROR(IF(B199="","",VLOOKUP(B199,CadProd!$A:$C,3,0)),"")</f>
        <v/>
      </c>
    </row>
    <row r="200" spans="3:4" x14ac:dyDescent="0.3">
      <c r="C200" t="str">
        <f>IFERROR(IF(B200="","",VLOOKUP(B200,CadProd!$A:$B,2,0)),"")</f>
        <v/>
      </c>
      <c r="D200" t="str">
        <f>IFERROR(IF(B200="","",VLOOKUP(B200,CadProd!$A:$C,3,0)),"")</f>
        <v/>
      </c>
    </row>
    <row r="201" spans="3:4" x14ac:dyDescent="0.3">
      <c r="C201" t="str">
        <f>IFERROR(IF(B201="","",VLOOKUP(B201,CadProd!$A:$B,2,0)),"")</f>
        <v/>
      </c>
      <c r="D201" t="str">
        <f>IFERROR(IF(B201="","",VLOOKUP(B201,CadProd!$A:$C,3,0)),"")</f>
        <v/>
      </c>
    </row>
    <row r="202" spans="3:4" x14ac:dyDescent="0.3">
      <c r="C202" t="str">
        <f>IFERROR(IF(B202="","",VLOOKUP(B202,CadProd!$A:$B,2,0)),"")</f>
        <v/>
      </c>
      <c r="D202" t="str">
        <f>IFERROR(IF(B202="","",VLOOKUP(B202,CadProd!$A:$C,3,0)),"")</f>
        <v/>
      </c>
    </row>
    <row r="203" spans="3:4" x14ac:dyDescent="0.3">
      <c r="C203" t="str">
        <f>IFERROR(IF(B203="","",VLOOKUP(B203,CadProd!$A:$B,2,0)),"")</f>
        <v/>
      </c>
      <c r="D203" t="str">
        <f>IFERROR(IF(B203="","",VLOOKUP(B203,CadProd!$A:$C,3,0)),"")</f>
        <v/>
      </c>
    </row>
    <row r="204" spans="3:4" x14ac:dyDescent="0.3">
      <c r="C204" t="str">
        <f>IFERROR(IF(B204="","",VLOOKUP(B204,CadProd!$A:$B,2,0)),"")</f>
        <v/>
      </c>
      <c r="D204" t="str">
        <f>IFERROR(IF(B204="","",VLOOKUP(B204,CadProd!$A:$C,3,0)),"")</f>
        <v/>
      </c>
    </row>
    <row r="205" spans="3:4" x14ac:dyDescent="0.3">
      <c r="C205" t="str">
        <f>IFERROR(IF(B205="","",VLOOKUP(B205,CadProd!$A:$B,2,0)),"")</f>
        <v/>
      </c>
      <c r="D205" t="str">
        <f>IFERROR(IF(B205="","",VLOOKUP(B205,CadProd!$A:$C,3,0)),"")</f>
        <v/>
      </c>
    </row>
    <row r="206" spans="3:4" x14ac:dyDescent="0.3">
      <c r="C206" t="str">
        <f>IFERROR(IF(B206="","",VLOOKUP(B206,CadProd!$A:$B,2,0)),"")</f>
        <v/>
      </c>
      <c r="D206" t="str">
        <f>IFERROR(IF(B206="","",VLOOKUP(B206,CadProd!$A:$C,3,0)),"")</f>
        <v/>
      </c>
    </row>
    <row r="207" spans="3:4" x14ac:dyDescent="0.3">
      <c r="C207" t="str">
        <f>IFERROR(IF(B207="","",VLOOKUP(B207,CadProd!$A:$B,2,0)),"")</f>
        <v/>
      </c>
      <c r="D207" t="str">
        <f>IFERROR(IF(B207="","",VLOOKUP(B207,CadProd!$A:$C,3,0)),"")</f>
        <v/>
      </c>
    </row>
    <row r="208" spans="3:4" x14ac:dyDescent="0.3">
      <c r="C208" t="str">
        <f>IFERROR(IF(B208="","",VLOOKUP(B208,CadProd!$A:$B,2,0)),"")</f>
        <v/>
      </c>
      <c r="D208" t="str">
        <f>IFERROR(IF(B208="","",VLOOKUP(B208,CadProd!$A:$C,3,0)),"")</f>
        <v/>
      </c>
    </row>
    <row r="209" spans="3:4" x14ac:dyDescent="0.3">
      <c r="C209" t="str">
        <f>IFERROR(IF(B209="","",VLOOKUP(B209,CadProd!$A:$B,2,0)),"")</f>
        <v/>
      </c>
      <c r="D209" t="str">
        <f>IFERROR(IF(B209="","",VLOOKUP(B209,CadProd!$A:$C,3,0)),"")</f>
        <v/>
      </c>
    </row>
    <row r="210" spans="3:4" x14ac:dyDescent="0.3">
      <c r="C210" t="str">
        <f>IFERROR(IF(B210="","",VLOOKUP(B210,CadProd!$A:$B,2,0)),"")</f>
        <v/>
      </c>
      <c r="D210" t="str">
        <f>IFERROR(IF(B210="","",VLOOKUP(B210,CadProd!$A:$C,3,0)),"")</f>
        <v/>
      </c>
    </row>
    <row r="211" spans="3:4" x14ac:dyDescent="0.3">
      <c r="C211" t="str">
        <f>IFERROR(IF(B211="","",VLOOKUP(B211,CadProd!$A:$B,2,0)),"")</f>
        <v/>
      </c>
      <c r="D211" t="str">
        <f>IFERROR(IF(B211="","",VLOOKUP(B211,CadProd!$A:$C,3,0)),"")</f>
        <v/>
      </c>
    </row>
    <row r="212" spans="3:4" x14ac:dyDescent="0.3">
      <c r="C212" t="str">
        <f>IFERROR(IF(B212="","",VLOOKUP(B212,CadProd!$A:$B,2,0)),"")</f>
        <v/>
      </c>
      <c r="D212" t="str">
        <f>IFERROR(IF(B212="","",VLOOKUP(B212,CadProd!$A:$C,3,0)),"")</f>
        <v/>
      </c>
    </row>
    <row r="213" spans="3:4" x14ac:dyDescent="0.3">
      <c r="C213" t="str">
        <f>IFERROR(IF(B213="","",VLOOKUP(B213,CadProd!$A:$B,2,0)),"")</f>
        <v/>
      </c>
      <c r="D213" t="str">
        <f>IFERROR(IF(B213="","",VLOOKUP(B213,CadProd!$A:$C,3,0)),"")</f>
        <v/>
      </c>
    </row>
    <row r="214" spans="3:4" x14ac:dyDescent="0.3">
      <c r="C214" t="str">
        <f>IFERROR(IF(B214="","",VLOOKUP(B214,CadProd!$A:$B,2,0)),"")</f>
        <v/>
      </c>
      <c r="D214" t="str">
        <f>IFERROR(IF(B214="","",VLOOKUP(B214,CadProd!$A:$C,3,0)),"")</f>
        <v/>
      </c>
    </row>
    <row r="215" spans="3:4" x14ac:dyDescent="0.3">
      <c r="C215" t="str">
        <f>IFERROR(IF(B215="","",VLOOKUP(B215,CadProd!$A:$B,2,0)),"")</f>
        <v/>
      </c>
      <c r="D215" t="str">
        <f>IFERROR(IF(B215="","",VLOOKUP(B215,CadProd!$A:$C,3,0)),"")</f>
        <v/>
      </c>
    </row>
    <row r="216" spans="3:4" x14ac:dyDescent="0.3">
      <c r="C216" t="str">
        <f>IFERROR(IF(B216="","",VLOOKUP(B216,CadProd!$A:$B,2,0)),"")</f>
        <v/>
      </c>
      <c r="D216" t="str">
        <f>IFERROR(IF(B216="","",VLOOKUP(B216,CadProd!$A:$C,3,0)),"")</f>
        <v/>
      </c>
    </row>
    <row r="217" spans="3:4" x14ac:dyDescent="0.3">
      <c r="C217" t="str">
        <f>IFERROR(IF(B217="","",VLOOKUP(B217,CadProd!$A:$B,2,0)),"")</f>
        <v/>
      </c>
      <c r="D217" t="str">
        <f>IFERROR(IF(B217="","",VLOOKUP(B217,CadProd!$A:$C,3,0)),"")</f>
        <v/>
      </c>
    </row>
    <row r="218" spans="3:4" x14ac:dyDescent="0.3">
      <c r="C218" t="str">
        <f>IFERROR(IF(B218="","",VLOOKUP(B218,CadProd!$A:$B,2,0)),"")</f>
        <v/>
      </c>
      <c r="D218" t="str">
        <f>IFERROR(IF(B218="","",VLOOKUP(B218,CadProd!$A:$C,3,0)),"")</f>
        <v/>
      </c>
    </row>
    <row r="219" spans="3:4" x14ac:dyDescent="0.3">
      <c r="C219" t="str">
        <f>IFERROR(IF(B219="","",VLOOKUP(B219,CadProd!$A:$B,2,0)),"")</f>
        <v/>
      </c>
      <c r="D219" t="str">
        <f>IFERROR(IF(B219="","",VLOOKUP(B219,CadProd!$A:$C,3,0)),"")</f>
        <v/>
      </c>
    </row>
    <row r="220" spans="3:4" x14ac:dyDescent="0.3">
      <c r="C220" t="str">
        <f>IFERROR(IF(B220="","",VLOOKUP(B220,CadProd!$A:$B,2,0)),"")</f>
        <v/>
      </c>
      <c r="D220" t="str">
        <f>IFERROR(IF(B220="","",VLOOKUP(B220,CadProd!$A:$C,3,0)),"")</f>
        <v/>
      </c>
    </row>
    <row r="221" spans="3:4" x14ac:dyDescent="0.3">
      <c r="C221" t="str">
        <f>IFERROR(IF(B221="","",VLOOKUP(B221,CadProd!$A:$B,2,0)),"")</f>
        <v/>
      </c>
      <c r="D221" t="str">
        <f>IFERROR(IF(B221="","",VLOOKUP(B221,CadProd!$A:$C,3,0)),"")</f>
        <v/>
      </c>
    </row>
    <row r="222" spans="3:4" x14ac:dyDescent="0.3">
      <c r="C222" t="str">
        <f>IFERROR(IF(B222="","",VLOOKUP(B222,CadProd!$A:$B,2,0)),"")</f>
        <v/>
      </c>
      <c r="D222" t="str">
        <f>IFERROR(IF(B222="","",VLOOKUP(B222,CadProd!$A:$C,3,0)),"")</f>
        <v/>
      </c>
    </row>
    <row r="223" spans="3:4" x14ac:dyDescent="0.3">
      <c r="C223" t="str">
        <f>IFERROR(IF(B223="","",VLOOKUP(B223,CadProd!$A:$B,2,0)),"")</f>
        <v/>
      </c>
      <c r="D223" t="str">
        <f>IFERROR(IF(B223="","",VLOOKUP(B223,CadProd!$A:$C,3,0)),"")</f>
        <v/>
      </c>
    </row>
    <row r="224" spans="3:4" x14ac:dyDescent="0.3">
      <c r="C224" t="str">
        <f>IFERROR(IF(B224="","",VLOOKUP(B224,CadProd!$A:$B,2,0)),"")</f>
        <v/>
      </c>
      <c r="D224" t="str">
        <f>IFERROR(IF(B224="","",VLOOKUP(B224,CadProd!$A:$C,3,0)),"")</f>
        <v/>
      </c>
    </row>
    <row r="225" spans="3:4" x14ac:dyDescent="0.3">
      <c r="C225" t="str">
        <f>IFERROR(IF(B225="","",VLOOKUP(B225,CadProd!$A:$B,2,0)),"")</f>
        <v/>
      </c>
      <c r="D225" t="str">
        <f>IFERROR(IF(B225="","",VLOOKUP(B225,CadProd!$A:$C,3,0)),"")</f>
        <v/>
      </c>
    </row>
    <row r="226" spans="3:4" x14ac:dyDescent="0.3">
      <c r="C226" t="str">
        <f>IFERROR(IF(B226="","",VLOOKUP(B226,CadProd!$A:$B,2,0)),"")</f>
        <v/>
      </c>
      <c r="D226" t="str">
        <f>IFERROR(IF(B226="","",VLOOKUP(B226,CadProd!$A:$C,3,0)),"")</f>
        <v/>
      </c>
    </row>
    <row r="227" spans="3:4" x14ac:dyDescent="0.3">
      <c r="C227" t="str">
        <f>IFERROR(IF(B227="","",VLOOKUP(B227,CadProd!$A:$B,2,0)),"")</f>
        <v/>
      </c>
      <c r="D227" t="str">
        <f>IFERROR(IF(B227="","",VLOOKUP(B227,CadProd!$A:$C,3,0)),"")</f>
        <v/>
      </c>
    </row>
    <row r="228" spans="3:4" x14ac:dyDescent="0.3">
      <c r="C228" t="str">
        <f>IFERROR(IF(B228="","",VLOOKUP(B228,CadProd!$A:$B,2,0)),"")</f>
        <v/>
      </c>
      <c r="D228" t="str">
        <f>IFERROR(IF(B228="","",VLOOKUP(B228,CadProd!$A:$C,3,0)),"")</f>
        <v/>
      </c>
    </row>
    <row r="229" spans="3:4" x14ac:dyDescent="0.3">
      <c r="C229" t="str">
        <f>IFERROR(IF(B229="","",VLOOKUP(B229,CadProd!$A:$B,2,0)),"")</f>
        <v/>
      </c>
      <c r="D229" t="str">
        <f>IFERROR(IF(B229="","",VLOOKUP(B229,CadProd!$A:$C,3,0)),"")</f>
        <v/>
      </c>
    </row>
    <row r="230" spans="3:4" x14ac:dyDescent="0.3">
      <c r="C230" t="str">
        <f>IFERROR(IF(B230="","",VLOOKUP(B230,CadProd!$A:$B,2,0)),"")</f>
        <v/>
      </c>
      <c r="D230" t="str">
        <f>IFERROR(IF(B230="","",VLOOKUP(B230,CadProd!$A:$C,3,0)),"")</f>
        <v/>
      </c>
    </row>
    <row r="231" spans="3:4" x14ac:dyDescent="0.3">
      <c r="C231" t="str">
        <f>IFERROR(IF(B231="","",VLOOKUP(B231,CadProd!$A:$B,2,0)),"")</f>
        <v/>
      </c>
      <c r="D231" t="str">
        <f>IFERROR(IF(B231="","",VLOOKUP(B231,CadProd!$A:$C,3,0)),"")</f>
        <v/>
      </c>
    </row>
    <row r="232" spans="3:4" x14ac:dyDescent="0.3">
      <c r="C232" t="str">
        <f>IFERROR(IF(B232="","",VLOOKUP(B232,CadProd!$A:$B,2,0)),"")</f>
        <v/>
      </c>
      <c r="D232" t="str">
        <f>IFERROR(IF(B232="","",VLOOKUP(B232,CadProd!$A:$C,3,0)),"")</f>
        <v/>
      </c>
    </row>
    <row r="233" spans="3:4" x14ac:dyDescent="0.3">
      <c r="C233" t="str">
        <f>IFERROR(IF(B233="","",VLOOKUP(B233,CadProd!$A:$B,2,0)),"")</f>
        <v/>
      </c>
      <c r="D233" t="str">
        <f>IFERROR(IF(B233="","",VLOOKUP(B233,CadProd!$A:$C,3,0)),"")</f>
        <v/>
      </c>
    </row>
    <row r="234" spans="3:4" x14ac:dyDescent="0.3">
      <c r="C234" t="str">
        <f>IFERROR(IF(B234="","",VLOOKUP(B234,CadProd!$A:$B,2,0)),"")</f>
        <v/>
      </c>
      <c r="D234" t="str">
        <f>IFERROR(IF(B234="","",VLOOKUP(B234,CadProd!$A:$C,3,0)),"")</f>
        <v/>
      </c>
    </row>
    <row r="235" spans="3:4" x14ac:dyDescent="0.3">
      <c r="C235" t="str">
        <f>IFERROR(IF(B235="","",VLOOKUP(B235,CadProd!$A:$B,2,0)),"")</f>
        <v/>
      </c>
      <c r="D235" t="str">
        <f>IFERROR(IF(B235="","",VLOOKUP(B235,CadProd!$A:$C,3,0)),"")</f>
        <v/>
      </c>
    </row>
    <row r="236" spans="3:4" x14ac:dyDescent="0.3">
      <c r="C236" t="str">
        <f>IFERROR(IF(B236="","",VLOOKUP(B236,CadProd!$A:$B,2,0)),"")</f>
        <v/>
      </c>
      <c r="D236" t="str">
        <f>IFERROR(IF(B236="","",VLOOKUP(B236,CadProd!$A:$C,3,0)),"")</f>
        <v/>
      </c>
    </row>
    <row r="237" spans="3:4" x14ac:dyDescent="0.3">
      <c r="C237" t="str">
        <f>IFERROR(IF(B237="","",VLOOKUP(B237,CadProd!$A:$B,2,0)),"")</f>
        <v/>
      </c>
      <c r="D237" t="str">
        <f>IFERROR(IF(B237="","",VLOOKUP(B237,CadProd!$A:$C,3,0)),"")</f>
        <v/>
      </c>
    </row>
    <row r="238" spans="3:4" x14ac:dyDescent="0.3">
      <c r="C238" t="str">
        <f>IFERROR(IF(B238="","",VLOOKUP(B238,CadProd!$A:$B,2,0)),"")</f>
        <v/>
      </c>
      <c r="D238" t="str">
        <f>IFERROR(IF(B238="","",VLOOKUP(B238,CadProd!$A:$C,3,0)),"")</f>
        <v/>
      </c>
    </row>
    <row r="239" spans="3:4" x14ac:dyDescent="0.3">
      <c r="C239" t="str">
        <f>IFERROR(IF(B239="","",VLOOKUP(B239,CadProd!$A:$B,2,0)),"")</f>
        <v/>
      </c>
      <c r="D239" t="str">
        <f>IFERROR(IF(B239="","",VLOOKUP(B239,CadProd!$A:$C,3,0)),"")</f>
        <v/>
      </c>
    </row>
    <row r="240" spans="3:4" x14ac:dyDescent="0.3">
      <c r="C240" t="str">
        <f>IFERROR(IF(B240="","",VLOOKUP(B240,CadProd!$A:$B,2,0)),"")</f>
        <v/>
      </c>
      <c r="D240" t="str">
        <f>IFERROR(IF(B240="","",VLOOKUP(B240,CadProd!$A:$C,3,0)),"")</f>
        <v/>
      </c>
    </row>
    <row r="241" spans="3:4" x14ac:dyDescent="0.3">
      <c r="C241" t="str">
        <f>IFERROR(IF(B241="","",VLOOKUP(B241,CadProd!$A:$B,2,0)),"")</f>
        <v/>
      </c>
      <c r="D241" t="str">
        <f>IFERROR(IF(B241="","",VLOOKUP(B241,CadProd!$A:$C,3,0)),"")</f>
        <v/>
      </c>
    </row>
    <row r="242" spans="3:4" x14ac:dyDescent="0.3">
      <c r="C242" t="str">
        <f>IFERROR(IF(B242="","",VLOOKUP(B242,CadProd!$A:$B,2,0)),"")</f>
        <v/>
      </c>
      <c r="D242" t="str">
        <f>IFERROR(IF(B242="","",VLOOKUP(B242,CadProd!$A:$C,3,0)),"")</f>
        <v/>
      </c>
    </row>
    <row r="243" spans="3:4" x14ac:dyDescent="0.3">
      <c r="C243" t="str">
        <f>IFERROR(IF(B243="","",VLOOKUP(B243,CadProd!$A:$B,2,0)),"")</f>
        <v/>
      </c>
      <c r="D243" t="str">
        <f>IFERROR(IF(B243="","",VLOOKUP(B243,CadProd!$A:$C,3,0)),"")</f>
        <v/>
      </c>
    </row>
    <row r="244" spans="3:4" x14ac:dyDescent="0.3">
      <c r="C244" t="str">
        <f>IFERROR(IF(B244="","",VLOOKUP(B244,CadProd!$A:$B,2,0)),"")</f>
        <v/>
      </c>
      <c r="D244" t="str">
        <f>IFERROR(IF(B244="","",VLOOKUP(B244,CadProd!$A:$C,3,0)),"")</f>
        <v/>
      </c>
    </row>
    <row r="245" spans="3:4" x14ac:dyDescent="0.3">
      <c r="C245" t="str">
        <f>IFERROR(IF(B245="","",VLOOKUP(B245,CadProd!$A:$B,2,0)),"")</f>
        <v/>
      </c>
      <c r="D245" t="str">
        <f>IFERROR(IF(B245="","",VLOOKUP(B245,CadProd!$A:$C,3,0)),"")</f>
        <v/>
      </c>
    </row>
    <row r="246" spans="3:4" x14ac:dyDescent="0.3">
      <c r="C246" t="str">
        <f>IFERROR(IF(B246="","",VLOOKUP(B246,CadProd!$A:$B,2,0)),"")</f>
        <v/>
      </c>
      <c r="D246" t="str">
        <f>IFERROR(IF(B246="","",VLOOKUP(B246,CadProd!$A:$C,3,0)),"")</f>
        <v/>
      </c>
    </row>
    <row r="247" spans="3:4" x14ac:dyDescent="0.3">
      <c r="C247" t="str">
        <f>IFERROR(IF(B247="","",VLOOKUP(B247,CadProd!$A:$B,2,0)),"")</f>
        <v/>
      </c>
      <c r="D247" t="str">
        <f>IFERROR(IF(B247="","",VLOOKUP(B247,CadProd!$A:$C,3,0)),"")</f>
        <v/>
      </c>
    </row>
    <row r="248" spans="3:4" x14ac:dyDescent="0.3">
      <c r="C248" t="str">
        <f>IFERROR(IF(B248="","",VLOOKUP(B248,CadProd!$A:$B,2,0)),"")</f>
        <v/>
      </c>
      <c r="D248" t="str">
        <f>IFERROR(IF(B248="","",VLOOKUP(B248,CadProd!$A:$C,3,0)),"")</f>
        <v/>
      </c>
    </row>
    <row r="249" spans="3:4" x14ac:dyDescent="0.3">
      <c r="C249" t="str">
        <f>IFERROR(IF(B249="","",VLOOKUP(B249,CadProd!$A:$B,2,0)),"")</f>
        <v/>
      </c>
      <c r="D249" t="str">
        <f>IFERROR(IF(B249="","",VLOOKUP(B249,CadProd!$A:$C,3,0)),"")</f>
        <v/>
      </c>
    </row>
    <row r="250" spans="3:4" x14ac:dyDescent="0.3">
      <c r="C250" t="str">
        <f>IFERROR(IF(B250="","",VLOOKUP(B250,CadProd!$A:$B,2,0)),"")</f>
        <v/>
      </c>
      <c r="D250" t="str">
        <f>IFERROR(IF(B250="","",VLOOKUP(B250,CadProd!$A:$C,3,0)),"")</f>
        <v/>
      </c>
    </row>
    <row r="251" spans="3:4" x14ac:dyDescent="0.3">
      <c r="C251" t="str">
        <f>IFERROR(IF(B251="","",VLOOKUP(B251,CadProd!$A:$B,2,0)),"")</f>
        <v/>
      </c>
      <c r="D251" t="str">
        <f>IFERROR(IF(B251="","",VLOOKUP(B251,CadProd!$A:$C,3,0)),"")</f>
        <v/>
      </c>
    </row>
    <row r="252" spans="3:4" x14ac:dyDescent="0.3">
      <c r="C252" t="str">
        <f>IFERROR(IF(B252="","",VLOOKUP(B252,CadProd!$A:$B,2,0)),"")</f>
        <v/>
      </c>
      <c r="D252" t="str">
        <f>IFERROR(IF(B252="","",VLOOKUP(B252,CadProd!$A:$C,3,0)),"")</f>
        <v/>
      </c>
    </row>
    <row r="253" spans="3:4" x14ac:dyDescent="0.3">
      <c r="C253" t="str">
        <f>IFERROR(IF(B253="","",VLOOKUP(B253,CadProd!$A:$B,2,0)),"")</f>
        <v/>
      </c>
      <c r="D253" t="str">
        <f>IFERROR(IF(B253="","",VLOOKUP(B253,CadProd!$A:$C,3,0)),"")</f>
        <v/>
      </c>
    </row>
    <row r="254" spans="3:4" x14ac:dyDescent="0.3">
      <c r="C254" t="str">
        <f>IFERROR(IF(B254="","",VLOOKUP(B254,CadProd!$A:$B,2,0)),"")</f>
        <v/>
      </c>
      <c r="D254" t="str">
        <f>IFERROR(IF(B254="","",VLOOKUP(B254,CadProd!$A:$C,3,0)),"")</f>
        <v/>
      </c>
    </row>
    <row r="255" spans="3:4" x14ac:dyDescent="0.3">
      <c r="C255" t="str">
        <f>IFERROR(IF(B255="","",VLOOKUP(B255,CadProd!$A:$B,2,0)),"")</f>
        <v/>
      </c>
      <c r="D255" t="str">
        <f>IFERROR(IF(B255="","",VLOOKUP(B255,CadProd!$A:$C,3,0)),"")</f>
        <v/>
      </c>
    </row>
    <row r="256" spans="3:4" x14ac:dyDescent="0.3">
      <c r="C256" t="str">
        <f>IFERROR(IF(B256="","",VLOOKUP(B256,CadProd!$A:$B,2,0)),"")</f>
        <v/>
      </c>
      <c r="D256" t="str">
        <f>IFERROR(IF(B256="","",VLOOKUP(B256,CadProd!$A:$C,3,0)),"")</f>
        <v/>
      </c>
    </row>
    <row r="257" spans="3:4" x14ac:dyDescent="0.3">
      <c r="C257" t="str">
        <f>IFERROR(IF(B257="","",VLOOKUP(B257,CadProd!$A:$B,2,0)),"")</f>
        <v/>
      </c>
      <c r="D257" t="str">
        <f>IFERROR(IF(B257="","",VLOOKUP(B257,CadProd!$A:$C,3,0)),"")</f>
        <v/>
      </c>
    </row>
    <row r="258" spans="3:4" x14ac:dyDescent="0.3">
      <c r="C258" t="str">
        <f>IFERROR(IF(B258="","",VLOOKUP(B258,CadProd!$A:$B,2,0)),"")</f>
        <v/>
      </c>
      <c r="D258" t="str">
        <f>IFERROR(IF(B258="","",VLOOKUP(B258,CadProd!$A:$C,3,0)),"")</f>
        <v/>
      </c>
    </row>
    <row r="259" spans="3:4" x14ac:dyDescent="0.3">
      <c r="C259" t="str">
        <f>IFERROR(IF(B259="","",VLOOKUP(B259,CadProd!$A:$B,2,0)),"")</f>
        <v/>
      </c>
      <c r="D259" t="str">
        <f>IFERROR(IF(B259="","",VLOOKUP(B259,CadProd!$A:$C,3,0)),"")</f>
        <v/>
      </c>
    </row>
    <row r="260" spans="3:4" x14ac:dyDescent="0.3">
      <c r="C260" t="str">
        <f>IFERROR(IF(B260="","",VLOOKUP(B260,CadProd!$A:$B,2,0)),"")</f>
        <v/>
      </c>
      <c r="D260" t="str">
        <f>IFERROR(IF(B260="","",VLOOKUP(B260,CadProd!$A:$C,3,0)),"")</f>
        <v/>
      </c>
    </row>
    <row r="261" spans="3:4" x14ac:dyDescent="0.3">
      <c r="C261" t="str">
        <f>IFERROR(IF(B261="","",VLOOKUP(B261,CadProd!$A:$B,2,0)),"")</f>
        <v/>
      </c>
      <c r="D261" t="str">
        <f>IFERROR(IF(B261="","",VLOOKUP(B261,CadProd!$A:$C,3,0)),"")</f>
        <v/>
      </c>
    </row>
    <row r="262" spans="3:4" x14ac:dyDescent="0.3">
      <c r="C262" t="str">
        <f>IFERROR(IF(B262="","",VLOOKUP(B262,CadProd!$A:$B,2,0)),"")</f>
        <v/>
      </c>
      <c r="D262" t="str">
        <f>IFERROR(IF(B262="","",VLOOKUP(B262,CadProd!$A:$C,3,0)),"")</f>
        <v/>
      </c>
    </row>
    <row r="263" spans="3:4" x14ac:dyDescent="0.3">
      <c r="C263" t="str">
        <f>IFERROR(IF(B263="","",VLOOKUP(B263,CadProd!$A:$B,2,0)),"")</f>
        <v/>
      </c>
      <c r="D263" t="str">
        <f>IFERROR(IF(B263="","",VLOOKUP(B263,CadProd!$A:$C,3,0)),"")</f>
        <v/>
      </c>
    </row>
    <row r="264" spans="3:4" x14ac:dyDescent="0.3">
      <c r="C264" t="str">
        <f>IFERROR(IF(B264="","",VLOOKUP(B264,CadProd!$A:$B,2,0)),"")</f>
        <v/>
      </c>
      <c r="D264" t="str">
        <f>IFERROR(IF(B264="","",VLOOKUP(B264,CadProd!$A:$C,3,0)),"")</f>
        <v/>
      </c>
    </row>
    <row r="265" spans="3:4" x14ac:dyDescent="0.3">
      <c r="C265" t="str">
        <f>IFERROR(IF(B265="","",VLOOKUP(B265,CadProd!$A:$B,2,0)),"")</f>
        <v/>
      </c>
      <c r="D265" t="str">
        <f>IFERROR(IF(B265="","",VLOOKUP(B265,CadProd!$A:$C,3,0)),"")</f>
        <v/>
      </c>
    </row>
    <row r="266" spans="3:4" x14ac:dyDescent="0.3">
      <c r="C266" t="str">
        <f>IFERROR(IF(B266="","",VLOOKUP(B266,CadProd!$A:$B,2,0)),"")</f>
        <v/>
      </c>
      <c r="D266" t="str">
        <f>IFERROR(IF(B266="","",VLOOKUP(B266,CadProd!$A:$C,3,0)),"")</f>
        <v/>
      </c>
    </row>
    <row r="267" spans="3:4" x14ac:dyDescent="0.3">
      <c r="C267" t="str">
        <f>IFERROR(IF(B267="","",VLOOKUP(B267,CadProd!$A:$B,2,0)),"")</f>
        <v/>
      </c>
      <c r="D267" t="str">
        <f>IFERROR(IF(B267="","",VLOOKUP(B267,CadProd!$A:$C,3,0)),"")</f>
        <v/>
      </c>
    </row>
    <row r="268" spans="3:4" x14ac:dyDescent="0.3">
      <c r="C268" t="str">
        <f>IFERROR(IF(B268="","",VLOOKUP(B268,CadProd!$A:$B,2,0)),"")</f>
        <v/>
      </c>
      <c r="D268" t="str">
        <f>IFERROR(IF(B268="","",VLOOKUP(B268,CadProd!$A:$C,3,0)),"")</f>
        <v/>
      </c>
    </row>
    <row r="269" spans="3:4" x14ac:dyDescent="0.3">
      <c r="C269" t="str">
        <f>IFERROR(IF(B269="","",VLOOKUP(B269,CadProd!$A:$B,2,0)),"")</f>
        <v/>
      </c>
      <c r="D269" t="str">
        <f>IFERROR(IF(B269="","",VLOOKUP(B269,CadProd!$A:$C,3,0)),"")</f>
        <v/>
      </c>
    </row>
    <row r="270" spans="3:4" x14ac:dyDescent="0.3">
      <c r="C270" t="str">
        <f>IFERROR(IF(B270="","",VLOOKUP(B270,CadProd!$A:$B,2,0)),"")</f>
        <v/>
      </c>
      <c r="D270" t="str">
        <f>IFERROR(IF(B270="","",VLOOKUP(B270,CadProd!$A:$C,3,0)),"")</f>
        <v/>
      </c>
    </row>
    <row r="271" spans="3:4" x14ac:dyDescent="0.3">
      <c r="C271" t="str">
        <f>IFERROR(IF(B271="","",VLOOKUP(B271,CadProd!$A:$B,2,0)),"")</f>
        <v/>
      </c>
      <c r="D271" t="str">
        <f>IFERROR(IF(B271="","",VLOOKUP(B271,CadProd!$A:$C,3,0)),"")</f>
        <v/>
      </c>
    </row>
    <row r="272" spans="3:4" x14ac:dyDescent="0.3">
      <c r="C272" t="str">
        <f>IFERROR(IF(B272="","",VLOOKUP(B272,CadProd!$A:$B,2,0)),"")</f>
        <v/>
      </c>
      <c r="D272" t="str">
        <f>IFERROR(IF(B272="","",VLOOKUP(B272,CadProd!$A:$C,3,0)),"")</f>
        <v/>
      </c>
    </row>
    <row r="273" spans="3:4" x14ac:dyDescent="0.3">
      <c r="C273" t="str">
        <f>IFERROR(IF(B273="","",VLOOKUP(B273,CadProd!$A:$B,2,0)),"")</f>
        <v/>
      </c>
      <c r="D273" t="str">
        <f>IFERROR(IF(B273="","",VLOOKUP(B273,CadProd!$A:$C,3,0)),"")</f>
        <v/>
      </c>
    </row>
    <row r="274" spans="3:4" x14ac:dyDescent="0.3">
      <c r="C274" t="str">
        <f>IFERROR(IF(B274="","",VLOOKUP(B274,CadProd!$A:$B,2,0)),"")</f>
        <v/>
      </c>
      <c r="D274" t="str">
        <f>IFERROR(IF(B274="","",VLOOKUP(B274,CadProd!$A:$C,3,0)),"")</f>
        <v/>
      </c>
    </row>
    <row r="275" spans="3:4" x14ac:dyDescent="0.3">
      <c r="C275" t="str">
        <f>IFERROR(IF(B275="","",VLOOKUP(B275,CadProd!$A:$B,2,0)),"")</f>
        <v/>
      </c>
      <c r="D275" t="str">
        <f>IFERROR(IF(B275="","",VLOOKUP(B275,CadProd!$A:$C,3,0)),"")</f>
        <v/>
      </c>
    </row>
    <row r="276" spans="3:4" x14ac:dyDescent="0.3">
      <c r="C276" t="str">
        <f>IFERROR(IF(B276="","",VLOOKUP(B276,CadProd!$A:$B,2,0)),"")</f>
        <v/>
      </c>
      <c r="D276" t="str">
        <f>IFERROR(IF(B276="","",VLOOKUP(B276,CadProd!$A:$C,3,0)),"")</f>
        <v/>
      </c>
    </row>
    <row r="277" spans="3:4" x14ac:dyDescent="0.3">
      <c r="C277" t="str">
        <f>IFERROR(IF(B277="","",VLOOKUP(B277,CadProd!$A:$B,2,0)),"")</f>
        <v/>
      </c>
      <c r="D277" t="str">
        <f>IFERROR(IF(B277="","",VLOOKUP(B277,CadProd!$A:$C,3,0)),"")</f>
        <v/>
      </c>
    </row>
    <row r="278" spans="3:4" x14ac:dyDescent="0.3">
      <c r="C278" t="str">
        <f>IFERROR(IF(B278="","",VLOOKUP(B278,CadProd!$A:$B,2,0)),"")</f>
        <v/>
      </c>
      <c r="D278" t="str">
        <f>IFERROR(IF(B278="","",VLOOKUP(B278,CadProd!$A:$C,3,0)),"")</f>
        <v/>
      </c>
    </row>
    <row r="279" spans="3:4" x14ac:dyDescent="0.3">
      <c r="C279" t="str">
        <f>IFERROR(IF(B279="","",VLOOKUP(B279,CadProd!$A:$B,2,0)),"")</f>
        <v/>
      </c>
      <c r="D279" t="str">
        <f>IFERROR(IF(B279="","",VLOOKUP(B279,CadProd!$A:$C,3,0)),"")</f>
        <v/>
      </c>
    </row>
    <row r="280" spans="3:4" x14ac:dyDescent="0.3">
      <c r="C280" t="str">
        <f>IFERROR(IF(B280="","",VLOOKUP(B280,CadProd!$A:$B,2,0)),"")</f>
        <v/>
      </c>
      <c r="D280" t="str">
        <f>IFERROR(IF(B280="","",VLOOKUP(B280,CadProd!$A:$C,3,0)),"")</f>
        <v/>
      </c>
    </row>
    <row r="281" spans="3:4" x14ac:dyDescent="0.3">
      <c r="C281" t="str">
        <f>IFERROR(IF(B281="","",VLOOKUP(B281,CadProd!$A:$B,2,0)),"")</f>
        <v/>
      </c>
      <c r="D281" t="str">
        <f>IFERROR(IF(B281="","",VLOOKUP(B281,CadProd!$A:$C,3,0)),"")</f>
        <v/>
      </c>
    </row>
    <row r="282" spans="3:4" x14ac:dyDescent="0.3">
      <c r="C282" t="str">
        <f>IFERROR(IF(B282="","",VLOOKUP(B282,CadProd!$A:$B,2,0)),"")</f>
        <v/>
      </c>
      <c r="D282" t="str">
        <f>IFERROR(IF(B282="","",VLOOKUP(B282,CadProd!$A:$C,3,0)),"")</f>
        <v/>
      </c>
    </row>
    <row r="283" spans="3:4" x14ac:dyDescent="0.3">
      <c r="C283" t="str">
        <f>IFERROR(IF(B283="","",VLOOKUP(B283,CadProd!$A:$B,2,0)),"")</f>
        <v/>
      </c>
      <c r="D283" t="str">
        <f>IFERROR(IF(B283="","",VLOOKUP(B283,CadProd!$A:$C,3,0)),"")</f>
        <v/>
      </c>
    </row>
    <row r="284" spans="3:4" x14ac:dyDescent="0.3">
      <c r="C284" t="str">
        <f>IFERROR(IF(B284="","",VLOOKUP(B284,CadProd!$A:$B,2,0)),"")</f>
        <v/>
      </c>
      <c r="D284" t="str">
        <f>IFERROR(IF(B284="","",VLOOKUP(B284,CadProd!$A:$C,3,0)),"")</f>
        <v/>
      </c>
    </row>
    <row r="285" spans="3:4" x14ac:dyDescent="0.3">
      <c r="C285" t="str">
        <f>IFERROR(IF(B285="","",VLOOKUP(B285,CadProd!$A:$B,2,0)),"")</f>
        <v/>
      </c>
      <c r="D285" t="str">
        <f>IFERROR(IF(B285="","",VLOOKUP(B285,CadProd!$A:$C,3,0)),"")</f>
        <v/>
      </c>
    </row>
    <row r="286" spans="3:4" x14ac:dyDescent="0.3">
      <c r="C286" t="str">
        <f>IFERROR(IF(B286="","",VLOOKUP(B286,CadProd!$A:$B,2,0)),"")</f>
        <v/>
      </c>
      <c r="D286" t="str">
        <f>IFERROR(IF(B286="","",VLOOKUP(B286,CadProd!$A:$C,3,0)),"")</f>
        <v/>
      </c>
    </row>
    <row r="287" spans="3:4" x14ac:dyDescent="0.3">
      <c r="C287" t="str">
        <f>IFERROR(IF(B287="","",VLOOKUP(B287,CadProd!$A:$B,2,0)),"")</f>
        <v/>
      </c>
      <c r="D287" t="str">
        <f>IFERROR(IF(B287="","",VLOOKUP(B287,CadProd!$A:$C,3,0)),"")</f>
        <v/>
      </c>
    </row>
    <row r="288" spans="3:4" x14ac:dyDescent="0.3">
      <c r="C288" t="str">
        <f>IFERROR(IF(B288="","",VLOOKUP(B288,CadProd!$A:$B,2,0)),"")</f>
        <v/>
      </c>
      <c r="D288" t="str">
        <f>IFERROR(IF(B288="","",VLOOKUP(B288,CadProd!$A:$C,3,0)),"")</f>
        <v/>
      </c>
    </row>
    <row r="289" spans="3:4" x14ac:dyDescent="0.3">
      <c r="C289" t="str">
        <f>IFERROR(IF(B289="","",VLOOKUP(B289,CadProd!$A:$B,2,0)),"")</f>
        <v/>
      </c>
      <c r="D289" t="str">
        <f>IFERROR(IF(B289="","",VLOOKUP(B289,CadProd!$A:$C,3,0)),"")</f>
        <v/>
      </c>
    </row>
    <row r="290" spans="3:4" x14ac:dyDescent="0.3">
      <c r="C290" t="str">
        <f>IFERROR(IF(B290="","",VLOOKUP(B290,CadProd!$A:$B,2,0)),"")</f>
        <v/>
      </c>
      <c r="D290" t="str">
        <f>IFERROR(IF(B290="","",VLOOKUP(B290,CadProd!$A:$C,3,0)),"")</f>
        <v/>
      </c>
    </row>
    <row r="291" spans="3:4" x14ac:dyDescent="0.3">
      <c r="C291" t="str">
        <f>IFERROR(IF(B291="","",VLOOKUP(B291,CadProd!$A:$B,2,0)),"")</f>
        <v/>
      </c>
      <c r="D291" t="str">
        <f>IFERROR(IF(B291="","",VLOOKUP(B291,CadProd!$A:$C,3,0)),"")</f>
        <v/>
      </c>
    </row>
    <row r="292" spans="3:4" x14ac:dyDescent="0.3">
      <c r="C292" t="str">
        <f>IFERROR(IF(B292="","",VLOOKUP(B292,CadProd!$A:$B,2,0)),"")</f>
        <v/>
      </c>
      <c r="D292" t="str">
        <f>IFERROR(IF(B292="","",VLOOKUP(B292,CadProd!$A:$C,3,0)),"")</f>
        <v/>
      </c>
    </row>
    <row r="293" spans="3:4" x14ac:dyDescent="0.3">
      <c r="C293" t="str">
        <f>IFERROR(IF(B293="","",VLOOKUP(B293,CadProd!$A:$B,2,0)),"")</f>
        <v/>
      </c>
      <c r="D293" t="str">
        <f>IFERROR(IF(B293="","",VLOOKUP(B293,CadProd!$A:$C,3,0)),"")</f>
        <v/>
      </c>
    </row>
    <row r="294" spans="3:4" x14ac:dyDescent="0.3">
      <c r="C294" t="str">
        <f>IFERROR(IF(B294="","",VLOOKUP(B294,CadProd!$A:$B,2,0)),"")</f>
        <v/>
      </c>
      <c r="D294" t="str">
        <f>IFERROR(IF(B294="","",VLOOKUP(B294,CadProd!$A:$C,3,0)),"")</f>
        <v/>
      </c>
    </row>
    <row r="295" spans="3:4" x14ac:dyDescent="0.3">
      <c r="C295" t="str">
        <f>IFERROR(IF(B295="","",VLOOKUP(B295,CadProd!$A:$B,2,0)),"")</f>
        <v/>
      </c>
      <c r="D295" t="str">
        <f>IFERROR(IF(B295="","",VLOOKUP(B295,CadProd!$A:$C,3,0)),"")</f>
        <v/>
      </c>
    </row>
    <row r="296" spans="3:4" x14ac:dyDescent="0.3">
      <c r="C296" t="str">
        <f>IFERROR(IF(B296="","",VLOOKUP(B296,CadProd!$A:$B,2,0)),"")</f>
        <v/>
      </c>
      <c r="D296" t="str">
        <f>IFERROR(IF(B296="","",VLOOKUP(B296,CadProd!$A:$C,3,0)),"")</f>
        <v/>
      </c>
    </row>
    <row r="297" spans="3:4" x14ac:dyDescent="0.3">
      <c r="C297" t="str">
        <f>IFERROR(IF(B297="","",VLOOKUP(B297,CadProd!$A:$B,2,0)),"")</f>
        <v/>
      </c>
      <c r="D297" t="str">
        <f>IFERROR(IF(B297="","",VLOOKUP(B297,CadProd!$A:$C,3,0)),"")</f>
        <v/>
      </c>
    </row>
    <row r="298" spans="3:4" x14ac:dyDescent="0.3">
      <c r="C298" t="str">
        <f>IFERROR(IF(B298="","",VLOOKUP(B298,CadProd!$A:$B,2,0)),"")</f>
        <v/>
      </c>
      <c r="D298" t="str">
        <f>IFERROR(IF(B298="","",VLOOKUP(B298,CadProd!$A:$C,3,0)),"")</f>
        <v/>
      </c>
    </row>
    <row r="299" spans="3:4" x14ac:dyDescent="0.3">
      <c r="C299" t="str">
        <f>IFERROR(IF(B299="","",VLOOKUP(B299,CadProd!$A:$B,2,0)),"")</f>
        <v/>
      </c>
      <c r="D299" t="str">
        <f>IFERROR(IF(B299="","",VLOOKUP(B299,CadProd!$A:$C,3,0)),"")</f>
        <v/>
      </c>
    </row>
    <row r="300" spans="3:4" x14ac:dyDescent="0.3">
      <c r="C300" t="str">
        <f>IFERROR(IF(B300="","",VLOOKUP(B300,CadProd!$A:$B,2,0)),"")</f>
        <v/>
      </c>
      <c r="D300" t="str">
        <f>IFERROR(IF(B300="","",VLOOKUP(B300,CadProd!$A:$C,3,0)),"")</f>
        <v/>
      </c>
    </row>
    <row r="301" spans="3:4" x14ac:dyDescent="0.3">
      <c r="C301" t="str">
        <f>IFERROR(IF(B301="","",VLOOKUP(B301,CadProd!$A:$B,2,0)),"")</f>
        <v/>
      </c>
      <c r="D301" t="str">
        <f>IFERROR(IF(B301="","",VLOOKUP(B301,CadProd!$A:$C,3,0)),"")</f>
        <v/>
      </c>
    </row>
    <row r="302" spans="3:4" x14ac:dyDescent="0.3">
      <c r="C302" t="str">
        <f>IFERROR(IF(B302="","",VLOOKUP(B302,CadProd!$A:$B,2,0)),"")</f>
        <v/>
      </c>
      <c r="D302" t="str">
        <f>IFERROR(IF(B302="","",VLOOKUP(B302,CadProd!$A:$C,3,0)),"")</f>
        <v/>
      </c>
    </row>
    <row r="303" spans="3:4" x14ac:dyDescent="0.3">
      <c r="C303" t="str">
        <f>IFERROR(IF(B303="","",VLOOKUP(B303,CadProd!$A:$B,2,0)),"")</f>
        <v/>
      </c>
      <c r="D303" t="str">
        <f>IFERROR(IF(B303="","",VLOOKUP(B303,CadProd!$A:$C,3,0)),"")</f>
        <v/>
      </c>
    </row>
    <row r="304" spans="3:4" x14ac:dyDescent="0.3">
      <c r="C304" t="str">
        <f>IFERROR(IF(B304="","",VLOOKUP(B304,CadProd!$A:$B,2,0)),"")</f>
        <v/>
      </c>
      <c r="D304" t="str">
        <f>IFERROR(IF(B304="","",VLOOKUP(B304,CadProd!$A:$C,3,0)),"")</f>
        <v/>
      </c>
    </row>
    <row r="305" spans="3:4" x14ac:dyDescent="0.3">
      <c r="C305" t="str">
        <f>IFERROR(IF(B305="","",VLOOKUP(B305,CadProd!$A:$B,2,0)),"")</f>
        <v/>
      </c>
      <c r="D305" t="str">
        <f>IFERROR(IF(B305="","",VLOOKUP(B305,CadProd!$A:$C,3,0)),"")</f>
        <v/>
      </c>
    </row>
    <row r="306" spans="3:4" x14ac:dyDescent="0.3">
      <c r="C306" t="str">
        <f>IFERROR(IF(B306="","",VLOOKUP(B306,CadProd!$A:$B,2,0)),"")</f>
        <v/>
      </c>
      <c r="D306" t="str">
        <f>IFERROR(IF(B306="","",VLOOKUP(B306,CadProd!$A:$C,3,0)),"")</f>
        <v/>
      </c>
    </row>
    <row r="307" spans="3:4" x14ac:dyDescent="0.3">
      <c r="C307" t="str">
        <f>IFERROR(IF(B307="","",VLOOKUP(B307,CadProd!$A:$B,2,0)),"")</f>
        <v/>
      </c>
      <c r="D307" t="str">
        <f>IFERROR(IF(B307="","",VLOOKUP(B307,CadProd!$A:$C,3,0)),"")</f>
        <v/>
      </c>
    </row>
    <row r="308" spans="3:4" x14ac:dyDescent="0.3">
      <c r="C308" t="str">
        <f>IFERROR(IF(B308="","",VLOOKUP(B308,CadProd!$A:$B,2,0)),"")</f>
        <v/>
      </c>
      <c r="D308" t="str">
        <f>IFERROR(IF(B308="","",VLOOKUP(B308,CadProd!$A:$C,3,0)),"")</f>
        <v/>
      </c>
    </row>
    <row r="309" spans="3:4" x14ac:dyDescent="0.3">
      <c r="C309" t="str">
        <f>IFERROR(IF(B309="","",VLOOKUP(B309,CadProd!$A:$B,2,0)),"")</f>
        <v/>
      </c>
      <c r="D309" t="str">
        <f>IFERROR(IF(B309="","",VLOOKUP(B309,CadProd!$A:$C,3,0)),"")</f>
        <v/>
      </c>
    </row>
    <row r="310" spans="3:4" x14ac:dyDescent="0.3">
      <c r="C310" t="str">
        <f>IFERROR(IF(B310="","",VLOOKUP(B310,CadProd!$A:$B,2,0)),"")</f>
        <v/>
      </c>
      <c r="D310" t="str">
        <f>IFERROR(IF(B310="","",VLOOKUP(B310,CadProd!$A:$C,3,0)),"")</f>
        <v/>
      </c>
    </row>
    <row r="311" spans="3:4" x14ac:dyDescent="0.3">
      <c r="C311" t="str">
        <f>IFERROR(IF(B311="","",VLOOKUP(B311,CadProd!$A:$B,2,0)),"")</f>
        <v/>
      </c>
      <c r="D311" t="str">
        <f>IFERROR(IF(B311="","",VLOOKUP(B311,CadProd!$A:$C,3,0)),"")</f>
        <v/>
      </c>
    </row>
    <row r="312" spans="3:4" x14ac:dyDescent="0.3">
      <c r="C312" t="str">
        <f>IFERROR(IF(B312="","",VLOOKUP(B312,CadProd!$A:$B,2,0)),"")</f>
        <v/>
      </c>
      <c r="D312" t="str">
        <f>IFERROR(IF(B312="","",VLOOKUP(B312,CadProd!$A:$C,3,0)),"")</f>
        <v/>
      </c>
    </row>
    <row r="313" spans="3:4" x14ac:dyDescent="0.3">
      <c r="C313" t="str">
        <f>IFERROR(IF(B313="","",VLOOKUP(B313,CadProd!$A:$B,2,0)),"")</f>
        <v/>
      </c>
      <c r="D313" t="str">
        <f>IFERROR(IF(B313="","",VLOOKUP(B313,CadProd!$A:$C,3,0)),"")</f>
        <v/>
      </c>
    </row>
    <row r="314" spans="3:4" x14ac:dyDescent="0.3">
      <c r="C314" t="str">
        <f>IFERROR(IF(B314="","",VLOOKUP(B314,CadProd!$A:$B,2,0)),"")</f>
        <v/>
      </c>
      <c r="D314" t="str">
        <f>IFERROR(IF(B314="","",VLOOKUP(B314,CadProd!$A:$C,3,0)),"")</f>
        <v/>
      </c>
    </row>
    <row r="315" spans="3:4" x14ac:dyDescent="0.3">
      <c r="C315" t="str">
        <f>IFERROR(IF(B315="","",VLOOKUP(B315,CadProd!$A:$B,2,0)),"")</f>
        <v/>
      </c>
      <c r="D315" t="str">
        <f>IFERROR(IF(B315="","",VLOOKUP(B315,CadProd!$A:$C,3,0)),"")</f>
        <v/>
      </c>
    </row>
    <row r="316" spans="3:4" x14ac:dyDescent="0.3">
      <c r="C316" t="str">
        <f>IFERROR(IF(B316="","",VLOOKUP(B316,CadProd!$A:$B,2,0)),"")</f>
        <v/>
      </c>
      <c r="D316" t="str">
        <f>IFERROR(IF(B316="","",VLOOKUP(B316,CadProd!$A:$C,3,0)),"")</f>
        <v/>
      </c>
    </row>
    <row r="317" spans="3:4" x14ac:dyDescent="0.3">
      <c r="C317" t="str">
        <f>IFERROR(IF(B317="","",VLOOKUP(B317,CadProd!$A:$B,2,0)),"")</f>
        <v/>
      </c>
      <c r="D317" t="str">
        <f>IFERROR(IF(B317="","",VLOOKUP(B317,CadProd!$A:$C,3,0)),"")</f>
        <v/>
      </c>
    </row>
    <row r="318" spans="3:4" x14ac:dyDescent="0.3">
      <c r="C318" t="str">
        <f>IFERROR(IF(B318="","",VLOOKUP(B318,CadProd!$A:$B,2,0)),"")</f>
        <v/>
      </c>
      <c r="D318" t="str">
        <f>IFERROR(IF(B318="","",VLOOKUP(B318,CadProd!$A:$C,3,0)),"")</f>
        <v/>
      </c>
    </row>
    <row r="319" spans="3:4" x14ac:dyDescent="0.3">
      <c r="C319" t="str">
        <f>IFERROR(IF(B319="","",VLOOKUP(B319,CadProd!$A:$B,2,0)),"")</f>
        <v/>
      </c>
      <c r="D319" t="str">
        <f>IFERROR(IF(B319="","",VLOOKUP(B319,CadProd!$A:$C,3,0)),"")</f>
        <v/>
      </c>
    </row>
    <row r="320" spans="3:4" x14ac:dyDescent="0.3">
      <c r="C320" t="str">
        <f>IFERROR(IF(B320="","",VLOOKUP(B320,CadProd!$A:$B,2,0)),"")</f>
        <v/>
      </c>
      <c r="D320" t="str">
        <f>IFERROR(IF(B320="","",VLOOKUP(B320,CadProd!$A:$C,3,0)),"")</f>
        <v/>
      </c>
    </row>
    <row r="321" spans="3:4" x14ac:dyDescent="0.3">
      <c r="C321" t="str">
        <f>IFERROR(IF(B321="","",VLOOKUP(B321,CadProd!$A:$B,2,0)),"")</f>
        <v/>
      </c>
      <c r="D321" t="str">
        <f>IFERROR(IF(B321="","",VLOOKUP(B321,CadProd!$A:$C,3,0)),"")</f>
        <v/>
      </c>
    </row>
    <row r="322" spans="3:4" x14ac:dyDescent="0.3">
      <c r="C322" t="str">
        <f>IFERROR(IF(B322="","",VLOOKUP(B322,CadProd!$A:$B,2,0)),"")</f>
        <v/>
      </c>
      <c r="D322" t="str">
        <f>IFERROR(IF(B322="","",VLOOKUP(B322,CadProd!$A:$C,3,0)),"")</f>
        <v/>
      </c>
    </row>
    <row r="323" spans="3:4" x14ac:dyDescent="0.3">
      <c r="C323" t="str">
        <f>IFERROR(IF(B323="","",VLOOKUP(B323,CadProd!$A:$B,2,0)),"")</f>
        <v/>
      </c>
      <c r="D323" t="str">
        <f>IFERROR(IF(B323="","",VLOOKUP(B323,CadProd!$A:$C,3,0)),"")</f>
        <v/>
      </c>
    </row>
    <row r="324" spans="3:4" x14ac:dyDescent="0.3">
      <c r="C324" t="str">
        <f>IFERROR(IF(B324="","",VLOOKUP(B324,CadProd!$A:$B,2,0)),"")</f>
        <v/>
      </c>
      <c r="D324" t="str">
        <f>IFERROR(IF(B324="","",VLOOKUP(B324,CadProd!$A:$C,3,0)),"")</f>
        <v/>
      </c>
    </row>
    <row r="325" spans="3:4" x14ac:dyDescent="0.3">
      <c r="C325" t="str">
        <f>IFERROR(IF(B325="","",VLOOKUP(B325,CadProd!$A:$B,2,0)),"")</f>
        <v/>
      </c>
      <c r="D325" t="str">
        <f>IFERROR(IF(B325="","",VLOOKUP(B325,CadProd!$A:$C,3,0)),"")</f>
        <v/>
      </c>
    </row>
    <row r="326" spans="3:4" x14ac:dyDescent="0.3">
      <c r="C326" t="str">
        <f>IFERROR(IF(B326="","",VLOOKUP(B326,CadProd!$A:$B,2,0)),"")</f>
        <v/>
      </c>
      <c r="D326" t="str">
        <f>IFERROR(IF(B326="","",VLOOKUP(B326,CadProd!$A:$C,3,0)),"")</f>
        <v/>
      </c>
    </row>
    <row r="327" spans="3:4" x14ac:dyDescent="0.3">
      <c r="C327" t="str">
        <f>IFERROR(IF(B327="","",VLOOKUP(B327,CadProd!$A:$B,2,0)),"")</f>
        <v/>
      </c>
      <c r="D327" t="str">
        <f>IFERROR(IF(B327="","",VLOOKUP(B327,CadProd!$A:$C,3,0)),"")</f>
        <v/>
      </c>
    </row>
    <row r="328" spans="3:4" x14ac:dyDescent="0.3">
      <c r="C328" t="str">
        <f>IFERROR(IF(B328="","",VLOOKUP(B328,CadProd!$A:$B,2,0)),"")</f>
        <v/>
      </c>
      <c r="D328" t="str">
        <f>IFERROR(IF(B328="","",VLOOKUP(B328,CadProd!$A:$C,3,0)),"")</f>
        <v/>
      </c>
    </row>
    <row r="329" spans="3:4" x14ac:dyDescent="0.3">
      <c r="C329" t="str">
        <f>IFERROR(IF(B329="","",VLOOKUP(B329,CadProd!$A:$B,2,0)),"")</f>
        <v/>
      </c>
      <c r="D329" t="str">
        <f>IFERROR(IF(B329="","",VLOOKUP(B329,CadProd!$A:$C,3,0)),"")</f>
        <v/>
      </c>
    </row>
    <row r="330" spans="3:4" x14ac:dyDescent="0.3">
      <c r="C330" t="str">
        <f>IFERROR(IF(B330="","",VLOOKUP(B330,CadProd!$A:$B,2,0)),"")</f>
        <v/>
      </c>
      <c r="D330" t="str">
        <f>IFERROR(IF(B330="","",VLOOKUP(B330,CadProd!$A:$C,3,0)),"")</f>
        <v/>
      </c>
    </row>
    <row r="331" spans="3:4" x14ac:dyDescent="0.3">
      <c r="C331" t="str">
        <f>IFERROR(IF(B331="","",VLOOKUP(B331,CadProd!$A:$B,2,0)),"")</f>
        <v/>
      </c>
      <c r="D331" t="str">
        <f>IFERROR(IF(B331="","",VLOOKUP(B331,CadProd!$A:$C,3,0)),"")</f>
        <v/>
      </c>
    </row>
    <row r="332" spans="3:4" x14ac:dyDescent="0.3">
      <c r="C332" t="str">
        <f>IFERROR(IF(B332="","",VLOOKUP(B332,CadProd!$A:$B,2,0)),"")</f>
        <v/>
      </c>
      <c r="D332" t="str">
        <f>IFERROR(IF(B332="","",VLOOKUP(B332,CadProd!$A:$C,3,0)),"")</f>
        <v/>
      </c>
    </row>
    <row r="333" spans="3:4" x14ac:dyDescent="0.3">
      <c r="C333" t="str">
        <f>IFERROR(IF(B333="","",VLOOKUP(B333,CadProd!$A:$B,2,0)),"")</f>
        <v/>
      </c>
      <c r="D333" t="str">
        <f>IFERROR(IF(B333="","",VLOOKUP(B333,CadProd!$A:$C,3,0)),"")</f>
        <v/>
      </c>
    </row>
    <row r="334" spans="3:4" x14ac:dyDescent="0.3">
      <c r="C334" t="str">
        <f>IFERROR(IF(B334="","",VLOOKUP(B334,CadProd!$A:$B,2,0)),"")</f>
        <v/>
      </c>
      <c r="D334" t="str">
        <f>IFERROR(IF(B334="","",VLOOKUP(B334,CadProd!$A:$C,3,0)),"")</f>
        <v/>
      </c>
    </row>
    <row r="335" spans="3:4" x14ac:dyDescent="0.3">
      <c r="C335" t="str">
        <f>IFERROR(IF(B335="","",VLOOKUP(B335,CadProd!$A:$B,2,0)),"")</f>
        <v/>
      </c>
      <c r="D335" t="str">
        <f>IFERROR(IF(B335="","",VLOOKUP(B335,CadProd!$A:$C,3,0)),"")</f>
        <v/>
      </c>
    </row>
    <row r="336" spans="3:4" x14ac:dyDescent="0.3">
      <c r="C336" t="str">
        <f>IFERROR(IF(B336="","",VLOOKUP(B336,CadProd!$A:$B,2,0)),"")</f>
        <v/>
      </c>
      <c r="D336" t="str">
        <f>IFERROR(IF(B336="","",VLOOKUP(B336,CadProd!$A:$C,3,0)),"")</f>
        <v/>
      </c>
    </row>
    <row r="337" spans="3:4" x14ac:dyDescent="0.3">
      <c r="C337" t="str">
        <f>IFERROR(IF(B337="","",VLOOKUP(B337,CadProd!$A:$B,2,0)),"")</f>
        <v/>
      </c>
      <c r="D337" t="str">
        <f>IFERROR(IF(B337="","",VLOOKUP(B337,CadProd!$A:$C,3,0)),"")</f>
        <v/>
      </c>
    </row>
    <row r="338" spans="3:4" x14ac:dyDescent="0.3">
      <c r="C338" t="str">
        <f>IFERROR(IF(B338="","",VLOOKUP(B338,CadProd!$A:$B,2,0)),"")</f>
        <v/>
      </c>
      <c r="D338" t="str">
        <f>IFERROR(IF(B338="","",VLOOKUP(B338,CadProd!$A:$C,3,0)),"")</f>
        <v/>
      </c>
    </row>
    <row r="339" spans="3:4" x14ac:dyDescent="0.3">
      <c r="C339" t="str">
        <f>IFERROR(IF(B339="","",VLOOKUP(B339,CadProd!$A:$B,2,0)),"")</f>
        <v/>
      </c>
      <c r="D339" t="str">
        <f>IFERROR(IF(B339="","",VLOOKUP(B339,CadProd!$A:$C,3,0)),"")</f>
        <v/>
      </c>
    </row>
    <row r="340" spans="3:4" x14ac:dyDescent="0.3">
      <c r="C340" t="str">
        <f>IFERROR(IF(B340="","",VLOOKUP(B340,CadProd!$A:$B,2,0)),"")</f>
        <v/>
      </c>
      <c r="D340" t="str">
        <f>IFERROR(IF(B340="","",VLOOKUP(B340,CadProd!$A:$C,3,0)),"")</f>
        <v/>
      </c>
    </row>
    <row r="341" spans="3:4" x14ac:dyDescent="0.3">
      <c r="C341" t="str">
        <f>IFERROR(IF(B341="","",VLOOKUP(B341,CadProd!$A:$B,2,0)),"")</f>
        <v/>
      </c>
      <c r="D341" t="str">
        <f>IFERROR(IF(B341="","",VLOOKUP(B341,CadProd!$A:$C,3,0)),"")</f>
        <v/>
      </c>
    </row>
    <row r="342" spans="3:4" x14ac:dyDescent="0.3">
      <c r="C342" t="str">
        <f>IFERROR(IF(B342="","",VLOOKUP(B342,CadProd!$A:$B,2,0)),"")</f>
        <v/>
      </c>
      <c r="D342" t="str">
        <f>IFERROR(IF(B342="","",VLOOKUP(B342,CadProd!$A:$C,3,0)),"")</f>
        <v/>
      </c>
    </row>
    <row r="343" spans="3:4" x14ac:dyDescent="0.3">
      <c r="C343" t="str">
        <f>IFERROR(IF(B343="","",VLOOKUP(B343,CadProd!$A:$B,2,0)),"")</f>
        <v/>
      </c>
      <c r="D343" t="str">
        <f>IFERROR(IF(B343="","",VLOOKUP(B343,CadProd!$A:$C,3,0)),"")</f>
        <v/>
      </c>
    </row>
    <row r="344" spans="3:4" x14ac:dyDescent="0.3">
      <c r="C344" t="str">
        <f>IFERROR(IF(B344="","",VLOOKUP(B344,CadProd!$A:$B,2,0)),"")</f>
        <v/>
      </c>
      <c r="D344" t="str">
        <f>IFERROR(IF(B344="","",VLOOKUP(B344,CadProd!$A:$C,3,0)),"")</f>
        <v/>
      </c>
    </row>
    <row r="345" spans="3:4" x14ac:dyDescent="0.3">
      <c r="C345" t="str">
        <f>IFERROR(IF(B345="","",VLOOKUP(B345,CadProd!$A:$B,2,0)),"")</f>
        <v/>
      </c>
      <c r="D345" t="str">
        <f>IFERROR(IF(B345="","",VLOOKUP(B345,CadProd!$A:$C,3,0)),"")</f>
        <v/>
      </c>
    </row>
    <row r="346" spans="3:4" x14ac:dyDescent="0.3">
      <c r="C346" t="str">
        <f>IFERROR(IF(B346="","",VLOOKUP(B346,CadProd!$A:$B,2,0)),"")</f>
        <v/>
      </c>
      <c r="D346" t="str">
        <f>IFERROR(IF(B346="","",VLOOKUP(B346,CadProd!$A:$C,3,0)),"")</f>
        <v/>
      </c>
    </row>
    <row r="347" spans="3:4" x14ac:dyDescent="0.3">
      <c r="C347" t="str">
        <f>IFERROR(IF(B347="","",VLOOKUP(B347,CadProd!$A:$B,2,0)),"")</f>
        <v/>
      </c>
      <c r="D347" t="str">
        <f>IFERROR(IF(B347="","",VLOOKUP(B347,CadProd!$A:$C,3,0)),"")</f>
        <v/>
      </c>
    </row>
    <row r="348" spans="3:4" x14ac:dyDescent="0.3">
      <c r="C348" t="str">
        <f>IFERROR(IF(B348="","",VLOOKUP(B348,CadProd!$A:$B,2,0)),"")</f>
        <v/>
      </c>
      <c r="D348" t="str">
        <f>IFERROR(IF(B348="","",VLOOKUP(B348,CadProd!$A:$C,3,0)),"")</f>
        <v/>
      </c>
    </row>
    <row r="349" spans="3:4" x14ac:dyDescent="0.3">
      <c r="C349" t="str">
        <f>IFERROR(IF(B349="","",VLOOKUP(B349,CadProd!$A:$B,2,0)),"")</f>
        <v/>
      </c>
      <c r="D349" t="str">
        <f>IFERROR(IF(B349="","",VLOOKUP(B349,CadProd!$A:$C,3,0)),"")</f>
        <v/>
      </c>
    </row>
    <row r="350" spans="3:4" x14ac:dyDescent="0.3">
      <c r="C350" t="str">
        <f>IFERROR(IF(B350="","",VLOOKUP(B350,CadProd!$A:$B,2,0)),"")</f>
        <v/>
      </c>
      <c r="D350" t="str">
        <f>IFERROR(IF(B350="","",VLOOKUP(B350,CadProd!$A:$C,3,0)),"")</f>
        <v/>
      </c>
    </row>
    <row r="351" spans="3:4" x14ac:dyDescent="0.3">
      <c r="C351" t="str">
        <f>IFERROR(IF(B351="","",VLOOKUP(B351,CadProd!$A:$B,2,0)),"")</f>
        <v/>
      </c>
      <c r="D351" t="str">
        <f>IFERROR(IF(B351="","",VLOOKUP(B351,CadProd!$A:$C,3,0)),"")</f>
        <v/>
      </c>
    </row>
    <row r="352" spans="3:4" x14ac:dyDescent="0.3">
      <c r="C352" t="str">
        <f>IFERROR(IF(B352="","",VLOOKUP(B352,CadProd!$A:$B,2,0)),"")</f>
        <v/>
      </c>
      <c r="D352" t="str">
        <f>IFERROR(IF(B352="","",VLOOKUP(B352,CadProd!$A:$C,3,0)),"")</f>
        <v/>
      </c>
    </row>
    <row r="353" spans="3:4" x14ac:dyDescent="0.3">
      <c r="C353" t="str">
        <f>IFERROR(IF(B353="","",VLOOKUP(B353,CadProd!$A:$B,2,0)),"")</f>
        <v/>
      </c>
      <c r="D353" t="str">
        <f>IFERROR(IF(B353="","",VLOOKUP(B353,CadProd!$A:$C,3,0)),"")</f>
        <v/>
      </c>
    </row>
    <row r="354" spans="3:4" x14ac:dyDescent="0.3">
      <c r="C354" t="str">
        <f>IFERROR(IF(B354="","",VLOOKUP(B354,CadProd!$A:$B,2,0)),"")</f>
        <v/>
      </c>
      <c r="D354" t="str">
        <f>IFERROR(IF(B354="","",VLOOKUP(B354,CadProd!$A:$C,3,0)),"")</f>
        <v/>
      </c>
    </row>
    <row r="355" spans="3:4" x14ac:dyDescent="0.3">
      <c r="C355" t="str">
        <f>IFERROR(IF(B355="","",VLOOKUP(B355,CadProd!$A:$B,2,0)),"")</f>
        <v/>
      </c>
      <c r="D355" t="str">
        <f>IFERROR(IF(B355="","",VLOOKUP(B355,CadProd!$A:$C,3,0)),"")</f>
        <v/>
      </c>
    </row>
    <row r="356" spans="3:4" x14ac:dyDescent="0.3">
      <c r="C356" t="str">
        <f>IFERROR(IF(B356="","",VLOOKUP(B356,CadProd!$A:$B,2,0)),"")</f>
        <v/>
      </c>
      <c r="D356" t="str">
        <f>IFERROR(IF(B356="","",VLOOKUP(B356,CadProd!$A:$C,3,0)),"")</f>
        <v/>
      </c>
    </row>
    <row r="357" spans="3:4" x14ac:dyDescent="0.3">
      <c r="C357" t="str">
        <f>IFERROR(IF(B357="","",VLOOKUP(B357,CadProd!$A:$B,2,0)),"")</f>
        <v/>
      </c>
      <c r="D357" t="str">
        <f>IFERROR(IF(B357="","",VLOOKUP(B357,CadProd!$A:$C,3,0)),"")</f>
        <v/>
      </c>
    </row>
    <row r="358" spans="3:4" x14ac:dyDescent="0.3">
      <c r="C358" t="str">
        <f>IFERROR(IF(B358="","",VLOOKUP(B358,CadProd!$A:$B,2,0)),"")</f>
        <v/>
      </c>
      <c r="D358" t="str">
        <f>IFERROR(IF(B358="","",VLOOKUP(B358,CadProd!$A:$C,3,0)),"")</f>
        <v/>
      </c>
    </row>
    <row r="359" spans="3:4" x14ac:dyDescent="0.3">
      <c r="C359" t="str">
        <f>IFERROR(IF(B359="","",VLOOKUP(B359,CadProd!$A:$B,2,0)),"")</f>
        <v/>
      </c>
      <c r="D359" t="str">
        <f>IFERROR(IF(B359="","",VLOOKUP(B359,CadProd!$A:$C,3,0)),"")</f>
        <v/>
      </c>
    </row>
    <row r="360" spans="3:4" x14ac:dyDescent="0.3">
      <c r="C360" t="str">
        <f>IFERROR(IF(B360="","",VLOOKUP(B360,CadProd!$A:$B,2,0)),"")</f>
        <v/>
      </c>
      <c r="D360" t="str">
        <f>IFERROR(IF(B360="","",VLOOKUP(B360,CadProd!$A:$C,3,0)),"")</f>
        <v/>
      </c>
    </row>
    <row r="361" spans="3:4" x14ac:dyDescent="0.3">
      <c r="C361" t="str">
        <f>IFERROR(IF(B361="","",VLOOKUP(B361,CadProd!$A:$B,2,0)),"")</f>
        <v/>
      </c>
      <c r="D361" t="str">
        <f>IFERROR(IF(B361="","",VLOOKUP(B361,CadProd!$A:$C,3,0)),"")</f>
        <v/>
      </c>
    </row>
    <row r="362" spans="3:4" x14ac:dyDescent="0.3">
      <c r="C362" t="str">
        <f>IFERROR(IF(B362="","",VLOOKUP(B362,CadProd!$A:$B,2,0)),"")</f>
        <v/>
      </c>
      <c r="D362" t="str">
        <f>IFERROR(IF(B362="","",VLOOKUP(B362,CadProd!$A:$C,3,0)),"")</f>
        <v/>
      </c>
    </row>
    <row r="363" spans="3:4" x14ac:dyDescent="0.3">
      <c r="C363" t="str">
        <f>IFERROR(IF(B363="","",VLOOKUP(B363,CadProd!$A:$B,2,0)),"")</f>
        <v/>
      </c>
      <c r="D363" t="str">
        <f>IFERROR(IF(B363="","",VLOOKUP(B363,CadProd!$A:$C,3,0)),"")</f>
        <v/>
      </c>
    </row>
    <row r="364" spans="3:4" x14ac:dyDescent="0.3">
      <c r="C364" t="str">
        <f>IFERROR(IF(B364="","",VLOOKUP(B364,CadProd!$A:$B,2,0)),"")</f>
        <v/>
      </c>
      <c r="D364" t="str">
        <f>IFERROR(IF(B364="","",VLOOKUP(B364,CadProd!$A:$C,3,0)),"")</f>
        <v/>
      </c>
    </row>
    <row r="365" spans="3:4" x14ac:dyDescent="0.3">
      <c r="C365" t="str">
        <f>IFERROR(IF(B365="","",VLOOKUP(B365,CadProd!$A:$B,2,0)),"")</f>
        <v/>
      </c>
      <c r="D365" t="str">
        <f>IFERROR(IF(B365="","",VLOOKUP(B365,CadProd!$A:$C,3,0)),"")</f>
        <v/>
      </c>
    </row>
    <row r="366" spans="3:4" x14ac:dyDescent="0.3">
      <c r="C366" t="str">
        <f>IFERROR(IF(B366="","",VLOOKUP(B366,CadProd!$A:$B,2,0)),"")</f>
        <v/>
      </c>
      <c r="D366" t="str">
        <f>IFERROR(IF(B366="","",VLOOKUP(B366,CadProd!$A:$C,3,0)),"")</f>
        <v/>
      </c>
    </row>
    <row r="367" spans="3:4" x14ac:dyDescent="0.3">
      <c r="C367" t="str">
        <f>IFERROR(IF(B367="","",VLOOKUP(B367,CadProd!$A:$B,2,0)),"")</f>
        <v/>
      </c>
      <c r="D367" t="str">
        <f>IFERROR(IF(B367="","",VLOOKUP(B367,CadProd!$A:$C,3,0)),"")</f>
        <v/>
      </c>
    </row>
    <row r="368" spans="3:4" x14ac:dyDescent="0.3">
      <c r="C368" t="str">
        <f>IFERROR(IF(B368="","",VLOOKUP(B368,CadProd!$A:$B,2,0)),"")</f>
        <v/>
      </c>
      <c r="D368" t="str">
        <f>IFERROR(IF(B368="","",VLOOKUP(B368,CadProd!$A:$C,3,0)),"")</f>
        <v/>
      </c>
    </row>
    <row r="369" spans="3:4" x14ac:dyDescent="0.3">
      <c r="C369" t="str">
        <f>IFERROR(IF(B369="","",VLOOKUP(B369,CadProd!$A:$B,2,0)),"")</f>
        <v/>
      </c>
      <c r="D369" t="str">
        <f>IFERROR(IF(B369="","",VLOOKUP(B369,CadProd!$A:$C,3,0)),"")</f>
        <v/>
      </c>
    </row>
    <row r="370" spans="3:4" x14ac:dyDescent="0.3">
      <c r="C370" t="str">
        <f>IFERROR(IF(B370="","",VLOOKUP(B370,CadProd!$A:$B,2,0)),"")</f>
        <v/>
      </c>
      <c r="D370" t="str">
        <f>IFERROR(IF(B370="","",VLOOKUP(B370,CadProd!$A:$C,3,0)),"")</f>
        <v/>
      </c>
    </row>
    <row r="371" spans="3:4" x14ac:dyDescent="0.3">
      <c r="C371" t="str">
        <f>IFERROR(IF(B371="","",VLOOKUP(B371,CadProd!$A:$B,2,0)),"")</f>
        <v/>
      </c>
      <c r="D371" t="str">
        <f>IFERROR(IF(B371="","",VLOOKUP(B371,CadProd!$A:$C,3,0)),"")</f>
        <v/>
      </c>
    </row>
    <row r="372" spans="3:4" x14ac:dyDescent="0.3">
      <c r="C372" t="str">
        <f>IFERROR(IF(B372="","",VLOOKUP(B372,CadProd!$A:$B,2,0)),"")</f>
        <v/>
      </c>
      <c r="D372" t="str">
        <f>IFERROR(IF(B372="","",VLOOKUP(B372,CadProd!$A:$C,3,0)),"")</f>
        <v/>
      </c>
    </row>
    <row r="373" spans="3:4" x14ac:dyDescent="0.3">
      <c r="C373" t="str">
        <f>IFERROR(IF(B373="","",VLOOKUP(B373,CadProd!$A:$B,2,0)),"")</f>
        <v/>
      </c>
      <c r="D373" t="str">
        <f>IFERROR(IF(B373="","",VLOOKUP(B373,CadProd!$A:$C,3,0)),"")</f>
        <v/>
      </c>
    </row>
    <row r="374" spans="3:4" x14ac:dyDescent="0.3">
      <c r="C374" t="str">
        <f>IFERROR(IF(B374="","",VLOOKUP(B374,CadProd!$A:$B,2,0)),"")</f>
        <v/>
      </c>
      <c r="D374" t="str">
        <f>IFERROR(IF(B374="","",VLOOKUP(B374,CadProd!$A:$C,3,0)),"")</f>
        <v/>
      </c>
    </row>
    <row r="375" spans="3:4" x14ac:dyDescent="0.3">
      <c r="C375" t="str">
        <f>IFERROR(IF(B375="","",VLOOKUP(B375,CadProd!$A:$B,2,0)),"")</f>
        <v/>
      </c>
      <c r="D375" t="str">
        <f>IFERROR(IF(B375="","",VLOOKUP(B375,CadProd!$A:$C,3,0)),"")</f>
        <v/>
      </c>
    </row>
    <row r="376" spans="3:4" x14ac:dyDescent="0.3">
      <c r="C376" t="str">
        <f>IFERROR(IF(B376="","",VLOOKUP(B376,CadProd!$A:$B,2,0)),"")</f>
        <v/>
      </c>
      <c r="D376" t="str">
        <f>IFERROR(IF(B376="","",VLOOKUP(B376,CadProd!$A:$C,3,0)),"")</f>
        <v/>
      </c>
    </row>
    <row r="377" spans="3:4" x14ac:dyDescent="0.3">
      <c r="C377" t="str">
        <f>IFERROR(IF(B377="","",VLOOKUP(B377,CadProd!$A:$B,2,0)),"")</f>
        <v/>
      </c>
      <c r="D377" t="str">
        <f>IFERROR(IF(B377="","",VLOOKUP(B377,CadProd!$A:$C,3,0)),"")</f>
        <v/>
      </c>
    </row>
    <row r="378" spans="3:4" x14ac:dyDescent="0.3">
      <c r="C378" t="str">
        <f>IFERROR(IF(B378="","",VLOOKUP(B378,CadProd!$A:$B,2,0)),"")</f>
        <v/>
      </c>
      <c r="D378" t="str">
        <f>IFERROR(IF(B378="","",VLOOKUP(B378,CadProd!$A:$C,3,0)),"")</f>
        <v/>
      </c>
    </row>
    <row r="379" spans="3:4" x14ac:dyDescent="0.3">
      <c r="C379" t="str">
        <f>IFERROR(IF(B379="","",VLOOKUP(B379,CadProd!$A:$B,2,0)),"")</f>
        <v/>
      </c>
      <c r="D379" t="str">
        <f>IFERROR(IF(B379="","",VLOOKUP(B379,CadProd!$A:$C,3,0)),"")</f>
        <v/>
      </c>
    </row>
    <row r="380" spans="3:4" x14ac:dyDescent="0.3">
      <c r="C380" t="str">
        <f>IFERROR(IF(B380="","",VLOOKUP(B380,CadProd!$A:$B,2,0)),"")</f>
        <v/>
      </c>
      <c r="D380" t="str">
        <f>IFERROR(IF(B380="","",VLOOKUP(B380,CadProd!$A:$C,3,0)),"")</f>
        <v/>
      </c>
    </row>
    <row r="381" spans="3:4" x14ac:dyDescent="0.3">
      <c r="C381" t="str">
        <f>IFERROR(IF(B381="","",VLOOKUP(B381,CadProd!$A:$B,2,0)),"")</f>
        <v/>
      </c>
      <c r="D381" t="str">
        <f>IFERROR(IF(B381="","",VLOOKUP(B381,CadProd!$A:$C,3,0)),"")</f>
        <v/>
      </c>
    </row>
    <row r="382" spans="3:4" x14ac:dyDescent="0.3">
      <c r="C382" t="str">
        <f>IFERROR(IF(B382="","",VLOOKUP(B382,CadProd!$A:$B,2,0)),"")</f>
        <v/>
      </c>
      <c r="D382" t="str">
        <f>IFERROR(IF(B382="","",VLOOKUP(B382,CadProd!$A:$C,3,0)),"")</f>
        <v/>
      </c>
    </row>
    <row r="383" spans="3:4" x14ac:dyDescent="0.3">
      <c r="C383" t="str">
        <f>IFERROR(IF(B383="","",VLOOKUP(B383,CadProd!$A:$B,2,0)),"")</f>
        <v/>
      </c>
      <c r="D383" t="str">
        <f>IFERROR(IF(B383="","",VLOOKUP(B383,CadProd!$A:$C,3,0)),"")</f>
        <v/>
      </c>
    </row>
    <row r="384" spans="3:4" x14ac:dyDescent="0.3">
      <c r="C384" t="str">
        <f>IFERROR(IF(B384="","",VLOOKUP(B384,CadProd!$A:$B,2,0)),"")</f>
        <v/>
      </c>
      <c r="D384" t="str">
        <f>IFERROR(IF(B384="","",VLOOKUP(B384,CadProd!$A:$C,3,0)),"")</f>
        <v/>
      </c>
    </row>
    <row r="385" spans="3:4" x14ac:dyDescent="0.3">
      <c r="C385" t="str">
        <f>IFERROR(IF(B385="","",VLOOKUP(B385,CadProd!$A:$B,2,0)),"")</f>
        <v/>
      </c>
      <c r="D385" t="str">
        <f>IFERROR(IF(B385="","",VLOOKUP(B385,CadProd!$A:$C,3,0)),"")</f>
        <v/>
      </c>
    </row>
    <row r="386" spans="3:4" x14ac:dyDescent="0.3">
      <c r="C386" t="str">
        <f>IFERROR(IF(B386="","",VLOOKUP(B386,CadProd!$A:$B,2,0)),"")</f>
        <v/>
      </c>
      <c r="D386" t="str">
        <f>IFERROR(IF(B386="","",VLOOKUP(B386,CadProd!$A:$C,3,0)),"")</f>
        <v/>
      </c>
    </row>
    <row r="387" spans="3:4" x14ac:dyDescent="0.3">
      <c r="C387" t="str">
        <f>IFERROR(IF(B387="","",VLOOKUP(B387,CadProd!$A:$B,2,0)),"")</f>
        <v/>
      </c>
      <c r="D387" t="str">
        <f>IFERROR(IF(B387="","",VLOOKUP(B387,CadProd!$A:$C,3,0)),"")</f>
        <v/>
      </c>
    </row>
    <row r="388" spans="3:4" x14ac:dyDescent="0.3">
      <c r="C388" t="str">
        <f>IFERROR(IF(B388="","",VLOOKUP(B388,CadProd!$A:$B,2,0)),"")</f>
        <v/>
      </c>
      <c r="D388" t="str">
        <f>IFERROR(IF(B388="","",VLOOKUP(B388,CadProd!$A:$C,3,0)),"")</f>
        <v/>
      </c>
    </row>
    <row r="389" spans="3:4" x14ac:dyDescent="0.3">
      <c r="C389" t="str">
        <f>IFERROR(IF(B389="","",VLOOKUP(B389,CadProd!$A:$B,2,0)),"")</f>
        <v/>
      </c>
      <c r="D389" t="str">
        <f>IFERROR(IF(B389="","",VLOOKUP(B389,CadProd!$A:$C,3,0)),"")</f>
        <v/>
      </c>
    </row>
    <row r="390" spans="3:4" x14ac:dyDescent="0.3">
      <c r="C390" t="str">
        <f>IFERROR(IF(B390="","",VLOOKUP(B390,CadProd!$A:$B,2,0)),"")</f>
        <v/>
      </c>
      <c r="D390" t="str">
        <f>IFERROR(IF(B390="","",VLOOKUP(B390,CadProd!$A:$C,3,0)),"")</f>
        <v/>
      </c>
    </row>
    <row r="391" spans="3:4" x14ac:dyDescent="0.3">
      <c r="C391" t="str">
        <f>IFERROR(IF(B391="","",VLOOKUP(B391,CadProd!$A:$B,2,0)),"")</f>
        <v/>
      </c>
      <c r="D391" t="str">
        <f>IFERROR(IF(B391="","",VLOOKUP(B391,CadProd!$A:$C,3,0)),"")</f>
        <v/>
      </c>
    </row>
    <row r="392" spans="3:4" x14ac:dyDescent="0.3">
      <c r="C392" t="str">
        <f>IFERROR(IF(B392="","",VLOOKUP(B392,CadProd!$A:$B,2,0)),"")</f>
        <v/>
      </c>
      <c r="D392" t="str">
        <f>IFERROR(IF(B392="","",VLOOKUP(B392,CadProd!$A:$C,3,0)),"")</f>
        <v/>
      </c>
    </row>
    <row r="393" spans="3:4" x14ac:dyDescent="0.3">
      <c r="C393" t="str">
        <f>IFERROR(IF(B393="","",VLOOKUP(B393,CadProd!$A:$B,2,0)),"")</f>
        <v/>
      </c>
      <c r="D393" t="str">
        <f>IFERROR(IF(B393="","",VLOOKUP(B393,CadProd!$A:$C,3,0)),"")</f>
        <v/>
      </c>
    </row>
    <row r="394" spans="3:4" x14ac:dyDescent="0.3">
      <c r="C394" t="str">
        <f>IFERROR(IF(B394="","",VLOOKUP(B394,CadProd!$A:$B,2,0)),"")</f>
        <v/>
      </c>
      <c r="D394" t="str">
        <f>IFERROR(IF(B394="","",VLOOKUP(B394,CadProd!$A:$C,3,0)),"")</f>
        <v/>
      </c>
    </row>
    <row r="395" spans="3:4" x14ac:dyDescent="0.3">
      <c r="C395" t="str">
        <f>IFERROR(IF(B395="","",VLOOKUP(B395,CadProd!$A:$B,2,0)),"")</f>
        <v/>
      </c>
      <c r="D395" t="str">
        <f>IFERROR(IF(B395="","",VLOOKUP(B395,CadProd!$A:$C,3,0)),"")</f>
        <v/>
      </c>
    </row>
    <row r="396" spans="3:4" x14ac:dyDescent="0.3">
      <c r="C396" t="str">
        <f>IFERROR(IF(B396="","",VLOOKUP(B396,CadProd!$A:$B,2,0)),"")</f>
        <v/>
      </c>
      <c r="D396" t="str">
        <f>IFERROR(IF(B396="","",VLOOKUP(B396,CadProd!$A:$C,3,0)),"")</f>
        <v/>
      </c>
    </row>
    <row r="397" spans="3:4" x14ac:dyDescent="0.3">
      <c r="C397" t="str">
        <f>IFERROR(IF(B397="","",VLOOKUP(B397,CadProd!$A:$B,2,0)),"")</f>
        <v/>
      </c>
      <c r="D397" t="str">
        <f>IFERROR(IF(B397="","",VLOOKUP(B397,CadProd!$A:$C,3,0)),"")</f>
        <v/>
      </c>
    </row>
    <row r="398" spans="3:4" x14ac:dyDescent="0.3">
      <c r="C398" t="str">
        <f>IFERROR(IF(B398="","",VLOOKUP(B398,CadProd!$A:$B,2,0)),"")</f>
        <v/>
      </c>
      <c r="D398" t="str">
        <f>IFERROR(IF(B398="","",VLOOKUP(B398,CadProd!$A:$C,3,0)),"")</f>
        <v/>
      </c>
    </row>
    <row r="399" spans="3:4" x14ac:dyDescent="0.3">
      <c r="C399" t="str">
        <f>IFERROR(IF(B399="","",VLOOKUP(B399,CadProd!$A:$B,2,0)),"")</f>
        <v/>
      </c>
      <c r="D399" t="str">
        <f>IFERROR(IF(B399="","",VLOOKUP(B399,CadProd!$A:$C,3,0)),"")</f>
        <v/>
      </c>
    </row>
    <row r="400" spans="3:4" x14ac:dyDescent="0.3">
      <c r="C400" t="str">
        <f>IFERROR(IF(B400="","",VLOOKUP(B400,CadProd!$A:$B,2,0)),"")</f>
        <v/>
      </c>
      <c r="D400" t="str">
        <f>IFERROR(IF(B400="","",VLOOKUP(B400,CadProd!$A:$C,3,0)),"")</f>
        <v/>
      </c>
    </row>
    <row r="401" spans="3:4" x14ac:dyDescent="0.3">
      <c r="C401" t="str">
        <f>IFERROR(IF(B401="","",VLOOKUP(B401,CadProd!$A:$B,2,0)),"")</f>
        <v/>
      </c>
      <c r="D401" t="str">
        <f>IFERROR(IF(B401="","",VLOOKUP(B401,CadProd!$A:$C,3,0)),"")</f>
        <v/>
      </c>
    </row>
    <row r="402" spans="3:4" x14ac:dyDescent="0.3">
      <c r="C402" t="str">
        <f>IFERROR(IF(B402="","",VLOOKUP(B402,CadProd!$A:$B,2,0)),"")</f>
        <v/>
      </c>
      <c r="D402" t="str">
        <f>IFERROR(IF(B402="","",VLOOKUP(B402,CadProd!$A:$C,3,0)),"")</f>
        <v/>
      </c>
    </row>
    <row r="403" spans="3:4" x14ac:dyDescent="0.3">
      <c r="C403" t="str">
        <f>IFERROR(IF(B403="","",VLOOKUP(B403,CadProd!$A:$B,2,0)),"")</f>
        <v/>
      </c>
      <c r="D403" t="str">
        <f>IFERROR(IF(B403="","",VLOOKUP(B403,CadProd!$A:$C,3,0)),"")</f>
        <v/>
      </c>
    </row>
    <row r="404" spans="3:4" x14ac:dyDescent="0.3">
      <c r="C404" t="str">
        <f>IFERROR(IF(B404="","",VLOOKUP(B404,CadProd!$A:$B,2,0)),"")</f>
        <v/>
      </c>
      <c r="D404" t="str">
        <f>IFERROR(IF(B404="","",VLOOKUP(B404,CadProd!$A:$C,3,0)),"")</f>
        <v/>
      </c>
    </row>
    <row r="405" spans="3:4" x14ac:dyDescent="0.3">
      <c r="C405" t="str">
        <f>IFERROR(IF(B405="","",VLOOKUP(B405,CadProd!$A:$B,2,0)),"")</f>
        <v/>
      </c>
      <c r="D405" t="str">
        <f>IFERROR(IF(B405="","",VLOOKUP(B405,CadProd!$A:$C,3,0)),"")</f>
        <v/>
      </c>
    </row>
    <row r="406" spans="3:4" x14ac:dyDescent="0.3">
      <c r="C406" t="str">
        <f>IFERROR(IF(B406="","",VLOOKUP(B406,CadProd!$A:$B,2,0)),"")</f>
        <v/>
      </c>
      <c r="D406" t="str">
        <f>IFERROR(IF(B406="","",VLOOKUP(B406,CadProd!$A:$C,3,0)),"")</f>
        <v/>
      </c>
    </row>
    <row r="407" spans="3:4" x14ac:dyDescent="0.3">
      <c r="C407" t="str">
        <f>IFERROR(IF(B407="","",VLOOKUP(B407,CadProd!$A:$B,2,0)),"")</f>
        <v/>
      </c>
      <c r="D407" t="str">
        <f>IFERROR(IF(B407="","",VLOOKUP(B407,CadProd!$A:$C,3,0)),"")</f>
        <v/>
      </c>
    </row>
    <row r="408" spans="3:4" x14ac:dyDescent="0.3">
      <c r="C408" t="str">
        <f>IFERROR(IF(B408="","",VLOOKUP(B408,CadProd!$A:$B,2,0)),"")</f>
        <v/>
      </c>
      <c r="D408" t="str">
        <f>IFERROR(IF(B408="","",VLOOKUP(B408,CadProd!$A:$C,3,0)),"")</f>
        <v/>
      </c>
    </row>
    <row r="409" spans="3:4" x14ac:dyDescent="0.3">
      <c r="C409" t="str">
        <f>IFERROR(IF(B409="","",VLOOKUP(B409,CadProd!$A:$B,2,0)),"")</f>
        <v/>
      </c>
      <c r="D409" t="str">
        <f>IFERROR(IF(B409="","",VLOOKUP(B409,CadProd!$A:$C,3,0)),"")</f>
        <v/>
      </c>
    </row>
    <row r="410" spans="3:4" x14ac:dyDescent="0.3">
      <c r="C410" t="str">
        <f>IFERROR(IF(B410="","",VLOOKUP(B410,CadProd!$A:$B,2,0)),"")</f>
        <v/>
      </c>
      <c r="D410" t="str">
        <f>IFERROR(IF(B410="","",VLOOKUP(B410,CadProd!$A:$C,3,0)),"")</f>
        <v/>
      </c>
    </row>
    <row r="411" spans="3:4" x14ac:dyDescent="0.3">
      <c r="C411" t="str">
        <f>IFERROR(IF(B411="","",VLOOKUP(B411,CadProd!$A:$B,2,0)),"")</f>
        <v/>
      </c>
      <c r="D411" t="str">
        <f>IFERROR(IF(B411="","",VLOOKUP(B411,CadProd!$A:$C,3,0)),"")</f>
        <v/>
      </c>
    </row>
    <row r="412" spans="3:4" x14ac:dyDescent="0.3">
      <c r="C412" t="str">
        <f>IFERROR(IF(B412="","",VLOOKUP(B412,CadProd!$A:$B,2,0)),"")</f>
        <v/>
      </c>
      <c r="D412" t="str">
        <f>IFERROR(IF(B412="","",VLOOKUP(B412,CadProd!$A:$C,3,0)),"")</f>
        <v/>
      </c>
    </row>
    <row r="413" spans="3:4" x14ac:dyDescent="0.3">
      <c r="C413" t="str">
        <f>IFERROR(IF(B413="","",VLOOKUP(B413,CadProd!$A:$B,2,0)),"")</f>
        <v/>
      </c>
      <c r="D413" t="str">
        <f>IFERROR(IF(B413="","",VLOOKUP(B413,CadProd!$A:$C,3,0)),"")</f>
        <v/>
      </c>
    </row>
    <row r="414" spans="3:4" x14ac:dyDescent="0.3">
      <c r="C414" t="str">
        <f>IFERROR(IF(B414="","",VLOOKUP(B414,CadProd!$A:$B,2,0)),"")</f>
        <v/>
      </c>
      <c r="D414" t="str">
        <f>IFERROR(IF(B414="","",VLOOKUP(B414,CadProd!$A:$C,3,0)),"")</f>
        <v/>
      </c>
    </row>
    <row r="415" spans="3:4" x14ac:dyDescent="0.3">
      <c r="C415" t="str">
        <f>IFERROR(IF(B415="","",VLOOKUP(B415,CadProd!$A:$B,2,0)),"")</f>
        <v/>
      </c>
      <c r="D415" t="str">
        <f>IFERROR(IF(B415="","",VLOOKUP(B415,CadProd!$A:$C,3,0)),"")</f>
        <v/>
      </c>
    </row>
    <row r="416" spans="3:4" x14ac:dyDescent="0.3">
      <c r="C416" t="str">
        <f>IFERROR(IF(B416="","",VLOOKUP(B416,CadProd!$A:$B,2,0)),"")</f>
        <v/>
      </c>
      <c r="D416" t="str">
        <f>IFERROR(IF(B416="","",VLOOKUP(B416,CadProd!$A:$C,3,0)),"")</f>
        <v/>
      </c>
    </row>
    <row r="417" spans="3:4" x14ac:dyDescent="0.3">
      <c r="C417" t="str">
        <f>IFERROR(IF(B417="","",VLOOKUP(B417,CadProd!$A:$B,2,0)),"")</f>
        <v/>
      </c>
      <c r="D417" t="str">
        <f>IFERROR(IF(B417="","",VLOOKUP(B417,CadProd!$A:$C,3,0)),"")</f>
        <v/>
      </c>
    </row>
    <row r="418" spans="3:4" x14ac:dyDescent="0.3">
      <c r="C418" t="str">
        <f>IFERROR(IF(B418="","",VLOOKUP(B418,CadProd!$A:$B,2,0)),"")</f>
        <v/>
      </c>
      <c r="D418" t="str">
        <f>IFERROR(IF(B418="","",VLOOKUP(B418,CadProd!$A:$C,3,0)),"")</f>
        <v/>
      </c>
    </row>
    <row r="419" spans="3:4" x14ac:dyDescent="0.3">
      <c r="C419" t="str">
        <f>IFERROR(IF(B419="","",VLOOKUP(B419,CadProd!$A:$B,2,0)),"")</f>
        <v/>
      </c>
      <c r="D419" t="str">
        <f>IFERROR(IF(B419="","",VLOOKUP(B419,CadProd!$A:$C,3,0)),"")</f>
        <v/>
      </c>
    </row>
    <row r="420" spans="3:4" x14ac:dyDescent="0.3">
      <c r="C420" t="str">
        <f>IFERROR(IF(B420="","",VLOOKUP(B420,CadProd!$A:$B,2,0)),"")</f>
        <v/>
      </c>
      <c r="D420" t="str">
        <f>IFERROR(IF(B420="","",VLOOKUP(B420,CadProd!$A:$C,3,0)),"")</f>
        <v/>
      </c>
    </row>
    <row r="421" spans="3:4" x14ac:dyDescent="0.3">
      <c r="C421" t="str">
        <f>IFERROR(IF(B421="","",VLOOKUP(B421,CadProd!$A:$B,2,0)),"")</f>
        <v/>
      </c>
      <c r="D421" t="str">
        <f>IFERROR(IF(B421="","",VLOOKUP(B421,CadProd!$A:$C,3,0)),"")</f>
        <v/>
      </c>
    </row>
    <row r="422" spans="3:4" x14ac:dyDescent="0.3">
      <c r="C422" t="str">
        <f>IFERROR(IF(B422="","",VLOOKUP(B422,CadProd!$A:$B,2,0)),"")</f>
        <v/>
      </c>
      <c r="D422" t="str">
        <f>IFERROR(IF(B422="","",VLOOKUP(B422,CadProd!$A:$C,3,0)),"")</f>
        <v/>
      </c>
    </row>
    <row r="423" spans="3:4" x14ac:dyDescent="0.3">
      <c r="C423" t="str">
        <f>IFERROR(IF(B423="","",VLOOKUP(B423,CadProd!$A:$B,2,0)),"")</f>
        <v/>
      </c>
      <c r="D423" t="str">
        <f>IFERROR(IF(B423="","",VLOOKUP(B423,CadProd!$A:$C,3,0)),"")</f>
        <v/>
      </c>
    </row>
    <row r="424" spans="3:4" x14ac:dyDescent="0.3">
      <c r="C424" t="str">
        <f>IFERROR(IF(B424="","",VLOOKUP(B424,CadProd!$A:$B,2,0)),"")</f>
        <v/>
      </c>
      <c r="D424" t="str">
        <f>IFERROR(IF(B424="","",VLOOKUP(B424,CadProd!$A:$C,3,0)),"")</f>
        <v/>
      </c>
    </row>
    <row r="425" spans="3:4" x14ac:dyDescent="0.3">
      <c r="C425" t="str">
        <f>IFERROR(IF(B425="","",VLOOKUP(B425,CadProd!$A:$B,2,0)),"")</f>
        <v/>
      </c>
      <c r="D425" t="str">
        <f>IFERROR(IF(B425="","",VLOOKUP(B425,CadProd!$A:$C,3,0)),"")</f>
        <v/>
      </c>
    </row>
    <row r="426" spans="3:4" x14ac:dyDescent="0.3">
      <c r="C426" t="str">
        <f>IFERROR(IF(B426="","",VLOOKUP(B426,CadProd!$A:$B,2,0)),"")</f>
        <v/>
      </c>
      <c r="D426" t="str">
        <f>IFERROR(IF(B426="","",VLOOKUP(B426,CadProd!$A:$C,3,0)),"")</f>
        <v/>
      </c>
    </row>
    <row r="427" spans="3:4" x14ac:dyDescent="0.3">
      <c r="C427" t="str">
        <f>IFERROR(IF(B427="","",VLOOKUP(B427,CadProd!$A:$B,2,0)),"")</f>
        <v/>
      </c>
      <c r="D427" t="str">
        <f>IFERROR(IF(B427="","",VLOOKUP(B427,CadProd!$A:$C,3,0)),"")</f>
        <v/>
      </c>
    </row>
    <row r="428" spans="3:4" x14ac:dyDescent="0.3">
      <c r="C428" t="str">
        <f>IFERROR(IF(B428="","",VLOOKUP(B428,CadProd!$A:$B,2,0)),"")</f>
        <v/>
      </c>
      <c r="D428" t="str">
        <f>IFERROR(IF(B428="","",VLOOKUP(B428,CadProd!$A:$C,3,0)),"")</f>
        <v/>
      </c>
    </row>
    <row r="429" spans="3:4" x14ac:dyDescent="0.3">
      <c r="C429" t="str">
        <f>IFERROR(IF(B429="","",VLOOKUP(B429,CadProd!$A:$B,2,0)),"")</f>
        <v/>
      </c>
      <c r="D429" t="str">
        <f>IFERROR(IF(B429="","",VLOOKUP(B429,CadProd!$A:$C,3,0)),"")</f>
        <v/>
      </c>
    </row>
    <row r="430" spans="3:4" x14ac:dyDescent="0.3">
      <c r="C430" t="str">
        <f>IFERROR(IF(B430="","",VLOOKUP(B430,CadProd!$A:$B,2,0)),"")</f>
        <v/>
      </c>
      <c r="D430" t="str">
        <f>IFERROR(IF(B430="","",VLOOKUP(B430,CadProd!$A:$C,3,0)),"")</f>
        <v/>
      </c>
    </row>
    <row r="431" spans="3:4" x14ac:dyDescent="0.3">
      <c r="C431" t="str">
        <f>IFERROR(IF(B431="","",VLOOKUP(B431,CadProd!$A:$B,2,0)),"")</f>
        <v/>
      </c>
      <c r="D431" t="str">
        <f>IFERROR(IF(B431="","",VLOOKUP(B431,CadProd!$A:$C,3,0)),"")</f>
        <v/>
      </c>
    </row>
    <row r="432" spans="3:4" x14ac:dyDescent="0.3">
      <c r="C432" t="str">
        <f>IFERROR(IF(B432="","",VLOOKUP(B432,CadProd!$A:$B,2,0)),"")</f>
        <v/>
      </c>
      <c r="D432" t="str">
        <f>IFERROR(IF(B432="","",VLOOKUP(B432,CadProd!$A:$C,3,0)),"")</f>
        <v/>
      </c>
    </row>
    <row r="433" spans="3:4" x14ac:dyDescent="0.3">
      <c r="C433" t="str">
        <f>IFERROR(IF(B433="","",VLOOKUP(B433,CadProd!$A:$B,2,0)),"")</f>
        <v/>
      </c>
      <c r="D433" t="str">
        <f>IFERROR(IF(B433="","",VLOOKUP(B433,CadProd!$A:$C,3,0)),"")</f>
        <v/>
      </c>
    </row>
    <row r="434" spans="3:4" x14ac:dyDescent="0.3">
      <c r="C434" t="str">
        <f>IFERROR(IF(B434="","",VLOOKUP(B434,CadProd!$A:$B,2,0)),"")</f>
        <v/>
      </c>
      <c r="D434" t="str">
        <f>IFERROR(IF(B434="","",VLOOKUP(B434,CadProd!$A:$C,3,0)),"")</f>
        <v/>
      </c>
    </row>
    <row r="435" spans="3:4" x14ac:dyDescent="0.3">
      <c r="C435" t="str">
        <f>IFERROR(IF(B435="","",VLOOKUP(B435,CadProd!$A:$B,2,0)),"")</f>
        <v/>
      </c>
      <c r="D435" t="str">
        <f>IFERROR(IF(B435="","",VLOOKUP(B435,CadProd!$A:$C,3,0)),"")</f>
        <v/>
      </c>
    </row>
    <row r="436" spans="3:4" x14ac:dyDescent="0.3">
      <c r="C436" t="str">
        <f>IFERROR(IF(B436="","",VLOOKUP(B436,CadProd!$A:$B,2,0)),"")</f>
        <v/>
      </c>
      <c r="D436" t="str">
        <f>IFERROR(IF(B436="","",VLOOKUP(B436,CadProd!$A:$C,3,0)),"")</f>
        <v/>
      </c>
    </row>
    <row r="437" spans="3:4" x14ac:dyDescent="0.3">
      <c r="C437" t="str">
        <f>IFERROR(IF(B437="","",VLOOKUP(B437,CadProd!$A:$B,2,0)),"")</f>
        <v/>
      </c>
      <c r="D437" t="str">
        <f>IFERROR(IF(B437="","",VLOOKUP(B437,CadProd!$A:$C,3,0)),"")</f>
        <v/>
      </c>
    </row>
    <row r="438" spans="3:4" x14ac:dyDescent="0.3">
      <c r="C438" t="str">
        <f>IFERROR(IF(B438="","",VLOOKUP(B438,CadProd!$A:$B,2,0)),"")</f>
        <v/>
      </c>
      <c r="D438" t="str">
        <f>IFERROR(IF(B438="","",VLOOKUP(B438,CadProd!$A:$C,3,0)),"")</f>
        <v/>
      </c>
    </row>
    <row r="439" spans="3:4" x14ac:dyDescent="0.3">
      <c r="C439" t="str">
        <f>IFERROR(IF(B439="","",VLOOKUP(B439,CadProd!$A:$B,2,0)),"")</f>
        <v/>
      </c>
      <c r="D439" t="str">
        <f>IFERROR(IF(B439="","",VLOOKUP(B439,CadProd!$A:$C,3,0)),"")</f>
        <v/>
      </c>
    </row>
    <row r="440" spans="3:4" x14ac:dyDescent="0.3">
      <c r="C440" t="str">
        <f>IFERROR(IF(B440="","",VLOOKUP(B440,CadProd!$A:$B,2,0)),"")</f>
        <v/>
      </c>
      <c r="D440" t="str">
        <f>IFERROR(IF(B440="","",VLOOKUP(B440,CadProd!$A:$C,3,0)),"")</f>
        <v/>
      </c>
    </row>
    <row r="441" spans="3:4" x14ac:dyDescent="0.3">
      <c r="C441" t="str">
        <f>IFERROR(IF(B441="","",VLOOKUP(B441,CadProd!$A:$B,2,0)),"")</f>
        <v/>
      </c>
      <c r="D441" t="str">
        <f>IFERROR(IF(B441="","",VLOOKUP(B441,CadProd!$A:$C,3,0)),"")</f>
        <v/>
      </c>
    </row>
    <row r="442" spans="3:4" x14ac:dyDescent="0.3">
      <c r="C442" t="str">
        <f>IFERROR(IF(B442="","",VLOOKUP(B442,CadProd!$A:$B,2,0)),"")</f>
        <v/>
      </c>
      <c r="D442" t="str">
        <f>IFERROR(IF(B442="","",VLOOKUP(B442,CadProd!$A:$C,3,0)),"")</f>
        <v/>
      </c>
    </row>
    <row r="443" spans="3:4" x14ac:dyDescent="0.3">
      <c r="C443" t="str">
        <f>IFERROR(IF(B443="","",VLOOKUP(B443,CadProd!$A:$B,2,0)),"")</f>
        <v/>
      </c>
      <c r="D443" t="str">
        <f>IFERROR(IF(B443="","",VLOOKUP(B443,CadProd!$A:$C,3,0)),"")</f>
        <v/>
      </c>
    </row>
    <row r="444" spans="3:4" x14ac:dyDescent="0.3">
      <c r="C444" t="str">
        <f>IFERROR(IF(B444="","",VLOOKUP(B444,CadProd!$A:$B,2,0)),"")</f>
        <v/>
      </c>
      <c r="D444" t="str">
        <f>IFERROR(IF(B444="","",VLOOKUP(B444,CadProd!$A:$C,3,0)),"")</f>
        <v/>
      </c>
    </row>
    <row r="445" spans="3:4" x14ac:dyDescent="0.3">
      <c r="C445" t="str">
        <f>IFERROR(IF(B445="","",VLOOKUP(B445,CadProd!$A:$B,2,0)),"")</f>
        <v/>
      </c>
      <c r="D445" t="str">
        <f>IFERROR(IF(B445="","",VLOOKUP(B445,CadProd!$A:$C,3,0)),"")</f>
        <v/>
      </c>
    </row>
    <row r="446" spans="3:4" x14ac:dyDescent="0.3">
      <c r="C446" t="str">
        <f>IFERROR(IF(B446="","",VLOOKUP(B446,CadProd!$A:$B,2,0)),"")</f>
        <v/>
      </c>
      <c r="D446" t="str">
        <f>IFERROR(IF(B446="","",VLOOKUP(B446,CadProd!$A:$C,3,0)),"")</f>
        <v/>
      </c>
    </row>
    <row r="447" spans="3:4" x14ac:dyDescent="0.3">
      <c r="C447" t="str">
        <f>IFERROR(IF(B447="","",VLOOKUP(B447,CadProd!$A:$B,2,0)),"")</f>
        <v/>
      </c>
      <c r="D447" t="str">
        <f>IFERROR(IF(B447="","",VLOOKUP(B447,CadProd!$A:$C,3,0)),"")</f>
        <v/>
      </c>
    </row>
    <row r="448" spans="3:4" x14ac:dyDescent="0.3">
      <c r="C448" t="str">
        <f>IFERROR(IF(B448="","",VLOOKUP(B448,CadProd!$A:$B,2,0)),"")</f>
        <v/>
      </c>
      <c r="D448" t="str">
        <f>IFERROR(IF(B448="","",VLOOKUP(B448,CadProd!$A:$C,3,0)),"")</f>
        <v/>
      </c>
    </row>
    <row r="449" spans="3:4" x14ac:dyDescent="0.3">
      <c r="C449" t="str">
        <f>IFERROR(IF(B449="","",VLOOKUP(B449,CadProd!$A:$B,2,0)),"")</f>
        <v/>
      </c>
      <c r="D449" t="str">
        <f>IFERROR(IF(B449="","",VLOOKUP(B449,CadProd!$A:$C,3,0)),"")</f>
        <v/>
      </c>
    </row>
    <row r="450" spans="3:4" x14ac:dyDescent="0.3">
      <c r="C450" t="str">
        <f>IFERROR(IF(B450="","",VLOOKUP(B450,CadProd!$A:$B,2,0)),"")</f>
        <v/>
      </c>
      <c r="D450" t="str">
        <f>IFERROR(IF(B450="","",VLOOKUP(B450,CadProd!$A:$C,3,0)),"")</f>
        <v/>
      </c>
    </row>
    <row r="451" spans="3:4" x14ac:dyDescent="0.3">
      <c r="C451" t="str">
        <f>IFERROR(IF(B451="","",VLOOKUP(B451,CadProd!$A:$B,2,0)),"")</f>
        <v/>
      </c>
      <c r="D451" t="str">
        <f>IFERROR(IF(B451="","",VLOOKUP(B451,CadProd!$A:$C,3,0)),"")</f>
        <v/>
      </c>
    </row>
    <row r="452" spans="3:4" x14ac:dyDescent="0.3">
      <c r="C452" t="str">
        <f>IFERROR(IF(B452="","",VLOOKUP(B452,CadProd!$A:$B,2,0)),"")</f>
        <v/>
      </c>
      <c r="D452" t="str">
        <f>IFERROR(IF(B452="","",VLOOKUP(B452,CadProd!$A:$C,3,0)),"")</f>
        <v/>
      </c>
    </row>
    <row r="453" spans="3:4" x14ac:dyDescent="0.3">
      <c r="C453" t="str">
        <f>IFERROR(IF(B453="","",VLOOKUP(B453,CadProd!$A:$B,2,0)),"")</f>
        <v/>
      </c>
      <c r="D453" t="str">
        <f>IFERROR(IF(B453="","",VLOOKUP(B453,CadProd!$A:$C,3,0)),"")</f>
        <v/>
      </c>
    </row>
    <row r="454" spans="3:4" x14ac:dyDescent="0.3">
      <c r="C454" t="str">
        <f>IFERROR(IF(B454="","",VLOOKUP(B454,CadProd!$A:$B,2,0)),"")</f>
        <v/>
      </c>
      <c r="D454" t="str">
        <f>IFERROR(IF(B454="","",VLOOKUP(B454,CadProd!$A:$C,3,0)),"")</f>
        <v/>
      </c>
    </row>
    <row r="455" spans="3:4" x14ac:dyDescent="0.3">
      <c r="C455" t="str">
        <f>IFERROR(IF(B455="","",VLOOKUP(B455,CadProd!$A:$B,2,0)),"")</f>
        <v/>
      </c>
      <c r="D455" t="str">
        <f>IFERROR(IF(B455="","",VLOOKUP(B455,CadProd!$A:$C,3,0)),"")</f>
        <v/>
      </c>
    </row>
    <row r="456" spans="3:4" x14ac:dyDescent="0.3">
      <c r="C456" t="str">
        <f>IFERROR(IF(B456="","",VLOOKUP(B456,CadProd!$A:$B,2,0)),"")</f>
        <v/>
      </c>
      <c r="D456" t="str">
        <f>IFERROR(IF(B456="","",VLOOKUP(B456,CadProd!$A:$C,3,0)),"")</f>
        <v/>
      </c>
    </row>
    <row r="457" spans="3:4" x14ac:dyDescent="0.3">
      <c r="C457" t="str">
        <f>IFERROR(IF(B457="","",VLOOKUP(B457,CadProd!$A:$B,2,0)),"")</f>
        <v/>
      </c>
      <c r="D457" t="str">
        <f>IFERROR(IF(B457="","",VLOOKUP(B457,CadProd!$A:$C,3,0)),"")</f>
        <v/>
      </c>
    </row>
    <row r="458" spans="3:4" x14ac:dyDescent="0.3">
      <c r="C458" t="str">
        <f>IFERROR(IF(B458="","",VLOOKUP(B458,CadProd!$A:$B,2,0)),"")</f>
        <v/>
      </c>
      <c r="D458" t="str">
        <f>IFERROR(IF(B458="","",VLOOKUP(B458,CadProd!$A:$C,3,0)),"")</f>
        <v/>
      </c>
    </row>
    <row r="459" spans="3:4" x14ac:dyDescent="0.3">
      <c r="C459" t="str">
        <f>IFERROR(IF(B459="","",VLOOKUP(B459,CadProd!$A:$B,2,0)),"")</f>
        <v/>
      </c>
      <c r="D459" t="str">
        <f>IFERROR(IF(B459="","",VLOOKUP(B459,CadProd!$A:$C,3,0)),"")</f>
        <v/>
      </c>
    </row>
    <row r="460" spans="3:4" x14ac:dyDescent="0.3">
      <c r="C460" t="str">
        <f>IFERROR(IF(B460="","",VLOOKUP(B460,CadProd!$A:$B,2,0)),"")</f>
        <v/>
      </c>
      <c r="D460" t="str">
        <f>IFERROR(IF(B460="","",VLOOKUP(B460,CadProd!$A:$C,3,0)),"")</f>
        <v/>
      </c>
    </row>
    <row r="461" spans="3:4" x14ac:dyDescent="0.3">
      <c r="C461" t="str">
        <f>IFERROR(IF(B461="","",VLOOKUP(B461,CadProd!$A:$B,2,0)),"")</f>
        <v/>
      </c>
      <c r="D461" t="str">
        <f>IFERROR(IF(B461="","",VLOOKUP(B461,CadProd!$A:$C,3,0)),"")</f>
        <v/>
      </c>
    </row>
    <row r="462" spans="3:4" x14ac:dyDescent="0.3">
      <c r="C462" t="str">
        <f>IFERROR(IF(B462="","",VLOOKUP(B462,CadProd!$A:$B,2,0)),"")</f>
        <v/>
      </c>
      <c r="D462" t="str">
        <f>IFERROR(IF(B462="","",VLOOKUP(B462,CadProd!$A:$C,3,0)),"")</f>
        <v/>
      </c>
    </row>
    <row r="463" spans="3:4" x14ac:dyDescent="0.3">
      <c r="C463" t="str">
        <f>IFERROR(IF(B463="","",VLOOKUP(B463,CadProd!$A:$B,2,0)),"")</f>
        <v/>
      </c>
      <c r="D463" t="str">
        <f>IFERROR(IF(B463="","",VLOOKUP(B463,CadProd!$A:$C,3,0)),"")</f>
        <v/>
      </c>
    </row>
    <row r="464" spans="3:4" x14ac:dyDescent="0.3">
      <c r="C464" t="str">
        <f>IFERROR(IF(B464="","",VLOOKUP(B464,CadProd!$A:$B,2,0)),"")</f>
        <v/>
      </c>
      <c r="D464" t="str">
        <f>IFERROR(IF(B464="","",VLOOKUP(B464,CadProd!$A:$C,3,0)),"")</f>
        <v/>
      </c>
    </row>
    <row r="465" spans="3:4" x14ac:dyDescent="0.3">
      <c r="C465" t="str">
        <f>IFERROR(IF(B465="","",VLOOKUP(B465,CadProd!$A:$B,2,0)),"")</f>
        <v/>
      </c>
      <c r="D465" t="str">
        <f>IFERROR(IF(B465="","",VLOOKUP(B465,CadProd!$A:$C,3,0)),"")</f>
        <v/>
      </c>
    </row>
    <row r="466" spans="3:4" x14ac:dyDescent="0.3">
      <c r="C466" t="str">
        <f>IFERROR(IF(B466="","",VLOOKUP(B466,CadProd!$A:$B,2,0)),"")</f>
        <v/>
      </c>
      <c r="D466" t="str">
        <f>IFERROR(IF(B466="","",VLOOKUP(B466,CadProd!$A:$C,3,0)),"")</f>
        <v/>
      </c>
    </row>
    <row r="467" spans="3:4" x14ac:dyDescent="0.3">
      <c r="C467" t="str">
        <f>IFERROR(IF(B467="","",VLOOKUP(B467,CadProd!$A:$B,2,0)),"")</f>
        <v/>
      </c>
      <c r="D467" t="str">
        <f>IFERROR(IF(B467="","",VLOOKUP(B467,CadProd!$A:$C,3,0)),"")</f>
        <v/>
      </c>
    </row>
    <row r="468" spans="3:4" x14ac:dyDescent="0.3">
      <c r="C468" t="str">
        <f>IFERROR(IF(B468="","",VLOOKUP(B468,CadProd!$A:$B,2,0)),"")</f>
        <v/>
      </c>
      <c r="D468" t="str">
        <f>IFERROR(IF(B468="","",VLOOKUP(B468,CadProd!$A:$C,3,0)),"")</f>
        <v/>
      </c>
    </row>
    <row r="469" spans="3:4" x14ac:dyDescent="0.3">
      <c r="C469" t="str">
        <f>IFERROR(IF(B469="","",VLOOKUP(B469,CadProd!$A:$B,2,0)),"")</f>
        <v/>
      </c>
      <c r="D469" t="str">
        <f>IFERROR(IF(B469="","",VLOOKUP(B469,CadProd!$A:$C,3,0)),"")</f>
        <v/>
      </c>
    </row>
    <row r="470" spans="3:4" x14ac:dyDescent="0.3">
      <c r="C470" t="str">
        <f>IFERROR(IF(B470="","",VLOOKUP(B470,CadProd!$A:$B,2,0)),"")</f>
        <v/>
      </c>
      <c r="D470" t="str">
        <f>IFERROR(IF(B470="","",VLOOKUP(B470,CadProd!$A:$C,3,0)),"")</f>
        <v/>
      </c>
    </row>
    <row r="471" spans="3:4" x14ac:dyDescent="0.3">
      <c r="C471" t="str">
        <f>IFERROR(IF(B471="","",VLOOKUP(B471,CadProd!$A:$B,2,0)),"")</f>
        <v/>
      </c>
      <c r="D471" t="str">
        <f>IFERROR(IF(B471="","",VLOOKUP(B471,CadProd!$A:$C,3,0)),"")</f>
        <v/>
      </c>
    </row>
    <row r="472" spans="3:4" x14ac:dyDescent="0.3">
      <c r="C472" t="str">
        <f>IFERROR(IF(B472="","",VLOOKUP(B472,CadProd!$A:$B,2,0)),"")</f>
        <v/>
      </c>
      <c r="D472" t="str">
        <f>IFERROR(IF(B472="","",VLOOKUP(B472,CadProd!$A:$C,3,0)),"")</f>
        <v/>
      </c>
    </row>
    <row r="473" spans="3:4" x14ac:dyDescent="0.3">
      <c r="C473" t="str">
        <f>IFERROR(IF(B473="","",VLOOKUP(B473,CadProd!$A:$B,2,0)),"")</f>
        <v/>
      </c>
      <c r="D473" t="str">
        <f>IFERROR(IF(B473="","",VLOOKUP(B473,CadProd!$A:$C,3,0)),"")</f>
        <v/>
      </c>
    </row>
    <row r="474" spans="3:4" x14ac:dyDescent="0.3">
      <c r="C474" t="str">
        <f>IFERROR(IF(B474="","",VLOOKUP(B474,CadProd!$A:$B,2,0)),"")</f>
        <v/>
      </c>
      <c r="D474" t="str">
        <f>IFERROR(IF(B474="","",VLOOKUP(B474,CadProd!$A:$C,3,0)),"")</f>
        <v/>
      </c>
    </row>
    <row r="475" spans="3:4" x14ac:dyDescent="0.3">
      <c r="C475" t="str">
        <f>IFERROR(IF(B475="","",VLOOKUP(B475,CadProd!$A:$B,2,0)),"")</f>
        <v/>
      </c>
      <c r="D475" t="str">
        <f>IFERROR(IF(B475="","",VLOOKUP(B475,CadProd!$A:$C,3,0)),"")</f>
        <v/>
      </c>
    </row>
    <row r="476" spans="3:4" x14ac:dyDescent="0.3">
      <c r="C476" t="str">
        <f>IFERROR(IF(B476="","",VLOOKUP(B476,CadProd!$A:$B,2,0)),"")</f>
        <v/>
      </c>
      <c r="D476" t="str">
        <f>IFERROR(IF(B476="","",VLOOKUP(B476,CadProd!$A:$C,3,0)),"")</f>
        <v/>
      </c>
    </row>
    <row r="477" spans="3:4" x14ac:dyDescent="0.3">
      <c r="C477" t="str">
        <f>IFERROR(IF(B477="","",VLOOKUP(B477,CadProd!$A:$B,2,0)),"")</f>
        <v/>
      </c>
      <c r="D477" t="str">
        <f>IFERROR(IF(B477="","",VLOOKUP(B477,CadProd!$A:$C,3,0)),"")</f>
        <v/>
      </c>
    </row>
    <row r="478" spans="3:4" x14ac:dyDescent="0.3">
      <c r="C478" t="str">
        <f>IFERROR(IF(B478="","",VLOOKUP(B478,CadProd!$A:$B,2,0)),"")</f>
        <v/>
      </c>
      <c r="D478" t="str">
        <f>IFERROR(IF(B478="","",VLOOKUP(B478,CadProd!$A:$C,3,0)),"")</f>
        <v/>
      </c>
    </row>
    <row r="479" spans="3:4" x14ac:dyDescent="0.3">
      <c r="C479" t="str">
        <f>IFERROR(IF(B479="","",VLOOKUP(B479,CadProd!$A:$B,2,0)),"")</f>
        <v/>
      </c>
      <c r="D479" t="str">
        <f>IFERROR(IF(B479="","",VLOOKUP(B479,CadProd!$A:$C,3,0)),"")</f>
        <v/>
      </c>
    </row>
    <row r="480" spans="3:4" x14ac:dyDescent="0.3">
      <c r="C480" t="str">
        <f>IFERROR(IF(B480="","",VLOOKUP(B480,CadProd!$A:$B,2,0)),"")</f>
        <v/>
      </c>
      <c r="D480" t="str">
        <f>IFERROR(IF(B480="","",VLOOKUP(B480,CadProd!$A:$C,3,0)),"")</f>
        <v/>
      </c>
    </row>
    <row r="481" spans="3:4" x14ac:dyDescent="0.3">
      <c r="C481" t="str">
        <f>IFERROR(IF(B481="","",VLOOKUP(B481,CadProd!$A:$B,2,0)),"")</f>
        <v/>
      </c>
      <c r="D481" t="str">
        <f>IFERROR(IF(B481="","",VLOOKUP(B481,CadProd!$A:$C,3,0)),"")</f>
        <v/>
      </c>
    </row>
    <row r="482" spans="3:4" x14ac:dyDescent="0.3">
      <c r="C482" t="str">
        <f>IFERROR(IF(B482="","",VLOOKUP(B482,CadProd!$A:$B,2,0)),"")</f>
        <v/>
      </c>
      <c r="D482" t="str">
        <f>IFERROR(IF(B482="","",VLOOKUP(B482,CadProd!$A:$C,3,0)),"")</f>
        <v/>
      </c>
    </row>
    <row r="483" spans="3:4" x14ac:dyDescent="0.3">
      <c r="C483" t="str">
        <f>IFERROR(IF(B483="","",VLOOKUP(B483,CadProd!$A:$B,2,0)),"")</f>
        <v/>
      </c>
      <c r="D483" t="str">
        <f>IFERROR(IF(B483="","",VLOOKUP(B483,CadProd!$A:$C,3,0)),"")</f>
        <v/>
      </c>
    </row>
    <row r="484" spans="3:4" x14ac:dyDescent="0.3">
      <c r="C484" t="str">
        <f>IFERROR(IF(B484="","",VLOOKUP(B484,CadProd!$A:$B,2,0)),"")</f>
        <v/>
      </c>
      <c r="D484" t="str">
        <f>IFERROR(IF(B484="","",VLOOKUP(B484,CadProd!$A:$C,3,0)),"")</f>
        <v/>
      </c>
    </row>
    <row r="485" spans="3:4" x14ac:dyDescent="0.3">
      <c r="C485" t="str">
        <f>IFERROR(IF(B485="","",VLOOKUP(B485,CadProd!$A:$B,2,0)),"")</f>
        <v/>
      </c>
      <c r="D485" t="str">
        <f>IFERROR(IF(B485="","",VLOOKUP(B485,CadProd!$A:$C,3,0)),"")</f>
        <v/>
      </c>
    </row>
    <row r="486" spans="3:4" x14ac:dyDescent="0.3">
      <c r="C486" t="str">
        <f>IFERROR(IF(B486="","",VLOOKUP(B486,CadProd!$A:$B,2,0)),"")</f>
        <v/>
      </c>
      <c r="D486" t="str">
        <f>IFERROR(IF(B486="","",VLOOKUP(B486,CadProd!$A:$C,3,0)),"")</f>
        <v/>
      </c>
    </row>
    <row r="487" spans="3:4" x14ac:dyDescent="0.3">
      <c r="C487" t="str">
        <f>IFERROR(IF(B487="","",VLOOKUP(B487,CadProd!$A:$B,2,0)),"")</f>
        <v/>
      </c>
      <c r="D487" t="str">
        <f>IFERROR(IF(B487="","",VLOOKUP(B487,CadProd!$A:$C,3,0)),"")</f>
        <v/>
      </c>
    </row>
    <row r="488" spans="3:4" x14ac:dyDescent="0.3">
      <c r="C488" t="str">
        <f>IFERROR(IF(B488="","",VLOOKUP(B488,CadProd!$A:$B,2,0)),"")</f>
        <v/>
      </c>
      <c r="D488" t="str">
        <f>IFERROR(IF(B488="","",VLOOKUP(B488,CadProd!$A:$C,3,0)),"")</f>
        <v/>
      </c>
    </row>
    <row r="489" spans="3:4" x14ac:dyDescent="0.3">
      <c r="C489" t="str">
        <f>IFERROR(IF(B489="","",VLOOKUP(B489,CadProd!$A:$B,2,0)),"")</f>
        <v/>
      </c>
      <c r="D489" t="str">
        <f>IFERROR(IF(B489="","",VLOOKUP(B489,CadProd!$A:$C,3,0)),"")</f>
        <v/>
      </c>
    </row>
    <row r="490" spans="3:4" x14ac:dyDescent="0.3">
      <c r="C490" t="str">
        <f>IFERROR(IF(B490="","",VLOOKUP(B490,CadProd!$A:$B,2,0)),"")</f>
        <v/>
      </c>
      <c r="D490" t="str">
        <f>IFERROR(IF(B490="","",VLOOKUP(B490,CadProd!$A:$C,3,0)),"")</f>
        <v/>
      </c>
    </row>
    <row r="491" spans="3:4" x14ac:dyDescent="0.3">
      <c r="C491" t="str">
        <f>IFERROR(IF(B491="","",VLOOKUP(B491,CadProd!$A:$B,2,0)),"")</f>
        <v/>
      </c>
      <c r="D491" t="str">
        <f>IFERROR(IF(B491="","",VLOOKUP(B491,CadProd!$A:$C,3,0)),"")</f>
        <v/>
      </c>
    </row>
    <row r="492" spans="3:4" x14ac:dyDescent="0.3">
      <c r="C492" t="str">
        <f>IFERROR(IF(B492="","",VLOOKUP(B492,CadProd!$A:$B,2,0)),"")</f>
        <v/>
      </c>
      <c r="D492" t="str">
        <f>IFERROR(IF(B492="","",VLOOKUP(B492,CadProd!$A:$C,3,0)),"")</f>
        <v/>
      </c>
    </row>
    <row r="493" spans="3:4" x14ac:dyDescent="0.3">
      <c r="C493" t="str">
        <f>IFERROR(IF(B493="","",VLOOKUP(B493,CadProd!$A:$B,2,0)),"")</f>
        <v/>
      </c>
      <c r="D493" t="str">
        <f>IFERROR(IF(B493="","",VLOOKUP(B493,CadProd!$A:$C,3,0)),"")</f>
        <v/>
      </c>
    </row>
    <row r="494" spans="3:4" x14ac:dyDescent="0.3">
      <c r="C494" t="str">
        <f>IFERROR(IF(B494="","",VLOOKUP(B494,CadProd!$A:$B,2,0)),"")</f>
        <v/>
      </c>
      <c r="D494" t="str">
        <f>IFERROR(IF(B494="","",VLOOKUP(B494,CadProd!$A:$C,3,0)),"")</f>
        <v/>
      </c>
    </row>
    <row r="495" spans="3:4" x14ac:dyDescent="0.3">
      <c r="C495" t="str">
        <f>IFERROR(IF(B495="","",VLOOKUP(B495,CadProd!$A:$B,2,0)),"")</f>
        <v/>
      </c>
      <c r="D495" t="str">
        <f>IFERROR(IF(B495="","",VLOOKUP(B495,CadProd!$A:$C,3,0)),"")</f>
        <v/>
      </c>
    </row>
    <row r="496" spans="3:4" x14ac:dyDescent="0.3">
      <c r="C496" t="str">
        <f>IFERROR(IF(B496="","",VLOOKUP(B496,CadProd!$A:$B,2,0)),"")</f>
        <v/>
      </c>
      <c r="D496" t="str">
        <f>IFERROR(IF(B496="","",VLOOKUP(B496,CadProd!$A:$C,3,0)),"")</f>
        <v/>
      </c>
    </row>
    <row r="497" spans="3:4" x14ac:dyDescent="0.3">
      <c r="C497" t="str">
        <f>IFERROR(IF(B497="","",VLOOKUP(B497,CadProd!$A:$B,2,0)),"")</f>
        <v/>
      </c>
      <c r="D497" t="str">
        <f>IFERROR(IF(B497="","",VLOOKUP(B497,CadProd!$A:$C,3,0)),"")</f>
        <v/>
      </c>
    </row>
    <row r="498" spans="3:4" x14ac:dyDescent="0.3">
      <c r="C498" t="str">
        <f>IFERROR(IF(B498="","",VLOOKUP(B498,CadProd!$A:$B,2,0)),"")</f>
        <v/>
      </c>
      <c r="D498" t="str">
        <f>IFERROR(IF(B498="","",VLOOKUP(B498,CadProd!$A:$C,3,0)),"")</f>
        <v/>
      </c>
    </row>
    <row r="499" spans="3:4" x14ac:dyDescent="0.3">
      <c r="C499" t="str">
        <f>IFERROR(IF(B499="","",VLOOKUP(B499,CadProd!$A:$B,2,0)),"")</f>
        <v/>
      </c>
      <c r="D499" t="str">
        <f>IFERROR(IF(B499="","",VLOOKUP(B499,CadProd!$A:$C,3,0)),"")</f>
        <v/>
      </c>
    </row>
    <row r="500" spans="3:4" x14ac:dyDescent="0.3">
      <c r="C500" t="str">
        <f>IFERROR(IF(B500="","",VLOOKUP(B500,CadProd!$A:$B,2,0)),"")</f>
        <v/>
      </c>
      <c r="D500" t="str">
        <f>IFERROR(IF(B500="","",VLOOKUP(B500,CadProd!$A:$C,3,0)),"")</f>
        <v/>
      </c>
    </row>
    <row r="501" spans="3:4" x14ac:dyDescent="0.3">
      <c r="C501" t="str">
        <f>IFERROR(IF(B501="","",VLOOKUP(B501,CadProd!$A:$B,2,0)),"")</f>
        <v/>
      </c>
      <c r="D501" t="str">
        <f>IFERROR(IF(B501="","",VLOOKUP(B501,CadProd!$A:$C,3,0)),"")</f>
        <v/>
      </c>
    </row>
    <row r="502" spans="3:4" x14ac:dyDescent="0.3">
      <c r="C502" t="str">
        <f>IFERROR(IF(B502="","",VLOOKUP(B502,CadProd!$A:$B,2,0)),"")</f>
        <v/>
      </c>
      <c r="D502" t="str">
        <f>IFERROR(IF(B502="","",VLOOKUP(B502,CadProd!$A:$C,3,0)),"")</f>
        <v/>
      </c>
    </row>
    <row r="503" spans="3:4" x14ac:dyDescent="0.3">
      <c r="C503" t="str">
        <f>IFERROR(IF(B503="","",VLOOKUP(B503,CadProd!$A:$B,2,0)),"")</f>
        <v/>
      </c>
      <c r="D503" t="str">
        <f>IFERROR(IF(B503="","",VLOOKUP(B503,CadProd!$A:$C,3,0)),"")</f>
        <v/>
      </c>
    </row>
    <row r="504" spans="3:4" x14ac:dyDescent="0.3">
      <c r="C504" t="str">
        <f>IFERROR(IF(B504="","",VLOOKUP(B504,CadProd!$A:$B,2,0)),"")</f>
        <v/>
      </c>
      <c r="D504" t="str">
        <f>IFERROR(IF(B504="","",VLOOKUP(B504,CadProd!$A:$C,3,0)),"")</f>
        <v/>
      </c>
    </row>
    <row r="505" spans="3:4" x14ac:dyDescent="0.3">
      <c r="C505" t="str">
        <f>IFERROR(IF(B505="","",VLOOKUP(B505,CadProd!$A:$B,2,0)),"")</f>
        <v/>
      </c>
      <c r="D505" t="str">
        <f>IFERROR(IF(B505="","",VLOOKUP(B505,CadProd!$A:$C,3,0)),"")</f>
        <v/>
      </c>
    </row>
    <row r="506" spans="3:4" x14ac:dyDescent="0.3">
      <c r="C506" t="str">
        <f>IFERROR(IF(B506="","",VLOOKUP(B506,CadProd!$A:$B,2,0)),"")</f>
        <v/>
      </c>
      <c r="D506" t="str">
        <f>IFERROR(IF(B506="","",VLOOKUP(B506,CadProd!$A:$C,3,0)),"")</f>
        <v/>
      </c>
    </row>
    <row r="507" spans="3:4" x14ac:dyDescent="0.3">
      <c r="C507" t="str">
        <f>IFERROR(IF(B507="","",VLOOKUP(B507,CadProd!$A:$B,2,0)),"")</f>
        <v/>
      </c>
      <c r="D507" t="str">
        <f>IFERROR(IF(B507="","",VLOOKUP(B507,CadProd!$A:$C,3,0)),"")</f>
        <v/>
      </c>
    </row>
    <row r="508" spans="3:4" x14ac:dyDescent="0.3">
      <c r="C508" t="str">
        <f>IFERROR(IF(B508="","",VLOOKUP(B508,CadProd!$A:$B,2,0)),"")</f>
        <v/>
      </c>
      <c r="D508" t="str">
        <f>IFERROR(IF(B508="","",VLOOKUP(B508,CadProd!$A:$C,3,0)),"")</f>
        <v/>
      </c>
    </row>
    <row r="509" spans="3:4" x14ac:dyDescent="0.3">
      <c r="C509" t="str">
        <f>IFERROR(IF(B509="","",VLOOKUP(B509,CadProd!$A:$B,2,0)),"")</f>
        <v/>
      </c>
      <c r="D509" t="str">
        <f>IFERROR(IF(B509="","",VLOOKUP(B509,CadProd!$A:$C,3,0)),"")</f>
        <v/>
      </c>
    </row>
    <row r="510" spans="3:4" x14ac:dyDescent="0.3">
      <c r="C510" t="str">
        <f>IFERROR(IF(B510="","",VLOOKUP(B510,CadProd!$A:$B,2,0)),"")</f>
        <v/>
      </c>
      <c r="D510" t="str">
        <f>IFERROR(IF(B510="","",VLOOKUP(B510,CadProd!$A:$C,3,0)),"")</f>
        <v/>
      </c>
    </row>
    <row r="511" spans="3:4" x14ac:dyDescent="0.3">
      <c r="C511" t="str">
        <f>IFERROR(IF(B511="","",VLOOKUP(B511,CadProd!$A:$B,2,0)),"")</f>
        <v/>
      </c>
      <c r="D511" t="str">
        <f>IFERROR(IF(B511="","",VLOOKUP(B511,CadProd!$A:$C,3,0)),"")</f>
        <v/>
      </c>
    </row>
    <row r="512" spans="3:4" x14ac:dyDescent="0.3">
      <c r="C512" t="str">
        <f>IFERROR(IF(B512="","",VLOOKUP(B512,CadProd!$A:$B,2,0)),"")</f>
        <v/>
      </c>
      <c r="D512" t="str">
        <f>IFERROR(IF(B512="","",VLOOKUP(B512,CadProd!$A:$C,3,0)),"")</f>
        <v/>
      </c>
    </row>
    <row r="513" spans="3:4" x14ac:dyDescent="0.3">
      <c r="C513" t="str">
        <f>IFERROR(IF(B513="","",VLOOKUP(B513,CadProd!$A:$B,2,0)),"")</f>
        <v/>
      </c>
      <c r="D513" t="str">
        <f>IFERROR(IF(B513="","",VLOOKUP(B513,CadProd!$A:$C,3,0)),"")</f>
        <v/>
      </c>
    </row>
    <row r="514" spans="3:4" x14ac:dyDescent="0.3">
      <c r="C514" t="str">
        <f>IFERROR(IF(B514="","",VLOOKUP(B514,CadProd!$A:$B,2,0)),"")</f>
        <v/>
      </c>
      <c r="D514" t="str">
        <f>IFERROR(IF(B514="","",VLOOKUP(B514,CadProd!$A:$C,3,0)),"")</f>
        <v/>
      </c>
    </row>
    <row r="515" spans="3:4" x14ac:dyDescent="0.3">
      <c r="C515" t="str">
        <f>IFERROR(IF(B515="","",VLOOKUP(B515,CadProd!$A:$B,2,0)),"")</f>
        <v/>
      </c>
      <c r="D515" t="str">
        <f>IFERROR(IF(B515="","",VLOOKUP(B515,CadProd!$A:$C,3,0)),"")</f>
        <v/>
      </c>
    </row>
    <row r="516" spans="3:4" x14ac:dyDescent="0.3">
      <c r="C516" t="str">
        <f>IFERROR(IF(B516="","",VLOOKUP(B516,CadProd!$A:$B,2,0)),"")</f>
        <v/>
      </c>
      <c r="D516" t="str">
        <f>IFERROR(IF(B516="","",VLOOKUP(B516,CadProd!$A:$C,3,0)),"")</f>
        <v/>
      </c>
    </row>
    <row r="517" spans="3:4" x14ac:dyDescent="0.3">
      <c r="C517" t="str">
        <f>IFERROR(IF(B517="","",VLOOKUP(B517,CadProd!$A:$B,2,0)),"")</f>
        <v/>
      </c>
      <c r="D517" t="str">
        <f>IFERROR(IF(B517="","",VLOOKUP(B517,CadProd!$A:$C,3,0)),"")</f>
        <v/>
      </c>
    </row>
    <row r="518" spans="3:4" x14ac:dyDescent="0.3">
      <c r="C518" t="str">
        <f>IFERROR(IF(B518="","",VLOOKUP(B518,CadProd!$A:$B,2,0)),"")</f>
        <v/>
      </c>
      <c r="D518" t="str">
        <f>IFERROR(IF(B518="","",VLOOKUP(B518,CadProd!$A:$C,3,0)),"")</f>
        <v/>
      </c>
    </row>
    <row r="519" spans="3:4" x14ac:dyDescent="0.3">
      <c r="C519" t="str">
        <f>IFERROR(IF(B519="","",VLOOKUP(B519,CadProd!$A:$B,2,0)),"")</f>
        <v/>
      </c>
      <c r="D519" t="str">
        <f>IFERROR(IF(B519="","",VLOOKUP(B519,CadProd!$A:$C,3,0)),"")</f>
        <v/>
      </c>
    </row>
    <row r="520" spans="3:4" x14ac:dyDescent="0.3">
      <c r="C520" t="str">
        <f>IFERROR(IF(B520="","",VLOOKUP(B520,CadProd!$A:$B,2,0)),"")</f>
        <v/>
      </c>
      <c r="D520" t="str">
        <f>IFERROR(IF(B520="","",VLOOKUP(B520,CadProd!$A:$C,3,0)),"")</f>
        <v/>
      </c>
    </row>
    <row r="521" spans="3:4" x14ac:dyDescent="0.3">
      <c r="C521" t="str">
        <f>IFERROR(IF(B521="","",VLOOKUP(B521,CadProd!$A:$B,2,0)),"")</f>
        <v/>
      </c>
      <c r="D521" t="str">
        <f>IFERROR(IF(B521="","",VLOOKUP(B521,CadProd!$A:$C,3,0)),"")</f>
        <v/>
      </c>
    </row>
    <row r="522" spans="3:4" x14ac:dyDescent="0.3">
      <c r="C522" t="str">
        <f>IFERROR(IF(B522="","",VLOOKUP(B522,CadProd!$A:$B,2,0)),"")</f>
        <v/>
      </c>
      <c r="D522" t="str">
        <f>IFERROR(IF(B522="","",VLOOKUP(B522,CadProd!$A:$C,3,0)),"")</f>
        <v/>
      </c>
    </row>
    <row r="523" spans="3:4" x14ac:dyDescent="0.3">
      <c r="C523" t="str">
        <f>IFERROR(IF(B523="","",VLOOKUP(B523,CadProd!$A:$B,2,0)),"")</f>
        <v/>
      </c>
      <c r="D523" t="str">
        <f>IFERROR(IF(B523="","",VLOOKUP(B523,CadProd!$A:$C,3,0)),"")</f>
        <v/>
      </c>
    </row>
    <row r="524" spans="3:4" x14ac:dyDescent="0.3">
      <c r="C524" t="str">
        <f>IFERROR(IF(B524="","",VLOOKUP(B524,CadProd!$A:$B,2,0)),"")</f>
        <v/>
      </c>
      <c r="D524" t="str">
        <f>IFERROR(IF(B524="","",VLOOKUP(B524,CadProd!$A:$C,3,0)),"")</f>
        <v/>
      </c>
    </row>
    <row r="525" spans="3:4" x14ac:dyDescent="0.3">
      <c r="C525" t="str">
        <f>IFERROR(IF(B525="","",VLOOKUP(B525,CadProd!$A:$B,2,0)),"")</f>
        <v/>
      </c>
      <c r="D525" t="str">
        <f>IFERROR(IF(B525="","",VLOOKUP(B525,CadProd!$A:$C,3,0)),"")</f>
        <v/>
      </c>
    </row>
    <row r="526" spans="3:4" x14ac:dyDescent="0.3">
      <c r="C526" t="str">
        <f>IFERROR(IF(B526="","",VLOOKUP(B526,CadProd!$A:$B,2,0)),"")</f>
        <v/>
      </c>
      <c r="D526" t="str">
        <f>IFERROR(IF(B526="","",VLOOKUP(B526,CadProd!$A:$C,3,0)),"")</f>
        <v/>
      </c>
    </row>
    <row r="527" spans="3:4" x14ac:dyDescent="0.3">
      <c r="C527" t="str">
        <f>IFERROR(IF(B527="","",VLOOKUP(B527,CadProd!$A:$B,2,0)),"")</f>
        <v/>
      </c>
      <c r="D527" t="str">
        <f>IFERROR(IF(B527="","",VLOOKUP(B527,CadProd!$A:$C,3,0)),"")</f>
        <v/>
      </c>
    </row>
    <row r="528" spans="3:4" x14ac:dyDescent="0.3">
      <c r="C528" t="str">
        <f>IFERROR(IF(B528="","",VLOOKUP(B528,CadProd!$A:$B,2,0)),"")</f>
        <v/>
      </c>
      <c r="D528" t="str">
        <f>IFERROR(IF(B528="","",VLOOKUP(B528,CadProd!$A:$C,3,0)),"")</f>
        <v/>
      </c>
    </row>
    <row r="529" spans="3:4" x14ac:dyDescent="0.3">
      <c r="C529" t="str">
        <f>IFERROR(IF(B529="","",VLOOKUP(B529,CadProd!$A:$B,2,0)),"")</f>
        <v/>
      </c>
      <c r="D529" t="str">
        <f>IFERROR(IF(B529="","",VLOOKUP(B529,CadProd!$A:$C,3,0)),"")</f>
        <v/>
      </c>
    </row>
    <row r="530" spans="3:4" x14ac:dyDescent="0.3">
      <c r="C530" t="str">
        <f>IFERROR(IF(B530="","",VLOOKUP(B530,CadProd!$A:$B,2,0)),"")</f>
        <v/>
      </c>
      <c r="D530" t="str">
        <f>IFERROR(IF(B530="","",VLOOKUP(B530,CadProd!$A:$C,3,0)),"")</f>
        <v/>
      </c>
    </row>
    <row r="531" spans="3:4" x14ac:dyDescent="0.3">
      <c r="C531" t="str">
        <f>IFERROR(IF(B531="","",VLOOKUP(B531,CadProd!$A:$B,2,0)),"")</f>
        <v/>
      </c>
      <c r="D531" t="str">
        <f>IFERROR(IF(B531="","",VLOOKUP(B531,CadProd!$A:$C,3,0)),"")</f>
        <v/>
      </c>
    </row>
    <row r="532" spans="3:4" x14ac:dyDescent="0.3">
      <c r="C532" t="str">
        <f>IFERROR(IF(B532="","",VLOOKUP(B532,CadProd!$A:$B,2,0)),"")</f>
        <v/>
      </c>
      <c r="D532" t="str">
        <f>IFERROR(IF(B532="","",VLOOKUP(B532,CadProd!$A:$C,3,0)),"")</f>
        <v/>
      </c>
    </row>
    <row r="533" spans="3:4" x14ac:dyDescent="0.3">
      <c r="C533" t="str">
        <f>IFERROR(IF(B533="","",VLOOKUP(B533,CadProd!$A:$B,2,0)),"")</f>
        <v/>
      </c>
      <c r="D533" t="str">
        <f>IFERROR(IF(B533="","",VLOOKUP(B533,CadProd!$A:$C,3,0)),"")</f>
        <v/>
      </c>
    </row>
    <row r="534" spans="3:4" x14ac:dyDescent="0.3">
      <c r="C534" t="str">
        <f>IFERROR(IF(B534="","",VLOOKUP(B534,CadProd!$A:$B,2,0)),"")</f>
        <v/>
      </c>
      <c r="D534" t="str">
        <f>IFERROR(IF(B534="","",VLOOKUP(B534,CadProd!$A:$C,3,0)),"")</f>
        <v/>
      </c>
    </row>
    <row r="535" spans="3:4" x14ac:dyDescent="0.3">
      <c r="C535" t="str">
        <f>IFERROR(IF(B535="","",VLOOKUP(B535,CadProd!$A:$B,2,0)),"")</f>
        <v/>
      </c>
      <c r="D535" t="str">
        <f>IFERROR(IF(B535="","",VLOOKUP(B535,CadProd!$A:$C,3,0)),"")</f>
        <v/>
      </c>
    </row>
    <row r="536" spans="3:4" x14ac:dyDescent="0.3">
      <c r="C536" t="str">
        <f>IFERROR(IF(B536="","",VLOOKUP(B536,CadProd!$A:$B,2,0)),"")</f>
        <v/>
      </c>
      <c r="D536" t="str">
        <f>IFERROR(IF(B536="","",VLOOKUP(B536,CadProd!$A:$C,3,0)),"")</f>
        <v/>
      </c>
    </row>
    <row r="537" spans="3:4" x14ac:dyDescent="0.3">
      <c r="C537" t="str">
        <f>IFERROR(IF(B537="","",VLOOKUP(B537,CadProd!$A:$B,2,0)),"")</f>
        <v/>
      </c>
      <c r="D537" t="str">
        <f>IFERROR(IF(B537="","",VLOOKUP(B537,CadProd!$A:$C,3,0)),"")</f>
        <v/>
      </c>
    </row>
    <row r="538" spans="3:4" x14ac:dyDescent="0.3">
      <c r="C538" t="str">
        <f>IFERROR(IF(B538="","",VLOOKUP(B538,CadProd!$A:$B,2,0)),"")</f>
        <v/>
      </c>
      <c r="D538" t="str">
        <f>IFERROR(IF(B538="","",VLOOKUP(B538,CadProd!$A:$C,3,0)),"")</f>
        <v/>
      </c>
    </row>
    <row r="539" spans="3:4" x14ac:dyDescent="0.3">
      <c r="C539" t="str">
        <f>IFERROR(IF(B539="","",VLOOKUP(B539,CadProd!$A:$B,2,0)),"")</f>
        <v/>
      </c>
      <c r="D539" t="str">
        <f>IFERROR(IF(B539="","",VLOOKUP(B539,CadProd!$A:$C,3,0)),"")</f>
        <v/>
      </c>
    </row>
    <row r="540" spans="3:4" x14ac:dyDescent="0.3">
      <c r="C540" t="str">
        <f>IFERROR(IF(B540="","",VLOOKUP(B540,CadProd!$A:$B,2,0)),"")</f>
        <v/>
      </c>
      <c r="D540" t="str">
        <f>IFERROR(IF(B540="","",VLOOKUP(B540,CadProd!$A:$C,3,0)),"")</f>
        <v/>
      </c>
    </row>
    <row r="541" spans="3:4" x14ac:dyDescent="0.3">
      <c r="C541" t="str">
        <f>IFERROR(IF(B541="","",VLOOKUP(B541,CadProd!$A:$B,2,0)),"")</f>
        <v/>
      </c>
      <c r="D541" t="str">
        <f>IFERROR(IF(B541="","",VLOOKUP(B541,CadProd!$A:$C,3,0)),"")</f>
        <v/>
      </c>
    </row>
    <row r="542" spans="3:4" x14ac:dyDescent="0.3">
      <c r="C542" t="str">
        <f>IFERROR(IF(B542="","",VLOOKUP(B542,CadProd!$A:$B,2,0)),"")</f>
        <v/>
      </c>
      <c r="D542" t="str">
        <f>IFERROR(IF(B542="","",VLOOKUP(B542,CadProd!$A:$C,3,0)),"")</f>
        <v/>
      </c>
    </row>
    <row r="543" spans="3:4" x14ac:dyDescent="0.3">
      <c r="C543" t="str">
        <f>IFERROR(IF(B543="","",VLOOKUP(B543,CadProd!$A:$B,2,0)),"")</f>
        <v/>
      </c>
      <c r="D543" t="str">
        <f>IFERROR(IF(B543="","",VLOOKUP(B543,CadProd!$A:$C,3,0)),"")</f>
        <v/>
      </c>
    </row>
    <row r="544" spans="3:4" x14ac:dyDescent="0.3">
      <c r="C544" t="str">
        <f>IFERROR(IF(B544="","",VLOOKUP(B544,CadProd!$A:$B,2,0)),"")</f>
        <v/>
      </c>
      <c r="D544" t="str">
        <f>IFERROR(IF(B544="","",VLOOKUP(B544,CadProd!$A:$C,3,0)),"")</f>
        <v/>
      </c>
    </row>
    <row r="545" spans="3:4" x14ac:dyDescent="0.3">
      <c r="C545" t="str">
        <f>IFERROR(IF(B545="","",VLOOKUP(B545,CadProd!$A:$B,2,0)),"")</f>
        <v/>
      </c>
      <c r="D545" t="str">
        <f>IFERROR(IF(B545="","",VLOOKUP(B545,CadProd!$A:$C,3,0)),"")</f>
        <v/>
      </c>
    </row>
    <row r="546" spans="3:4" x14ac:dyDescent="0.3">
      <c r="C546" t="str">
        <f>IFERROR(IF(B546="","",VLOOKUP(B546,CadProd!$A:$B,2,0)),"")</f>
        <v/>
      </c>
      <c r="D546" t="str">
        <f>IFERROR(IF(B546="","",VLOOKUP(B546,CadProd!$A:$C,3,0)),"")</f>
        <v/>
      </c>
    </row>
    <row r="547" spans="3:4" x14ac:dyDescent="0.3">
      <c r="C547" t="str">
        <f>IFERROR(IF(B547="","",VLOOKUP(B547,CadProd!$A:$B,2,0)),"")</f>
        <v/>
      </c>
      <c r="D547" t="str">
        <f>IFERROR(IF(B547="","",VLOOKUP(B547,CadProd!$A:$C,3,0)),"")</f>
        <v/>
      </c>
    </row>
    <row r="548" spans="3:4" x14ac:dyDescent="0.3">
      <c r="C548" t="str">
        <f>IFERROR(IF(B548="","",VLOOKUP(B548,CadProd!$A:$B,2,0)),"")</f>
        <v/>
      </c>
      <c r="D548" t="str">
        <f>IFERROR(IF(B548="","",VLOOKUP(B548,CadProd!$A:$C,3,0)),"")</f>
        <v/>
      </c>
    </row>
    <row r="549" spans="3:4" x14ac:dyDescent="0.3">
      <c r="C549" t="str">
        <f>IFERROR(IF(B549="","",VLOOKUP(B549,CadProd!$A:$B,2,0)),"")</f>
        <v/>
      </c>
      <c r="D549" t="str">
        <f>IFERROR(IF(B549="","",VLOOKUP(B549,CadProd!$A:$C,3,0)),"")</f>
        <v/>
      </c>
    </row>
    <row r="550" spans="3:4" x14ac:dyDescent="0.3">
      <c r="C550" t="str">
        <f>IFERROR(IF(B550="","",VLOOKUP(B550,CadProd!$A:$B,2,0)),"")</f>
        <v/>
      </c>
      <c r="D550" t="str">
        <f>IFERROR(IF(B550="","",VLOOKUP(B550,CadProd!$A:$C,3,0)),"")</f>
        <v/>
      </c>
    </row>
    <row r="551" spans="3:4" x14ac:dyDescent="0.3">
      <c r="C551" t="str">
        <f>IFERROR(IF(B551="","",VLOOKUP(B551,CadProd!$A:$B,2,0)),"")</f>
        <v/>
      </c>
      <c r="D551" t="str">
        <f>IFERROR(IF(B551="","",VLOOKUP(B551,CadProd!$A:$C,3,0)),"")</f>
        <v/>
      </c>
    </row>
    <row r="552" spans="3:4" x14ac:dyDescent="0.3">
      <c r="C552" t="str">
        <f>IFERROR(IF(B552="","",VLOOKUP(B552,CadProd!$A:$B,2,0)),"")</f>
        <v/>
      </c>
      <c r="D552" t="str">
        <f>IFERROR(IF(B552="","",VLOOKUP(B552,CadProd!$A:$C,3,0)),"")</f>
        <v/>
      </c>
    </row>
    <row r="553" spans="3:4" x14ac:dyDescent="0.3">
      <c r="C553" t="str">
        <f>IFERROR(IF(B553="","",VLOOKUP(B553,CadProd!$A:$B,2,0)),"")</f>
        <v/>
      </c>
      <c r="D553" t="str">
        <f>IFERROR(IF(B553="","",VLOOKUP(B553,CadProd!$A:$C,3,0)),"")</f>
        <v/>
      </c>
    </row>
    <row r="554" spans="3:4" x14ac:dyDescent="0.3">
      <c r="C554" t="str">
        <f>IFERROR(IF(B554="","",VLOOKUP(B554,CadProd!$A:$B,2,0)),"")</f>
        <v/>
      </c>
      <c r="D554" t="str">
        <f>IFERROR(IF(B554="","",VLOOKUP(B554,CadProd!$A:$C,3,0)),"")</f>
        <v/>
      </c>
    </row>
    <row r="555" spans="3:4" x14ac:dyDescent="0.3">
      <c r="C555" t="str">
        <f>IFERROR(IF(B555="","",VLOOKUP(B555,CadProd!$A:$B,2,0)),"")</f>
        <v/>
      </c>
      <c r="D555" t="str">
        <f>IFERROR(IF(B555="","",VLOOKUP(B555,CadProd!$A:$C,3,0)),"")</f>
        <v/>
      </c>
    </row>
    <row r="556" spans="3:4" x14ac:dyDescent="0.3">
      <c r="C556" t="str">
        <f>IFERROR(IF(B556="","",VLOOKUP(B556,CadProd!$A:$B,2,0)),"")</f>
        <v/>
      </c>
      <c r="D556" t="str">
        <f>IFERROR(IF(B556="","",VLOOKUP(B556,CadProd!$A:$C,3,0)),"")</f>
        <v/>
      </c>
    </row>
    <row r="557" spans="3:4" x14ac:dyDescent="0.3">
      <c r="C557" t="str">
        <f>IFERROR(IF(B557="","",VLOOKUP(B557,CadProd!$A:$B,2,0)),"")</f>
        <v/>
      </c>
      <c r="D557" t="str">
        <f>IFERROR(IF(B557="","",VLOOKUP(B557,CadProd!$A:$C,3,0)),"")</f>
        <v/>
      </c>
    </row>
    <row r="558" spans="3:4" x14ac:dyDescent="0.3">
      <c r="C558" t="str">
        <f>IFERROR(IF(B558="","",VLOOKUP(B558,CadProd!$A:$B,2,0)),"")</f>
        <v/>
      </c>
      <c r="D558" t="str">
        <f>IFERROR(IF(B558="","",VLOOKUP(B558,CadProd!$A:$C,3,0)),"")</f>
        <v/>
      </c>
    </row>
    <row r="559" spans="3:4" x14ac:dyDescent="0.3">
      <c r="C559" t="str">
        <f>IFERROR(IF(B559="","",VLOOKUP(B559,CadProd!$A:$B,2,0)),"")</f>
        <v/>
      </c>
      <c r="D559" t="str">
        <f>IFERROR(IF(B559="","",VLOOKUP(B559,CadProd!$A:$C,3,0)),"")</f>
        <v/>
      </c>
    </row>
    <row r="560" spans="3:4" x14ac:dyDescent="0.3">
      <c r="C560" t="str">
        <f>IFERROR(IF(B560="","",VLOOKUP(B560,CadProd!$A:$B,2,0)),"")</f>
        <v/>
      </c>
      <c r="D560" t="str">
        <f>IFERROR(IF(B560="","",VLOOKUP(B560,CadProd!$A:$C,3,0)),"")</f>
        <v/>
      </c>
    </row>
    <row r="561" spans="3:4" x14ac:dyDescent="0.3">
      <c r="C561" t="str">
        <f>IFERROR(IF(B561="","",VLOOKUP(B561,CadProd!$A:$B,2,0)),"")</f>
        <v/>
      </c>
      <c r="D561" t="str">
        <f>IFERROR(IF(B561="","",VLOOKUP(B561,CadProd!$A:$C,3,0)),"")</f>
        <v/>
      </c>
    </row>
    <row r="562" spans="3:4" x14ac:dyDescent="0.3">
      <c r="C562" t="str">
        <f>IFERROR(IF(B562="","",VLOOKUP(B562,CadProd!$A:$B,2,0)),"")</f>
        <v/>
      </c>
      <c r="D562" t="str">
        <f>IFERROR(IF(B562="","",VLOOKUP(B562,CadProd!$A:$C,3,0)),"")</f>
        <v/>
      </c>
    </row>
    <row r="563" spans="3:4" x14ac:dyDescent="0.3">
      <c r="C563" t="str">
        <f>IFERROR(IF(B563="","",VLOOKUP(B563,CadProd!$A:$B,2,0)),"")</f>
        <v/>
      </c>
      <c r="D563" t="str">
        <f>IFERROR(IF(B563="","",VLOOKUP(B563,CadProd!$A:$C,3,0)),"")</f>
        <v/>
      </c>
    </row>
    <row r="564" spans="3:4" x14ac:dyDescent="0.3">
      <c r="C564" t="str">
        <f>IFERROR(IF(B564="","",VLOOKUP(B564,CadProd!$A:$B,2,0)),"")</f>
        <v/>
      </c>
      <c r="D564" t="str">
        <f>IFERROR(IF(B564="","",VLOOKUP(B564,CadProd!$A:$C,3,0)),"")</f>
        <v/>
      </c>
    </row>
    <row r="565" spans="3:4" x14ac:dyDescent="0.3">
      <c r="C565" t="str">
        <f>IFERROR(IF(B565="","",VLOOKUP(B565,CadProd!$A:$B,2,0)),"")</f>
        <v/>
      </c>
      <c r="D565" t="str">
        <f>IFERROR(IF(B565="","",VLOOKUP(B565,CadProd!$A:$C,3,0)),"")</f>
        <v/>
      </c>
    </row>
    <row r="566" spans="3:4" x14ac:dyDescent="0.3">
      <c r="C566" t="str">
        <f>IFERROR(IF(B566="","",VLOOKUP(B566,CadProd!$A:$B,2,0)),"")</f>
        <v/>
      </c>
      <c r="D566" t="str">
        <f>IFERROR(IF(B566="","",VLOOKUP(B566,CadProd!$A:$C,3,0)),"")</f>
        <v/>
      </c>
    </row>
    <row r="567" spans="3:4" x14ac:dyDescent="0.3">
      <c r="C567" t="str">
        <f>IFERROR(IF(B567="","",VLOOKUP(B567,CadProd!$A:$B,2,0)),"")</f>
        <v/>
      </c>
      <c r="D567" t="str">
        <f>IFERROR(IF(B567="","",VLOOKUP(B567,CadProd!$A:$C,3,0)),"")</f>
        <v/>
      </c>
    </row>
    <row r="568" spans="3:4" x14ac:dyDescent="0.3">
      <c r="C568" t="str">
        <f>IFERROR(IF(B568="","",VLOOKUP(B568,CadProd!$A:$B,2,0)),"")</f>
        <v/>
      </c>
      <c r="D568" t="str">
        <f>IFERROR(IF(B568="","",VLOOKUP(B568,CadProd!$A:$C,3,0)),"")</f>
        <v/>
      </c>
    </row>
    <row r="569" spans="3:4" x14ac:dyDescent="0.3">
      <c r="C569" t="str">
        <f>IFERROR(IF(B569="","",VLOOKUP(B569,CadProd!$A:$B,2,0)),"")</f>
        <v/>
      </c>
      <c r="D569" t="str">
        <f>IFERROR(IF(B569="","",VLOOKUP(B569,CadProd!$A:$C,3,0)),"")</f>
        <v/>
      </c>
    </row>
    <row r="570" spans="3:4" x14ac:dyDescent="0.3">
      <c r="C570" t="str">
        <f>IFERROR(IF(B570="","",VLOOKUP(B570,CadProd!$A:$B,2,0)),"")</f>
        <v/>
      </c>
      <c r="D570" t="str">
        <f>IFERROR(IF(B570="","",VLOOKUP(B570,CadProd!$A:$C,3,0)),"")</f>
        <v/>
      </c>
    </row>
    <row r="571" spans="3:4" x14ac:dyDescent="0.3">
      <c r="C571" t="str">
        <f>IFERROR(IF(B571="","",VLOOKUP(B571,CadProd!$A:$B,2,0)),"")</f>
        <v/>
      </c>
      <c r="D571" t="str">
        <f>IFERROR(IF(B571="","",VLOOKUP(B571,CadProd!$A:$C,3,0)),"")</f>
        <v/>
      </c>
    </row>
    <row r="572" spans="3:4" x14ac:dyDescent="0.3">
      <c r="C572" t="str">
        <f>IFERROR(IF(B572="","",VLOOKUP(B572,CadProd!$A:$B,2,0)),"")</f>
        <v/>
      </c>
      <c r="D572" t="str">
        <f>IFERROR(IF(B572="","",VLOOKUP(B572,CadProd!$A:$C,3,0)),"")</f>
        <v/>
      </c>
    </row>
    <row r="573" spans="3:4" x14ac:dyDescent="0.3">
      <c r="C573" t="str">
        <f>IFERROR(IF(B573="","",VLOOKUP(B573,CadProd!$A:$B,2,0)),"")</f>
        <v/>
      </c>
      <c r="D573" t="str">
        <f>IFERROR(IF(B573="","",VLOOKUP(B573,CadProd!$A:$C,3,0)),"")</f>
        <v/>
      </c>
    </row>
    <row r="574" spans="3:4" x14ac:dyDescent="0.3">
      <c r="C574" t="str">
        <f>IFERROR(IF(B574="","",VLOOKUP(B574,CadProd!$A:$B,2,0)),"")</f>
        <v/>
      </c>
      <c r="D574" t="str">
        <f>IFERROR(IF(B574="","",VLOOKUP(B574,CadProd!$A:$C,3,0)),"")</f>
        <v/>
      </c>
    </row>
    <row r="575" spans="3:4" x14ac:dyDescent="0.3">
      <c r="C575" t="str">
        <f>IFERROR(IF(B575="","",VLOOKUP(B575,CadProd!$A:$B,2,0)),"")</f>
        <v/>
      </c>
      <c r="D575" t="str">
        <f>IFERROR(IF(B575="","",VLOOKUP(B575,CadProd!$A:$C,3,0)),"")</f>
        <v/>
      </c>
    </row>
    <row r="576" spans="3:4" x14ac:dyDescent="0.3">
      <c r="C576" t="str">
        <f>IFERROR(IF(B576="","",VLOOKUP(B576,CadProd!$A:$B,2,0)),"")</f>
        <v/>
      </c>
      <c r="D576" t="str">
        <f>IFERROR(IF(B576="","",VLOOKUP(B576,CadProd!$A:$C,3,0)),"")</f>
        <v/>
      </c>
    </row>
    <row r="577" spans="3:4" x14ac:dyDescent="0.3">
      <c r="C577" t="str">
        <f>IFERROR(IF(B577="","",VLOOKUP(B577,CadProd!$A:$B,2,0)),"")</f>
        <v/>
      </c>
      <c r="D577" t="str">
        <f>IFERROR(IF(B577="","",VLOOKUP(B577,CadProd!$A:$C,3,0)),"")</f>
        <v/>
      </c>
    </row>
    <row r="578" spans="3:4" x14ac:dyDescent="0.3">
      <c r="C578" t="str">
        <f>IFERROR(IF(B578="","",VLOOKUP(B578,CadProd!$A:$B,2,0)),"")</f>
        <v/>
      </c>
      <c r="D578" t="str">
        <f>IFERROR(IF(B578="","",VLOOKUP(B578,CadProd!$A:$C,3,0)),"")</f>
        <v/>
      </c>
    </row>
    <row r="579" spans="3:4" x14ac:dyDescent="0.3">
      <c r="C579" t="str">
        <f>IFERROR(IF(B579="","",VLOOKUP(B579,CadProd!$A:$B,2,0)),"")</f>
        <v/>
      </c>
      <c r="D579" t="str">
        <f>IFERROR(IF(B579="","",VLOOKUP(B579,CadProd!$A:$C,3,0)),"")</f>
        <v/>
      </c>
    </row>
    <row r="580" spans="3:4" x14ac:dyDescent="0.3">
      <c r="C580" t="str">
        <f>IFERROR(IF(B580="","",VLOOKUP(B580,CadProd!$A:$B,2,0)),"")</f>
        <v/>
      </c>
      <c r="D580" t="str">
        <f>IFERROR(IF(B580="","",VLOOKUP(B580,CadProd!$A:$C,3,0)),"")</f>
        <v/>
      </c>
    </row>
    <row r="581" spans="3:4" x14ac:dyDescent="0.3">
      <c r="C581" t="str">
        <f>IFERROR(IF(B581="","",VLOOKUP(B581,CadProd!$A:$B,2,0)),"")</f>
        <v/>
      </c>
      <c r="D581" t="str">
        <f>IFERROR(IF(B581="","",VLOOKUP(B581,CadProd!$A:$C,3,0)),"")</f>
        <v/>
      </c>
    </row>
    <row r="582" spans="3:4" x14ac:dyDescent="0.3">
      <c r="C582" t="str">
        <f>IFERROR(IF(B582="","",VLOOKUP(B582,CadProd!$A:$B,2,0)),"")</f>
        <v/>
      </c>
      <c r="D582" t="str">
        <f>IFERROR(IF(B582="","",VLOOKUP(B582,CadProd!$A:$C,3,0)),"")</f>
        <v/>
      </c>
    </row>
    <row r="583" spans="3:4" x14ac:dyDescent="0.3">
      <c r="C583" t="str">
        <f>IFERROR(IF(B583="","",VLOOKUP(B583,CadProd!$A:$B,2,0)),"")</f>
        <v/>
      </c>
      <c r="D583" t="str">
        <f>IFERROR(IF(B583="","",VLOOKUP(B583,CadProd!$A:$C,3,0)),"")</f>
        <v/>
      </c>
    </row>
    <row r="584" spans="3:4" x14ac:dyDescent="0.3">
      <c r="C584" t="str">
        <f>IFERROR(IF(B584="","",VLOOKUP(B584,CadProd!$A:$B,2,0)),"")</f>
        <v/>
      </c>
      <c r="D584" t="str">
        <f>IFERROR(IF(B584="","",VLOOKUP(B584,CadProd!$A:$C,3,0)),"")</f>
        <v/>
      </c>
    </row>
    <row r="585" spans="3:4" x14ac:dyDescent="0.3">
      <c r="C585" t="str">
        <f>IFERROR(IF(B585="","",VLOOKUP(B585,CadProd!$A:$B,2,0)),"")</f>
        <v/>
      </c>
      <c r="D585" t="str">
        <f>IFERROR(IF(B585="","",VLOOKUP(B585,CadProd!$A:$C,3,0)),"")</f>
        <v/>
      </c>
    </row>
    <row r="586" spans="3:4" x14ac:dyDescent="0.3">
      <c r="C586" t="str">
        <f>IFERROR(IF(B586="","",VLOOKUP(B586,CadProd!$A:$B,2,0)),"")</f>
        <v/>
      </c>
      <c r="D586" t="str">
        <f>IFERROR(IF(B586="","",VLOOKUP(B586,CadProd!$A:$C,3,0)),"")</f>
        <v/>
      </c>
    </row>
    <row r="587" spans="3:4" x14ac:dyDescent="0.3">
      <c r="C587" t="str">
        <f>IFERROR(IF(B587="","",VLOOKUP(B587,CadProd!$A:$B,2,0)),"")</f>
        <v/>
      </c>
      <c r="D587" t="str">
        <f>IFERROR(IF(B587="","",VLOOKUP(B587,CadProd!$A:$C,3,0)),"")</f>
        <v/>
      </c>
    </row>
    <row r="588" spans="3:4" x14ac:dyDescent="0.3">
      <c r="C588" t="str">
        <f>IFERROR(IF(B588="","",VLOOKUP(B588,CadProd!$A:$B,2,0)),"")</f>
        <v/>
      </c>
      <c r="D588" t="str">
        <f>IFERROR(IF(B588="","",VLOOKUP(B588,CadProd!$A:$C,3,0)),"")</f>
        <v/>
      </c>
    </row>
    <row r="589" spans="3:4" x14ac:dyDescent="0.3">
      <c r="C589" t="str">
        <f>IFERROR(IF(B589="","",VLOOKUP(B589,CadProd!$A:$B,2,0)),"")</f>
        <v/>
      </c>
      <c r="D589" t="str">
        <f>IFERROR(IF(B589="","",VLOOKUP(B589,CadProd!$A:$C,3,0)),"")</f>
        <v/>
      </c>
    </row>
    <row r="590" spans="3:4" x14ac:dyDescent="0.3">
      <c r="C590" t="str">
        <f>IFERROR(IF(B590="","",VLOOKUP(B590,CadProd!$A:$B,2,0)),"")</f>
        <v/>
      </c>
      <c r="D590" t="str">
        <f>IFERROR(IF(B590="","",VLOOKUP(B590,CadProd!$A:$C,3,0)),"")</f>
        <v/>
      </c>
    </row>
    <row r="591" spans="3:4" x14ac:dyDescent="0.3">
      <c r="C591" t="str">
        <f>IFERROR(IF(B591="","",VLOOKUP(B591,CadProd!$A:$B,2,0)),"")</f>
        <v/>
      </c>
      <c r="D591" t="str">
        <f>IFERROR(IF(B591="","",VLOOKUP(B591,CadProd!$A:$C,3,0)),"")</f>
        <v/>
      </c>
    </row>
    <row r="592" spans="3:4" x14ac:dyDescent="0.3">
      <c r="C592" t="str">
        <f>IFERROR(IF(B592="","",VLOOKUP(B592,CadProd!$A:$B,2,0)),"")</f>
        <v/>
      </c>
      <c r="D592" t="str">
        <f>IFERROR(IF(B592="","",VLOOKUP(B592,CadProd!$A:$C,3,0)),"")</f>
        <v/>
      </c>
    </row>
    <row r="593" spans="3:4" x14ac:dyDescent="0.3">
      <c r="C593" t="str">
        <f>IFERROR(IF(B593="","",VLOOKUP(B593,CadProd!$A:$B,2,0)),"")</f>
        <v/>
      </c>
      <c r="D593" t="str">
        <f>IFERROR(IF(B593="","",VLOOKUP(B593,CadProd!$A:$C,3,0)),"")</f>
        <v/>
      </c>
    </row>
    <row r="594" spans="3:4" x14ac:dyDescent="0.3">
      <c r="C594" t="str">
        <f>IFERROR(IF(B594="","",VLOOKUP(B594,CadProd!$A:$B,2,0)),"")</f>
        <v/>
      </c>
      <c r="D594" t="str">
        <f>IFERROR(IF(B594="","",VLOOKUP(B594,CadProd!$A:$C,3,0)),"")</f>
        <v/>
      </c>
    </row>
    <row r="595" spans="3:4" x14ac:dyDescent="0.3">
      <c r="C595" t="str">
        <f>IFERROR(IF(B595="","",VLOOKUP(B595,CadProd!$A:$B,2,0)),"")</f>
        <v/>
      </c>
      <c r="D595" t="str">
        <f>IFERROR(IF(B595="","",VLOOKUP(B595,CadProd!$A:$C,3,0)),"")</f>
        <v/>
      </c>
    </row>
    <row r="596" spans="3:4" x14ac:dyDescent="0.3">
      <c r="C596" t="str">
        <f>IFERROR(IF(B596="","",VLOOKUP(B596,CadProd!$A:$B,2,0)),"")</f>
        <v/>
      </c>
      <c r="D596" t="str">
        <f>IFERROR(IF(B596="","",VLOOKUP(B596,CadProd!$A:$C,3,0)),"")</f>
        <v/>
      </c>
    </row>
    <row r="597" spans="3:4" x14ac:dyDescent="0.3">
      <c r="C597" t="str">
        <f>IFERROR(IF(B597="","",VLOOKUP(B597,CadProd!$A:$B,2,0)),"")</f>
        <v/>
      </c>
      <c r="D597" t="str">
        <f>IFERROR(IF(B597="","",VLOOKUP(B597,CadProd!$A:$C,3,0)),"")</f>
        <v/>
      </c>
    </row>
    <row r="598" spans="3:4" x14ac:dyDescent="0.3">
      <c r="C598" t="str">
        <f>IFERROR(IF(B598="","",VLOOKUP(B598,CadProd!$A:$B,2,0)),"")</f>
        <v/>
      </c>
      <c r="D598" t="str">
        <f>IFERROR(IF(B598="","",VLOOKUP(B598,CadProd!$A:$C,3,0)),"")</f>
        <v/>
      </c>
    </row>
    <row r="599" spans="3:4" x14ac:dyDescent="0.3">
      <c r="C599" t="str">
        <f>IFERROR(IF(B599="","",VLOOKUP(B599,CadProd!$A:$B,2,0)),"")</f>
        <v/>
      </c>
      <c r="D599" t="str">
        <f>IFERROR(IF(B599="","",VLOOKUP(B599,CadProd!$A:$C,3,0)),"")</f>
        <v/>
      </c>
    </row>
    <row r="600" spans="3:4" x14ac:dyDescent="0.3">
      <c r="C600" t="str">
        <f>IFERROR(IF(B600="","",VLOOKUP(B600,CadProd!$A:$B,2,0)),"")</f>
        <v/>
      </c>
      <c r="D600" t="str">
        <f>IFERROR(IF(B600="","",VLOOKUP(B600,CadProd!$A:$C,3,0)),"")</f>
        <v/>
      </c>
    </row>
    <row r="601" spans="3:4" x14ac:dyDescent="0.3">
      <c r="C601" t="str">
        <f>IFERROR(IF(B601="","",VLOOKUP(B601,CadProd!$A:$B,2,0)),"")</f>
        <v/>
      </c>
      <c r="D601" t="str">
        <f>IFERROR(IF(B601="","",VLOOKUP(B601,CadProd!$A:$C,3,0)),"")</f>
        <v/>
      </c>
    </row>
    <row r="602" spans="3:4" x14ac:dyDescent="0.3">
      <c r="C602" t="str">
        <f>IFERROR(IF(B602="","",VLOOKUP(B602,CadProd!$A:$B,2,0)),"")</f>
        <v/>
      </c>
      <c r="D602" t="str">
        <f>IFERROR(IF(B602="","",VLOOKUP(B602,CadProd!$A:$C,3,0)),"")</f>
        <v/>
      </c>
    </row>
    <row r="603" spans="3:4" x14ac:dyDescent="0.3">
      <c r="C603" t="str">
        <f>IFERROR(IF(B603="","",VLOOKUP(B603,CadProd!$A:$B,2,0)),"")</f>
        <v/>
      </c>
      <c r="D603" t="str">
        <f>IFERROR(IF(B603="","",VLOOKUP(B603,CadProd!$A:$C,3,0)),"")</f>
        <v/>
      </c>
    </row>
    <row r="604" spans="3:4" x14ac:dyDescent="0.3">
      <c r="C604" t="str">
        <f>IFERROR(IF(B604="","",VLOOKUP(B604,CadProd!$A:$B,2,0)),"")</f>
        <v/>
      </c>
      <c r="D604" t="str">
        <f>IFERROR(IF(B604="","",VLOOKUP(B604,CadProd!$A:$C,3,0)),"")</f>
        <v/>
      </c>
    </row>
    <row r="605" spans="3:4" x14ac:dyDescent="0.3">
      <c r="C605" t="str">
        <f>IFERROR(IF(B605="","",VLOOKUP(B605,CadProd!$A:$B,2,0)),"")</f>
        <v/>
      </c>
      <c r="D605" t="str">
        <f>IFERROR(IF(B605="","",VLOOKUP(B605,CadProd!$A:$C,3,0)),"")</f>
        <v/>
      </c>
    </row>
    <row r="606" spans="3:4" x14ac:dyDescent="0.3">
      <c r="C606" t="str">
        <f>IFERROR(IF(B606="","",VLOOKUP(B606,CadProd!$A:$B,2,0)),"")</f>
        <v/>
      </c>
      <c r="D606" t="str">
        <f>IFERROR(IF(B606="","",VLOOKUP(B606,CadProd!$A:$C,3,0)),"")</f>
        <v/>
      </c>
    </row>
    <row r="607" spans="3:4" x14ac:dyDescent="0.3">
      <c r="C607" t="str">
        <f>IFERROR(IF(B607="","",VLOOKUP(B607,CadProd!$A:$B,2,0)),"")</f>
        <v/>
      </c>
      <c r="D607" t="str">
        <f>IFERROR(IF(B607="","",VLOOKUP(B607,CadProd!$A:$C,3,0)),"")</f>
        <v/>
      </c>
    </row>
    <row r="608" spans="3:4" x14ac:dyDescent="0.3">
      <c r="C608" t="str">
        <f>IFERROR(IF(B608="","",VLOOKUP(B608,CadProd!$A:$B,2,0)),"")</f>
        <v/>
      </c>
      <c r="D608" t="str">
        <f>IFERROR(IF(B608="","",VLOOKUP(B608,CadProd!$A:$C,3,0)),"")</f>
        <v/>
      </c>
    </row>
    <row r="609" spans="3:4" x14ac:dyDescent="0.3">
      <c r="C609" t="str">
        <f>IFERROR(IF(B609="","",VLOOKUP(B609,CadProd!$A:$B,2,0)),"")</f>
        <v/>
      </c>
      <c r="D609" t="str">
        <f>IFERROR(IF(B609="","",VLOOKUP(B609,CadProd!$A:$C,3,0)),"")</f>
        <v/>
      </c>
    </row>
    <row r="610" spans="3:4" x14ac:dyDescent="0.3">
      <c r="C610" t="str">
        <f>IFERROR(IF(B610="","",VLOOKUP(B610,CadProd!$A:$B,2,0)),"")</f>
        <v/>
      </c>
      <c r="D610" t="str">
        <f>IFERROR(IF(B610="","",VLOOKUP(B610,CadProd!$A:$C,3,0)),"")</f>
        <v/>
      </c>
    </row>
    <row r="611" spans="3:4" x14ac:dyDescent="0.3">
      <c r="C611" t="str">
        <f>IFERROR(IF(B611="","",VLOOKUP(B611,CadProd!$A:$B,2,0)),"")</f>
        <v/>
      </c>
      <c r="D611" t="str">
        <f>IFERROR(IF(B611="","",VLOOKUP(B611,CadProd!$A:$C,3,0)),"")</f>
        <v/>
      </c>
    </row>
    <row r="612" spans="3:4" x14ac:dyDescent="0.3">
      <c r="C612" t="str">
        <f>IFERROR(IF(B612="","",VLOOKUP(B612,CadProd!$A:$B,2,0)),"")</f>
        <v/>
      </c>
      <c r="D612" t="str">
        <f>IFERROR(IF(B612="","",VLOOKUP(B612,CadProd!$A:$C,3,0)),"")</f>
        <v/>
      </c>
    </row>
    <row r="613" spans="3:4" x14ac:dyDescent="0.3">
      <c r="C613" t="str">
        <f>IFERROR(IF(B613="","",VLOOKUP(B613,CadProd!$A:$B,2,0)),"")</f>
        <v/>
      </c>
      <c r="D613" t="str">
        <f>IFERROR(IF(B613="","",VLOOKUP(B613,CadProd!$A:$C,3,0)),"")</f>
        <v/>
      </c>
    </row>
    <row r="614" spans="3:4" x14ac:dyDescent="0.3">
      <c r="C614" t="str">
        <f>IFERROR(IF(B614="","",VLOOKUP(B614,CadProd!$A:$B,2,0)),"")</f>
        <v/>
      </c>
      <c r="D614" t="str">
        <f>IFERROR(IF(B614="","",VLOOKUP(B614,CadProd!$A:$C,3,0)),"")</f>
        <v/>
      </c>
    </row>
    <row r="615" spans="3:4" x14ac:dyDescent="0.3">
      <c r="C615" t="str">
        <f>IFERROR(IF(B615="","",VLOOKUP(B615,CadProd!$A:$B,2,0)),"")</f>
        <v/>
      </c>
      <c r="D615" t="str">
        <f>IFERROR(IF(B615="","",VLOOKUP(B615,CadProd!$A:$C,3,0)),"")</f>
        <v/>
      </c>
    </row>
    <row r="616" spans="3:4" x14ac:dyDescent="0.3">
      <c r="C616" t="str">
        <f>IFERROR(IF(B616="","",VLOOKUP(B616,CadProd!$A:$B,2,0)),"")</f>
        <v/>
      </c>
      <c r="D616" t="str">
        <f>IFERROR(IF(B616="","",VLOOKUP(B616,CadProd!$A:$C,3,0)),"")</f>
        <v/>
      </c>
    </row>
    <row r="617" spans="3:4" x14ac:dyDescent="0.3">
      <c r="C617" t="str">
        <f>IFERROR(IF(B617="","",VLOOKUP(B617,CadProd!$A:$B,2,0)),"")</f>
        <v/>
      </c>
      <c r="D617" t="str">
        <f>IFERROR(IF(B617="","",VLOOKUP(B617,CadProd!$A:$C,3,0)),"")</f>
        <v/>
      </c>
    </row>
    <row r="618" spans="3:4" x14ac:dyDescent="0.3">
      <c r="C618" t="str">
        <f>IFERROR(IF(B618="","",VLOOKUP(B618,CadProd!$A:$B,2,0)),"")</f>
        <v/>
      </c>
      <c r="D618" t="str">
        <f>IFERROR(IF(B618="","",VLOOKUP(B618,CadProd!$A:$C,3,0)),"")</f>
        <v/>
      </c>
    </row>
    <row r="619" spans="3:4" x14ac:dyDescent="0.3">
      <c r="C619" t="str">
        <f>IFERROR(IF(B619="","",VLOOKUP(B619,CadProd!$A:$B,2,0)),"")</f>
        <v/>
      </c>
      <c r="D619" t="str">
        <f>IFERROR(IF(B619="","",VLOOKUP(B619,CadProd!$A:$C,3,0)),"")</f>
        <v/>
      </c>
    </row>
    <row r="620" spans="3:4" x14ac:dyDescent="0.3">
      <c r="C620" t="str">
        <f>IFERROR(IF(B620="","",VLOOKUP(B620,CadProd!$A:$B,2,0)),"")</f>
        <v/>
      </c>
      <c r="D620" t="str">
        <f>IFERROR(IF(B620="","",VLOOKUP(B620,CadProd!$A:$C,3,0)),"")</f>
        <v/>
      </c>
    </row>
    <row r="621" spans="3:4" x14ac:dyDescent="0.3">
      <c r="C621" t="str">
        <f>IFERROR(IF(B621="","",VLOOKUP(B621,CadProd!$A:$B,2,0)),"")</f>
        <v/>
      </c>
      <c r="D621" t="str">
        <f>IFERROR(IF(B621="","",VLOOKUP(B621,CadProd!$A:$C,3,0)),"")</f>
        <v/>
      </c>
    </row>
    <row r="622" spans="3:4" x14ac:dyDescent="0.3">
      <c r="C622" t="str">
        <f>IFERROR(IF(B622="","",VLOOKUP(B622,CadProd!$A:$B,2,0)),"")</f>
        <v/>
      </c>
      <c r="D622" t="str">
        <f>IFERROR(IF(B622="","",VLOOKUP(B622,CadProd!$A:$C,3,0)),"")</f>
        <v/>
      </c>
    </row>
    <row r="623" spans="3:4" x14ac:dyDescent="0.3">
      <c r="C623" t="str">
        <f>IFERROR(IF(B623="","",VLOOKUP(B623,CadProd!$A:$B,2,0)),"")</f>
        <v/>
      </c>
      <c r="D623" t="str">
        <f>IFERROR(IF(B623="","",VLOOKUP(B623,CadProd!$A:$C,3,0)),"")</f>
        <v/>
      </c>
    </row>
    <row r="624" spans="3:4" x14ac:dyDescent="0.3">
      <c r="C624" t="str">
        <f>IFERROR(IF(B624="","",VLOOKUP(B624,CadProd!$A:$B,2,0)),"")</f>
        <v/>
      </c>
      <c r="D624" t="str">
        <f>IFERROR(IF(B624="","",VLOOKUP(B624,CadProd!$A:$C,3,0)),"")</f>
        <v/>
      </c>
    </row>
    <row r="625" spans="3:4" x14ac:dyDescent="0.3">
      <c r="C625" t="str">
        <f>IFERROR(IF(B625="","",VLOOKUP(B625,CadProd!$A:$B,2,0)),"")</f>
        <v/>
      </c>
      <c r="D625" t="str">
        <f>IFERROR(IF(B625="","",VLOOKUP(B625,CadProd!$A:$C,3,0)),"")</f>
        <v/>
      </c>
    </row>
    <row r="626" spans="3:4" x14ac:dyDescent="0.3">
      <c r="C626" t="str">
        <f>IFERROR(IF(B626="","",VLOOKUP(B626,CadProd!$A:$B,2,0)),"")</f>
        <v/>
      </c>
      <c r="D626" t="str">
        <f>IFERROR(IF(B626="","",VLOOKUP(B626,CadProd!$A:$C,3,0)),"")</f>
        <v/>
      </c>
    </row>
    <row r="627" spans="3:4" x14ac:dyDescent="0.3">
      <c r="C627" t="str">
        <f>IFERROR(IF(B627="","",VLOOKUP(B627,CadProd!$A:$B,2,0)),"")</f>
        <v/>
      </c>
      <c r="D627" t="str">
        <f>IFERROR(IF(B627="","",VLOOKUP(B627,CadProd!$A:$C,3,0)),"")</f>
        <v/>
      </c>
    </row>
    <row r="628" spans="3:4" x14ac:dyDescent="0.3">
      <c r="C628" t="str">
        <f>IFERROR(IF(B628="","",VLOOKUP(B628,CadProd!$A:$B,2,0)),"")</f>
        <v/>
      </c>
      <c r="D628" t="str">
        <f>IFERROR(IF(B628="","",VLOOKUP(B628,CadProd!$A:$C,3,0)),"")</f>
        <v/>
      </c>
    </row>
    <row r="629" spans="3:4" x14ac:dyDescent="0.3">
      <c r="C629" t="str">
        <f>IFERROR(IF(B629="","",VLOOKUP(B629,CadProd!$A:$B,2,0)),"")</f>
        <v/>
      </c>
      <c r="D629" t="str">
        <f>IFERROR(IF(B629="","",VLOOKUP(B629,CadProd!$A:$C,3,0)),"")</f>
        <v/>
      </c>
    </row>
    <row r="630" spans="3:4" x14ac:dyDescent="0.3">
      <c r="C630" t="str">
        <f>IFERROR(IF(B630="","",VLOOKUP(B630,CadProd!$A:$B,2,0)),"")</f>
        <v/>
      </c>
      <c r="D630" t="str">
        <f>IFERROR(IF(B630="","",VLOOKUP(B630,CadProd!$A:$C,3,0)),"")</f>
        <v/>
      </c>
    </row>
    <row r="631" spans="3:4" x14ac:dyDescent="0.3">
      <c r="C631" t="str">
        <f>IFERROR(IF(B631="","",VLOOKUP(B631,CadProd!$A:$B,2,0)),"")</f>
        <v/>
      </c>
      <c r="D631" t="str">
        <f>IFERROR(IF(B631="","",VLOOKUP(B631,CadProd!$A:$C,3,0)),"")</f>
        <v/>
      </c>
    </row>
    <row r="632" spans="3:4" x14ac:dyDescent="0.3">
      <c r="C632" t="str">
        <f>IFERROR(IF(B632="","",VLOOKUP(B632,CadProd!$A:$B,2,0)),"")</f>
        <v/>
      </c>
      <c r="D632" t="str">
        <f>IFERROR(IF(B632="","",VLOOKUP(B632,CadProd!$A:$C,3,0)),"")</f>
        <v/>
      </c>
    </row>
    <row r="633" spans="3:4" x14ac:dyDescent="0.3">
      <c r="C633" t="str">
        <f>IFERROR(IF(B633="","",VLOOKUP(B633,CadProd!$A:$B,2,0)),"")</f>
        <v/>
      </c>
      <c r="D633" t="str">
        <f>IFERROR(IF(B633="","",VLOOKUP(B633,CadProd!$A:$C,3,0)),"")</f>
        <v/>
      </c>
    </row>
    <row r="634" spans="3:4" x14ac:dyDescent="0.3">
      <c r="C634" t="str">
        <f>IFERROR(IF(B634="","",VLOOKUP(B634,CadProd!$A:$B,2,0)),"")</f>
        <v/>
      </c>
      <c r="D634" t="str">
        <f>IFERROR(IF(B634="","",VLOOKUP(B634,CadProd!$A:$C,3,0)),"")</f>
        <v/>
      </c>
    </row>
    <row r="635" spans="3:4" x14ac:dyDescent="0.3">
      <c r="C635" t="str">
        <f>IFERROR(IF(B635="","",VLOOKUP(B635,CadProd!$A:$B,2,0)),"")</f>
        <v/>
      </c>
      <c r="D635" t="str">
        <f>IFERROR(IF(B635="","",VLOOKUP(B635,CadProd!$A:$C,3,0)),"")</f>
        <v/>
      </c>
    </row>
    <row r="636" spans="3:4" x14ac:dyDescent="0.3">
      <c r="C636" t="str">
        <f>IFERROR(IF(B636="","",VLOOKUP(B636,CadProd!$A:$B,2,0)),"")</f>
        <v/>
      </c>
      <c r="D636" t="str">
        <f>IFERROR(IF(B636="","",VLOOKUP(B636,CadProd!$A:$C,3,0)),"")</f>
        <v/>
      </c>
    </row>
    <row r="637" spans="3:4" x14ac:dyDescent="0.3">
      <c r="C637" t="str">
        <f>IFERROR(IF(B637="","",VLOOKUP(B637,CadProd!$A:$B,2,0)),"")</f>
        <v/>
      </c>
      <c r="D637" t="str">
        <f>IFERROR(IF(B637="","",VLOOKUP(B637,CadProd!$A:$C,3,0)),"")</f>
        <v/>
      </c>
    </row>
    <row r="638" spans="3:4" x14ac:dyDescent="0.3">
      <c r="C638" t="str">
        <f>IFERROR(IF(B638="","",VLOOKUP(B638,CadProd!$A:$B,2,0)),"")</f>
        <v/>
      </c>
      <c r="D638" t="str">
        <f>IFERROR(IF(B638="","",VLOOKUP(B638,CadProd!$A:$C,3,0)),"")</f>
        <v/>
      </c>
    </row>
    <row r="639" spans="3:4" x14ac:dyDescent="0.3">
      <c r="C639" t="str">
        <f>IFERROR(IF(B639="","",VLOOKUP(B639,CadProd!$A:$B,2,0)),"")</f>
        <v/>
      </c>
      <c r="D639" t="str">
        <f>IFERROR(IF(B639="","",VLOOKUP(B639,CadProd!$A:$C,3,0)),"")</f>
        <v/>
      </c>
    </row>
    <row r="640" spans="3:4" x14ac:dyDescent="0.3">
      <c r="C640" t="str">
        <f>IFERROR(IF(B640="","",VLOOKUP(B640,CadProd!$A:$B,2,0)),"")</f>
        <v/>
      </c>
      <c r="D640" t="str">
        <f>IFERROR(IF(B640="","",VLOOKUP(B640,CadProd!$A:$C,3,0)),"")</f>
        <v/>
      </c>
    </row>
    <row r="641" spans="3:4" x14ac:dyDescent="0.3">
      <c r="C641" t="str">
        <f>IFERROR(IF(B641="","",VLOOKUP(B641,CadProd!$A:$B,2,0)),"")</f>
        <v/>
      </c>
      <c r="D641" t="str">
        <f>IFERROR(IF(B641="","",VLOOKUP(B641,CadProd!$A:$C,3,0)),"")</f>
        <v/>
      </c>
    </row>
    <row r="642" spans="3:4" x14ac:dyDescent="0.3">
      <c r="C642" t="str">
        <f>IFERROR(IF(B642="","",VLOOKUP(B642,CadProd!$A:$B,2,0)),"")</f>
        <v/>
      </c>
      <c r="D642" t="str">
        <f>IFERROR(IF(B642="","",VLOOKUP(B642,CadProd!$A:$C,3,0)),"")</f>
        <v/>
      </c>
    </row>
    <row r="643" spans="3:4" x14ac:dyDescent="0.3">
      <c r="C643" t="str">
        <f>IFERROR(IF(B643="","",VLOOKUP(B643,CadProd!$A:$B,2,0)),"")</f>
        <v/>
      </c>
      <c r="D643" t="str">
        <f>IFERROR(IF(B643="","",VLOOKUP(B643,CadProd!$A:$C,3,0)),"")</f>
        <v/>
      </c>
    </row>
    <row r="644" spans="3:4" x14ac:dyDescent="0.3">
      <c r="C644" t="str">
        <f>IFERROR(IF(B644="","",VLOOKUP(B644,CadProd!$A:$B,2,0)),"")</f>
        <v/>
      </c>
      <c r="D644" t="str">
        <f>IFERROR(IF(B644="","",VLOOKUP(B644,CadProd!$A:$C,3,0)),"")</f>
        <v/>
      </c>
    </row>
    <row r="645" spans="3:4" x14ac:dyDescent="0.3">
      <c r="C645" t="str">
        <f>IFERROR(IF(B645="","",VLOOKUP(B645,CadProd!$A:$B,2,0)),"")</f>
        <v/>
      </c>
      <c r="D645" t="str">
        <f>IFERROR(IF(B645="","",VLOOKUP(B645,CadProd!$A:$C,3,0)),"")</f>
        <v/>
      </c>
    </row>
    <row r="646" spans="3:4" x14ac:dyDescent="0.3">
      <c r="C646" t="str">
        <f>IFERROR(IF(B646="","",VLOOKUP(B646,CadProd!$A:$B,2,0)),"")</f>
        <v/>
      </c>
      <c r="D646" t="str">
        <f>IFERROR(IF(B646="","",VLOOKUP(B646,CadProd!$A:$C,3,0)),"")</f>
        <v/>
      </c>
    </row>
    <row r="647" spans="3:4" x14ac:dyDescent="0.3">
      <c r="C647" t="str">
        <f>IFERROR(IF(B647="","",VLOOKUP(B647,CadProd!$A:$B,2,0)),"")</f>
        <v/>
      </c>
      <c r="D647" t="str">
        <f>IFERROR(IF(B647="","",VLOOKUP(B647,CadProd!$A:$C,3,0)),"")</f>
        <v/>
      </c>
    </row>
    <row r="648" spans="3:4" x14ac:dyDescent="0.3">
      <c r="C648" t="str">
        <f>IFERROR(IF(B648="","",VLOOKUP(B648,CadProd!$A:$B,2,0)),"")</f>
        <v/>
      </c>
      <c r="D648" t="str">
        <f>IFERROR(IF(B648="","",VLOOKUP(B648,CadProd!$A:$C,3,0)),"")</f>
        <v/>
      </c>
    </row>
    <row r="649" spans="3:4" x14ac:dyDescent="0.3">
      <c r="C649" t="str">
        <f>IFERROR(IF(B649="","",VLOOKUP(B649,CadProd!$A:$B,2,0)),"")</f>
        <v/>
      </c>
      <c r="D649" t="str">
        <f>IFERROR(IF(B649="","",VLOOKUP(B649,CadProd!$A:$C,3,0)),"")</f>
        <v/>
      </c>
    </row>
    <row r="650" spans="3:4" x14ac:dyDescent="0.3">
      <c r="C650" t="str">
        <f>IFERROR(IF(B650="","",VLOOKUP(B650,CadProd!$A:$B,2,0)),"")</f>
        <v/>
      </c>
      <c r="D650" t="str">
        <f>IFERROR(IF(B650="","",VLOOKUP(B650,CadProd!$A:$C,3,0)),"")</f>
        <v/>
      </c>
    </row>
    <row r="651" spans="3:4" x14ac:dyDescent="0.3">
      <c r="C651" t="str">
        <f>IFERROR(IF(B651="","",VLOOKUP(B651,CadProd!$A:$B,2,0)),"")</f>
        <v/>
      </c>
      <c r="D651" t="str">
        <f>IFERROR(IF(B651="","",VLOOKUP(B651,CadProd!$A:$C,3,0)),"")</f>
        <v/>
      </c>
    </row>
    <row r="652" spans="3:4" x14ac:dyDescent="0.3">
      <c r="C652" t="str">
        <f>IFERROR(IF(B652="","",VLOOKUP(B652,CadProd!$A:$B,2,0)),"")</f>
        <v/>
      </c>
      <c r="D652" t="str">
        <f>IFERROR(IF(B652="","",VLOOKUP(B652,CadProd!$A:$C,3,0)),"")</f>
        <v/>
      </c>
    </row>
    <row r="653" spans="3:4" x14ac:dyDescent="0.3">
      <c r="C653" t="str">
        <f>IFERROR(IF(B653="","",VLOOKUP(B653,CadProd!$A:$B,2,0)),"")</f>
        <v/>
      </c>
      <c r="D653" t="str">
        <f>IFERROR(IF(B653="","",VLOOKUP(B653,CadProd!$A:$C,3,0)),"")</f>
        <v/>
      </c>
    </row>
    <row r="654" spans="3:4" x14ac:dyDescent="0.3">
      <c r="C654" t="str">
        <f>IFERROR(IF(B654="","",VLOOKUP(B654,CadProd!$A:$B,2,0)),"")</f>
        <v/>
      </c>
      <c r="D654" t="str">
        <f>IFERROR(IF(B654="","",VLOOKUP(B654,CadProd!$A:$C,3,0)),"")</f>
        <v/>
      </c>
    </row>
    <row r="655" spans="3:4" x14ac:dyDescent="0.3">
      <c r="C655" t="str">
        <f>IFERROR(IF(B655="","",VLOOKUP(B655,CadProd!$A:$B,2,0)),"")</f>
        <v/>
      </c>
      <c r="D655" t="str">
        <f>IFERROR(IF(B655="","",VLOOKUP(B655,CadProd!$A:$C,3,0)),"")</f>
        <v/>
      </c>
    </row>
    <row r="656" spans="3:4" x14ac:dyDescent="0.3">
      <c r="C656" t="str">
        <f>IFERROR(IF(B656="","",VLOOKUP(B656,CadProd!$A:$B,2,0)),"")</f>
        <v/>
      </c>
      <c r="D656" t="str">
        <f>IFERROR(IF(B656="","",VLOOKUP(B656,CadProd!$A:$C,3,0)),"")</f>
        <v/>
      </c>
    </row>
    <row r="657" spans="3:4" x14ac:dyDescent="0.3">
      <c r="C657" t="str">
        <f>IFERROR(IF(B657="","",VLOOKUP(B657,CadProd!$A:$B,2,0)),"")</f>
        <v/>
      </c>
      <c r="D657" t="str">
        <f>IFERROR(IF(B657="","",VLOOKUP(B657,CadProd!$A:$C,3,0)),"")</f>
        <v/>
      </c>
    </row>
    <row r="658" spans="3:4" x14ac:dyDescent="0.3">
      <c r="C658" t="str">
        <f>IFERROR(IF(B658="","",VLOOKUP(B658,CadProd!$A:$B,2,0)),"")</f>
        <v/>
      </c>
      <c r="D658" t="str">
        <f>IFERROR(IF(B658="","",VLOOKUP(B658,CadProd!$A:$C,3,0)),"")</f>
        <v/>
      </c>
    </row>
    <row r="659" spans="3:4" x14ac:dyDescent="0.3">
      <c r="C659" t="str">
        <f>IFERROR(IF(B659="","",VLOOKUP(B659,CadProd!$A:$B,2,0)),"")</f>
        <v/>
      </c>
      <c r="D659" t="str">
        <f>IFERROR(IF(B659="","",VLOOKUP(B659,CadProd!$A:$C,3,0)),"")</f>
        <v/>
      </c>
    </row>
    <row r="660" spans="3:4" x14ac:dyDescent="0.3">
      <c r="C660" t="str">
        <f>IFERROR(IF(B660="","",VLOOKUP(B660,CadProd!$A:$B,2,0)),"")</f>
        <v/>
      </c>
      <c r="D660" t="str">
        <f>IFERROR(IF(B660="","",VLOOKUP(B660,CadProd!$A:$C,3,0)),"")</f>
        <v/>
      </c>
    </row>
    <row r="661" spans="3:4" x14ac:dyDescent="0.3">
      <c r="C661" t="str">
        <f>IFERROR(IF(B661="","",VLOOKUP(B661,CadProd!$A:$B,2,0)),"")</f>
        <v/>
      </c>
      <c r="D661" t="str">
        <f>IFERROR(IF(B661="","",VLOOKUP(B661,CadProd!$A:$C,3,0)),"")</f>
        <v/>
      </c>
    </row>
    <row r="662" spans="3:4" x14ac:dyDescent="0.3">
      <c r="C662" t="str">
        <f>IFERROR(IF(B662="","",VLOOKUP(B662,CadProd!$A:$B,2,0)),"")</f>
        <v/>
      </c>
      <c r="D662" t="str">
        <f>IFERROR(IF(B662="","",VLOOKUP(B662,CadProd!$A:$C,3,0)),"")</f>
        <v/>
      </c>
    </row>
    <row r="663" spans="3:4" x14ac:dyDescent="0.3">
      <c r="C663" t="str">
        <f>IFERROR(IF(B663="","",VLOOKUP(B663,CadProd!$A:$B,2,0)),"")</f>
        <v/>
      </c>
      <c r="D663" t="str">
        <f>IFERROR(IF(B663="","",VLOOKUP(B663,CadProd!$A:$C,3,0)),"")</f>
        <v/>
      </c>
    </row>
    <row r="664" spans="3:4" x14ac:dyDescent="0.3">
      <c r="C664" t="str">
        <f>IFERROR(IF(B664="","",VLOOKUP(B664,CadProd!$A:$B,2,0)),"")</f>
        <v/>
      </c>
      <c r="D664" t="str">
        <f>IFERROR(IF(B664="","",VLOOKUP(B664,CadProd!$A:$C,3,0)),"")</f>
        <v/>
      </c>
    </row>
    <row r="665" spans="3:4" x14ac:dyDescent="0.3">
      <c r="C665" t="str">
        <f>IFERROR(IF(B665="","",VLOOKUP(B665,CadProd!$A:$B,2,0)),"")</f>
        <v/>
      </c>
      <c r="D665" t="str">
        <f>IFERROR(IF(B665="","",VLOOKUP(B665,CadProd!$A:$C,3,0)),"")</f>
        <v/>
      </c>
    </row>
    <row r="666" spans="3:4" x14ac:dyDescent="0.3">
      <c r="C666" t="str">
        <f>IFERROR(IF(B666="","",VLOOKUP(B666,CadProd!$A:$B,2,0)),"")</f>
        <v/>
      </c>
      <c r="D666" t="str">
        <f>IFERROR(IF(B666="","",VLOOKUP(B666,CadProd!$A:$C,3,0)),"")</f>
        <v/>
      </c>
    </row>
    <row r="667" spans="3:4" x14ac:dyDescent="0.3">
      <c r="C667" t="str">
        <f>IFERROR(IF(B667="","",VLOOKUP(B667,CadProd!$A:$B,2,0)),"")</f>
        <v/>
      </c>
      <c r="D667" t="str">
        <f>IFERROR(IF(B667="","",VLOOKUP(B667,CadProd!$A:$C,3,0)),"")</f>
        <v/>
      </c>
    </row>
    <row r="668" spans="3:4" x14ac:dyDescent="0.3">
      <c r="C668" t="str">
        <f>IFERROR(IF(B668="","",VLOOKUP(B668,CadProd!$A:$B,2,0)),"")</f>
        <v/>
      </c>
      <c r="D668" t="str">
        <f>IFERROR(IF(B668="","",VLOOKUP(B668,CadProd!$A:$C,3,0)),"")</f>
        <v/>
      </c>
    </row>
    <row r="669" spans="3:4" x14ac:dyDescent="0.3">
      <c r="C669" t="str">
        <f>IFERROR(IF(B669="","",VLOOKUP(B669,CadProd!$A:$B,2,0)),"")</f>
        <v/>
      </c>
      <c r="D669" t="str">
        <f>IFERROR(IF(B669="","",VLOOKUP(B669,CadProd!$A:$C,3,0)),"")</f>
        <v/>
      </c>
    </row>
    <row r="670" spans="3:4" x14ac:dyDescent="0.3">
      <c r="C670" t="str">
        <f>IFERROR(IF(B670="","",VLOOKUP(B670,CadProd!$A:$B,2,0)),"")</f>
        <v/>
      </c>
      <c r="D670" t="str">
        <f>IFERROR(IF(B670="","",VLOOKUP(B670,CadProd!$A:$C,3,0)),"")</f>
        <v/>
      </c>
    </row>
    <row r="671" spans="3:4" x14ac:dyDescent="0.3">
      <c r="C671" t="str">
        <f>IFERROR(IF(B671="","",VLOOKUP(B671,CadProd!$A:$B,2,0)),"")</f>
        <v/>
      </c>
      <c r="D671" t="str">
        <f>IFERROR(IF(B671="","",VLOOKUP(B671,CadProd!$A:$C,3,0)),"")</f>
        <v/>
      </c>
    </row>
    <row r="672" spans="3:4" x14ac:dyDescent="0.3">
      <c r="C672" t="str">
        <f>IFERROR(IF(B672="","",VLOOKUP(B672,CadProd!$A:$B,2,0)),"")</f>
        <v/>
      </c>
      <c r="D672" t="str">
        <f>IFERROR(IF(B672="","",VLOOKUP(B672,CadProd!$A:$C,3,0)),"")</f>
        <v/>
      </c>
    </row>
    <row r="673" spans="3:4" x14ac:dyDescent="0.3">
      <c r="C673" t="str">
        <f>IFERROR(IF(B673="","",VLOOKUP(B673,CadProd!$A:$B,2,0)),"")</f>
        <v/>
      </c>
      <c r="D673" t="str">
        <f>IFERROR(IF(B673="","",VLOOKUP(B673,CadProd!$A:$C,3,0)),"")</f>
        <v/>
      </c>
    </row>
    <row r="674" spans="3:4" x14ac:dyDescent="0.3">
      <c r="C674" t="str">
        <f>IFERROR(IF(B674="","",VLOOKUP(B674,CadProd!$A:$B,2,0)),"")</f>
        <v/>
      </c>
      <c r="D674" t="str">
        <f>IFERROR(IF(B674="","",VLOOKUP(B674,CadProd!$A:$C,3,0)),"")</f>
        <v/>
      </c>
    </row>
    <row r="675" spans="3:4" x14ac:dyDescent="0.3">
      <c r="C675" t="str">
        <f>IFERROR(IF(B675="","",VLOOKUP(B675,CadProd!$A:$B,2,0)),"")</f>
        <v/>
      </c>
      <c r="D675" t="str">
        <f>IFERROR(IF(B675="","",VLOOKUP(B675,CadProd!$A:$C,3,0)),"")</f>
        <v/>
      </c>
    </row>
    <row r="676" spans="3:4" x14ac:dyDescent="0.3">
      <c r="C676" t="str">
        <f>IFERROR(IF(B676="","",VLOOKUP(B676,CadProd!$A:$B,2,0)),"")</f>
        <v/>
      </c>
      <c r="D676" t="str">
        <f>IFERROR(IF(B676="","",VLOOKUP(B676,CadProd!$A:$C,3,0)),"")</f>
        <v/>
      </c>
    </row>
    <row r="677" spans="3:4" x14ac:dyDescent="0.3">
      <c r="C677" t="str">
        <f>IFERROR(IF(B677="","",VLOOKUP(B677,CadProd!$A:$B,2,0)),"")</f>
        <v/>
      </c>
      <c r="D677" t="str">
        <f>IFERROR(IF(B677="","",VLOOKUP(B677,CadProd!$A:$C,3,0)),"")</f>
        <v/>
      </c>
    </row>
    <row r="678" spans="3:4" x14ac:dyDescent="0.3">
      <c r="C678" t="str">
        <f>IFERROR(IF(B678="","",VLOOKUP(B678,CadProd!$A:$B,2,0)),"")</f>
        <v/>
      </c>
      <c r="D678" t="str">
        <f>IFERROR(IF(B678="","",VLOOKUP(B678,CadProd!$A:$C,3,0)),"")</f>
        <v/>
      </c>
    </row>
    <row r="679" spans="3:4" x14ac:dyDescent="0.3">
      <c r="C679" t="str">
        <f>IFERROR(IF(B679="","",VLOOKUP(B679,CadProd!$A:$B,2,0)),"")</f>
        <v/>
      </c>
      <c r="D679" t="str">
        <f>IFERROR(IF(B679="","",VLOOKUP(B679,CadProd!$A:$C,3,0)),"")</f>
        <v/>
      </c>
    </row>
    <row r="680" spans="3:4" x14ac:dyDescent="0.3">
      <c r="C680" t="str">
        <f>IFERROR(IF(B680="","",VLOOKUP(B680,CadProd!$A:$B,2,0)),"")</f>
        <v/>
      </c>
      <c r="D680" t="str">
        <f>IFERROR(IF(B680="","",VLOOKUP(B680,CadProd!$A:$C,3,0)),"")</f>
        <v/>
      </c>
    </row>
    <row r="681" spans="3:4" x14ac:dyDescent="0.3">
      <c r="C681" t="str">
        <f>IFERROR(IF(B681="","",VLOOKUP(B681,CadProd!$A:$B,2,0)),"")</f>
        <v/>
      </c>
      <c r="D681" t="str">
        <f>IFERROR(IF(B681="","",VLOOKUP(B681,CadProd!$A:$C,3,0)),"")</f>
        <v/>
      </c>
    </row>
    <row r="682" spans="3:4" x14ac:dyDescent="0.3">
      <c r="C682" t="str">
        <f>IFERROR(IF(B682="","",VLOOKUP(B682,CadProd!$A:$B,2,0)),"")</f>
        <v/>
      </c>
      <c r="D682" t="str">
        <f>IFERROR(IF(B682="","",VLOOKUP(B682,CadProd!$A:$C,3,0)),"")</f>
        <v/>
      </c>
    </row>
    <row r="683" spans="3:4" x14ac:dyDescent="0.3">
      <c r="C683" t="str">
        <f>IFERROR(IF(B683="","",VLOOKUP(B683,CadProd!$A:$B,2,0)),"")</f>
        <v/>
      </c>
      <c r="D683" t="str">
        <f>IFERROR(IF(B683="","",VLOOKUP(B683,CadProd!$A:$C,3,0)),"")</f>
        <v/>
      </c>
    </row>
    <row r="684" spans="3:4" x14ac:dyDescent="0.3">
      <c r="C684" t="str">
        <f>IFERROR(IF(B684="","",VLOOKUP(B684,CadProd!$A:$B,2,0)),"")</f>
        <v/>
      </c>
      <c r="D684" t="str">
        <f>IFERROR(IF(B684="","",VLOOKUP(B684,CadProd!$A:$C,3,0)),"")</f>
        <v/>
      </c>
    </row>
    <row r="685" spans="3:4" x14ac:dyDescent="0.3">
      <c r="C685" t="str">
        <f>IFERROR(IF(B685="","",VLOOKUP(B685,CadProd!$A:$B,2,0)),"")</f>
        <v/>
      </c>
      <c r="D685" t="str">
        <f>IFERROR(IF(B685="","",VLOOKUP(B685,CadProd!$A:$C,3,0)),"")</f>
        <v/>
      </c>
    </row>
    <row r="686" spans="3:4" x14ac:dyDescent="0.3">
      <c r="C686" t="str">
        <f>IFERROR(IF(B686="","",VLOOKUP(B686,CadProd!$A:$B,2,0)),"")</f>
        <v/>
      </c>
      <c r="D686" t="str">
        <f>IFERROR(IF(B686="","",VLOOKUP(B686,CadProd!$A:$C,3,0)),"")</f>
        <v/>
      </c>
    </row>
    <row r="687" spans="3:4" x14ac:dyDescent="0.3">
      <c r="C687" t="str">
        <f>IFERROR(IF(B687="","",VLOOKUP(B687,CadProd!$A:$B,2,0)),"")</f>
        <v/>
      </c>
      <c r="D687" t="str">
        <f>IFERROR(IF(B687="","",VLOOKUP(B687,CadProd!$A:$C,3,0)),"")</f>
        <v/>
      </c>
    </row>
    <row r="688" spans="3:4" x14ac:dyDescent="0.3">
      <c r="C688" t="str">
        <f>IFERROR(IF(B688="","",VLOOKUP(B688,CadProd!$A:$B,2,0)),"")</f>
        <v/>
      </c>
      <c r="D688" t="str">
        <f>IFERROR(IF(B688="","",VLOOKUP(B688,CadProd!$A:$C,3,0)),"")</f>
        <v/>
      </c>
    </row>
    <row r="689" spans="3:4" x14ac:dyDescent="0.3">
      <c r="C689" t="str">
        <f>IFERROR(IF(B689="","",VLOOKUP(B689,CadProd!$A:$B,2,0)),"")</f>
        <v/>
      </c>
      <c r="D689" t="str">
        <f>IFERROR(IF(B689="","",VLOOKUP(B689,CadProd!$A:$C,3,0)),"")</f>
        <v/>
      </c>
    </row>
    <row r="690" spans="3:4" x14ac:dyDescent="0.3">
      <c r="C690" t="str">
        <f>IFERROR(IF(B690="","",VLOOKUP(B690,CadProd!$A:$B,2,0)),"")</f>
        <v/>
      </c>
      <c r="D690" t="str">
        <f>IFERROR(IF(B690="","",VLOOKUP(B690,CadProd!$A:$C,3,0)),"")</f>
        <v/>
      </c>
    </row>
    <row r="691" spans="3:4" x14ac:dyDescent="0.3">
      <c r="C691" t="str">
        <f>IFERROR(IF(B691="","",VLOOKUP(B691,CadProd!$A:$B,2,0)),"")</f>
        <v/>
      </c>
      <c r="D691" t="str">
        <f>IFERROR(IF(B691="","",VLOOKUP(B691,CadProd!$A:$C,3,0)),"")</f>
        <v/>
      </c>
    </row>
    <row r="692" spans="3:4" x14ac:dyDescent="0.3">
      <c r="C692" t="str">
        <f>IFERROR(IF(B692="","",VLOOKUP(B692,CadProd!$A:$B,2,0)),"")</f>
        <v/>
      </c>
      <c r="D692" t="str">
        <f>IFERROR(IF(B692="","",VLOOKUP(B692,CadProd!$A:$C,3,0)),"")</f>
        <v/>
      </c>
    </row>
    <row r="693" spans="3:4" x14ac:dyDescent="0.3">
      <c r="C693" t="str">
        <f>IFERROR(IF(B693="","",VLOOKUP(B693,CadProd!$A:$B,2,0)),"")</f>
        <v/>
      </c>
      <c r="D693" t="str">
        <f>IFERROR(IF(B693="","",VLOOKUP(B693,CadProd!$A:$C,3,0)),"")</f>
        <v/>
      </c>
    </row>
    <row r="694" spans="3:4" x14ac:dyDescent="0.3">
      <c r="C694" t="str">
        <f>IFERROR(IF(B694="","",VLOOKUP(B694,CadProd!$A:$B,2,0)),"")</f>
        <v/>
      </c>
      <c r="D694" t="str">
        <f>IFERROR(IF(B694="","",VLOOKUP(B694,CadProd!$A:$C,3,0)),"")</f>
        <v/>
      </c>
    </row>
    <row r="695" spans="3:4" x14ac:dyDescent="0.3">
      <c r="C695" t="str">
        <f>IFERROR(IF(B695="","",VLOOKUP(B695,CadProd!$A:$B,2,0)),"")</f>
        <v/>
      </c>
      <c r="D695" t="str">
        <f>IFERROR(IF(B695="","",VLOOKUP(B695,CadProd!$A:$C,3,0)),"")</f>
        <v/>
      </c>
    </row>
    <row r="696" spans="3:4" x14ac:dyDescent="0.3">
      <c r="C696" t="str">
        <f>IFERROR(IF(B696="","",VLOOKUP(B696,CadProd!$A:$B,2,0)),"")</f>
        <v/>
      </c>
      <c r="D696" t="str">
        <f>IFERROR(IF(B696="","",VLOOKUP(B696,CadProd!$A:$C,3,0)),"")</f>
        <v/>
      </c>
    </row>
    <row r="697" spans="3:4" x14ac:dyDescent="0.3">
      <c r="C697" t="str">
        <f>IFERROR(IF(B697="","",VLOOKUP(B697,CadProd!$A:$B,2,0)),"")</f>
        <v/>
      </c>
      <c r="D697" t="str">
        <f>IFERROR(IF(B697="","",VLOOKUP(B697,CadProd!$A:$C,3,0)),"")</f>
        <v/>
      </c>
    </row>
    <row r="698" spans="3:4" x14ac:dyDescent="0.3">
      <c r="C698" t="str">
        <f>IFERROR(IF(B698="","",VLOOKUP(B698,CadProd!$A:$B,2,0)),"")</f>
        <v/>
      </c>
      <c r="D698" t="str">
        <f>IFERROR(IF(B698="","",VLOOKUP(B698,CadProd!$A:$C,3,0)),"")</f>
        <v/>
      </c>
    </row>
    <row r="699" spans="3:4" x14ac:dyDescent="0.3">
      <c r="C699" t="str">
        <f>IFERROR(IF(B699="","",VLOOKUP(B699,CadProd!$A:$B,2,0)),"")</f>
        <v/>
      </c>
      <c r="D699" t="str">
        <f>IFERROR(IF(B699="","",VLOOKUP(B699,CadProd!$A:$C,3,0)),"")</f>
        <v/>
      </c>
    </row>
    <row r="700" spans="3:4" x14ac:dyDescent="0.3">
      <c r="C700" t="str">
        <f>IFERROR(IF(B700="","",VLOOKUP(B700,CadProd!$A:$B,2,0)),"")</f>
        <v/>
      </c>
      <c r="D700" t="str">
        <f>IFERROR(IF(B700="","",VLOOKUP(B700,CadProd!$A:$C,3,0)),"")</f>
        <v/>
      </c>
    </row>
    <row r="701" spans="3:4" x14ac:dyDescent="0.3">
      <c r="C701" t="str">
        <f>IFERROR(IF(B701="","",VLOOKUP(B701,CadProd!$A:$B,2,0)),"")</f>
        <v/>
      </c>
      <c r="D701" t="str">
        <f>IFERROR(IF(B701="","",VLOOKUP(B701,CadProd!$A:$C,3,0)),"")</f>
        <v/>
      </c>
    </row>
    <row r="702" spans="3:4" x14ac:dyDescent="0.3">
      <c r="C702" t="str">
        <f>IFERROR(IF(B702="","",VLOOKUP(B702,CadProd!$A:$B,2,0)),"")</f>
        <v/>
      </c>
      <c r="D702" t="str">
        <f>IFERROR(IF(B702="","",VLOOKUP(B702,CadProd!$A:$C,3,0)),"")</f>
        <v/>
      </c>
    </row>
    <row r="703" spans="3:4" x14ac:dyDescent="0.3">
      <c r="C703" t="str">
        <f>IFERROR(IF(B703="","",VLOOKUP(B703,CadProd!$A:$B,2,0)),"")</f>
        <v/>
      </c>
      <c r="D703" t="str">
        <f>IFERROR(IF(B703="","",VLOOKUP(B703,CadProd!$A:$C,3,0)),"")</f>
        <v/>
      </c>
    </row>
    <row r="704" spans="3:4" x14ac:dyDescent="0.3">
      <c r="C704" t="str">
        <f>IFERROR(IF(B704="","",VLOOKUP(B704,CadProd!$A:$B,2,0)),"")</f>
        <v/>
      </c>
      <c r="D704" t="str">
        <f>IFERROR(IF(B704="","",VLOOKUP(B704,CadProd!$A:$C,3,0)),"")</f>
        <v/>
      </c>
    </row>
    <row r="705" spans="3:4" x14ac:dyDescent="0.3">
      <c r="C705" t="str">
        <f>IFERROR(IF(B705="","",VLOOKUP(B705,CadProd!$A:$B,2,0)),"")</f>
        <v/>
      </c>
      <c r="D705" t="str">
        <f>IFERROR(IF(B705="","",VLOOKUP(B705,CadProd!$A:$C,3,0)),"")</f>
        <v/>
      </c>
    </row>
    <row r="706" spans="3:4" x14ac:dyDescent="0.3">
      <c r="C706" t="str">
        <f>IFERROR(IF(B706="","",VLOOKUP(B706,CadProd!$A:$B,2,0)),"")</f>
        <v/>
      </c>
      <c r="D706" t="str">
        <f>IFERROR(IF(B706="","",VLOOKUP(B706,CadProd!$A:$C,3,0)),"")</f>
        <v/>
      </c>
    </row>
    <row r="707" spans="3:4" x14ac:dyDescent="0.3">
      <c r="C707" t="str">
        <f>IFERROR(IF(B707="","",VLOOKUP(B707,CadProd!$A:$B,2,0)),"")</f>
        <v/>
      </c>
      <c r="D707" t="str">
        <f>IFERROR(IF(B707="","",VLOOKUP(B707,CadProd!$A:$C,3,0)),"")</f>
        <v/>
      </c>
    </row>
    <row r="708" spans="3:4" x14ac:dyDescent="0.3">
      <c r="C708" t="str">
        <f>IFERROR(IF(B708="","",VLOOKUP(B708,CadProd!$A:$B,2,0)),"")</f>
        <v/>
      </c>
      <c r="D708" t="str">
        <f>IFERROR(IF(B708="","",VLOOKUP(B708,CadProd!$A:$C,3,0)),"")</f>
        <v/>
      </c>
    </row>
    <row r="709" spans="3:4" x14ac:dyDescent="0.3">
      <c r="C709" t="str">
        <f>IFERROR(IF(B709="","",VLOOKUP(B709,CadProd!$A:$B,2,0)),"")</f>
        <v/>
      </c>
      <c r="D709" t="str">
        <f>IFERROR(IF(B709="","",VLOOKUP(B709,CadProd!$A:$C,3,0)),"")</f>
        <v/>
      </c>
    </row>
    <row r="710" spans="3:4" x14ac:dyDescent="0.3">
      <c r="C710" t="str">
        <f>IFERROR(IF(B710="","",VLOOKUP(B710,CadProd!$A:$B,2,0)),"")</f>
        <v/>
      </c>
      <c r="D710" t="str">
        <f>IFERROR(IF(B710="","",VLOOKUP(B710,CadProd!$A:$C,3,0)),"")</f>
        <v/>
      </c>
    </row>
    <row r="711" spans="3:4" x14ac:dyDescent="0.3">
      <c r="C711" t="str">
        <f>IFERROR(IF(B711="","",VLOOKUP(B711,CadProd!$A:$B,2,0)),"")</f>
        <v/>
      </c>
      <c r="D711" t="str">
        <f>IFERROR(IF(B711="","",VLOOKUP(B711,CadProd!$A:$C,3,0)),"")</f>
        <v/>
      </c>
    </row>
    <row r="712" spans="3:4" x14ac:dyDescent="0.3">
      <c r="C712" t="str">
        <f>IFERROR(IF(B712="","",VLOOKUP(B712,CadProd!$A:$B,2,0)),"")</f>
        <v/>
      </c>
      <c r="D712" t="str">
        <f>IFERROR(IF(B712="","",VLOOKUP(B712,CadProd!$A:$C,3,0)),"")</f>
        <v/>
      </c>
    </row>
    <row r="713" spans="3:4" x14ac:dyDescent="0.3">
      <c r="C713" t="str">
        <f>IFERROR(IF(B713="","",VLOOKUP(B713,CadProd!$A:$B,2,0)),"")</f>
        <v/>
      </c>
      <c r="D713" t="str">
        <f>IFERROR(IF(B713="","",VLOOKUP(B713,CadProd!$A:$C,3,0)),"")</f>
        <v/>
      </c>
    </row>
    <row r="714" spans="3:4" x14ac:dyDescent="0.3">
      <c r="C714" t="str">
        <f>IFERROR(IF(B714="","",VLOOKUP(B714,CadProd!$A:$B,2,0)),"")</f>
        <v/>
      </c>
      <c r="D714" t="str">
        <f>IFERROR(IF(B714="","",VLOOKUP(B714,CadProd!$A:$C,3,0)),"")</f>
        <v/>
      </c>
    </row>
    <row r="715" spans="3:4" x14ac:dyDescent="0.3">
      <c r="C715" t="str">
        <f>IFERROR(IF(B715="","",VLOOKUP(B715,CadProd!$A:$B,2,0)),"")</f>
        <v/>
      </c>
      <c r="D715" t="str">
        <f>IFERROR(IF(B715="","",VLOOKUP(B715,CadProd!$A:$C,3,0)),"")</f>
        <v/>
      </c>
    </row>
    <row r="716" spans="3:4" x14ac:dyDescent="0.3">
      <c r="C716" t="str">
        <f>IFERROR(IF(B716="","",VLOOKUP(B716,CadProd!$A:$B,2,0)),"")</f>
        <v/>
      </c>
      <c r="D716" t="str">
        <f>IFERROR(IF(B716="","",VLOOKUP(B716,CadProd!$A:$C,3,0)),"")</f>
        <v/>
      </c>
    </row>
    <row r="717" spans="3:4" x14ac:dyDescent="0.3">
      <c r="C717" t="str">
        <f>IFERROR(IF(B717="","",VLOOKUP(B717,CadProd!$A:$B,2,0)),"")</f>
        <v/>
      </c>
      <c r="D717" t="str">
        <f>IFERROR(IF(B717="","",VLOOKUP(B717,CadProd!$A:$C,3,0)),"")</f>
        <v/>
      </c>
    </row>
    <row r="718" spans="3:4" x14ac:dyDescent="0.3">
      <c r="C718" t="str">
        <f>IFERROR(IF(B718="","",VLOOKUP(B718,CadProd!$A:$B,2,0)),"")</f>
        <v/>
      </c>
      <c r="D718" t="str">
        <f>IFERROR(IF(B718="","",VLOOKUP(B718,CadProd!$A:$C,3,0)),"")</f>
        <v/>
      </c>
    </row>
    <row r="719" spans="3:4" x14ac:dyDescent="0.3">
      <c r="C719" t="str">
        <f>IFERROR(IF(B719="","",VLOOKUP(B719,CadProd!$A:$B,2,0)),"")</f>
        <v/>
      </c>
      <c r="D719" t="str">
        <f>IFERROR(IF(B719="","",VLOOKUP(B719,CadProd!$A:$C,3,0)),"")</f>
        <v/>
      </c>
    </row>
    <row r="720" spans="3:4" x14ac:dyDescent="0.3">
      <c r="C720" t="str">
        <f>IFERROR(IF(B720="","",VLOOKUP(B720,CadProd!$A:$B,2,0)),"")</f>
        <v/>
      </c>
      <c r="D720" t="str">
        <f>IFERROR(IF(B720="","",VLOOKUP(B720,CadProd!$A:$C,3,0)),"")</f>
        <v/>
      </c>
    </row>
    <row r="721" spans="3:4" x14ac:dyDescent="0.3">
      <c r="C721" t="str">
        <f>IFERROR(IF(B721="","",VLOOKUP(B721,CadProd!$A:$B,2,0)),"")</f>
        <v/>
      </c>
      <c r="D721" t="str">
        <f>IFERROR(IF(B721="","",VLOOKUP(B721,CadProd!$A:$C,3,0)),"")</f>
        <v/>
      </c>
    </row>
    <row r="722" spans="3:4" x14ac:dyDescent="0.3">
      <c r="C722" t="str">
        <f>IFERROR(IF(B722="","",VLOOKUP(B722,CadProd!$A:$B,2,0)),"")</f>
        <v/>
      </c>
      <c r="D722" t="str">
        <f>IFERROR(IF(B722="","",VLOOKUP(B722,CadProd!$A:$C,3,0)),"")</f>
        <v/>
      </c>
    </row>
    <row r="723" spans="3:4" x14ac:dyDescent="0.3">
      <c r="C723" t="str">
        <f>IFERROR(IF(B723="","",VLOOKUP(B723,CadProd!$A:$B,2,0)),"")</f>
        <v/>
      </c>
      <c r="D723" t="str">
        <f>IFERROR(IF(B723="","",VLOOKUP(B723,CadProd!$A:$C,3,0)),"")</f>
        <v/>
      </c>
    </row>
    <row r="724" spans="3:4" x14ac:dyDescent="0.3">
      <c r="C724" t="str">
        <f>IFERROR(IF(B724="","",VLOOKUP(B724,CadProd!$A:$B,2,0)),"")</f>
        <v/>
      </c>
      <c r="D724" t="str">
        <f>IFERROR(IF(B724="","",VLOOKUP(B724,CadProd!$A:$C,3,0)),"")</f>
        <v/>
      </c>
    </row>
    <row r="725" spans="3:4" x14ac:dyDescent="0.3">
      <c r="C725" t="str">
        <f>IFERROR(IF(B725="","",VLOOKUP(B725,CadProd!$A:$B,2,0)),"")</f>
        <v/>
      </c>
      <c r="D725" t="str">
        <f>IFERROR(IF(B725="","",VLOOKUP(B725,CadProd!$A:$C,3,0)),"")</f>
        <v/>
      </c>
    </row>
    <row r="726" spans="3:4" x14ac:dyDescent="0.3">
      <c r="C726" t="str">
        <f>IFERROR(IF(B726="","",VLOOKUP(B726,CadProd!$A:$B,2,0)),"")</f>
        <v/>
      </c>
      <c r="D726" t="str">
        <f>IFERROR(IF(B726="","",VLOOKUP(B726,CadProd!$A:$C,3,0)),"")</f>
        <v/>
      </c>
    </row>
    <row r="727" spans="3:4" x14ac:dyDescent="0.3">
      <c r="C727" t="str">
        <f>IFERROR(IF(B727="","",VLOOKUP(B727,CadProd!$A:$B,2,0)),"")</f>
        <v/>
      </c>
      <c r="D727" t="str">
        <f>IFERROR(IF(B727="","",VLOOKUP(B727,CadProd!$A:$C,3,0)),"")</f>
        <v/>
      </c>
    </row>
    <row r="728" spans="3:4" x14ac:dyDescent="0.3">
      <c r="C728" t="str">
        <f>IFERROR(IF(B728="","",VLOOKUP(B728,CadProd!$A:$B,2,0)),"")</f>
        <v/>
      </c>
      <c r="D728" t="str">
        <f>IFERROR(IF(B728="","",VLOOKUP(B728,CadProd!$A:$C,3,0)),"")</f>
        <v/>
      </c>
    </row>
    <row r="729" spans="3:4" x14ac:dyDescent="0.3">
      <c r="C729" t="str">
        <f>IFERROR(IF(B729="","",VLOOKUP(B729,CadProd!$A:$B,2,0)),"")</f>
        <v/>
      </c>
      <c r="D729" t="str">
        <f>IFERROR(IF(B729="","",VLOOKUP(B729,CadProd!$A:$C,3,0)),"")</f>
        <v/>
      </c>
    </row>
    <row r="730" spans="3:4" x14ac:dyDescent="0.3">
      <c r="C730" t="str">
        <f>IFERROR(IF(B730="","",VLOOKUP(B730,CadProd!$A:$B,2,0)),"")</f>
        <v/>
      </c>
      <c r="D730" t="str">
        <f>IFERROR(IF(B730="","",VLOOKUP(B730,CadProd!$A:$C,3,0)),"")</f>
        <v/>
      </c>
    </row>
    <row r="731" spans="3:4" x14ac:dyDescent="0.3">
      <c r="C731" t="str">
        <f>IFERROR(IF(B731="","",VLOOKUP(B731,CadProd!$A:$B,2,0)),"")</f>
        <v/>
      </c>
      <c r="D731" t="str">
        <f>IFERROR(IF(B731="","",VLOOKUP(B731,CadProd!$A:$C,3,0)),"")</f>
        <v/>
      </c>
    </row>
    <row r="732" spans="3:4" x14ac:dyDescent="0.3">
      <c r="C732" t="str">
        <f>IFERROR(IF(B732="","",VLOOKUP(B732,CadProd!$A:$B,2,0)),"")</f>
        <v/>
      </c>
      <c r="D732" t="str">
        <f>IFERROR(IF(B732="","",VLOOKUP(B732,CadProd!$A:$C,3,0)),"")</f>
        <v/>
      </c>
    </row>
    <row r="733" spans="3:4" x14ac:dyDescent="0.3">
      <c r="C733" t="str">
        <f>IFERROR(IF(B733="","",VLOOKUP(B733,CadProd!$A:$B,2,0)),"")</f>
        <v/>
      </c>
      <c r="D733" t="str">
        <f>IFERROR(IF(B733="","",VLOOKUP(B733,CadProd!$A:$C,3,0)),"")</f>
        <v/>
      </c>
    </row>
    <row r="734" spans="3:4" x14ac:dyDescent="0.3">
      <c r="C734" t="str">
        <f>IFERROR(IF(B734="","",VLOOKUP(B734,CadProd!$A:$B,2,0)),"")</f>
        <v/>
      </c>
      <c r="D734" t="str">
        <f>IFERROR(IF(B734="","",VLOOKUP(B734,CadProd!$A:$C,3,0)),"")</f>
        <v/>
      </c>
    </row>
    <row r="735" spans="3:4" x14ac:dyDescent="0.3">
      <c r="C735" t="str">
        <f>IFERROR(IF(B735="","",VLOOKUP(B735,CadProd!$A:$B,2,0)),"")</f>
        <v/>
      </c>
      <c r="D735" t="str">
        <f>IFERROR(IF(B735="","",VLOOKUP(B735,CadProd!$A:$C,3,0)),"")</f>
        <v/>
      </c>
    </row>
    <row r="736" spans="3:4" x14ac:dyDescent="0.3">
      <c r="C736" t="str">
        <f>IFERROR(IF(B736="","",VLOOKUP(B736,CadProd!$A:$B,2,0)),"")</f>
        <v/>
      </c>
      <c r="D736" t="str">
        <f>IFERROR(IF(B736="","",VLOOKUP(B736,CadProd!$A:$C,3,0)),"")</f>
        <v/>
      </c>
    </row>
    <row r="737" spans="3:4" x14ac:dyDescent="0.3">
      <c r="C737" t="str">
        <f>IFERROR(IF(B737="","",VLOOKUP(B737,CadProd!$A:$B,2,0)),"")</f>
        <v/>
      </c>
      <c r="D737" t="str">
        <f>IFERROR(IF(B737="","",VLOOKUP(B737,CadProd!$A:$C,3,0)),"")</f>
        <v/>
      </c>
    </row>
    <row r="738" spans="3:4" x14ac:dyDescent="0.3">
      <c r="C738" t="str">
        <f>IFERROR(IF(B738="","",VLOOKUP(B738,CadProd!$A:$B,2,0)),"")</f>
        <v/>
      </c>
      <c r="D738" t="str">
        <f>IFERROR(IF(B738="","",VLOOKUP(B738,CadProd!$A:$C,3,0)),"")</f>
        <v/>
      </c>
    </row>
    <row r="739" spans="3:4" x14ac:dyDescent="0.3">
      <c r="C739" t="str">
        <f>IFERROR(IF(B739="","",VLOOKUP(B739,CadProd!$A:$B,2,0)),"")</f>
        <v/>
      </c>
      <c r="D739" t="str">
        <f>IFERROR(IF(B739="","",VLOOKUP(B739,CadProd!$A:$C,3,0)),"")</f>
        <v/>
      </c>
    </row>
    <row r="740" spans="3:4" x14ac:dyDescent="0.3">
      <c r="C740" t="str">
        <f>IFERROR(IF(B740="","",VLOOKUP(B740,CadProd!$A:$B,2,0)),"")</f>
        <v/>
      </c>
      <c r="D740" t="str">
        <f>IFERROR(IF(B740="","",VLOOKUP(B740,CadProd!$A:$C,3,0)),"")</f>
        <v/>
      </c>
    </row>
    <row r="741" spans="3:4" x14ac:dyDescent="0.3">
      <c r="C741" t="str">
        <f>IFERROR(IF(B741="","",VLOOKUP(B741,CadProd!$A:$B,2,0)),"")</f>
        <v/>
      </c>
      <c r="D741" t="str">
        <f>IFERROR(IF(B741="","",VLOOKUP(B741,CadProd!$A:$C,3,0)),"")</f>
        <v/>
      </c>
    </row>
    <row r="742" spans="3:4" x14ac:dyDescent="0.3">
      <c r="C742" t="str">
        <f>IFERROR(IF(B742="","",VLOOKUP(B742,CadProd!$A:$B,2,0)),"")</f>
        <v/>
      </c>
      <c r="D742" t="str">
        <f>IFERROR(IF(B742="","",VLOOKUP(B742,CadProd!$A:$C,3,0)),"")</f>
        <v/>
      </c>
    </row>
    <row r="743" spans="3:4" x14ac:dyDescent="0.3">
      <c r="C743" t="str">
        <f>IFERROR(IF(B743="","",VLOOKUP(B743,CadProd!$A:$B,2,0)),"")</f>
        <v/>
      </c>
      <c r="D743" t="str">
        <f>IFERROR(IF(B743="","",VLOOKUP(B743,CadProd!$A:$C,3,0)),"")</f>
        <v/>
      </c>
    </row>
    <row r="744" spans="3:4" x14ac:dyDescent="0.3">
      <c r="C744" t="str">
        <f>IFERROR(IF(B744="","",VLOOKUP(B744,CadProd!$A:$B,2,0)),"")</f>
        <v/>
      </c>
      <c r="D744" t="str">
        <f>IFERROR(IF(B744="","",VLOOKUP(B744,CadProd!$A:$C,3,0)),"")</f>
        <v/>
      </c>
    </row>
    <row r="745" spans="3:4" x14ac:dyDescent="0.3">
      <c r="C745" t="str">
        <f>IFERROR(IF(B745="","",VLOOKUP(B745,CadProd!$A:$B,2,0)),"")</f>
        <v/>
      </c>
      <c r="D745" t="str">
        <f>IFERROR(IF(B745="","",VLOOKUP(B745,CadProd!$A:$C,3,0)),"")</f>
        <v/>
      </c>
    </row>
    <row r="746" spans="3:4" x14ac:dyDescent="0.3">
      <c r="C746" t="str">
        <f>IFERROR(IF(B746="","",VLOOKUP(B746,CadProd!$A:$B,2,0)),"")</f>
        <v/>
      </c>
      <c r="D746" t="str">
        <f>IFERROR(IF(B746="","",VLOOKUP(B746,CadProd!$A:$C,3,0)),"")</f>
        <v/>
      </c>
    </row>
    <row r="747" spans="3:4" x14ac:dyDescent="0.3">
      <c r="C747" t="str">
        <f>IFERROR(IF(B747="","",VLOOKUP(B747,CadProd!$A:$B,2,0)),"")</f>
        <v/>
      </c>
      <c r="D747" t="str">
        <f>IFERROR(IF(B747="","",VLOOKUP(B747,CadProd!$A:$C,3,0)),"")</f>
        <v/>
      </c>
    </row>
    <row r="748" spans="3:4" x14ac:dyDescent="0.3">
      <c r="C748" t="str">
        <f>IFERROR(IF(B748="","",VLOOKUP(B748,CadProd!$A:$B,2,0)),"")</f>
        <v/>
      </c>
      <c r="D748" t="str">
        <f>IFERROR(IF(B748="","",VLOOKUP(B748,CadProd!$A:$C,3,0)),"")</f>
        <v/>
      </c>
    </row>
    <row r="749" spans="3:4" x14ac:dyDescent="0.3">
      <c r="C749" t="str">
        <f>IFERROR(IF(B749="","",VLOOKUP(B749,CadProd!$A:$B,2,0)),"")</f>
        <v/>
      </c>
      <c r="D749" t="str">
        <f>IFERROR(IF(B749="","",VLOOKUP(B749,CadProd!$A:$C,3,0)),"")</f>
        <v/>
      </c>
    </row>
    <row r="750" spans="3:4" x14ac:dyDescent="0.3">
      <c r="C750" t="str">
        <f>IFERROR(IF(B750="","",VLOOKUP(B750,CadProd!$A:$B,2,0)),"")</f>
        <v/>
      </c>
      <c r="D750" t="str">
        <f>IFERROR(IF(B750="","",VLOOKUP(B750,CadProd!$A:$C,3,0)),"")</f>
        <v/>
      </c>
    </row>
    <row r="751" spans="3:4" x14ac:dyDescent="0.3">
      <c r="C751" t="str">
        <f>IFERROR(IF(B751="","",VLOOKUP(B751,CadProd!$A:$B,2,0)),"")</f>
        <v/>
      </c>
      <c r="D751" t="str">
        <f>IFERROR(IF(B751="","",VLOOKUP(B751,CadProd!$A:$C,3,0)),"")</f>
        <v/>
      </c>
    </row>
    <row r="752" spans="3:4" x14ac:dyDescent="0.3">
      <c r="C752" t="str">
        <f>IFERROR(IF(B752="","",VLOOKUP(B752,CadProd!$A:$B,2,0)),"")</f>
        <v/>
      </c>
      <c r="D752" t="str">
        <f>IFERROR(IF(B752="","",VLOOKUP(B752,CadProd!$A:$C,3,0)),"")</f>
        <v/>
      </c>
    </row>
    <row r="753" spans="3:4" x14ac:dyDescent="0.3">
      <c r="C753" t="str">
        <f>IFERROR(IF(B753="","",VLOOKUP(B753,CadProd!$A:$B,2,0)),"")</f>
        <v/>
      </c>
      <c r="D753" t="str">
        <f>IFERROR(IF(B753="","",VLOOKUP(B753,CadProd!$A:$C,3,0)),"")</f>
        <v/>
      </c>
    </row>
    <row r="754" spans="3:4" x14ac:dyDescent="0.3">
      <c r="C754" t="str">
        <f>IFERROR(IF(B754="","",VLOOKUP(B754,CadProd!$A:$B,2,0)),"")</f>
        <v/>
      </c>
      <c r="D754" t="str">
        <f>IFERROR(IF(B754="","",VLOOKUP(B754,CadProd!$A:$C,3,0)),"")</f>
        <v/>
      </c>
    </row>
    <row r="755" spans="3:4" x14ac:dyDescent="0.3">
      <c r="C755" t="str">
        <f>IFERROR(IF(B755="","",VLOOKUP(B755,CadProd!$A:$B,2,0)),"")</f>
        <v/>
      </c>
      <c r="D755" t="str">
        <f>IFERROR(IF(B755="","",VLOOKUP(B755,CadProd!$A:$C,3,0)),"")</f>
        <v/>
      </c>
    </row>
    <row r="756" spans="3:4" x14ac:dyDescent="0.3">
      <c r="C756" t="str">
        <f>IFERROR(IF(B756="","",VLOOKUP(B756,CadProd!$A:$B,2,0)),"")</f>
        <v/>
      </c>
      <c r="D756" t="str">
        <f>IFERROR(IF(B756="","",VLOOKUP(B756,CadProd!$A:$C,3,0)),"")</f>
        <v/>
      </c>
    </row>
    <row r="757" spans="3:4" x14ac:dyDescent="0.3">
      <c r="C757" t="str">
        <f>IFERROR(IF(B757="","",VLOOKUP(B757,CadProd!$A:$B,2,0)),"")</f>
        <v/>
      </c>
      <c r="D757" t="str">
        <f>IFERROR(IF(B757="","",VLOOKUP(B757,CadProd!$A:$C,3,0)),"")</f>
        <v/>
      </c>
    </row>
    <row r="758" spans="3:4" x14ac:dyDescent="0.3">
      <c r="C758" t="str">
        <f>IFERROR(IF(B758="","",VLOOKUP(B758,CadProd!$A:$B,2,0)),"")</f>
        <v/>
      </c>
      <c r="D758" t="str">
        <f>IFERROR(IF(B758="","",VLOOKUP(B758,CadProd!$A:$C,3,0)),"")</f>
        <v/>
      </c>
    </row>
    <row r="759" spans="3:4" x14ac:dyDescent="0.3">
      <c r="C759" t="str">
        <f>IFERROR(IF(B759="","",VLOOKUP(B759,CadProd!$A:$B,2,0)),"")</f>
        <v/>
      </c>
      <c r="D759" t="str">
        <f>IFERROR(IF(B759="","",VLOOKUP(B759,CadProd!$A:$C,3,0)),"")</f>
        <v/>
      </c>
    </row>
    <row r="760" spans="3:4" x14ac:dyDescent="0.3">
      <c r="C760" t="str">
        <f>IFERROR(IF(B760="","",VLOOKUP(B760,CadProd!$A:$B,2,0)),"")</f>
        <v/>
      </c>
      <c r="D760" t="str">
        <f>IFERROR(IF(B760="","",VLOOKUP(B760,CadProd!$A:$C,3,0)),"")</f>
        <v/>
      </c>
    </row>
    <row r="761" spans="3:4" x14ac:dyDescent="0.3">
      <c r="C761" t="str">
        <f>IFERROR(IF(B761="","",VLOOKUP(B761,CadProd!$A:$B,2,0)),"")</f>
        <v/>
      </c>
      <c r="D761" t="str">
        <f>IFERROR(IF(B761="","",VLOOKUP(B761,CadProd!$A:$C,3,0)),"")</f>
        <v/>
      </c>
    </row>
    <row r="762" spans="3:4" x14ac:dyDescent="0.3">
      <c r="C762" t="str">
        <f>IFERROR(IF(B762="","",VLOOKUP(B762,CadProd!$A:$B,2,0)),"")</f>
        <v/>
      </c>
      <c r="D762" t="str">
        <f>IFERROR(IF(B762="","",VLOOKUP(B762,CadProd!$A:$C,3,0)),"")</f>
        <v/>
      </c>
    </row>
    <row r="763" spans="3:4" x14ac:dyDescent="0.3">
      <c r="C763" t="str">
        <f>IFERROR(IF(B763="","",VLOOKUP(B763,CadProd!$A:$B,2,0)),"")</f>
        <v/>
      </c>
      <c r="D763" t="str">
        <f>IFERROR(IF(B763="","",VLOOKUP(B763,CadProd!$A:$C,3,0)),"")</f>
        <v/>
      </c>
    </row>
    <row r="764" spans="3:4" x14ac:dyDescent="0.3">
      <c r="C764" t="str">
        <f>IFERROR(IF(B764="","",VLOOKUP(B764,CadProd!$A:$B,2,0)),"")</f>
        <v/>
      </c>
      <c r="D764" t="str">
        <f>IFERROR(IF(B764="","",VLOOKUP(B764,CadProd!$A:$C,3,0)),"")</f>
        <v/>
      </c>
    </row>
    <row r="765" spans="3:4" x14ac:dyDescent="0.3">
      <c r="C765" t="str">
        <f>IFERROR(IF(B765="","",VLOOKUP(B765,CadProd!$A:$B,2,0)),"")</f>
        <v/>
      </c>
      <c r="D765" t="str">
        <f>IFERROR(IF(B765="","",VLOOKUP(B765,CadProd!$A:$C,3,0)),"")</f>
        <v/>
      </c>
    </row>
    <row r="766" spans="3:4" x14ac:dyDescent="0.3">
      <c r="C766" t="str">
        <f>IFERROR(IF(B766="","",VLOOKUP(B766,CadProd!$A:$B,2,0)),"")</f>
        <v/>
      </c>
      <c r="D766" t="str">
        <f>IFERROR(IF(B766="","",VLOOKUP(B766,CadProd!$A:$C,3,0)),"")</f>
        <v/>
      </c>
    </row>
    <row r="767" spans="3:4" x14ac:dyDescent="0.3">
      <c r="C767" t="str">
        <f>IFERROR(IF(B767="","",VLOOKUP(B767,CadProd!$A:$B,2,0)),"")</f>
        <v/>
      </c>
      <c r="D767" t="str">
        <f>IFERROR(IF(B767="","",VLOOKUP(B767,CadProd!$A:$C,3,0)),"")</f>
        <v/>
      </c>
    </row>
    <row r="768" spans="3:4" x14ac:dyDescent="0.3">
      <c r="C768" t="str">
        <f>IFERROR(IF(B768="","",VLOOKUP(B768,CadProd!$A:$B,2,0)),"")</f>
        <v/>
      </c>
      <c r="D768" t="str">
        <f>IFERROR(IF(B768="","",VLOOKUP(B768,CadProd!$A:$C,3,0)),"")</f>
        <v/>
      </c>
    </row>
    <row r="769" spans="3:4" x14ac:dyDescent="0.3">
      <c r="C769" t="str">
        <f>IFERROR(IF(B769="","",VLOOKUP(B769,CadProd!$A:$B,2,0)),"")</f>
        <v/>
      </c>
      <c r="D769" t="str">
        <f>IFERROR(IF(B769="","",VLOOKUP(B769,CadProd!$A:$C,3,0)),"")</f>
        <v/>
      </c>
    </row>
    <row r="770" spans="3:4" x14ac:dyDescent="0.3">
      <c r="C770" t="str">
        <f>IFERROR(IF(B770="","",VLOOKUP(B770,CadProd!$A:$B,2,0)),"")</f>
        <v/>
      </c>
      <c r="D770" t="str">
        <f>IFERROR(IF(B770="","",VLOOKUP(B770,CadProd!$A:$C,3,0)),"")</f>
        <v/>
      </c>
    </row>
    <row r="771" spans="3:4" x14ac:dyDescent="0.3">
      <c r="C771" t="str">
        <f>IFERROR(IF(B771="","",VLOOKUP(B771,CadProd!$A:$B,2,0)),"")</f>
        <v/>
      </c>
      <c r="D771" t="str">
        <f>IFERROR(IF(B771="","",VLOOKUP(B771,CadProd!$A:$C,3,0)),"")</f>
        <v/>
      </c>
    </row>
    <row r="772" spans="3:4" x14ac:dyDescent="0.3">
      <c r="C772" t="str">
        <f>IFERROR(IF(B772="","",VLOOKUP(B772,CadProd!$A:$B,2,0)),"")</f>
        <v/>
      </c>
      <c r="D772" t="str">
        <f>IFERROR(IF(B772="","",VLOOKUP(B772,CadProd!$A:$C,3,0)),"")</f>
        <v/>
      </c>
    </row>
    <row r="773" spans="3:4" x14ac:dyDescent="0.3">
      <c r="C773" t="str">
        <f>IFERROR(IF(B773="","",VLOOKUP(B773,CadProd!$A:$B,2,0)),"")</f>
        <v/>
      </c>
      <c r="D773" t="str">
        <f>IFERROR(IF(B773="","",VLOOKUP(B773,CadProd!$A:$C,3,0)),"")</f>
        <v/>
      </c>
    </row>
    <row r="774" spans="3:4" x14ac:dyDescent="0.3">
      <c r="C774" t="str">
        <f>IFERROR(IF(B774="","",VLOOKUP(B774,CadProd!$A:$B,2,0)),"")</f>
        <v/>
      </c>
      <c r="D774" t="str">
        <f>IFERROR(IF(B774="","",VLOOKUP(B774,CadProd!$A:$C,3,0)),"")</f>
        <v/>
      </c>
    </row>
    <row r="775" spans="3:4" x14ac:dyDescent="0.3">
      <c r="C775" t="str">
        <f>IFERROR(IF(B775="","",VLOOKUP(B775,CadProd!$A:$B,2,0)),"")</f>
        <v/>
      </c>
      <c r="D775" t="str">
        <f>IFERROR(IF(B775="","",VLOOKUP(B775,CadProd!$A:$C,3,0)),"")</f>
        <v/>
      </c>
    </row>
    <row r="776" spans="3:4" x14ac:dyDescent="0.3">
      <c r="C776" t="str">
        <f>IFERROR(IF(B776="","",VLOOKUP(B776,CadProd!$A:$B,2,0)),"")</f>
        <v/>
      </c>
      <c r="D776" t="str">
        <f>IFERROR(IF(B776="","",VLOOKUP(B776,CadProd!$A:$C,3,0)),"")</f>
        <v/>
      </c>
    </row>
    <row r="777" spans="3:4" x14ac:dyDescent="0.3">
      <c r="C777" t="str">
        <f>IFERROR(IF(B777="","",VLOOKUP(B777,CadProd!$A:$B,2,0)),"")</f>
        <v/>
      </c>
      <c r="D777" t="str">
        <f>IFERROR(IF(B777="","",VLOOKUP(B777,CadProd!$A:$C,3,0)),"")</f>
        <v/>
      </c>
    </row>
    <row r="778" spans="3:4" x14ac:dyDescent="0.3">
      <c r="C778" t="str">
        <f>IFERROR(IF(B778="","",VLOOKUP(B778,CadProd!$A:$B,2,0)),"")</f>
        <v/>
      </c>
      <c r="D778" t="str">
        <f>IFERROR(IF(B778="","",VLOOKUP(B778,CadProd!$A:$C,3,0)),"")</f>
        <v/>
      </c>
    </row>
    <row r="779" spans="3:4" x14ac:dyDescent="0.3">
      <c r="C779" t="str">
        <f>IFERROR(IF(B779="","",VLOOKUP(B779,CadProd!$A:$B,2,0)),"")</f>
        <v/>
      </c>
      <c r="D779" t="str">
        <f>IFERROR(IF(B779="","",VLOOKUP(B779,CadProd!$A:$C,3,0)),"")</f>
        <v/>
      </c>
    </row>
    <row r="780" spans="3:4" x14ac:dyDescent="0.3">
      <c r="C780" t="str">
        <f>IFERROR(IF(B780="","",VLOOKUP(B780,CadProd!$A:$B,2,0)),"")</f>
        <v/>
      </c>
      <c r="D780" t="str">
        <f>IFERROR(IF(B780="","",VLOOKUP(B780,CadProd!$A:$C,3,0)),"")</f>
        <v/>
      </c>
    </row>
    <row r="781" spans="3:4" x14ac:dyDescent="0.3">
      <c r="C781" t="str">
        <f>IFERROR(IF(B781="","",VLOOKUP(B781,CadProd!$A:$B,2,0)),"")</f>
        <v/>
      </c>
      <c r="D781" t="str">
        <f>IFERROR(IF(B781="","",VLOOKUP(B781,CadProd!$A:$C,3,0)),"")</f>
        <v/>
      </c>
    </row>
    <row r="782" spans="3:4" x14ac:dyDescent="0.3">
      <c r="C782" t="str">
        <f>IFERROR(IF(B782="","",VLOOKUP(B782,CadProd!$A:$B,2,0)),"")</f>
        <v/>
      </c>
      <c r="D782" t="str">
        <f>IFERROR(IF(B782="","",VLOOKUP(B782,CadProd!$A:$C,3,0)),"")</f>
        <v/>
      </c>
    </row>
    <row r="783" spans="3:4" x14ac:dyDescent="0.3">
      <c r="C783" t="str">
        <f>IFERROR(IF(B783="","",VLOOKUP(B783,CadProd!$A:$B,2,0)),"")</f>
        <v/>
      </c>
      <c r="D783" t="str">
        <f>IFERROR(IF(B783="","",VLOOKUP(B783,CadProd!$A:$C,3,0)),"")</f>
        <v/>
      </c>
    </row>
    <row r="784" spans="3:4" x14ac:dyDescent="0.3">
      <c r="C784" t="str">
        <f>IFERROR(IF(B784="","",VLOOKUP(B784,CadProd!$A:$B,2,0)),"")</f>
        <v/>
      </c>
      <c r="D784" t="str">
        <f>IFERROR(IF(B784="","",VLOOKUP(B784,CadProd!$A:$C,3,0)),"")</f>
        <v/>
      </c>
    </row>
    <row r="785" spans="3:4" x14ac:dyDescent="0.3">
      <c r="C785" t="str">
        <f>IFERROR(IF(B785="","",VLOOKUP(B785,CadProd!$A:$B,2,0)),"")</f>
        <v/>
      </c>
      <c r="D785" t="str">
        <f>IFERROR(IF(B785="","",VLOOKUP(B785,CadProd!$A:$C,3,0)),"")</f>
        <v/>
      </c>
    </row>
    <row r="786" spans="3:4" x14ac:dyDescent="0.3">
      <c r="C786" t="str">
        <f>IFERROR(IF(B786="","",VLOOKUP(B786,CadProd!$A:$B,2,0)),"")</f>
        <v/>
      </c>
      <c r="D786" t="str">
        <f>IFERROR(IF(B786="","",VLOOKUP(B786,CadProd!$A:$C,3,0)),"")</f>
        <v/>
      </c>
    </row>
    <row r="787" spans="3:4" x14ac:dyDescent="0.3">
      <c r="C787" t="str">
        <f>IFERROR(IF(B787="","",VLOOKUP(B787,CadProd!$A:$B,2,0)),"")</f>
        <v/>
      </c>
      <c r="D787" t="str">
        <f>IFERROR(IF(B787="","",VLOOKUP(B787,CadProd!$A:$C,3,0)),"")</f>
        <v/>
      </c>
    </row>
    <row r="788" spans="3:4" x14ac:dyDescent="0.3">
      <c r="C788" t="str">
        <f>IFERROR(IF(B788="","",VLOOKUP(B788,CadProd!$A:$B,2,0)),"")</f>
        <v/>
      </c>
      <c r="D788" t="str">
        <f>IFERROR(IF(B788="","",VLOOKUP(B788,CadProd!$A:$C,3,0)),"")</f>
        <v/>
      </c>
    </row>
    <row r="789" spans="3:4" x14ac:dyDescent="0.3">
      <c r="C789" t="str">
        <f>IFERROR(IF(B789="","",VLOOKUP(B789,CadProd!$A:$B,2,0)),"")</f>
        <v/>
      </c>
      <c r="D789" t="str">
        <f>IFERROR(IF(B789="","",VLOOKUP(B789,CadProd!$A:$C,3,0)),"")</f>
        <v/>
      </c>
    </row>
    <row r="790" spans="3:4" x14ac:dyDescent="0.3">
      <c r="C790" t="str">
        <f>IFERROR(IF(B790="","",VLOOKUP(B790,CadProd!$A:$B,2,0)),"")</f>
        <v/>
      </c>
      <c r="D790" t="str">
        <f>IFERROR(IF(B790="","",VLOOKUP(B790,CadProd!$A:$C,3,0)),"")</f>
        <v/>
      </c>
    </row>
    <row r="791" spans="3:4" x14ac:dyDescent="0.3">
      <c r="C791" t="str">
        <f>IFERROR(IF(B791="","",VLOOKUP(B791,CadProd!$A:$B,2,0)),"")</f>
        <v/>
      </c>
      <c r="D791" t="str">
        <f>IFERROR(IF(B791="","",VLOOKUP(B791,CadProd!$A:$C,3,0)),"")</f>
        <v/>
      </c>
    </row>
    <row r="792" spans="3:4" x14ac:dyDescent="0.3">
      <c r="C792" t="str">
        <f>IFERROR(IF(B792="","",VLOOKUP(B792,CadProd!$A:$B,2,0)),"")</f>
        <v/>
      </c>
      <c r="D792" t="str">
        <f>IFERROR(IF(B792="","",VLOOKUP(B792,CadProd!$A:$C,3,0)),"")</f>
        <v/>
      </c>
    </row>
    <row r="793" spans="3:4" x14ac:dyDescent="0.3">
      <c r="C793" t="str">
        <f>IFERROR(IF(B793="","",VLOOKUP(B793,CadProd!$A:$B,2,0)),"")</f>
        <v/>
      </c>
      <c r="D793" t="str">
        <f>IFERROR(IF(B793="","",VLOOKUP(B793,CadProd!$A:$C,3,0)),"")</f>
        <v/>
      </c>
    </row>
    <row r="794" spans="3:4" x14ac:dyDescent="0.3">
      <c r="C794" t="str">
        <f>IFERROR(IF(B794="","",VLOOKUP(B794,CadProd!$A:$B,2,0)),"")</f>
        <v/>
      </c>
      <c r="D794" t="str">
        <f>IFERROR(IF(B794="","",VLOOKUP(B794,CadProd!$A:$C,3,0)),"")</f>
        <v/>
      </c>
    </row>
    <row r="795" spans="3:4" x14ac:dyDescent="0.3">
      <c r="C795" t="str">
        <f>IFERROR(IF(B795="","",VLOOKUP(B795,CadProd!$A:$B,2,0)),"")</f>
        <v/>
      </c>
      <c r="D795" t="str">
        <f>IFERROR(IF(B795="","",VLOOKUP(B795,CadProd!$A:$C,3,0)),"")</f>
        <v/>
      </c>
    </row>
    <row r="796" spans="3:4" x14ac:dyDescent="0.3">
      <c r="C796" t="str">
        <f>IFERROR(IF(B796="","",VLOOKUP(B796,CadProd!$A:$B,2,0)),"")</f>
        <v/>
      </c>
      <c r="D796" t="str">
        <f>IFERROR(IF(B796="","",VLOOKUP(B796,CadProd!$A:$C,3,0)),"")</f>
        <v/>
      </c>
    </row>
    <row r="797" spans="3:4" x14ac:dyDescent="0.3">
      <c r="C797" t="str">
        <f>IFERROR(IF(B797="","",VLOOKUP(B797,CadProd!$A:$B,2,0)),"")</f>
        <v/>
      </c>
      <c r="D797" t="str">
        <f>IFERROR(IF(B797="","",VLOOKUP(B797,CadProd!$A:$C,3,0)),"")</f>
        <v/>
      </c>
    </row>
    <row r="798" spans="3:4" x14ac:dyDescent="0.3">
      <c r="C798" t="str">
        <f>IFERROR(IF(B798="","",VLOOKUP(B798,CadProd!$A:$B,2,0)),"")</f>
        <v/>
      </c>
      <c r="D798" t="str">
        <f>IFERROR(IF(B798="","",VLOOKUP(B798,CadProd!$A:$C,3,0)),"")</f>
        <v/>
      </c>
    </row>
    <row r="799" spans="3:4" x14ac:dyDescent="0.3">
      <c r="C799" t="str">
        <f>IFERROR(IF(B799="","",VLOOKUP(B799,CadProd!$A:$B,2,0)),"")</f>
        <v/>
      </c>
      <c r="D799" t="str">
        <f>IFERROR(IF(B799="","",VLOOKUP(B799,CadProd!$A:$C,3,0)),"")</f>
        <v/>
      </c>
    </row>
    <row r="800" spans="3:4" x14ac:dyDescent="0.3">
      <c r="C800" t="str">
        <f>IFERROR(IF(B800="","",VLOOKUP(B800,CadProd!$A:$B,2,0)),"")</f>
        <v/>
      </c>
      <c r="D800" t="str">
        <f>IFERROR(IF(B800="","",VLOOKUP(B800,CadProd!$A:$C,3,0)),"")</f>
        <v/>
      </c>
    </row>
    <row r="801" spans="3:4" x14ac:dyDescent="0.3">
      <c r="C801" t="str">
        <f>IFERROR(IF(B801="","",VLOOKUP(B801,CadProd!$A:$B,2,0)),"")</f>
        <v/>
      </c>
      <c r="D801" t="str">
        <f>IFERROR(IF(B801="","",VLOOKUP(B801,CadProd!$A:$C,3,0)),"")</f>
        <v/>
      </c>
    </row>
    <row r="802" spans="3:4" x14ac:dyDescent="0.3">
      <c r="C802" t="str">
        <f>IFERROR(IF(B802="","",VLOOKUP(B802,CadProd!$A:$B,2,0)),"")</f>
        <v/>
      </c>
      <c r="D802" t="str">
        <f>IFERROR(IF(B802="","",VLOOKUP(B802,CadProd!$A:$C,3,0)),"")</f>
        <v/>
      </c>
    </row>
    <row r="803" spans="3:4" x14ac:dyDescent="0.3">
      <c r="C803" t="str">
        <f>IFERROR(IF(B803="","",VLOOKUP(B803,CadProd!$A:$B,2,0)),"")</f>
        <v/>
      </c>
      <c r="D803" t="str">
        <f>IFERROR(IF(B803="","",VLOOKUP(B803,CadProd!$A:$C,3,0)),"")</f>
        <v/>
      </c>
    </row>
    <row r="804" spans="3:4" x14ac:dyDescent="0.3">
      <c r="C804" t="str">
        <f>IFERROR(IF(B804="","",VLOOKUP(B804,CadProd!$A:$B,2,0)),"")</f>
        <v/>
      </c>
      <c r="D804" t="str">
        <f>IFERROR(IF(B804="","",VLOOKUP(B804,CadProd!$A:$C,3,0)),"")</f>
        <v/>
      </c>
    </row>
    <row r="805" spans="3:4" x14ac:dyDescent="0.3">
      <c r="C805" t="str">
        <f>IFERROR(IF(B805="","",VLOOKUP(B805,CadProd!$A:$B,2,0)),"")</f>
        <v/>
      </c>
      <c r="D805" t="str">
        <f>IFERROR(IF(B805="","",VLOOKUP(B805,CadProd!$A:$C,3,0)),"")</f>
        <v/>
      </c>
    </row>
    <row r="806" spans="3:4" x14ac:dyDescent="0.3">
      <c r="C806" t="str">
        <f>IFERROR(IF(B806="","",VLOOKUP(B806,CadProd!$A:$B,2,0)),"")</f>
        <v/>
      </c>
      <c r="D806" t="str">
        <f>IFERROR(IF(B806="","",VLOOKUP(B806,CadProd!$A:$C,3,0)),"")</f>
        <v/>
      </c>
    </row>
    <row r="807" spans="3:4" x14ac:dyDescent="0.3">
      <c r="C807" t="str">
        <f>IFERROR(IF(B807="","",VLOOKUP(B807,CadProd!$A:$B,2,0)),"")</f>
        <v/>
      </c>
      <c r="D807" t="str">
        <f>IFERROR(IF(B807="","",VLOOKUP(B807,CadProd!$A:$C,3,0)),"")</f>
        <v/>
      </c>
    </row>
    <row r="808" spans="3:4" x14ac:dyDescent="0.3">
      <c r="C808" t="str">
        <f>IFERROR(IF(B808="","",VLOOKUP(B808,CadProd!$A:$B,2,0)),"")</f>
        <v/>
      </c>
      <c r="D808" t="str">
        <f>IFERROR(IF(B808="","",VLOOKUP(B808,CadProd!$A:$C,3,0)),"")</f>
        <v/>
      </c>
    </row>
    <row r="809" spans="3:4" x14ac:dyDescent="0.3">
      <c r="C809" t="str">
        <f>IFERROR(IF(B809="","",VLOOKUP(B809,CadProd!$A:$B,2,0)),"")</f>
        <v/>
      </c>
      <c r="D809" t="str">
        <f>IFERROR(IF(B809="","",VLOOKUP(B809,CadProd!$A:$C,3,0)),"")</f>
        <v/>
      </c>
    </row>
    <row r="810" spans="3:4" x14ac:dyDescent="0.3">
      <c r="C810" t="str">
        <f>IFERROR(IF(B810="","",VLOOKUP(B810,CadProd!$A:$B,2,0)),"")</f>
        <v/>
      </c>
      <c r="D810" t="str">
        <f>IFERROR(IF(B810="","",VLOOKUP(B810,CadProd!$A:$C,3,0)),"")</f>
        <v/>
      </c>
    </row>
    <row r="811" spans="3:4" x14ac:dyDescent="0.3">
      <c r="C811" t="str">
        <f>IFERROR(IF(B811="","",VLOOKUP(B811,CadProd!$A:$B,2,0)),"")</f>
        <v/>
      </c>
      <c r="D811" t="str">
        <f>IFERROR(IF(B811="","",VLOOKUP(B811,CadProd!$A:$C,3,0)),"")</f>
        <v/>
      </c>
    </row>
    <row r="812" spans="3:4" x14ac:dyDescent="0.3">
      <c r="C812" t="str">
        <f>IFERROR(IF(B812="","",VLOOKUP(B812,CadProd!$A:$B,2,0)),"")</f>
        <v/>
      </c>
      <c r="D812" t="str">
        <f>IFERROR(IF(B812="","",VLOOKUP(B812,CadProd!$A:$C,3,0)),"")</f>
        <v/>
      </c>
    </row>
    <row r="813" spans="3:4" x14ac:dyDescent="0.3">
      <c r="C813" t="str">
        <f>IFERROR(IF(B813="","",VLOOKUP(B813,CadProd!$A:$B,2,0)),"")</f>
        <v/>
      </c>
      <c r="D813" t="str">
        <f>IFERROR(IF(B813="","",VLOOKUP(B813,CadProd!$A:$C,3,0)),"")</f>
        <v/>
      </c>
    </row>
    <row r="814" spans="3:4" x14ac:dyDescent="0.3">
      <c r="C814" t="str">
        <f>IFERROR(IF(B814="","",VLOOKUP(B814,CadProd!$A:$B,2,0)),"")</f>
        <v/>
      </c>
      <c r="D814" t="str">
        <f>IFERROR(IF(B814="","",VLOOKUP(B814,CadProd!$A:$C,3,0)),"")</f>
        <v/>
      </c>
    </row>
    <row r="815" spans="3:4" x14ac:dyDescent="0.3">
      <c r="C815" t="str">
        <f>IFERROR(IF(B815="","",VLOOKUP(B815,CadProd!$A:$B,2,0)),"")</f>
        <v/>
      </c>
      <c r="D815" t="str">
        <f>IFERROR(IF(B815="","",VLOOKUP(B815,CadProd!$A:$C,3,0)),"")</f>
        <v/>
      </c>
    </row>
    <row r="816" spans="3:4" x14ac:dyDescent="0.3">
      <c r="C816" t="str">
        <f>IFERROR(IF(B816="","",VLOOKUP(B816,CadProd!$A:$B,2,0)),"")</f>
        <v/>
      </c>
      <c r="D816" t="str">
        <f>IFERROR(IF(B816="","",VLOOKUP(B816,CadProd!$A:$C,3,0)),"")</f>
        <v/>
      </c>
    </row>
    <row r="817" spans="3:4" x14ac:dyDescent="0.3">
      <c r="C817" t="str">
        <f>IFERROR(IF(B817="","",VLOOKUP(B817,CadProd!$A:$B,2,0)),"")</f>
        <v/>
      </c>
      <c r="D817" t="str">
        <f>IFERROR(IF(B817="","",VLOOKUP(B817,CadProd!$A:$C,3,0)),"")</f>
        <v/>
      </c>
    </row>
    <row r="818" spans="3:4" x14ac:dyDescent="0.3">
      <c r="C818" t="str">
        <f>IFERROR(IF(B818="","",VLOOKUP(B818,CadProd!$A:$B,2,0)),"")</f>
        <v/>
      </c>
      <c r="D818" t="str">
        <f>IFERROR(IF(B818="","",VLOOKUP(B818,CadProd!$A:$C,3,0)),"")</f>
        <v/>
      </c>
    </row>
    <row r="819" spans="3:4" x14ac:dyDescent="0.3">
      <c r="C819" t="str">
        <f>IFERROR(IF(B819="","",VLOOKUP(B819,CadProd!$A:$B,2,0)),"")</f>
        <v/>
      </c>
      <c r="D819" t="str">
        <f>IFERROR(IF(B819="","",VLOOKUP(B819,CadProd!$A:$C,3,0)),"")</f>
        <v/>
      </c>
    </row>
    <row r="820" spans="3:4" x14ac:dyDescent="0.3">
      <c r="C820" t="str">
        <f>IFERROR(IF(B820="","",VLOOKUP(B820,CadProd!$A:$B,2,0)),"")</f>
        <v/>
      </c>
      <c r="D820" t="str">
        <f>IFERROR(IF(B820="","",VLOOKUP(B820,CadProd!$A:$C,3,0)),"")</f>
        <v/>
      </c>
    </row>
    <row r="821" spans="3:4" x14ac:dyDescent="0.3">
      <c r="C821" t="str">
        <f>IFERROR(IF(B821="","",VLOOKUP(B821,CadProd!$A:$B,2,0)),"")</f>
        <v/>
      </c>
      <c r="D821" t="str">
        <f>IFERROR(IF(B821="","",VLOOKUP(B821,CadProd!$A:$C,3,0)),"")</f>
        <v/>
      </c>
    </row>
    <row r="822" spans="3:4" x14ac:dyDescent="0.3">
      <c r="C822" t="str">
        <f>IFERROR(IF(B822="","",VLOOKUP(B822,CadProd!$A:$B,2,0)),"")</f>
        <v/>
      </c>
      <c r="D822" t="str">
        <f>IFERROR(IF(B822="","",VLOOKUP(B822,CadProd!$A:$C,3,0)),"")</f>
        <v/>
      </c>
    </row>
    <row r="823" spans="3:4" x14ac:dyDescent="0.3">
      <c r="C823" t="str">
        <f>IFERROR(IF(B823="","",VLOOKUP(B823,CadProd!$A:$B,2,0)),"")</f>
        <v/>
      </c>
      <c r="D823" t="str">
        <f>IFERROR(IF(B823="","",VLOOKUP(B823,CadProd!$A:$C,3,0)),"")</f>
        <v/>
      </c>
    </row>
    <row r="824" spans="3:4" x14ac:dyDescent="0.3">
      <c r="C824" t="str">
        <f>IFERROR(IF(B824="","",VLOOKUP(B824,CadProd!$A:$B,2,0)),"")</f>
        <v/>
      </c>
      <c r="D824" t="str">
        <f>IFERROR(IF(B824="","",VLOOKUP(B824,CadProd!$A:$C,3,0)),"")</f>
        <v/>
      </c>
    </row>
    <row r="825" spans="3:4" x14ac:dyDescent="0.3">
      <c r="C825" t="str">
        <f>IFERROR(IF(B825="","",VLOOKUP(B825,CadProd!$A:$B,2,0)),"")</f>
        <v/>
      </c>
      <c r="D825" t="str">
        <f>IFERROR(IF(B825="","",VLOOKUP(B825,CadProd!$A:$C,3,0)),"")</f>
        <v/>
      </c>
    </row>
    <row r="826" spans="3:4" x14ac:dyDescent="0.3">
      <c r="C826" t="str">
        <f>IFERROR(IF(B826="","",VLOOKUP(B826,CadProd!$A:$B,2,0)),"")</f>
        <v/>
      </c>
      <c r="D826" t="str">
        <f>IFERROR(IF(B826="","",VLOOKUP(B826,CadProd!$A:$C,3,0)),"")</f>
        <v/>
      </c>
    </row>
    <row r="827" spans="3:4" x14ac:dyDescent="0.3">
      <c r="C827" t="str">
        <f>IFERROR(IF(B827="","",VLOOKUP(B827,CadProd!$A:$B,2,0)),"")</f>
        <v/>
      </c>
      <c r="D827" t="str">
        <f>IFERROR(IF(B827="","",VLOOKUP(B827,CadProd!$A:$C,3,0)),"")</f>
        <v/>
      </c>
    </row>
    <row r="828" spans="3:4" x14ac:dyDescent="0.3">
      <c r="C828" t="str">
        <f>IFERROR(IF(B828="","",VLOOKUP(B828,CadProd!$A:$B,2,0)),"")</f>
        <v/>
      </c>
      <c r="D828" t="str">
        <f>IFERROR(IF(B828="","",VLOOKUP(B828,CadProd!$A:$C,3,0)),"")</f>
        <v/>
      </c>
    </row>
    <row r="829" spans="3:4" x14ac:dyDescent="0.3">
      <c r="C829" t="str">
        <f>IFERROR(IF(B829="","",VLOOKUP(B829,CadProd!$A:$B,2,0)),"")</f>
        <v/>
      </c>
      <c r="D829" t="str">
        <f>IFERROR(IF(B829="","",VLOOKUP(B829,CadProd!$A:$C,3,0)),"")</f>
        <v/>
      </c>
    </row>
    <row r="830" spans="3:4" x14ac:dyDescent="0.3">
      <c r="C830" t="str">
        <f>IFERROR(IF(B830="","",VLOOKUP(B830,CadProd!$A:$B,2,0)),"")</f>
        <v/>
      </c>
      <c r="D830" t="str">
        <f>IFERROR(IF(B830="","",VLOOKUP(B830,CadProd!$A:$C,3,0)),"")</f>
        <v/>
      </c>
    </row>
    <row r="831" spans="3:4" x14ac:dyDescent="0.3">
      <c r="C831" t="str">
        <f>IFERROR(IF(B831="","",VLOOKUP(B831,CadProd!$A:$B,2,0)),"")</f>
        <v/>
      </c>
      <c r="D831" t="str">
        <f>IFERROR(IF(B831="","",VLOOKUP(B831,CadProd!$A:$C,3,0)),"")</f>
        <v/>
      </c>
    </row>
    <row r="832" spans="3:4" x14ac:dyDescent="0.3">
      <c r="C832" t="str">
        <f>IFERROR(IF(B832="","",VLOOKUP(B832,CadProd!$A:$B,2,0)),"")</f>
        <v/>
      </c>
      <c r="D832" t="str">
        <f>IFERROR(IF(B832="","",VLOOKUP(B832,CadProd!$A:$C,3,0)),"")</f>
        <v/>
      </c>
    </row>
    <row r="833" spans="3:4" x14ac:dyDescent="0.3">
      <c r="C833" t="str">
        <f>IFERROR(IF(B833="","",VLOOKUP(B833,CadProd!$A:$B,2,0)),"")</f>
        <v/>
      </c>
      <c r="D833" t="str">
        <f>IFERROR(IF(B833="","",VLOOKUP(B833,CadProd!$A:$C,3,0)),"")</f>
        <v/>
      </c>
    </row>
    <row r="834" spans="3:4" x14ac:dyDescent="0.3">
      <c r="C834" t="str">
        <f>IFERROR(IF(B834="","",VLOOKUP(B834,CadProd!$A:$B,2,0)),"")</f>
        <v/>
      </c>
      <c r="D834" t="str">
        <f>IFERROR(IF(B834="","",VLOOKUP(B834,CadProd!$A:$C,3,0)),"")</f>
        <v/>
      </c>
    </row>
    <row r="835" spans="3:4" x14ac:dyDescent="0.3">
      <c r="C835" t="str">
        <f>IFERROR(IF(B835="","",VLOOKUP(B835,CadProd!$A:$B,2,0)),"")</f>
        <v/>
      </c>
      <c r="D835" t="str">
        <f>IFERROR(IF(B835="","",VLOOKUP(B835,CadProd!$A:$C,3,0)),"")</f>
        <v/>
      </c>
    </row>
    <row r="836" spans="3:4" x14ac:dyDescent="0.3">
      <c r="C836" t="str">
        <f>IFERROR(IF(B836="","",VLOOKUP(B836,CadProd!$A:$B,2,0)),"")</f>
        <v/>
      </c>
      <c r="D836" t="str">
        <f>IFERROR(IF(B836="","",VLOOKUP(B836,CadProd!$A:$C,3,0)),"")</f>
        <v/>
      </c>
    </row>
    <row r="837" spans="3:4" x14ac:dyDescent="0.3">
      <c r="C837" t="str">
        <f>IFERROR(IF(B837="","",VLOOKUP(B837,CadProd!$A:$B,2,0)),"")</f>
        <v/>
      </c>
      <c r="D837" t="str">
        <f>IFERROR(IF(B837="","",VLOOKUP(B837,CadProd!$A:$C,3,0)),"")</f>
        <v/>
      </c>
    </row>
    <row r="838" spans="3:4" x14ac:dyDescent="0.3">
      <c r="C838" t="str">
        <f>IFERROR(IF(B838="","",VLOOKUP(B838,CadProd!$A:$B,2,0)),"")</f>
        <v/>
      </c>
      <c r="D838" t="str">
        <f>IFERROR(IF(B838="","",VLOOKUP(B838,CadProd!$A:$C,3,0)),"")</f>
        <v/>
      </c>
    </row>
    <row r="839" spans="3:4" x14ac:dyDescent="0.3">
      <c r="C839" t="str">
        <f>IFERROR(IF(B839="","",VLOOKUP(B839,CadProd!$A:$B,2,0)),"")</f>
        <v/>
      </c>
      <c r="D839" t="str">
        <f>IFERROR(IF(B839="","",VLOOKUP(B839,CadProd!$A:$C,3,0)),"")</f>
        <v/>
      </c>
    </row>
    <row r="840" spans="3:4" x14ac:dyDescent="0.3">
      <c r="C840" t="str">
        <f>IFERROR(IF(B840="","",VLOOKUP(B840,CadProd!$A:$B,2,0)),"")</f>
        <v/>
      </c>
      <c r="D840" t="str">
        <f>IFERROR(IF(B840="","",VLOOKUP(B840,CadProd!$A:$C,3,0)),"")</f>
        <v/>
      </c>
    </row>
    <row r="841" spans="3:4" x14ac:dyDescent="0.3">
      <c r="C841" t="str">
        <f>IFERROR(IF(B841="","",VLOOKUP(B841,CadProd!$A:$B,2,0)),"")</f>
        <v/>
      </c>
      <c r="D841" t="str">
        <f>IFERROR(IF(B841="","",VLOOKUP(B841,CadProd!$A:$C,3,0)),"")</f>
        <v/>
      </c>
    </row>
    <row r="842" spans="3:4" x14ac:dyDescent="0.3">
      <c r="C842" t="str">
        <f>IFERROR(IF(B842="","",VLOOKUP(B842,CadProd!$A:$B,2,0)),"")</f>
        <v/>
      </c>
      <c r="D842" t="str">
        <f>IFERROR(IF(B842="","",VLOOKUP(B842,CadProd!$A:$C,3,0)),"")</f>
        <v/>
      </c>
    </row>
    <row r="843" spans="3:4" x14ac:dyDescent="0.3">
      <c r="C843" t="str">
        <f>IFERROR(IF(B843="","",VLOOKUP(B843,CadProd!$A:$B,2,0)),"")</f>
        <v/>
      </c>
      <c r="D843" t="str">
        <f>IFERROR(IF(B843="","",VLOOKUP(B843,CadProd!$A:$C,3,0)),"")</f>
        <v/>
      </c>
    </row>
    <row r="844" spans="3:4" x14ac:dyDescent="0.3">
      <c r="C844" t="str">
        <f>IFERROR(IF(B844="","",VLOOKUP(B844,CadProd!$A:$B,2,0)),"")</f>
        <v/>
      </c>
      <c r="D844" t="str">
        <f>IFERROR(IF(B844="","",VLOOKUP(B844,CadProd!$A:$C,3,0)),"")</f>
        <v/>
      </c>
    </row>
    <row r="845" spans="3:4" x14ac:dyDescent="0.3">
      <c r="C845" t="str">
        <f>IFERROR(IF(B845="","",VLOOKUP(B845,CadProd!$A:$B,2,0)),"")</f>
        <v/>
      </c>
      <c r="D845" t="str">
        <f>IFERROR(IF(B845="","",VLOOKUP(B845,CadProd!$A:$C,3,0)),"")</f>
        <v/>
      </c>
    </row>
    <row r="846" spans="3:4" x14ac:dyDescent="0.3">
      <c r="C846" t="str">
        <f>IFERROR(IF(B846="","",VLOOKUP(B846,CadProd!$A:$B,2,0)),"")</f>
        <v/>
      </c>
      <c r="D846" t="str">
        <f>IFERROR(IF(B846="","",VLOOKUP(B846,CadProd!$A:$C,3,0)),"")</f>
        <v/>
      </c>
    </row>
    <row r="847" spans="3:4" x14ac:dyDescent="0.3">
      <c r="C847" t="str">
        <f>IFERROR(IF(B847="","",VLOOKUP(B847,CadProd!$A:$B,2,0)),"")</f>
        <v/>
      </c>
      <c r="D847" t="str">
        <f>IFERROR(IF(B847="","",VLOOKUP(B847,CadProd!$A:$C,3,0)),"")</f>
        <v/>
      </c>
    </row>
    <row r="848" spans="3:4" x14ac:dyDescent="0.3">
      <c r="C848" t="str">
        <f>IFERROR(IF(B848="","",VLOOKUP(B848,CadProd!$A:$B,2,0)),"")</f>
        <v/>
      </c>
      <c r="D848" t="str">
        <f>IFERROR(IF(B848="","",VLOOKUP(B848,CadProd!$A:$C,3,0)),"")</f>
        <v/>
      </c>
    </row>
    <row r="849" spans="3:4" x14ac:dyDescent="0.3">
      <c r="C849" t="str">
        <f>IFERROR(IF(B849="","",VLOOKUP(B849,CadProd!$A:$B,2,0)),"")</f>
        <v/>
      </c>
      <c r="D849" t="str">
        <f>IFERROR(IF(B849="","",VLOOKUP(B849,CadProd!$A:$C,3,0)),"")</f>
        <v/>
      </c>
    </row>
    <row r="850" spans="3:4" x14ac:dyDescent="0.3">
      <c r="C850" t="str">
        <f>IFERROR(IF(B850="","",VLOOKUP(B850,CadProd!$A:$B,2,0)),"")</f>
        <v/>
      </c>
      <c r="D850" t="str">
        <f>IFERROR(IF(B850="","",VLOOKUP(B850,CadProd!$A:$C,3,0)),"")</f>
        <v/>
      </c>
    </row>
    <row r="851" spans="3:4" x14ac:dyDescent="0.3">
      <c r="C851" t="str">
        <f>IFERROR(IF(B851="","",VLOOKUP(B851,CadProd!$A:$B,2,0)),"")</f>
        <v/>
      </c>
      <c r="D851" t="str">
        <f>IFERROR(IF(B851="","",VLOOKUP(B851,CadProd!$A:$C,3,0)),"")</f>
        <v/>
      </c>
    </row>
    <row r="852" spans="3:4" x14ac:dyDescent="0.3">
      <c r="C852" t="str">
        <f>IFERROR(IF(B852="","",VLOOKUP(B852,CadProd!$A:$B,2,0)),"")</f>
        <v/>
      </c>
      <c r="D852" t="str">
        <f>IFERROR(IF(B852="","",VLOOKUP(B852,CadProd!$A:$C,3,0)),"")</f>
        <v/>
      </c>
    </row>
    <row r="853" spans="3:4" x14ac:dyDescent="0.3">
      <c r="C853" t="str">
        <f>IFERROR(IF(B853="","",VLOOKUP(B853,CadProd!$A:$B,2,0)),"")</f>
        <v/>
      </c>
      <c r="D853" t="str">
        <f>IFERROR(IF(B853="","",VLOOKUP(B853,CadProd!$A:$C,3,0)),"")</f>
        <v/>
      </c>
    </row>
    <row r="854" spans="3:4" x14ac:dyDescent="0.3">
      <c r="C854" t="str">
        <f>IFERROR(IF(B854="","",VLOOKUP(B854,CadProd!$A:$B,2,0)),"")</f>
        <v/>
      </c>
      <c r="D854" t="str">
        <f>IFERROR(IF(B854="","",VLOOKUP(B854,CadProd!$A:$C,3,0)),"")</f>
        <v/>
      </c>
    </row>
    <row r="855" spans="3:4" x14ac:dyDescent="0.3">
      <c r="C855" t="str">
        <f>IFERROR(IF(B855="","",VLOOKUP(B855,CadProd!$A:$B,2,0)),"")</f>
        <v/>
      </c>
      <c r="D855" t="str">
        <f>IFERROR(IF(B855="","",VLOOKUP(B855,CadProd!$A:$C,3,0)),"")</f>
        <v/>
      </c>
    </row>
    <row r="856" spans="3:4" x14ac:dyDescent="0.3">
      <c r="C856" t="str">
        <f>IFERROR(IF(B856="","",VLOOKUP(B856,CadProd!$A:$B,2,0)),"")</f>
        <v/>
      </c>
      <c r="D856" t="str">
        <f>IFERROR(IF(B856="","",VLOOKUP(B856,CadProd!$A:$C,3,0)),"")</f>
        <v/>
      </c>
    </row>
    <row r="857" spans="3:4" x14ac:dyDescent="0.3">
      <c r="C857" t="str">
        <f>IFERROR(IF(B857="","",VLOOKUP(B857,CadProd!$A:$B,2,0)),"")</f>
        <v/>
      </c>
      <c r="D857" t="str">
        <f>IFERROR(IF(B857="","",VLOOKUP(B857,CadProd!$A:$C,3,0)),"")</f>
        <v/>
      </c>
    </row>
    <row r="858" spans="3:4" x14ac:dyDescent="0.3">
      <c r="C858" t="str">
        <f>IFERROR(IF(B858="","",VLOOKUP(B858,CadProd!$A:$B,2,0)),"")</f>
        <v/>
      </c>
      <c r="D858" t="str">
        <f>IFERROR(IF(B858="","",VLOOKUP(B858,CadProd!$A:$C,3,0)),"")</f>
        <v/>
      </c>
    </row>
    <row r="859" spans="3:4" x14ac:dyDescent="0.3">
      <c r="C859" t="str">
        <f>IFERROR(IF(B859="","",VLOOKUP(B859,CadProd!$A:$B,2,0)),"")</f>
        <v/>
      </c>
      <c r="D859" t="str">
        <f>IFERROR(IF(B859="","",VLOOKUP(B859,CadProd!$A:$C,3,0)),"")</f>
        <v/>
      </c>
    </row>
    <row r="860" spans="3:4" x14ac:dyDescent="0.3">
      <c r="C860" t="str">
        <f>IFERROR(IF(B860="","",VLOOKUP(B860,CadProd!$A:$B,2,0)),"")</f>
        <v/>
      </c>
      <c r="D860" t="str">
        <f>IFERROR(IF(B860="","",VLOOKUP(B860,CadProd!$A:$C,3,0)),"")</f>
        <v/>
      </c>
    </row>
    <row r="861" spans="3:4" x14ac:dyDescent="0.3">
      <c r="C861" t="str">
        <f>IFERROR(IF(B861="","",VLOOKUP(B861,CadProd!$A:$B,2,0)),"")</f>
        <v/>
      </c>
      <c r="D861" t="str">
        <f>IFERROR(IF(B861="","",VLOOKUP(B861,CadProd!$A:$C,3,0)),"")</f>
        <v/>
      </c>
    </row>
    <row r="862" spans="3:4" x14ac:dyDescent="0.3">
      <c r="C862" t="str">
        <f>IFERROR(IF(B862="","",VLOOKUP(B862,CadProd!$A:$B,2,0)),"")</f>
        <v/>
      </c>
      <c r="D862" t="str">
        <f>IFERROR(IF(B862="","",VLOOKUP(B862,CadProd!$A:$C,3,0)),"")</f>
        <v/>
      </c>
    </row>
    <row r="863" spans="3:4" x14ac:dyDescent="0.3">
      <c r="C863" t="str">
        <f>IFERROR(IF(B863="","",VLOOKUP(B863,CadProd!$A:$B,2,0)),"")</f>
        <v/>
      </c>
      <c r="D863" t="str">
        <f>IFERROR(IF(B863="","",VLOOKUP(B863,CadProd!$A:$C,3,0)),"")</f>
        <v/>
      </c>
    </row>
    <row r="864" spans="3:4" x14ac:dyDescent="0.3">
      <c r="C864" t="str">
        <f>IFERROR(IF(B864="","",VLOOKUP(B864,CadProd!$A:$B,2,0)),"")</f>
        <v/>
      </c>
      <c r="D864" t="str">
        <f>IFERROR(IF(B864="","",VLOOKUP(B864,CadProd!$A:$C,3,0)),"")</f>
        <v/>
      </c>
    </row>
    <row r="865" spans="3:4" x14ac:dyDescent="0.3">
      <c r="C865" t="str">
        <f>IFERROR(IF(B865="","",VLOOKUP(B865,CadProd!$A:$B,2,0)),"")</f>
        <v/>
      </c>
      <c r="D865" t="str">
        <f>IFERROR(IF(B865="","",VLOOKUP(B865,CadProd!$A:$C,3,0)),"")</f>
        <v/>
      </c>
    </row>
    <row r="866" spans="3:4" x14ac:dyDescent="0.3">
      <c r="C866" t="str">
        <f>IFERROR(IF(B866="","",VLOOKUP(B866,CadProd!$A:$B,2,0)),"")</f>
        <v/>
      </c>
      <c r="D866" t="str">
        <f>IFERROR(IF(B866="","",VLOOKUP(B866,CadProd!$A:$C,3,0)),"")</f>
        <v/>
      </c>
    </row>
    <row r="867" spans="3:4" x14ac:dyDescent="0.3">
      <c r="C867" t="str">
        <f>IFERROR(IF(B867="","",VLOOKUP(B867,CadProd!$A:$B,2,0)),"")</f>
        <v/>
      </c>
      <c r="D867" t="str">
        <f>IFERROR(IF(B867="","",VLOOKUP(B867,CadProd!$A:$C,3,0)),"")</f>
        <v/>
      </c>
    </row>
    <row r="868" spans="3:4" x14ac:dyDescent="0.3">
      <c r="C868" t="str">
        <f>IFERROR(IF(B868="","",VLOOKUP(B868,CadProd!$A:$B,2,0)),"")</f>
        <v/>
      </c>
      <c r="D868" t="str">
        <f>IFERROR(IF(B868="","",VLOOKUP(B868,CadProd!$A:$C,3,0)),"")</f>
        <v/>
      </c>
    </row>
    <row r="869" spans="3:4" x14ac:dyDescent="0.3">
      <c r="C869" t="str">
        <f>IFERROR(IF(B869="","",VLOOKUP(B869,CadProd!$A:$B,2,0)),"")</f>
        <v/>
      </c>
      <c r="D869" t="str">
        <f>IFERROR(IF(B869="","",VLOOKUP(B869,CadProd!$A:$C,3,0)),"")</f>
        <v/>
      </c>
    </row>
    <row r="870" spans="3:4" x14ac:dyDescent="0.3">
      <c r="C870" t="str">
        <f>IFERROR(IF(B870="","",VLOOKUP(B870,CadProd!$A:$B,2,0)),"")</f>
        <v/>
      </c>
      <c r="D870" t="str">
        <f>IFERROR(IF(B870="","",VLOOKUP(B870,CadProd!$A:$C,3,0)),"")</f>
        <v/>
      </c>
    </row>
    <row r="871" spans="3:4" x14ac:dyDescent="0.3">
      <c r="C871" t="str">
        <f>IFERROR(IF(B871="","",VLOOKUP(B871,CadProd!$A:$B,2,0)),"")</f>
        <v/>
      </c>
      <c r="D871" t="str">
        <f>IFERROR(IF(B871="","",VLOOKUP(B871,CadProd!$A:$C,3,0)),"")</f>
        <v/>
      </c>
    </row>
    <row r="872" spans="3:4" x14ac:dyDescent="0.3">
      <c r="C872" t="str">
        <f>IFERROR(IF(B872="","",VLOOKUP(B872,CadProd!$A:$B,2,0)),"")</f>
        <v/>
      </c>
      <c r="D872" t="str">
        <f>IFERROR(IF(B872="","",VLOOKUP(B872,CadProd!$A:$C,3,0)),"")</f>
        <v/>
      </c>
    </row>
    <row r="873" spans="3:4" x14ac:dyDescent="0.3">
      <c r="C873" t="str">
        <f>IFERROR(IF(B873="","",VLOOKUP(B873,CadProd!$A:$B,2,0)),"")</f>
        <v/>
      </c>
      <c r="D873" t="str">
        <f>IFERROR(IF(B873="","",VLOOKUP(B873,CadProd!$A:$C,3,0)),"")</f>
        <v/>
      </c>
    </row>
    <row r="874" spans="3:4" x14ac:dyDescent="0.3">
      <c r="C874" t="str">
        <f>IFERROR(IF(B874="","",VLOOKUP(B874,CadProd!$A:$B,2,0)),"")</f>
        <v/>
      </c>
      <c r="D874" t="str">
        <f>IFERROR(IF(B874="","",VLOOKUP(B874,CadProd!$A:$C,3,0)),"")</f>
        <v/>
      </c>
    </row>
    <row r="875" spans="3:4" x14ac:dyDescent="0.3">
      <c r="C875" t="str">
        <f>IFERROR(IF(B875="","",VLOOKUP(B875,CadProd!$A:$B,2,0)),"")</f>
        <v/>
      </c>
      <c r="D875" t="str">
        <f>IFERROR(IF(B875="","",VLOOKUP(B875,CadProd!$A:$C,3,0)),"")</f>
        <v/>
      </c>
    </row>
    <row r="876" spans="3:4" x14ac:dyDescent="0.3">
      <c r="C876" t="str">
        <f>IFERROR(IF(B876="","",VLOOKUP(B876,CadProd!$A:$B,2,0)),"")</f>
        <v/>
      </c>
      <c r="D876" t="str">
        <f>IFERROR(IF(B876="","",VLOOKUP(B876,CadProd!$A:$C,3,0)),"")</f>
        <v/>
      </c>
    </row>
    <row r="877" spans="3:4" x14ac:dyDescent="0.3">
      <c r="C877" t="str">
        <f>IFERROR(IF(B877="","",VLOOKUP(B877,CadProd!$A:$B,2,0)),"")</f>
        <v/>
      </c>
      <c r="D877" t="str">
        <f>IFERROR(IF(B877="","",VLOOKUP(B877,CadProd!$A:$C,3,0)),"")</f>
        <v/>
      </c>
    </row>
    <row r="878" spans="3:4" x14ac:dyDescent="0.3">
      <c r="C878" t="str">
        <f>IFERROR(IF(B878="","",VLOOKUP(B878,CadProd!$A:$B,2,0)),"")</f>
        <v/>
      </c>
      <c r="D878" t="str">
        <f>IFERROR(IF(B878="","",VLOOKUP(B878,CadProd!$A:$C,3,0)),"")</f>
        <v/>
      </c>
    </row>
    <row r="879" spans="3:4" x14ac:dyDescent="0.3">
      <c r="C879" t="str">
        <f>IFERROR(IF(B879="","",VLOOKUP(B879,CadProd!$A:$B,2,0)),"")</f>
        <v/>
      </c>
      <c r="D879" t="str">
        <f>IFERROR(IF(B879="","",VLOOKUP(B879,CadProd!$A:$C,3,0)),"")</f>
        <v/>
      </c>
    </row>
    <row r="880" spans="3:4" x14ac:dyDescent="0.3">
      <c r="C880" t="str">
        <f>IFERROR(IF(B880="","",VLOOKUP(B880,CadProd!$A:$B,2,0)),"")</f>
        <v/>
      </c>
      <c r="D880" t="str">
        <f>IFERROR(IF(B880="","",VLOOKUP(B880,CadProd!$A:$C,3,0)),"")</f>
        <v/>
      </c>
    </row>
    <row r="881" spans="3:4" x14ac:dyDescent="0.3">
      <c r="C881" t="str">
        <f>IFERROR(IF(B881="","",VLOOKUP(B881,CadProd!$A:$B,2,0)),"")</f>
        <v/>
      </c>
      <c r="D881" t="str">
        <f>IFERROR(IF(B881="","",VLOOKUP(B881,CadProd!$A:$C,3,0)),"")</f>
        <v/>
      </c>
    </row>
    <row r="882" spans="3:4" x14ac:dyDescent="0.3">
      <c r="C882" t="str">
        <f>IFERROR(IF(B882="","",VLOOKUP(B882,CadProd!$A:$B,2,0)),"")</f>
        <v/>
      </c>
      <c r="D882" t="str">
        <f>IFERROR(IF(B882="","",VLOOKUP(B882,CadProd!$A:$C,3,0)),"")</f>
        <v/>
      </c>
    </row>
    <row r="883" spans="3:4" x14ac:dyDescent="0.3">
      <c r="C883" t="str">
        <f>IFERROR(IF(B883="","",VLOOKUP(B883,CadProd!$A:$B,2,0)),"")</f>
        <v/>
      </c>
      <c r="D883" t="str">
        <f>IFERROR(IF(B883="","",VLOOKUP(B883,CadProd!$A:$C,3,0)),"")</f>
        <v/>
      </c>
    </row>
    <row r="884" spans="3:4" x14ac:dyDescent="0.3">
      <c r="C884" t="str">
        <f>IFERROR(IF(B884="","",VLOOKUP(B884,CadProd!$A:$B,2,0)),"")</f>
        <v/>
      </c>
      <c r="D884" t="str">
        <f>IFERROR(IF(B884="","",VLOOKUP(B884,CadProd!$A:$C,3,0)),"")</f>
        <v/>
      </c>
    </row>
    <row r="885" spans="3:4" x14ac:dyDescent="0.3">
      <c r="C885" t="str">
        <f>IFERROR(IF(B885="","",VLOOKUP(B885,CadProd!$A:$B,2,0)),"")</f>
        <v/>
      </c>
      <c r="D885" t="str">
        <f>IFERROR(IF(B885="","",VLOOKUP(B885,CadProd!$A:$C,3,0)),"")</f>
        <v/>
      </c>
    </row>
    <row r="886" spans="3:4" x14ac:dyDescent="0.3">
      <c r="C886" t="str">
        <f>IFERROR(IF(B886="","",VLOOKUP(B886,CadProd!$A:$B,2,0)),"")</f>
        <v/>
      </c>
      <c r="D886" t="str">
        <f>IFERROR(IF(B886="","",VLOOKUP(B886,CadProd!$A:$C,3,0)),"")</f>
        <v/>
      </c>
    </row>
    <row r="887" spans="3:4" x14ac:dyDescent="0.3">
      <c r="C887" t="str">
        <f>IFERROR(IF(B887="","",VLOOKUP(B887,CadProd!$A:$B,2,0)),"")</f>
        <v/>
      </c>
      <c r="D887" t="str">
        <f>IFERROR(IF(B887="","",VLOOKUP(B887,CadProd!$A:$C,3,0)),"")</f>
        <v/>
      </c>
    </row>
    <row r="888" spans="3:4" x14ac:dyDescent="0.3">
      <c r="C888" t="str">
        <f>IFERROR(IF(B888="","",VLOOKUP(B888,CadProd!$A:$B,2,0)),"")</f>
        <v/>
      </c>
      <c r="D888" t="str">
        <f>IFERROR(IF(B888="","",VLOOKUP(B888,CadProd!$A:$C,3,0)),"")</f>
        <v/>
      </c>
    </row>
    <row r="889" spans="3:4" x14ac:dyDescent="0.3">
      <c r="C889" t="str">
        <f>IFERROR(IF(B889="","",VLOOKUP(B889,CadProd!$A:$B,2,0)),"")</f>
        <v/>
      </c>
      <c r="D889" t="str">
        <f>IFERROR(IF(B889="","",VLOOKUP(B889,CadProd!$A:$C,3,0)),"")</f>
        <v/>
      </c>
    </row>
    <row r="890" spans="3:4" x14ac:dyDescent="0.3">
      <c r="C890" t="str">
        <f>IFERROR(IF(B890="","",VLOOKUP(B890,CadProd!$A:$B,2,0)),"")</f>
        <v/>
      </c>
      <c r="D890" t="str">
        <f>IFERROR(IF(B890="","",VLOOKUP(B890,CadProd!$A:$C,3,0)),"")</f>
        <v/>
      </c>
    </row>
    <row r="891" spans="3:4" x14ac:dyDescent="0.3">
      <c r="C891" t="str">
        <f>IFERROR(IF(B891="","",VLOOKUP(B891,CadProd!$A:$B,2,0)),"")</f>
        <v/>
      </c>
      <c r="D891" t="str">
        <f>IFERROR(IF(B891="","",VLOOKUP(B891,CadProd!$A:$C,3,0)),"")</f>
        <v/>
      </c>
    </row>
    <row r="892" spans="3:4" x14ac:dyDescent="0.3">
      <c r="C892" t="str">
        <f>IFERROR(IF(B892="","",VLOOKUP(B892,CadProd!$A:$B,2,0)),"")</f>
        <v/>
      </c>
      <c r="D892" t="str">
        <f>IFERROR(IF(B892="","",VLOOKUP(B892,CadProd!$A:$C,3,0)),"")</f>
        <v/>
      </c>
    </row>
    <row r="893" spans="3:4" x14ac:dyDescent="0.3">
      <c r="C893" t="str">
        <f>IFERROR(IF(B893="","",VLOOKUP(B893,CadProd!$A:$B,2,0)),"")</f>
        <v/>
      </c>
      <c r="D893" t="str">
        <f>IFERROR(IF(B893="","",VLOOKUP(B893,CadProd!$A:$C,3,0)),"")</f>
        <v/>
      </c>
    </row>
    <row r="894" spans="3:4" x14ac:dyDescent="0.3">
      <c r="C894" t="str">
        <f>IFERROR(IF(B894="","",VLOOKUP(B894,CadProd!$A:$B,2,0)),"")</f>
        <v/>
      </c>
      <c r="D894" t="str">
        <f>IFERROR(IF(B894="","",VLOOKUP(B894,CadProd!$A:$C,3,0)),"")</f>
        <v/>
      </c>
    </row>
    <row r="895" spans="3:4" x14ac:dyDescent="0.3">
      <c r="C895" t="str">
        <f>IFERROR(IF(B895="","",VLOOKUP(B895,CadProd!$A:$B,2,0)),"")</f>
        <v/>
      </c>
      <c r="D895" t="str">
        <f>IFERROR(IF(B895="","",VLOOKUP(B895,CadProd!$A:$C,3,0)),"")</f>
        <v/>
      </c>
    </row>
    <row r="896" spans="3:4" x14ac:dyDescent="0.3">
      <c r="C896" t="str">
        <f>IFERROR(IF(B896="","",VLOOKUP(B896,CadProd!$A:$B,2,0)),"")</f>
        <v/>
      </c>
      <c r="D896" t="str">
        <f>IFERROR(IF(B896="","",VLOOKUP(B896,CadProd!$A:$C,3,0)),"")</f>
        <v/>
      </c>
    </row>
    <row r="897" spans="3:4" x14ac:dyDescent="0.3">
      <c r="C897" t="str">
        <f>IFERROR(IF(B897="","",VLOOKUP(B897,CadProd!$A:$B,2,0)),"")</f>
        <v/>
      </c>
      <c r="D897" t="str">
        <f>IFERROR(IF(B897="","",VLOOKUP(B897,CadProd!$A:$C,3,0)),"")</f>
        <v/>
      </c>
    </row>
    <row r="898" spans="3:4" x14ac:dyDescent="0.3">
      <c r="C898" t="str">
        <f>IFERROR(IF(B898="","",VLOOKUP(B898,CadProd!$A:$B,2,0)),"")</f>
        <v/>
      </c>
      <c r="D898" t="str">
        <f>IFERROR(IF(B898="","",VLOOKUP(B898,CadProd!$A:$C,3,0)),"")</f>
        <v/>
      </c>
    </row>
    <row r="899" spans="3:4" x14ac:dyDescent="0.3">
      <c r="C899" t="str">
        <f>IFERROR(IF(B899="","",VLOOKUP(B899,CadProd!$A:$B,2,0)),"")</f>
        <v/>
      </c>
      <c r="D899" t="str">
        <f>IFERROR(IF(B899="","",VLOOKUP(B899,CadProd!$A:$C,3,0)),"")</f>
        <v/>
      </c>
    </row>
    <row r="900" spans="3:4" x14ac:dyDescent="0.3">
      <c r="C900" t="str">
        <f>IFERROR(IF(B900="","",VLOOKUP(B900,CadProd!$A:$B,2,0)),"")</f>
        <v/>
      </c>
      <c r="D900" t="str">
        <f>IFERROR(IF(B900="","",VLOOKUP(B900,CadProd!$A:$C,3,0)),"")</f>
        <v/>
      </c>
    </row>
    <row r="901" spans="3:4" x14ac:dyDescent="0.3">
      <c r="C901" t="str">
        <f>IFERROR(IF(B901="","",VLOOKUP(B901,CadProd!$A:$B,2,0)),"")</f>
        <v/>
      </c>
      <c r="D901" t="str">
        <f>IFERROR(IF(B901="","",VLOOKUP(B901,CadProd!$A:$C,3,0)),"")</f>
        <v/>
      </c>
    </row>
    <row r="902" spans="3:4" x14ac:dyDescent="0.3">
      <c r="C902" t="str">
        <f>IFERROR(IF(B902="","",VLOOKUP(B902,CadProd!$A:$B,2,0)),"")</f>
        <v/>
      </c>
      <c r="D902" t="str">
        <f>IFERROR(IF(B902="","",VLOOKUP(B902,CadProd!$A:$C,3,0)),"")</f>
        <v/>
      </c>
    </row>
    <row r="903" spans="3:4" x14ac:dyDescent="0.3">
      <c r="C903" t="str">
        <f>IFERROR(IF(B903="","",VLOOKUP(B903,CadProd!$A:$B,2,0)),"")</f>
        <v/>
      </c>
      <c r="D903" t="str">
        <f>IFERROR(IF(B903="","",VLOOKUP(B903,CadProd!$A:$C,3,0)),"")</f>
        <v/>
      </c>
    </row>
    <row r="904" spans="3:4" x14ac:dyDescent="0.3">
      <c r="C904" t="str">
        <f>IFERROR(IF(B904="","",VLOOKUP(B904,CadProd!$A:$B,2,0)),"")</f>
        <v/>
      </c>
      <c r="D904" t="str">
        <f>IFERROR(IF(B904="","",VLOOKUP(B904,CadProd!$A:$C,3,0)),"")</f>
        <v/>
      </c>
    </row>
    <row r="905" spans="3:4" x14ac:dyDescent="0.3">
      <c r="C905" t="str">
        <f>IFERROR(IF(B905="","",VLOOKUP(B905,CadProd!$A:$B,2,0)),"")</f>
        <v/>
      </c>
      <c r="D905" t="str">
        <f>IFERROR(IF(B905="","",VLOOKUP(B905,CadProd!$A:$C,3,0)),"")</f>
        <v/>
      </c>
    </row>
    <row r="906" spans="3:4" x14ac:dyDescent="0.3">
      <c r="C906" t="str">
        <f>IFERROR(IF(B906="","",VLOOKUP(B906,CadProd!$A:$B,2,0)),"")</f>
        <v/>
      </c>
      <c r="D906" t="str">
        <f>IFERROR(IF(B906="","",VLOOKUP(B906,CadProd!$A:$C,3,0)),"")</f>
        <v/>
      </c>
    </row>
    <row r="907" spans="3:4" x14ac:dyDescent="0.3">
      <c r="C907" t="str">
        <f>IFERROR(IF(B907="","",VLOOKUP(B907,CadProd!$A:$B,2,0)),"")</f>
        <v/>
      </c>
      <c r="D907" t="str">
        <f>IFERROR(IF(B907="","",VLOOKUP(B907,CadProd!$A:$C,3,0)),"")</f>
        <v/>
      </c>
    </row>
    <row r="908" spans="3:4" x14ac:dyDescent="0.3">
      <c r="C908" t="str">
        <f>IFERROR(IF(B908="","",VLOOKUP(B908,CadProd!$A:$B,2,0)),"")</f>
        <v/>
      </c>
      <c r="D908" t="str">
        <f>IFERROR(IF(B908="","",VLOOKUP(B908,CadProd!$A:$C,3,0)),"")</f>
        <v/>
      </c>
    </row>
    <row r="909" spans="3:4" x14ac:dyDescent="0.3">
      <c r="C909" t="str">
        <f>IFERROR(IF(B909="","",VLOOKUP(B909,CadProd!$A:$B,2,0)),"")</f>
        <v/>
      </c>
      <c r="D909" t="str">
        <f>IFERROR(IF(B909="","",VLOOKUP(B909,CadProd!$A:$C,3,0)),"")</f>
        <v/>
      </c>
    </row>
    <row r="910" spans="3:4" x14ac:dyDescent="0.3">
      <c r="C910" t="str">
        <f>IFERROR(IF(B910="","",VLOOKUP(B910,CadProd!$A:$B,2,0)),"")</f>
        <v/>
      </c>
      <c r="D910" t="str">
        <f>IFERROR(IF(B910="","",VLOOKUP(B910,CadProd!$A:$C,3,0)),"")</f>
        <v/>
      </c>
    </row>
    <row r="911" spans="3:4" x14ac:dyDescent="0.3">
      <c r="C911" t="str">
        <f>IFERROR(IF(B911="","",VLOOKUP(B911,CadProd!$A:$B,2,0)),"")</f>
        <v/>
      </c>
      <c r="D911" t="str">
        <f>IFERROR(IF(B911="","",VLOOKUP(B911,CadProd!$A:$C,3,0)),"")</f>
        <v/>
      </c>
    </row>
    <row r="912" spans="3:4" x14ac:dyDescent="0.3">
      <c r="C912" t="str">
        <f>IFERROR(IF(B912="","",VLOOKUP(B912,CadProd!$A:$B,2,0)),"")</f>
        <v/>
      </c>
      <c r="D912" t="str">
        <f>IFERROR(IF(B912="","",VLOOKUP(B912,CadProd!$A:$C,3,0)),"")</f>
        <v/>
      </c>
    </row>
    <row r="913" spans="3:4" x14ac:dyDescent="0.3">
      <c r="C913" t="str">
        <f>IFERROR(IF(B913="","",VLOOKUP(B913,CadProd!$A:$B,2,0)),"")</f>
        <v/>
      </c>
      <c r="D913" t="str">
        <f>IFERROR(IF(B913="","",VLOOKUP(B913,CadProd!$A:$C,3,0)),"")</f>
        <v/>
      </c>
    </row>
    <row r="914" spans="3:4" x14ac:dyDescent="0.3">
      <c r="C914" t="str">
        <f>IFERROR(IF(B914="","",VLOOKUP(B914,CadProd!$A:$B,2,0)),"")</f>
        <v/>
      </c>
      <c r="D914" t="str">
        <f>IFERROR(IF(B914="","",VLOOKUP(B914,CadProd!$A:$C,3,0)),"")</f>
        <v/>
      </c>
    </row>
    <row r="915" spans="3:4" x14ac:dyDescent="0.3">
      <c r="C915" t="str">
        <f>IFERROR(IF(B915="","",VLOOKUP(B915,CadProd!$A:$B,2,0)),"")</f>
        <v/>
      </c>
      <c r="D915" t="str">
        <f>IFERROR(IF(B915="","",VLOOKUP(B915,CadProd!$A:$C,3,0)),"")</f>
        <v/>
      </c>
    </row>
    <row r="916" spans="3:4" x14ac:dyDescent="0.3">
      <c r="C916" t="str">
        <f>IFERROR(IF(B916="","",VLOOKUP(B916,CadProd!$A:$B,2,0)),"")</f>
        <v/>
      </c>
      <c r="D916" t="str">
        <f>IFERROR(IF(B916="","",VLOOKUP(B916,CadProd!$A:$C,3,0)),"")</f>
        <v/>
      </c>
    </row>
    <row r="917" spans="3:4" x14ac:dyDescent="0.3">
      <c r="C917" t="str">
        <f>IFERROR(IF(B917="","",VLOOKUP(B917,CadProd!$A:$B,2,0)),"")</f>
        <v/>
      </c>
      <c r="D917" t="str">
        <f>IFERROR(IF(B917="","",VLOOKUP(B917,CadProd!$A:$C,3,0)),"")</f>
        <v/>
      </c>
    </row>
    <row r="918" spans="3:4" x14ac:dyDescent="0.3">
      <c r="C918" t="str">
        <f>IFERROR(IF(B918="","",VLOOKUP(B918,CadProd!$A:$B,2,0)),"")</f>
        <v/>
      </c>
      <c r="D918" t="str">
        <f>IFERROR(IF(B918="","",VLOOKUP(B918,CadProd!$A:$C,3,0)),"")</f>
        <v/>
      </c>
    </row>
    <row r="919" spans="3:4" x14ac:dyDescent="0.3">
      <c r="C919" t="str">
        <f>IFERROR(IF(B919="","",VLOOKUP(B919,CadProd!$A:$B,2,0)),"")</f>
        <v/>
      </c>
      <c r="D919" t="str">
        <f>IFERROR(IF(B919="","",VLOOKUP(B919,CadProd!$A:$C,3,0)),"")</f>
        <v/>
      </c>
    </row>
    <row r="920" spans="3:4" x14ac:dyDescent="0.3">
      <c r="C920" t="str">
        <f>IFERROR(IF(B920="","",VLOOKUP(B920,CadProd!$A:$B,2,0)),"")</f>
        <v/>
      </c>
      <c r="D920" t="str">
        <f>IFERROR(IF(B920="","",VLOOKUP(B920,CadProd!$A:$C,3,0)),"")</f>
        <v/>
      </c>
    </row>
    <row r="921" spans="3:4" x14ac:dyDescent="0.3">
      <c r="C921" t="str">
        <f>IFERROR(IF(B921="","",VLOOKUP(B921,CadProd!$A:$B,2,0)),"")</f>
        <v/>
      </c>
      <c r="D921" t="str">
        <f>IFERROR(IF(B921="","",VLOOKUP(B921,CadProd!$A:$C,3,0)),"")</f>
        <v/>
      </c>
    </row>
    <row r="922" spans="3:4" x14ac:dyDescent="0.3">
      <c r="C922" t="str">
        <f>IFERROR(IF(B922="","",VLOOKUP(B922,CadProd!$A:$B,2,0)),"")</f>
        <v/>
      </c>
      <c r="D922" t="str">
        <f>IFERROR(IF(B922="","",VLOOKUP(B922,CadProd!$A:$C,3,0)),"")</f>
        <v/>
      </c>
    </row>
    <row r="923" spans="3:4" x14ac:dyDescent="0.3">
      <c r="C923" t="str">
        <f>IFERROR(IF(B923="","",VLOOKUP(B923,CadProd!$A:$B,2,0)),"")</f>
        <v/>
      </c>
      <c r="D923" t="str">
        <f>IFERROR(IF(B923="","",VLOOKUP(B923,CadProd!$A:$C,3,0)),"")</f>
        <v/>
      </c>
    </row>
    <row r="924" spans="3:4" x14ac:dyDescent="0.3">
      <c r="C924" t="str">
        <f>IFERROR(IF(B924="","",VLOOKUP(B924,CadProd!$A:$B,2,0)),"")</f>
        <v/>
      </c>
      <c r="D924" t="str">
        <f>IFERROR(IF(B924="","",VLOOKUP(B924,CadProd!$A:$C,3,0)),"")</f>
        <v/>
      </c>
    </row>
    <row r="925" spans="3:4" x14ac:dyDescent="0.3">
      <c r="C925" t="str">
        <f>IFERROR(IF(B925="","",VLOOKUP(B925,CadProd!$A:$B,2,0)),"")</f>
        <v/>
      </c>
      <c r="D925" t="str">
        <f>IFERROR(IF(B925="","",VLOOKUP(B925,CadProd!$A:$C,3,0)),"")</f>
        <v/>
      </c>
    </row>
    <row r="926" spans="3:4" x14ac:dyDescent="0.3">
      <c r="C926" t="str">
        <f>IFERROR(IF(B926="","",VLOOKUP(B926,CadProd!$A:$B,2,0)),"")</f>
        <v/>
      </c>
      <c r="D926" t="str">
        <f>IFERROR(IF(B926="","",VLOOKUP(B926,CadProd!$A:$C,3,0)),"")</f>
        <v/>
      </c>
    </row>
    <row r="927" spans="3:4" x14ac:dyDescent="0.3">
      <c r="C927" t="str">
        <f>IFERROR(IF(B927="","",VLOOKUP(B927,CadProd!$A:$B,2,0)),"")</f>
        <v/>
      </c>
      <c r="D927" t="str">
        <f>IFERROR(IF(B927="","",VLOOKUP(B927,CadProd!$A:$C,3,0)),"")</f>
        <v/>
      </c>
    </row>
    <row r="928" spans="3:4" x14ac:dyDescent="0.3">
      <c r="C928" t="str">
        <f>IFERROR(IF(B928="","",VLOOKUP(B928,CadProd!$A:$B,2,0)),"")</f>
        <v/>
      </c>
      <c r="D928" t="str">
        <f>IFERROR(IF(B928="","",VLOOKUP(B928,CadProd!$A:$C,3,0)),"")</f>
        <v/>
      </c>
    </row>
    <row r="929" spans="3:4" x14ac:dyDescent="0.3">
      <c r="C929" t="str">
        <f>IFERROR(IF(B929="","",VLOOKUP(B929,CadProd!$A:$B,2,0)),"")</f>
        <v/>
      </c>
      <c r="D929" t="str">
        <f>IFERROR(IF(B929="","",VLOOKUP(B929,CadProd!$A:$C,3,0)),"")</f>
        <v/>
      </c>
    </row>
    <row r="930" spans="3:4" x14ac:dyDescent="0.3">
      <c r="C930" t="str">
        <f>IFERROR(IF(B930="","",VLOOKUP(B930,CadProd!$A:$B,2,0)),"")</f>
        <v/>
      </c>
      <c r="D930" t="str">
        <f>IFERROR(IF(B930="","",VLOOKUP(B930,CadProd!$A:$C,3,0)),"")</f>
        <v/>
      </c>
    </row>
    <row r="931" spans="3:4" x14ac:dyDescent="0.3">
      <c r="C931" t="str">
        <f>IFERROR(IF(B931="","",VLOOKUP(B931,CadProd!$A:$B,2,0)),"")</f>
        <v/>
      </c>
      <c r="D931" t="str">
        <f>IFERROR(IF(B931="","",VLOOKUP(B931,CadProd!$A:$C,3,0)),"")</f>
        <v/>
      </c>
    </row>
    <row r="932" spans="3:4" x14ac:dyDescent="0.3">
      <c r="C932" t="str">
        <f>IFERROR(IF(B932="","",VLOOKUP(B932,CadProd!$A:$B,2,0)),"")</f>
        <v/>
      </c>
      <c r="D932" t="str">
        <f>IFERROR(IF(B932="","",VLOOKUP(B932,CadProd!$A:$C,3,0)),"")</f>
        <v/>
      </c>
    </row>
    <row r="933" spans="3:4" x14ac:dyDescent="0.3">
      <c r="C933" t="str">
        <f>IFERROR(IF(B933="","",VLOOKUP(B933,CadProd!$A:$B,2,0)),"")</f>
        <v/>
      </c>
      <c r="D933" t="str">
        <f>IFERROR(IF(B933="","",VLOOKUP(B933,CadProd!$A:$C,3,0)),"")</f>
        <v/>
      </c>
    </row>
    <row r="934" spans="3:4" x14ac:dyDescent="0.3">
      <c r="C934" t="str">
        <f>IFERROR(IF(B934="","",VLOOKUP(B934,CadProd!$A:$B,2,0)),"")</f>
        <v/>
      </c>
      <c r="D934" t="str">
        <f>IFERROR(IF(B934="","",VLOOKUP(B934,CadProd!$A:$C,3,0)),"")</f>
        <v/>
      </c>
    </row>
    <row r="935" spans="3:4" x14ac:dyDescent="0.3">
      <c r="C935" t="str">
        <f>IFERROR(IF(B935="","",VLOOKUP(B935,CadProd!$A:$B,2,0)),"")</f>
        <v/>
      </c>
      <c r="D935" t="str">
        <f>IFERROR(IF(B935="","",VLOOKUP(B935,CadProd!$A:$C,3,0)),"")</f>
        <v/>
      </c>
    </row>
    <row r="936" spans="3:4" x14ac:dyDescent="0.3">
      <c r="C936" t="str">
        <f>IFERROR(IF(B936="","",VLOOKUP(B936,CadProd!$A:$B,2,0)),"")</f>
        <v/>
      </c>
      <c r="D936" t="str">
        <f>IFERROR(IF(B936="","",VLOOKUP(B936,CadProd!$A:$C,3,0)),"")</f>
        <v/>
      </c>
    </row>
    <row r="937" spans="3:4" x14ac:dyDescent="0.3">
      <c r="C937" t="str">
        <f>IFERROR(IF(B937="","",VLOOKUP(B937,CadProd!$A:$B,2,0)),"")</f>
        <v/>
      </c>
      <c r="D937" t="str">
        <f>IFERROR(IF(B937="","",VLOOKUP(B937,CadProd!$A:$C,3,0)),"")</f>
        <v/>
      </c>
    </row>
    <row r="938" spans="3:4" x14ac:dyDescent="0.3">
      <c r="C938" t="str">
        <f>IFERROR(IF(B938="","",VLOOKUP(B938,CadProd!$A:$B,2,0)),"")</f>
        <v/>
      </c>
      <c r="D938" t="str">
        <f>IFERROR(IF(B938="","",VLOOKUP(B938,CadProd!$A:$C,3,0)),"")</f>
        <v/>
      </c>
    </row>
    <row r="939" spans="3:4" x14ac:dyDescent="0.3">
      <c r="C939" t="str">
        <f>IFERROR(IF(B939="","",VLOOKUP(B939,CadProd!$A:$B,2,0)),"")</f>
        <v/>
      </c>
      <c r="D939" t="str">
        <f>IFERROR(IF(B939="","",VLOOKUP(B939,CadProd!$A:$C,3,0)),"")</f>
        <v/>
      </c>
    </row>
    <row r="940" spans="3:4" x14ac:dyDescent="0.3">
      <c r="C940" t="str">
        <f>IFERROR(IF(B940="","",VLOOKUP(B940,CadProd!$A:$B,2,0)),"")</f>
        <v/>
      </c>
      <c r="D940" t="str">
        <f>IFERROR(IF(B940="","",VLOOKUP(B940,CadProd!$A:$C,3,0)),"")</f>
        <v/>
      </c>
    </row>
    <row r="941" spans="3:4" x14ac:dyDescent="0.3">
      <c r="C941" t="str">
        <f>IFERROR(IF(B941="","",VLOOKUP(B941,CadProd!$A:$B,2,0)),"")</f>
        <v/>
      </c>
      <c r="D941" t="str">
        <f>IFERROR(IF(B941="","",VLOOKUP(B941,CadProd!$A:$C,3,0)),"")</f>
        <v/>
      </c>
    </row>
    <row r="942" spans="3:4" x14ac:dyDescent="0.3">
      <c r="C942" t="str">
        <f>IFERROR(IF(B942="","",VLOOKUP(B942,CadProd!$A:$B,2,0)),"")</f>
        <v/>
      </c>
      <c r="D942" t="str">
        <f>IFERROR(IF(B942="","",VLOOKUP(B942,CadProd!$A:$C,3,0)),"")</f>
        <v/>
      </c>
    </row>
    <row r="943" spans="3:4" x14ac:dyDescent="0.3">
      <c r="C943" t="str">
        <f>IFERROR(IF(B943="","",VLOOKUP(B943,CadProd!$A:$B,2,0)),"")</f>
        <v/>
      </c>
      <c r="D943" t="str">
        <f>IFERROR(IF(B943="","",VLOOKUP(B943,CadProd!$A:$C,3,0)),"")</f>
        <v/>
      </c>
    </row>
    <row r="944" spans="3:4" x14ac:dyDescent="0.3">
      <c r="C944" t="str">
        <f>IFERROR(IF(B944="","",VLOOKUP(B944,CadProd!$A:$B,2,0)),"")</f>
        <v/>
      </c>
      <c r="D944" t="str">
        <f>IFERROR(IF(B944="","",VLOOKUP(B944,CadProd!$A:$C,3,0)),"")</f>
        <v/>
      </c>
    </row>
    <row r="945" spans="3:4" x14ac:dyDescent="0.3">
      <c r="C945" t="str">
        <f>IFERROR(IF(B945="","",VLOOKUP(B945,CadProd!$A:$B,2,0)),"")</f>
        <v/>
      </c>
      <c r="D945" t="str">
        <f>IFERROR(IF(B945="","",VLOOKUP(B945,CadProd!$A:$C,3,0)),"")</f>
        <v/>
      </c>
    </row>
    <row r="946" spans="3:4" x14ac:dyDescent="0.3">
      <c r="C946" t="str">
        <f>IFERROR(IF(B946="","",VLOOKUP(B946,CadProd!$A:$B,2,0)),"")</f>
        <v/>
      </c>
      <c r="D946" t="str">
        <f>IFERROR(IF(B946="","",VLOOKUP(B946,CadProd!$A:$C,3,0)),"")</f>
        <v/>
      </c>
    </row>
    <row r="947" spans="3:4" x14ac:dyDescent="0.3">
      <c r="C947" t="str">
        <f>IFERROR(IF(B947="","",VLOOKUP(B947,CadProd!$A:$B,2,0)),"")</f>
        <v/>
      </c>
      <c r="D947" t="str">
        <f>IFERROR(IF(B947="","",VLOOKUP(B947,CadProd!$A:$C,3,0)),"")</f>
        <v/>
      </c>
    </row>
    <row r="948" spans="3:4" x14ac:dyDescent="0.3">
      <c r="C948" t="str">
        <f>IFERROR(IF(B948="","",VLOOKUP(B948,CadProd!$A:$B,2,0)),"")</f>
        <v/>
      </c>
      <c r="D948" t="str">
        <f>IFERROR(IF(B948="","",VLOOKUP(B948,CadProd!$A:$C,3,0)),"")</f>
        <v/>
      </c>
    </row>
    <row r="949" spans="3:4" x14ac:dyDescent="0.3">
      <c r="C949" t="str">
        <f>IFERROR(IF(B949="","",VLOOKUP(B949,CadProd!$A:$B,2,0)),"")</f>
        <v/>
      </c>
      <c r="D949" t="str">
        <f>IFERROR(IF(B949="","",VLOOKUP(B949,CadProd!$A:$C,3,0)),"")</f>
        <v/>
      </c>
    </row>
    <row r="950" spans="3:4" x14ac:dyDescent="0.3">
      <c r="C950" t="str">
        <f>IFERROR(IF(B950="","",VLOOKUP(B950,CadProd!$A:$B,2,0)),"")</f>
        <v/>
      </c>
      <c r="D950" t="str">
        <f>IFERROR(IF(B950="","",VLOOKUP(B950,CadProd!$A:$C,3,0)),"")</f>
        <v/>
      </c>
    </row>
    <row r="951" spans="3:4" x14ac:dyDescent="0.3">
      <c r="C951" t="str">
        <f>IFERROR(IF(B951="","",VLOOKUP(B951,CadProd!$A:$B,2,0)),"")</f>
        <v/>
      </c>
      <c r="D951" t="str">
        <f>IFERROR(IF(B951="","",VLOOKUP(B951,CadProd!$A:$C,3,0)),"")</f>
        <v/>
      </c>
    </row>
    <row r="952" spans="3:4" x14ac:dyDescent="0.3">
      <c r="C952" t="str">
        <f>IFERROR(IF(B952="","",VLOOKUP(B952,CadProd!$A:$B,2,0)),"")</f>
        <v/>
      </c>
      <c r="D952" t="str">
        <f>IFERROR(IF(B952="","",VLOOKUP(B952,CadProd!$A:$C,3,0)),"")</f>
        <v/>
      </c>
    </row>
    <row r="953" spans="3:4" x14ac:dyDescent="0.3">
      <c r="C953" t="str">
        <f>IFERROR(IF(B953="","",VLOOKUP(B953,CadProd!$A:$B,2,0)),"")</f>
        <v/>
      </c>
      <c r="D953" t="str">
        <f>IFERROR(IF(B953="","",VLOOKUP(B953,CadProd!$A:$C,3,0)),"")</f>
        <v/>
      </c>
    </row>
    <row r="954" spans="3:4" x14ac:dyDescent="0.3">
      <c r="C954" t="str">
        <f>IFERROR(IF(B954="","",VLOOKUP(B954,CadProd!$A:$B,2,0)),"")</f>
        <v/>
      </c>
      <c r="D954" t="str">
        <f>IFERROR(IF(B954="","",VLOOKUP(B954,CadProd!$A:$C,3,0)),"")</f>
        <v/>
      </c>
    </row>
    <row r="955" spans="3:4" x14ac:dyDescent="0.3">
      <c r="C955" t="str">
        <f>IFERROR(IF(B955="","",VLOOKUP(B955,CadProd!$A:$B,2,0)),"")</f>
        <v/>
      </c>
      <c r="D955" t="str">
        <f>IFERROR(IF(B955="","",VLOOKUP(B955,CadProd!$A:$C,3,0)),"")</f>
        <v/>
      </c>
    </row>
    <row r="956" spans="3:4" x14ac:dyDescent="0.3">
      <c r="C956" t="str">
        <f>IFERROR(IF(B956="","",VLOOKUP(B956,CadProd!$A:$B,2,0)),"")</f>
        <v/>
      </c>
      <c r="D956" t="str">
        <f>IFERROR(IF(B956="","",VLOOKUP(B956,CadProd!$A:$C,3,0)),"")</f>
        <v/>
      </c>
    </row>
    <row r="957" spans="3:4" x14ac:dyDescent="0.3">
      <c r="C957" t="str">
        <f>IFERROR(IF(B957="","",VLOOKUP(B957,CadProd!$A:$B,2,0)),"")</f>
        <v/>
      </c>
      <c r="D957" t="str">
        <f>IFERROR(IF(B957="","",VLOOKUP(B957,CadProd!$A:$C,3,0)),"")</f>
        <v/>
      </c>
    </row>
    <row r="958" spans="3:4" x14ac:dyDescent="0.3">
      <c r="C958" t="str">
        <f>IFERROR(IF(B958="","",VLOOKUP(B958,CadProd!$A:$B,2,0)),"")</f>
        <v/>
      </c>
      <c r="D958" t="str">
        <f>IFERROR(IF(B958="","",VLOOKUP(B958,CadProd!$A:$C,3,0)),"")</f>
        <v/>
      </c>
    </row>
    <row r="959" spans="3:4" x14ac:dyDescent="0.3">
      <c r="C959" t="str">
        <f>IFERROR(IF(B959="","",VLOOKUP(B959,CadProd!$A:$B,2,0)),"")</f>
        <v/>
      </c>
      <c r="D959" t="str">
        <f>IFERROR(IF(B959="","",VLOOKUP(B959,CadProd!$A:$C,3,0)),"")</f>
        <v/>
      </c>
    </row>
    <row r="960" spans="3:4" x14ac:dyDescent="0.3">
      <c r="C960" t="str">
        <f>IFERROR(IF(B960="","",VLOOKUP(B960,CadProd!$A:$B,2,0)),"")</f>
        <v/>
      </c>
      <c r="D960" t="str">
        <f>IFERROR(IF(B960="","",VLOOKUP(B960,CadProd!$A:$C,3,0)),"")</f>
        <v/>
      </c>
    </row>
    <row r="961" spans="3:4" x14ac:dyDescent="0.3">
      <c r="C961" t="str">
        <f>IFERROR(IF(B961="","",VLOOKUP(B961,CadProd!$A:$B,2,0)),"")</f>
        <v/>
      </c>
      <c r="D961" t="str">
        <f>IFERROR(IF(B961="","",VLOOKUP(B961,CadProd!$A:$C,3,0)),"")</f>
        <v/>
      </c>
    </row>
    <row r="962" spans="3:4" x14ac:dyDescent="0.3">
      <c r="C962" t="str">
        <f>IFERROR(IF(B962="","",VLOOKUP(B962,CadProd!$A:$B,2,0)),"")</f>
        <v/>
      </c>
      <c r="D962" t="str">
        <f>IFERROR(IF(B962="","",VLOOKUP(B962,CadProd!$A:$C,3,0)),"")</f>
        <v/>
      </c>
    </row>
    <row r="963" spans="3:4" x14ac:dyDescent="0.3">
      <c r="C963" t="str">
        <f>IFERROR(IF(B963="","",VLOOKUP(B963,CadProd!$A:$B,2,0)),"")</f>
        <v/>
      </c>
      <c r="D963" t="str">
        <f>IFERROR(IF(B963="","",VLOOKUP(B963,CadProd!$A:$C,3,0)),"")</f>
        <v/>
      </c>
    </row>
    <row r="964" spans="3:4" x14ac:dyDescent="0.3">
      <c r="C964" t="str">
        <f>IFERROR(IF(B964="","",VLOOKUP(B964,CadProd!$A:$B,2,0)),"")</f>
        <v/>
      </c>
      <c r="D964" t="str">
        <f>IFERROR(IF(B964="","",VLOOKUP(B964,CadProd!$A:$C,3,0)),"")</f>
        <v/>
      </c>
    </row>
    <row r="965" spans="3:4" x14ac:dyDescent="0.3">
      <c r="C965" t="str">
        <f>IFERROR(IF(B965="","",VLOOKUP(B965,CadProd!$A:$B,2,0)),"")</f>
        <v/>
      </c>
      <c r="D965" t="str">
        <f>IFERROR(IF(B965="","",VLOOKUP(B965,CadProd!$A:$C,3,0)),"")</f>
        <v/>
      </c>
    </row>
    <row r="966" spans="3:4" x14ac:dyDescent="0.3">
      <c r="C966" t="str">
        <f>IFERROR(IF(B966="","",VLOOKUP(B966,CadProd!$A:$B,2,0)),"")</f>
        <v/>
      </c>
      <c r="D966" t="str">
        <f>IFERROR(IF(B966="","",VLOOKUP(B966,CadProd!$A:$C,3,0)),"")</f>
        <v/>
      </c>
    </row>
    <row r="967" spans="3:4" x14ac:dyDescent="0.3">
      <c r="C967" t="str">
        <f>IFERROR(IF(B967="","",VLOOKUP(B967,CadProd!$A:$B,2,0)),"")</f>
        <v/>
      </c>
      <c r="D967" t="str">
        <f>IFERROR(IF(B967="","",VLOOKUP(B967,CadProd!$A:$C,3,0)),"")</f>
        <v/>
      </c>
    </row>
    <row r="968" spans="3:4" x14ac:dyDescent="0.3">
      <c r="C968" t="str">
        <f>IFERROR(IF(B968="","",VLOOKUP(B968,CadProd!$A:$B,2,0)),"")</f>
        <v/>
      </c>
      <c r="D968" t="str">
        <f>IFERROR(IF(B968="","",VLOOKUP(B968,CadProd!$A:$C,3,0)),"")</f>
        <v/>
      </c>
    </row>
    <row r="969" spans="3:4" x14ac:dyDescent="0.3">
      <c r="C969" t="str">
        <f>IFERROR(IF(B969="","",VLOOKUP(B969,CadProd!$A:$B,2,0)),"")</f>
        <v/>
      </c>
      <c r="D969" t="str">
        <f>IFERROR(IF(B969="","",VLOOKUP(B969,CadProd!$A:$C,3,0)),"")</f>
        <v/>
      </c>
    </row>
    <row r="970" spans="3:4" x14ac:dyDescent="0.3">
      <c r="C970" t="str">
        <f>IFERROR(IF(B970="","",VLOOKUP(B970,CadProd!$A:$B,2,0)),"")</f>
        <v/>
      </c>
      <c r="D970" t="str">
        <f>IFERROR(IF(B970="","",VLOOKUP(B970,CadProd!$A:$C,3,0)),"")</f>
        <v/>
      </c>
    </row>
    <row r="971" spans="3:4" x14ac:dyDescent="0.3">
      <c r="C971" t="str">
        <f>IFERROR(IF(B971="","",VLOOKUP(B971,CadProd!$A:$B,2,0)),"")</f>
        <v/>
      </c>
      <c r="D971" t="str">
        <f>IFERROR(IF(B971="","",VLOOKUP(B971,CadProd!$A:$C,3,0)),"")</f>
        <v/>
      </c>
    </row>
    <row r="972" spans="3:4" x14ac:dyDescent="0.3">
      <c r="C972" t="str">
        <f>IFERROR(IF(B972="","",VLOOKUP(B972,CadProd!$A:$B,2,0)),"")</f>
        <v/>
      </c>
      <c r="D972" t="str">
        <f>IFERROR(IF(B972="","",VLOOKUP(B972,CadProd!$A:$C,3,0)),"")</f>
        <v/>
      </c>
    </row>
    <row r="973" spans="3:4" x14ac:dyDescent="0.3">
      <c r="C973" t="str">
        <f>IFERROR(IF(B973="","",VLOOKUP(B973,CadProd!$A:$B,2,0)),"")</f>
        <v/>
      </c>
      <c r="D973" t="str">
        <f>IFERROR(IF(B973="","",VLOOKUP(B973,CadProd!$A:$C,3,0)),"")</f>
        <v/>
      </c>
    </row>
    <row r="974" spans="3:4" x14ac:dyDescent="0.3">
      <c r="C974" t="str">
        <f>IFERROR(IF(B974="","",VLOOKUP(B974,CadProd!$A:$B,2,0)),"")</f>
        <v/>
      </c>
      <c r="D974" t="str">
        <f>IFERROR(IF(B974="","",VLOOKUP(B974,CadProd!$A:$C,3,0)),"")</f>
        <v/>
      </c>
    </row>
    <row r="975" spans="3:4" x14ac:dyDescent="0.3">
      <c r="C975" t="str">
        <f>IFERROR(IF(B975="","",VLOOKUP(B975,CadProd!$A:$B,2,0)),"")</f>
        <v/>
      </c>
      <c r="D975" t="str">
        <f>IFERROR(IF(B975="","",VLOOKUP(B975,CadProd!$A:$C,3,0)),"")</f>
        <v/>
      </c>
    </row>
    <row r="976" spans="3:4" x14ac:dyDescent="0.3">
      <c r="C976" t="str">
        <f>IFERROR(IF(B976="","",VLOOKUP(B976,CadProd!$A:$B,2,0)),"")</f>
        <v/>
      </c>
      <c r="D976" t="str">
        <f>IFERROR(IF(B976="","",VLOOKUP(B976,CadProd!$A:$C,3,0)),"")</f>
        <v/>
      </c>
    </row>
    <row r="977" spans="3:4" x14ac:dyDescent="0.3">
      <c r="C977" t="str">
        <f>IFERROR(IF(B977="","",VLOOKUP(B977,CadProd!$A:$B,2,0)),"")</f>
        <v/>
      </c>
      <c r="D977" t="str">
        <f>IFERROR(IF(B977="","",VLOOKUP(B977,CadProd!$A:$C,3,0)),"")</f>
        <v/>
      </c>
    </row>
    <row r="978" spans="3:4" x14ac:dyDescent="0.3">
      <c r="C978" t="str">
        <f>IFERROR(IF(B978="","",VLOOKUP(B978,CadProd!$A:$B,2,0)),"")</f>
        <v/>
      </c>
      <c r="D978" t="str">
        <f>IFERROR(IF(B978="","",VLOOKUP(B978,CadProd!$A:$C,3,0)),"")</f>
        <v/>
      </c>
    </row>
    <row r="979" spans="3:4" x14ac:dyDescent="0.3">
      <c r="C979" t="str">
        <f>IFERROR(IF(B979="","",VLOOKUP(B979,CadProd!$A:$B,2,0)),"")</f>
        <v/>
      </c>
      <c r="D979" t="str">
        <f>IFERROR(IF(B979="","",VLOOKUP(B979,CadProd!$A:$C,3,0)),"")</f>
        <v/>
      </c>
    </row>
    <row r="980" spans="3:4" x14ac:dyDescent="0.3">
      <c r="C980" t="str">
        <f>IFERROR(IF(B980="","",VLOOKUP(B980,CadProd!$A:$B,2,0)),"")</f>
        <v/>
      </c>
      <c r="D980" t="str">
        <f>IFERROR(IF(B980="","",VLOOKUP(B980,CadProd!$A:$C,3,0)),"")</f>
        <v/>
      </c>
    </row>
    <row r="981" spans="3:4" x14ac:dyDescent="0.3">
      <c r="C981" t="str">
        <f>IFERROR(IF(B981="","",VLOOKUP(B981,CadProd!$A:$B,2,0)),"")</f>
        <v/>
      </c>
      <c r="D981" t="str">
        <f>IFERROR(IF(B981="","",VLOOKUP(B981,CadProd!$A:$C,3,0)),"")</f>
        <v/>
      </c>
    </row>
    <row r="982" spans="3:4" x14ac:dyDescent="0.3">
      <c r="C982" t="str">
        <f>IFERROR(IF(B982="","",VLOOKUP(B982,CadProd!$A:$B,2,0)),"")</f>
        <v/>
      </c>
      <c r="D982" t="str">
        <f>IFERROR(IF(B982="","",VLOOKUP(B982,CadProd!$A:$C,3,0)),"")</f>
        <v/>
      </c>
    </row>
    <row r="983" spans="3:4" x14ac:dyDescent="0.3">
      <c r="C983" t="str">
        <f>IFERROR(IF(B983="","",VLOOKUP(B983,CadProd!$A:$B,2,0)),"")</f>
        <v/>
      </c>
      <c r="D983" t="str">
        <f>IFERROR(IF(B983="","",VLOOKUP(B983,CadProd!$A:$C,3,0)),"")</f>
        <v/>
      </c>
    </row>
    <row r="984" spans="3:4" x14ac:dyDescent="0.3">
      <c r="C984" t="str">
        <f>IFERROR(IF(B984="","",VLOOKUP(B984,CadProd!$A:$B,2,0)),"")</f>
        <v/>
      </c>
      <c r="D984" t="str">
        <f>IFERROR(IF(B984="","",VLOOKUP(B984,CadProd!$A:$C,3,0)),"")</f>
        <v/>
      </c>
    </row>
    <row r="985" spans="3:4" x14ac:dyDescent="0.3">
      <c r="C985" t="str">
        <f>IFERROR(IF(B985="","",VLOOKUP(B985,CadProd!$A:$B,2,0)),"")</f>
        <v/>
      </c>
      <c r="D985" t="str">
        <f>IFERROR(IF(B985="","",VLOOKUP(B985,CadProd!$A:$C,3,0)),"")</f>
        <v/>
      </c>
    </row>
    <row r="986" spans="3:4" x14ac:dyDescent="0.3">
      <c r="C986" t="str">
        <f>IFERROR(IF(B986="","",VLOOKUP(B986,CadProd!$A:$B,2,0)),"")</f>
        <v/>
      </c>
      <c r="D986" t="str">
        <f>IFERROR(IF(B986="","",VLOOKUP(B986,CadProd!$A:$C,3,0)),"")</f>
        <v/>
      </c>
    </row>
    <row r="987" spans="3:4" x14ac:dyDescent="0.3">
      <c r="C987" t="str">
        <f>IFERROR(IF(B987="","",VLOOKUP(B987,CadProd!$A:$B,2,0)),"")</f>
        <v/>
      </c>
      <c r="D987" t="str">
        <f>IFERROR(IF(B987="","",VLOOKUP(B987,CadProd!$A:$C,3,0)),"")</f>
        <v/>
      </c>
    </row>
    <row r="988" spans="3:4" x14ac:dyDescent="0.3">
      <c r="C988" t="str">
        <f>IFERROR(IF(B988="","",VLOOKUP(B988,CadProd!$A:$B,2,0)),"")</f>
        <v/>
      </c>
      <c r="D988" t="str">
        <f>IFERROR(IF(B988="","",VLOOKUP(B988,CadProd!$A:$C,3,0)),"")</f>
        <v/>
      </c>
    </row>
    <row r="989" spans="3:4" x14ac:dyDescent="0.3">
      <c r="C989" t="str">
        <f>IFERROR(IF(B989="","",VLOOKUP(B989,CadProd!$A:$B,2,0)),"")</f>
        <v/>
      </c>
      <c r="D989" t="str">
        <f>IFERROR(IF(B989="","",VLOOKUP(B989,CadProd!$A:$C,3,0)),"")</f>
        <v/>
      </c>
    </row>
    <row r="990" spans="3:4" x14ac:dyDescent="0.3">
      <c r="C990" t="str">
        <f>IFERROR(IF(B990="","",VLOOKUP(B990,CadProd!$A:$B,2,0)),"")</f>
        <v/>
      </c>
      <c r="D990" t="str">
        <f>IFERROR(IF(B990="","",VLOOKUP(B990,CadProd!$A:$C,3,0)),"")</f>
        <v/>
      </c>
    </row>
    <row r="991" spans="3:4" x14ac:dyDescent="0.3">
      <c r="C991" t="str">
        <f>IFERROR(IF(B991="","",VLOOKUP(B991,CadProd!$A:$B,2,0)),"")</f>
        <v/>
      </c>
      <c r="D991" t="str">
        <f>IFERROR(IF(B991="","",VLOOKUP(B991,CadProd!$A:$C,3,0)),"")</f>
        <v/>
      </c>
    </row>
    <row r="992" spans="3:4" x14ac:dyDescent="0.3">
      <c r="C992" t="str">
        <f>IFERROR(IF(B992="","",VLOOKUP(B992,CadProd!$A:$B,2,0)),"")</f>
        <v/>
      </c>
      <c r="D992" t="str">
        <f>IFERROR(IF(B992="","",VLOOKUP(B992,CadProd!$A:$C,3,0)),"")</f>
        <v/>
      </c>
    </row>
    <row r="993" spans="3:4" x14ac:dyDescent="0.3">
      <c r="C993" t="str">
        <f>IFERROR(IF(B993="","",VLOOKUP(B993,CadProd!$A:$B,2,0)),"")</f>
        <v/>
      </c>
      <c r="D993" t="str">
        <f>IFERROR(IF(B993="","",VLOOKUP(B993,CadProd!$A:$C,3,0)),"")</f>
        <v/>
      </c>
    </row>
    <row r="994" spans="3:4" x14ac:dyDescent="0.3">
      <c r="C994" t="str">
        <f>IFERROR(IF(B994="","",VLOOKUP(B994,CadProd!$A:$B,2,0)),"")</f>
        <v/>
      </c>
      <c r="D994" t="str">
        <f>IFERROR(IF(B994="","",VLOOKUP(B994,CadProd!$A:$C,3,0)),"")</f>
        <v/>
      </c>
    </row>
    <row r="995" spans="3:4" x14ac:dyDescent="0.3">
      <c r="C995" t="str">
        <f>IFERROR(IF(B995="","",VLOOKUP(B995,CadProd!$A:$B,2,0)),"")</f>
        <v/>
      </c>
      <c r="D995" t="str">
        <f>IFERROR(IF(B995="","",VLOOKUP(B995,CadProd!$A:$C,3,0)),"")</f>
        <v/>
      </c>
    </row>
    <row r="996" spans="3:4" x14ac:dyDescent="0.3">
      <c r="C996" t="str">
        <f>IFERROR(IF(B996="","",VLOOKUP(B996,CadProd!$A:$B,2,0)),"")</f>
        <v/>
      </c>
      <c r="D996" t="str">
        <f>IFERROR(IF(B996="","",VLOOKUP(B996,CadProd!$A:$C,3,0)),"")</f>
        <v/>
      </c>
    </row>
    <row r="997" spans="3:4" x14ac:dyDescent="0.3">
      <c r="C997" t="str">
        <f>IFERROR(IF(B997="","",VLOOKUP(B997,CadProd!$A:$B,2,0)),"")</f>
        <v/>
      </c>
      <c r="D997" t="str">
        <f>IFERROR(IF(B997="","",VLOOKUP(B997,CadProd!$A:$C,3,0)),"")</f>
        <v/>
      </c>
    </row>
    <row r="998" spans="3:4" x14ac:dyDescent="0.3">
      <c r="C998" t="str">
        <f>IFERROR(IF(B998="","",VLOOKUP(B998,CadProd!$A:$B,2,0)),"")</f>
        <v/>
      </c>
      <c r="D998" t="str">
        <f>IFERROR(IF(B998="","",VLOOKUP(B998,CadProd!$A:$C,3,0)),"")</f>
        <v/>
      </c>
    </row>
    <row r="999" spans="3:4" x14ac:dyDescent="0.3">
      <c r="C999" t="str">
        <f>IFERROR(IF(B999="","",VLOOKUP(B999,CadProd!$A:$B,2,0)),"")</f>
        <v/>
      </c>
      <c r="D999" t="str">
        <f>IFERROR(IF(B999="","",VLOOKUP(B999,CadProd!$A:$C,3,0)),"")</f>
        <v/>
      </c>
    </row>
    <row r="1000" spans="3:4" x14ac:dyDescent="0.3">
      <c r="C1000" t="str">
        <f>IFERROR(IF(B1000="","",VLOOKUP(B1000,CadProd!$A:$B,2,0)),"")</f>
        <v/>
      </c>
      <c r="D1000" t="str">
        <f>IFERROR(IF(B1000="","",VLOOKUP(B1000,CadProd!$A:$C,3,0)),"")</f>
        <v/>
      </c>
    </row>
    <row r="1001" spans="3:4" x14ac:dyDescent="0.3">
      <c r="C1001" t="str">
        <f>IFERROR(IF(B1001="","",VLOOKUP(B1001,CadProd!$A:$B,2,0)),"")</f>
        <v/>
      </c>
      <c r="D1001" t="str">
        <f>IFERROR(IF(B1001="","",VLOOKUP(B1001,CadProd!$A:$C,3,0)),"")</f>
        <v/>
      </c>
    </row>
    <row r="1002" spans="3:4" x14ac:dyDescent="0.3">
      <c r="C1002" t="str">
        <f>IFERROR(IF(B1002="","",VLOOKUP(B1002,CadProd!$A:$B,2,0)),"")</f>
        <v/>
      </c>
      <c r="D1002" t="str">
        <f>IFERROR(IF(B1002="","",VLOOKUP(B1002,CadProd!$A:$C,3,0)),"")</f>
        <v/>
      </c>
    </row>
    <row r="1003" spans="3:4" x14ac:dyDescent="0.3">
      <c r="C1003" t="str">
        <f>IFERROR(IF(B1003="","",VLOOKUP(B1003,CadProd!$A:$B,2,0)),"")</f>
        <v/>
      </c>
      <c r="D1003" t="str">
        <f>IFERROR(IF(B1003="","",VLOOKUP(B1003,CadProd!$A:$C,3,0)),"")</f>
        <v/>
      </c>
    </row>
    <row r="1004" spans="3:4" x14ac:dyDescent="0.3">
      <c r="C1004" t="str">
        <f>IFERROR(IF(B1004="","",VLOOKUP(B1004,CadProd!$A:$B,2,0)),"")</f>
        <v/>
      </c>
      <c r="D1004" t="str">
        <f>IFERROR(IF(B1004="","",VLOOKUP(B1004,CadProd!$A:$C,3,0)),"")</f>
        <v/>
      </c>
    </row>
    <row r="1005" spans="3:4" x14ac:dyDescent="0.3">
      <c r="C1005" t="str">
        <f>IFERROR(IF(B1005="","",VLOOKUP(B1005,CadProd!$A:$B,2,0)),"")</f>
        <v/>
      </c>
      <c r="D1005" t="str">
        <f>IFERROR(IF(B1005="","",VLOOKUP(B1005,CadProd!$A:$C,3,0)),"")</f>
        <v/>
      </c>
    </row>
    <row r="1006" spans="3:4" x14ac:dyDescent="0.3">
      <c r="C1006" t="str">
        <f>IFERROR(IF(B1006="","",VLOOKUP(B1006,CadProd!$A:$B,2,0)),"")</f>
        <v/>
      </c>
      <c r="D1006" t="str">
        <f>IFERROR(IF(B1006="","",VLOOKUP(B1006,CadProd!$A:$C,3,0)),"")</f>
        <v/>
      </c>
    </row>
    <row r="1007" spans="3:4" x14ac:dyDescent="0.3">
      <c r="C1007" t="str">
        <f>IFERROR(IF(B1007="","",VLOOKUP(B1007,CadProd!$A:$B,2,0)),"")</f>
        <v/>
      </c>
      <c r="D1007" t="str">
        <f>IFERROR(IF(B1007="","",VLOOKUP(B1007,CadProd!$A:$C,3,0)),"")</f>
        <v/>
      </c>
    </row>
    <row r="1008" spans="3:4" x14ac:dyDescent="0.3">
      <c r="C1008" t="str">
        <f>IFERROR(IF(B1008="","",VLOOKUP(B1008,CadProd!$A:$B,2,0)),"")</f>
        <v/>
      </c>
      <c r="D1008" t="str">
        <f>IFERROR(IF(B1008="","",VLOOKUP(B1008,CadProd!$A:$C,3,0)),"")</f>
        <v/>
      </c>
    </row>
    <row r="1009" spans="3:4" x14ac:dyDescent="0.3">
      <c r="C1009" t="str">
        <f>IFERROR(IF(B1009="","",VLOOKUP(B1009,CadProd!$A:$B,2,0)),"")</f>
        <v/>
      </c>
      <c r="D1009" t="str">
        <f>IFERROR(IF(B1009="","",VLOOKUP(B1009,CadProd!$A:$C,3,0)),"")</f>
        <v/>
      </c>
    </row>
    <row r="1010" spans="3:4" x14ac:dyDescent="0.3">
      <c r="C1010" t="str">
        <f>IFERROR(IF(B1010="","",VLOOKUP(B1010,CadProd!$A:$B,2,0)),"")</f>
        <v/>
      </c>
      <c r="D1010" t="str">
        <f>IFERROR(IF(B1010="","",VLOOKUP(B1010,CadProd!$A:$C,3,0)),"")</f>
        <v/>
      </c>
    </row>
    <row r="1011" spans="3:4" x14ac:dyDescent="0.3">
      <c r="C1011" t="str">
        <f>IFERROR(IF(B1011="","",VLOOKUP(B1011,CadProd!$A:$B,2,0)),"")</f>
        <v/>
      </c>
      <c r="D1011" t="str">
        <f>IFERROR(IF(B1011="","",VLOOKUP(B1011,CadProd!$A:$C,3,0)),"")</f>
        <v/>
      </c>
    </row>
    <row r="1012" spans="3:4" x14ac:dyDescent="0.3">
      <c r="C1012" t="str">
        <f>IFERROR(IF(B1012="","",VLOOKUP(B1012,CadProd!$A:$B,2,0)),"")</f>
        <v/>
      </c>
      <c r="D1012" t="str">
        <f>IFERROR(IF(B1012="","",VLOOKUP(B1012,CadProd!$A:$C,3,0)),"")</f>
        <v/>
      </c>
    </row>
    <row r="1013" spans="3:4" x14ac:dyDescent="0.3">
      <c r="C1013" t="str">
        <f>IFERROR(IF(B1013="","",VLOOKUP(B1013,CadProd!$A:$B,2,0)),"")</f>
        <v/>
      </c>
      <c r="D1013" t="str">
        <f>IFERROR(IF(B1013="","",VLOOKUP(B1013,CadProd!$A:$C,3,0)),"")</f>
        <v/>
      </c>
    </row>
    <row r="1014" spans="3:4" x14ac:dyDescent="0.3">
      <c r="C1014" t="str">
        <f>IFERROR(IF(B1014="","",VLOOKUP(B1014,CadProd!$A:$B,2,0)),"")</f>
        <v/>
      </c>
      <c r="D1014" t="str">
        <f>IFERROR(IF(B1014="","",VLOOKUP(B1014,CadProd!$A:$C,3,0)),"")</f>
        <v/>
      </c>
    </row>
    <row r="1015" spans="3:4" x14ac:dyDescent="0.3">
      <c r="C1015" t="str">
        <f>IFERROR(IF(B1015="","",VLOOKUP(B1015,CadProd!$A:$B,2,0)),"")</f>
        <v/>
      </c>
      <c r="D1015" t="str">
        <f>IFERROR(IF(B1015="","",VLOOKUP(B1015,CadProd!$A:$C,3,0)),"")</f>
        <v/>
      </c>
    </row>
    <row r="1016" spans="3:4" x14ac:dyDescent="0.3">
      <c r="C1016" t="str">
        <f>IFERROR(IF(B1016="","",VLOOKUP(B1016,CadProd!$A:$B,2,0)),"")</f>
        <v/>
      </c>
      <c r="D1016" t="str">
        <f>IFERROR(IF(B1016="","",VLOOKUP(B1016,CadProd!$A:$C,3,0)),"")</f>
        <v/>
      </c>
    </row>
    <row r="1017" spans="3:4" x14ac:dyDescent="0.3">
      <c r="C1017" t="str">
        <f>IFERROR(IF(B1017="","",VLOOKUP(B1017,CadProd!$A:$B,2,0)),"")</f>
        <v/>
      </c>
      <c r="D1017" t="str">
        <f>IFERROR(IF(B1017="","",VLOOKUP(B1017,CadProd!$A:$C,3,0)),"")</f>
        <v/>
      </c>
    </row>
    <row r="1018" spans="3:4" x14ac:dyDescent="0.3">
      <c r="C1018" t="str">
        <f>IFERROR(IF(B1018="","",VLOOKUP(B1018,CadProd!$A:$B,2,0)),"")</f>
        <v/>
      </c>
      <c r="D1018" t="str">
        <f>IFERROR(IF(B1018="","",VLOOKUP(B1018,CadProd!$A:$C,3,0)),"")</f>
        <v/>
      </c>
    </row>
    <row r="1019" spans="3:4" x14ac:dyDescent="0.3">
      <c r="C1019" t="str">
        <f>IFERROR(IF(B1019="","",VLOOKUP(B1019,CadProd!$A:$B,2,0)),"")</f>
        <v/>
      </c>
      <c r="D1019" t="str">
        <f>IFERROR(IF(B1019="","",VLOOKUP(B1019,CadProd!$A:$C,3,0)),"")</f>
        <v/>
      </c>
    </row>
    <row r="1020" spans="3:4" x14ac:dyDescent="0.3">
      <c r="C1020" t="str">
        <f>IFERROR(IF(B1020="","",VLOOKUP(B1020,CadProd!$A:$B,2,0)),"")</f>
        <v/>
      </c>
      <c r="D1020" t="str">
        <f>IFERROR(IF(B1020="","",VLOOKUP(B1020,CadProd!$A:$C,3,0)),"")</f>
        <v/>
      </c>
    </row>
    <row r="1021" spans="3:4" x14ac:dyDescent="0.3">
      <c r="C1021" t="str">
        <f>IFERROR(IF(B1021="","",VLOOKUP(B1021,CadProd!$A:$B,2,0)),"")</f>
        <v/>
      </c>
      <c r="D1021" t="str">
        <f>IFERROR(IF(B1021="","",VLOOKUP(B1021,CadProd!$A:$C,3,0)),"")</f>
        <v/>
      </c>
    </row>
    <row r="1022" spans="3:4" x14ac:dyDescent="0.3">
      <c r="C1022" t="str">
        <f>IFERROR(IF(B1022="","",VLOOKUP(B1022,CadProd!$A:$B,2,0)),"")</f>
        <v/>
      </c>
      <c r="D1022" t="str">
        <f>IFERROR(IF(B1022="","",VLOOKUP(B1022,CadProd!$A:$C,3,0)),"")</f>
        <v/>
      </c>
    </row>
    <row r="1023" spans="3:4" x14ac:dyDescent="0.3">
      <c r="C1023" t="str">
        <f>IFERROR(IF(B1023="","",VLOOKUP(B1023,CadProd!$A:$B,2,0)),"")</f>
        <v/>
      </c>
      <c r="D1023" t="str">
        <f>IFERROR(IF(B1023="","",VLOOKUP(B1023,CadProd!$A:$C,3,0)),"")</f>
        <v/>
      </c>
    </row>
    <row r="1024" spans="3:4" x14ac:dyDescent="0.3">
      <c r="C1024" t="str">
        <f>IFERROR(IF(B1024="","",VLOOKUP(B1024,CadProd!$A:$B,2,0)),"")</f>
        <v/>
      </c>
      <c r="D1024" t="str">
        <f>IFERROR(IF(B1024="","",VLOOKUP(B1024,CadProd!$A:$C,3,0)),"")</f>
        <v/>
      </c>
    </row>
    <row r="1025" spans="3:4" x14ac:dyDescent="0.3">
      <c r="C1025" t="str">
        <f>IFERROR(IF(B1025="","",VLOOKUP(B1025,CadProd!$A:$B,2,0)),"")</f>
        <v/>
      </c>
      <c r="D1025" t="str">
        <f>IFERROR(IF(B1025="","",VLOOKUP(B1025,CadProd!$A:$C,3,0)),"")</f>
        <v/>
      </c>
    </row>
    <row r="1026" spans="3:4" x14ac:dyDescent="0.3">
      <c r="C1026" t="str">
        <f>IFERROR(IF(B1026="","",VLOOKUP(B1026,CadProd!$A:$B,2,0)),"")</f>
        <v/>
      </c>
      <c r="D1026" t="str">
        <f>IFERROR(IF(B1026="","",VLOOKUP(B1026,CadProd!$A:$C,3,0)),"")</f>
        <v/>
      </c>
    </row>
    <row r="1027" spans="3:4" x14ac:dyDescent="0.3">
      <c r="C1027" t="str">
        <f>IFERROR(IF(B1027="","",VLOOKUP(B1027,CadProd!$A:$B,2,0)),"")</f>
        <v/>
      </c>
      <c r="D1027" t="str">
        <f>IFERROR(IF(B1027="","",VLOOKUP(B1027,CadProd!$A:$C,3,0)),"")</f>
        <v/>
      </c>
    </row>
    <row r="1028" spans="3:4" x14ac:dyDescent="0.3">
      <c r="C1028" t="str">
        <f>IFERROR(IF(B1028="","",VLOOKUP(B1028,CadProd!$A:$B,2,0)),"")</f>
        <v/>
      </c>
      <c r="D1028" t="str">
        <f>IFERROR(IF(B1028="","",VLOOKUP(B1028,CadProd!$A:$C,3,0)),"")</f>
        <v/>
      </c>
    </row>
    <row r="1029" spans="3:4" x14ac:dyDescent="0.3">
      <c r="C1029" t="str">
        <f>IFERROR(IF(B1029="","",VLOOKUP(B1029,CadProd!$A:$B,2,0)),"")</f>
        <v/>
      </c>
      <c r="D1029" t="str">
        <f>IFERROR(IF(B1029="","",VLOOKUP(B1029,CadProd!$A:$C,3,0)),"")</f>
        <v/>
      </c>
    </row>
    <row r="1030" spans="3:4" x14ac:dyDescent="0.3">
      <c r="C1030" t="str">
        <f>IFERROR(IF(B1030="","",VLOOKUP(B1030,CadProd!$A:$B,2,0)),"")</f>
        <v/>
      </c>
      <c r="D1030" t="str">
        <f>IFERROR(IF(B1030="","",VLOOKUP(B1030,CadProd!$A:$C,3,0)),"")</f>
        <v/>
      </c>
    </row>
    <row r="1031" spans="3:4" x14ac:dyDescent="0.3">
      <c r="C1031" t="str">
        <f>IFERROR(IF(B1031="","",VLOOKUP(B1031,CadProd!$A:$B,2,0)),"")</f>
        <v/>
      </c>
      <c r="D1031" t="str">
        <f>IFERROR(IF(B1031="","",VLOOKUP(B1031,CadProd!$A:$C,3,0)),"")</f>
        <v/>
      </c>
    </row>
    <row r="1032" spans="3:4" x14ac:dyDescent="0.3">
      <c r="C1032" t="str">
        <f>IFERROR(IF(B1032="","",VLOOKUP(B1032,CadProd!$A:$B,2,0)),"")</f>
        <v/>
      </c>
      <c r="D1032" t="str">
        <f>IFERROR(IF(B1032="","",VLOOKUP(B1032,CadProd!$A:$C,3,0)),"")</f>
        <v/>
      </c>
    </row>
    <row r="1033" spans="3:4" x14ac:dyDescent="0.3">
      <c r="C1033" t="str">
        <f>IFERROR(IF(B1033="","",VLOOKUP(B1033,CadProd!$A:$B,2,0)),"")</f>
        <v/>
      </c>
      <c r="D1033" t="str">
        <f>IFERROR(IF(B1033="","",VLOOKUP(B1033,CadProd!$A:$C,3,0)),"")</f>
        <v/>
      </c>
    </row>
    <row r="1034" spans="3:4" x14ac:dyDescent="0.3">
      <c r="C1034" t="str">
        <f>IFERROR(IF(B1034="","",VLOOKUP(B1034,CadProd!$A:$B,2,0)),"")</f>
        <v/>
      </c>
      <c r="D1034" t="str">
        <f>IFERROR(IF(B1034="","",VLOOKUP(B1034,CadProd!$A:$C,3,0)),"")</f>
        <v/>
      </c>
    </row>
    <row r="1035" spans="3:4" x14ac:dyDescent="0.3">
      <c r="C1035" t="str">
        <f>IFERROR(IF(B1035="","",VLOOKUP(B1035,CadProd!$A:$B,2,0)),"")</f>
        <v/>
      </c>
      <c r="D1035" t="str">
        <f>IFERROR(IF(B1035="","",VLOOKUP(B1035,CadProd!$A:$C,3,0)),"")</f>
        <v/>
      </c>
    </row>
    <row r="1036" spans="3:4" x14ac:dyDescent="0.3">
      <c r="C1036" t="str">
        <f>IFERROR(IF(B1036="","",VLOOKUP(B1036,CadProd!$A:$B,2,0)),"")</f>
        <v/>
      </c>
      <c r="D1036" t="str">
        <f>IFERROR(IF(B1036="","",VLOOKUP(B1036,CadProd!$A:$C,3,0)),"")</f>
        <v/>
      </c>
    </row>
    <row r="1037" spans="3:4" x14ac:dyDescent="0.3">
      <c r="C1037" t="str">
        <f>IFERROR(IF(B1037="","",VLOOKUP(B1037,CadProd!$A:$B,2,0)),"")</f>
        <v/>
      </c>
      <c r="D1037" t="str">
        <f>IFERROR(IF(B1037="","",VLOOKUP(B1037,CadProd!$A:$C,3,0)),"")</f>
        <v/>
      </c>
    </row>
    <row r="1038" spans="3:4" x14ac:dyDescent="0.3">
      <c r="C1038" t="str">
        <f>IFERROR(IF(B1038="","",VLOOKUP(B1038,CadProd!$A:$B,2,0)),"")</f>
        <v/>
      </c>
      <c r="D1038" t="str">
        <f>IFERROR(IF(B1038="","",VLOOKUP(B1038,CadProd!$A:$C,3,0)),"")</f>
        <v/>
      </c>
    </row>
    <row r="1039" spans="3:4" x14ac:dyDescent="0.3">
      <c r="C1039" t="str">
        <f>IFERROR(IF(B1039="","",VLOOKUP(B1039,CadProd!$A:$B,2,0)),"")</f>
        <v/>
      </c>
      <c r="D1039" t="str">
        <f>IFERROR(IF(B1039="","",VLOOKUP(B1039,CadProd!$A:$C,3,0)),"")</f>
        <v/>
      </c>
    </row>
    <row r="1040" spans="3:4" x14ac:dyDescent="0.3">
      <c r="C1040" t="str">
        <f>IFERROR(IF(B1040="","",VLOOKUP(B1040,CadProd!$A:$B,2,0)),"")</f>
        <v/>
      </c>
      <c r="D1040" t="str">
        <f>IFERROR(IF(B1040="","",VLOOKUP(B1040,CadProd!$A:$C,3,0)),"")</f>
        <v/>
      </c>
    </row>
    <row r="1041" spans="3:4" x14ac:dyDescent="0.3">
      <c r="C1041" t="str">
        <f>IFERROR(IF(B1041="","",VLOOKUP(B1041,CadProd!$A:$B,2,0)),"")</f>
        <v/>
      </c>
      <c r="D1041" t="str">
        <f>IFERROR(IF(B1041="","",VLOOKUP(B1041,CadProd!$A:$C,3,0)),"")</f>
        <v/>
      </c>
    </row>
    <row r="1042" spans="3:4" x14ac:dyDescent="0.3">
      <c r="C1042" t="str">
        <f>IFERROR(IF(B1042="","",VLOOKUP(B1042,CadProd!$A:$B,2,0)),"")</f>
        <v/>
      </c>
      <c r="D1042" t="str">
        <f>IFERROR(IF(B1042="","",VLOOKUP(B1042,CadProd!$A:$C,3,0)),"")</f>
        <v/>
      </c>
    </row>
    <row r="1043" spans="3:4" x14ac:dyDescent="0.3">
      <c r="C1043" t="str">
        <f>IFERROR(IF(B1043="","",VLOOKUP(B1043,CadProd!$A:$B,2,0)),"")</f>
        <v/>
      </c>
      <c r="D1043" t="str">
        <f>IFERROR(IF(B1043="","",VLOOKUP(B1043,CadProd!$A:$C,3,0)),"")</f>
        <v/>
      </c>
    </row>
    <row r="1044" spans="3:4" x14ac:dyDescent="0.3">
      <c r="C1044" t="str">
        <f>IFERROR(IF(B1044="","",VLOOKUP(B1044,CadProd!$A:$B,2,0)),"")</f>
        <v/>
      </c>
      <c r="D1044" t="str">
        <f>IFERROR(IF(B1044="","",VLOOKUP(B1044,CadProd!$A:$C,3,0)),"")</f>
        <v/>
      </c>
    </row>
    <row r="1045" spans="3:4" x14ac:dyDescent="0.3">
      <c r="C1045" t="str">
        <f>IFERROR(IF(B1045="","",VLOOKUP(B1045,CadProd!$A:$B,2,0)),"")</f>
        <v/>
      </c>
      <c r="D1045" t="str">
        <f>IFERROR(IF(B1045="","",VLOOKUP(B1045,CadProd!$A:$C,3,0)),"")</f>
        <v/>
      </c>
    </row>
    <row r="1046" spans="3:4" x14ac:dyDescent="0.3">
      <c r="C1046" t="str">
        <f>IFERROR(IF(B1046="","",VLOOKUP(B1046,CadProd!$A:$B,2,0)),"")</f>
        <v/>
      </c>
      <c r="D1046" t="str">
        <f>IFERROR(IF(B1046="","",VLOOKUP(B1046,CadProd!$A:$C,3,0)),"")</f>
        <v/>
      </c>
    </row>
    <row r="1047" spans="3:4" x14ac:dyDescent="0.3">
      <c r="C1047" t="str">
        <f>IFERROR(IF(B1047="","",VLOOKUP(B1047,CadProd!$A:$B,2,0)),"")</f>
        <v/>
      </c>
      <c r="D1047" t="str">
        <f>IFERROR(IF(B1047="","",VLOOKUP(B1047,CadProd!$A:$C,3,0)),"")</f>
        <v/>
      </c>
    </row>
    <row r="1048" spans="3:4" x14ac:dyDescent="0.3">
      <c r="C1048" t="str">
        <f>IFERROR(IF(B1048="","",VLOOKUP(B1048,CadProd!$A:$B,2,0)),"")</f>
        <v/>
      </c>
      <c r="D1048" t="str">
        <f>IFERROR(IF(B1048="","",VLOOKUP(B1048,CadProd!$A:$C,3,0)),"")</f>
        <v/>
      </c>
    </row>
    <row r="1049" spans="3:4" x14ac:dyDescent="0.3">
      <c r="C1049" t="str">
        <f>IFERROR(IF(B1049="","",VLOOKUP(B1049,CadProd!$A:$B,2,0)),"")</f>
        <v/>
      </c>
      <c r="D1049" t="str">
        <f>IFERROR(IF(B1049="","",VLOOKUP(B1049,CadProd!$A:$C,3,0)),"")</f>
        <v/>
      </c>
    </row>
    <row r="1050" spans="3:4" x14ac:dyDescent="0.3">
      <c r="C1050" t="str">
        <f>IFERROR(IF(B1050="","",VLOOKUP(B1050,CadProd!$A:$B,2,0)),"")</f>
        <v/>
      </c>
      <c r="D1050" t="str">
        <f>IFERROR(IF(B1050="","",VLOOKUP(B1050,CadProd!$A:$C,3,0)),"")</f>
        <v/>
      </c>
    </row>
    <row r="1051" spans="3:4" x14ac:dyDescent="0.3">
      <c r="C1051" t="str">
        <f>IFERROR(IF(B1051="","",VLOOKUP(B1051,CadProd!$A:$B,2,0)),"")</f>
        <v/>
      </c>
      <c r="D1051" t="str">
        <f>IFERROR(IF(B1051="","",VLOOKUP(B1051,CadProd!$A:$C,3,0)),"")</f>
        <v/>
      </c>
    </row>
    <row r="1052" spans="3:4" x14ac:dyDescent="0.3">
      <c r="C1052" t="str">
        <f>IFERROR(IF(B1052="","",VLOOKUP(B1052,CadProd!$A:$B,2,0)),"")</f>
        <v/>
      </c>
      <c r="D1052" t="str">
        <f>IFERROR(IF(B1052="","",VLOOKUP(B1052,CadProd!$A:$C,3,0)),"")</f>
        <v/>
      </c>
    </row>
    <row r="1053" spans="3:4" x14ac:dyDescent="0.3">
      <c r="C1053" t="str">
        <f>IFERROR(IF(B1053="","",VLOOKUP(B1053,CadProd!$A:$B,2,0)),"")</f>
        <v/>
      </c>
      <c r="D1053" t="str">
        <f>IFERROR(IF(B1053="","",VLOOKUP(B1053,CadProd!$A:$C,3,0)),"")</f>
        <v/>
      </c>
    </row>
    <row r="1054" spans="3:4" x14ac:dyDescent="0.3">
      <c r="C1054" t="str">
        <f>IFERROR(IF(B1054="","",VLOOKUP(B1054,CadProd!$A:$B,2,0)),"")</f>
        <v/>
      </c>
      <c r="D1054" t="str">
        <f>IFERROR(IF(B1054="","",VLOOKUP(B1054,CadProd!$A:$C,3,0)),"")</f>
        <v/>
      </c>
    </row>
    <row r="1055" spans="3:4" x14ac:dyDescent="0.3">
      <c r="C1055" t="str">
        <f>IFERROR(IF(B1055="","",VLOOKUP(B1055,CadProd!$A:$B,2,0)),"")</f>
        <v/>
      </c>
      <c r="D1055" t="str">
        <f>IFERROR(IF(B1055="","",VLOOKUP(B1055,CadProd!$A:$C,3,0)),"")</f>
        <v/>
      </c>
    </row>
    <row r="1056" spans="3:4" x14ac:dyDescent="0.3">
      <c r="C1056" t="str">
        <f>IFERROR(IF(B1056="","",VLOOKUP(B1056,CadProd!$A:$B,2,0)),"")</f>
        <v/>
      </c>
      <c r="D1056" t="str">
        <f>IFERROR(IF(B1056="","",VLOOKUP(B1056,CadProd!$A:$C,3,0)),"")</f>
        <v/>
      </c>
    </row>
    <row r="1057" spans="3:4" x14ac:dyDescent="0.3">
      <c r="C1057" t="str">
        <f>IFERROR(IF(B1057="","",VLOOKUP(B1057,CadProd!$A:$B,2,0)),"")</f>
        <v/>
      </c>
      <c r="D1057" t="str">
        <f>IFERROR(IF(B1057="","",VLOOKUP(B1057,CadProd!$A:$C,3,0)),"")</f>
        <v/>
      </c>
    </row>
    <row r="1058" spans="3:4" x14ac:dyDescent="0.3">
      <c r="C1058" t="str">
        <f>IFERROR(IF(B1058="","",VLOOKUP(B1058,CadProd!$A:$B,2,0)),"")</f>
        <v/>
      </c>
      <c r="D1058" t="str">
        <f>IFERROR(IF(B1058="","",VLOOKUP(B1058,CadProd!$A:$C,3,0)),"")</f>
        <v/>
      </c>
    </row>
    <row r="1059" spans="3:4" x14ac:dyDescent="0.3">
      <c r="C1059" t="str">
        <f>IFERROR(IF(B1059="","",VLOOKUP(B1059,CadProd!$A:$B,2,0)),"")</f>
        <v/>
      </c>
      <c r="D1059" t="str">
        <f>IFERROR(IF(B1059="","",VLOOKUP(B1059,CadProd!$A:$C,3,0)),"")</f>
        <v/>
      </c>
    </row>
    <row r="1060" spans="3:4" x14ac:dyDescent="0.3">
      <c r="C1060" t="str">
        <f>IFERROR(IF(B1060="","",VLOOKUP(B1060,CadProd!$A:$B,2,0)),"")</f>
        <v/>
      </c>
      <c r="D1060" t="str">
        <f>IFERROR(IF(B1060="","",VLOOKUP(B1060,CadProd!$A:$C,3,0)),"")</f>
        <v/>
      </c>
    </row>
    <row r="1061" spans="3:4" x14ac:dyDescent="0.3">
      <c r="C1061" t="str">
        <f>IFERROR(IF(B1061="","",VLOOKUP(B1061,CadProd!$A:$B,2,0)),"")</f>
        <v/>
      </c>
      <c r="D1061" t="str">
        <f>IFERROR(IF(B1061="","",VLOOKUP(B1061,CadProd!$A:$C,3,0)),"")</f>
        <v/>
      </c>
    </row>
    <row r="1062" spans="3:4" x14ac:dyDescent="0.3">
      <c r="C1062" t="str">
        <f>IFERROR(IF(B1062="","",VLOOKUP(B1062,CadProd!$A:$B,2,0)),"")</f>
        <v/>
      </c>
      <c r="D1062" t="str">
        <f>IFERROR(IF(B1062="","",VLOOKUP(B1062,CadProd!$A:$C,3,0)),"")</f>
        <v/>
      </c>
    </row>
    <row r="1063" spans="3:4" x14ac:dyDescent="0.3">
      <c r="C1063" t="str">
        <f>IFERROR(IF(B1063="","",VLOOKUP(B1063,CadProd!$A:$B,2,0)),"")</f>
        <v/>
      </c>
      <c r="D1063" t="str">
        <f>IFERROR(IF(B1063="","",VLOOKUP(B1063,CadProd!$A:$C,3,0)),"")</f>
        <v/>
      </c>
    </row>
    <row r="1064" spans="3:4" x14ac:dyDescent="0.3">
      <c r="C1064" t="str">
        <f>IFERROR(IF(B1064="","",VLOOKUP(B1064,CadProd!$A:$B,2,0)),"")</f>
        <v/>
      </c>
      <c r="D1064" t="str">
        <f>IFERROR(IF(B1064="","",VLOOKUP(B1064,CadProd!$A:$C,3,0)),"")</f>
        <v/>
      </c>
    </row>
    <row r="1065" spans="3:4" x14ac:dyDescent="0.3">
      <c r="C1065" t="str">
        <f>IFERROR(IF(B1065="","",VLOOKUP(B1065,CadProd!$A:$B,2,0)),"")</f>
        <v/>
      </c>
      <c r="D1065" t="str">
        <f>IFERROR(IF(B1065="","",VLOOKUP(B1065,CadProd!$A:$C,3,0)),"")</f>
        <v/>
      </c>
    </row>
    <row r="1066" spans="3:4" x14ac:dyDescent="0.3">
      <c r="C1066" t="str">
        <f>IFERROR(IF(B1066="","",VLOOKUP(B1066,CadProd!$A:$B,2,0)),"")</f>
        <v/>
      </c>
      <c r="D1066" t="str">
        <f>IFERROR(IF(B1066="","",VLOOKUP(B1066,CadProd!$A:$C,3,0)),"")</f>
        <v/>
      </c>
    </row>
    <row r="1067" spans="3:4" x14ac:dyDescent="0.3">
      <c r="C1067" t="str">
        <f>IFERROR(IF(B1067="","",VLOOKUP(B1067,CadProd!$A:$B,2,0)),"")</f>
        <v/>
      </c>
      <c r="D1067" t="str">
        <f>IFERROR(IF(B1067="","",VLOOKUP(B1067,CadProd!$A:$C,3,0)),"")</f>
        <v/>
      </c>
    </row>
    <row r="1068" spans="3:4" x14ac:dyDescent="0.3">
      <c r="C1068" t="str">
        <f>IFERROR(IF(B1068="","",VLOOKUP(B1068,CadProd!$A:$B,2,0)),"")</f>
        <v/>
      </c>
      <c r="D1068" t="str">
        <f>IFERROR(IF(B1068="","",VLOOKUP(B1068,CadProd!$A:$C,3,0)),"")</f>
        <v/>
      </c>
    </row>
    <row r="1069" spans="3:4" x14ac:dyDescent="0.3">
      <c r="C1069" t="str">
        <f>IFERROR(IF(B1069="","",VLOOKUP(B1069,CadProd!$A:$B,2,0)),"")</f>
        <v/>
      </c>
      <c r="D1069" t="str">
        <f>IFERROR(IF(B1069="","",VLOOKUP(B1069,CadProd!$A:$C,3,0)),"")</f>
        <v/>
      </c>
    </row>
    <row r="1070" spans="3:4" x14ac:dyDescent="0.3">
      <c r="C1070" t="str">
        <f>IFERROR(IF(B1070="","",VLOOKUP(B1070,CadProd!$A:$B,2,0)),"")</f>
        <v/>
      </c>
      <c r="D1070" t="str">
        <f>IFERROR(IF(B1070="","",VLOOKUP(B1070,CadProd!$A:$C,3,0)),"")</f>
        <v/>
      </c>
    </row>
    <row r="1071" spans="3:4" x14ac:dyDescent="0.3">
      <c r="C1071" t="str">
        <f>IFERROR(IF(B1071="","",VLOOKUP(B1071,CadProd!$A:$B,2,0)),"")</f>
        <v/>
      </c>
      <c r="D1071" t="str">
        <f>IFERROR(IF(B1071="","",VLOOKUP(B1071,CadProd!$A:$C,3,0)),"")</f>
        <v/>
      </c>
    </row>
    <row r="1072" spans="3:4" x14ac:dyDescent="0.3">
      <c r="C1072" t="str">
        <f>IFERROR(IF(B1072="","",VLOOKUP(B1072,CadProd!$A:$B,2,0)),"")</f>
        <v/>
      </c>
      <c r="D1072" t="str">
        <f>IFERROR(IF(B1072="","",VLOOKUP(B1072,CadProd!$A:$C,3,0)),"")</f>
        <v/>
      </c>
    </row>
    <row r="1073" spans="3:4" x14ac:dyDescent="0.3">
      <c r="C1073" t="str">
        <f>IFERROR(IF(B1073="","",VLOOKUP(B1073,CadProd!$A:$B,2,0)),"")</f>
        <v/>
      </c>
      <c r="D1073" t="str">
        <f>IFERROR(IF(B1073="","",VLOOKUP(B1073,CadProd!$A:$C,3,0)),"")</f>
        <v/>
      </c>
    </row>
    <row r="1074" spans="3:4" x14ac:dyDescent="0.3">
      <c r="C1074" t="str">
        <f>IFERROR(IF(B1074="","",VLOOKUP(B1074,CadProd!$A:$B,2,0)),"")</f>
        <v/>
      </c>
      <c r="D1074" t="str">
        <f>IFERROR(IF(B1074="","",VLOOKUP(B1074,CadProd!$A:$C,3,0)),"")</f>
        <v/>
      </c>
    </row>
    <row r="1075" spans="3:4" x14ac:dyDescent="0.3">
      <c r="C1075" t="str">
        <f>IFERROR(IF(B1075="","",VLOOKUP(B1075,CadProd!$A:$B,2,0)),"")</f>
        <v/>
      </c>
      <c r="D1075" t="str">
        <f>IFERROR(IF(B1075="","",VLOOKUP(B1075,CadProd!$A:$C,3,0)),"")</f>
        <v/>
      </c>
    </row>
    <row r="1076" spans="3:4" x14ac:dyDescent="0.3">
      <c r="C1076" t="str">
        <f>IFERROR(IF(B1076="","",VLOOKUP(B1076,CadProd!$A:$B,2,0)),"")</f>
        <v/>
      </c>
      <c r="D1076" t="str">
        <f>IFERROR(IF(B1076="","",VLOOKUP(B1076,CadProd!$A:$C,3,0)),"")</f>
        <v/>
      </c>
    </row>
    <row r="1077" spans="3:4" x14ac:dyDescent="0.3">
      <c r="C1077" t="str">
        <f>IFERROR(IF(B1077="","",VLOOKUP(B1077,CadProd!$A:$B,2,0)),"")</f>
        <v/>
      </c>
      <c r="D1077" t="str">
        <f>IFERROR(IF(B1077="","",VLOOKUP(B1077,CadProd!$A:$C,3,0)),"")</f>
        <v/>
      </c>
    </row>
    <row r="1078" spans="3:4" x14ac:dyDescent="0.3">
      <c r="C1078" t="str">
        <f>IFERROR(IF(B1078="","",VLOOKUP(B1078,CadProd!$A:$B,2,0)),"")</f>
        <v/>
      </c>
      <c r="D1078" t="str">
        <f>IFERROR(IF(B1078="","",VLOOKUP(B1078,CadProd!$A:$C,3,0)),"")</f>
        <v/>
      </c>
    </row>
    <row r="1079" spans="3:4" x14ac:dyDescent="0.3">
      <c r="C1079" t="str">
        <f>IFERROR(IF(B1079="","",VLOOKUP(B1079,CadProd!$A:$B,2,0)),"")</f>
        <v/>
      </c>
      <c r="D1079" t="str">
        <f>IFERROR(IF(B1079="","",VLOOKUP(B1079,CadProd!$A:$C,3,0)),"")</f>
        <v/>
      </c>
    </row>
    <row r="1080" spans="3:4" x14ac:dyDescent="0.3">
      <c r="C1080" t="str">
        <f>IFERROR(IF(B1080="","",VLOOKUP(B1080,CadProd!$A:$B,2,0)),"")</f>
        <v/>
      </c>
      <c r="D1080" t="str">
        <f>IFERROR(IF(B1080="","",VLOOKUP(B1080,CadProd!$A:$C,3,0)),"")</f>
        <v/>
      </c>
    </row>
    <row r="1081" spans="3:4" x14ac:dyDescent="0.3">
      <c r="C1081" t="str">
        <f>IFERROR(IF(B1081="","",VLOOKUP(B1081,CadProd!$A:$B,2,0)),"")</f>
        <v/>
      </c>
      <c r="D1081" t="str">
        <f>IFERROR(IF(B1081="","",VLOOKUP(B1081,CadProd!$A:$C,3,0)),"")</f>
        <v/>
      </c>
    </row>
    <row r="1082" spans="3:4" x14ac:dyDescent="0.3">
      <c r="C1082" t="str">
        <f>IFERROR(IF(B1082="","",VLOOKUP(B1082,CadProd!$A:$B,2,0)),"")</f>
        <v/>
      </c>
      <c r="D1082" t="str">
        <f>IFERROR(IF(B1082="","",VLOOKUP(B1082,CadProd!$A:$C,3,0)),"")</f>
        <v/>
      </c>
    </row>
    <row r="1083" spans="3:4" x14ac:dyDescent="0.3">
      <c r="C1083" t="str">
        <f>IFERROR(IF(B1083="","",VLOOKUP(B1083,CadProd!$A:$B,2,0)),"")</f>
        <v/>
      </c>
      <c r="D1083" t="str">
        <f>IFERROR(IF(B1083="","",VLOOKUP(B1083,CadProd!$A:$C,3,0)),"")</f>
        <v/>
      </c>
    </row>
    <row r="1084" spans="3:4" x14ac:dyDescent="0.3">
      <c r="C1084" t="str">
        <f>IFERROR(IF(B1084="","",VLOOKUP(B1084,CadProd!$A:$B,2,0)),"")</f>
        <v/>
      </c>
      <c r="D1084" t="str">
        <f>IFERROR(IF(B1084="","",VLOOKUP(B1084,CadProd!$A:$C,3,0)),"")</f>
        <v/>
      </c>
    </row>
    <row r="1085" spans="3:4" x14ac:dyDescent="0.3">
      <c r="C1085" t="str">
        <f>IFERROR(IF(B1085="","",VLOOKUP(B1085,CadProd!$A:$B,2,0)),"")</f>
        <v/>
      </c>
      <c r="D1085" t="str">
        <f>IFERROR(IF(B1085="","",VLOOKUP(B1085,CadProd!$A:$C,3,0)),"")</f>
        <v/>
      </c>
    </row>
    <row r="1086" spans="3:4" x14ac:dyDescent="0.3">
      <c r="C1086" t="str">
        <f>IFERROR(IF(B1086="","",VLOOKUP(B1086,CadProd!$A:$B,2,0)),"")</f>
        <v/>
      </c>
      <c r="D1086" t="str">
        <f>IFERROR(IF(B1086="","",VLOOKUP(B1086,CadProd!$A:$C,3,0)),"")</f>
        <v/>
      </c>
    </row>
    <row r="1087" spans="3:4" x14ac:dyDescent="0.3">
      <c r="C1087" t="str">
        <f>IFERROR(IF(B1087="","",VLOOKUP(B1087,CadProd!$A:$B,2,0)),"")</f>
        <v/>
      </c>
      <c r="D1087" t="str">
        <f>IFERROR(IF(B1087="","",VLOOKUP(B1087,CadProd!$A:$C,3,0)),"")</f>
        <v/>
      </c>
    </row>
    <row r="1088" spans="3:4" x14ac:dyDescent="0.3">
      <c r="C1088" t="str">
        <f>IFERROR(IF(B1088="","",VLOOKUP(B1088,CadProd!$A:$B,2,0)),"")</f>
        <v/>
      </c>
      <c r="D1088" t="str">
        <f>IFERROR(IF(B1088="","",VLOOKUP(B1088,CadProd!$A:$C,3,0)),"")</f>
        <v/>
      </c>
    </row>
    <row r="1089" spans="3:4" x14ac:dyDescent="0.3">
      <c r="C1089" t="str">
        <f>IFERROR(IF(B1089="","",VLOOKUP(B1089,CadProd!$A:$B,2,0)),"")</f>
        <v/>
      </c>
      <c r="D1089" t="str">
        <f>IFERROR(IF(B1089="","",VLOOKUP(B1089,CadProd!$A:$C,3,0)),"")</f>
        <v/>
      </c>
    </row>
    <row r="1090" spans="3:4" x14ac:dyDescent="0.3">
      <c r="C1090" t="str">
        <f>IFERROR(IF(B1090="","",VLOOKUP(B1090,CadProd!$A:$B,2,0)),"")</f>
        <v/>
      </c>
      <c r="D1090" t="str">
        <f>IFERROR(IF(B1090="","",VLOOKUP(B1090,CadProd!$A:$C,3,0)),"")</f>
        <v/>
      </c>
    </row>
    <row r="1091" spans="3:4" x14ac:dyDescent="0.3">
      <c r="C1091" t="str">
        <f>IFERROR(IF(B1091="","",VLOOKUP(B1091,CadProd!$A:$B,2,0)),"")</f>
        <v/>
      </c>
      <c r="D1091" t="str">
        <f>IFERROR(IF(B1091="","",VLOOKUP(B1091,CadProd!$A:$C,3,0)),"")</f>
        <v/>
      </c>
    </row>
    <row r="1092" spans="3:4" x14ac:dyDescent="0.3">
      <c r="C1092" t="str">
        <f>IFERROR(IF(B1092="","",VLOOKUP(B1092,CadProd!$A:$B,2,0)),"")</f>
        <v/>
      </c>
      <c r="D1092" t="str">
        <f>IFERROR(IF(B1092="","",VLOOKUP(B1092,CadProd!$A:$C,3,0)),"")</f>
        <v/>
      </c>
    </row>
    <row r="1093" spans="3:4" x14ac:dyDescent="0.3">
      <c r="C1093" t="str">
        <f>IFERROR(IF(B1093="","",VLOOKUP(B1093,CadProd!$A:$B,2,0)),"")</f>
        <v/>
      </c>
      <c r="D1093" t="str">
        <f>IFERROR(IF(B1093="","",VLOOKUP(B1093,CadProd!$A:$C,3,0)),"")</f>
        <v/>
      </c>
    </row>
    <row r="1094" spans="3:4" x14ac:dyDescent="0.3">
      <c r="C1094" t="str">
        <f>IFERROR(IF(B1094="","",VLOOKUP(B1094,CadProd!$A:$B,2,0)),"")</f>
        <v/>
      </c>
      <c r="D1094" t="str">
        <f>IFERROR(IF(B1094="","",VLOOKUP(B1094,CadProd!$A:$C,3,0)),"")</f>
        <v/>
      </c>
    </row>
    <row r="1095" spans="3:4" x14ac:dyDescent="0.3">
      <c r="C1095" t="str">
        <f>IFERROR(IF(B1095="","",VLOOKUP(B1095,CadProd!$A:$B,2,0)),"")</f>
        <v/>
      </c>
      <c r="D1095" t="str">
        <f>IFERROR(IF(B1095="","",VLOOKUP(B1095,CadProd!$A:$C,3,0)),"")</f>
        <v/>
      </c>
    </row>
    <row r="1096" spans="3:4" x14ac:dyDescent="0.3">
      <c r="C1096" t="str">
        <f>IFERROR(IF(B1096="","",VLOOKUP(B1096,CadProd!$A:$B,2,0)),"")</f>
        <v/>
      </c>
      <c r="D1096" t="str">
        <f>IFERROR(IF(B1096="","",VLOOKUP(B1096,CadProd!$A:$C,3,0)),"")</f>
        <v/>
      </c>
    </row>
    <row r="1097" spans="3:4" x14ac:dyDescent="0.3">
      <c r="C1097" t="str">
        <f>IFERROR(IF(B1097="","",VLOOKUP(B1097,CadProd!$A:$B,2,0)),"")</f>
        <v/>
      </c>
      <c r="D1097" t="str">
        <f>IFERROR(IF(B1097="","",VLOOKUP(B1097,CadProd!$A:$C,3,0)),"")</f>
        <v/>
      </c>
    </row>
    <row r="1098" spans="3:4" x14ac:dyDescent="0.3">
      <c r="C1098" t="str">
        <f>IFERROR(IF(B1098="","",VLOOKUP(B1098,CadProd!$A:$B,2,0)),"")</f>
        <v/>
      </c>
      <c r="D1098" t="str">
        <f>IFERROR(IF(B1098="","",VLOOKUP(B1098,CadProd!$A:$C,3,0)),"")</f>
        <v/>
      </c>
    </row>
    <row r="1099" spans="3:4" x14ac:dyDescent="0.3">
      <c r="C1099" t="str">
        <f>IFERROR(IF(B1099="","",VLOOKUP(B1099,CadProd!$A:$B,2,0)),"")</f>
        <v/>
      </c>
      <c r="D1099" t="str">
        <f>IFERROR(IF(B1099="","",VLOOKUP(B1099,CadProd!$A:$C,3,0)),"")</f>
        <v/>
      </c>
    </row>
    <row r="1100" spans="3:4" x14ac:dyDescent="0.3">
      <c r="C1100" t="str">
        <f>IFERROR(IF(B1100="","",VLOOKUP(B1100,CadProd!$A:$B,2,0)),"")</f>
        <v/>
      </c>
      <c r="D1100" t="str">
        <f>IFERROR(IF(B1100="","",VLOOKUP(B1100,CadProd!$A:$C,3,0)),"")</f>
        <v/>
      </c>
    </row>
    <row r="1101" spans="3:4" x14ac:dyDescent="0.3">
      <c r="C1101" t="str">
        <f>IFERROR(IF(B1101="","",VLOOKUP(B1101,CadProd!$A:$B,2,0)),"")</f>
        <v/>
      </c>
      <c r="D1101" t="str">
        <f>IFERROR(IF(B1101="","",VLOOKUP(B1101,CadProd!$A:$C,3,0)),"")</f>
        <v/>
      </c>
    </row>
    <row r="1102" spans="3:4" x14ac:dyDescent="0.3">
      <c r="C1102" t="str">
        <f>IFERROR(IF(B1102="","",VLOOKUP(B1102,CadProd!$A:$B,2,0)),"")</f>
        <v/>
      </c>
      <c r="D1102" t="str">
        <f>IFERROR(IF(B1102="","",VLOOKUP(B1102,CadProd!$A:$C,3,0)),"")</f>
        <v/>
      </c>
    </row>
    <row r="1103" spans="3:4" x14ac:dyDescent="0.3">
      <c r="C1103" t="str">
        <f>IFERROR(IF(B1103="","",VLOOKUP(B1103,CadProd!$A:$B,2,0)),"")</f>
        <v/>
      </c>
      <c r="D1103" t="str">
        <f>IFERROR(IF(B1103="","",VLOOKUP(B1103,CadProd!$A:$C,3,0)),"")</f>
        <v/>
      </c>
    </row>
    <row r="1104" spans="3:4" x14ac:dyDescent="0.3">
      <c r="C1104" t="str">
        <f>IFERROR(IF(B1104="","",VLOOKUP(B1104,CadProd!$A:$B,2,0)),"")</f>
        <v/>
      </c>
      <c r="D1104" t="str">
        <f>IFERROR(IF(B1104="","",VLOOKUP(B1104,CadProd!$A:$C,3,0)),"")</f>
        <v/>
      </c>
    </row>
    <row r="1105" spans="3:4" x14ac:dyDescent="0.3">
      <c r="C1105" t="str">
        <f>IFERROR(IF(B1105="","",VLOOKUP(B1105,CadProd!$A:$B,2,0)),"")</f>
        <v/>
      </c>
      <c r="D1105" t="str">
        <f>IFERROR(IF(B1105="","",VLOOKUP(B1105,CadProd!$A:$C,3,0)),"")</f>
        <v/>
      </c>
    </row>
    <row r="1106" spans="3:4" x14ac:dyDescent="0.3">
      <c r="C1106" t="str">
        <f>IFERROR(IF(B1106="","",VLOOKUP(B1106,CadProd!$A:$B,2,0)),"")</f>
        <v/>
      </c>
      <c r="D1106" t="str">
        <f>IFERROR(IF(B1106="","",VLOOKUP(B1106,CadProd!$A:$C,3,0)),"")</f>
        <v/>
      </c>
    </row>
    <row r="1107" spans="3:4" x14ac:dyDescent="0.3">
      <c r="C1107" t="str">
        <f>IFERROR(IF(B1107="","",VLOOKUP(B1107,CadProd!$A:$B,2,0)),"")</f>
        <v/>
      </c>
      <c r="D1107" t="str">
        <f>IFERROR(IF(B1107="","",VLOOKUP(B1107,CadProd!$A:$C,3,0)),"")</f>
        <v/>
      </c>
    </row>
    <row r="1108" spans="3:4" x14ac:dyDescent="0.3">
      <c r="C1108" t="str">
        <f>IFERROR(IF(B1108="","",VLOOKUP(B1108,CadProd!$A:$B,2,0)),"")</f>
        <v/>
      </c>
      <c r="D1108" t="str">
        <f>IFERROR(IF(B1108="","",VLOOKUP(B1108,CadProd!$A:$C,3,0)),"")</f>
        <v/>
      </c>
    </row>
    <row r="1109" spans="3:4" x14ac:dyDescent="0.3">
      <c r="C1109" t="str">
        <f>IFERROR(IF(B1109="","",VLOOKUP(B1109,CadProd!$A:$B,2,0)),"")</f>
        <v/>
      </c>
      <c r="D1109" t="str">
        <f>IFERROR(IF(B1109="","",VLOOKUP(B1109,CadProd!$A:$C,3,0)),"")</f>
        <v/>
      </c>
    </row>
    <row r="1110" spans="3:4" x14ac:dyDescent="0.3">
      <c r="C1110" t="str">
        <f>IFERROR(IF(B1110="","",VLOOKUP(B1110,CadProd!$A:$B,2,0)),"")</f>
        <v/>
      </c>
      <c r="D1110" t="str">
        <f>IFERROR(IF(B1110="","",VLOOKUP(B1110,CadProd!$A:$C,3,0)),"")</f>
        <v/>
      </c>
    </row>
    <row r="1111" spans="3:4" x14ac:dyDescent="0.3">
      <c r="C1111" t="str">
        <f>IFERROR(IF(B1111="","",VLOOKUP(B1111,CadProd!$A:$B,2,0)),"")</f>
        <v/>
      </c>
      <c r="D1111" t="str">
        <f>IFERROR(IF(B1111="","",VLOOKUP(B1111,CadProd!$A:$C,3,0)),"")</f>
        <v/>
      </c>
    </row>
    <row r="1112" spans="3:4" x14ac:dyDescent="0.3">
      <c r="C1112" t="str">
        <f>IFERROR(IF(B1112="","",VLOOKUP(B1112,CadProd!$A:$B,2,0)),"")</f>
        <v/>
      </c>
      <c r="D1112" t="str">
        <f>IFERROR(IF(B1112="","",VLOOKUP(B1112,CadProd!$A:$C,3,0)),"")</f>
        <v/>
      </c>
    </row>
    <row r="1113" spans="3:4" x14ac:dyDescent="0.3">
      <c r="C1113" t="str">
        <f>IFERROR(IF(B1113="","",VLOOKUP(B1113,CadProd!$A:$B,2,0)),"")</f>
        <v/>
      </c>
      <c r="D1113" t="str">
        <f>IFERROR(IF(B1113="","",VLOOKUP(B1113,CadProd!$A:$C,3,0)),"")</f>
        <v/>
      </c>
    </row>
    <row r="1114" spans="3:4" x14ac:dyDescent="0.3">
      <c r="C1114" t="str">
        <f>IFERROR(IF(B1114="","",VLOOKUP(B1114,CadProd!$A:$B,2,0)),"")</f>
        <v/>
      </c>
      <c r="D1114" t="str">
        <f>IFERROR(IF(B1114="","",VLOOKUP(B1114,CadProd!$A:$C,3,0)),"")</f>
        <v/>
      </c>
    </row>
    <row r="1115" spans="3:4" x14ac:dyDescent="0.3">
      <c r="C1115" t="str">
        <f>IFERROR(IF(B1115="","",VLOOKUP(B1115,CadProd!$A:$B,2,0)),"")</f>
        <v/>
      </c>
      <c r="D1115" t="str">
        <f>IFERROR(IF(B1115="","",VLOOKUP(B1115,CadProd!$A:$C,3,0)),"")</f>
        <v/>
      </c>
    </row>
    <row r="1116" spans="3:4" x14ac:dyDescent="0.3">
      <c r="C1116" t="str">
        <f>IFERROR(IF(B1116="","",VLOOKUP(B1116,CadProd!$A:$B,2,0)),"")</f>
        <v/>
      </c>
      <c r="D1116" t="str">
        <f>IFERROR(IF(B1116="","",VLOOKUP(B1116,CadProd!$A:$C,3,0)),"")</f>
        <v/>
      </c>
    </row>
    <row r="1117" spans="3:4" x14ac:dyDescent="0.3">
      <c r="C1117" t="str">
        <f>IFERROR(IF(B1117="","",VLOOKUP(B1117,CadProd!$A:$B,2,0)),"")</f>
        <v/>
      </c>
      <c r="D1117" t="str">
        <f>IFERROR(IF(B1117="","",VLOOKUP(B1117,CadProd!$A:$C,3,0)),"")</f>
        <v/>
      </c>
    </row>
    <row r="1118" spans="3:4" x14ac:dyDescent="0.3">
      <c r="C1118" t="str">
        <f>IFERROR(IF(B1118="","",VLOOKUP(B1118,CadProd!$A:$B,2,0)),"")</f>
        <v/>
      </c>
      <c r="D1118" t="str">
        <f>IFERROR(IF(B1118="","",VLOOKUP(B1118,CadProd!$A:$C,3,0)),"")</f>
        <v/>
      </c>
    </row>
    <row r="1119" spans="3:4" x14ac:dyDescent="0.3">
      <c r="C1119" t="str">
        <f>IFERROR(IF(B1119="","",VLOOKUP(B1119,CadProd!$A:$B,2,0)),"")</f>
        <v/>
      </c>
      <c r="D1119" t="str">
        <f>IFERROR(IF(B1119="","",VLOOKUP(B1119,CadProd!$A:$C,3,0)),"")</f>
        <v/>
      </c>
    </row>
    <row r="1120" spans="3:4" x14ac:dyDescent="0.3">
      <c r="C1120" t="str">
        <f>IFERROR(IF(B1120="","",VLOOKUP(B1120,CadProd!$A:$B,2,0)),"")</f>
        <v/>
      </c>
      <c r="D1120" t="str">
        <f>IFERROR(IF(B1120="","",VLOOKUP(B1120,CadProd!$A:$C,3,0)),"")</f>
        <v/>
      </c>
    </row>
    <row r="1121" spans="3:4" x14ac:dyDescent="0.3">
      <c r="C1121" t="str">
        <f>IFERROR(IF(B1121="","",VLOOKUP(B1121,CadProd!$A:$B,2,0)),"")</f>
        <v/>
      </c>
      <c r="D1121" t="str">
        <f>IFERROR(IF(B1121="","",VLOOKUP(B1121,CadProd!$A:$C,3,0)),"")</f>
        <v/>
      </c>
    </row>
    <row r="1122" spans="3:4" x14ac:dyDescent="0.3">
      <c r="C1122" t="str">
        <f>IFERROR(IF(B1122="","",VLOOKUP(B1122,CadProd!$A:$B,2,0)),"")</f>
        <v/>
      </c>
      <c r="D1122" t="str">
        <f>IFERROR(IF(B1122="","",VLOOKUP(B1122,CadProd!$A:$C,3,0)),"")</f>
        <v/>
      </c>
    </row>
    <row r="1123" spans="3:4" x14ac:dyDescent="0.3">
      <c r="C1123" t="str">
        <f>IFERROR(IF(B1123="","",VLOOKUP(B1123,CadProd!$A:$B,2,0)),"")</f>
        <v/>
      </c>
      <c r="D1123" t="str">
        <f>IFERROR(IF(B1123="","",VLOOKUP(B1123,CadProd!$A:$C,3,0)),"")</f>
        <v/>
      </c>
    </row>
    <row r="1124" spans="3:4" x14ac:dyDescent="0.3">
      <c r="C1124" t="str">
        <f>IFERROR(IF(B1124="","",VLOOKUP(B1124,CadProd!$A:$B,2,0)),"")</f>
        <v/>
      </c>
      <c r="D1124" t="str">
        <f>IFERROR(IF(B1124="","",VLOOKUP(B1124,CadProd!$A:$C,3,0)),"")</f>
        <v/>
      </c>
    </row>
    <row r="1125" spans="3:4" x14ac:dyDescent="0.3">
      <c r="C1125" t="str">
        <f>IFERROR(IF(B1125="","",VLOOKUP(B1125,CadProd!$A:$B,2,0)),"")</f>
        <v/>
      </c>
      <c r="D1125" t="str">
        <f>IFERROR(IF(B1125="","",VLOOKUP(B1125,CadProd!$A:$C,3,0)),"")</f>
        <v/>
      </c>
    </row>
    <row r="1126" spans="3:4" x14ac:dyDescent="0.3">
      <c r="C1126" t="str">
        <f>IFERROR(IF(B1126="","",VLOOKUP(B1126,CadProd!$A:$B,2,0)),"")</f>
        <v/>
      </c>
      <c r="D1126" t="str">
        <f>IFERROR(IF(B1126="","",VLOOKUP(B1126,CadProd!$A:$C,3,0)),"")</f>
        <v/>
      </c>
    </row>
    <row r="1127" spans="3:4" x14ac:dyDescent="0.3">
      <c r="C1127" t="str">
        <f>IFERROR(IF(B1127="","",VLOOKUP(B1127,CadProd!$A:$B,2,0)),"")</f>
        <v/>
      </c>
      <c r="D1127" t="str">
        <f>IFERROR(IF(B1127="","",VLOOKUP(B1127,CadProd!$A:$C,3,0)),"")</f>
        <v/>
      </c>
    </row>
    <row r="1128" spans="3:4" x14ac:dyDescent="0.3">
      <c r="C1128" t="str">
        <f>IFERROR(IF(B1128="","",VLOOKUP(B1128,CadProd!$A:$B,2,0)),"")</f>
        <v/>
      </c>
      <c r="D1128" t="str">
        <f>IFERROR(IF(B1128="","",VLOOKUP(B1128,CadProd!$A:$C,3,0)),"")</f>
        <v/>
      </c>
    </row>
    <row r="1129" spans="3:4" x14ac:dyDescent="0.3">
      <c r="C1129" t="str">
        <f>IFERROR(IF(B1129="","",VLOOKUP(B1129,CadProd!$A:$B,2,0)),"")</f>
        <v/>
      </c>
      <c r="D1129" t="str">
        <f>IFERROR(IF(B1129="","",VLOOKUP(B1129,CadProd!$A:$C,3,0)),"")</f>
        <v/>
      </c>
    </row>
    <row r="1130" spans="3:4" x14ac:dyDescent="0.3">
      <c r="C1130" t="str">
        <f>IFERROR(IF(B1130="","",VLOOKUP(B1130,CadProd!$A:$B,2,0)),"")</f>
        <v/>
      </c>
      <c r="D1130" t="str">
        <f>IFERROR(IF(B1130="","",VLOOKUP(B1130,CadProd!$A:$C,3,0)),"")</f>
        <v/>
      </c>
    </row>
    <row r="1131" spans="3:4" x14ac:dyDescent="0.3">
      <c r="C1131" t="str">
        <f>IFERROR(IF(B1131="","",VLOOKUP(B1131,CadProd!$A:$B,2,0)),"")</f>
        <v/>
      </c>
      <c r="D1131" t="str">
        <f>IFERROR(IF(B1131="","",VLOOKUP(B1131,CadProd!$A:$C,3,0)),"")</f>
        <v/>
      </c>
    </row>
    <row r="1132" spans="3:4" x14ac:dyDescent="0.3">
      <c r="C1132" t="str">
        <f>IFERROR(IF(B1132="","",VLOOKUP(B1132,CadProd!$A:$B,2,0)),"")</f>
        <v/>
      </c>
      <c r="D1132" t="str">
        <f>IFERROR(IF(B1132="","",VLOOKUP(B1132,CadProd!$A:$C,3,0)),"")</f>
        <v/>
      </c>
    </row>
    <row r="1133" spans="3:4" x14ac:dyDescent="0.3">
      <c r="C1133" t="str">
        <f>IFERROR(IF(B1133="","",VLOOKUP(B1133,CadProd!$A:$B,2,0)),"")</f>
        <v/>
      </c>
      <c r="D1133" t="str">
        <f>IFERROR(IF(B1133="","",VLOOKUP(B1133,CadProd!$A:$C,3,0)),"")</f>
        <v/>
      </c>
    </row>
    <row r="1134" spans="3:4" x14ac:dyDescent="0.3">
      <c r="C1134" t="str">
        <f>IFERROR(IF(B1134="","",VLOOKUP(B1134,CadProd!$A:$B,2,0)),"")</f>
        <v/>
      </c>
      <c r="D1134" t="str">
        <f>IFERROR(IF(B1134="","",VLOOKUP(B1134,CadProd!$A:$C,3,0)),"")</f>
        <v/>
      </c>
    </row>
    <row r="1135" spans="3:4" x14ac:dyDescent="0.3">
      <c r="C1135" t="str">
        <f>IFERROR(IF(B1135="","",VLOOKUP(B1135,CadProd!$A:$B,2,0)),"")</f>
        <v/>
      </c>
      <c r="D1135" t="str">
        <f>IFERROR(IF(B1135="","",VLOOKUP(B1135,CadProd!$A:$C,3,0)),"")</f>
        <v/>
      </c>
    </row>
    <row r="1136" spans="3:4" x14ac:dyDescent="0.3">
      <c r="C1136" t="str">
        <f>IFERROR(IF(B1136="","",VLOOKUP(B1136,CadProd!$A:$B,2,0)),"")</f>
        <v/>
      </c>
      <c r="D1136" t="str">
        <f>IFERROR(IF(B1136="","",VLOOKUP(B1136,CadProd!$A:$C,3,0)),"")</f>
        <v/>
      </c>
    </row>
    <row r="1137" spans="3:4" x14ac:dyDescent="0.3">
      <c r="C1137" t="str">
        <f>IFERROR(IF(B1137="","",VLOOKUP(B1137,CadProd!$A:$B,2,0)),"")</f>
        <v/>
      </c>
      <c r="D1137" t="str">
        <f>IFERROR(IF(B1137="","",VLOOKUP(B1137,CadProd!$A:$C,3,0)),"")</f>
        <v/>
      </c>
    </row>
    <row r="1138" spans="3:4" x14ac:dyDescent="0.3">
      <c r="C1138" t="str">
        <f>IFERROR(IF(B1138="","",VLOOKUP(B1138,CadProd!$A:$B,2,0)),"")</f>
        <v/>
      </c>
      <c r="D1138" t="str">
        <f>IFERROR(IF(B1138="","",VLOOKUP(B1138,CadProd!$A:$C,3,0)),"")</f>
        <v/>
      </c>
    </row>
    <row r="1139" spans="3:4" x14ac:dyDescent="0.3">
      <c r="C1139" t="str">
        <f>IFERROR(IF(B1139="","",VLOOKUP(B1139,CadProd!$A:$B,2,0)),"")</f>
        <v/>
      </c>
      <c r="D1139" t="str">
        <f>IFERROR(IF(B1139="","",VLOOKUP(B1139,CadProd!$A:$C,3,0)),"")</f>
        <v/>
      </c>
    </row>
    <row r="1140" spans="3:4" x14ac:dyDescent="0.3">
      <c r="C1140" t="str">
        <f>IFERROR(IF(B1140="","",VLOOKUP(B1140,CadProd!$A:$B,2,0)),"")</f>
        <v/>
      </c>
      <c r="D1140" t="str">
        <f>IFERROR(IF(B1140="","",VLOOKUP(B1140,CadProd!$A:$C,3,0)),"")</f>
        <v/>
      </c>
    </row>
    <row r="1141" spans="3:4" x14ac:dyDescent="0.3">
      <c r="C1141" t="str">
        <f>IFERROR(IF(B1141="","",VLOOKUP(B1141,CadProd!$A:$B,2,0)),"")</f>
        <v/>
      </c>
      <c r="D1141" t="str">
        <f>IFERROR(IF(B1141="","",VLOOKUP(B1141,CadProd!$A:$C,3,0)),"")</f>
        <v/>
      </c>
    </row>
    <row r="1142" spans="3:4" x14ac:dyDescent="0.3">
      <c r="C1142" t="str">
        <f>IFERROR(IF(B1142="","",VLOOKUP(B1142,CadProd!$A:$B,2,0)),"")</f>
        <v/>
      </c>
      <c r="D1142" t="str">
        <f>IFERROR(IF(B1142="","",VLOOKUP(B1142,CadProd!$A:$C,3,0)),"")</f>
        <v/>
      </c>
    </row>
    <row r="1143" spans="3:4" x14ac:dyDescent="0.3">
      <c r="C1143" t="str">
        <f>IFERROR(IF(B1143="","",VLOOKUP(B1143,CadProd!$A:$B,2,0)),"")</f>
        <v/>
      </c>
      <c r="D1143" t="str">
        <f>IFERROR(IF(B1143="","",VLOOKUP(B1143,CadProd!$A:$C,3,0)),"")</f>
        <v/>
      </c>
    </row>
    <row r="1144" spans="3:4" x14ac:dyDescent="0.3">
      <c r="C1144" t="str">
        <f>IFERROR(IF(B1144="","",VLOOKUP(B1144,CadProd!$A:$B,2,0)),"")</f>
        <v/>
      </c>
      <c r="D1144" t="str">
        <f>IFERROR(IF(B1144="","",VLOOKUP(B1144,CadProd!$A:$C,3,0)),"")</f>
        <v/>
      </c>
    </row>
    <row r="1145" spans="3:4" x14ac:dyDescent="0.3">
      <c r="C1145" t="str">
        <f>IFERROR(IF(B1145="","",VLOOKUP(B1145,CadProd!$A:$B,2,0)),"")</f>
        <v/>
      </c>
      <c r="D1145" t="str">
        <f>IFERROR(IF(B1145="","",VLOOKUP(B1145,CadProd!$A:$C,3,0)),"")</f>
        <v/>
      </c>
    </row>
    <row r="1146" spans="3:4" x14ac:dyDescent="0.3">
      <c r="C1146" t="str">
        <f>IFERROR(IF(B1146="","",VLOOKUP(B1146,CadProd!$A:$B,2,0)),"")</f>
        <v/>
      </c>
      <c r="D1146" t="str">
        <f>IFERROR(IF(B1146="","",VLOOKUP(B1146,CadProd!$A:$C,3,0)),"")</f>
        <v/>
      </c>
    </row>
    <row r="1147" spans="3:4" x14ac:dyDescent="0.3">
      <c r="C1147" t="str">
        <f>IFERROR(IF(B1147="","",VLOOKUP(B1147,CadProd!$A:$B,2,0)),"")</f>
        <v/>
      </c>
      <c r="D1147" t="str">
        <f>IFERROR(IF(B1147="","",VLOOKUP(B1147,CadProd!$A:$C,3,0)),"")</f>
        <v/>
      </c>
    </row>
    <row r="1148" spans="3:4" x14ac:dyDescent="0.3">
      <c r="C1148" t="str">
        <f>IFERROR(IF(B1148="","",VLOOKUP(B1148,CadProd!$A:$B,2,0)),"")</f>
        <v/>
      </c>
      <c r="D1148" t="str">
        <f>IFERROR(IF(B1148="","",VLOOKUP(B1148,CadProd!$A:$C,3,0)),"")</f>
        <v/>
      </c>
    </row>
    <row r="1149" spans="3:4" x14ac:dyDescent="0.3">
      <c r="C1149" t="str">
        <f>IFERROR(IF(B1149="","",VLOOKUP(B1149,CadProd!$A:$B,2,0)),"")</f>
        <v/>
      </c>
      <c r="D1149" t="str">
        <f>IFERROR(IF(B1149="","",VLOOKUP(B1149,CadProd!$A:$C,3,0)),"")</f>
        <v/>
      </c>
    </row>
    <row r="1150" spans="3:4" x14ac:dyDescent="0.3">
      <c r="C1150" t="str">
        <f>IFERROR(IF(B1150="","",VLOOKUP(B1150,CadProd!$A:$B,2,0)),"")</f>
        <v/>
      </c>
      <c r="D1150" t="str">
        <f>IFERROR(IF(B1150="","",VLOOKUP(B1150,CadProd!$A:$C,3,0)),"")</f>
        <v/>
      </c>
    </row>
    <row r="1151" spans="3:4" x14ac:dyDescent="0.3">
      <c r="C1151" t="str">
        <f>IFERROR(IF(B1151="","",VLOOKUP(B1151,CadProd!$A:$B,2,0)),"")</f>
        <v/>
      </c>
      <c r="D1151" t="str">
        <f>IFERROR(IF(B1151="","",VLOOKUP(B1151,CadProd!$A:$C,3,0)),"")</f>
        <v/>
      </c>
    </row>
    <row r="1152" spans="3:4" x14ac:dyDescent="0.3">
      <c r="C1152" t="str">
        <f>IFERROR(IF(B1152="","",VLOOKUP(B1152,CadProd!$A:$B,2,0)),"")</f>
        <v/>
      </c>
      <c r="D1152" t="str">
        <f>IFERROR(IF(B1152="","",VLOOKUP(B1152,CadProd!$A:$C,3,0)),"")</f>
        <v/>
      </c>
    </row>
    <row r="1153" spans="3:4" x14ac:dyDescent="0.3">
      <c r="C1153" t="str">
        <f>IFERROR(IF(B1153="","",VLOOKUP(B1153,CadProd!$A:$B,2,0)),"")</f>
        <v/>
      </c>
      <c r="D1153" t="str">
        <f>IFERROR(IF(B1153="","",VLOOKUP(B1153,CadProd!$A:$C,3,0)),"")</f>
        <v/>
      </c>
    </row>
    <row r="1154" spans="3:4" x14ac:dyDescent="0.3">
      <c r="C1154" t="str">
        <f>IFERROR(IF(B1154="","",VLOOKUP(B1154,CadProd!$A:$B,2,0)),"")</f>
        <v/>
      </c>
      <c r="D1154" t="str">
        <f>IFERROR(IF(B1154="","",VLOOKUP(B1154,CadProd!$A:$C,3,0)),"")</f>
        <v/>
      </c>
    </row>
    <row r="1155" spans="3:4" x14ac:dyDescent="0.3">
      <c r="C1155" t="str">
        <f>IFERROR(IF(B1155="","",VLOOKUP(B1155,CadProd!$A:$B,2,0)),"")</f>
        <v/>
      </c>
      <c r="D1155" t="str">
        <f>IFERROR(IF(B1155="","",VLOOKUP(B1155,CadProd!$A:$C,3,0)),"")</f>
        <v/>
      </c>
    </row>
    <row r="1156" spans="3:4" x14ac:dyDescent="0.3">
      <c r="C1156" t="str">
        <f>IFERROR(IF(B1156="","",VLOOKUP(B1156,CadProd!$A:$B,2,0)),"")</f>
        <v/>
      </c>
      <c r="D1156" t="str">
        <f>IFERROR(IF(B1156="","",VLOOKUP(B1156,CadProd!$A:$C,3,0)),"")</f>
        <v/>
      </c>
    </row>
    <row r="1157" spans="3:4" x14ac:dyDescent="0.3">
      <c r="C1157" t="str">
        <f>IFERROR(IF(B1157="","",VLOOKUP(B1157,CadProd!$A:$B,2,0)),"")</f>
        <v/>
      </c>
      <c r="D1157" t="str">
        <f>IFERROR(IF(B1157="","",VLOOKUP(B1157,CadProd!$A:$C,3,0)),"")</f>
        <v/>
      </c>
    </row>
    <row r="1158" spans="3:4" x14ac:dyDescent="0.3">
      <c r="C1158" t="str">
        <f>IFERROR(IF(B1158="","",VLOOKUP(B1158,CadProd!$A:$B,2,0)),"")</f>
        <v/>
      </c>
      <c r="D1158" t="str">
        <f>IFERROR(IF(B1158="","",VLOOKUP(B1158,CadProd!$A:$C,3,0)),"")</f>
        <v/>
      </c>
    </row>
    <row r="1159" spans="3:4" x14ac:dyDescent="0.3">
      <c r="C1159" t="str">
        <f>IFERROR(IF(B1159="","",VLOOKUP(B1159,CadProd!$A:$B,2,0)),"")</f>
        <v/>
      </c>
      <c r="D1159" t="str">
        <f>IFERROR(IF(B1159="","",VLOOKUP(B1159,CadProd!$A:$C,3,0)),"")</f>
        <v/>
      </c>
    </row>
    <row r="1160" spans="3:4" x14ac:dyDescent="0.3">
      <c r="C1160" t="str">
        <f>IFERROR(IF(B1160="","",VLOOKUP(B1160,CadProd!$A:$B,2,0)),"")</f>
        <v/>
      </c>
      <c r="D1160" t="str">
        <f>IFERROR(IF(B1160="","",VLOOKUP(B1160,CadProd!$A:$C,3,0)),"")</f>
        <v/>
      </c>
    </row>
    <row r="1161" spans="3:4" x14ac:dyDescent="0.3">
      <c r="C1161" t="str">
        <f>IFERROR(IF(B1161="","",VLOOKUP(B1161,CadProd!$A:$B,2,0)),"")</f>
        <v/>
      </c>
      <c r="D1161" t="str">
        <f>IFERROR(IF(B1161="","",VLOOKUP(B1161,CadProd!$A:$C,3,0)),"")</f>
        <v/>
      </c>
    </row>
    <row r="1162" spans="3:4" x14ac:dyDescent="0.3">
      <c r="C1162" t="str">
        <f>IFERROR(IF(B1162="","",VLOOKUP(B1162,CadProd!$A:$B,2,0)),"")</f>
        <v/>
      </c>
      <c r="D1162" t="str">
        <f>IFERROR(IF(B1162="","",VLOOKUP(B1162,CadProd!$A:$C,3,0)),"")</f>
        <v/>
      </c>
    </row>
    <row r="1163" spans="3:4" x14ac:dyDescent="0.3">
      <c r="C1163" t="str">
        <f>IFERROR(IF(B1163="","",VLOOKUP(B1163,CadProd!$A:$B,2,0)),"")</f>
        <v/>
      </c>
      <c r="D1163" t="str">
        <f>IFERROR(IF(B1163="","",VLOOKUP(B1163,CadProd!$A:$C,3,0)),"")</f>
        <v/>
      </c>
    </row>
    <row r="1164" spans="3:4" x14ac:dyDescent="0.3">
      <c r="C1164" t="str">
        <f>IFERROR(IF(B1164="","",VLOOKUP(B1164,CadProd!$A:$B,2,0)),"")</f>
        <v/>
      </c>
      <c r="D1164" t="str">
        <f>IFERROR(IF(B1164="","",VLOOKUP(B1164,CadProd!$A:$C,3,0)),"")</f>
        <v/>
      </c>
    </row>
    <row r="1165" spans="3:4" x14ac:dyDescent="0.3">
      <c r="C1165" t="str">
        <f>IFERROR(IF(B1165="","",VLOOKUP(B1165,CadProd!$A:$B,2,0)),"")</f>
        <v/>
      </c>
      <c r="D1165" t="str">
        <f>IFERROR(IF(B1165="","",VLOOKUP(B1165,CadProd!$A:$C,3,0)),"")</f>
        <v/>
      </c>
    </row>
    <row r="1166" spans="3:4" x14ac:dyDescent="0.3">
      <c r="C1166" t="str">
        <f>IFERROR(IF(B1166="","",VLOOKUP(B1166,CadProd!$A:$B,2,0)),"")</f>
        <v/>
      </c>
      <c r="D1166" t="str">
        <f>IFERROR(IF(B1166="","",VLOOKUP(B1166,CadProd!$A:$C,3,0)),"")</f>
        <v/>
      </c>
    </row>
    <row r="1167" spans="3:4" x14ac:dyDescent="0.3">
      <c r="C1167" t="str">
        <f>IFERROR(IF(B1167="","",VLOOKUP(B1167,CadProd!$A:$B,2,0)),"")</f>
        <v/>
      </c>
      <c r="D1167" t="str">
        <f>IFERROR(IF(B1167="","",VLOOKUP(B1167,CadProd!$A:$C,3,0)),"")</f>
        <v/>
      </c>
    </row>
    <row r="1168" spans="3:4" x14ac:dyDescent="0.3">
      <c r="C1168" t="str">
        <f>IFERROR(IF(B1168="","",VLOOKUP(B1168,CadProd!$A:$B,2,0)),"")</f>
        <v/>
      </c>
      <c r="D1168" t="str">
        <f>IFERROR(IF(B1168="","",VLOOKUP(B1168,CadProd!$A:$C,3,0)),"")</f>
        <v/>
      </c>
    </row>
    <row r="1169" spans="3:4" x14ac:dyDescent="0.3">
      <c r="C1169" t="str">
        <f>IFERROR(IF(B1169="","",VLOOKUP(B1169,CadProd!$A:$B,2,0)),"")</f>
        <v/>
      </c>
      <c r="D1169" t="str">
        <f>IFERROR(IF(B1169="","",VLOOKUP(B1169,CadProd!$A:$C,3,0)),"")</f>
        <v/>
      </c>
    </row>
    <row r="1170" spans="3:4" x14ac:dyDescent="0.3">
      <c r="C1170" t="str">
        <f>IFERROR(IF(B1170="","",VLOOKUP(B1170,CadProd!$A:$B,2,0)),"")</f>
        <v/>
      </c>
      <c r="D1170" t="str">
        <f>IFERROR(IF(B1170="","",VLOOKUP(B1170,CadProd!$A:$C,3,0)),"")</f>
        <v/>
      </c>
    </row>
    <row r="1171" spans="3:4" x14ac:dyDescent="0.3">
      <c r="C1171" t="str">
        <f>IFERROR(IF(B1171="","",VLOOKUP(B1171,CadProd!$A:$B,2,0)),"")</f>
        <v/>
      </c>
      <c r="D1171" t="str">
        <f>IFERROR(IF(B1171="","",VLOOKUP(B1171,CadProd!$A:$C,3,0)),"")</f>
        <v/>
      </c>
    </row>
    <row r="1172" spans="3:4" x14ac:dyDescent="0.3">
      <c r="C1172" t="str">
        <f>IFERROR(IF(B1172="","",VLOOKUP(B1172,CadProd!$A:$B,2,0)),"")</f>
        <v/>
      </c>
      <c r="D1172" t="str">
        <f>IFERROR(IF(B1172="","",VLOOKUP(B1172,CadProd!$A:$C,3,0)),"")</f>
        <v/>
      </c>
    </row>
    <row r="1173" spans="3:4" x14ac:dyDescent="0.3">
      <c r="C1173" t="str">
        <f>IFERROR(IF(B1173="","",VLOOKUP(B1173,CadProd!$A:$B,2,0)),"")</f>
        <v/>
      </c>
      <c r="D1173" t="str">
        <f>IFERROR(IF(B1173="","",VLOOKUP(B1173,CadProd!$A:$C,3,0)),"")</f>
        <v/>
      </c>
    </row>
    <row r="1174" spans="3:4" x14ac:dyDescent="0.3">
      <c r="C1174" t="str">
        <f>IFERROR(IF(B1174="","",VLOOKUP(B1174,CadProd!$A:$B,2,0)),"")</f>
        <v/>
      </c>
      <c r="D1174" t="str">
        <f>IFERROR(IF(B1174="","",VLOOKUP(B1174,CadProd!$A:$C,3,0)),"")</f>
        <v/>
      </c>
    </row>
    <row r="1175" spans="3:4" x14ac:dyDescent="0.3">
      <c r="C1175" t="str">
        <f>IFERROR(IF(B1175="","",VLOOKUP(B1175,CadProd!$A:$B,2,0)),"")</f>
        <v/>
      </c>
      <c r="D1175" t="str">
        <f>IFERROR(IF(B1175="","",VLOOKUP(B1175,CadProd!$A:$C,3,0)),"")</f>
        <v/>
      </c>
    </row>
    <row r="1176" spans="3:4" x14ac:dyDescent="0.3">
      <c r="C1176" t="str">
        <f>IFERROR(IF(B1176="","",VLOOKUP(B1176,CadProd!$A:$B,2,0)),"")</f>
        <v/>
      </c>
      <c r="D1176" t="str">
        <f>IFERROR(IF(B1176="","",VLOOKUP(B1176,CadProd!$A:$C,3,0)),"")</f>
        <v/>
      </c>
    </row>
    <row r="1177" spans="3:4" x14ac:dyDescent="0.3">
      <c r="C1177" t="str">
        <f>IFERROR(IF(B1177="","",VLOOKUP(B1177,CadProd!$A:$B,2,0)),"")</f>
        <v/>
      </c>
      <c r="D1177" t="str">
        <f>IFERROR(IF(B1177="","",VLOOKUP(B1177,CadProd!$A:$C,3,0)),"")</f>
        <v/>
      </c>
    </row>
    <row r="1178" spans="3:4" x14ac:dyDescent="0.3">
      <c r="C1178" t="str">
        <f>IFERROR(IF(B1178="","",VLOOKUP(B1178,CadProd!$A:$B,2,0)),"")</f>
        <v/>
      </c>
      <c r="D1178" t="str">
        <f>IFERROR(IF(B1178="","",VLOOKUP(B1178,CadProd!$A:$C,3,0)),"")</f>
        <v/>
      </c>
    </row>
    <row r="1179" spans="3:4" x14ac:dyDescent="0.3">
      <c r="C1179" t="str">
        <f>IFERROR(IF(B1179="","",VLOOKUP(B1179,CadProd!$A:$B,2,0)),"")</f>
        <v/>
      </c>
      <c r="D1179" t="str">
        <f>IFERROR(IF(B1179="","",VLOOKUP(B1179,CadProd!$A:$C,3,0)),"")</f>
        <v/>
      </c>
    </row>
    <row r="1180" spans="3:4" x14ac:dyDescent="0.3">
      <c r="C1180" t="str">
        <f>IFERROR(IF(B1180="","",VLOOKUP(B1180,CadProd!$A:$B,2,0)),"")</f>
        <v/>
      </c>
      <c r="D1180" t="str">
        <f>IFERROR(IF(B1180="","",VLOOKUP(B1180,CadProd!$A:$C,3,0)),"")</f>
        <v/>
      </c>
    </row>
    <row r="1181" spans="3:4" x14ac:dyDescent="0.3">
      <c r="C1181" t="str">
        <f>IFERROR(IF(B1181="","",VLOOKUP(B1181,CadProd!$A:$B,2,0)),"")</f>
        <v/>
      </c>
      <c r="D1181" t="str">
        <f>IFERROR(IF(B1181="","",VLOOKUP(B1181,CadProd!$A:$C,3,0)),"")</f>
        <v/>
      </c>
    </row>
    <row r="1182" spans="3:4" x14ac:dyDescent="0.3">
      <c r="C1182" t="str">
        <f>IFERROR(IF(B1182="","",VLOOKUP(B1182,CadProd!$A:$B,2,0)),"")</f>
        <v/>
      </c>
      <c r="D1182" t="str">
        <f>IFERROR(IF(B1182="","",VLOOKUP(B1182,CadProd!$A:$C,3,0)),"")</f>
        <v/>
      </c>
    </row>
    <row r="1183" spans="3:4" x14ac:dyDescent="0.3">
      <c r="C1183" t="str">
        <f>IFERROR(IF(B1183="","",VLOOKUP(B1183,CadProd!$A:$B,2,0)),"")</f>
        <v/>
      </c>
      <c r="D1183" t="str">
        <f>IFERROR(IF(B1183="","",VLOOKUP(B1183,CadProd!$A:$C,3,0)),"")</f>
        <v/>
      </c>
    </row>
    <row r="1184" spans="3:4" x14ac:dyDescent="0.3">
      <c r="C1184" t="str">
        <f>IFERROR(IF(B1184="","",VLOOKUP(B1184,CadProd!$A:$B,2,0)),"")</f>
        <v/>
      </c>
      <c r="D1184" t="str">
        <f>IFERROR(IF(B1184="","",VLOOKUP(B1184,CadProd!$A:$C,3,0)),"")</f>
        <v/>
      </c>
    </row>
    <row r="1185" spans="3:4" x14ac:dyDescent="0.3">
      <c r="C1185" t="str">
        <f>IFERROR(IF(B1185="","",VLOOKUP(B1185,CadProd!$A:$B,2,0)),"")</f>
        <v/>
      </c>
      <c r="D1185" t="str">
        <f>IFERROR(IF(B1185="","",VLOOKUP(B1185,CadProd!$A:$C,3,0)),"")</f>
        <v/>
      </c>
    </row>
    <row r="1186" spans="3:4" x14ac:dyDescent="0.3">
      <c r="C1186" t="str">
        <f>IFERROR(IF(B1186="","",VLOOKUP(B1186,CadProd!$A:$B,2,0)),"")</f>
        <v/>
      </c>
      <c r="D1186" t="str">
        <f>IFERROR(IF(B1186="","",VLOOKUP(B1186,CadProd!$A:$C,3,0)),"")</f>
        <v/>
      </c>
    </row>
    <row r="1187" spans="3:4" x14ac:dyDescent="0.3">
      <c r="C1187" t="str">
        <f>IFERROR(IF(B1187="","",VLOOKUP(B1187,CadProd!$A:$B,2,0)),"")</f>
        <v/>
      </c>
      <c r="D1187" t="str">
        <f>IFERROR(IF(B1187="","",VLOOKUP(B1187,CadProd!$A:$C,3,0)),"")</f>
        <v/>
      </c>
    </row>
    <row r="1188" spans="3:4" x14ac:dyDescent="0.3">
      <c r="C1188" t="str">
        <f>IFERROR(IF(B1188="","",VLOOKUP(B1188,CadProd!$A:$B,2,0)),"")</f>
        <v/>
      </c>
      <c r="D1188" t="str">
        <f>IFERROR(IF(B1188="","",VLOOKUP(B1188,CadProd!$A:$C,3,0)),"")</f>
        <v/>
      </c>
    </row>
    <row r="1189" spans="3:4" x14ac:dyDescent="0.3">
      <c r="C1189" t="str">
        <f>IFERROR(IF(B1189="","",VLOOKUP(B1189,CadProd!$A:$B,2,0)),"")</f>
        <v/>
      </c>
      <c r="D1189" t="str">
        <f>IFERROR(IF(B1189="","",VLOOKUP(B1189,CadProd!$A:$C,3,0)),"")</f>
        <v/>
      </c>
    </row>
    <row r="1190" spans="3:4" x14ac:dyDescent="0.3">
      <c r="C1190" t="str">
        <f>IFERROR(IF(B1190="","",VLOOKUP(B1190,CadProd!$A:$B,2,0)),"")</f>
        <v/>
      </c>
      <c r="D1190" t="str">
        <f>IFERROR(IF(B1190="","",VLOOKUP(B1190,CadProd!$A:$C,3,0)),"")</f>
        <v/>
      </c>
    </row>
    <row r="1191" spans="3:4" x14ac:dyDescent="0.3">
      <c r="C1191" t="str">
        <f>IFERROR(IF(B1191="","",VLOOKUP(B1191,CadProd!$A:$B,2,0)),"")</f>
        <v/>
      </c>
      <c r="D1191" t="str">
        <f>IFERROR(IF(B1191="","",VLOOKUP(B1191,CadProd!$A:$C,3,0)),"")</f>
        <v/>
      </c>
    </row>
    <row r="1192" spans="3:4" x14ac:dyDescent="0.3">
      <c r="C1192" t="str">
        <f>IFERROR(IF(B1192="","",VLOOKUP(B1192,CadProd!$A:$B,2,0)),"")</f>
        <v/>
      </c>
      <c r="D1192" t="str">
        <f>IFERROR(IF(B1192="","",VLOOKUP(B1192,CadProd!$A:$C,3,0)),"")</f>
        <v/>
      </c>
    </row>
    <row r="1193" spans="3:4" x14ac:dyDescent="0.3">
      <c r="C1193" t="str">
        <f>IFERROR(IF(B1193="","",VLOOKUP(B1193,CadProd!$A:$B,2,0)),"")</f>
        <v/>
      </c>
      <c r="D1193" t="str">
        <f>IFERROR(IF(B1193="","",VLOOKUP(B1193,CadProd!$A:$C,3,0)),"")</f>
        <v/>
      </c>
    </row>
    <row r="1194" spans="3:4" x14ac:dyDescent="0.3">
      <c r="C1194" t="str">
        <f>IFERROR(IF(B1194="","",VLOOKUP(B1194,CadProd!$A:$B,2,0)),"")</f>
        <v/>
      </c>
      <c r="D1194" t="str">
        <f>IFERROR(IF(B1194="","",VLOOKUP(B1194,CadProd!$A:$C,3,0)),"")</f>
        <v/>
      </c>
    </row>
    <row r="1195" spans="3:4" x14ac:dyDescent="0.3">
      <c r="C1195" t="str">
        <f>IFERROR(IF(B1195="","",VLOOKUP(B1195,CadProd!$A:$B,2,0)),"")</f>
        <v/>
      </c>
      <c r="D1195" t="str">
        <f>IFERROR(IF(B1195="","",VLOOKUP(B1195,CadProd!$A:$C,3,0)),"")</f>
        <v/>
      </c>
    </row>
    <row r="1196" spans="3:4" x14ac:dyDescent="0.3">
      <c r="C1196" t="str">
        <f>IFERROR(IF(B1196="","",VLOOKUP(B1196,CadProd!$A:$B,2,0)),"")</f>
        <v/>
      </c>
      <c r="D1196" t="str">
        <f>IFERROR(IF(B1196="","",VLOOKUP(B1196,CadProd!$A:$C,3,0)),"")</f>
        <v/>
      </c>
    </row>
    <row r="1197" spans="3:4" x14ac:dyDescent="0.3">
      <c r="C1197" t="str">
        <f>IFERROR(IF(B1197="","",VLOOKUP(B1197,CadProd!$A:$B,2,0)),"")</f>
        <v/>
      </c>
      <c r="D1197" t="str">
        <f>IFERROR(IF(B1197="","",VLOOKUP(B1197,CadProd!$A:$C,3,0)),"")</f>
        <v/>
      </c>
    </row>
    <row r="1198" spans="3:4" x14ac:dyDescent="0.3">
      <c r="C1198" t="str">
        <f>IFERROR(IF(B1198="","",VLOOKUP(B1198,CadProd!$A:$B,2,0)),"")</f>
        <v/>
      </c>
      <c r="D1198" t="str">
        <f>IFERROR(IF(B1198="","",VLOOKUP(B1198,CadProd!$A:$C,3,0)),"")</f>
        <v/>
      </c>
    </row>
    <row r="1199" spans="3:4" x14ac:dyDescent="0.3">
      <c r="C1199" t="str">
        <f>IFERROR(IF(B1199="","",VLOOKUP(B1199,CadProd!$A:$B,2,0)),"")</f>
        <v/>
      </c>
      <c r="D1199" t="str">
        <f>IFERROR(IF(B1199="","",VLOOKUP(B1199,CadProd!$A:$C,3,0)),"")</f>
        <v/>
      </c>
    </row>
    <row r="1200" spans="3:4" x14ac:dyDescent="0.3">
      <c r="C1200" t="str">
        <f>IFERROR(IF(B1200="","",VLOOKUP(B1200,CadProd!$A:$B,2,0)),"")</f>
        <v/>
      </c>
      <c r="D1200" t="str">
        <f>IFERROR(IF(B1200="","",VLOOKUP(B1200,CadProd!$A:$C,3,0)),"")</f>
        <v/>
      </c>
    </row>
    <row r="1201" spans="3:4" x14ac:dyDescent="0.3">
      <c r="C1201" t="str">
        <f>IFERROR(IF(B1201="","",VLOOKUP(B1201,CadProd!$A:$B,2,0)),"")</f>
        <v/>
      </c>
      <c r="D1201" t="str">
        <f>IFERROR(IF(B1201="","",VLOOKUP(B1201,CadProd!$A:$C,3,0)),"")</f>
        <v/>
      </c>
    </row>
    <row r="1202" spans="3:4" x14ac:dyDescent="0.3">
      <c r="C1202" t="str">
        <f>IFERROR(IF(B1202="","",VLOOKUP(B1202,CadProd!$A:$B,2,0)),"")</f>
        <v/>
      </c>
      <c r="D1202" t="str">
        <f>IFERROR(IF(B1202="","",VLOOKUP(B1202,CadProd!$A:$C,3,0)),"")</f>
        <v/>
      </c>
    </row>
    <row r="1203" spans="3:4" x14ac:dyDescent="0.3">
      <c r="C1203" t="str">
        <f>IFERROR(IF(B1203="","",VLOOKUP(B1203,CadProd!$A:$B,2,0)),"")</f>
        <v/>
      </c>
      <c r="D1203" t="str">
        <f>IFERROR(IF(B1203="","",VLOOKUP(B1203,CadProd!$A:$C,3,0)),"")</f>
        <v/>
      </c>
    </row>
    <row r="1204" spans="3:4" x14ac:dyDescent="0.3">
      <c r="C1204" t="str">
        <f>IFERROR(IF(B1204="","",VLOOKUP(B1204,CadProd!$A:$B,2,0)),"")</f>
        <v/>
      </c>
      <c r="D1204" t="str">
        <f>IFERROR(IF(B1204="","",VLOOKUP(B1204,CadProd!$A:$C,3,0)),"")</f>
        <v/>
      </c>
    </row>
    <row r="1205" spans="3:4" x14ac:dyDescent="0.3">
      <c r="C1205" t="str">
        <f>IFERROR(IF(B1205="","",VLOOKUP(B1205,CadProd!$A:$B,2,0)),"")</f>
        <v/>
      </c>
      <c r="D1205" t="str">
        <f>IFERROR(IF(B1205="","",VLOOKUP(B1205,CadProd!$A:$C,3,0)),"")</f>
        <v/>
      </c>
    </row>
    <row r="1206" spans="3:4" x14ac:dyDescent="0.3">
      <c r="C1206" t="str">
        <f>IFERROR(IF(B1206="","",VLOOKUP(B1206,CadProd!$A:$B,2,0)),"")</f>
        <v/>
      </c>
      <c r="D1206" t="str">
        <f>IFERROR(IF(B1206="","",VLOOKUP(B1206,CadProd!$A:$C,3,0)),"")</f>
        <v/>
      </c>
    </row>
    <row r="1207" spans="3:4" x14ac:dyDescent="0.3">
      <c r="C1207" t="str">
        <f>IFERROR(IF(B1207="","",VLOOKUP(B1207,CadProd!$A:$B,2,0)),"")</f>
        <v/>
      </c>
      <c r="D1207" t="str">
        <f>IFERROR(IF(B1207="","",VLOOKUP(B1207,CadProd!$A:$C,3,0)),"")</f>
        <v/>
      </c>
    </row>
    <row r="1208" spans="3:4" x14ac:dyDescent="0.3">
      <c r="C1208" t="str">
        <f>IFERROR(IF(B1208="","",VLOOKUP(B1208,CadProd!$A:$B,2,0)),"")</f>
        <v/>
      </c>
      <c r="D1208" t="str">
        <f>IFERROR(IF(B1208="","",VLOOKUP(B1208,CadProd!$A:$C,3,0)),"")</f>
        <v/>
      </c>
    </row>
    <row r="1209" spans="3:4" x14ac:dyDescent="0.3">
      <c r="C1209" t="str">
        <f>IFERROR(IF(B1209="","",VLOOKUP(B1209,CadProd!$A:$B,2,0)),"")</f>
        <v/>
      </c>
      <c r="D1209" t="str">
        <f>IFERROR(IF(B1209="","",VLOOKUP(B1209,CadProd!$A:$C,3,0)),"")</f>
        <v/>
      </c>
    </row>
    <row r="1210" spans="3:4" x14ac:dyDescent="0.3">
      <c r="C1210" t="str">
        <f>IFERROR(IF(B1210="","",VLOOKUP(B1210,CadProd!$A:$B,2,0)),"")</f>
        <v/>
      </c>
      <c r="D1210" t="str">
        <f>IFERROR(IF(B1210="","",VLOOKUP(B1210,CadProd!$A:$C,3,0)),"")</f>
        <v/>
      </c>
    </row>
    <row r="1211" spans="3:4" x14ac:dyDescent="0.3">
      <c r="C1211" t="str">
        <f>IFERROR(IF(B1211="","",VLOOKUP(B1211,CadProd!$A:$B,2,0)),"")</f>
        <v/>
      </c>
      <c r="D1211" t="str">
        <f>IFERROR(IF(B1211="","",VLOOKUP(B1211,CadProd!$A:$C,3,0)),"")</f>
        <v/>
      </c>
    </row>
    <row r="1212" spans="3:4" x14ac:dyDescent="0.3">
      <c r="C1212" t="str">
        <f>IFERROR(IF(B1212="","",VLOOKUP(B1212,CadProd!$A:$B,2,0)),"")</f>
        <v/>
      </c>
      <c r="D1212" t="str">
        <f>IFERROR(IF(B1212="","",VLOOKUP(B1212,CadProd!$A:$C,3,0)),"")</f>
        <v/>
      </c>
    </row>
    <row r="1213" spans="3:4" x14ac:dyDescent="0.3">
      <c r="C1213" t="str">
        <f>IFERROR(IF(B1213="","",VLOOKUP(B1213,CadProd!$A:$B,2,0)),"")</f>
        <v/>
      </c>
      <c r="D1213" t="str">
        <f>IFERROR(IF(B1213="","",VLOOKUP(B1213,CadProd!$A:$C,3,0)),"")</f>
        <v/>
      </c>
    </row>
    <row r="1214" spans="3:4" x14ac:dyDescent="0.3">
      <c r="C1214" t="str">
        <f>IFERROR(IF(B1214="","",VLOOKUP(B1214,CadProd!$A:$B,2,0)),"")</f>
        <v/>
      </c>
      <c r="D1214" t="str">
        <f>IFERROR(IF(B1214="","",VLOOKUP(B1214,CadProd!$A:$C,3,0)),"")</f>
        <v/>
      </c>
    </row>
    <row r="1215" spans="3:4" x14ac:dyDescent="0.3">
      <c r="C1215" t="str">
        <f>IFERROR(IF(B1215="","",VLOOKUP(B1215,CadProd!$A:$B,2,0)),"")</f>
        <v/>
      </c>
      <c r="D1215" t="str">
        <f>IFERROR(IF(B1215="","",VLOOKUP(B1215,CadProd!$A:$C,3,0)),"")</f>
        <v/>
      </c>
    </row>
    <row r="1216" spans="3:4" x14ac:dyDescent="0.3">
      <c r="C1216" t="str">
        <f>IFERROR(IF(B1216="","",VLOOKUP(B1216,CadProd!$A:$B,2,0)),"")</f>
        <v/>
      </c>
      <c r="D1216" t="str">
        <f>IFERROR(IF(B1216="","",VLOOKUP(B1216,CadProd!$A:$C,3,0)),"")</f>
        <v/>
      </c>
    </row>
    <row r="1217" spans="3:4" x14ac:dyDescent="0.3">
      <c r="C1217" t="str">
        <f>IFERROR(IF(B1217="","",VLOOKUP(B1217,CadProd!$A:$B,2,0)),"")</f>
        <v/>
      </c>
      <c r="D1217" t="str">
        <f>IFERROR(IF(B1217="","",VLOOKUP(B1217,CadProd!$A:$C,3,0)),"")</f>
        <v/>
      </c>
    </row>
    <row r="1218" spans="3:4" x14ac:dyDescent="0.3">
      <c r="C1218" t="str">
        <f>IFERROR(IF(B1218="","",VLOOKUP(B1218,CadProd!$A:$B,2,0)),"")</f>
        <v/>
      </c>
      <c r="D1218" t="str">
        <f>IFERROR(IF(B1218="","",VLOOKUP(B1218,CadProd!$A:$C,3,0)),"")</f>
        <v/>
      </c>
    </row>
    <row r="1219" spans="3:4" x14ac:dyDescent="0.3">
      <c r="C1219" t="str">
        <f>IFERROR(IF(B1219="","",VLOOKUP(B1219,CadProd!$A:$B,2,0)),"")</f>
        <v/>
      </c>
      <c r="D1219" t="str">
        <f>IFERROR(IF(B1219="","",VLOOKUP(B1219,CadProd!$A:$C,3,0)),"")</f>
        <v/>
      </c>
    </row>
    <row r="1220" spans="3:4" x14ac:dyDescent="0.3">
      <c r="C1220" t="str">
        <f>IFERROR(IF(B1220="","",VLOOKUP(B1220,CadProd!$A:$B,2,0)),"")</f>
        <v/>
      </c>
      <c r="D1220" t="str">
        <f>IFERROR(IF(B1220="","",VLOOKUP(B1220,CadProd!$A:$C,3,0)),"")</f>
        <v/>
      </c>
    </row>
    <row r="1221" spans="3:4" x14ac:dyDescent="0.3">
      <c r="C1221" t="str">
        <f>IFERROR(IF(B1221="","",VLOOKUP(B1221,CadProd!$A:$B,2,0)),"")</f>
        <v/>
      </c>
      <c r="D1221" t="str">
        <f>IFERROR(IF(B1221="","",VLOOKUP(B1221,CadProd!$A:$C,3,0)),"")</f>
        <v/>
      </c>
    </row>
    <row r="1222" spans="3:4" x14ac:dyDescent="0.3">
      <c r="C1222" t="str">
        <f>IFERROR(IF(B1222="","",VLOOKUP(B1222,CadProd!$A:$B,2,0)),"")</f>
        <v/>
      </c>
      <c r="D1222" t="str">
        <f>IFERROR(IF(B1222="","",VLOOKUP(B1222,CadProd!$A:$C,3,0)),"")</f>
        <v/>
      </c>
    </row>
    <row r="1223" spans="3:4" x14ac:dyDescent="0.3">
      <c r="C1223" t="str">
        <f>IFERROR(IF(B1223="","",VLOOKUP(B1223,CadProd!$A:$B,2,0)),"")</f>
        <v/>
      </c>
      <c r="D1223" t="str">
        <f>IFERROR(IF(B1223="","",VLOOKUP(B1223,CadProd!$A:$C,3,0)),"")</f>
        <v/>
      </c>
    </row>
    <row r="1224" spans="3:4" x14ac:dyDescent="0.3">
      <c r="C1224" t="str">
        <f>IFERROR(IF(B1224="","",VLOOKUP(B1224,CadProd!$A:$B,2,0)),"")</f>
        <v/>
      </c>
      <c r="D1224" t="str">
        <f>IFERROR(IF(B1224="","",VLOOKUP(B1224,CadProd!$A:$C,3,0)),"")</f>
        <v/>
      </c>
    </row>
    <row r="1225" spans="3:4" x14ac:dyDescent="0.3">
      <c r="C1225" t="str">
        <f>IFERROR(IF(B1225="","",VLOOKUP(B1225,CadProd!$A:$B,2,0)),"")</f>
        <v/>
      </c>
      <c r="D1225" t="str">
        <f>IFERROR(IF(B1225="","",VLOOKUP(B1225,CadProd!$A:$C,3,0)),"")</f>
        <v/>
      </c>
    </row>
    <row r="1226" spans="3:4" x14ac:dyDescent="0.3">
      <c r="C1226" t="str">
        <f>IFERROR(IF(B1226="","",VLOOKUP(B1226,CadProd!$A:$B,2,0)),"")</f>
        <v/>
      </c>
      <c r="D1226" t="str">
        <f>IFERROR(IF(B1226="","",VLOOKUP(B1226,CadProd!$A:$C,3,0)),"")</f>
        <v/>
      </c>
    </row>
    <row r="1227" spans="3:4" x14ac:dyDescent="0.3">
      <c r="C1227" t="str">
        <f>IFERROR(IF(B1227="","",VLOOKUP(B1227,CadProd!$A:$B,2,0)),"")</f>
        <v/>
      </c>
      <c r="D1227" t="str">
        <f>IFERROR(IF(B1227="","",VLOOKUP(B1227,CadProd!$A:$C,3,0)),"")</f>
        <v/>
      </c>
    </row>
    <row r="1228" spans="3:4" x14ac:dyDescent="0.3">
      <c r="C1228" t="str">
        <f>IFERROR(IF(B1228="","",VLOOKUP(B1228,CadProd!$A:$B,2,0)),"")</f>
        <v/>
      </c>
      <c r="D1228" t="str">
        <f>IFERROR(IF(B1228="","",VLOOKUP(B1228,CadProd!$A:$C,3,0)),"")</f>
        <v/>
      </c>
    </row>
    <row r="1229" spans="3:4" x14ac:dyDescent="0.3">
      <c r="C1229" t="str">
        <f>IFERROR(IF(B1229="","",VLOOKUP(B1229,CadProd!$A:$B,2,0)),"")</f>
        <v/>
      </c>
      <c r="D1229" t="str">
        <f>IFERROR(IF(B1229="","",VLOOKUP(B1229,CadProd!$A:$C,3,0)),"")</f>
        <v/>
      </c>
    </row>
    <row r="1230" spans="3:4" x14ac:dyDescent="0.3">
      <c r="C1230" t="str">
        <f>IFERROR(IF(B1230="","",VLOOKUP(B1230,CadProd!$A:$B,2,0)),"")</f>
        <v/>
      </c>
      <c r="D1230" t="str">
        <f>IFERROR(IF(B1230="","",VLOOKUP(B1230,CadProd!$A:$C,3,0)),"")</f>
        <v/>
      </c>
    </row>
    <row r="1231" spans="3:4" x14ac:dyDescent="0.3">
      <c r="C1231" t="str">
        <f>IFERROR(IF(B1231="","",VLOOKUP(B1231,CadProd!$A:$B,2,0)),"")</f>
        <v/>
      </c>
      <c r="D1231" t="str">
        <f>IFERROR(IF(B1231="","",VLOOKUP(B1231,CadProd!$A:$C,3,0)),"")</f>
        <v/>
      </c>
    </row>
    <row r="1232" spans="3:4" x14ac:dyDescent="0.3">
      <c r="C1232" t="str">
        <f>IFERROR(IF(B1232="","",VLOOKUP(B1232,CadProd!$A:$B,2,0)),"")</f>
        <v/>
      </c>
      <c r="D1232" t="str">
        <f>IFERROR(IF(B1232="","",VLOOKUP(B1232,CadProd!$A:$C,3,0)),"")</f>
        <v/>
      </c>
    </row>
    <row r="1233" spans="3:4" x14ac:dyDescent="0.3">
      <c r="C1233" t="str">
        <f>IFERROR(IF(B1233="","",VLOOKUP(B1233,CadProd!$A:$B,2,0)),"")</f>
        <v/>
      </c>
      <c r="D1233" t="str">
        <f>IFERROR(IF(B1233="","",VLOOKUP(B1233,CadProd!$A:$C,3,0)),"")</f>
        <v/>
      </c>
    </row>
    <row r="1234" spans="3:4" x14ac:dyDescent="0.3">
      <c r="C1234" t="str">
        <f>IFERROR(IF(B1234="","",VLOOKUP(B1234,CadProd!$A:$B,2,0)),"")</f>
        <v/>
      </c>
      <c r="D1234" t="str">
        <f>IFERROR(IF(B1234="","",VLOOKUP(B1234,CadProd!$A:$C,3,0)),"")</f>
        <v/>
      </c>
    </row>
    <row r="1235" spans="3:4" x14ac:dyDescent="0.3">
      <c r="C1235" t="str">
        <f>IFERROR(IF(B1235="","",VLOOKUP(B1235,CadProd!$A:$B,2,0)),"")</f>
        <v/>
      </c>
      <c r="D1235" t="str">
        <f>IFERROR(IF(B1235="","",VLOOKUP(B1235,CadProd!$A:$C,3,0)),"")</f>
        <v/>
      </c>
    </row>
    <row r="1236" spans="3:4" x14ac:dyDescent="0.3">
      <c r="C1236" t="str">
        <f>IFERROR(IF(B1236="","",VLOOKUP(B1236,CadProd!$A:$B,2,0)),"")</f>
        <v/>
      </c>
      <c r="D1236" t="str">
        <f>IFERROR(IF(B1236="","",VLOOKUP(B1236,CadProd!$A:$C,3,0)),"")</f>
        <v/>
      </c>
    </row>
    <row r="1237" spans="3:4" x14ac:dyDescent="0.3">
      <c r="C1237" t="str">
        <f>IFERROR(IF(B1237="","",VLOOKUP(B1237,CadProd!$A:$B,2,0)),"")</f>
        <v/>
      </c>
      <c r="D1237" t="str">
        <f>IFERROR(IF(B1237="","",VLOOKUP(B1237,CadProd!$A:$C,3,0)),"")</f>
        <v/>
      </c>
    </row>
    <row r="1238" spans="3:4" x14ac:dyDescent="0.3">
      <c r="C1238" t="str">
        <f>IFERROR(IF(B1238="","",VLOOKUP(B1238,CadProd!$A:$B,2,0)),"")</f>
        <v/>
      </c>
      <c r="D1238" t="str">
        <f>IFERROR(IF(B1238="","",VLOOKUP(B1238,CadProd!$A:$C,3,0)),"")</f>
        <v/>
      </c>
    </row>
    <row r="1239" spans="3:4" x14ac:dyDescent="0.3">
      <c r="C1239" t="str">
        <f>IFERROR(IF(B1239="","",VLOOKUP(B1239,CadProd!$A:$B,2,0)),"")</f>
        <v/>
      </c>
      <c r="D1239" t="str">
        <f>IFERROR(IF(B1239="","",VLOOKUP(B1239,CadProd!$A:$C,3,0)),"")</f>
        <v/>
      </c>
    </row>
    <row r="1240" spans="3:4" x14ac:dyDescent="0.3">
      <c r="C1240" t="str">
        <f>IFERROR(IF(B1240="","",VLOOKUP(B1240,CadProd!$A:$B,2,0)),"")</f>
        <v/>
      </c>
      <c r="D1240" t="str">
        <f>IFERROR(IF(B1240="","",VLOOKUP(B1240,CadProd!$A:$C,3,0)),"")</f>
        <v/>
      </c>
    </row>
    <row r="1241" spans="3:4" x14ac:dyDescent="0.3">
      <c r="C1241" t="str">
        <f>IFERROR(IF(B1241="","",VLOOKUP(B1241,CadProd!$A:$B,2,0)),"")</f>
        <v/>
      </c>
      <c r="D1241" t="str">
        <f>IFERROR(IF(B1241="","",VLOOKUP(B1241,CadProd!$A:$C,3,0)),"")</f>
        <v/>
      </c>
    </row>
    <row r="1242" spans="3:4" x14ac:dyDescent="0.3">
      <c r="C1242" t="str">
        <f>IFERROR(IF(B1242="","",VLOOKUP(B1242,CadProd!$A:$B,2,0)),"")</f>
        <v/>
      </c>
      <c r="D1242" t="str">
        <f>IFERROR(IF(B1242="","",VLOOKUP(B1242,CadProd!$A:$C,3,0)),"")</f>
        <v/>
      </c>
    </row>
    <row r="1243" spans="3:4" x14ac:dyDescent="0.3">
      <c r="C1243" t="str">
        <f>IFERROR(IF(B1243="","",VLOOKUP(B1243,CadProd!$A:$B,2,0)),"")</f>
        <v/>
      </c>
      <c r="D1243" t="str">
        <f>IFERROR(IF(B1243="","",VLOOKUP(B1243,CadProd!$A:$C,3,0)),"")</f>
        <v/>
      </c>
    </row>
    <row r="1244" spans="3:4" x14ac:dyDescent="0.3">
      <c r="C1244" t="str">
        <f>IFERROR(IF(B1244="","",VLOOKUP(B1244,CadProd!$A:$B,2,0)),"")</f>
        <v/>
      </c>
      <c r="D1244" t="str">
        <f>IFERROR(IF(B1244="","",VLOOKUP(B1244,CadProd!$A:$C,3,0)),"")</f>
        <v/>
      </c>
    </row>
    <row r="1245" spans="3:4" x14ac:dyDescent="0.3">
      <c r="C1245" t="str">
        <f>IFERROR(IF(B1245="","",VLOOKUP(B1245,CadProd!$A:$B,2,0)),"")</f>
        <v/>
      </c>
      <c r="D1245" t="str">
        <f>IFERROR(IF(B1245="","",VLOOKUP(B1245,CadProd!$A:$C,3,0)),"")</f>
        <v/>
      </c>
    </row>
    <row r="1246" spans="3:4" x14ac:dyDescent="0.3">
      <c r="C1246" t="str">
        <f>IFERROR(IF(B1246="","",VLOOKUP(B1246,CadProd!$A:$B,2,0)),"")</f>
        <v/>
      </c>
      <c r="D1246" t="str">
        <f>IFERROR(IF(B1246="","",VLOOKUP(B1246,CadProd!$A:$C,3,0)),"")</f>
        <v/>
      </c>
    </row>
    <row r="1247" spans="3:4" x14ac:dyDescent="0.3">
      <c r="C1247" t="str">
        <f>IFERROR(IF(B1247="","",VLOOKUP(B1247,CadProd!$A:$B,2,0)),"")</f>
        <v/>
      </c>
      <c r="D1247" t="str">
        <f>IFERROR(IF(B1247="","",VLOOKUP(B1247,CadProd!$A:$C,3,0)),"")</f>
        <v/>
      </c>
    </row>
    <row r="1248" spans="3:4" x14ac:dyDescent="0.3">
      <c r="C1248" t="str">
        <f>IFERROR(IF(B1248="","",VLOOKUP(B1248,CadProd!$A:$B,2,0)),"")</f>
        <v/>
      </c>
      <c r="D1248" t="str">
        <f>IFERROR(IF(B1248="","",VLOOKUP(B1248,CadProd!$A:$C,3,0)),"")</f>
        <v/>
      </c>
    </row>
    <row r="1249" spans="3:4" x14ac:dyDescent="0.3">
      <c r="C1249" t="str">
        <f>IFERROR(IF(B1249="","",VLOOKUP(B1249,CadProd!$A:$B,2,0)),"")</f>
        <v/>
      </c>
      <c r="D1249" t="str">
        <f>IFERROR(IF(B1249="","",VLOOKUP(B1249,CadProd!$A:$C,3,0)),"")</f>
        <v/>
      </c>
    </row>
    <row r="1250" spans="3:4" x14ac:dyDescent="0.3">
      <c r="C1250" t="str">
        <f>IFERROR(IF(B1250="","",VLOOKUP(B1250,CadProd!$A:$B,2,0)),"")</f>
        <v/>
      </c>
      <c r="D1250" t="str">
        <f>IFERROR(IF(B1250="","",VLOOKUP(B1250,CadProd!$A:$C,3,0)),"")</f>
        <v/>
      </c>
    </row>
    <row r="1251" spans="3:4" x14ac:dyDescent="0.3">
      <c r="C1251" t="str">
        <f>IFERROR(IF(B1251="","",VLOOKUP(B1251,CadProd!$A:$B,2,0)),"")</f>
        <v/>
      </c>
      <c r="D1251" t="str">
        <f>IFERROR(IF(B1251="","",VLOOKUP(B1251,CadProd!$A:$C,3,0)),"")</f>
        <v/>
      </c>
    </row>
    <row r="1252" spans="3:4" x14ac:dyDescent="0.3">
      <c r="C1252" t="str">
        <f>IFERROR(IF(B1252="","",VLOOKUP(B1252,CadProd!$A:$B,2,0)),"")</f>
        <v/>
      </c>
      <c r="D1252" t="str">
        <f>IFERROR(IF(B1252="","",VLOOKUP(B1252,CadProd!$A:$C,3,0)),"")</f>
        <v/>
      </c>
    </row>
    <row r="1253" spans="3:4" x14ac:dyDescent="0.3">
      <c r="C1253" t="str">
        <f>IFERROR(IF(B1253="","",VLOOKUP(B1253,CadProd!$A:$B,2,0)),"")</f>
        <v/>
      </c>
      <c r="D1253" t="str">
        <f>IFERROR(IF(B1253="","",VLOOKUP(B1253,CadProd!$A:$C,3,0)),"")</f>
        <v/>
      </c>
    </row>
    <row r="1254" spans="3:4" x14ac:dyDescent="0.3">
      <c r="C1254" t="str">
        <f>IFERROR(IF(B1254="","",VLOOKUP(B1254,CadProd!$A:$B,2,0)),"")</f>
        <v/>
      </c>
      <c r="D1254" t="str">
        <f>IFERROR(IF(B1254="","",VLOOKUP(B1254,CadProd!$A:$C,3,0)),"")</f>
        <v/>
      </c>
    </row>
    <row r="1255" spans="3:4" x14ac:dyDescent="0.3">
      <c r="C1255" t="str">
        <f>IFERROR(IF(B1255="","",VLOOKUP(B1255,CadProd!$A:$B,2,0)),"")</f>
        <v/>
      </c>
      <c r="D1255" t="str">
        <f>IFERROR(IF(B1255="","",VLOOKUP(B1255,CadProd!$A:$C,3,0)),"")</f>
        <v/>
      </c>
    </row>
    <row r="1256" spans="3:4" x14ac:dyDescent="0.3">
      <c r="C1256" t="str">
        <f>IFERROR(IF(B1256="","",VLOOKUP(B1256,CadProd!$A:$B,2,0)),"")</f>
        <v/>
      </c>
      <c r="D1256" t="str">
        <f>IFERROR(IF(B1256="","",VLOOKUP(B1256,CadProd!$A:$C,3,0)),"")</f>
        <v/>
      </c>
    </row>
    <row r="1257" spans="3:4" x14ac:dyDescent="0.3">
      <c r="C1257" t="str">
        <f>IFERROR(IF(B1257="","",VLOOKUP(B1257,CadProd!$A:$B,2,0)),"")</f>
        <v/>
      </c>
      <c r="D1257" t="str">
        <f>IFERROR(IF(B1257="","",VLOOKUP(B1257,CadProd!$A:$C,3,0)),"")</f>
        <v/>
      </c>
    </row>
    <row r="1258" spans="3:4" x14ac:dyDescent="0.3">
      <c r="C1258" t="str">
        <f>IFERROR(IF(B1258="","",VLOOKUP(B1258,CadProd!$A:$B,2,0)),"")</f>
        <v/>
      </c>
      <c r="D1258" t="str">
        <f>IFERROR(IF(B1258="","",VLOOKUP(B1258,CadProd!$A:$C,3,0)),"")</f>
        <v/>
      </c>
    </row>
    <row r="1259" spans="3:4" x14ac:dyDescent="0.3">
      <c r="C1259" t="str">
        <f>IFERROR(IF(B1259="","",VLOOKUP(B1259,CadProd!$A:$B,2,0)),"")</f>
        <v/>
      </c>
      <c r="D1259" t="str">
        <f>IFERROR(IF(B1259="","",VLOOKUP(B1259,CadProd!$A:$C,3,0)),"")</f>
        <v/>
      </c>
    </row>
    <row r="1260" spans="3:4" x14ac:dyDescent="0.3">
      <c r="C1260" t="str">
        <f>IFERROR(IF(B1260="","",VLOOKUP(B1260,CadProd!$A:$B,2,0)),"")</f>
        <v/>
      </c>
      <c r="D1260" t="str">
        <f>IFERROR(IF(B1260="","",VLOOKUP(B1260,CadProd!$A:$C,3,0)),"")</f>
        <v/>
      </c>
    </row>
    <row r="1261" spans="3:4" x14ac:dyDescent="0.3">
      <c r="C1261" t="str">
        <f>IFERROR(IF(B1261="","",VLOOKUP(B1261,CadProd!$A:$B,2,0)),"")</f>
        <v/>
      </c>
      <c r="D1261" t="str">
        <f>IFERROR(IF(B1261="","",VLOOKUP(B1261,CadProd!$A:$C,3,0)),"")</f>
        <v/>
      </c>
    </row>
    <row r="1262" spans="3:4" x14ac:dyDescent="0.3">
      <c r="C1262" t="str">
        <f>IFERROR(IF(B1262="","",VLOOKUP(B1262,CadProd!$A:$B,2,0)),"")</f>
        <v/>
      </c>
      <c r="D1262" t="str">
        <f>IFERROR(IF(B1262="","",VLOOKUP(B1262,CadProd!$A:$C,3,0)),"")</f>
        <v/>
      </c>
    </row>
    <row r="1263" spans="3:4" x14ac:dyDescent="0.3">
      <c r="C1263" t="str">
        <f>IFERROR(IF(B1263="","",VLOOKUP(B1263,CadProd!$A:$B,2,0)),"")</f>
        <v/>
      </c>
      <c r="D1263" t="str">
        <f>IFERROR(IF(B1263="","",VLOOKUP(B1263,CadProd!$A:$C,3,0)),"")</f>
        <v/>
      </c>
    </row>
    <row r="1264" spans="3:4" x14ac:dyDescent="0.3">
      <c r="C1264" t="str">
        <f>IFERROR(IF(B1264="","",VLOOKUP(B1264,CadProd!$A:$B,2,0)),"")</f>
        <v/>
      </c>
      <c r="D1264" t="str">
        <f>IFERROR(IF(B1264="","",VLOOKUP(B1264,CadProd!$A:$C,3,0)),"")</f>
        <v/>
      </c>
    </row>
    <row r="1265" spans="3:4" x14ac:dyDescent="0.3">
      <c r="C1265" t="str">
        <f>IFERROR(IF(B1265="","",VLOOKUP(B1265,CadProd!$A:$B,2,0)),"")</f>
        <v/>
      </c>
      <c r="D1265" t="str">
        <f>IFERROR(IF(B1265="","",VLOOKUP(B1265,CadProd!$A:$C,3,0)),"")</f>
        <v/>
      </c>
    </row>
    <row r="1266" spans="3:4" x14ac:dyDescent="0.3">
      <c r="C1266" t="str">
        <f>IFERROR(IF(B1266="","",VLOOKUP(B1266,CadProd!$A:$B,2,0)),"")</f>
        <v/>
      </c>
      <c r="D1266" t="str">
        <f>IFERROR(IF(B1266="","",VLOOKUP(B1266,CadProd!$A:$C,3,0)),"")</f>
        <v/>
      </c>
    </row>
    <row r="1267" spans="3:4" x14ac:dyDescent="0.3">
      <c r="C1267" t="str">
        <f>IFERROR(IF(B1267="","",VLOOKUP(B1267,CadProd!$A:$B,2,0)),"")</f>
        <v/>
      </c>
      <c r="D1267" t="str">
        <f>IFERROR(IF(B1267="","",VLOOKUP(B1267,CadProd!$A:$C,3,0)),"")</f>
        <v/>
      </c>
    </row>
    <row r="1268" spans="3:4" x14ac:dyDescent="0.3">
      <c r="C1268" t="str">
        <f>IFERROR(IF(B1268="","",VLOOKUP(B1268,CadProd!$A:$B,2,0)),"")</f>
        <v/>
      </c>
      <c r="D1268" t="str">
        <f>IFERROR(IF(B1268="","",VLOOKUP(B1268,CadProd!$A:$C,3,0)),"")</f>
        <v/>
      </c>
    </row>
    <row r="1269" spans="3:4" x14ac:dyDescent="0.3">
      <c r="C1269" t="str">
        <f>IFERROR(IF(B1269="","",VLOOKUP(B1269,CadProd!$A:$B,2,0)),"")</f>
        <v/>
      </c>
      <c r="D1269" t="str">
        <f>IFERROR(IF(B1269="","",VLOOKUP(B1269,CadProd!$A:$C,3,0)),"")</f>
        <v/>
      </c>
    </row>
    <row r="1270" spans="3:4" x14ac:dyDescent="0.3">
      <c r="C1270" t="str">
        <f>IFERROR(IF(B1270="","",VLOOKUP(B1270,CadProd!$A:$B,2,0)),"")</f>
        <v/>
      </c>
      <c r="D1270" t="str">
        <f>IFERROR(IF(B1270="","",VLOOKUP(B1270,CadProd!$A:$C,3,0)),"")</f>
        <v/>
      </c>
    </row>
    <row r="1271" spans="3:4" x14ac:dyDescent="0.3">
      <c r="C1271" t="str">
        <f>IFERROR(IF(B1271="","",VLOOKUP(B1271,CadProd!$A:$B,2,0)),"")</f>
        <v/>
      </c>
      <c r="D1271" t="str">
        <f>IFERROR(IF(B1271="","",VLOOKUP(B1271,CadProd!$A:$C,3,0)),"")</f>
        <v/>
      </c>
    </row>
    <row r="1272" spans="3:4" x14ac:dyDescent="0.3">
      <c r="C1272" t="str">
        <f>IFERROR(IF(B1272="","",VLOOKUP(B1272,CadProd!$A:$B,2,0)),"")</f>
        <v/>
      </c>
      <c r="D1272" t="str">
        <f>IFERROR(IF(B1272="","",VLOOKUP(B1272,CadProd!$A:$C,3,0)),"")</f>
        <v/>
      </c>
    </row>
    <row r="1273" spans="3:4" x14ac:dyDescent="0.3">
      <c r="C1273" t="str">
        <f>IFERROR(IF(B1273="","",VLOOKUP(B1273,CadProd!$A:$B,2,0)),"")</f>
        <v/>
      </c>
      <c r="D1273" t="str">
        <f>IFERROR(IF(B1273="","",VLOOKUP(B1273,CadProd!$A:$C,3,0)),"")</f>
        <v/>
      </c>
    </row>
    <row r="1274" spans="3:4" x14ac:dyDescent="0.3">
      <c r="C1274" t="str">
        <f>IFERROR(IF(B1274="","",VLOOKUP(B1274,CadProd!$A:$B,2,0)),"")</f>
        <v/>
      </c>
      <c r="D1274" t="str">
        <f>IFERROR(IF(B1274="","",VLOOKUP(B1274,CadProd!$A:$C,3,0)),"")</f>
        <v/>
      </c>
    </row>
    <row r="1275" spans="3:4" x14ac:dyDescent="0.3">
      <c r="C1275" t="str">
        <f>IFERROR(IF(B1275="","",VLOOKUP(B1275,CadProd!$A:$B,2,0)),"")</f>
        <v/>
      </c>
      <c r="D1275" t="str">
        <f>IFERROR(IF(B1275="","",VLOOKUP(B1275,CadProd!$A:$C,3,0)),"")</f>
        <v/>
      </c>
    </row>
    <row r="1276" spans="3:4" x14ac:dyDescent="0.3">
      <c r="C1276" t="str">
        <f>IFERROR(IF(B1276="","",VLOOKUP(B1276,CadProd!$A:$B,2,0)),"")</f>
        <v/>
      </c>
      <c r="D1276" t="str">
        <f>IFERROR(IF(B1276="","",VLOOKUP(B1276,CadProd!$A:$C,3,0)),"")</f>
        <v/>
      </c>
    </row>
    <row r="1277" spans="3:4" x14ac:dyDescent="0.3">
      <c r="C1277" t="str">
        <f>IFERROR(IF(B1277="","",VLOOKUP(B1277,CadProd!$A:$B,2,0)),"")</f>
        <v/>
      </c>
      <c r="D1277" t="str">
        <f>IFERROR(IF(B1277="","",VLOOKUP(B1277,CadProd!$A:$C,3,0)),"")</f>
        <v/>
      </c>
    </row>
    <row r="1278" spans="3:4" x14ac:dyDescent="0.3">
      <c r="C1278" t="str">
        <f>IFERROR(IF(B1278="","",VLOOKUP(B1278,CadProd!$A:$B,2,0)),"")</f>
        <v/>
      </c>
      <c r="D1278" t="str">
        <f>IFERROR(IF(B1278="","",VLOOKUP(B1278,CadProd!$A:$C,3,0)),"")</f>
        <v/>
      </c>
    </row>
    <row r="1279" spans="3:4" x14ac:dyDescent="0.3">
      <c r="C1279" t="str">
        <f>IFERROR(IF(B1279="","",VLOOKUP(B1279,CadProd!$A:$B,2,0)),"")</f>
        <v/>
      </c>
      <c r="D1279" t="str">
        <f>IFERROR(IF(B1279="","",VLOOKUP(B1279,CadProd!$A:$C,3,0)),"")</f>
        <v/>
      </c>
    </row>
    <row r="1280" spans="3:4" x14ac:dyDescent="0.3">
      <c r="C1280" t="str">
        <f>IFERROR(IF(B1280="","",VLOOKUP(B1280,CadProd!$A:$B,2,0)),"")</f>
        <v/>
      </c>
      <c r="D1280" t="str">
        <f>IFERROR(IF(B1280="","",VLOOKUP(B1280,CadProd!$A:$C,3,0)),"")</f>
        <v/>
      </c>
    </row>
    <row r="1281" spans="3:4" x14ac:dyDescent="0.3">
      <c r="C1281" t="str">
        <f>IFERROR(IF(B1281="","",VLOOKUP(B1281,CadProd!$A:$B,2,0)),"")</f>
        <v/>
      </c>
      <c r="D1281" t="str">
        <f>IFERROR(IF(B1281="","",VLOOKUP(B1281,CadProd!$A:$C,3,0)),"")</f>
        <v/>
      </c>
    </row>
    <row r="1282" spans="3:4" x14ac:dyDescent="0.3">
      <c r="C1282" t="str">
        <f>IFERROR(IF(B1282="","",VLOOKUP(B1282,CadProd!$A:$B,2,0)),"")</f>
        <v/>
      </c>
      <c r="D1282" t="str">
        <f>IFERROR(IF(B1282="","",VLOOKUP(B1282,CadProd!$A:$C,3,0)),"")</f>
        <v/>
      </c>
    </row>
    <row r="1283" spans="3:4" x14ac:dyDescent="0.3">
      <c r="C1283" t="str">
        <f>IFERROR(IF(B1283="","",VLOOKUP(B1283,CadProd!$A:$B,2,0)),"")</f>
        <v/>
      </c>
      <c r="D1283" t="str">
        <f>IFERROR(IF(B1283="","",VLOOKUP(B1283,CadProd!$A:$C,3,0)),"")</f>
        <v/>
      </c>
    </row>
    <row r="1284" spans="3:4" x14ac:dyDescent="0.3">
      <c r="C1284" t="str">
        <f>IFERROR(IF(B1284="","",VLOOKUP(B1284,CadProd!$A:$B,2,0)),"")</f>
        <v/>
      </c>
      <c r="D1284" t="str">
        <f>IFERROR(IF(B1284="","",VLOOKUP(B1284,CadProd!$A:$C,3,0)),"")</f>
        <v/>
      </c>
    </row>
    <row r="1285" spans="3:4" x14ac:dyDescent="0.3">
      <c r="C1285" t="str">
        <f>IFERROR(IF(B1285="","",VLOOKUP(B1285,CadProd!$A:$B,2,0)),"")</f>
        <v/>
      </c>
      <c r="D1285" t="str">
        <f>IFERROR(IF(B1285="","",VLOOKUP(B1285,CadProd!$A:$C,3,0)),"")</f>
        <v/>
      </c>
    </row>
    <row r="1286" spans="3:4" x14ac:dyDescent="0.3">
      <c r="C1286" t="str">
        <f>IFERROR(IF(B1286="","",VLOOKUP(B1286,CadProd!$A:$B,2,0)),"")</f>
        <v/>
      </c>
      <c r="D1286" t="str">
        <f>IFERROR(IF(B1286="","",VLOOKUP(B1286,CadProd!$A:$C,3,0)),"")</f>
        <v/>
      </c>
    </row>
    <row r="1287" spans="3:4" x14ac:dyDescent="0.3">
      <c r="C1287" t="str">
        <f>IFERROR(IF(B1287="","",VLOOKUP(B1287,CadProd!$A:$B,2,0)),"")</f>
        <v/>
      </c>
      <c r="D1287" t="str">
        <f>IFERROR(IF(B1287="","",VLOOKUP(B1287,CadProd!$A:$C,3,0)),"")</f>
        <v/>
      </c>
    </row>
    <row r="1288" spans="3:4" x14ac:dyDescent="0.3">
      <c r="C1288" t="str">
        <f>IFERROR(IF(B1288="","",VLOOKUP(B1288,CadProd!$A:$B,2,0)),"")</f>
        <v/>
      </c>
      <c r="D1288" t="str">
        <f>IFERROR(IF(B1288="","",VLOOKUP(B1288,CadProd!$A:$C,3,0)),"")</f>
        <v/>
      </c>
    </row>
    <row r="1289" spans="3:4" x14ac:dyDescent="0.3">
      <c r="C1289" t="str">
        <f>IFERROR(IF(B1289="","",VLOOKUP(B1289,CadProd!$A:$B,2,0)),"")</f>
        <v/>
      </c>
      <c r="D1289" t="str">
        <f>IFERROR(IF(B1289="","",VLOOKUP(B1289,CadProd!$A:$C,3,0)),"")</f>
        <v/>
      </c>
    </row>
    <row r="1290" spans="3:4" x14ac:dyDescent="0.3">
      <c r="C1290" t="str">
        <f>IFERROR(IF(B1290="","",VLOOKUP(B1290,CadProd!$A:$B,2,0)),"")</f>
        <v/>
      </c>
      <c r="D1290" t="str">
        <f>IFERROR(IF(B1290="","",VLOOKUP(B1290,CadProd!$A:$C,3,0)),"")</f>
        <v/>
      </c>
    </row>
    <row r="1291" spans="3:4" x14ac:dyDescent="0.3">
      <c r="C1291" t="str">
        <f>IFERROR(IF(B1291="","",VLOOKUP(B1291,CadProd!$A:$B,2,0)),"")</f>
        <v/>
      </c>
      <c r="D1291" t="str">
        <f>IFERROR(IF(B1291="","",VLOOKUP(B1291,CadProd!$A:$C,3,0)),"")</f>
        <v/>
      </c>
    </row>
    <row r="1292" spans="3:4" x14ac:dyDescent="0.3">
      <c r="C1292" t="str">
        <f>IFERROR(IF(B1292="","",VLOOKUP(B1292,CadProd!$A:$B,2,0)),"")</f>
        <v/>
      </c>
      <c r="D1292" t="str">
        <f>IFERROR(IF(B1292="","",VLOOKUP(B1292,CadProd!$A:$C,3,0)),"")</f>
        <v/>
      </c>
    </row>
    <row r="1293" spans="3:4" x14ac:dyDescent="0.3">
      <c r="C1293" t="str">
        <f>IFERROR(IF(B1293="","",VLOOKUP(B1293,CadProd!$A:$B,2,0)),"")</f>
        <v/>
      </c>
      <c r="D1293" t="str">
        <f>IFERROR(IF(B1293="","",VLOOKUP(B1293,CadProd!$A:$C,3,0)),"")</f>
        <v/>
      </c>
    </row>
    <row r="1294" spans="3:4" x14ac:dyDescent="0.3">
      <c r="C1294" t="str">
        <f>IFERROR(IF(B1294="","",VLOOKUP(B1294,CadProd!$A:$B,2,0)),"")</f>
        <v/>
      </c>
      <c r="D1294" t="str">
        <f>IFERROR(IF(B1294="","",VLOOKUP(B1294,CadProd!$A:$C,3,0)),"")</f>
        <v/>
      </c>
    </row>
    <row r="1295" spans="3:4" x14ac:dyDescent="0.3">
      <c r="C1295" t="str">
        <f>IFERROR(IF(B1295="","",VLOOKUP(B1295,CadProd!$A:$B,2,0)),"")</f>
        <v/>
      </c>
      <c r="D1295" t="str">
        <f>IFERROR(IF(B1295="","",VLOOKUP(B1295,CadProd!$A:$C,3,0)),"")</f>
        <v/>
      </c>
    </row>
    <row r="1296" spans="3:4" x14ac:dyDescent="0.3">
      <c r="C1296" t="str">
        <f>IFERROR(IF(B1296="","",VLOOKUP(B1296,CadProd!$A:$B,2,0)),"")</f>
        <v/>
      </c>
      <c r="D1296" t="str">
        <f>IFERROR(IF(B1296="","",VLOOKUP(B1296,CadProd!$A:$C,3,0)),"")</f>
        <v/>
      </c>
    </row>
    <row r="1297" spans="3:4" x14ac:dyDescent="0.3">
      <c r="C1297" t="str">
        <f>IFERROR(IF(B1297="","",VLOOKUP(B1297,CadProd!$A:$B,2,0)),"")</f>
        <v/>
      </c>
      <c r="D1297" t="str">
        <f>IFERROR(IF(B1297="","",VLOOKUP(B1297,CadProd!$A:$C,3,0)),"")</f>
        <v/>
      </c>
    </row>
    <row r="1298" spans="3:4" x14ac:dyDescent="0.3">
      <c r="C1298" t="str">
        <f>IFERROR(IF(B1298="","",VLOOKUP(B1298,CadProd!$A:$B,2,0)),"")</f>
        <v/>
      </c>
      <c r="D1298" t="str">
        <f>IFERROR(IF(B1298="","",VLOOKUP(B1298,CadProd!$A:$C,3,0)),"")</f>
        <v/>
      </c>
    </row>
    <row r="1299" spans="3:4" x14ac:dyDescent="0.3">
      <c r="C1299" t="str">
        <f>IFERROR(IF(B1299="","",VLOOKUP(B1299,CadProd!$A:$B,2,0)),"")</f>
        <v/>
      </c>
      <c r="D1299" t="str">
        <f>IFERROR(IF(B1299="","",VLOOKUP(B1299,CadProd!$A:$C,3,0)),"")</f>
        <v/>
      </c>
    </row>
    <row r="1300" spans="3:4" x14ac:dyDescent="0.3">
      <c r="C1300" t="str">
        <f>IFERROR(IF(B1300="","",VLOOKUP(B1300,CadProd!$A:$B,2,0)),"")</f>
        <v/>
      </c>
      <c r="D1300" t="str">
        <f>IFERROR(IF(B1300="","",VLOOKUP(B1300,CadProd!$A:$C,3,0)),"")</f>
        <v/>
      </c>
    </row>
    <row r="1301" spans="3:4" x14ac:dyDescent="0.3">
      <c r="C1301" t="str">
        <f>IFERROR(IF(B1301="","",VLOOKUP(B1301,CadProd!$A:$B,2,0)),"")</f>
        <v/>
      </c>
      <c r="D1301" t="str">
        <f>IFERROR(IF(B1301="","",VLOOKUP(B1301,CadProd!$A:$C,3,0)),"")</f>
        <v/>
      </c>
    </row>
    <row r="1302" spans="3:4" x14ac:dyDescent="0.3">
      <c r="C1302" t="str">
        <f>IFERROR(IF(B1302="","",VLOOKUP(B1302,CadProd!$A:$B,2,0)),"")</f>
        <v/>
      </c>
      <c r="D1302" t="str">
        <f>IFERROR(IF(B1302="","",VLOOKUP(B1302,CadProd!$A:$C,3,0)),"")</f>
        <v/>
      </c>
    </row>
    <row r="1303" spans="3:4" x14ac:dyDescent="0.3">
      <c r="C1303" t="str">
        <f>IFERROR(IF(B1303="","",VLOOKUP(B1303,CadProd!$A:$B,2,0)),"")</f>
        <v/>
      </c>
      <c r="D1303" t="str">
        <f>IFERROR(IF(B1303="","",VLOOKUP(B1303,CadProd!$A:$C,3,0)),"")</f>
        <v/>
      </c>
    </row>
    <row r="1304" spans="3:4" x14ac:dyDescent="0.3">
      <c r="C1304" t="str">
        <f>IFERROR(IF(B1304="","",VLOOKUP(B1304,CadProd!$A:$B,2,0)),"")</f>
        <v/>
      </c>
      <c r="D1304" t="str">
        <f>IFERROR(IF(B1304="","",VLOOKUP(B1304,CadProd!$A:$C,3,0)),"")</f>
        <v/>
      </c>
    </row>
    <row r="1305" spans="3:4" x14ac:dyDescent="0.3">
      <c r="C1305" t="str">
        <f>IFERROR(IF(B1305="","",VLOOKUP(B1305,CadProd!$A:$B,2,0)),"")</f>
        <v/>
      </c>
      <c r="D1305" t="str">
        <f>IFERROR(IF(B1305="","",VLOOKUP(B1305,CadProd!$A:$C,3,0)),"")</f>
        <v/>
      </c>
    </row>
    <row r="1306" spans="3:4" x14ac:dyDescent="0.3">
      <c r="C1306" t="str">
        <f>IFERROR(IF(B1306="","",VLOOKUP(B1306,CadProd!$A:$B,2,0)),"")</f>
        <v/>
      </c>
      <c r="D1306" t="str">
        <f>IFERROR(IF(B1306="","",VLOOKUP(B1306,CadProd!$A:$C,3,0)),"")</f>
        <v/>
      </c>
    </row>
    <row r="1307" spans="3:4" x14ac:dyDescent="0.3">
      <c r="C1307" t="str">
        <f>IFERROR(IF(B1307="","",VLOOKUP(B1307,CadProd!$A:$B,2,0)),"")</f>
        <v/>
      </c>
      <c r="D1307" t="str">
        <f>IFERROR(IF(B1307="","",VLOOKUP(B1307,CadProd!$A:$C,3,0)),"")</f>
        <v/>
      </c>
    </row>
    <row r="1308" spans="3:4" x14ac:dyDescent="0.3">
      <c r="C1308" t="str">
        <f>IFERROR(IF(B1308="","",VLOOKUP(B1308,CadProd!$A:$B,2,0)),"")</f>
        <v/>
      </c>
      <c r="D1308" t="str">
        <f>IFERROR(IF(B1308="","",VLOOKUP(B1308,CadProd!$A:$C,3,0)),"")</f>
        <v/>
      </c>
    </row>
    <row r="1309" spans="3:4" x14ac:dyDescent="0.3">
      <c r="C1309" t="str">
        <f>IFERROR(IF(B1309="","",VLOOKUP(B1309,CadProd!$A:$B,2,0)),"")</f>
        <v/>
      </c>
      <c r="D1309" t="str">
        <f>IFERROR(IF(B1309="","",VLOOKUP(B1309,CadProd!$A:$C,3,0)),"")</f>
        <v/>
      </c>
    </row>
    <row r="1310" spans="3:4" x14ac:dyDescent="0.3">
      <c r="C1310" t="str">
        <f>IFERROR(IF(B1310="","",VLOOKUP(B1310,CadProd!$A:$B,2,0)),"")</f>
        <v/>
      </c>
      <c r="D1310" t="str">
        <f>IFERROR(IF(B1310="","",VLOOKUP(B1310,CadProd!$A:$C,3,0)),"")</f>
        <v/>
      </c>
    </row>
    <row r="1311" spans="3:4" x14ac:dyDescent="0.3">
      <c r="C1311" t="str">
        <f>IFERROR(IF(B1311="","",VLOOKUP(B1311,CadProd!$A:$B,2,0)),"")</f>
        <v/>
      </c>
      <c r="D1311" t="str">
        <f>IFERROR(IF(B1311="","",VLOOKUP(B1311,CadProd!$A:$C,3,0)),"")</f>
        <v/>
      </c>
    </row>
    <row r="1312" spans="3:4" x14ac:dyDescent="0.3">
      <c r="C1312" t="str">
        <f>IFERROR(IF(B1312="","",VLOOKUP(B1312,CadProd!$A:$B,2,0)),"")</f>
        <v/>
      </c>
      <c r="D1312" t="str">
        <f>IFERROR(IF(B1312="","",VLOOKUP(B1312,CadProd!$A:$C,3,0)),"")</f>
        <v/>
      </c>
    </row>
    <row r="1313" spans="3:4" x14ac:dyDescent="0.3">
      <c r="C1313" t="str">
        <f>IFERROR(IF(B1313="","",VLOOKUP(B1313,CadProd!$A:$B,2,0)),"")</f>
        <v/>
      </c>
      <c r="D1313" t="str">
        <f>IFERROR(IF(B1313="","",VLOOKUP(B1313,CadProd!$A:$C,3,0)),"")</f>
        <v/>
      </c>
    </row>
    <row r="1314" spans="3:4" x14ac:dyDescent="0.3">
      <c r="C1314" t="str">
        <f>IFERROR(IF(B1314="","",VLOOKUP(B1314,CadProd!$A:$B,2,0)),"")</f>
        <v/>
      </c>
      <c r="D1314" t="str">
        <f>IFERROR(IF(B1314="","",VLOOKUP(B1314,CadProd!$A:$C,3,0)),"")</f>
        <v/>
      </c>
    </row>
    <row r="1315" spans="3:4" x14ac:dyDescent="0.3">
      <c r="C1315" t="str">
        <f>IFERROR(IF(B1315="","",VLOOKUP(B1315,CadProd!$A:$B,2,0)),"")</f>
        <v/>
      </c>
      <c r="D1315" t="str">
        <f>IFERROR(IF(B1315="","",VLOOKUP(B1315,CadProd!$A:$C,3,0)),"")</f>
        <v/>
      </c>
    </row>
    <row r="1316" spans="3:4" x14ac:dyDescent="0.3">
      <c r="C1316" t="str">
        <f>IFERROR(IF(B1316="","",VLOOKUP(B1316,CadProd!$A:$B,2,0)),"")</f>
        <v/>
      </c>
      <c r="D1316" t="str">
        <f>IFERROR(IF(B1316="","",VLOOKUP(B1316,CadProd!$A:$C,3,0)),"")</f>
        <v/>
      </c>
    </row>
    <row r="1317" spans="3:4" x14ac:dyDescent="0.3">
      <c r="C1317" t="str">
        <f>IFERROR(IF(B1317="","",VLOOKUP(B1317,CadProd!$A:$B,2,0)),"")</f>
        <v/>
      </c>
      <c r="D1317" t="str">
        <f>IFERROR(IF(B1317="","",VLOOKUP(B1317,CadProd!$A:$C,3,0)),"")</f>
        <v/>
      </c>
    </row>
    <row r="1318" spans="3:4" x14ac:dyDescent="0.3">
      <c r="C1318" t="str">
        <f>IFERROR(IF(B1318="","",VLOOKUP(B1318,CadProd!$A:$B,2,0)),"")</f>
        <v/>
      </c>
      <c r="D1318" t="str">
        <f>IFERROR(IF(B1318="","",VLOOKUP(B1318,CadProd!$A:$C,3,0)),"")</f>
        <v/>
      </c>
    </row>
    <row r="1319" spans="3:4" x14ac:dyDescent="0.3">
      <c r="C1319" t="str">
        <f>IFERROR(IF(B1319="","",VLOOKUP(B1319,CadProd!$A:$B,2,0)),"")</f>
        <v/>
      </c>
      <c r="D1319" t="str">
        <f>IFERROR(IF(B1319="","",VLOOKUP(B1319,CadProd!$A:$C,3,0)),"")</f>
        <v/>
      </c>
    </row>
    <row r="1320" spans="3:4" x14ac:dyDescent="0.3">
      <c r="C1320" t="str">
        <f>IFERROR(IF(B1320="","",VLOOKUP(B1320,CadProd!$A:$B,2,0)),"")</f>
        <v/>
      </c>
      <c r="D1320" t="str">
        <f>IFERROR(IF(B1320="","",VLOOKUP(B1320,CadProd!$A:$C,3,0)),"")</f>
        <v/>
      </c>
    </row>
    <row r="1321" spans="3:4" x14ac:dyDescent="0.3">
      <c r="C1321" t="str">
        <f>IFERROR(IF(B1321="","",VLOOKUP(B1321,CadProd!$A:$B,2,0)),"")</f>
        <v/>
      </c>
      <c r="D1321" t="str">
        <f>IFERROR(IF(B1321="","",VLOOKUP(B1321,CadProd!$A:$C,3,0)),"")</f>
        <v/>
      </c>
    </row>
    <row r="1322" spans="3:4" x14ac:dyDescent="0.3">
      <c r="C1322" t="str">
        <f>IFERROR(IF(B1322="","",VLOOKUP(B1322,CadProd!$A:$B,2,0)),"")</f>
        <v/>
      </c>
      <c r="D1322" t="str">
        <f>IFERROR(IF(B1322="","",VLOOKUP(B1322,CadProd!$A:$C,3,0)),"")</f>
        <v/>
      </c>
    </row>
    <row r="1323" spans="3:4" x14ac:dyDescent="0.3">
      <c r="C1323" t="str">
        <f>IFERROR(IF(B1323="","",VLOOKUP(B1323,CadProd!$A:$B,2,0)),"")</f>
        <v/>
      </c>
      <c r="D1323" t="str">
        <f>IFERROR(IF(B1323="","",VLOOKUP(B1323,CadProd!$A:$C,3,0)),"")</f>
        <v/>
      </c>
    </row>
    <row r="1324" spans="3:4" x14ac:dyDescent="0.3">
      <c r="C1324" t="str">
        <f>IFERROR(IF(B1324="","",VLOOKUP(B1324,CadProd!$A:$B,2,0)),"")</f>
        <v/>
      </c>
      <c r="D1324" t="str">
        <f>IFERROR(IF(B1324="","",VLOOKUP(B1324,CadProd!$A:$C,3,0)),"")</f>
        <v/>
      </c>
    </row>
    <row r="1325" spans="3:4" x14ac:dyDescent="0.3">
      <c r="C1325" t="str">
        <f>IFERROR(IF(B1325="","",VLOOKUP(B1325,CadProd!$A:$B,2,0)),"")</f>
        <v/>
      </c>
      <c r="D1325" t="str">
        <f>IFERROR(IF(B1325="","",VLOOKUP(B1325,CadProd!$A:$C,3,0)),"")</f>
        <v/>
      </c>
    </row>
    <row r="1326" spans="3:4" x14ac:dyDescent="0.3">
      <c r="C1326" t="str">
        <f>IFERROR(IF(B1326="","",VLOOKUP(B1326,CadProd!$A:$B,2,0)),"")</f>
        <v/>
      </c>
      <c r="D1326" t="str">
        <f>IFERROR(IF(B1326="","",VLOOKUP(B1326,CadProd!$A:$C,3,0)),"")</f>
        <v/>
      </c>
    </row>
    <row r="1327" spans="3:4" x14ac:dyDescent="0.3">
      <c r="C1327" t="str">
        <f>IFERROR(IF(B1327="","",VLOOKUP(B1327,CadProd!$A:$B,2,0)),"")</f>
        <v/>
      </c>
      <c r="D1327" t="str">
        <f>IFERROR(IF(B1327="","",VLOOKUP(B1327,CadProd!$A:$C,3,0)),"")</f>
        <v/>
      </c>
    </row>
    <row r="1328" spans="3:4" x14ac:dyDescent="0.3">
      <c r="C1328" t="str">
        <f>IFERROR(IF(B1328="","",VLOOKUP(B1328,CadProd!$A:$B,2,0)),"")</f>
        <v/>
      </c>
      <c r="D1328" t="str">
        <f>IFERROR(IF(B1328="","",VLOOKUP(B1328,CadProd!$A:$C,3,0)),"")</f>
        <v/>
      </c>
    </row>
    <row r="1329" spans="3:4" x14ac:dyDescent="0.3">
      <c r="C1329" t="str">
        <f>IFERROR(IF(B1329="","",VLOOKUP(B1329,CadProd!$A:$B,2,0)),"")</f>
        <v/>
      </c>
      <c r="D1329" t="str">
        <f>IFERROR(IF(B1329="","",VLOOKUP(B1329,CadProd!$A:$C,3,0)),"")</f>
        <v/>
      </c>
    </row>
    <row r="1330" spans="3:4" x14ac:dyDescent="0.3">
      <c r="C1330" t="str">
        <f>IFERROR(IF(B1330="","",VLOOKUP(B1330,CadProd!$A:$B,2,0)),"")</f>
        <v/>
      </c>
      <c r="D1330" t="str">
        <f>IFERROR(IF(B1330="","",VLOOKUP(B1330,CadProd!$A:$C,3,0)),"")</f>
        <v/>
      </c>
    </row>
    <row r="1331" spans="3:4" x14ac:dyDescent="0.3">
      <c r="C1331" t="str">
        <f>IFERROR(IF(B1331="","",VLOOKUP(B1331,CadProd!$A:$B,2,0)),"")</f>
        <v/>
      </c>
      <c r="D1331" t="str">
        <f>IFERROR(IF(B1331="","",VLOOKUP(B1331,CadProd!$A:$C,3,0)),"")</f>
        <v/>
      </c>
    </row>
    <row r="1332" spans="3:4" x14ac:dyDescent="0.3">
      <c r="C1332" t="str">
        <f>IFERROR(IF(B1332="","",VLOOKUP(B1332,CadProd!$A:$B,2,0)),"")</f>
        <v/>
      </c>
      <c r="D1332" t="str">
        <f>IFERROR(IF(B1332="","",VLOOKUP(B1332,CadProd!$A:$C,3,0)),"")</f>
        <v/>
      </c>
    </row>
    <row r="1333" spans="3:4" x14ac:dyDescent="0.3">
      <c r="C1333" t="str">
        <f>IFERROR(IF(B1333="","",VLOOKUP(B1333,CadProd!$A:$B,2,0)),"")</f>
        <v/>
      </c>
      <c r="D1333" t="str">
        <f>IFERROR(IF(B1333="","",VLOOKUP(B1333,CadProd!$A:$C,3,0)),"")</f>
        <v/>
      </c>
    </row>
    <row r="1334" spans="3:4" x14ac:dyDescent="0.3">
      <c r="C1334" t="str">
        <f>IFERROR(IF(B1334="","",VLOOKUP(B1334,CadProd!$A:$B,2,0)),"")</f>
        <v/>
      </c>
      <c r="D1334" t="str">
        <f>IFERROR(IF(B1334="","",VLOOKUP(B1334,CadProd!$A:$C,3,0)),"")</f>
        <v/>
      </c>
    </row>
    <row r="1335" spans="3:4" x14ac:dyDescent="0.3">
      <c r="C1335" t="str">
        <f>IFERROR(IF(B1335="","",VLOOKUP(B1335,CadProd!$A:$B,2,0)),"")</f>
        <v/>
      </c>
      <c r="D1335" t="str">
        <f>IFERROR(IF(B1335="","",VLOOKUP(B1335,CadProd!$A:$C,3,0)),"")</f>
        <v/>
      </c>
    </row>
    <row r="1336" spans="3:4" x14ac:dyDescent="0.3">
      <c r="C1336" t="str">
        <f>IFERROR(IF(B1336="","",VLOOKUP(B1336,CadProd!$A:$B,2,0)),"")</f>
        <v/>
      </c>
      <c r="D1336" t="str">
        <f>IFERROR(IF(B1336="","",VLOOKUP(B1336,CadProd!$A:$C,3,0)),"")</f>
        <v/>
      </c>
    </row>
    <row r="1337" spans="3:4" x14ac:dyDescent="0.3">
      <c r="C1337" t="str">
        <f>IFERROR(IF(B1337="","",VLOOKUP(B1337,CadProd!$A:$B,2,0)),"")</f>
        <v/>
      </c>
      <c r="D1337" t="str">
        <f>IFERROR(IF(B1337="","",VLOOKUP(B1337,CadProd!$A:$C,3,0)),"")</f>
        <v/>
      </c>
    </row>
    <row r="1338" spans="3:4" x14ac:dyDescent="0.3">
      <c r="C1338" t="str">
        <f>IFERROR(IF(B1338="","",VLOOKUP(B1338,CadProd!$A:$B,2,0)),"")</f>
        <v/>
      </c>
      <c r="D1338" t="str">
        <f>IFERROR(IF(B1338="","",VLOOKUP(B1338,CadProd!$A:$C,3,0)),"")</f>
        <v/>
      </c>
    </row>
    <row r="1339" spans="3:4" x14ac:dyDescent="0.3">
      <c r="C1339" t="str">
        <f>IFERROR(IF(B1339="","",VLOOKUP(B1339,CadProd!$A:$B,2,0)),"")</f>
        <v/>
      </c>
      <c r="D1339" t="str">
        <f>IFERROR(IF(B1339="","",VLOOKUP(B1339,CadProd!$A:$C,3,0)),"")</f>
        <v/>
      </c>
    </row>
    <row r="1340" spans="3:4" x14ac:dyDescent="0.3">
      <c r="C1340" t="str">
        <f>IFERROR(IF(B1340="","",VLOOKUP(B1340,CadProd!$A:$B,2,0)),"")</f>
        <v/>
      </c>
      <c r="D1340" t="str">
        <f>IFERROR(IF(B1340="","",VLOOKUP(B1340,CadProd!$A:$C,3,0)),"")</f>
        <v/>
      </c>
    </row>
    <row r="1341" spans="3:4" x14ac:dyDescent="0.3">
      <c r="C1341" t="str">
        <f>IFERROR(IF(B1341="","",VLOOKUP(B1341,CadProd!$A:$B,2,0)),"")</f>
        <v/>
      </c>
      <c r="D1341" t="str">
        <f>IFERROR(IF(B1341="","",VLOOKUP(B1341,CadProd!$A:$C,3,0)),"")</f>
        <v/>
      </c>
    </row>
    <row r="1342" spans="3:4" x14ac:dyDescent="0.3">
      <c r="C1342" t="str">
        <f>IFERROR(IF(B1342="","",VLOOKUP(B1342,CadProd!$A:$B,2,0)),"")</f>
        <v/>
      </c>
      <c r="D1342" t="str">
        <f>IFERROR(IF(B1342="","",VLOOKUP(B1342,CadProd!$A:$C,3,0)),"")</f>
        <v/>
      </c>
    </row>
    <row r="1343" spans="3:4" x14ac:dyDescent="0.3">
      <c r="C1343" t="str">
        <f>IFERROR(IF(B1343="","",VLOOKUP(B1343,CadProd!$A:$B,2,0)),"")</f>
        <v/>
      </c>
      <c r="D1343" t="str">
        <f>IFERROR(IF(B1343="","",VLOOKUP(B1343,CadProd!$A:$C,3,0)),"")</f>
        <v/>
      </c>
    </row>
    <row r="1344" spans="3:4" x14ac:dyDescent="0.3">
      <c r="C1344" t="str">
        <f>IFERROR(IF(B1344="","",VLOOKUP(B1344,CadProd!$A:$B,2,0)),"")</f>
        <v/>
      </c>
      <c r="D1344" t="str">
        <f>IFERROR(IF(B1344="","",VLOOKUP(B1344,CadProd!$A:$C,3,0)),"")</f>
        <v/>
      </c>
    </row>
    <row r="1345" spans="3:4" x14ac:dyDescent="0.3">
      <c r="C1345" t="str">
        <f>IFERROR(IF(B1345="","",VLOOKUP(B1345,CadProd!$A:$B,2,0)),"")</f>
        <v/>
      </c>
      <c r="D1345" t="str">
        <f>IFERROR(IF(B1345="","",VLOOKUP(B1345,CadProd!$A:$C,3,0)),"")</f>
        <v/>
      </c>
    </row>
    <row r="1346" spans="3:4" x14ac:dyDescent="0.3">
      <c r="C1346" t="str">
        <f>IFERROR(IF(B1346="","",VLOOKUP(B1346,CadProd!$A:$B,2,0)),"")</f>
        <v/>
      </c>
      <c r="D1346" t="str">
        <f>IFERROR(IF(B1346="","",VLOOKUP(B1346,CadProd!$A:$C,3,0)),"")</f>
        <v/>
      </c>
    </row>
    <row r="1347" spans="3:4" x14ac:dyDescent="0.3">
      <c r="C1347" t="str">
        <f>IFERROR(IF(B1347="","",VLOOKUP(B1347,CadProd!$A:$B,2,0)),"")</f>
        <v/>
      </c>
      <c r="D1347" t="str">
        <f>IFERROR(IF(B1347="","",VLOOKUP(B1347,CadProd!$A:$C,3,0)),"")</f>
        <v/>
      </c>
    </row>
    <row r="1348" spans="3:4" x14ac:dyDescent="0.3">
      <c r="C1348" t="str">
        <f>IFERROR(IF(B1348="","",VLOOKUP(B1348,CadProd!$A:$B,2,0)),"")</f>
        <v/>
      </c>
      <c r="D1348" t="str">
        <f>IFERROR(IF(B1348="","",VLOOKUP(B1348,CadProd!$A:$C,3,0)),"")</f>
        <v/>
      </c>
    </row>
    <row r="1349" spans="3:4" x14ac:dyDescent="0.3">
      <c r="C1349" t="str">
        <f>IFERROR(IF(B1349="","",VLOOKUP(B1349,CadProd!$A:$B,2,0)),"")</f>
        <v/>
      </c>
      <c r="D1349" t="str">
        <f>IFERROR(IF(B1349="","",VLOOKUP(B1349,CadProd!$A:$C,3,0)),"")</f>
        <v/>
      </c>
    </row>
    <row r="1350" spans="3:4" x14ac:dyDescent="0.3">
      <c r="C1350" t="str">
        <f>IFERROR(IF(B1350="","",VLOOKUP(B1350,CadProd!$A:$B,2,0)),"")</f>
        <v/>
      </c>
      <c r="D1350" t="str">
        <f>IFERROR(IF(B1350="","",VLOOKUP(B1350,CadProd!$A:$C,3,0)),"")</f>
        <v/>
      </c>
    </row>
    <row r="1351" spans="3:4" x14ac:dyDescent="0.3">
      <c r="C1351" t="str">
        <f>IFERROR(IF(B1351="","",VLOOKUP(B1351,CadProd!$A:$B,2,0)),"")</f>
        <v/>
      </c>
      <c r="D1351" t="str">
        <f>IFERROR(IF(B1351="","",VLOOKUP(B1351,CadProd!$A:$C,3,0)),"")</f>
        <v/>
      </c>
    </row>
    <row r="1352" spans="3:4" x14ac:dyDescent="0.3">
      <c r="C1352" t="str">
        <f>IFERROR(IF(B1352="","",VLOOKUP(B1352,CadProd!$A:$B,2,0)),"")</f>
        <v/>
      </c>
      <c r="D1352" t="str">
        <f>IFERROR(IF(B1352="","",VLOOKUP(B1352,CadProd!$A:$C,3,0)),"")</f>
        <v/>
      </c>
    </row>
    <row r="1353" spans="3:4" x14ac:dyDescent="0.3">
      <c r="C1353" t="str">
        <f>IFERROR(IF(B1353="","",VLOOKUP(B1353,CadProd!$A:$B,2,0)),"")</f>
        <v/>
      </c>
      <c r="D1353" t="str">
        <f>IFERROR(IF(B1353="","",VLOOKUP(B1353,CadProd!$A:$C,3,0)),"")</f>
        <v/>
      </c>
    </row>
    <row r="1354" spans="3:4" x14ac:dyDescent="0.3">
      <c r="C1354" t="str">
        <f>IFERROR(IF(B1354="","",VLOOKUP(B1354,CadProd!$A:$B,2,0)),"")</f>
        <v/>
      </c>
      <c r="D1354" t="str">
        <f>IFERROR(IF(B1354="","",VLOOKUP(B1354,CadProd!$A:$C,3,0)),"")</f>
        <v/>
      </c>
    </row>
    <row r="1355" spans="3:4" x14ac:dyDescent="0.3">
      <c r="C1355" t="str">
        <f>IFERROR(IF(B1355="","",VLOOKUP(B1355,CadProd!$A:$B,2,0)),"")</f>
        <v/>
      </c>
      <c r="D1355" t="str">
        <f>IFERROR(IF(B1355="","",VLOOKUP(B1355,CadProd!$A:$C,3,0)),"")</f>
        <v/>
      </c>
    </row>
    <row r="1356" spans="3:4" x14ac:dyDescent="0.3">
      <c r="C1356" t="str">
        <f>IFERROR(IF(B1356="","",VLOOKUP(B1356,CadProd!$A:$B,2,0)),"")</f>
        <v/>
      </c>
      <c r="D1356" t="str">
        <f>IFERROR(IF(B1356="","",VLOOKUP(B1356,CadProd!$A:$C,3,0)),"")</f>
        <v/>
      </c>
    </row>
    <row r="1357" spans="3:4" x14ac:dyDescent="0.3">
      <c r="C1357" t="str">
        <f>IFERROR(IF(B1357="","",VLOOKUP(B1357,CadProd!$A:$B,2,0)),"")</f>
        <v/>
      </c>
      <c r="D1357" t="str">
        <f>IFERROR(IF(B1357="","",VLOOKUP(B1357,CadProd!$A:$C,3,0)),"")</f>
        <v/>
      </c>
    </row>
    <row r="1358" spans="3:4" x14ac:dyDescent="0.3">
      <c r="C1358" t="str">
        <f>IFERROR(IF(B1358="","",VLOOKUP(B1358,CadProd!$A:$B,2,0)),"")</f>
        <v/>
      </c>
      <c r="D1358" t="str">
        <f>IFERROR(IF(B1358="","",VLOOKUP(B1358,CadProd!$A:$C,3,0)),"")</f>
        <v/>
      </c>
    </row>
    <row r="1359" spans="3:4" x14ac:dyDescent="0.3">
      <c r="C1359" t="str">
        <f>IFERROR(IF(B1359="","",VLOOKUP(B1359,CadProd!$A:$B,2,0)),"")</f>
        <v/>
      </c>
      <c r="D1359" t="str">
        <f>IFERROR(IF(B1359="","",VLOOKUP(B1359,CadProd!$A:$C,3,0)),"")</f>
        <v/>
      </c>
    </row>
    <row r="1360" spans="3:4" x14ac:dyDescent="0.3">
      <c r="C1360" t="str">
        <f>IFERROR(IF(B1360="","",VLOOKUP(B1360,CadProd!$A:$B,2,0)),"")</f>
        <v/>
      </c>
      <c r="D1360" t="str">
        <f>IFERROR(IF(B1360="","",VLOOKUP(B1360,CadProd!$A:$C,3,0)),"")</f>
        <v/>
      </c>
    </row>
    <row r="1361" spans="3:4" x14ac:dyDescent="0.3">
      <c r="C1361" t="str">
        <f>IFERROR(IF(B1361="","",VLOOKUP(B1361,CadProd!$A:$B,2,0)),"")</f>
        <v/>
      </c>
      <c r="D1361" t="str">
        <f>IFERROR(IF(B1361="","",VLOOKUP(B1361,CadProd!$A:$C,3,0)),"")</f>
        <v/>
      </c>
    </row>
    <row r="1362" spans="3:4" x14ac:dyDescent="0.3">
      <c r="C1362" t="str">
        <f>IFERROR(IF(B1362="","",VLOOKUP(B1362,CadProd!$A:$B,2,0)),"")</f>
        <v/>
      </c>
      <c r="D1362" t="str">
        <f>IFERROR(IF(B1362="","",VLOOKUP(B1362,CadProd!$A:$C,3,0)),"")</f>
        <v/>
      </c>
    </row>
    <row r="1363" spans="3:4" x14ac:dyDescent="0.3">
      <c r="C1363" t="str">
        <f>IFERROR(IF(B1363="","",VLOOKUP(B1363,CadProd!$A:$B,2,0)),"")</f>
        <v/>
      </c>
      <c r="D1363" t="str">
        <f>IFERROR(IF(B1363="","",VLOOKUP(B1363,CadProd!$A:$C,3,0)),"")</f>
        <v/>
      </c>
    </row>
    <row r="1364" spans="3:4" x14ac:dyDescent="0.3">
      <c r="C1364" t="str">
        <f>IFERROR(IF(B1364="","",VLOOKUP(B1364,CadProd!$A:$B,2,0)),"")</f>
        <v/>
      </c>
      <c r="D1364" t="str">
        <f>IFERROR(IF(B1364="","",VLOOKUP(B1364,CadProd!$A:$C,3,0)),"")</f>
        <v/>
      </c>
    </row>
    <row r="1365" spans="3:4" x14ac:dyDescent="0.3">
      <c r="C1365" t="str">
        <f>IFERROR(IF(B1365="","",VLOOKUP(B1365,CadProd!$A:$B,2,0)),"")</f>
        <v/>
      </c>
      <c r="D1365" t="str">
        <f>IFERROR(IF(B1365="","",VLOOKUP(B1365,CadProd!$A:$C,3,0)),"")</f>
        <v/>
      </c>
    </row>
    <row r="1366" spans="3:4" x14ac:dyDescent="0.3">
      <c r="C1366" t="str">
        <f>IFERROR(IF(B1366="","",VLOOKUP(B1366,CadProd!$A:$B,2,0)),"")</f>
        <v/>
      </c>
      <c r="D1366" t="str">
        <f>IFERROR(IF(B1366="","",VLOOKUP(B1366,CadProd!$A:$C,3,0)),"")</f>
        <v/>
      </c>
    </row>
    <row r="1367" spans="3:4" x14ac:dyDescent="0.3">
      <c r="C1367" t="str">
        <f>IFERROR(IF(B1367="","",VLOOKUP(B1367,CadProd!$A:$B,2,0)),"")</f>
        <v/>
      </c>
      <c r="D1367" t="str">
        <f>IFERROR(IF(B1367="","",VLOOKUP(B1367,CadProd!$A:$C,3,0)),"")</f>
        <v/>
      </c>
    </row>
    <row r="1368" spans="3:4" x14ac:dyDescent="0.3">
      <c r="C1368" t="str">
        <f>IFERROR(IF(B1368="","",VLOOKUP(B1368,CadProd!$A:$B,2,0)),"")</f>
        <v/>
      </c>
      <c r="D1368" t="str">
        <f>IFERROR(IF(B1368="","",VLOOKUP(B1368,CadProd!$A:$C,3,0)),"")</f>
        <v/>
      </c>
    </row>
    <row r="1369" spans="3:4" x14ac:dyDescent="0.3">
      <c r="C1369" t="str">
        <f>IFERROR(IF(B1369="","",VLOOKUP(B1369,CadProd!$A:$B,2,0)),"")</f>
        <v/>
      </c>
      <c r="D1369" t="str">
        <f>IFERROR(IF(B1369="","",VLOOKUP(B1369,CadProd!$A:$C,3,0)),"")</f>
        <v/>
      </c>
    </row>
    <row r="1370" spans="3:4" x14ac:dyDescent="0.3">
      <c r="C1370" t="str">
        <f>IFERROR(IF(B1370="","",VLOOKUP(B1370,CadProd!$A:$B,2,0)),"")</f>
        <v/>
      </c>
      <c r="D1370" t="str">
        <f>IFERROR(IF(B1370="","",VLOOKUP(B1370,CadProd!$A:$C,3,0)),"")</f>
        <v/>
      </c>
    </row>
    <row r="1371" spans="3:4" x14ac:dyDescent="0.3">
      <c r="C1371" t="str">
        <f>IFERROR(IF(B1371="","",VLOOKUP(B1371,CadProd!$A:$B,2,0)),"")</f>
        <v/>
      </c>
      <c r="D1371" t="str">
        <f>IFERROR(IF(B1371="","",VLOOKUP(B1371,CadProd!$A:$C,3,0)),"")</f>
        <v/>
      </c>
    </row>
    <row r="1372" spans="3:4" x14ac:dyDescent="0.3">
      <c r="C1372" t="str">
        <f>IFERROR(IF(B1372="","",VLOOKUP(B1372,CadProd!$A:$B,2,0)),"")</f>
        <v/>
      </c>
      <c r="D1372" t="str">
        <f>IFERROR(IF(B1372="","",VLOOKUP(B1372,CadProd!$A:$C,3,0)),"")</f>
        <v/>
      </c>
    </row>
    <row r="1373" spans="3:4" x14ac:dyDescent="0.3">
      <c r="C1373" t="str">
        <f>IFERROR(IF(B1373="","",VLOOKUP(B1373,CadProd!$A:$B,2,0)),"")</f>
        <v/>
      </c>
      <c r="D1373" t="str">
        <f>IFERROR(IF(B1373="","",VLOOKUP(B1373,CadProd!$A:$C,3,0)),"")</f>
        <v/>
      </c>
    </row>
    <row r="1374" spans="3:4" x14ac:dyDescent="0.3">
      <c r="C1374" t="str">
        <f>IFERROR(IF(B1374="","",VLOOKUP(B1374,CadProd!$A:$B,2,0)),"")</f>
        <v/>
      </c>
      <c r="D1374" t="str">
        <f>IFERROR(IF(B1374="","",VLOOKUP(B1374,CadProd!$A:$C,3,0)),"")</f>
        <v/>
      </c>
    </row>
    <row r="1375" spans="3:4" x14ac:dyDescent="0.3">
      <c r="C1375" t="str">
        <f>IFERROR(IF(B1375="","",VLOOKUP(B1375,CadProd!$A:$B,2,0)),"")</f>
        <v/>
      </c>
      <c r="D1375" t="str">
        <f>IFERROR(IF(B1375="","",VLOOKUP(B1375,CadProd!$A:$C,3,0)),"")</f>
        <v/>
      </c>
    </row>
    <row r="1376" spans="3:4" x14ac:dyDescent="0.3">
      <c r="C1376" t="str">
        <f>IFERROR(IF(B1376="","",VLOOKUP(B1376,CadProd!$A:$B,2,0)),"")</f>
        <v/>
      </c>
      <c r="D1376" t="str">
        <f>IFERROR(IF(B1376="","",VLOOKUP(B1376,CadProd!$A:$C,3,0)),"")</f>
        <v/>
      </c>
    </row>
    <row r="1377" spans="3:4" x14ac:dyDescent="0.3">
      <c r="C1377" t="str">
        <f>IFERROR(IF(B1377="","",VLOOKUP(B1377,CadProd!$A:$B,2,0)),"")</f>
        <v/>
      </c>
      <c r="D1377" t="str">
        <f>IFERROR(IF(B1377="","",VLOOKUP(B1377,CadProd!$A:$C,3,0)),"")</f>
        <v/>
      </c>
    </row>
    <row r="1378" spans="3:4" x14ac:dyDescent="0.3">
      <c r="C1378" t="str">
        <f>IFERROR(IF(B1378="","",VLOOKUP(B1378,CadProd!$A:$B,2,0)),"")</f>
        <v/>
      </c>
      <c r="D1378" t="str">
        <f>IFERROR(IF(B1378="","",VLOOKUP(B1378,CadProd!$A:$C,3,0)),"")</f>
        <v/>
      </c>
    </row>
    <row r="1379" spans="3:4" x14ac:dyDescent="0.3">
      <c r="C1379" t="str">
        <f>IFERROR(IF(B1379="","",VLOOKUP(B1379,CadProd!$A:$B,2,0)),"")</f>
        <v/>
      </c>
      <c r="D1379" t="str">
        <f>IFERROR(IF(B1379="","",VLOOKUP(B1379,CadProd!$A:$C,3,0)),"")</f>
        <v/>
      </c>
    </row>
    <row r="1380" spans="3:4" x14ac:dyDescent="0.3">
      <c r="C1380" t="str">
        <f>IFERROR(IF(B1380="","",VLOOKUP(B1380,CadProd!$A:$B,2,0)),"")</f>
        <v/>
      </c>
      <c r="D1380" t="str">
        <f>IFERROR(IF(B1380="","",VLOOKUP(B1380,CadProd!$A:$C,3,0)),"")</f>
        <v/>
      </c>
    </row>
    <row r="1381" spans="3:4" x14ac:dyDescent="0.3">
      <c r="C1381" t="str">
        <f>IFERROR(IF(B1381="","",VLOOKUP(B1381,CadProd!$A:$B,2,0)),"")</f>
        <v/>
      </c>
      <c r="D1381" t="str">
        <f>IFERROR(IF(B1381="","",VLOOKUP(B1381,CadProd!$A:$C,3,0)),"")</f>
        <v/>
      </c>
    </row>
    <row r="1382" spans="3:4" x14ac:dyDescent="0.3">
      <c r="C1382" t="str">
        <f>IFERROR(IF(B1382="","",VLOOKUP(B1382,CadProd!$A:$B,2,0)),"")</f>
        <v/>
      </c>
      <c r="D1382" t="str">
        <f>IFERROR(IF(B1382="","",VLOOKUP(B1382,CadProd!$A:$C,3,0)),"")</f>
        <v/>
      </c>
    </row>
    <row r="1383" spans="3:4" x14ac:dyDescent="0.3">
      <c r="C1383" t="str">
        <f>IFERROR(IF(B1383="","",VLOOKUP(B1383,CadProd!$A:$B,2,0)),"")</f>
        <v/>
      </c>
      <c r="D1383" t="str">
        <f>IFERROR(IF(B1383="","",VLOOKUP(B1383,CadProd!$A:$C,3,0)),"")</f>
        <v/>
      </c>
    </row>
    <row r="1384" spans="3:4" x14ac:dyDescent="0.3">
      <c r="C1384" t="str">
        <f>IFERROR(IF(B1384="","",VLOOKUP(B1384,CadProd!$A:$B,2,0)),"")</f>
        <v/>
      </c>
      <c r="D1384" t="str">
        <f>IFERROR(IF(B1384="","",VLOOKUP(B1384,CadProd!$A:$C,3,0)),"")</f>
        <v/>
      </c>
    </row>
    <row r="1385" spans="3:4" x14ac:dyDescent="0.3">
      <c r="C1385" t="str">
        <f>IFERROR(IF(B1385="","",VLOOKUP(B1385,CadProd!$A:$B,2,0)),"")</f>
        <v/>
      </c>
      <c r="D1385" t="str">
        <f>IFERROR(IF(B1385="","",VLOOKUP(B1385,CadProd!$A:$C,3,0)),"")</f>
        <v/>
      </c>
    </row>
    <row r="1386" spans="3:4" x14ac:dyDescent="0.3">
      <c r="C1386" t="str">
        <f>IFERROR(IF(B1386="","",VLOOKUP(B1386,CadProd!$A:$B,2,0)),"")</f>
        <v/>
      </c>
      <c r="D1386" t="str">
        <f>IFERROR(IF(B1386="","",VLOOKUP(B1386,CadProd!$A:$C,3,0)),"")</f>
        <v/>
      </c>
    </row>
    <row r="1387" spans="3:4" x14ac:dyDescent="0.3">
      <c r="C1387" t="str">
        <f>IFERROR(IF(B1387="","",VLOOKUP(B1387,CadProd!$A:$B,2,0)),"")</f>
        <v/>
      </c>
      <c r="D1387" t="str">
        <f>IFERROR(IF(B1387="","",VLOOKUP(B1387,CadProd!$A:$C,3,0)),"")</f>
        <v/>
      </c>
    </row>
    <row r="1388" spans="3:4" x14ac:dyDescent="0.3">
      <c r="C1388" t="str">
        <f>IFERROR(IF(B1388="","",VLOOKUP(B1388,CadProd!$A:$B,2,0)),"")</f>
        <v/>
      </c>
      <c r="D1388" t="str">
        <f>IFERROR(IF(B1388="","",VLOOKUP(B1388,CadProd!$A:$C,3,0)),"")</f>
        <v/>
      </c>
    </row>
    <row r="1389" spans="3:4" x14ac:dyDescent="0.3">
      <c r="C1389" t="str">
        <f>IFERROR(IF(B1389="","",VLOOKUP(B1389,CadProd!$A:$B,2,0)),"")</f>
        <v/>
      </c>
      <c r="D1389" t="str">
        <f>IFERROR(IF(B1389="","",VLOOKUP(B1389,CadProd!$A:$C,3,0)),"")</f>
        <v/>
      </c>
    </row>
    <row r="1390" spans="3:4" x14ac:dyDescent="0.3">
      <c r="C1390" t="str">
        <f>IFERROR(IF(B1390="","",VLOOKUP(B1390,CadProd!$A:$B,2,0)),"")</f>
        <v/>
      </c>
      <c r="D1390" t="str">
        <f>IFERROR(IF(B1390="","",VLOOKUP(B1390,CadProd!$A:$C,3,0)),"")</f>
        <v/>
      </c>
    </row>
    <row r="1391" spans="3:4" x14ac:dyDescent="0.3">
      <c r="C1391" t="str">
        <f>IFERROR(IF(B1391="","",VLOOKUP(B1391,CadProd!$A:$B,2,0)),"")</f>
        <v/>
      </c>
      <c r="D1391" t="str">
        <f>IFERROR(IF(B1391="","",VLOOKUP(B1391,CadProd!$A:$C,3,0)),"")</f>
        <v/>
      </c>
    </row>
    <row r="1392" spans="3:4" x14ac:dyDescent="0.3">
      <c r="C1392" t="str">
        <f>IFERROR(IF(B1392="","",VLOOKUP(B1392,CadProd!$A:$B,2,0)),"")</f>
        <v/>
      </c>
      <c r="D1392" t="str">
        <f>IFERROR(IF(B1392="","",VLOOKUP(B1392,CadProd!$A:$C,3,0)),"")</f>
        <v/>
      </c>
    </row>
    <row r="1393" spans="3:4" x14ac:dyDescent="0.3">
      <c r="C1393" t="str">
        <f>IFERROR(IF(B1393="","",VLOOKUP(B1393,CadProd!$A:$B,2,0)),"")</f>
        <v/>
      </c>
      <c r="D1393" t="str">
        <f>IFERROR(IF(B1393="","",VLOOKUP(B1393,CadProd!$A:$C,3,0)),"")</f>
        <v/>
      </c>
    </row>
    <row r="1394" spans="3:4" x14ac:dyDescent="0.3">
      <c r="C1394" t="str">
        <f>IFERROR(IF(B1394="","",VLOOKUP(B1394,CadProd!$A:$B,2,0)),"")</f>
        <v/>
      </c>
      <c r="D1394" t="str">
        <f>IFERROR(IF(B1394="","",VLOOKUP(B1394,CadProd!$A:$C,3,0)),"")</f>
        <v/>
      </c>
    </row>
    <row r="1395" spans="3:4" x14ac:dyDescent="0.3">
      <c r="C1395" t="str">
        <f>IFERROR(IF(B1395="","",VLOOKUP(B1395,CadProd!$A:$B,2,0)),"")</f>
        <v/>
      </c>
      <c r="D1395" t="str">
        <f>IFERROR(IF(B1395="","",VLOOKUP(B1395,CadProd!$A:$C,3,0)),"")</f>
        <v/>
      </c>
    </row>
    <row r="1396" spans="3:4" x14ac:dyDescent="0.3">
      <c r="C1396" t="str">
        <f>IFERROR(IF(B1396="","",VLOOKUP(B1396,CadProd!$A:$B,2,0)),"")</f>
        <v/>
      </c>
      <c r="D1396" t="str">
        <f>IFERROR(IF(B1396="","",VLOOKUP(B1396,CadProd!$A:$C,3,0)),"")</f>
        <v/>
      </c>
    </row>
    <row r="1397" spans="3:4" x14ac:dyDescent="0.3">
      <c r="C1397" t="str">
        <f>IFERROR(IF(B1397="","",VLOOKUP(B1397,CadProd!$A:$B,2,0)),"")</f>
        <v/>
      </c>
      <c r="D1397" t="str">
        <f>IFERROR(IF(B1397="","",VLOOKUP(B1397,CadProd!$A:$C,3,0)),"")</f>
        <v/>
      </c>
    </row>
    <row r="1398" spans="3:4" x14ac:dyDescent="0.3">
      <c r="C1398" t="str">
        <f>IFERROR(IF(B1398="","",VLOOKUP(B1398,CadProd!$A:$B,2,0)),"")</f>
        <v/>
      </c>
      <c r="D1398" t="str">
        <f>IFERROR(IF(B1398="","",VLOOKUP(B1398,CadProd!$A:$C,3,0)),"")</f>
        <v/>
      </c>
    </row>
    <row r="1399" spans="3:4" x14ac:dyDescent="0.3">
      <c r="C1399" t="str">
        <f>IFERROR(IF(B1399="","",VLOOKUP(B1399,CadProd!$A:$B,2,0)),"")</f>
        <v/>
      </c>
      <c r="D1399" t="str">
        <f>IFERROR(IF(B1399="","",VLOOKUP(B1399,CadProd!$A:$C,3,0)),"")</f>
        <v/>
      </c>
    </row>
    <row r="1400" spans="3:4" x14ac:dyDescent="0.3">
      <c r="C1400" t="str">
        <f>IFERROR(IF(B1400="","",VLOOKUP(B1400,CadProd!$A:$B,2,0)),"")</f>
        <v/>
      </c>
      <c r="D1400" t="str">
        <f>IFERROR(IF(B1400="","",VLOOKUP(B1400,CadProd!$A:$C,3,0)),"")</f>
        <v/>
      </c>
    </row>
    <row r="1401" spans="3:4" x14ac:dyDescent="0.3">
      <c r="C1401" t="str">
        <f>IFERROR(IF(B1401="","",VLOOKUP(B1401,CadProd!$A:$B,2,0)),"")</f>
        <v/>
      </c>
      <c r="D1401" t="str">
        <f>IFERROR(IF(B1401="","",VLOOKUP(B1401,CadProd!$A:$C,3,0)),"")</f>
        <v/>
      </c>
    </row>
    <row r="1402" spans="3:4" x14ac:dyDescent="0.3">
      <c r="C1402" t="str">
        <f>IFERROR(IF(B1402="","",VLOOKUP(B1402,CadProd!$A:$B,2,0)),"")</f>
        <v/>
      </c>
      <c r="D1402" t="str">
        <f>IFERROR(IF(B1402="","",VLOOKUP(B1402,CadProd!$A:$C,3,0)),"")</f>
        <v/>
      </c>
    </row>
    <row r="1403" spans="3:4" x14ac:dyDescent="0.3">
      <c r="C1403" t="str">
        <f>IFERROR(IF(B1403="","",VLOOKUP(B1403,CadProd!$A:$B,2,0)),"")</f>
        <v/>
      </c>
      <c r="D1403" t="str">
        <f>IFERROR(IF(B1403="","",VLOOKUP(B1403,CadProd!$A:$C,3,0)),"")</f>
        <v/>
      </c>
    </row>
    <row r="1404" spans="3:4" x14ac:dyDescent="0.3">
      <c r="C1404" t="str">
        <f>IFERROR(IF(B1404="","",VLOOKUP(B1404,CadProd!$A:$B,2,0)),"")</f>
        <v/>
      </c>
      <c r="D1404" t="str">
        <f>IFERROR(IF(B1404="","",VLOOKUP(B1404,CadProd!$A:$C,3,0)),"")</f>
        <v/>
      </c>
    </row>
    <row r="1405" spans="3:4" x14ac:dyDescent="0.3">
      <c r="C1405" t="str">
        <f>IFERROR(IF(B1405="","",VLOOKUP(B1405,CadProd!$A:$B,2,0)),"")</f>
        <v/>
      </c>
      <c r="D1405" t="str">
        <f>IFERROR(IF(B1405="","",VLOOKUP(B1405,CadProd!$A:$C,3,0)),"")</f>
        <v/>
      </c>
    </row>
    <row r="1406" spans="3:4" x14ac:dyDescent="0.3">
      <c r="C1406" t="str">
        <f>IFERROR(IF(B1406="","",VLOOKUP(B1406,CadProd!$A:$B,2,0)),"")</f>
        <v/>
      </c>
      <c r="D1406" t="str">
        <f>IFERROR(IF(B1406="","",VLOOKUP(B1406,CadProd!$A:$C,3,0)),"")</f>
        <v/>
      </c>
    </row>
    <row r="1407" spans="3:4" x14ac:dyDescent="0.3">
      <c r="C1407" t="str">
        <f>IFERROR(IF(B1407="","",VLOOKUP(B1407,CadProd!$A:$B,2,0)),"")</f>
        <v/>
      </c>
      <c r="D1407" t="str">
        <f>IFERROR(IF(B1407="","",VLOOKUP(B1407,CadProd!$A:$C,3,0)),"")</f>
        <v/>
      </c>
    </row>
    <row r="1408" spans="3:4" x14ac:dyDescent="0.3">
      <c r="C1408" t="str">
        <f>IFERROR(IF(B1408="","",VLOOKUP(B1408,CadProd!$A:$B,2,0)),"")</f>
        <v/>
      </c>
      <c r="D1408" t="str">
        <f>IFERROR(IF(B1408="","",VLOOKUP(B1408,CadProd!$A:$C,3,0)),"")</f>
        <v/>
      </c>
    </row>
    <row r="1409" spans="3:4" x14ac:dyDescent="0.3">
      <c r="C1409" t="str">
        <f>IFERROR(IF(B1409="","",VLOOKUP(B1409,CadProd!$A:$B,2,0)),"")</f>
        <v/>
      </c>
      <c r="D1409" t="str">
        <f>IFERROR(IF(B1409="","",VLOOKUP(B1409,CadProd!$A:$C,3,0)),"")</f>
        <v/>
      </c>
    </row>
    <row r="1410" spans="3:4" x14ac:dyDescent="0.3">
      <c r="C1410" t="str">
        <f>IFERROR(IF(B1410="","",VLOOKUP(B1410,CadProd!$A:$B,2,0)),"")</f>
        <v/>
      </c>
      <c r="D1410" t="str">
        <f>IFERROR(IF(B1410="","",VLOOKUP(B1410,CadProd!$A:$C,3,0)),"")</f>
        <v/>
      </c>
    </row>
    <row r="1411" spans="3:4" x14ac:dyDescent="0.3">
      <c r="C1411" t="str">
        <f>IFERROR(IF(B1411="","",VLOOKUP(B1411,CadProd!$A:$B,2,0)),"")</f>
        <v/>
      </c>
      <c r="D1411" t="str">
        <f>IFERROR(IF(B1411="","",VLOOKUP(B1411,CadProd!$A:$C,3,0)),"")</f>
        <v/>
      </c>
    </row>
    <row r="1412" spans="3:4" x14ac:dyDescent="0.3">
      <c r="C1412" t="str">
        <f>IFERROR(IF(B1412="","",VLOOKUP(B1412,CadProd!$A:$B,2,0)),"")</f>
        <v/>
      </c>
      <c r="D1412" t="str">
        <f>IFERROR(IF(B1412="","",VLOOKUP(B1412,CadProd!$A:$C,3,0)),"")</f>
        <v/>
      </c>
    </row>
    <row r="1413" spans="3:4" x14ac:dyDescent="0.3">
      <c r="C1413" t="str">
        <f>IFERROR(IF(B1413="","",VLOOKUP(B1413,CadProd!$A:$B,2,0)),"")</f>
        <v/>
      </c>
      <c r="D1413" t="str">
        <f>IFERROR(IF(B1413="","",VLOOKUP(B1413,CadProd!$A:$C,3,0)),"")</f>
        <v/>
      </c>
    </row>
    <row r="1414" spans="3:4" x14ac:dyDescent="0.3">
      <c r="C1414" t="str">
        <f>IFERROR(IF(B1414="","",VLOOKUP(B1414,CadProd!$A:$B,2,0)),"")</f>
        <v/>
      </c>
      <c r="D1414" t="str">
        <f>IFERROR(IF(B1414="","",VLOOKUP(B1414,CadProd!$A:$C,3,0)),"")</f>
        <v/>
      </c>
    </row>
    <row r="1415" spans="3:4" x14ac:dyDescent="0.3">
      <c r="C1415" t="str">
        <f>IFERROR(IF(B1415="","",VLOOKUP(B1415,CadProd!$A:$B,2,0)),"")</f>
        <v/>
      </c>
      <c r="D1415" t="str">
        <f>IFERROR(IF(B1415="","",VLOOKUP(B1415,CadProd!$A:$C,3,0)),"")</f>
        <v/>
      </c>
    </row>
    <row r="1416" spans="3:4" x14ac:dyDescent="0.3">
      <c r="C1416" t="str">
        <f>IFERROR(IF(B1416="","",VLOOKUP(B1416,CadProd!$A:$B,2,0)),"")</f>
        <v/>
      </c>
      <c r="D1416" t="str">
        <f>IFERROR(IF(B1416="","",VLOOKUP(B1416,CadProd!$A:$C,3,0)),"")</f>
        <v/>
      </c>
    </row>
    <row r="1417" spans="3:4" x14ac:dyDescent="0.3">
      <c r="C1417" t="str">
        <f>IFERROR(IF(B1417="","",VLOOKUP(B1417,CadProd!$A:$B,2,0)),"")</f>
        <v/>
      </c>
      <c r="D1417" t="str">
        <f>IFERROR(IF(B1417="","",VLOOKUP(B1417,CadProd!$A:$C,3,0)),"")</f>
        <v/>
      </c>
    </row>
    <row r="1418" spans="3:4" x14ac:dyDescent="0.3">
      <c r="C1418" t="str">
        <f>IFERROR(IF(B1418="","",VLOOKUP(B1418,CadProd!$A:$B,2,0)),"")</f>
        <v/>
      </c>
      <c r="D1418" t="str">
        <f>IFERROR(IF(B1418="","",VLOOKUP(B1418,CadProd!$A:$C,3,0)),"")</f>
        <v/>
      </c>
    </row>
    <row r="1419" spans="3:4" x14ac:dyDescent="0.3">
      <c r="C1419" t="str">
        <f>IFERROR(IF(B1419="","",VLOOKUP(B1419,CadProd!$A:$B,2,0)),"")</f>
        <v/>
      </c>
      <c r="D1419" t="str">
        <f>IFERROR(IF(B1419="","",VLOOKUP(B1419,CadProd!$A:$C,3,0)),"")</f>
        <v/>
      </c>
    </row>
    <row r="1420" spans="3:4" x14ac:dyDescent="0.3">
      <c r="C1420" t="str">
        <f>IFERROR(IF(B1420="","",VLOOKUP(B1420,CadProd!$A:$B,2,0)),"")</f>
        <v/>
      </c>
      <c r="D1420" t="str">
        <f>IFERROR(IF(B1420="","",VLOOKUP(B1420,CadProd!$A:$C,3,0)),"")</f>
        <v/>
      </c>
    </row>
    <row r="1421" spans="3:4" x14ac:dyDescent="0.3">
      <c r="C1421" t="str">
        <f>IFERROR(IF(B1421="","",VLOOKUP(B1421,CadProd!$A:$B,2,0)),"")</f>
        <v/>
      </c>
      <c r="D1421" t="str">
        <f>IFERROR(IF(B1421="","",VLOOKUP(B1421,CadProd!$A:$C,3,0)),"")</f>
        <v/>
      </c>
    </row>
    <row r="1422" spans="3:4" x14ac:dyDescent="0.3">
      <c r="C1422" t="str">
        <f>IFERROR(IF(B1422="","",VLOOKUP(B1422,CadProd!$A:$B,2,0)),"")</f>
        <v/>
      </c>
      <c r="D1422" t="str">
        <f>IFERROR(IF(B1422="","",VLOOKUP(B1422,CadProd!$A:$C,3,0)),"")</f>
        <v/>
      </c>
    </row>
    <row r="1423" spans="3:4" x14ac:dyDescent="0.3">
      <c r="C1423" t="str">
        <f>IFERROR(IF(B1423="","",VLOOKUP(B1423,CadProd!$A:$B,2,0)),"")</f>
        <v/>
      </c>
      <c r="D1423" t="str">
        <f>IFERROR(IF(B1423="","",VLOOKUP(B1423,CadProd!$A:$C,3,0)),"")</f>
        <v/>
      </c>
    </row>
    <row r="1424" spans="3:4" x14ac:dyDescent="0.3">
      <c r="C1424" t="str">
        <f>IFERROR(IF(B1424="","",VLOOKUP(B1424,CadProd!$A:$B,2,0)),"")</f>
        <v/>
      </c>
      <c r="D1424" t="str">
        <f>IFERROR(IF(B1424="","",VLOOKUP(B1424,CadProd!$A:$C,3,0)),"")</f>
        <v/>
      </c>
    </row>
    <row r="1425" spans="3:4" x14ac:dyDescent="0.3">
      <c r="C1425" t="str">
        <f>IFERROR(IF(B1425="","",VLOOKUP(B1425,CadProd!$A:$B,2,0)),"")</f>
        <v/>
      </c>
      <c r="D1425" t="str">
        <f>IFERROR(IF(B1425="","",VLOOKUP(B1425,CadProd!$A:$C,3,0)),"")</f>
        <v/>
      </c>
    </row>
    <row r="1426" spans="3:4" x14ac:dyDescent="0.3">
      <c r="C1426" t="str">
        <f>IFERROR(IF(B1426="","",VLOOKUP(B1426,CadProd!$A:$B,2,0)),"")</f>
        <v/>
      </c>
      <c r="D1426" t="str">
        <f>IFERROR(IF(B1426="","",VLOOKUP(B1426,CadProd!$A:$C,3,0)),"")</f>
        <v/>
      </c>
    </row>
    <row r="1427" spans="3:4" x14ac:dyDescent="0.3">
      <c r="C1427" t="str">
        <f>IFERROR(IF(B1427="","",VLOOKUP(B1427,CadProd!$A:$B,2,0)),"")</f>
        <v/>
      </c>
      <c r="D1427" t="str">
        <f>IFERROR(IF(B1427="","",VLOOKUP(B1427,CadProd!$A:$C,3,0)),"")</f>
        <v/>
      </c>
    </row>
    <row r="1428" spans="3:4" x14ac:dyDescent="0.3">
      <c r="C1428" t="str">
        <f>IFERROR(IF(B1428="","",VLOOKUP(B1428,CadProd!$A:$B,2,0)),"")</f>
        <v/>
      </c>
      <c r="D1428" t="str">
        <f>IFERROR(IF(B1428="","",VLOOKUP(B1428,CadProd!$A:$C,3,0)),"")</f>
        <v/>
      </c>
    </row>
    <row r="1429" spans="3:4" x14ac:dyDescent="0.3">
      <c r="C1429" t="str">
        <f>IFERROR(IF(B1429="","",VLOOKUP(B1429,CadProd!$A:$B,2,0)),"")</f>
        <v/>
      </c>
      <c r="D1429" t="str">
        <f>IFERROR(IF(B1429="","",VLOOKUP(B1429,CadProd!$A:$C,3,0)),"")</f>
        <v/>
      </c>
    </row>
    <row r="1430" spans="3:4" x14ac:dyDescent="0.3">
      <c r="C1430" t="str">
        <f>IFERROR(IF(B1430="","",VLOOKUP(B1430,CadProd!$A:$B,2,0)),"")</f>
        <v/>
      </c>
      <c r="D1430" t="str">
        <f>IFERROR(IF(B1430="","",VLOOKUP(B1430,CadProd!$A:$C,3,0)),"")</f>
        <v/>
      </c>
    </row>
    <row r="1431" spans="3:4" x14ac:dyDescent="0.3">
      <c r="C1431" t="str">
        <f>IFERROR(IF(B1431="","",VLOOKUP(B1431,CadProd!$A:$B,2,0)),"")</f>
        <v/>
      </c>
      <c r="D1431" t="str">
        <f>IFERROR(IF(B1431="","",VLOOKUP(B1431,CadProd!$A:$C,3,0)),"")</f>
        <v/>
      </c>
    </row>
    <row r="1432" spans="3:4" x14ac:dyDescent="0.3">
      <c r="C1432" t="str">
        <f>IFERROR(IF(B1432="","",VLOOKUP(B1432,CadProd!$A:$B,2,0)),"")</f>
        <v/>
      </c>
      <c r="D1432" t="str">
        <f>IFERROR(IF(B1432="","",VLOOKUP(B1432,CadProd!$A:$C,3,0)),"")</f>
        <v/>
      </c>
    </row>
    <row r="1433" spans="3:4" x14ac:dyDescent="0.3">
      <c r="C1433" t="str">
        <f>IFERROR(IF(B1433="","",VLOOKUP(B1433,CadProd!$A:$B,2,0)),"")</f>
        <v/>
      </c>
      <c r="D1433" t="str">
        <f>IFERROR(IF(B1433="","",VLOOKUP(B1433,CadProd!$A:$C,3,0)),"")</f>
        <v/>
      </c>
    </row>
    <row r="1434" spans="3:4" x14ac:dyDescent="0.3">
      <c r="C1434" t="str">
        <f>IFERROR(IF(B1434="","",VLOOKUP(B1434,CadProd!$A:$B,2,0)),"")</f>
        <v/>
      </c>
      <c r="D1434" t="str">
        <f>IFERROR(IF(B1434="","",VLOOKUP(B1434,CadProd!$A:$C,3,0)),"")</f>
        <v/>
      </c>
    </row>
    <row r="1435" spans="3:4" x14ac:dyDescent="0.3">
      <c r="C1435" t="str">
        <f>IFERROR(IF(B1435="","",VLOOKUP(B1435,CadProd!$A:$B,2,0)),"")</f>
        <v/>
      </c>
      <c r="D1435" t="str">
        <f>IFERROR(IF(B1435="","",VLOOKUP(B1435,CadProd!$A:$C,3,0)),"")</f>
        <v/>
      </c>
    </row>
    <row r="1436" spans="3:4" x14ac:dyDescent="0.3">
      <c r="C1436" t="str">
        <f>IFERROR(IF(B1436="","",VLOOKUP(B1436,CadProd!$A:$B,2,0)),"")</f>
        <v/>
      </c>
      <c r="D1436" t="str">
        <f>IFERROR(IF(B1436="","",VLOOKUP(B1436,CadProd!$A:$C,3,0)),"")</f>
        <v/>
      </c>
    </row>
    <row r="1437" spans="3:4" x14ac:dyDescent="0.3">
      <c r="C1437" t="str">
        <f>IFERROR(IF(B1437="","",VLOOKUP(B1437,CadProd!$A:$B,2,0)),"")</f>
        <v/>
      </c>
      <c r="D1437" t="str">
        <f>IFERROR(IF(B1437="","",VLOOKUP(B1437,CadProd!$A:$C,3,0)),"")</f>
        <v/>
      </c>
    </row>
    <row r="1438" spans="3:4" x14ac:dyDescent="0.3">
      <c r="C1438" t="str">
        <f>IFERROR(IF(B1438="","",VLOOKUP(B1438,CadProd!$A:$B,2,0)),"")</f>
        <v/>
      </c>
      <c r="D1438" t="str">
        <f>IFERROR(IF(B1438="","",VLOOKUP(B1438,CadProd!$A:$C,3,0)),"")</f>
        <v/>
      </c>
    </row>
    <row r="1439" spans="3:4" x14ac:dyDescent="0.3">
      <c r="C1439" t="str">
        <f>IFERROR(IF(B1439="","",VLOOKUP(B1439,CadProd!$A:$B,2,0)),"")</f>
        <v/>
      </c>
      <c r="D1439" t="str">
        <f>IFERROR(IF(B1439="","",VLOOKUP(B1439,CadProd!$A:$C,3,0)),"")</f>
        <v/>
      </c>
    </row>
    <row r="1440" spans="3:4" x14ac:dyDescent="0.3">
      <c r="C1440" t="str">
        <f>IFERROR(IF(B1440="","",VLOOKUP(B1440,CadProd!$A:$B,2,0)),"")</f>
        <v/>
      </c>
      <c r="D1440" t="str">
        <f>IFERROR(IF(B1440="","",VLOOKUP(B1440,CadProd!$A:$C,3,0)),"")</f>
        <v/>
      </c>
    </row>
    <row r="1441" spans="3:4" x14ac:dyDescent="0.3">
      <c r="C1441" t="str">
        <f>IFERROR(IF(B1441="","",VLOOKUP(B1441,CadProd!$A:$B,2,0)),"")</f>
        <v/>
      </c>
      <c r="D1441" t="str">
        <f>IFERROR(IF(B1441="","",VLOOKUP(B1441,CadProd!$A:$C,3,0)),"")</f>
        <v/>
      </c>
    </row>
    <row r="1442" spans="3:4" x14ac:dyDescent="0.3">
      <c r="C1442" t="str">
        <f>IFERROR(IF(B1442="","",VLOOKUP(B1442,CadProd!$A:$B,2,0)),"")</f>
        <v/>
      </c>
      <c r="D1442" t="str">
        <f>IFERROR(IF(B1442="","",VLOOKUP(B1442,CadProd!$A:$C,3,0)),"")</f>
        <v/>
      </c>
    </row>
    <row r="1443" spans="3:4" x14ac:dyDescent="0.3">
      <c r="C1443" t="str">
        <f>IFERROR(IF(B1443="","",VLOOKUP(B1443,CadProd!$A:$B,2,0)),"")</f>
        <v/>
      </c>
      <c r="D1443" t="str">
        <f>IFERROR(IF(B1443="","",VLOOKUP(B1443,CadProd!$A:$C,3,0)),"")</f>
        <v/>
      </c>
    </row>
    <row r="1444" spans="3:4" x14ac:dyDescent="0.3">
      <c r="C1444" t="str">
        <f>IFERROR(IF(B1444="","",VLOOKUP(B1444,CadProd!$A:$B,2,0)),"")</f>
        <v/>
      </c>
      <c r="D1444" t="str">
        <f>IFERROR(IF(B1444="","",VLOOKUP(B1444,CadProd!$A:$C,3,0)),"")</f>
        <v/>
      </c>
    </row>
    <row r="1445" spans="3:4" x14ac:dyDescent="0.3">
      <c r="C1445" t="str">
        <f>IFERROR(IF(B1445="","",VLOOKUP(B1445,CadProd!$A:$B,2,0)),"")</f>
        <v/>
      </c>
      <c r="D1445" t="str">
        <f>IFERROR(IF(B1445="","",VLOOKUP(B1445,CadProd!$A:$C,3,0)),"")</f>
        <v/>
      </c>
    </row>
    <row r="1446" spans="3:4" x14ac:dyDescent="0.3">
      <c r="C1446" t="str">
        <f>IFERROR(IF(B1446="","",VLOOKUP(B1446,CadProd!$A:$B,2,0)),"")</f>
        <v/>
      </c>
      <c r="D1446" t="str">
        <f>IFERROR(IF(B1446="","",VLOOKUP(B1446,CadProd!$A:$C,3,0)),"")</f>
        <v/>
      </c>
    </row>
    <row r="1447" spans="3:4" x14ac:dyDescent="0.3">
      <c r="C1447" t="str">
        <f>IFERROR(IF(B1447="","",VLOOKUP(B1447,CadProd!$A:$B,2,0)),"")</f>
        <v/>
      </c>
      <c r="D1447" t="str">
        <f>IFERROR(IF(B1447="","",VLOOKUP(B1447,CadProd!$A:$C,3,0)),"")</f>
        <v/>
      </c>
    </row>
    <row r="1448" spans="3:4" x14ac:dyDescent="0.3">
      <c r="C1448" t="str">
        <f>IFERROR(IF(B1448="","",VLOOKUP(B1448,CadProd!$A:$B,2,0)),"")</f>
        <v/>
      </c>
      <c r="D1448" t="str">
        <f>IFERROR(IF(B1448="","",VLOOKUP(B1448,CadProd!$A:$C,3,0)),"")</f>
        <v/>
      </c>
    </row>
    <row r="1449" spans="3:4" x14ac:dyDescent="0.3">
      <c r="C1449" t="str">
        <f>IFERROR(IF(B1449="","",VLOOKUP(B1449,CadProd!$A:$B,2,0)),"")</f>
        <v/>
      </c>
      <c r="D1449" t="str">
        <f>IFERROR(IF(B1449="","",VLOOKUP(B1449,CadProd!$A:$C,3,0)),"")</f>
        <v/>
      </c>
    </row>
    <row r="1450" spans="3:4" x14ac:dyDescent="0.3">
      <c r="C1450" t="str">
        <f>IFERROR(IF(B1450="","",VLOOKUP(B1450,CadProd!$A:$B,2,0)),"")</f>
        <v/>
      </c>
      <c r="D1450" t="str">
        <f>IFERROR(IF(B1450="","",VLOOKUP(B1450,CadProd!$A:$C,3,0)),"")</f>
        <v/>
      </c>
    </row>
    <row r="1451" spans="3:4" x14ac:dyDescent="0.3">
      <c r="C1451" t="str">
        <f>IFERROR(IF(B1451="","",VLOOKUP(B1451,CadProd!$A:$B,2,0)),"")</f>
        <v/>
      </c>
      <c r="D1451" t="str">
        <f>IFERROR(IF(B1451="","",VLOOKUP(B1451,CadProd!$A:$C,3,0)),"")</f>
        <v/>
      </c>
    </row>
    <row r="1452" spans="3:4" x14ac:dyDescent="0.3">
      <c r="C1452" t="str">
        <f>IFERROR(IF(B1452="","",VLOOKUP(B1452,CadProd!$A:$B,2,0)),"")</f>
        <v/>
      </c>
      <c r="D1452" t="str">
        <f>IFERROR(IF(B1452="","",VLOOKUP(B1452,CadProd!$A:$C,3,0)),"")</f>
        <v/>
      </c>
    </row>
    <row r="1453" spans="3:4" x14ac:dyDescent="0.3">
      <c r="C1453" t="str">
        <f>IFERROR(IF(B1453="","",VLOOKUP(B1453,CadProd!$A:$B,2,0)),"")</f>
        <v/>
      </c>
      <c r="D1453" t="str">
        <f>IFERROR(IF(B1453="","",VLOOKUP(B1453,CadProd!$A:$C,3,0)),"")</f>
        <v/>
      </c>
    </row>
    <row r="1454" spans="3:4" x14ac:dyDescent="0.3">
      <c r="C1454" t="str">
        <f>IFERROR(IF(B1454="","",VLOOKUP(B1454,CadProd!$A:$B,2,0)),"")</f>
        <v/>
      </c>
      <c r="D1454" t="str">
        <f>IFERROR(IF(B1454="","",VLOOKUP(B1454,CadProd!$A:$C,3,0)),"")</f>
        <v/>
      </c>
    </row>
    <row r="1455" spans="3:4" x14ac:dyDescent="0.3">
      <c r="C1455" t="str">
        <f>IFERROR(IF(B1455="","",VLOOKUP(B1455,CadProd!$A:$B,2,0)),"")</f>
        <v/>
      </c>
      <c r="D1455" t="str">
        <f>IFERROR(IF(B1455="","",VLOOKUP(B1455,CadProd!$A:$C,3,0)),"")</f>
        <v/>
      </c>
    </row>
    <row r="1456" spans="3:4" x14ac:dyDescent="0.3">
      <c r="C1456" t="str">
        <f>IFERROR(IF(B1456="","",VLOOKUP(B1456,CadProd!$A:$B,2,0)),"")</f>
        <v/>
      </c>
      <c r="D1456" t="str">
        <f>IFERROR(IF(B1456="","",VLOOKUP(B1456,CadProd!$A:$C,3,0)),"")</f>
        <v/>
      </c>
    </row>
    <row r="1457" spans="3:4" x14ac:dyDescent="0.3">
      <c r="C1457" t="str">
        <f>IFERROR(IF(B1457="","",VLOOKUP(B1457,CadProd!$A:$B,2,0)),"")</f>
        <v/>
      </c>
      <c r="D1457" t="str">
        <f>IFERROR(IF(B1457="","",VLOOKUP(B1457,CadProd!$A:$C,3,0)),"")</f>
        <v/>
      </c>
    </row>
    <row r="1458" spans="3:4" x14ac:dyDescent="0.3">
      <c r="C1458" t="str">
        <f>IFERROR(IF(B1458="","",VLOOKUP(B1458,CadProd!$A:$B,2,0)),"")</f>
        <v/>
      </c>
      <c r="D1458" t="str">
        <f>IFERROR(IF(B1458="","",VLOOKUP(B1458,CadProd!$A:$C,3,0)),"")</f>
        <v/>
      </c>
    </row>
    <row r="1459" spans="3:4" x14ac:dyDescent="0.3">
      <c r="C1459" t="str">
        <f>IFERROR(IF(B1459="","",VLOOKUP(B1459,CadProd!$A:$B,2,0)),"")</f>
        <v/>
      </c>
      <c r="D1459" t="str">
        <f>IFERROR(IF(B1459="","",VLOOKUP(B1459,CadProd!$A:$C,3,0)),"")</f>
        <v/>
      </c>
    </row>
    <row r="1460" spans="3:4" x14ac:dyDescent="0.3">
      <c r="C1460" t="str">
        <f>IFERROR(IF(B1460="","",VLOOKUP(B1460,CadProd!$A:$B,2,0)),"")</f>
        <v/>
      </c>
      <c r="D1460" t="str">
        <f>IFERROR(IF(B1460="","",VLOOKUP(B1460,CadProd!$A:$C,3,0)),"")</f>
        <v/>
      </c>
    </row>
    <row r="1461" spans="3:4" x14ac:dyDescent="0.3">
      <c r="C1461" t="str">
        <f>IFERROR(IF(B1461="","",VLOOKUP(B1461,CadProd!$A:$B,2,0)),"")</f>
        <v/>
      </c>
      <c r="D1461" t="str">
        <f>IFERROR(IF(B1461="","",VLOOKUP(B1461,CadProd!$A:$C,3,0)),"")</f>
        <v/>
      </c>
    </row>
    <row r="1462" spans="3:4" x14ac:dyDescent="0.3">
      <c r="C1462" t="str">
        <f>IFERROR(IF(B1462="","",VLOOKUP(B1462,CadProd!$A:$B,2,0)),"")</f>
        <v/>
      </c>
      <c r="D1462" t="str">
        <f>IFERROR(IF(B1462="","",VLOOKUP(B1462,CadProd!$A:$C,3,0)),"")</f>
        <v/>
      </c>
    </row>
    <row r="1463" spans="3:4" x14ac:dyDescent="0.3">
      <c r="C1463" t="str">
        <f>IFERROR(IF(B1463="","",VLOOKUP(B1463,CadProd!$A:$B,2,0)),"")</f>
        <v/>
      </c>
      <c r="D1463" t="str">
        <f>IFERROR(IF(B1463="","",VLOOKUP(B1463,CadProd!$A:$C,3,0)),"")</f>
        <v/>
      </c>
    </row>
    <row r="1464" spans="3:4" x14ac:dyDescent="0.3">
      <c r="C1464" t="str">
        <f>IFERROR(IF(B1464="","",VLOOKUP(B1464,CadProd!$A:$B,2,0)),"")</f>
        <v/>
      </c>
      <c r="D1464" t="str">
        <f>IFERROR(IF(B1464="","",VLOOKUP(B1464,CadProd!$A:$C,3,0)),"")</f>
        <v/>
      </c>
    </row>
    <row r="1465" spans="3:4" x14ac:dyDescent="0.3">
      <c r="C1465" t="str">
        <f>IFERROR(IF(B1465="","",VLOOKUP(B1465,CadProd!$A:$B,2,0)),"")</f>
        <v/>
      </c>
      <c r="D1465" t="str">
        <f>IFERROR(IF(B1465="","",VLOOKUP(B1465,CadProd!$A:$C,3,0)),"")</f>
        <v/>
      </c>
    </row>
    <row r="1466" spans="3:4" x14ac:dyDescent="0.3">
      <c r="C1466" t="str">
        <f>IFERROR(IF(B1466="","",VLOOKUP(B1466,CadProd!$A:$B,2,0)),"")</f>
        <v/>
      </c>
      <c r="D1466" t="str">
        <f>IFERROR(IF(B1466="","",VLOOKUP(B1466,CadProd!$A:$C,3,0)),"")</f>
        <v/>
      </c>
    </row>
    <row r="1467" spans="3:4" x14ac:dyDescent="0.3">
      <c r="C1467" t="str">
        <f>IFERROR(IF(B1467="","",VLOOKUP(B1467,CadProd!$A:$B,2,0)),"")</f>
        <v/>
      </c>
      <c r="D1467" t="str">
        <f>IFERROR(IF(B1467="","",VLOOKUP(B1467,CadProd!$A:$C,3,0)),"")</f>
        <v/>
      </c>
    </row>
    <row r="1468" spans="3:4" x14ac:dyDescent="0.3">
      <c r="C1468" t="str">
        <f>IFERROR(IF(B1468="","",VLOOKUP(B1468,CadProd!$A:$B,2,0)),"")</f>
        <v/>
      </c>
      <c r="D1468" t="str">
        <f>IFERROR(IF(B1468="","",VLOOKUP(B1468,CadProd!$A:$C,3,0)),"")</f>
        <v/>
      </c>
    </row>
    <row r="1469" spans="3:4" x14ac:dyDescent="0.3">
      <c r="C1469" t="str">
        <f>IFERROR(IF(B1469="","",VLOOKUP(B1469,CadProd!$A:$B,2,0)),"")</f>
        <v/>
      </c>
      <c r="D1469" t="str">
        <f>IFERROR(IF(B1469="","",VLOOKUP(B1469,CadProd!$A:$C,3,0)),"")</f>
        <v/>
      </c>
    </row>
    <row r="1470" spans="3:4" x14ac:dyDescent="0.3">
      <c r="C1470" t="str">
        <f>IFERROR(IF(B1470="","",VLOOKUP(B1470,CadProd!$A:$B,2,0)),"")</f>
        <v/>
      </c>
      <c r="D1470" t="str">
        <f>IFERROR(IF(B1470="","",VLOOKUP(B1470,CadProd!$A:$C,3,0)),"")</f>
        <v/>
      </c>
    </row>
    <row r="1471" spans="3:4" x14ac:dyDescent="0.3">
      <c r="C1471" t="str">
        <f>IFERROR(IF(B1471="","",VLOOKUP(B1471,CadProd!$A:$B,2,0)),"")</f>
        <v/>
      </c>
      <c r="D1471" t="str">
        <f>IFERROR(IF(B1471="","",VLOOKUP(B1471,CadProd!$A:$C,3,0)),"")</f>
        <v/>
      </c>
    </row>
    <row r="1472" spans="3:4" x14ac:dyDescent="0.3">
      <c r="C1472" t="str">
        <f>IFERROR(IF(B1472="","",VLOOKUP(B1472,CadProd!$A:$B,2,0)),"")</f>
        <v/>
      </c>
      <c r="D1472" t="str">
        <f>IFERROR(IF(B1472="","",VLOOKUP(B1472,CadProd!$A:$C,3,0)),"")</f>
        <v/>
      </c>
    </row>
    <row r="1473" spans="3:4" x14ac:dyDescent="0.3">
      <c r="C1473" t="str">
        <f>IFERROR(IF(B1473="","",VLOOKUP(B1473,CadProd!$A:$B,2,0)),"")</f>
        <v/>
      </c>
      <c r="D1473" t="str">
        <f>IFERROR(IF(B1473="","",VLOOKUP(B1473,CadProd!$A:$C,3,0)),"")</f>
        <v/>
      </c>
    </row>
    <row r="1474" spans="3:4" x14ac:dyDescent="0.3">
      <c r="C1474" t="str">
        <f>IFERROR(IF(B1474="","",VLOOKUP(B1474,CadProd!$A:$B,2,0)),"")</f>
        <v/>
      </c>
      <c r="D1474" t="str">
        <f>IFERROR(IF(B1474="","",VLOOKUP(B1474,CadProd!$A:$C,3,0)),"")</f>
        <v/>
      </c>
    </row>
    <row r="1475" spans="3:4" x14ac:dyDescent="0.3">
      <c r="C1475" t="str">
        <f>IFERROR(IF(B1475="","",VLOOKUP(B1475,CadProd!$A:$B,2,0)),"")</f>
        <v/>
      </c>
      <c r="D1475" t="str">
        <f>IFERROR(IF(B1475="","",VLOOKUP(B1475,CadProd!$A:$C,3,0)),"")</f>
        <v/>
      </c>
    </row>
    <row r="1476" spans="3:4" x14ac:dyDescent="0.3">
      <c r="C1476" t="str">
        <f>IFERROR(IF(B1476="","",VLOOKUP(B1476,CadProd!$A:$B,2,0)),"")</f>
        <v/>
      </c>
      <c r="D1476" t="str">
        <f>IFERROR(IF(B1476="","",VLOOKUP(B1476,CadProd!$A:$C,3,0)),"")</f>
        <v/>
      </c>
    </row>
    <row r="1477" spans="3:4" x14ac:dyDescent="0.3">
      <c r="C1477" t="str">
        <f>IFERROR(IF(B1477="","",VLOOKUP(B1477,CadProd!$A:$B,2,0)),"")</f>
        <v/>
      </c>
      <c r="D1477" t="str">
        <f>IFERROR(IF(B1477="","",VLOOKUP(B1477,CadProd!$A:$C,3,0)),"")</f>
        <v/>
      </c>
    </row>
    <row r="1478" spans="3:4" x14ac:dyDescent="0.3">
      <c r="C1478" t="str">
        <f>IFERROR(IF(B1478="","",VLOOKUP(B1478,CadProd!$A:$B,2,0)),"")</f>
        <v/>
      </c>
      <c r="D1478" t="str">
        <f>IFERROR(IF(B1478="","",VLOOKUP(B1478,CadProd!$A:$C,3,0)),"")</f>
        <v/>
      </c>
    </row>
    <row r="1479" spans="3:4" x14ac:dyDescent="0.3">
      <c r="C1479" t="str">
        <f>IFERROR(IF(B1479="","",VLOOKUP(B1479,CadProd!$A:$B,2,0)),"")</f>
        <v/>
      </c>
      <c r="D1479" t="str">
        <f>IFERROR(IF(B1479="","",VLOOKUP(B1479,CadProd!$A:$C,3,0)),"")</f>
        <v/>
      </c>
    </row>
    <row r="1480" spans="3:4" x14ac:dyDescent="0.3">
      <c r="C1480" t="str">
        <f>IFERROR(IF(B1480="","",VLOOKUP(B1480,CadProd!$A:$B,2,0)),"")</f>
        <v/>
      </c>
      <c r="D1480" t="str">
        <f>IFERROR(IF(B1480="","",VLOOKUP(B1480,CadProd!$A:$C,3,0)),"")</f>
        <v/>
      </c>
    </row>
    <row r="1481" spans="3:4" x14ac:dyDescent="0.3">
      <c r="C1481" t="str">
        <f>IFERROR(IF(B1481="","",VLOOKUP(B1481,CadProd!$A:$B,2,0)),"")</f>
        <v/>
      </c>
      <c r="D1481" t="str">
        <f>IFERROR(IF(B1481="","",VLOOKUP(B1481,CadProd!$A:$C,3,0)),"")</f>
        <v/>
      </c>
    </row>
    <row r="1482" spans="3:4" x14ac:dyDescent="0.3">
      <c r="C1482" t="str">
        <f>IFERROR(IF(B1482="","",VLOOKUP(B1482,CadProd!$A:$B,2,0)),"")</f>
        <v/>
      </c>
      <c r="D1482" t="str">
        <f>IFERROR(IF(B1482="","",VLOOKUP(B1482,CadProd!$A:$C,3,0)),"")</f>
        <v/>
      </c>
    </row>
    <row r="1483" spans="3:4" x14ac:dyDescent="0.3">
      <c r="C1483" t="str">
        <f>IFERROR(IF(B1483="","",VLOOKUP(B1483,CadProd!$A:$B,2,0)),"")</f>
        <v/>
      </c>
      <c r="D1483" t="str">
        <f>IFERROR(IF(B1483="","",VLOOKUP(B1483,CadProd!$A:$C,3,0)),"")</f>
        <v/>
      </c>
    </row>
    <row r="1484" spans="3:4" x14ac:dyDescent="0.3">
      <c r="C1484" t="str">
        <f>IFERROR(IF(B1484="","",VLOOKUP(B1484,CadProd!$A:$B,2,0)),"")</f>
        <v/>
      </c>
      <c r="D1484" t="str">
        <f>IFERROR(IF(B1484="","",VLOOKUP(B1484,CadProd!$A:$C,3,0)),"")</f>
        <v/>
      </c>
    </row>
    <row r="1485" spans="3:4" x14ac:dyDescent="0.3">
      <c r="C1485" t="str">
        <f>IFERROR(IF(B1485="","",VLOOKUP(B1485,CadProd!$A:$B,2,0)),"")</f>
        <v/>
      </c>
      <c r="D1485" t="str">
        <f>IFERROR(IF(B1485="","",VLOOKUP(B1485,CadProd!$A:$C,3,0)),"")</f>
        <v/>
      </c>
    </row>
    <row r="1486" spans="3:4" x14ac:dyDescent="0.3">
      <c r="C1486" t="str">
        <f>IFERROR(IF(B1486="","",VLOOKUP(B1486,CadProd!$A:$B,2,0)),"")</f>
        <v/>
      </c>
      <c r="D1486" t="str">
        <f>IFERROR(IF(B1486="","",VLOOKUP(B1486,CadProd!$A:$C,3,0)),"")</f>
        <v/>
      </c>
    </row>
    <row r="1487" spans="3:4" x14ac:dyDescent="0.3">
      <c r="C1487" t="str">
        <f>IFERROR(IF(B1487="","",VLOOKUP(B1487,CadProd!$A:$B,2,0)),"")</f>
        <v/>
      </c>
      <c r="D1487" t="str">
        <f>IFERROR(IF(B1487="","",VLOOKUP(B1487,CadProd!$A:$C,3,0)),"")</f>
        <v/>
      </c>
    </row>
    <row r="1488" spans="3:4" x14ac:dyDescent="0.3">
      <c r="C1488" t="str">
        <f>IFERROR(IF(B1488="","",VLOOKUP(B1488,CadProd!$A:$B,2,0)),"")</f>
        <v/>
      </c>
      <c r="D1488" t="str">
        <f>IFERROR(IF(B1488="","",VLOOKUP(B1488,CadProd!$A:$C,3,0)),"")</f>
        <v/>
      </c>
    </row>
    <row r="1489" spans="3:4" x14ac:dyDescent="0.3">
      <c r="C1489" t="str">
        <f>IFERROR(IF(B1489="","",VLOOKUP(B1489,CadProd!$A:$B,2,0)),"")</f>
        <v/>
      </c>
      <c r="D1489" t="str">
        <f>IFERROR(IF(B1489="","",VLOOKUP(B1489,CadProd!$A:$C,3,0)),"")</f>
        <v/>
      </c>
    </row>
    <row r="1490" spans="3:4" x14ac:dyDescent="0.3">
      <c r="C1490" t="str">
        <f>IFERROR(IF(B1490="","",VLOOKUP(B1490,CadProd!$A:$B,2,0)),"")</f>
        <v/>
      </c>
      <c r="D1490" t="str">
        <f>IFERROR(IF(B1490="","",VLOOKUP(B1490,CadProd!$A:$C,3,0)),"")</f>
        <v/>
      </c>
    </row>
    <row r="1491" spans="3:4" x14ac:dyDescent="0.3">
      <c r="C1491" t="str">
        <f>IFERROR(IF(B1491="","",VLOOKUP(B1491,CadProd!$A:$B,2,0)),"")</f>
        <v/>
      </c>
      <c r="D1491" t="str">
        <f>IFERROR(IF(B1491="","",VLOOKUP(B1491,CadProd!$A:$C,3,0)),"")</f>
        <v/>
      </c>
    </row>
    <row r="1492" spans="3:4" x14ac:dyDescent="0.3">
      <c r="C1492" t="str">
        <f>IFERROR(IF(B1492="","",VLOOKUP(B1492,CadProd!$A:$B,2,0)),"")</f>
        <v/>
      </c>
      <c r="D1492" t="str">
        <f>IFERROR(IF(B1492="","",VLOOKUP(B1492,CadProd!$A:$C,3,0)),"")</f>
        <v/>
      </c>
    </row>
    <row r="1493" spans="3:4" x14ac:dyDescent="0.3">
      <c r="C1493" t="str">
        <f>IFERROR(IF(B1493="","",VLOOKUP(B1493,CadProd!$A:$B,2,0)),"")</f>
        <v/>
      </c>
      <c r="D1493" t="str">
        <f>IFERROR(IF(B1493="","",VLOOKUP(B1493,CadProd!$A:$C,3,0)),"")</f>
        <v/>
      </c>
    </row>
    <row r="1494" spans="3:4" x14ac:dyDescent="0.3">
      <c r="C1494" t="str">
        <f>IFERROR(IF(B1494="","",VLOOKUP(B1494,CadProd!$A:$B,2,0)),"")</f>
        <v/>
      </c>
      <c r="D1494" t="str">
        <f>IFERROR(IF(B1494="","",VLOOKUP(B1494,CadProd!$A:$C,3,0)),"")</f>
        <v/>
      </c>
    </row>
    <row r="1495" spans="3:4" x14ac:dyDescent="0.3">
      <c r="C1495" t="str">
        <f>IFERROR(IF(B1495="","",VLOOKUP(B1495,CadProd!$A:$B,2,0)),"")</f>
        <v/>
      </c>
      <c r="D1495" t="str">
        <f>IFERROR(IF(B1495="","",VLOOKUP(B1495,CadProd!$A:$C,3,0)),"")</f>
        <v/>
      </c>
    </row>
    <row r="1496" spans="3:4" x14ac:dyDescent="0.3">
      <c r="C1496" t="str">
        <f>IFERROR(IF(B1496="","",VLOOKUP(B1496,CadProd!$A:$B,2,0)),"")</f>
        <v/>
      </c>
      <c r="D1496" t="str">
        <f>IFERROR(IF(B1496="","",VLOOKUP(B1496,CadProd!$A:$C,3,0)),"")</f>
        <v/>
      </c>
    </row>
    <row r="1497" spans="3:4" x14ac:dyDescent="0.3">
      <c r="C1497" t="str">
        <f>IFERROR(IF(B1497="","",VLOOKUP(B1497,CadProd!$A:$B,2,0)),"")</f>
        <v/>
      </c>
      <c r="D1497" t="str">
        <f>IFERROR(IF(B1497="","",VLOOKUP(B1497,CadProd!$A:$C,3,0)),"")</f>
        <v/>
      </c>
    </row>
    <row r="1498" spans="3:4" x14ac:dyDescent="0.3">
      <c r="C1498" t="str">
        <f>IFERROR(IF(B1498="","",VLOOKUP(B1498,CadProd!$A:$B,2,0)),"")</f>
        <v/>
      </c>
      <c r="D1498" t="str">
        <f>IFERROR(IF(B1498="","",VLOOKUP(B1498,CadProd!$A:$C,3,0)),"")</f>
        <v/>
      </c>
    </row>
    <row r="1499" spans="3:4" x14ac:dyDescent="0.3">
      <c r="C1499" t="str">
        <f>IFERROR(IF(B1499="","",VLOOKUP(B1499,CadProd!$A:$B,2,0)),"")</f>
        <v/>
      </c>
      <c r="D1499" t="str">
        <f>IFERROR(IF(B1499="","",VLOOKUP(B1499,CadProd!$A:$C,3,0)),"")</f>
        <v/>
      </c>
    </row>
    <row r="1500" spans="3:4" x14ac:dyDescent="0.3">
      <c r="C1500" t="str">
        <f>IFERROR(IF(B1500="","",VLOOKUP(B1500,CadProd!$A:$B,2,0)),"")</f>
        <v/>
      </c>
      <c r="D1500" t="str">
        <f>IFERROR(IF(B1500="","",VLOOKUP(B1500,CadProd!$A:$C,3,0)),"")</f>
        <v/>
      </c>
    </row>
    <row r="1501" spans="3:4" x14ac:dyDescent="0.3">
      <c r="C1501" t="str">
        <f>IFERROR(IF(B1501="","",VLOOKUP(B1501,CadProd!$A:$B,2,0)),"")</f>
        <v/>
      </c>
      <c r="D1501" t="str">
        <f>IFERROR(IF(B1501="","",VLOOKUP(B1501,CadProd!$A:$C,3,0)),"")</f>
        <v/>
      </c>
    </row>
    <row r="1502" spans="3:4" x14ac:dyDescent="0.3">
      <c r="C1502" t="str">
        <f>IFERROR(IF(B1502="","",VLOOKUP(B1502,CadProd!$A:$B,2,0)),"")</f>
        <v/>
      </c>
      <c r="D1502" t="str">
        <f>IFERROR(IF(B1502="","",VLOOKUP(B1502,CadProd!$A:$C,3,0)),"")</f>
        <v/>
      </c>
    </row>
    <row r="1503" spans="3:4" x14ac:dyDescent="0.3">
      <c r="C1503" t="str">
        <f>IFERROR(IF(B1503="","",VLOOKUP(B1503,CadProd!$A:$B,2,0)),"")</f>
        <v/>
      </c>
      <c r="D1503" t="str">
        <f>IFERROR(IF(B1503="","",VLOOKUP(B1503,CadProd!$A:$C,3,0)),"")</f>
        <v/>
      </c>
    </row>
    <row r="1504" spans="3:4" x14ac:dyDescent="0.3">
      <c r="C1504" t="str">
        <f>IFERROR(IF(B1504="","",VLOOKUP(B1504,CadProd!$A:$B,2,0)),"")</f>
        <v/>
      </c>
      <c r="D1504" t="str">
        <f>IFERROR(IF(B1504="","",VLOOKUP(B1504,CadProd!$A:$C,3,0)),"")</f>
        <v/>
      </c>
    </row>
    <row r="1505" spans="3:4" x14ac:dyDescent="0.3">
      <c r="C1505" t="str">
        <f>IFERROR(IF(B1505="","",VLOOKUP(B1505,CadProd!$A:$B,2,0)),"")</f>
        <v/>
      </c>
      <c r="D1505" t="str">
        <f>IFERROR(IF(B1505="","",VLOOKUP(B1505,CadProd!$A:$C,3,0)),"")</f>
        <v/>
      </c>
    </row>
    <row r="1506" spans="3:4" x14ac:dyDescent="0.3">
      <c r="C1506" t="str">
        <f>IFERROR(IF(B1506="","",VLOOKUP(B1506,CadProd!$A:$B,2,0)),"")</f>
        <v/>
      </c>
      <c r="D1506" t="str">
        <f>IFERROR(IF(B1506="","",VLOOKUP(B1506,CadProd!$A:$C,3,0)),"")</f>
        <v/>
      </c>
    </row>
    <row r="1507" spans="3:4" x14ac:dyDescent="0.3">
      <c r="C1507" t="str">
        <f>IFERROR(IF(B1507="","",VLOOKUP(B1507,CadProd!$A:$B,2,0)),"")</f>
        <v/>
      </c>
      <c r="D1507" t="str">
        <f>IFERROR(IF(B1507="","",VLOOKUP(B1507,CadProd!$A:$C,3,0)),"")</f>
        <v/>
      </c>
    </row>
    <row r="1508" spans="3:4" x14ac:dyDescent="0.3">
      <c r="C1508" t="str">
        <f>IFERROR(IF(B1508="","",VLOOKUP(B1508,CadProd!$A:$B,2,0)),"")</f>
        <v/>
      </c>
      <c r="D1508" t="str">
        <f>IFERROR(IF(B1508="","",VLOOKUP(B1508,CadProd!$A:$C,3,0)),"")</f>
        <v/>
      </c>
    </row>
    <row r="1509" spans="3:4" x14ac:dyDescent="0.3">
      <c r="C1509" t="str">
        <f>IFERROR(IF(B1509="","",VLOOKUP(B1509,CadProd!$A:$B,2,0)),"")</f>
        <v/>
      </c>
      <c r="D1509" t="str">
        <f>IFERROR(IF(B1509="","",VLOOKUP(B1509,CadProd!$A:$C,3,0)),"")</f>
        <v/>
      </c>
    </row>
    <row r="1510" spans="3:4" x14ac:dyDescent="0.3">
      <c r="C1510" t="str">
        <f>IFERROR(IF(B1510="","",VLOOKUP(B1510,CadProd!$A:$B,2,0)),"")</f>
        <v/>
      </c>
      <c r="D1510" t="str">
        <f>IFERROR(IF(B1510="","",VLOOKUP(B1510,CadProd!$A:$C,3,0)),"")</f>
        <v/>
      </c>
    </row>
    <row r="1511" spans="3:4" x14ac:dyDescent="0.3">
      <c r="C1511" t="str">
        <f>IFERROR(IF(B1511="","",VLOOKUP(B1511,CadProd!$A:$B,2,0)),"")</f>
        <v/>
      </c>
      <c r="D1511" t="str">
        <f>IFERROR(IF(B1511="","",VLOOKUP(B1511,CadProd!$A:$C,3,0)),"")</f>
        <v/>
      </c>
    </row>
    <row r="1512" spans="3:4" x14ac:dyDescent="0.3">
      <c r="C1512" t="str">
        <f>IFERROR(IF(B1512="","",VLOOKUP(B1512,CadProd!$A:$B,2,0)),"")</f>
        <v/>
      </c>
      <c r="D1512" t="str">
        <f>IFERROR(IF(B1512="","",VLOOKUP(B1512,CadProd!$A:$C,3,0)),"")</f>
        <v/>
      </c>
    </row>
    <row r="1513" spans="3:4" x14ac:dyDescent="0.3">
      <c r="C1513" t="str">
        <f>IFERROR(IF(B1513="","",VLOOKUP(B1513,CadProd!$A:$B,2,0)),"")</f>
        <v/>
      </c>
      <c r="D1513" t="str">
        <f>IFERROR(IF(B1513="","",VLOOKUP(B1513,CadProd!$A:$C,3,0)),"")</f>
        <v/>
      </c>
    </row>
    <row r="1514" spans="3:4" x14ac:dyDescent="0.3">
      <c r="C1514" t="str">
        <f>IFERROR(IF(B1514="","",VLOOKUP(B1514,CadProd!$A:$B,2,0)),"")</f>
        <v/>
      </c>
      <c r="D1514" t="str">
        <f>IFERROR(IF(B1514="","",VLOOKUP(B1514,CadProd!$A:$C,3,0)),"")</f>
        <v/>
      </c>
    </row>
    <row r="1515" spans="3:4" x14ac:dyDescent="0.3">
      <c r="C1515" t="str">
        <f>IFERROR(IF(B1515="","",VLOOKUP(B1515,CadProd!$A:$B,2,0)),"")</f>
        <v/>
      </c>
      <c r="D1515" t="str">
        <f>IFERROR(IF(B1515="","",VLOOKUP(B1515,CadProd!$A:$C,3,0)),"")</f>
        <v/>
      </c>
    </row>
    <row r="1516" spans="3:4" x14ac:dyDescent="0.3">
      <c r="C1516" t="str">
        <f>IFERROR(IF(B1516="","",VLOOKUP(B1516,CadProd!$A:$B,2,0)),"")</f>
        <v/>
      </c>
      <c r="D1516" t="str">
        <f>IFERROR(IF(B1516="","",VLOOKUP(B1516,CadProd!$A:$C,3,0)),"")</f>
        <v/>
      </c>
    </row>
    <row r="1517" spans="3:4" x14ac:dyDescent="0.3">
      <c r="C1517" t="str">
        <f>IFERROR(IF(B1517="","",VLOOKUP(B1517,CadProd!$A:$B,2,0)),"")</f>
        <v/>
      </c>
      <c r="D1517" t="str">
        <f>IFERROR(IF(B1517="","",VLOOKUP(B1517,CadProd!$A:$C,3,0)),"")</f>
        <v/>
      </c>
    </row>
    <row r="1518" spans="3:4" x14ac:dyDescent="0.3">
      <c r="C1518" t="str">
        <f>IFERROR(IF(B1518="","",VLOOKUP(B1518,CadProd!$A:$B,2,0)),"")</f>
        <v/>
      </c>
      <c r="D1518" t="str">
        <f>IFERROR(IF(B1518="","",VLOOKUP(B1518,CadProd!$A:$C,3,0)),"")</f>
        <v/>
      </c>
    </row>
    <row r="1519" spans="3:4" x14ac:dyDescent="0.3">
      <c r="C1519" t="str">
        <f>IFERROR(IF(B1519="","",VLOOKUP(B1519,CadProd!$A:$B,2,0)),"")</f>
        <v/>
      </c>
      <c r="D1519" t="str">
        <f>IFERROR(IF(B1519="","",VLOOKUP(B1519,CadProd!$A:$C,3,0)),"")</f>
        <v/>
      </c>
    </row>
    <row r="1520" spans="3:4" x14ac:dyDescent="0.3">
      <c r="C1520" t="str">
        <f>IFERROR(IF(B1520="","",VLOOKUP(B1520,CadProd!$A:$B,2,0)),"")</f>
        <v/>
      </c>
      <c r="D1520" t="str">
        <f>IFERROR(IF(B1520="","",VLOOKUP(B1520,CadProd!$A:$C,3,0)),"")</f>
        <v/>
      </c>
    </row>
    <row r="1521" spans="3:4" x14ac:dyDescent="0.3">
      <c r="C1521" t="str">
        <f>IFERROR(IF(B1521="","",VLOOKUP(B1521,CadProd!$A:$B,2,0)),"")</f>
        <v/>
      </c>
      <c r="D1521" t="str">
        <f>IFERROR(IF(B1521="","",VLOOKUP(B1521,CadProd!$A:$C,3,0)),"")</f>
        <v/>
      </c>
    </row>
    <row r="1522" spans="3:4" x14ac:dyDescent="0.3">
      <c r="C1522" t="str">
        <f>IFERROR(IF(B1522="","",VLOOKUP(B1522,CadProd!$A:$B,2,0)),"")</f>
        <v/>
      </c>
      <c r="D1522" t="str">
        <f>IFERROR(IF(B1522="","",VLOOKUP(B1522,CadProd!$A:$C,3,0)),"")</f>
        <v/>
      </c>
    </row>
    <row r="1523" spans="3:4" x14ac:dyDescent="0.3">
      <c r="C1523" t="str">
        <f>IFERROR(IF(B1523="","",VLOOKUP(B1523,CadProd!$A:$B,2,0)),"")</f>
        <v/>
      </c>
      <c r="D1523" t="str">
        <f>IFERROR(IF(B1523="","",VLOOKUP(B1523,CadProd!$A:$C,3,0)),"")</f>
        <v/>
      </c>
    </row>
    <row r="1524" spans="3:4" x14ac:dyDescent="0.3">
      <c r="C1524" t="str">
        <f>IFERROR(IF(B1524="","",VLOOKUP(B1524,CadProd!$A:$B,2,0)),"")</f>
        <v/>
      </c>
      <c r="D1524" t="str">
        <f>IFERROR(IF(B1524="","",VLOOKUP(B1524,CadProd!$A:$C,3,0)),"")</f>
        <v/>
      </c>
    </row>
    <row r="1525" spans="3:4" x14ac:dyDescent="0.3">
      <c r="C1525" t="str">
        <f>IFERROR(IF(B1525="","",VLOOKUP(B1525,CadProd!$A:$B,2,0)),"")</f>
        <v/>
      </c>
      <c r="D1525" t="str">
        <f>IFERROR(IF(B1525="","",VLOOKUP(B1525,CadProd!$A:$C,3,0)),"")</f>
        <v/>
      </c>
    </row>
    <row r="1526" spans="3:4" x14ac:dyDescent="0.3">
      <c r="C1526" t="str">
        <f>IFERROR(IF(B1526="","",VLOOKUP(B1526,CadProd!$A:$B,2,0)),"")</f>
        <v/>
      </c>
      <c r="D1526" t="str">
        <f>IFERROR(IF(B1526="","",VLOOKUP(B1526,CadProd!$A:$C,3,0)),"")</f>
        <v/>
      </c>
    </row>
    <row r="1527" spans="3:4" x14ac:dyDescent="0.3">
      <c r="C1527" t="str">
        <f>IFERROR(IF(B1527="","",VLOOKUP(B1527,CadProd!$A:$B,2,0)),"")</f>
        <v/>
      </c>
      <c r="D1527" t="str">
        <f>IFERROR(IF(B1527="","",VLOOKUP(B1527,CadProd!$A:$C,3,0)),"")</f>
        <v/>
      </c>
    </row>
    <row r="1528" spans="3:4" x14ac:dyDescent="0.3">
      <c r="C1528" t="str">
        <f>IFERROR(IF(B1528="","",VLOOKUP(B1528,CadProd!$A:$B,2,0)),"")</f>
        <v/>
      </c>
      <c r="D1528" t="str">
        <f>IFERROR(IF(B1528="","",VLOOKUP(B1528,CadProd!$A:$C,3,0)),"")</f>
        <v/>
      </c>
    </row>
    <row r="1529" spans="3:4" x14ac:dyDescent="0.3">
      <c r="C1529" t="str">
        <f>IFERROR(IF(B1529="","",VLOOKUP(B1529,CadProd!$A:$B,2,0)),"")</f>
        <v/>
      </c>
      <c r="D1529" t="str">
        <f>IFERROR(IF(B1529="","",VLOOKUP(B1529,CadProd!$A:$C,3,0)),"")</f>
        <v/>
      </c>
    </row>
    <row r="1530" spans="3:4" x14ac:dyDescent="0.3">
      <c r="C1530" t="str">
        <f>IFERROR(IF(B1530="","",VLOOKUP(B1530,CadProd!$A:$B,2,0)),"")</f>
        <v/>
      </c>
      <c r="D1530" t="str">
        <f>IFERROR(IF(B1530="","",VLOOKUP(B1530,CadProd!$A:$C,3,0)),"")</f>
        <v/>
      </c>
    </row>
    <row r="1531" spans="3:4" x14ac:dyDescent="0.3">
      <c r="C1531" t="str">
        <f>IFERROR(IF(B1531="","",VLOOKUP(B1531,CadProd!$A:$B,2,0)),"")</f>
        <v/>
      </c>
      <c r="D1531" t="str">
        <f>IFERROR(IF(B1531="","",VLOOKUP(B1531,CadProd!$A:$C,3,0)),"")</f>
        <v/>
      </c>
    </row>
    <row r="1532" spans="3:4" x14ac:dyDescent="0.3">
      <c r="C1532" t="str">
        <f>IFERROR(IF(B1532="","",VLOOKUP(B1532,CadProd!$A:$B,2,0)),"")</f>
        <v/>
      </c>
      <c r="D1532" t="str">
        <f>IFERROR(IF(B1532="","",VLOOKUP(B1532,CadProd!$A:$C,3,0)),"")</f>
        <v/>
      </c>
    </row>
    <row r="1533" spans="3:4" x14ac:dyDescent="0.3">
      <c r="C1533" t="str">
        <f>IFERROR(IF(B1533="","",VLOOKUP(B1533,CadProd!$A:$B,2,0)),"")</f>
        <v/>
      </c>
      <c r="D1533" t="str">
        <f>IFERROR(IF(B1533="","",VLOOKUP(B1533,CadProd!$A:$C,3,0)),"")</f>
        <v/>
      </c>
    </row>
    <row r="1534" spans="3:4" x14ac:dyDescent="0.3">
      <c r="C1534" t="str">
        <f>IFERROR(IF(B1534="","",VLOOKUP(B1534,CadProd!$A:$B,2,0)),"")</f>
        <v/>
      </c>
      <c r="D1534" t="str">
        <f>IFERROR(IF(B1534="","",VLOOKUP(B1534,CadProd!$A:$C,3,0)),"")</f>
        <v/>
      </c>
    </row>
    <row r="1535" spans="3:4" x14ac:dyDescent="0.3">
      <c r="C1535" t="str">
        <f>IFERROR(IF(B1535="","",VLOOKUP(B1535,CadProd!$A:$B,2,0)),"")</f>
        <v/>
      </c>
      <c r="D1535" t="str">
        <f>IFERROR(IF(B1535="","",VLOOKUP(B1535,CadProd!$A:$C,3,0)),"")</f>
        <v/>
      </c>
    </row>
    <row r="1536" spans="3:4" x14ac:dyDescent="0.3">
      <c r="C1536" t="str">
        <f>IFERROR(IF(B1536="","",VLOOKUP(B1536,CadProd!$A:$B,2,0)),"")</f>
        <v/>
      </c>
      <c r="D1536" t="str">
        <f>IFERROR(IF(B1536="","",VLOOKUP(B1536,CadProd!$A:$C,3,0)),"")</f>
        <v/>
      </c>
    </row>
    <row r="1537" spans="3:4" x14ac:dyDescent="0.3">
      <c r="C1537" t="str">
        <f>IFERROR(IF(B1537="","",VLOOKUP(B1537,CadProd!$A:$B,2,0)),"")</f>
        <v/>
      </c>
      <c r="D1537" t="str">
        <f>IFERROR(IF(B1537="","",VLOOKUP(B1537,CadProd!$A:$C,3,0)),"")</f>
        <v/>
      </c>
    </row>
    <row r="1538" spans="3:4" x14ac:dyDescent="0.3">
      <c r="C1538" t="str">
        <f>IFERROR(IF(B1538="","",VLOOKUP(B1538,CadProd!$A:$B,2,0)),"")</f>
        <v/>
      </c>
      <c r="D1538" t="str">
        <f>IFERROR(IF(B1538="","",VLOOKUP(B1538,CadProd!$A:$C,3,0)),"")</f>
        <v/>
      </c>
    </row>
    <row r="1539" spans="3:4" x14ac:dyDescent="0.3">
      <c r="C1539" t="str">
        <f>IFERROR(IF(B1539="","",VLOOKUP(B1539,CadProd!$A:$B,2,0)),"")</f>
        <v/>
      </c>
      <c r="D1539" t="str">
        <f>IFERROR(IF(B1539="","",VLOOKUP(B1539,CadProd!$A:$C,3,0)),"")</f>
        <v/>
      </c>
    </row>
    <row r="1540" spans="3:4" x14ac:dyDescent="0.3">
      <c r="C1540" t="str">
        <f>IFERROR(IF(B1540="","",VLOOKUP(B1540,CadProd!$A:$B,2,0)),"")</f>
        <v/>
      </c>
      <c r="D1540" t="str">
        <f>IFERROR(IF(B1540="","",VLOOKUP(B1540,CadProd!$A:$C,3,0)),"")</f>
        <v/>
      </c>
    </row>
    <row r="1541" spans="3:4" x14ac:dyDescent="0.3">
      <c r="C1541" t="str">
        <f>IFERROR(IF(B1541="","",VLOOKUP(B1541,CadProd!$A:$B,2,0)),"")</f>
        <v/>
      </c>
      <c r="D1541" t="str">
        <f>IFERROR(IF(B1541="","",VLOOKUP(B1541,CadProd!$A:$C,3,0)),"")</f>
        <v/>
      </c>
    </row>
    <row r="1542" spans="3:4" x14ac:dyDescent="0.3">
      <c r="C1542" t="str">
        <f>IFERROR(IF(B1542="","",VLOOKUP(B1542,CadProd!$A:$B,2,0)),"")</f>
        <v/>
      </c>
      <c r="D1542" t="str">
        <f>IFERROR(IF(B1542="","",VLOOKUP(B1542,CadProd!$A:$C,3,0)),"")</f>
        <v/>
      </c>
    </row>
    <row r="1543" spans="3:4" x14ac:dyDescent="0.3">
      <c r="C1543" t="str">
        <f>IFERROR(IF(B1543="","",VLOOKUP(B1543,CadProd!$A:$B,2,0)),"")</f>
        <v/>
      </c>
      <c r="D1543" t="str">
        <f>IFERROR(IF(B1543="","",VLOOKUP(B1543,CadProd!$A:$C,3,0)),"")</f>
        <v/>
      </c>
    </row>
    <row r="1544" spans="3:4" x14ac:dyDescent="0.3">
      <c r="C1544" t="str">
        <f>IFERROR(IF(B1544="","",VLOOKUP(B1544,CadProd!$A:$B,2,0)),"")</f>
        <v/>
      </c>
      <c r="D1544" t="str">
        <f>IFERROR(IF(B1544="","",VLOOKUP(B1544,CadProd!$A:$C,3,0)),"")</f>
        <v/>
      </c>
    </row>
    <row r="1545" spans="3:4" x14ac:dyDescent="0.3">
      <c r="C1545" t="str">
        <f>IFERROR(IF(B1545="","",VLOOKUP(B1545,CadProd!$A:$B,2,0)),"")</f>
        <v/>
      </c>
      <c r="D1545" t="str">
        <f>IFERROR(IF(B1545="","",VLOOKUP(B1545,CadProd!$A:$C,3,0)),"")</f>
        <v/>
      </c>
    </row>
    <row r="1546" spans="3:4" x14ac:dyDescent="0.3">
      <c r="C1546" t="str">
        <f>IFERROR(IF(B1546="","",VLOOKUP(B1546,CadProd!$A:$B,2,0)),"")</f>
        <v/>
      </c>
      <c r="D1546" t="str">
        <f>IFERROR(IF(B1546="","",VLOOKUP(B1546,CadProd!$A:$C,3,0)),"")</f>
        <v/>
      </c>
    </row>
    <row r="1547" spans="3:4" x14ac:dyDescent="0.3">
      <c r="C1547" t="str">
        <f>IFERROR(IF(B1547="","",VLOOKUP(B1547,CadProd!$A:$B,2,0)),"")</f>
        <v/>
      </c>
      <c r="D1547" t="str">
        <f>IFERROR(IF(B1547="","",VLOOKUP(B1547,CadProd!$A:$C,3,0)),"")</f>
        <v/>
      </c>
    </row>
    <row r="1548" spans="3:4" x14ac:dyDescent="0.3">
      <c r="C1548" t="str">
        <f>IFERROR(IF(B1548="","",VLOOKUP(B1548,CadProd!$A:$B,2,0)),"")</f>
        <v/>
      </c>
      <c r="D1548" t="str">
        <f>IFERROR(IF(B1548="","",VLOOKUP(B1548,CadProd!$A:$C,3,0)),"")</f>
        <v/>
      </c>
    </row>
    <row r="1549" spans="3:4" x14ac:dyDescent="0.3">
      <c r="C1549" t="str">
        <f>IFERROR(IF(B1549="","",VLOOKUP(B1549,CadProd!$A:$B,2,0)),"")</f>
        <v/>
      </c>
      <c r="D1549" t="str">
        <f>IFERROR(IF(B1549="","",VLOOKUP(B1549,CadProd!$A:$C,3,0)),"")</f>
        <v/>
      </c>
    </row>
    <row r="1550" spans="3:4" x14ac:dyDescent="0.3">
      <c r="C1550" t="str">
        <f>IFERROR(IF(B1550="","",VLOOKUP(B1550,CadProd!$A:$B,2,0)),"")</f>
        <v/>
      </c>
      <c r="D1550" t="str">
        <f>IFERROR(IF(B1550="","",VLOOKUP(B1550,CadProd!$A:$C,3,0)),"")</f>
        <v/>
      </c>
    </row>
    <row r="1551" spans="3:4" x14ac:dyDescent="0.3">
      <c r="C1551" t="str">
        <f>IFERROR(IF(B1551="","",VLOOKUP(B1551,CadProd!$A:$B,2,0)),"")</f>
        <v/>
      </c>
      <c r="D1551" t="str">
        <f>IFERROR(IF(B1551="","",VLOOKUP(B1551,CadProd!$A:$C,3,0)),"")</f>
        <v/>
      </c>
    </row>
    <row r="1552" spans="3:4" x14ac:dyDescent="0.3">
      <c r="C1552" t="str">
        <f>IFERROR(IF(B1552="","",VLOOKUP(B1552,CadProd!$A:$B,2,0)),"")</f>
        <v/>
      </c>
      <c r="D1552" t="str">
        <f>IFERROR(IF(B1552="","",VLOOKUP(B1552,CadProd!$A:$C,3,0)),"")</f>
        <v/>
      </c>
    </row>
    <row r="1553" spans="3:4" x14ac:dyDescent="0.3">
      <c r="C1553" t="str">
        <f>IFERROR(IF(B1553="","",VLOOKUP(B1553,CadProd!$A:$B,2,0)),"")</f>
        <v/>
      </c>
      <c r="D1553" t="str">
        <f>IFERROR(IF(B1553="","",VLOOKUP(B1553,CadProd!$A:$C,3,0)),"")</f>
        <v/>
      </c>
    </row>
    <row r="1554" spans="3:4" x14ac:dyDescent="0.3">
      <c r="C1554" t="str">
        <f>IFERROR(IF(B1554="","",VLOOKUP(B1554,CadProd!$A:$B,2,0)),"")</f>
        <v/>
      </c>
      <c r="D1554" t="str">
        <f>IFERROR(IF(B1554="","",VLOOKUP(B1554,CadProd!$A:$C,3,0)),"")</f>
        <v/>
      </c>
    </row>
    <row r="1555" spans="3:4" x14ac:dyDescent="0.3">
      <c r="C1555" t="str">
        <f>IFERROR(IF(B1555="","",VLOOKUP(B1555,CadProd!$A:$B,2,0)),"")</f>
        <v/>
      </c>
      <c r="D1555" t="str">
        <f>IFERROR(IF(B1555="","",VLOOKUP(B1555,CadProd!$A:$C,3,0)),"")</f>
        <v/>
      </c>
    </row>
    <row r="1556" spans="3:4" x14ac:dyDescent="0.3">
      <c r="C1556" t="str">
        <f>IFERROR(IF(B1556="","",VLOOKUP(B1556,CadProd!$A:$B,2,0)),"")</f>
        <v/>
      </c>
      <c r="D1556" t="str">
        <f>IFERROR(IF(B1556="","",VLOOKUP(B1556,CadProd!$A:$C,3,0)),"")</f>
        <v/>
      </c>
    </row>
    <row r="1557" spans="3:4" x14ac:dyDescent="0.3">
      <c r="C1557" t="str">
        <f>IFERROR(IF(B1557="","",VLOOKUP(B1557,CadProd!$A:$B,2,0)),"")</f>
        <v/>
      </c>
      <c r="D1557" t="str">
        <f>IFERROR(IF(B1557="","",VLOOKUP(B1557,CadProd!$A:$C,3,0)),"")</f>
        <v/>
      </c>
    </row>
    <row r="1558" spans="3:4" x14ac:dyDescent="0.3">
      <c r="C1558" t="str">
        <f>IFERROR(IF(B1558="","",VLOOKUP(B1558,CadProd!$A:$B,2,0)),"")</f>
        <v/>
      </c>
      <c r="D1558" t="str">
        <f>IFERROR(IF(B1558="","",VLOOKUP(B1558,CadProd!$A:$C,3,0)),"")</f>
        <v/>
      </c>
    </row>
    <row r="1559" spans="3:4" x14ac:dyDescent="0.3">
      <c r="C1559" t="str">
        <f>IFERROR(IF(B1559="","",VLOOKUP(B1559,CadProd!$A:$B,2,0)),"")</f>
        <v/>
      </c>
      <c r="D1559" t="str">
        <f>IFERROR(IF(B1559="","",VLOOKUP(B1559,CadProd!$A:$C,3,0)),"")</f>
        <v/>
      </c>
    </row>
    <row r="1560" spans="3:4" x14ac:dyDescent="0.3">
      <c r="C1560" t="str">
        <f>IFERROR(IF(B1560="","",VLOOKUP(B1560,CadProd!$A:$B,2,0)),"")</f>
        <v/>
      </c>
      <c r="D1560" t="str">
        <f>IFERROR(IF(B1560="","",VLOOKUP(B1560,CadProd!$A:$C,3,0)),"")</f>
        <v/>
      </c>
    </row>
    <row r="1561" spans="3:4" x14ac:dyDescent="0.3">
      <c r="C1561" t="str">
        <f>IFERROR(IF(B1561="","",VLOOKUP(B1561,CadProd!$A:$B,2,0)),"")</f>
        <v/>
      </c>
      <c r="D1561" t="str">
        <f>IFERROR(IF(B1561="","",VLOOKUP(B1561,CadProd!$A:$C,3,0)),"")</f>
        <v/>
      </c>
    </row>
    <row r="1562" spans="3:4" x14ac:dyDescent="0.3">
      <c r="C1562" t="str">
        <f>IFERROR(IF(B1562="","",VLOOKUP(B1562,CadProd!$A:$B,2,0)),"")</f>
        <v/>
      </c>
      <c r="D1562" t="str">
        <f>IFERROR(IF(B1562="","",VLOOKUP(B1562,CadProd!$A:$C,3,0)),"")</f>
        <v/>
      </c>
    </row>
    <row r="1563" spans="3:4" x14ac:dyDescent="0.3">
      <c r="C1563" t="str">
        <f>IFERROR(IF(B1563="","",VLOOKUP(B1563,CadProd!$A:$B,2,0)),"")</f>
        <v/>
      </c>
      <c r="D1563" t="str">
        <f>IFERROR(IF(B1563="","",VLOOKUP(B1563,CadProd!$A:$C,3,0)),"")</f>
        <v/>
      </c>
    </row>
    <row r="1564" spans="3:4" x14ac:dyDescent="0.3">
      <c r="C1564" t="str">
        <f>IFERROR(IF(B1564="","",VLOOKUP(B1564,CadProd!$A:$B,2,0)),"")</f>
        <v/>
      </c>
      <c r="D1564" t="str">
        <f>IFERROR(IF(B1564="","",VLOOKUP(B1564,CadProd!$A:$C,3,0)),"")</f>
        <v/>
      </c>
    </row>
    <row r="1565" spans="3:4" x14ac:dyDescent="0.3">
      <c r="C1565" t="str">
        <f>IFERROR(IF(B1565="","",VLOOKUP(B1565,CadProd!$A:$B,2,0)),"")</f>
        <v/>
      </c>
      <c r="D1565" t="str">
        <f>IFERROR(IF(B1565="","",VLOOKUP(B1565,CadProd!$A:$C,3,0)),"")</f>
        <v/>
      </c>
    </row>
    <row r="1566" spans="3:4" x14ac:dyDescent="0.3">
      <c r="C1566" t="str">
        <f>IFERROR(IF(B1566="","",VLOOKUP(B1566,CadProd!$A:$B,2,0)),"")</f>
        <v/>
      </c>
      <c r="D1566" t="str">
        <f>IFERROR(IF(B1566="","",VLOOKUP(B1566,CadProd!$A:$C,3,0)),"")</f>
        <v/>
      </c>
    </row>
    <row r="1567" spans="3:4" x14ac:dyDescent="0.3">
      <c r="C1567" t="str">
        <f>IFERROR(IF(B1567="","",VLOOKUP(B1567,CadProd!$A:$B,2,0)),"")</f>
        <v/>
      </c>
      <c r="D1567" t="str">
        <f>IFERROR(IF(B1567="","",VLOOKUP(B1567,CadProd!$A:$C,3,0)),"")</f>
        <v/>
      </c>
    </row>
    <row r="1568" spans="3:4" x14ac:dyDescent="0.3">
      <c r="C1568" t="str">
        <f>IFERROR(IF(B1568="","",VLOOKUP(B1568,CadProd!$A:$B,2,0)),"")</f>
        <v/>
      </c>
      <c r="D1568" t="str">
        <f>IFERROR(IF(B1568="","",VLOOKUP(B1568,CadProd!$A:$C,3,0)),"")</f>
        <v/>
      </c>
    </row>
    <row r="1569" spans="3:4" x14ac:dyDescent="0.3">
      <c r="C1569" t="str">
        <f>IFERROR(IF(B1569="","",VLOOKUP(B1569,CadProd!$A:$B,2,0)),"")</f>
        <v/>
      </c>
      <c r="D1569" t="str">
        <f>IFERROR(IF(B1569="","",VLOOKUP(B1569,CadProd!$A:$C,3,0)),"")</f>
        <v/>
      </c>
    </row>
    <row r="1570" spans="3:4" x14ac:dyDescent="0.3">
      <c r="C1570" t="str">
        <f>IFERROR(IF(B1570="","",VLOOKUP(B1570,CadProd!$A:$B,2,0)),"")</f>
        <v/>
      </c>
      <c r="D1570" t="str">
        <f>IFERROR(IF(B1570="","",VLOOKUP(B1570,CadProd!$A:$C,3,0)),"")</f>
        <v/>
      </c>
    </row>
    <row r="1571" spans="3:4" x14ac:dyDescent="0.3">
      <c r="C1571" t="str">
        <f>IFERROR(IF(B1571="","",VLOOKUP(B1571,CadProd!$A:$B,2,0)),"")</f>
        <v/>
      </c>
      <c r="D1571" t="str">
        <f>IFERROR(IF(B1571="","",VLOOKUP(B1571,CadProd!$A:$C,3,0)),"")</f>
        <v/>
      </c>
    </row>
    <row r="1572" spans="3:4" x14ac:dyDescent="0.3">
      <c r="C1572" t="str">
        <f>IFERROR(IF(B1572="","",VLOOKUP(B1572,CadProd!$A:$B,2,0)),"")</f>
        <v/>
      </c>
      <c r="D1572" t="str">
        <f>IFERROR(IF(B1572="","",VLOOKUP(B1572,CadProd!$A:$C,3,0)),"")</f>
        <v/>
      </c>
    </row>
    <row r="1573" spans="3:4" x14ac:dyDescent="0.3">
      <c r="C1573" t="str">
        <f>IFERROR(IF(B1573="","",VLOOKUP(B1573,CadProd!$A:$B,2,0)),"")</f>
        <v/>
      </c>
      <c r="D1573" t="str">
        <f>IFERROR(IF(B1573="","",VLOOKUP(B1573,CadProd!$A:$C,3,0)),"")</f>
        <v/>
      </c>
    </row>
    <row r="1574" spans="3:4" x14ac:dyDescent="0.3">
      <c r="C1574" t="str">
        <f>IFERROR(IF(B1574="","",VLOOKUP(B1574,CadProd!$A:$B,2,0)),"")</f>
        <v/>
      </c>
      <c r="D1574" t="str">
        <f>IFERROR(IF(B1574="","",VLOOKUP(B1574,CadProd!$A:$C,3,0)),"")</f>
        <v/>
      </c>
    </row>
    <row r="1575" spans="3:4" x14ac:dyDescent="0.3">
      <c r="C1575" t="str">
        <f>IFERROR(IF(B1575="","",VLOOKUP(B1575,CadProd!$A:$B,2,0)),"")</f>
        <v/>
      </c>
      <c r="D1575" t="str">
        <f>IFERROR(IF(B1575="","",VLOOKUP(B1575,CadProd!$A:$C,3,0)),"")</f>
        <v/>
      </c>
    </row>
    <row r="1576" spans="3:4" x14ac:dyDescent="0.3">
      <c r="C1576" t="str">
        <f>IFERROR(IF(B1576="","",VLOOKUP(B1576,CadProd!$A:$B,2,0)),"")</f>
        <v/>
      </c>
      <c r="D1576" t="str">
        <f>IFERROR(IF(B1576="","",VLOOKUP(B1576,CadProd!$A:$C,3,0)),"")</f>
        <v/>
      </c>
    </row>
    <row r="1577" spans="3:4" x14ac:dyDescent="0.3">
      <c r="C1577" t="str">
        <f>IFERROR(IF(B1577="","",VLOOKUP(B1577,CadProd!$A:$B,2,0)),"")</f>
        <v/>
      </c>
      <c r="D1577" t="str">
        <f>IFERROR(IF(B1577="","",VLOOKUP(B1577,CadProd!$A:$C,3,0)),"")</f>
        <v/>
      </c>
    </row>
    <row r="1578" spans="3:4" x14ac:dyDescent="0.3">
      <c r="C1578" t="str">
        <f>IFERROR(IF(B1578="","",VLOOKUP(B1578,CadProd!$A:$B,2,0)),"")</f>
        <v/>
      </c>
      <c r="D1578" t="str">
        <f>IFERROR(IF(B1578="","",VLOOKUP(B1578,CadProd!$A:$C,3,0)),"")</f>
        <v/>
      </c>
    </row>
    <row r="1579" spans="3:4" x14ac:dyDescent="0.3">
      <c r="C1579" t="str">
        <f>IFERROR(IF(B1579="","",VLOOKUP(B1579,CadProd!$A:$B,2,0)),"")</f>
        <v/>
      </c>
      <c r="D1579" t="str">
        <f>IFERROR(IF(B1579="","",VLOOKUP(B1579,CadProd!$A:$C,3,0)),"")</f>
        <v/>
      </c>
    </row>
    <row r="1580" spans="3:4" x14ac:dyDescent="0.3">
      <c r="C1580" t="str">
        <f>IFERROR(IF(B1580="","",VLOOKUP(B1580,CadProd!$A:$B,2,0)),"")</f>
        <v/>
      </c>
      <c r="D1580" t="str">
        <f>IFERROR(IF(B1580="","",VLOOKUP(B1580,CadProd!$A:$C,3,0)),"")</f>
        <v/>
      </c>
    </row>
    <row r="1581" spans="3:4" x14ac:dyDescent="0.3">
      <c r="C1581" t="str">
        <f>IFERROR(IF(B1581="","",VLOOKUP(B1581,CadProd!$A:$B,2,0)),"")</f>
        <v/>
      </c>
      <c r="D1581" t="str">
        <f>IFERROR(IF(B1581="","",VLOOKUP(B1581,CadProd!$A:$C,3,0)),"")</f>
        <v/>
      </c>
    </row>
    <row r="1582" spans="3:4" x14ac:dyDescent="0.3">
      <c r="C1582" t="str">
        <f>IFERROR(IF(B1582="","",VLOOKUP(B1582,CadProd!$A:$B,2,0)),"")</f>
        <v/>
      </c>
      <c r="D1582" t="str">
        <f>IFERROR(IF(B1582="","",VLOOKUP(B1582,CadProd!$A:$C,3,0)),"")</f>
        <v/>
      </c>
    </row>
    <row r="1583" spans="3:4" x14ac:dyDescent="0.3">
      <c r="C1583" t="str">
        <f>IFERROR(IF(B1583="","",VLOOKUP(B1583,CadProd!$A:$B,2,0)),"")</f>
        <v/>
      </c>
      <c r="D1583" t="str">
        <f>IFERROR(IF(B1583="","",VLOOKUP(B1583,CadProd!$A:$C,3,0)),"")</f>
        <v/>
      </c>
    </row>
    <row r="1584" spans="3:4" x14ac:dyDescent="0.3">
      <c r="C1584" t="str">
        <f>IFERROR(IF(B1584="","",VLOOKUP(B1584,CadProd!$A:$B,2,0)),"")</f>
        <v/>
      </c>
      <c r="D1584" t="str">
        <f>IFERROR(IF(B1584="","",VLOOKUP(B1584,CadProd!$A:$C,3,0)),"")</f>
        <v/>
      </c>
    </row>
    <row r="1585" spans="3:4" x14ac:dyDescent="0.3">
      <c r="C1585" t="str">
        <f>IFERROR(IF(B1585="","",VLOOKUP(B1585,CadProd!$A:$B,2,0)),"")</f>
        <v/>
      </c>
      <c r="D1585" t="str">
        <f>IFERROR(IF(B1585="","",VLOOKUP(B1585,CadProd!$A:$C,3,0)),"")</f>
        <v/>
      </c>
    </row>
    <row r="1586" spans="3:4" x14ac:dyDescent="0.3">
      <c r="C1586" t="str">
        <f>IFERROR(IF(B1586="","",VLOOKUP(B1586,CadProd!$A:$B,2,0)),"")</f>
        <v/>
      </c>
      <c r="D1586" t="str">
        <f>IFERROR(IF(B1586="","",VLOOKUP(B1586,CadProd!$A:$C,3,0)),"")</f>
        <v/>
      </c>
    </row>
    <row r="1587" spans="3:4" x14ac:dyDescent="0.3">
      <c r="C1587" t="str">
        <f>IFERROR(IF(B1587="","",VLOOKUP(B1587,CadProd!$A:$B,2,0)),"")</f>
        <v/>
      </c>
      <c r="D1587" t="str">
        <f>IFERROR(IF(B1587="","",VLOOKUP(B1587,CadProd!$A:$C,3,0)),"")</f>
        <v/>
      </c>
    </row>
    <row r="1588" spans="3:4" x14ac:dyDescent="0.3">
      <c r="C1588" t="str">
        <f>IFERROR(IF(B1588="","",VLOOKUP(B1588,CadProd!$A:$B,2,0)),"")</f>
        <v/>
      </c>
      <c r="D1588" t="str">
        <f>IFERROR(IF(B1588="","",VLOOKUP(B1588,CadProd!$A:$C,3,0)),"")</f>
        <v/>
      </c>
    </row>
    <row r="1589" spans="3:4" x14ac:dyDescent="0.3">
      <c r="C1589" t="str">
        <f>IFERROR(IF(B1589="","",VLOOKUP(B1589,CadProd!$A:$B,2,0)),"")</f>
        <v/>
      </c>
      <c r="D1589" t="str">
        <f>IFERROR(IF(B1589="","",VLOOKUP(B1589,CadProd!$A:$C,3,0)),"")</f>
        <v/>
      </c>
    </row>
    <row r="1590" spans="3:4" x14ac:dyDescent="0.3">
      <c r="C1590" t="str">
        <f>IFERROR(IF(B1590="","",VLOOKUP(B1590,CadProd!$A:$B,2,0)),"")</f>
        <v/>
      </c>
      <c r="D1590" t="str">
        <f>IFERROR(IF(B1590="","",VLOOKUP(B1590,CadProd!$A:$C,3,0)),"")</f>
        <v/>
      </c>
    </row>
    <row r="1591" spans="3:4" x14ac:dyDescent="0.3">
      <c r="C1591" t="str">
        <f>IFERROR(IF(B1591="","",VLOOKUP(B1591,CadProd!$A:$B,2,0)),"")</f>
        <v/>
      </c>
      <c r="D1591" t="str">
        <f>IFERROR(IF(B1591="","",VLOOKUP(B1591,CadProd!$A:$C,3,0)),"")</f>
        <v/>
      </c>
    </row>
    <row r="1592" spans="3:4" x14ac:dyDescent="0.3">
      <c r="C1592" t="str">
        <f>IFERROR(IF(B1592="","",VLOOKUP(B1592,CadProd!$A:$B,2,0)),"")</f>
        <v/>
      </c>
      <c r="D1592" t="str">
        <f>IFERROR(IF(B1592="","",VLOOKUP(B1592,CadProd!$A:$C,3,0)),"")</f>
        <v/>
      </c>
    </row>
    <row r="1593" spans="3:4" x14ac:dyDescent="0.3">
      <c r="C1593" t="str">
        <f>IFERROR(IF(B1593="","",VLOOKUP(B1593,CadProd!$A:$B,2,0)),"")</f>
        <v/>
      </c>
      <c r="D1593" t="str">
        <f>IFERROR(IF(B1593="","",VLOOKUP(B1593,CadProd!$A:$C,3,0)),"")</f>
        <v/>
      </c>
    </row>
    <row r="1594" spans="3:4" x14ac:dyDescent="0.3">
      <c r="C1594" t="str">
        <f>IFERROR(IF(B1594="","",VLOOKUP(B1594,CadProd!$A:$B,2,0)),"")</f>
        <v/>
      </c>
      <c r="D1594" t="str">
        <f>IFERROR(IF(B1594="","",VLOOKUP(B1594,CadProd!$A:$C,3,0)),"")</f>
        <v/>
      </c>
    </row>
    <row r="1595" spans="3:4" x14ac:dyDescent="0.3">
      <c r="C1595" t="str">
        <f>IFERROR(IF(B1595="","",VLOOKUP(B1595,CadProd!$A:$B,2,0)),"")</f>
        <v/>
      </c>
      <c r="D1595" t="str">
        <f>IFERROR(IF(B1595="","",VLOOKUP(B1595,CadProd!$A:$C,3,0)),"")</f>
        <v/>
      </c>
    </row>
    <row r="1596" spans="3:4" x14ac:dyDescent="0.3">
      <c r="C1596" t="str">
        <f>IFERROR(IF(B1596="","",VLOOKUP(B1596,CadProd!$A:$B,2,0)),"")</f>
        <v/>
      </c>
      <c r="D1596" t="str">
        <f>IFERROR(IF(B1596="","",VLOOKUP(B1596,CadProd!$A:$C,3,0)),"")</f>
        <v/>
      </c>
    </row>
    <row r="1597" spans="3:4" x14ac:dyDescent="0.3">
      <c r="C1597" t="str">
        <f>IFERROR(IF(B1597="","",VLOOKUP(B1597,CadProd!$A:$B,2,0)),"")</f>
        <v/>
      </c>
      <c r="D1597" t="str">
        <f>IFERROR(IF(B1597="","",VLOOKUP(B1597,CadProd!$A:$C,3,0)),"")</f>
        <v/>
      </c>
    </row>
    <row r="1598" spans="3:4" x14ac:dyDescent="0.3">
      <c r="C1598" t="str">
        <f>IFERROR(IF(B1598="","",VLOOKUP(B1598,CadProd!$A:$B,2,0)),"")</f>
        <v/>
      </c>
      <c r="D1598" t="str">
        <f>IFERROR(IF(B1598="","",VLOOKUP(B1598,CadProd!$A:$C,3,0)),"")</f>
        <v/>
      </c>
    </row>
    <row r="1599" spans="3:4" x14ac:dyDescent="0.3">
      <c r="C1599" t="str">
        <f>IFERROR(IF(B1599="","",VLOOKUP(B1599,CadProd!$A:$B,2,0)),"")</f>
        <v/>
      </c>
      <c r="D1599" t="str">
        <f>IFERROR(IF(B1599="","",VLOOKUP(B1599,CadProd!$A:$C,3,0)),"")</f>
        <v/>
      </c>
    </row>
    <row r="1600" spans="3:4" x14ac:dyDescent="0.3">
      <c r="C1600" t="str">
        <f>IFERROR(IF(B1600="","",VLOOKUP(B1600,CadProd!$A:$B,2,0)),"")</f>
        <v/>
      </c>
      <c r="D1600" t="str">
        <f>IFERROR(IF(B1600="","",VLOOKUP(B1600,CadProd!$A:$C,3,0)),"")</f>
        <v/>
      </c>
    </row>
    <row r="1601" spans="3:4" x14ac:dyDescent="0.3">
      <c r="C1601" t="str">
        <f>IFERROR(IF(B1601="","",VLOOKUP(B1601,CadProd!$A:$B,2,0)),"")</f>
        <v/>
      </c>
      <c r="D1601" t="str">
        <f>IFERROR(IF(B1601="","",VLOOKUP(B1601,CadProd!$A:$C,3,0)),"")</f>
        <v/>
      </c>
    </row>
    <row r="1602" spans="3:4" x14ac:dyDescent="0.3">
      <c r="C1602" t="str">
        <f>IFERROR(IF(B1602="","",VLOOKUP(B1602,CadProd!$A:$B,2,0)),"")</f>
        <v/>
      </c>
      <c r="D1602" t="str">
        <f>IFERROR(IF(B1602="","",VLOOKUP(B1602,CadProd!$A:$C,3,0)),"")</f>
        <v/>
      </c>
    </row>
    <row r="1603" spans="3:4" x14ac:dyDescent="0.3">
      <c r="C1603" t="str">
        <f>IFERROR(IF(B1603="","",VLOOKUP(B1603,CadProd!$A:$B,2,0)),"")</f>
        <v/>
      </c>
      <c r="D1603" t="str">
        <f>IFERROR(IF(B1603="","",VLOOKUP(B1603,CadProd!$A:$C,3,0)),"")</f>
        <v/>
      </c>
    </row>
    <row r="1604" spans="3:4" x14ac:dyDescent="0.3">
      <c r="C1604" t="str">
        <f>IFERROR(IF(B1604="","",VLOOKUP(B1604,CadProd!$A:$B,2,0)),"")</f>
        <v/>
      </c>
      <c r="D1604" t="str">
        <f>IFERROR(IF(B1604="","",VLOOKUP(B1604,CadProd!$A:$C,3,0)),"")</f>
        <v/>
      </c>
    </row>
    <row r="1605" spans="3:4" x14ac:dyDescent="0.3">
      <c r="C1605" t="str">
        <f>IFERROR(IF(B1605="","",VLOOKUP(B1605,CadProd!$A:$B,2,0)),"")</f>
        <v/>
      </c>
      <c r="D1605" t="str">
        <f>IFERROR(IF(B1605="","",VLOOKUP(B1605,CadProd!$A:$C,3,0)),"")</f>
        <v/>
      </c>
    </row>
    <row r="1606" spans="3:4" x14ac:dyDescent="0.3">
      <c r="C1606" t="str">
        <f>IFERROR(IF(B1606="","",VLOOKUP(B1606,CadProd!$A:$B,2,0)),"")</f>
        <v/>
      </c>
      <c r="D1606" t="str">
        <f>IFERROR(IF(B1606="","",VLOOKUP(B1606,CadProd!$A:$C,3,0)),"")</f>
        <v/>
      </c>
    </row>
    <row r="1607" spans="3:4" x14ac:dyDescent="0.3">
      <c r="C1607" t="str">
        <f>IFERROR(IF(B1607="","",VLOOKUP(B1607,CadProd!$A:$B,2,0)),"")</f>
        <v/>
      </c>
      <c r="D1607" t="str">
        <f>IFERROR(IF(B1607="","",VLOOKUP(B1607,CadProd!$A:$C,3,0)),"")</f>
        <v/>
      </c>
    </row>
    <row r="1608" spans="3:4" x14ac:dyDescent="0.3">
      <c r="C1608" t="str">
        <f>IFERROR(IF(B1608="","",VLOOKUP(B1608,CadProd!$A:$B,2,0)),"")</f>
        <v/>
      </c>
      <c r="D1608" t="str">
        <f>IFERROR(IF(B1608="","",VLOOKUP(B1608,CadProd!$A:$C,3,0)),"")</f>
        <v/>
      </c>
    </row>
    <row r="1609" spans="3:4" x14ac:dyDescent="0.3">
      <c r="C1609" t="str">
        <f>IFERROR(IF(B1609="","",VLOOKUP(B1609,CadProd!$A:$B,2,0)),"")</f>
        <v/>
      </c>
      <c r="D1609" t="str">
        <f>IFERROR(IF(B1609="","",VLOOKUP(B1609,CadProd!$A:$C,3,0)),"")</f>
        <v/>
      </c>
    </row>
    <row r="1610" spans="3:4" x14ac:dyDescent="0.3">
      <c r="C1610" t="str">
        <f>IFERROR(IF(B1610="","",VLOOKUP(B1610,CadProd!$A:$B,2,0)),"")</f>
        <v/>
      </c>
      <c r="D1610" t="str">
        <f>IFERROR(IF(B1610="","",VLOOKUP(B1610,CadProd!$A:$C,3,0)),"")</f>
        <v/>
      </c>
    </row>
    <row r="1611" spans="3:4" x14ac:dyDescent="0.3">
      <c r="C1611" t="str">
        <f>IFERROR(IF(B1611="","",VLOOKUP(B1611,CadProd!$A:$B,2,0)),"")</f>
        <v/>
      </c>
      <c r="D1611" t="str">
        <f>IFERROR(IF(B1611="","",VLOOKUP(B1611,CadProd!$A:$C,3,0)),"")</f>
        <v/>
      </c>
    </row>
    <row r="1612" spans="3:4" x14ac:dyDescent="0.3">
      <c r="C1612" t="str">
        <f>IFERROR(IF(B1612="","",VLOOKUP(B1612,CadProd!$A:$B,2,0)),"")</f>
        <v/>
      </c>
      <c r="D1612" t="str">
        <f>IFERROR(IF(B1612="","",VLOOKUP(B1612,CadProd!$A:$C,3,0)),"")</f>
        <v/>
      </c>
    </row>
    <row r="1613" spans="3:4" x14ac:dyDescent="0.3">
      <c r="C1613" t="str">
        <f>IFERROR(IF(B1613="","",VLOOKUP(B1613,CadProd!$A:$B,2,0)),"")</f>
        <v/>
      </c>
      <c r="D1613" t="str">
        <f>IFERROR(IF(B1613="","",VLOOKUP(B1613,CadProd!$A:$C,3,0)),"")</f>
        <v/>
      </c>
    </row>
    <row r="1614" spans="3:4" x14ac:dyDescent="0.3">
      <c r="C1614" t="str">
        <f>IFERROR(IF(B1614="","",VLOOKUP(B1614,CadProd!$A:$B,2,0)),"")</f>
        <v/>
      </c>
      <c r="D1614" t="str">
        <f>IFERROR(IF(B1614="","",VLOOKUP(B1614,CadProd!$A:$C,3,0)),"")</f>
        <v/>
      </c>
    </row>
    <row r="1615" spans="3:4" x14ac:dyDescent="0.3">
      <c r="C1615" t="str">
        <f>IFERROR(IF(B1615="","",VLOOKUP(B1615,CadProd!$A:$B,2,0)),"")</f>
        <v/>
      </c>
      <c r="D1615" t="str">
        <f>IFERROR(IF(B1615="","",VLOOKUP(B1615,CadProd!$A:$C,3,0)),"")</f>
        <v/>
      </c>
    </row>
    <row r="1616" spans="3:4" x14ac:dyDescent="0.3">
      <c r="C1616" t="str">
        <f>IFERROR(IF(B1616="","",VLOOKUP(B1616,CadProd!$A:$B,2,0)),"")</f>
        <v/>
      </c>
      <c r="D1616" t="str">
        <f>IFERROR(IF(B1616="","",VLOOKUP(B1616,CadProd!$A:$C,3,0)),"")</f>
        <v/>
      </c>
    </row>
    <row r="1617" spans="3:4" x14ac:dyDescent="0.3">
      <c r="C1617" t="str">
        <f>IFERROR(IF(B1617="","",VLOOKUP(B1617,CadProd!$A:$B,2,0)),"")</f>
        <v/>
      </c>
      <c r="D1617" t="str">
        <f>IFERROR(IF(B1617="","",VLOOKUP(B1617,CadProd!$A:$C,3,0)),"")</f>
        <v/>
      </c>
    </row>
    <row r="1618" spans="3:4" x14ac:dyDescent="0.3">
      <c r="C1618" t="str">
        <f>IFERROR(IF(B1618="","",VLOOKUP(B1618,CadProd!$A:$B,2,0)),"")</f>
        <v/>
      </c>
      <c r="D1618" t="str">
        <f>IFERROR(IF(B1618="","",VLOOKUP(B1618,CadProd!$A:$C,3,0)),"")</f>
        <v/>
      </c>
    </row>
    <row r="1619" spans="3:4" x14ac:dyDescent="0.3">
      <c r="C1619" t="str">
        <f>IFERROR(IF(B1619="","",VLOOKUP(B1619,CadProd!$A:$B,2,0)),"")</f>
        <v/>
      </c>
      <c r="D1619" t="str">
        <f>IFERROR(IF(B1619="","",VLOOKUP(B1619,CadProd!$A:$C,3,0)),"")</f>
        <v/>
      </c>
    </row>
    <row r="1620" spans="3:4" x14ac:dyDescent="0.3">
      <c r="C1620" t="str">
        <f>IFERROR(IF(B1620="","",VLOOKUP(B1620,CadProd!$A:$B,2,0)),"")</f>
        <v/>
      </c>
      <c r="D1620" t="str">
        <f>IFERROR(IF(B1620="","",VLOOKUP(B1620,CadProd!$A:$C,3,0)),"")</f>
        <v/>
      </c>
    </row>
    <row r="1621" spans="3:4" x14ac:dyDescent="0.3">
      <c r="C1621" t="str">
        <f>IFERROR(IF(B1621="","",VLOOKUP(B1621,CadProd!$A:$B,2,0)),"")</f>
        <v/>
      </c>
      <c r="D1621" t="str">
        <f>IFERROR(IF(B1621="","",VLOOKUP(B1621,CadProd!$A:$C,3,0)),"")</f>
        <v/>
      </c>
    </row>
    <row r="1622" spans="3:4" x14ac:dyDescent="0.3">
      <c r="C1622" t="str">
        <f>IFERROR(IF(B1622="","",VLOOKUP(B1622,CadProd!$A:$B,2,0)),"")</f>
        <v/>
      </c>
      <c r="D1622" t="str">
        <f>IFERROR(IF(B1622="","",VLOOKUP(B1622,CadProd!$A:$C,3,0)),"")</f>
        <v/>
      </c>
    </row>
    <row r="1623" spans="3:4" x14ac:dyDescent="0.3">
      <c r="C1623" t="str">
        <f>IFERROR(IF(B1623="","",VLOOKUP(B1623,CadProd!$A:$B,2,0)),"")</f>
        <v/>
      </c>
      <c r="D1623" t="str">
        <f>IFERROR(IF(B1623="","",VLOOKUP(B1623,CadProd!$A:$C,3,0)),"")</f>
        <v/>
      </c>
    </row>
    <row r="1624" spans="3:4" x14ac:dyDescent="0.3">
      <c r="C1624" t="str">
        <f>IFERROR(IF(B1624="","",VLOOKUP(B1624,CadProd!$A:$B,2,0)),"")</f>
        <v/>
      </c>
      <c r="D1624" t="str">
        <f>IFERROR(IF(B1624="","",VLOOKUP(B1624,CadProd!$A:$C,3,0)),"")</f>
        <v/>
      </c>
    </row>
    <row r="1625" spans="3:4" x14ac:dyDescent="0.3">
      <c r="C1625" t="str">
        <f>IFERROR(IF(B1625="","",VLOOKUP(B1625,CadProd!$A:$B,2,0)),"")</f>
        <v/>
      </c>
      <c r="D1625" t="str">
        <f>IFERROR(IF(B1625="","",VLOOKUP(B1625,CadProd!$A:$C,3,0)),"")</f>
        <v/>
      </c>
    </row>
    <row r="1626" spans="3:4" x14ac:dyDescent="0.3">
      <c r="C1626" t="str">
        <f>IFERROR(IF(B1626="","",VLOOKUP(B1626,CadProd!$A:$B,2,0)),"")</f>
        <v/>
      </c>
      <c r="D1626" t="str">
        <f>IFERROR(IF(B1626="","",VLOOKUP(B1626,CadProd!$A:$C,3,0)),"")</f>
        <v/>
      </c>
    </row>
    <row r="1627" spans="3:4" x14ac:dyDescent="0.3">
      <c r="C1627" t="str">
        <f>IFERROR(IF(B1627="","",VLOOKUP(B1627,CadProd!$A:$B,2,0)),"")</f>
        <v/>
      </c>
      <c r="D1627" t="str">
        <f>IFERROR(IF(B1627="","",VLOOKUP(B1627,CadProd!$A:$C,3,0)),"")</f>
        <v/>
      </c>
    </row>
    <row r="1628" spans="3:4" x14ac:dyDescent="0.3">
      <c r="C1628" t="str">
        <f>IFERROR(IF(B1628="","",VLOOKUP(B1628,CadProd!$A:$B,2,0)),"")</f>
        <v/>
      </c>
      <c r="D1628" t="str">
        <f>IFERROR(IF(B1628="","",VLOOKUP(B1628,CadProd!$A:$C,3,0)),"")</f>
        <v/>
      </c>
    </row>
    <row r="1629" spans="3:4" x14ac:dyDescent="0.3">
      <c r="C1629" t="str">
        <f>IFERROR(IF(B1629="","",VLOOKUP(B1629,CadProd!$A:$B,2,0)),"")</f>
        <v/>
      </c>
      <c r="D1629" t="str">
        <f>IFERROR(IF(B1629="","",VLOOKUP(B1629,CadProd!$A:$C,3,0)),"")</f>
        <v/>
      </c>
    </row>
    <row r="1630" spans="3:4" x14ac:dyDescent="0.3">
      <c r="C1630" t="str">
        <f>IFERROR(IF(B1630="","",VLOOKUP(B1630,CadProd!$A:$B,2,0)),"")</f>
        <v/>
      </c>
      <c r="D1630" t="str">
        <f>IFERROR(IF(B1630="","",VLOOKUP(B1630,CadProd!$A:$C,3,0)),"")</f>
        <v/>
      </c>
    </row>
    <row r="1631" spans="3:4" x14ac:dyDescent="0.3">
      <c r="C1631" t="str">
        <f>IFERROR(IF(B1631="","",VLOOKUP(B1631,CadProd!$A:$B,2,0)),"")</f>
        <v/>
      </c>
      <c r="D1631" t="str">
        <f>IFERROR(IF(B1631="","",VLOOKUP(B1631,CadProd!$A:$C,3,0)),"")</f>
        <v/>
      </c>
    </row>
    <row r="1632" spans="3:4" x14ac:dyDescent="0.3">
      <c r="C1632" t="str">
        <f>IFERROR(IF(B1632="","",VLOOKUP(B1632,CadProd!$A:$B,2,0)),"")</f>
        <v/>
      </c>
      <c r="D1632" t="str">
        <f>IFERROR(IF(B1632="","",VLOOKUP(B1632,CadProd!$A:$C,3,0)),"")</f>
        <v/>
      </c>
    </row>
    <row r="1633" spans="3:4" x14ac:dyDescent="0.3">
      <c r="C1633" t="str">
        <f>IFERROR(IF(B1633="","",VLOOKUP(B1633,CadProd!$A:$B,2,0)),"")</f>
        <v/>
      </c>
      <c r="D1633" t="str">
        <f>IFERROR(IF(B1633="","",VLOOKUP(B1633,CadProd!$A:$C,3,0)),"")</f>
        <v/>
      </c>
    </row>
    <row r="1634" spans="3:4" x14ac:dyDescent="0.3">
      <c r="C1634" t="str">
        <f>IFERROR(IF(B1634="","",VLOOKUP(B1634,CadProd!$A:$B,2,0)),"")</f>
        <v/>
      </c>
      <c r="D1634" t="str">
        <f>IFERROR(IF(B1634="","",VLOOKUP(B1634,CadProd!$A:$C,3,0)),"")</f>
        <v/>
      </c>
    </row>
    <row r="1635" spans="3:4" x14ac:dyDescent="0.3">
      <c r="C1635" t="str">
        <f>IFERROR(IF(B1635="","",VLOOKUP(B1635,CadProd!$A:$B,2,0)),"")</f>
        <v/>
      </c>
      <c r="D1635" t="str">
        <f>IFERROR(IF(B1635="","",VLOOKUP(B1635,CadProd!$A:$C,3,0)),"")</f>
        <v/>
      </c>
    </row>
    <row r="1636" spans="3:4" x14ac:dyDescent="0.3">
      <c r="C1636" t="str">
        <f>IFERROR(IF(B1636="","",VLOOKUP(B1636,CadProd!$A:$B,2,0)),"")</f>
        <v/>
      </c>
      <c r="D1636" t="str">
        <f>IFERROR(IF(B1636="","",VLOOKUP(B1636,CadProd!$A:$C,3,0)),"")</f>
        <v/>
      </c>
    </row>
    <row r="1637" spans="3:4" x14ac:dyDescent="0.3">
      <c r="C1637" t="str">
        <f>IFERROR(IF(B1637="","",VLOOKUP(B1637,CadProd!$A:$B,2,0)),"")</f>
        <v/>
      </c>
      <c r="D1637" t="str">
        <f>IFERROR(IF(B1637="","",VLOOKUP(B1637,CadProd!$A:$C,3,0)),"")</f>
        <v/>
      </c>
    </row>
    <row r="1638" spans="3:4" x14ac:dyDescent="0.3">
      <c r="C1638" t="str">
        <f>IFERROR(IF(B1638="","",VLOOKUP(B1638,CadProd!$A:$B,2,0)),"")</f>
        <v/>
      </c>
      <c r="D1638" t="str">
        <f>IFERROR(IF(B1638="","",VLOOKUP(B1638,CadProd!$A:$C,3,0)),"")</f>
        <v/>
      </c>
    </row>
    <row r="1639" spans="3:4" x14ac:dyDescent="0.3">
      <c r="C1639" t="str">
        <f>IFERROR(IF(B1639="","",VLOOKUP(B1639,CadProd!$A:$B,2,0)),"")</f>
        <v/>
      </c>
      <c r="D1639" t="str">
        <f>IFERROR(IF(B1639="","",VLOOKUP(B1639,CadProd!$A:$C,3,0)),"")</f>
        <v/>
      </c>
    </row>
    <row r="1640" spans="3:4" x14ac:dyDescent="0.3">
      <c r="C1640" t="str">
        <f>IFERROR(IF(B1640="","",VLOOKUP(B1640,CadProd!$A:$B,2,0)),"")</f>
        <v/>
      </c>
      <c r="D1640" t="str">
        <f>IFERROR(IF(B1640="","",VLOOKUP(B1640,CadProd!$A:$C,3,0)),"")</f>
        <v/>
      </c>
    </row>
    <row r="1641" spans="3:4" x14ac:dyDescent="0.3">
      <c r="C1641" t="str">
        <f>IFERROR(IF(B1641="","",VLOOKUP(B1641,CadProd!$A:$B,2,0)),"")</f>
        <v/>
      </c>
      <c r="D1641" t="str">
        <f>IFERROR(IF(B1641="","",VLOOKUP(B1641,CadProd!$A:$C,3,0)),"")</f>
        <v/>
      </c>
    </row>
    <row r="1642" spans="3:4" x14ac:dyDescent="0.3">
      <c r="C1642" t="str">
        <f>IFERROR(IF(B1642="","",VLOOKUP(B1642,CadProd!$A:$B,2,0)),"")</f>
        <v/>
      </c>
      <c r="D1642" t="str">
        <f>IFERROR(IF(B1642="","",VLOOKUP(B1642,CadProd!$A:$C,3,0)),"")</f>
        <v/>
      </c>
    </row>
    <row r="1643" spans="3:4" x14ac:dyDescent="0.3">
      <c r="C1643" t="str">
        <f>IFERROR(IF(B1643="","",VLOOKUP(B1643,CadProd!$A:$B,2,0)),"")</f>
        <v/>
      </c>
      <c r="D1643" t="str">
        <f>IFERROR(IF(B1643="","",VLOOKUP(B1643,CadProd!$A:$C,3,0)),"")</f>
        <v/>
      </c>
    </row>
    <row r="1644" spans="3:4" x14ac:dyDescent="0.3">
      <c r="C1644" t="str">
        <f>IFERROR(IF(B1644="","",VLOOKUP(B1644,CadProd!$A:$B,2,0)),"")</f>
        <v/>
      </c>
      <c r="D1644" t="str">
        <f>IFERROR(IF(B1644="","",VLOOKUP(B1644,CadProd!$A:$C,3,0)),"")</f>
        <v/>
      </c>
    </row>
    <row r="1645" spans="3:4" x14ac:dyDescent="0.3">
      <c r="C1645" t="str">
        <f>IFERROR(IF(B1645="","",VLOOKUP(B1645,CadProd!$A:$B,2,0)),"")</f>
        <v/>
      </c>
      <c r="D1645" t="str">
        <f>IFERROR(IF(B1645="","",VLOOKUP(B1645,CadProd!$A:$C,3,0)),"")</f>
        <v/>
      </c>
    </row>
    <row r="1646" spans="3:4" x14ac:dyDescent="0.3">
      <c r="C1646" t="str">
        <f>IFERROR(IF(B1646="","",VLOOKUP(B1646,CadProd!$A:$B,2,0)),"")</f>
        <v/>
      </c>
      <c r="D1646" t="str">
        <f>IFERROR(IF(B1646="","",VLOOKUP(B1646,CadProd!$A:$C,3,0)),"")</f>
        <v/>
      </c>
    </row>
    <row r="1647" spans="3:4" x14ac:dyDescent="0.3">
      <c r="C1647" t="str">
        <f>IFERROR(IF(B1647="","",VLOOKUP(B1647,CadProd!$A:$B,2,0)),"")</f>
        <v/>
      </c>
      <c r="D1647" t="str">
        <f>IFERROR(IF(B1647="","",VLOOKUP(B1647,CadProd!$A:$C,3,0)),"")</f>
        <v/>
      </c>
    </row>
    <row r="1648" spans="3:4" x14ac:dyDescent="0.3">
      <c r="C1648" t="str">
        <f>IFERROR(IF(B1648="","",VLOOKUP(B1648,CadProd!$A:$B,2,0)),"")</f>
        <v/>
      </c>
      <c r="D1648" t="str">
        <f>IFERROR(IF(B1648="","",VLOOKUP(B1648,CadProd!$A:$C,3,0)),"")</f>
        <v/>
      </c>
    </row>
    <row r="1649" spans="3:4" x14ac:dyDescent="0.3">
      <c r="C1649" t="str">
        <f>IFERROR(IF(B1649="","",VLOOKUP(B1649,CadProd!$A:$B,2,0)),"")</f>
        <v/>
      </c>
      <c r="D1649" t="str">
        <f>IFERROR(IF(B1649="","",VLOOKUP(B1649,CadProd!$A:$C,3,0)),"")</f>
        <v/>
      </c>
    </row>
    <row r="1650" spans="3:4" x14ac:dyDescent="0.3">
      <c r="C1650" t="str">
        <f>IFERROR(IF(B1650="","",VLOOKUP(B1650,CadProd!$A:$B,2,0)),"")</f>
        <v/>
      </c>
      <c r="D1650" t="str">
        <f>IFERROR(IF(B1650="","",VLOOKUP(B1650,CadProd!$A:$C,3,0)),"")</f>
        <v/>
      </c>
    </row>
    <row r="1651" spans="3:4" x14ac:dyDescent="0.3">
      <c r="C1651" t="str">
        <f>IFERROR(IF(B1651="","",VLOOKUP(B1651,CadProd!$A:$B,2,0)),"")</f>
        <v/>
      </c>
      <c r="D1651" t="str">
        <f>IFERROR(IF(B1651="","",VLOOKUP(B1651,CadProd!$A:$C,3,0)),"")</f>
        <v/>
      </c>
    </row>
    <row r="1652" spans="3:4" x14ac:dyDescent="0.3">
      <c r="C1652" t="str">
        <f>IFERROR(IF(B1652="","",VLOOKUP(B1652,CadProd!$A:$B,2,0)),"")</f>
        <v/>
      </c>
      <c r="D1652" t="str">
        <f>IFERROR(IF(B1652="","",VLOOKUP(B1652,CadProd!$A:$C,3,0)),"")</f>
        <v/>
      </c>
    </row>
    <row r="1653" spans="3:4" x14ac:dyDescent="0.3">
      <c r="C1653" t="str">
        <f>IFERROR(IF(B1653="","",VLOOKUP(B1653,CadProd!$A:$B,2,0)),"")</f>
        <v/>
      </c>
      <c r="D1653" t="str">
        <f>IFERROR(IF(B1653="","",VLOOKUP(B1653,CadProd!$A:$C,3,0)),"")</f>
        <v/>
      </c>
    </row>
    <row r="1654" spans="3:4" x14ac:dyDescent="0.3">
      <c r="C1654" t="str">
        <f>IFERROR(IF(B1654="","",VLOOKUP(B1654,CadProd!$A:$B,2,0)),"")</f>
        <v/>
      </c>
      <c r="D1654" t="str">
        <f>IFERROR(IF(B1654="","",VLOOKUP(B1654,CadProd!$A:$C,3,0)),"")</f>
        <v/>
      </c>
    </row>
    <row r="1655" spans="3:4" x14ac:dyDescent="0.3">
      <c r="C1655" t="str">
        <f>IFERROR(IF(B1655="","",VLOOKUP(B1655,CadProd!$A:$B,2,0)),"")</f>
        <v/>
      </c>
      <c r="D1655" t="str">
        <f>IFERROR(IF(B1655="","",VLOOKUP(B1655,CadProd!$A:$C,3,0)),"")</f>
        <v/>
      </c>
    </row>
    <row r="1656" spans="3:4" x14ac:dyDescent="0.3">
      <c r="C1656" t="str">
        <f>IFERROR(IF(B1656="","",VLOOKUP(B1656,CadProd!$A:$B,2,0)),"")</f>
        <v/>
      </c>
      <c r="D1656" t="str">
        <f>IFERROR(IF(B1656="","",VLOOKUP(B1656,CadProd!$A:$C,3,0)),"")</f>
        <v/>
      </c>
    </row>
    <row r="1657" spans="3:4" x14ac:dyDescent="0.3">
      <c r="C1657" t="str">
        <f>IFERROR(IF(B1657="","",VLOOKUP(B1657,CadProd!$A:$B,2,0)),"")</f>
        <v/>
      </c>
      <c r="D1657" t="str">
        <f>IFERROR(IF(B1657="","",VLOOKUP(B1657,CadProd!$A:$C,3,0)),"")</f>
        <v/>
      </c>
    </row>
    <row r="1658" spans="3:4" x14ac:dyDescent="0.3">
      <c r="C1658" t="str">
        <f>IFERROR(IF(B1658="","",VLOOKUP(B1658,CadProd!$A:$B,2,0)),"")</f>
        <v/>
      </c>
      <c r="D1658" t="str">
        <f>IFERROR(IF(B1658="","",VLOOKUP(B1658,CadProd!$A:$C,3,0)),"")</f>
        <v/>
      </c>
    </row>
    <row r="1659" spans="3:4" x14ac:dyDescent="0.3">
      <c r="C1659" t="str">
        <f>IFERROR(IF(B1659="","",VLOOKUP(B1659,CadProd!$A:$B,2,0)),"")</f>
        <v/>
      </c>
      <c r="D1659" t="str">
        <f>IFERROR(IF(B1659="","",VLOOKUP(B1659,CadProd!$A:$C,3,0)),"")</f>
        <v/>
      </c>
    </row>
    <row r="1660" spans="3:4" x14ac:dyDescent="0.3">
      <c r="C1660" t="str">
        <f>IFERROR(IF(B1660="","",VLOOKUP(B1660,CadProd!$A:$B,2,0)),"")</f>
        <v/>
      </c>
      <c r="D1660" t="str">
        <f>IFERROR(IF(B1660="","",VLOOKUP(B1660,CadProd!$A:$C,3,0)),"")</f>
        <v/>
      </c>
    </row>
    <row r="1661" spans="3:4" x14ac:dyDescent="0.3">
      <c r="C1661" t="str">
        <f>IFERROR(IF(B1661="","",VLOOKUP(B1661,CadProd!$A:$B,2,0)),"")</f>
        <v/>
      </c>
      <c r="D1661" t="str">
        <f>IFERROR(IF(B1661="","",VLOOKUP(B1661,CadProd!$A:$C,3,0)),"")</f>
        <v/>
      </c>
    </row>
    <row r="1662" spans="3:4" x14ac:dyDescent="0.3">
      <c r="C1662" t="str">
        <f>IFERROR(IF(B1662="","",VLOOKUP(B1662,CadProd!$A:$B,2,0)),"")</f>
        <v/>
      </c>
      <c r="D1662" t="str">
        <f>IFERROR(IF(B1662="","",VLOOKUP(B1662,CadProd!$A:$C,3,0)),"")</f>
        <v/>
      </c>
    </row>
    <row r="1663" spans="3:4" x14ac:dyDescent="0.3">
      <c r="C1663" t="str">
        <f>IFERROR(IF(B1663="","",VLOOKUP(B1663,CadProd!$A:$B,2,0)),"")</f>
        <v/>
      </c>
      <c r="D1663" t="str">
        <f>IFERROR(IF(B1663="","",VLOOKUP(B1663,CadProd!$A:$C,3,0)),"")</f>
        <v/>
      </c>
    </row>
    <row r="1664" spans="3:4" x14ac:dyDescent="0.3">
      <c r="C1664" t="str">
        <f>IFERROR(IF(B1664="","",VLOOKUP(B1664,CadProd!$A:$B,2,0)),"")</f>
        <v/>
      </c>
      <c r="D1664" t="str">
        <f>IFERROR(IF(B1664="","",VLOOKUP(B1664,CadProd!$A:$C,3,0)),"")</f>
        <v/>
      </c>
    </row>
    <row r="1665" spans="3:4" x14ac:dyDescent="0.3">
      <c r="C1665" t="str">
        <f>IFERROR(IF(B1665="","",VLOOKUP(B1665,CadProd!$A:$B,2,0)),"")</f>
        <v/>
      </c>
      <c r="D1665" t="str">
        <f>IFERROR(IF(B1665="","",VLOOKUP(B1665,CadProd!$A:$C,3,0)),"")</f>
        <v/>
      </c>
    </row>
    <row r="1666" spans="3:4" x14ac:dyDescent="0.3">
      <c r="C1666" t="str">
        <f>IFERROR(IF(B1666="","",VLOOKUP(B1666,CadProd!$A:$B,2,0)),"")</f>
        <v/>
      </c>
      <c r="D1666" t="str">
        <f>IFERROR(IF(B1666="","",VLOOKUP(B1666,CadProd!$A:$C,3,0)),"")</f>
        <v/>
      </c>
    </row>
    <row r="1667" spans="3:4" x14ac:dyDescent="0.3">
      <c r="C1667" t="str">
        <f>IFERROR(IF(B1667="","",VLOOKUP(B1667,CadProd!$A:$B,2,0)),"")</f>
        <v/>
      </c>
      <c r="D1667" t="str">
        <f>IFERROR(IF(B1667="","",VLOOKUP(B1667,CadProd!$A:$C,3,0)),"")</f>
        <v/>
      </c>
    </row>
    <row r="1668" spans="3:4" x14ac:dyDescent="0.3">
      <c r="C1668" t="str">
        <f>IFERROR(IF(B1668="","",VLOOKUP(B1668,CadProd!$A:$B,2,0)),"")</f>
        <v/>
      </c>
      <c r="D1668" t="str">
        <f>IFERROR(IF(B1668="","",VLOOKUP(B1668,CadProd!$A:$C,3,0)),"")</f>
        <v/>
      </c>
    </row>
    <row r="1669" spans="3:4" x14ac:dyDescent="0.3">
      <c r="C1669" t="str">
        <f>IFERROR(IF(B1669="","",VLOOKUP(B1669,CadProd!$A:$B,2,0)),"")</f>
        <v/>
      </c>
      <c r="D1669" t="str">
        <f>IFERROR(IF(B1669="","",VLOOKUP(B1669,CadProd!$A:$C,3,0)),"")</f>
        <v/>
      </c>
    </row>
    <row r="1670" spans="3:4" x14ac:dyDescent="0.3">
      <c r="C1670" t="str">
        <f>IFERROR(IF(B1670="","",VLOOKUP(B1670,CadProd!$A:$B,2,0)),"")</f>
        <v/>
      </c>
      <c r="D1670" t="str">
        <f>IFERROR(IF(B1670="","",VLOOKUP(B1670,CadProd!$A:$C,3,0)),"")</f>
        <v/>
      </c>
    </row>
    <row r="1671" spans="3:4" x14ac:dyDescent="0.3">
      <c r="C1671" t="str">
        <f>IFERROR(IF(B1671="","",VLOOKUP(B1671,CadProd!$A:$B,2,0)),"")</f>
        <v/>
      </c>
      <c r="D1671" t="str">
        <f>IFERROR(IF(B1671="","",VLOOKUP(B1671,CadProd!$A:$C,3,0)),"")</f>
        <v/>
      </c>
    </row>
    <row r="1672" spans="3:4" x14ac:dyDescent="0.3">
      <c r="C1672" t="str">
        <f>IFERROR(IF(B1672="","",VLOOKUP(B1672,CadProd!$A:$B,2,0)),"")</f>
        <v/>
      </c>
      <c r="D1672" t="str">
        <f>IFERROR(IF(B1672="","",VLOOKUP(B1672,CadProd!$A:$C,3,0)),"")</f>
        <v/>
      </c>
    </row>
    <row r="1673" spans="3:4" x14ac:dyDescent="0.3">
      <c r="C1673" t="str">
        <f>IFERROR(IF(B1673="","",VLOOKUP(B1673,CadProd!$A:$B,2,0)),"")</f>
        <v/>
      </c>
      <c r="D1673" t="str">
        <f>IFERROR(IF(B1673="","",VLOOKUP(B1673,CadProd!$A:$C,3,0)),"")</f>
        <v/>
      </c>
    </row>
    <row r="1674" spans="3:4" x14ac:dyDescent="0.3">
      <c r="C1674" t="str">
        <f>IFERROR(IF(B1674="","",VLOOKUP(B1674,CadProd!$A:$B,2,0)),"")</f>
        <v/>
      </c>
      <c r="D1674" t="str">
        <f>IFERROR(IF(B1674="","",VLOOKUP(B1674,CadProd!$A:$C,3,0)),"")</f>
        <v/>
      </c>
    </row>
    <row r="1675" spans="3:4" x14ac:dyDescent="0.3">
      <c r="C1675" t="str">
        <f>IFERROR(IF(B1675="","",VLOOKUP(B1675,CadProd!$A:$B,2,0)),"")</f>
        <v/>
      </c>
      <c r="D1675" t="str">
        <f>IFERROR(IF(B1675="","",VLOOKUP(B1675,CadProd!$A:$C,3,0)),"")</f>
        <v/>
      </c>
    </row>
    <row r="1676" spans="3:4" x14ac:dyDescent="0.3">
      <c r="C1676" t="str">
        <f>IFERROR(IF(B1676="","",VLOOKUP(B1676,CadProd!$A:$B,2,0)),"")</f>
        <v/>
      </c>
      <c r="D1676" t="str">
        <f>IFERROR(IF(B1676="","",VLOOKUP(B1676,CadProd!$A:$C,3,0)),"")</f>
        <v/>
      </c>
    </row>
    <row r="1677" spans="3:4" x14ac:dyDescent="0.3">
      <c r="C1677" t="str">
        <f>IFERROR(IF(B1677="","",VLOOKUP(B1677,CadProd!$A:$B,2,0)),"")</f>
        <v/>
      </c>
      <c r="D1677" t="str">
        <f>IFERROR(IF(B1677="","",VLOOKUP(B1677,CadProd!$A:$C,3,0)),"")</f>
        <v/>
      </c>
    </row>
    <row r="1678" spans="3:4" x14ac:dyDescent="0.3">
      <c r="C1678" t="str">
        <f>IFERROR(IF(B1678="","",VLOOKUP(B1678,CadProd!$A:$B,2,0)),"")</f>
        <v/>
      </c>
      <c r="D1678" t="str">
        <f>IFERROR(IF(B1678="","",VLOOKUP(B1678,CadProd!$A:$C,3,0)),"")</f>
        <v/>
      </c>
    </row>
    <row r="1679" spans="3:4" x14ac:dyDescent="0.3">
      <c r="C1679" t="str">
        <f>IFERROR(IF(B1679="","",VLOOKUP(B1679,CadProd!$A:$B,2,0)),"")</f>
        <v/>
      </c>
      <c r="D1679" t="str">
        <f>IFERROR(IF(B1679="","",VLOOKUP(B1679,CadProd!$A:$C,3,0)),"")</f>
        <v/>
      </c>
    </row>
    <row r="1680" spans="3:4" x14ac:dyDescent="0.3">
      <c r="C1680" t="str">
        <f>IFERROR(IF(B1680="","",VLOOKUP(B1680,CadProd!$A:$B,2,0)),"")</f>
        <v/>
      </c>
      <c r="D1680" t="str">
        <f>IFERROR(IF(B1680="","",VLOOKUP(B1680,CadProd!$A:$C,3,0)),"")</f>
        <v/>
      </c>
    </row>
    <row r="1681" spans="3:4" x14ac:dyDescent="0.3">
      <c r="C1681" t="str">
        <f>IFERROR(IF(B1681="","",VLOOKUP(B1681,CadProd!$A:$B,2,0)),"")</f>
        <v/>
      </c>
      <c r="D1681" t="str">
        <f>IFERROR(IF(B1681="","",VLOOKUP(B1681,CadProd!$A:$C,3,0)),"")</f>
        <v/>
      </c>
    </row>
    <row r="1682" spans="3:4" x14ac:dyDescent="0.3">
      <c r="C1682" t="str">
        <f>IFERROR(IF(B1682="","",VLOOKUP(B1682,CadProd!$A:$B,2,0)),"")</f>
        <v/>
      </c>
      <c r="D1682" t="str">
        <f>IFERROR(IF(B1682="","",VLOOKUP(B1682,CadProd!$A:$C,3,0)),"")</f>
        <v/>
      </c>
    </row>
    <row r="1683" spans="3:4" x14ac:dyDescent="0.3">
      <c r="C1683" t="str">
        <f>IFERROR(IF(B1683="","",VLOOKUP(B1683,CadProd!$A:$B,2,0)),"")</f>
        <v/>
      </c>
      <c r="D1683" t="str">
        <f>IFERROR(IF(B1683="","",VLOOKUP(B1683,CadProd!$A:$C,3,0)),"")</f>
        <v/>
      </c>
    </row>
    <row r="1684" spans="3:4" x14ac:dyDescent="0.3">
      <c r="C1684" t="str">
        <f>IFERROR(IF(B1684="","",VLOOKUP(B1684,CadProd!$A:$B,2,0)),"")</f>
        <v/>
      </c>
      <c r="D1684" t="str">
        <f>IFERROR(IF(B1684="","",VLOOKUP(B1684,CadProd!$A:$C,3,0)),"")</f>
        <v/>
      </c>
    </row>
    <row r="1685" spans="3:4" x14ac:dyDescent="0.3">
      <c r="C1685" t="str">
        <f>IFERROR(IF(B1685="","",VLOOKUP(B1685,CadProd!$A:$B,2,0)),"")</f>
        <v/>
      </c>
      <c r="D1685" t="str">
        <f>IFERROR(IF(B1685="","",VLOOKUP(B1685,CadProd!$A:$C,3,0)),"")</f>
        <v/>
      </c>
    </row>
    <row r="1686" spans="3:4" x14ac:dyDescent="0.3">
      <c r="C1686" t="str">
        <f>IFERROR(IF(B1686="","",VLOOKUP(B1686,CadProd!$A:$B,2,0)),"")</f>
        <v/>
      </c>
      <c r="D1686" t="str">
        <f>IFERROR(IF(B1686="","",VLOOKUP(B1686,CadProd!$A:$C,3,0)),"")</f>
        <v/>
      </c>
    </row>
    <row r="1687" spans="3:4" x14ac:dyDescent="0.3">
      <c r="C1687" t="str">
        <f>IFERROR(IF(B1687="","",VLOOKUP(B1687,CadProd!$A:$B,2,0)),"")</f>
        <v/>
      </c>
      <c r="D1687" t="str">
        <f>IFERROR(IF(B1687="","",VLOOKUP(B1687,CadProd!$A:$C,3,0)),"")</f>
        <v/>
      </c>
    </row>
    <row r="1688" spans="3:4" x14ac:dyDescent="0.3">
      <c r="C1688" t="str">
        <f>IFERROR(IF(B1688="","",VLOOKUP(B1688,CadProd!$A:$B,2,0)),"")</f>
        <v/>
      </c>
      <c r="D1688" t="str">
        <f>IFERROR(IF(B1688="","",VLOOKUP(B1688,CadProd!$A:$C,3,0)),"")</f>
        <v/>
      </c>
    </row>
    <row r="1689" spans="3:4" x14ac:dyDescent="0.3">
      <c r="C1689" t="str">
        <f>IFERROR(IF(B1689="","",VLOOKUP(B1689,CadProd!$A:$B,2,0)),"")</f>
        <v/>
      </c>
      <c r="D1689" t="str">
        <f>IFERROR(IF(B1689="","",VLOOKUP(B1689,CadProd!$A:$C,3,0)),"")</f>
        <v/>
      </c>
    </row>
    <row r="1690" spans="3:4" x14ac:dyDescent="0.3">
      <c r="C1690" t="str">
        <f>IFERROR(IF(B1690="","",VLOOKUP(B1690,CadProd!$A:$B,2,0)),"")</f>
        <v/>
      </c>
      <c r="D1690" t="str">
        <f>IFERROR(IF(B1690="","",VLOOKUP(B1690,CadProd!$A:$C,3,0)),"")</f>
        <v/>
      </c>
    </row>
    <row r="1691" spans="3:4" x14ac:dyDescent="0.3">
      <c r="C1691" t="str">
        <f>IFERROR(IF(B1691="","",VLOOKUP(B1691,CadProd!$A:$B,2,0)),"")</f>
        <v/>
      </c>
      <c r="D1691" t="str">
        <f>IFERROR(IF(B1691="","",VLOOKUP(B1691,CadProd!$A:$C,3,0)),"")</f>
        <v/>
      </c>
    </row>
    <row r="1692" spans="3:4" x14ac:dyDescent="0.3">
      <c r="C1692" t="str">
        <f>IFERROR(IF(B1692="","",VLOOKUP(B1692,CadProd!$A:$B,2,0)),"")</f>
        <v/>
      </c>
      <c r="D1692" t="str">
        <f>IFERROR(IF(B1692="","",VLOOKUP(B1692,CadProd!$A:$C,3,0)),"")</f>
        <v/>
      </c>
    </row>
    <row r="1693" spans="3:4" x14ac:dyDescent="0.3">
      <c r="C1693" t="str">
        <f>IFERROR(IF(B1693="","",VLOOKUP(B1693,CadProd!$A:$B,2,0)),"")</f>
        <v/>
      </c>
      <c r="D1693" t="str">
        <f>IFERROR(IF(B1693="","",VLOOKUP(B1693,CadProd!$A:$C,3,0)),"")</f>
        <v/>
      </c>
    </row>
    <row r="1694" spans="3:4" x14ac:dyDescent="0.3">
      <c r="C1694" t="str">
        <f>IFERROR(IF(B1694="","",VLOOKUP(B1694,CadProd!$A:$B,2,0)),"")</f>
        <v/>
      </c>
      <c r="D1694" t="str">
        <f>IFERROR(IF(B1694="","",VLOOKUP(B1694,CadProd!$A:$C,3,0)),"")</f>
        <v/>
      </c>
    </row>
    <row r="1695" spans="3:4" x14ac:dyDescent="0.3">
      <c r="C1695" t="str">
        <f>IFERROR(IF(B1695="","",VLOOKUP(B1695,CadProd!$A:$B,2,0)),"")</f>
        <v/>
      </c>
      <c r="D1695" t="str">
        <f>IFERROR(IF(B1695="","",VLOOKUP(B1695,CadProd!$A:$C,3,0)),"")</f>
        <v/>
      </c>
    </row>
    <row r="1696" spans="3:4" x14ac:dyDescent="0.3">
      <c r="C1696" t="str">
        <f>IFERROR(IF(B1696="","",VLOOKUP(B1696,CadProd!$A:$B,2,0)),"")</f>
        <v/>
      </c>
      <c r="D1696" t="str">
        <f>IFERROR(IF(B1696="","",VLOOKUP(B1696,CadProd!$A:$C,3,0)),"")</f>
        <v/>
      </c>
    </row>
    <row r="1697" spans="3:4" x14ac:dyDescent="0.3">
      <c r="C1697" t="str">
        <f>IFERROR(IF(B1697="","",VLOOKUP(B1697,CadProd!$A:$B,2,0)),"")</f>
        <v/>
      </c>
      <c r="D1697" t="str">
        <f>IFERROR(IF(B1697="","",VLOOKUP(B1697,CadProd!$A:$C,3,0)),"")</f>
        <v/>
      </c>
    </row>
    <row r="1698" spans="3:4" x14ac:dyDescent="0.3">
      <c r="C1698" t="str">
        <f>IFERROR(IF(B1698="","",VLOOKUP(B1698,CadProd!$A:$B,2,0)),"")</f>
        <v/>
      </c>
      <c r="D1698" t="str">
        <f>IFERROR(IF(B1698="","",VLOOKUP(B1698,CadProd!$A:$C,3,0)),"")</f>
        <v/>
      </c>
    </row>
    <row r="1699" spans="3:4" x14ac:dyDescent="0.3">
      <c r="C1699" t="str">
        <f>IFERROR(IF(B1699="","",VLOOKUP(B1699,CadProd!$A:$B,2,0)),"")</f>
        <v/>
      </c>
      <c r="D1699" t="str">
        <f>IFERROR(IF(B1699="","",VLOOKUP(B1699,CadProd!$A:$C,3,0)),"")</f>
        <v/>
      </c>
    </row>
    <row r="1700" spans="3:4" x14ac:dyDescent="0.3">
      <c r="C1700" t="str">
        <f>IFERROR(IF(B1700="","",VLOOKUP(B1700,CadProd!$A:$B,2,0)),"")</f>
        <v/>
      </c>
      <c r="D1700" t="str">
        <f>IFERROR(IF(B1700="","",VLOOKUP(B1700,CadProd!$A:$C,3,0)),"")</f>
        <v/>
      </c>
    </row>
    <row r="1701" spans="3:4" x14ac:dyDescent="0.3">
      <c r="C1701" t="str">
        <f>IFERROR(IF(B1701="","",VLOOKUP(B1701,CadProd!$A:$B,2,0)),"")</f>
        <v/>
      </c>
      <c r="D1701" t="str">
        <f>IFERROR(IF(B1701="","",VLOOKUP(B1701,CadProd!$A:$C,3,0)),"")</f>
        <v/>
      </c>
    </row>
    <row r="1702" spans="3:4" x14ac:dyDescent="0.3">
      <c r="C1702" t="str">
        <f>IFERROR(IF(B1702="","",VLOOKUP(B1702,CadProd!$A:$B,2,0)),"")</f>
        <v/>
      </c>
      <c r="D1702" t="str">
        <f>IFERROR(IF(B1702="","",VLOOKUP(B1702,CadProd!$A:$C,3,0)),"")</f>
        <v/>
      </c>
    </row>
    <row r="1703" spans="3:4" x14ac:dyDescent="0.3">
      <c r="C1703" t="str">
        <f>IFERROR(IF(B1703="","",VLOOKUP(B1703,CadProd!$A:$B,2,0)),"")</f>
        <v/>
      </c>
      <c r="D1703" t="str">
        <f>IFERROR(IF(B1703="","",VLOOKUP(B1703,CadProd!$A:$C,3,0)),"")</f>
        <v/>
      </c>
    </row>
    <row r="1704" spans="3:4" x14ac:dyDescent="0.3">
      <c r="C1704" t="str">
        <f>IFERROR(IF(B1704="","",VLOOKUP(B1704,CadProd!$A:$B,2,0)),"")</f>
        <v/>
      </c>
      <c r="D1704" t="str">
        <f>IFERROR(IF(B1704="","",VLOOKUP(B1704,CadProd!$A:$C,3,0)),"")</f>
        <v/>
      </c>
    </row>
    <row r="1705" spans="3:4" x14ac:dyDescent="0.3">
      <c r="C1705" t="str">
        <f>IFERROR(IF(B1705="","",VLOOKUP(B1705,CadProd!$A:$B,2,0)),"")</f>
        <v/>
      </c>
      <c r="D1705" t="str">
        <f>IFERROR(IF(B1705="","",VLOOKUP(B1705,CadProd!$A:$C,3,0)),"")</f>
        <v/>
      </c>
    </row>
    <row r="1706" spans="3:4" x14ac:dyDescent="0.3">
      <c r="C1706" t="str">
        <f>IFERROR(IF(B1706="","",VLOOKUP(B1706,CadProd!$A:$B,2,0)),"")</f>
        <v/>
      </c>
      <c r="D1706" t="str">
        <f>IFERROR(IF(B1706="","",VLOOKUP(B1706,CadProd!$A:$C,3,0)),"")</f>
        <v/>
      </c>
    </row>
    <row r="1707" spans="3:4" x14ac:dyDescent="0.3">
      <c r="C1707" t="str">
        <f>IFERROR(IF(B1707="","",VLOOKUP(B1707,CadProd!$A:$B,2,0)),"")</f>
        <v/>
      </c>
      <c r="D1707" t="str">
        <f>IFERROR(IF(B1707="","",VLOOKUP(B1707,CadProd!$A:$C,3,0)),"")</f>
        <v/>
      </c>
    </row>
    <row r="1708" spans="3:4" x14ac:dyDescent="0.3">
      <c r="C1708" t="str">
        <f>IFERROR(IF(B1708="","",VLOOKUP(B1708,CadProd!$A:$B,2,0)),"")</f>
        <v/>
      </c>
      <c r="D1708" t="str">
        <f>IFERROR(IF(B1708="","",VLOOKUP(B1708,CadProd!$A:$C,3,0)),"")</f>
        <v/>
      </c>
    </row>
    <row r="1709" spans="3:4" x14ac:dyDescent="0.3">
      <c r="C1709" t="str">
        <f>IFERROR(IF(B1709="","",VLOOKUP(B1709,CadProd!$A:$B,2,0)),"")</f>
        <v/>
      </c>
      <c r="D1709" t="str">
        <f>IFERROR(IF(B1709="","",VLOOKUP(B1709,CadProd!$A:$C,3,0)),"")</f>
        <v/>
      </c>
    </row>
    <row r="1710" spans="3:4" x14ac:dyDescent="0.3">
      <c r="C1710" t="str">
        <f>IFERROR(IF(B1710="","",VLOOKUP(B1710,CadProd!$A:$B,2,0)),"")</f>
        <v/>
      </c>
      <c r="D1710" t="str">
        <f>IFERROR(IF(B1710="","",VLOOKUP(B1710,CadProd!$A:$C,3,0)),"")</f>
        <v/>
      </c>
    </row>
    <row r="1711" spans="3:4" x14ac:dyDescent="0.3">
      <c r="C1711" t="str">
        <f>IFERROR(IF(B1711="","",VLOOKUP(B1711,CadProd!$A:$B,2,0)),"")</f>
        <v/>
      </c>
      <c r="D1711" t="str">
        <f>IFERROR(IF(B1711="","",VLOOKUP(B1711,CadProd!$A:$C,3,0)),"")</f>
        <v/>
      </c>
    </row>
    <row r="1712" spans="3:4" x14ac:dyDescent="0.3">
      <c r="C1712" t="str">
        <f>IFERROR(IF(B1712="","",VLOOKUP(B1712,CadProd!$A:$B,2,0)),"")</f>
        <v/>
      </c>
      <c r="D1712" t="str">
        <f>IFERROR(IF(B1712="","",VLOOKUP(B1712,CadProd!$A:$C,3,0)),"")</f>
        <v/>
      </c>
    </row>
    <row r="1713" spans="3:4" x14ac:dyDescent="0.3">
      <c r="C1713" t="str">
        <f>IFERROR(IF(B1713="","",VLOOKUP(B1713,CadProd!$A:$B,2,0)),"")</f>
        <v/>
      </c>
      <c r="D1713" t="str">
        <f>IFERROR(IF(B1713="","",VLOOKUP(B1713,CadProd!$A:$C,3,0)),"")</f>
        <v/>
      </c>
    </row>
    <row r="1714" spans="3:4" x14ac:dyDescent="0.3">
      <c r="C1714" t="str">
        <f>IFERROR(IF(B1714="","",VLOOKUP(B1714,CadProd!$A:$B,2,0)),"")</f>
        <v/>
      </c>
      <c r="D1714" t="str">
        <f>IFERROR(IF(B1714="","",VLOOKUP(B1714,CadProd!$A:$C,3,0)),"")</f>
        <v/>
      </c>
    </row>
    <row r="1715" spans="3:4" x14ac:dyDescent="0.3">
      <c r="C1715" t="str">
        <f>IFERROR(IF(B1715="","",VLOOKUP(B1715,CadProd!$A:$B,2,0)),"")</f>
        <v/>
      </c>
      <c r="D1715" t="str">
        <f>IFERROR(IF(B1715="","",VLOOKUP(B1715,CadProd!$A:$C,3,0)),"")</f>
        <v/>
      </c>
    </row>
    <row r="1716" spans="3:4" x14ac:dyDescent="0.3">
      <c r="C1716" t="str">
        <f>IFERROR(IF(B1716="","",VLOOKUP(B1716,CadProd!$A:$B,2,0)),"")</f>
        <v/>
      </c>
      <c r="D1716" t="str">
        <f>IFERROR(IF(B1716="","",VLOOKUP(B1716,CadProd!$A:$C,3,0)),"")</f>
        <v/>
      </c>
    </row>
    <row r="1717" spans="3:4" x14ac:dyDescent="0.3">
      <c r="C1717" t="str">
        <f>IFERROR(IF(B1717="","",VLOOKUP(B1717,CadProd!$A:$B,2,0)),"")</f>
        <v/>
      </c>
      <c r="D1717" t="str">
        <f>IFERROR(IF(B1717="","",VLOOKUP(B1717,CadProd!$A:$C,3,0)),"")</f>
        <v/>
      </c>
    </row>
    <row r="1718" spans="3:4" x14ac:dyDescent="0.3">
      <c r="C1718" t="str">
        <f>IFERROR(IF(B1718="","",VLOOKUP(B1718,CadProd!$A:$B,2,0)),"")</f>
        <v/>
      </c>
      <c r="D1718" t="str">
        <f>IFERROR(IF(B1718="","",VLOOKUP(B1718,CadProd!$A:$C,3,0)),"")</f>
        <v/>
      </c>
    </row>
    <row r="1719" spans="3:4" x14ac:dyDescent="0.3">
      <c r="C1719" t="str">
        <f>IFERROR(IF(B1719="","",VLOOKUP(B1719,CadProd!$A:$B,2,0)),"")</f>
        <v/>
      </c>
      <c r="D1719" t="str">
        <f>IFERROR(IF(B1719="","",VLOOKUP(B1719,CadProd!$A:$C,3,0)),"")</f>
        <v/>
      </c>
    </row>
    <row r="1720" spans="3:4" x14ac:dyDescent="0.3">
      <c r="C1720" t="str">
        <f>IFERROR(IF(B1720="","",VLOOKUP(B1720,CadProd!$A:$B,2,0)),"")</f>
        <v/>
      </c>
      <c r="D1720" t="str">
        <f>IFERROR(IF(B1720="","",VLOOKUP(B1720,CadProd!$A:$C,3,0)),"")</f>
        <v/>
      </c>
    </row>
    <row r="1721" spans="3:4" x14ac:dyDescent="0.3">
      <c r="C1721" t="str">
        <f>IFERROR(IF(B1721="","",VLOOKUP(B1721,CadProd!$A:$B,2,0)),"")</f>
        <v/>
      </c>
      <c r="D1721" t="str">
        <f>IFERROR(IF(B1721="","",VLOOKUP(B1721,CadProd!$A:$C,3,0)),"")</f>
        <v/>
      </c>
    </row>
    <row r="1722" spans="3:4" x14ac:dyDescent="0.3">
      <c r="C1722" t="str">
        <f>IFERROR(IF(B1722="","",VLOOKUP(B1722,CadProd!$A:$B,2,0)),"")</f>
        <v/>
      </c>
      <c r="D1722" t="str">
        <f>IFERROR(IF(B1722="","",VLOOKUP(B1722,CadProd!$A:$C,3,0)),"")</f>
        <v/>
      </c>
    </row>
    <row r="1723" spans="3:4" x14ac:dyDescent="0.3">
      <c r="C1723" t="str">
        <f>IFERROR(IF(B1723="","",VLOOKUP(B1723,CadProd!$A:$B,2,0)),"")</f>
        <v/>
      </c>
      <c r="D1723" t="str">
        <f>IFERROR(IF(B1723="","",VLOOKUP(B1723,CadProd!$A:$C,3,0)),"")</f>
        <v/>
      </c>
    </row>
    <row r="1724" spans="3:4" x14ac:dyDescent="0.3">
      <c r="C1724" t="str">
        <f>IFERROR(IF(B1724="","",VLOOKUP(B1724,CadProd!$A:$B,2,0)),"")</f>
        <v/>
      </c>
      <c r="D1724" t="str">
        <f>IFERROR(IF(B1724="","",VLOOKUP(B1724,CadProd!$A:$C,3,0)),"")</f>
        <v/>
      </c>
    </row>
    <row r="1725" spans="3:4" x14ac:dyDescent="0.3">
      <c r="C1725" t="str">
        <f>IFERROR(IF(B1725="","",VLOOKUP(B1725,CadProd!$A:$B,2,0)),"")</f>
        <v/>
      </c>
      <c r="D1725" t="str">
        <f>IFERROR(IF(B1725="","",VLOOKUP(B1725,CadProd!$A:$C,3,0)),"")</f>
        <v/>
      </c>
    </row>
    <row r="1726" spans="3:4" x14ac:dyDescent="0.3">
      <c r="C1726" t="str">
        <f>IFERROR(IF(B1726="","",VLOOKUP(B1726,CadProd!$A:$B,2,0)),"")</f>
        <v/>
      </c>
      <c r="D1726" t="str">
        <f>IFERROR(IF(B1726="","",VLOOKUP(B1726,CadProd!$A:$C,3,0)),"")</f>
        <v/>
      </c>
    </row>
    <row r="1727" spans="3:4" x14ac:dyDescent="0.3">
      <c r="C1727" t="str">
        <f>IFERROR(IF(B1727="","",VLOOKUP(B1727,CadProd!$A:$B,2,0)),"")</f>
        <v/>
      </c>
      <c r="D1727" t="str">
        <f>IFERROR(IF(B1727="","",VLOOKUP(B1727,CadProd!$A:$C,3,0)),"")</f>
        <v/>
      </c>
    </row>
    <row r="1728" spans="3:4" x14ac:dyDescent="0.3">
      <c r="C1728" t="str">
        <f>IFERROR(IF(B1728="","",VLOOKUP(B1728,CadProd!$A:$B,2,0)),"")</f>
        <v/>
      </c>
      <c r="D1728" t="str">
        <f>IFERROR(IF(B1728="","",VLOOKUP(B1728,CadProd!$A:$C,3,0)),"")</f>
        <v/>
      </c>
    </row>
    <row r="1729" spans="3:4" x14ac:dyDescent="0.3">
      <c r="C1729" t="str">
        <f>IFERROR(IF(B1729="","",VLOOKUP(B1729,CadProd!$A:$B,2,0)),"")</f>
        <v/>
      </c>
      <c r="D1729" t="str">
        <f>IFERROR(IF(B1729="","",VLOOKUP(B1729,CadProd!$A:$C,3,0)),"")</f>
        <v/>
      </c>
    </row>
    <row r="1730" spans="3:4" x14ac:dyDescent="0.3">
      <c r="C1730" t="str">
        <f>IFERROR(IF(B1730="","",VLOOKUP(B1730,CadProd!$A:$B,2,0)),"")</f>
        <v/>
      </c>
      <c r="D1730" t="str">
        <f>IFERROR(IF(B1730="","",VLOOKUP(B1730,CadProd!$A:$C,3,0)),"")</f>
        <v/>
      </c>
    </row>
    <row r="1731" spans="3:4" x14ac:dyDescent="0.3">
      <c r="C1731" t="str">
        <f>IFERROR(IF(B1731="","",VLOOKUP(B1731,CadProd!$A:$B,2,0)),"")</f>
        <v/>
      </c>
      <c r="D1731" t="str">
        <f>IFERROR(IF(B1731="","",VLOOKUP(B1731,CadProd!$A:$C,3,0)),"")</f>
        <v/>
      </c>
    </row>
    <row r="1732" spans="3:4" x14ac:dyDescent="0.3">
      <c r="C1732" t="str">
        <f>IFERROR(IF(B1732="","",VLOOKUP(B1732,CadProd!$A:$B,2,0)),"")</f>
        <v/>
      </c>
      <c r="D1732" t="str">
        <f>IFERROR(IF(B1732="","",VLOOKUP(B1732,CadProd!$A:$C,3,0)),"")</f>
        <v/>
      </c>
    </row>
    <row r="1733" spans="3:4" x14ac:dyDescent="0.3">
      <c r="C1733" t="str">
        <f>IFERROR(IF(B1733="","",VLOOKUP(B1733,CadProd!$A:$B,2,0)),"")</f>
        <v/>
      </c>
      <c r="D1733" t="str">
        <f>IFERROR(IF(B1733="","",VLOOKUP(B1733,CadProd!$A:$C,3,0)),"")</f>
        <v/>
      </c>
    </row>
    <row r="1734" spans="3:4" x14ac:dyDescent="0.3">
      <c r="C1734" t="str">
        <f>IFERROR(IF(B1734="","",VLOOKUP(B1734,CadProd!$A:$B,2,0)),"")</f>
        <v/>
      </c>
      <c r="D1734" t="str">
        <f>IFERROR(IF(B1734="","",VLOOKUP(B1734,CadProd!$A:$C,3,0)),"")</f>
        <v/>
      </c>
    </row>
    <row r="1735" spans="3:4" x14ac:dyDescent="0.3">
      <c r="C1735" t="str">
        <f>IFERROR(IF(B1735="","",VLOOKUP(B1735,CadProd!$A:$B,2,0)),"")</f>
        <v/>
      </c>
      <c r="D1735" t="str">
        <f>IFERROR(IF(B1735="","",VLOOKUP(B1735,CadProd!$A:$C,3,0)),"")</f>
        <v/>
      </c>
    </row>
    <row r="1736" spans="3:4" x14ac:dyDescent="0.3">
      <c r="C1736" t="str">
        <f>IFERROR(IF(B1736="","",VLOOKUP(B1736,CadProd!$A:$B,2,0)),"")</f>
        <v/>
      </c>
      <c r="D1736" t="str">
        <f>IFERROR(IF(B1736="","",VLOOKUP(B1736,CadProd!$A:$C,3,0)),"")</f>
        <v/>
      </c>
    </row>
    <row r="1737" spans="3:4" x14ac:dyDescent="0.3">
      <c r="C1737" t="str">
        <f>IFERROR(IF(B1737="","",VLOOKUP(B1737,CadProd!$A:$B,2,0)),"")</f>
        <v/>
      </c>
      <c r="D1737" t="str">
        <f>IFERROR(IF(B1737="","",VLOOKUP(B1737,CadProd!$A:$C,3,0)),"")</f>
        <v/>
      </c>
    </row>
    <row r="1738" spans="3:4" x14ac:dyDescent="0.3">
      <c r="C1738" t="str">
        <f>IFERROR(IF(B1738="","",VLOOKUP(B1738,CadProd!$A:$B,2,0)),"")</f>
        <v/>
      </c>
      <c r="D1738" t="str">
        <f>IFERROR(IF(B1738="","",VLOOKUP(B1738,CadProd!$A:$C,3,0)),"")</f>
        <v/>
      </c>
    </row>
    <row r="1739" spans="3:4" x14ac:dyDescent="0.3">
      <c r="C1739" t="str">
        <f>IFERROR(IF(B1739="","",VLOOKUP(B1739,CadProd!$A:$B,2,0)),"")</f>
        <v/>
      </c>
      <c r="D1739" t="str">
        <f>IFERROR(IF(B1739="","",VLOOKUP(B1739,CadProd!$A:$C,3,0)),"")</f>
        <v/>
      </c>
    </row>
    <row r="1740" spans="3:4" x14ac:dyDescent="0.3">
      <c r="C1740" t="str">
        <f>IFERROR(IF(B1740="","",VLOOKUP(B1740,CadProd!$A:$B,2,0)),"")</f>
        <v/>
      </c>
      <c r="D1740" t="str">
        <f>IFERROR(IF(B1740="","",VLOOKUP(B1740,CadProd!$A:$C,3,0)),"")</f>
        <v/>
      </c>
    </row>
    <row r="1741" spans="3:4" x14ac:dyDescent="0.3">
      <c r="C1741" t="str">
        <f>IFERROR(IF(B1741="","",VLOOKUP(B1741,CadProd!$A:$B,2,0)),"")</f>
        <v/>
      </c>
      <c r="D1741" t="str">
        <f>IFERROR(IF(B1741="","",VLOOKUP(B1741,CadProd!$A:$C,3,0)),"")</f>
        <v/>
      </c>
    </row>
    <row r="1742" spans="3:4" x14ac:dyDescent="0.3">
      <c r="C1742" t="str">
        <f>IFERROR(IF(B1742="","",VLOOKUP(B1742,CadProd!$A:$B,2,0)),"")</f>
        <v/>
      </c>
      <c r="D1742" t="str">
        <f>IFERROR(IF(B1742="","",VLOOKUP(B1742,CadProd!$A:$C,3,0)),"")</f>
        <v/>
      </c>
    </row>
    <row r="1743" spans="3:4" x14ac:dyDescent="0.3">
      <c r="C1743" t="str">
        <f>IFERROR(IF(B1743="","",VLOOKUP(B1743,CadProd!$A:$B,2,0)),"")</f>
        <v/>
      </c>
      <c r="D1743" t="str">
        <f>IFERROR(IF(B1743="","",VLOOKUP(B1743,CadProd!$A:$C,3,0)),"")</f>
        <v/>
      </c>
    </row>
    <row r="1744" spans="3:4" x14ac:dyDescent="0.3">
      <c r="C1744" t="str">
        <f>IFERROR(IF(B1744="","",VLOOKUP(B1744,CadProd!$A:$B,2,0)),"")</f>
        <v/>
      </c>
      <c r="D1744" t="str">
        <f>IFERROR(IF(B1744="","",VLOOKUP(B1744,CadProd!$A:$C,3,0)),"")</f>
        <v/>
      </c>
    </row>
    <row r="1745" spans="3:4" x14ac:dyDescent="0.3">
      <c r="C1745" t="str">
        <f>IFERROR(IF(B1745="","",VLOOKUP(B1745,CadProd!$A:$B,2,0)),"")</f>
        <v/>
      </c>
      <c r="D1745" t="str">
        <f>IFERROR(IF(B1745="","",VLOOKUP(B1745,CadProd!$A:$C,3,0)),"")</f>
        <v/>
      </c>
    </row>
    <row r="1746" spans="3:4" x14ac:dyDescent="0.3">
      <c r="C1746" t="str">
        <f>IFERROR(IF(B1746="","",VLOOKUP(B1746,CadProd!$A:$B,2,0)),"")</f>
        <v/>
      </c>
      <c r="D1746" t="str">
        <f>IFERROR(IF(B1746="","",VLOOKUP(B1746,CadProd!$A:$C,3,0)),"")</f>
        <v/>
      </c>
    </row>
    <row r="1747" spans="3:4" x14ac:dyDescent="0.3">
      <c r="C1747" t="str">
        <f>IFERROR(IF(B1747="","",VLOOKUP(B1747,CadProd!$A:$B,2,0)),"")</f>
        <v/>
      </c>
      <c r="D1747" t="str">
        <f>IFERROR(IF(B1747="","",VLOOKUP(B1747,CadProd!$A:$C,3,0)),"")</f>
        <v/>
      </c>
    </row>
    <row r="1748" spans="3:4" x14ac:dyDescent="0.3">
      <c r="C1748" t="str">
        <f>IFERROR(IF(B1748="","",VLOOKUP(B1748,CadProd!$A:$B,2,0)),"")</f>
        <v/>
      </c>
      <c r="D1748" t="str">
        <f>IFERROR(IF(B1748="","",VLOOKUP(B1748,CadProd!$A:$C,3,0)),"")</f>
        <v/>
      </c>
    </row>
    <row r="1749" spans="3:4" x14ac:dyDescent="0.3">
      <c r="C1749" t="str">
        <f>IFERROR(IF(B1749="","",VLOOKUP(B1749,CadProd!$A:$B,2,0)),"")</f>
        <v/>
      </c>
      <c r="D1749" t="str">
        <f>IFERROR(IF(B1749="","",VLOOKUP(B1749,CadProd!$A:$C,3,0)),"")</f>
        <v/>
      </c>
    </row>
    <row r="1750" spans="3:4" x14ac:dyDescent="0.3">
      <c r="C1750" t="str">
        <f>IFERROR(IF(B1750="","",VLOOKUP(B1750,CadProd!$A:$B,2,0)),"")</f>
        <v/>
      </c>
      <c r="D1750" t="str">
        <f>IFERROR(IF(B1750="","",VLOOKUP(B1750,CadProd!$A:$C,3,0)),"")</f>
        <v/>
      </c>
    </row>
    <row r="1751" spans="3:4" x14ac:dyDescent="0.3">
      <c r="C1751" t="str">
        <f>IFERROR(IF(B1751="","",VLOOKUP(B1751,CadProd!$A:$B,2,0)),"")</f>
        <v/>
      </c>
      <c r="D1751" t="str">
        <f>IFERROR(IF(B1751="","",VLOOKUP(B1751,CadProd!$A:$C,3,0)),"")</f>
        <v/>
      </c>
    </row>
    <row r="1752" spans="3:4" x14ac:dyDescent="0.3">
      <c r="C1752" t="str">
        <f>IFERROR(IF(B1752="","",VLOOKUP(B1752,CadProd!$A:$B,2,0)),"")</f>
        <v/>
      </c>
      <c r="D1752" t="str">
        <f>IFERROR(IF(B1752="","",VLOOKUP(B1752,CadProd!$A:$C,3,0)),"")</f>
        <v/>
      </c>
    </row>
    <row r="1753" spans="3:4" x14ac:dyDescent="0.3">
      <c r="C1753" t="str">
        <f>IFERROR(IF(B1753="","",VLOOKUP(B1753,CadProd!$A:$B,2,0)),"")</f>
        <v/>
      </c>
      <c r="D1753" t="str">
        <f>IFERROR(IF(B1753="","",VLOOKUP(B1753,CadProd!$A:$C,3,0)),"")</f>
        <v/>
      </c>
    </row>
    <row r="1754" spans="3:4" x14ac:dyDescent="0.3">
      <c r="C1754" t="str">
        <f>IFERROR(IF(B1754="","",VLOOKUP(B1754,CadProd!$A:$B,2,0)),"")</f>
        <v/>
      </c>
      <c r="D1754" t="str">
        <f>IFERROR(IF(B1754="","",VLOOKUP(B1754,CadProd!$A:$C,3,0)),"")</f>
        <v/>
      </c>
    </row>
    <row r="1755" spans="3:4" x14ac:dyDescent="0.3">
      <c r="C1755" t="str">
        <f>IFERROR(IF(B1755="","",VLOOKUP(B1755,CadProd!$A:$B,2,0)),"")</f>
        <v/>
      </c>
      <c r="D1755" t="str">
        <f>IFERROR(IF(B1755="","",VLOOKUP(B1755,CadProd!$A:$C,3,0)),"")</f>
        <v/>
      </c>
    </row>
    <row r="1756" spans="3:4" x14ac:dyDescent="0.3">
      <c r="C1756" t="str">
        <f>IFERROR(IF(B1756="","",VLOOKUP(B1756,CadProd!$A:$B,2,0)),"")</f>
        <v/>
      </c>
      <c r="D1756" t="str">
        <f>IFERROR(IF(B1756="","",VLOOKUP(B1756,CadProd!$A:$C,3,0)),"")</f>
        <v/>
      </c>
    </row>
    <row r="1757" spans="3:4" x14ac:dyDescent="0.3">
      <c r="C1757" t="str">
        <f>IFERROR(IF(B1757="","",VLOOKUP(B1757,CadProd!$A:$B,2,0)),"")</f>
        <v/>
      </c>
      <c r="D1757" t="str">
        <f>IFERROR(IF(B1757="","",VLOOKUP(B1757,CadProd!$A:$C,3,0)),"")</f>
        <v/>
      </c>
    </row>
    <row r="1758" spans="3:4" x14ac:dyDescent="0.3">
      <c r="C1758" t="str">
        <f>IFERROR(IF(B1758="","",VLOOKUP(B1758,CadProd!$A:$B,2,0)),"")</f>
        <v/>
      </c>
      <c r="D1758" t="str">
        <f>IFERROR(IF(B1758="","",VLOOKUP(B1758,CadProd!$A:$C,3,0)),"")</f>
        <v/>
      </c>
    </row>
    <row r="1759" spans="3:4" x14ac:dyDescent="0.3">
      <c r="C1759" t="str">
        <f>IFERROR(IF(B1759="","",VLOOKUP(B1759,CadProd!$A:$B,2,0)),"")</f>
        <v/>
      </c>
      <c r="D1759" t="str">
        <f>IFERROR(IF(B1759="","",VLOOKUP(B1759,CadProd!$A:$C,3,0)),"")</f>
        <v/>
      </c>
    </row>
    <row r="1760" spans="3:4" x14ac:dyDescent="0.3">
      <c r="C1760" t="str">
        <f>IFERROR(IF(B1760="","",VLOOKUP(B1760,CadProd!$A:$B,2,0)),"")</f>
        <v/>
      </c>
      <c r="D1760" t="str">
        <f>IFERROR(IF(B1760="","",VLOOKUP(B1760,CadProd!$A:$C,3,0)),"")</f>
        <v/>
      </c>
    </row>
    <row r="1761" spans="3:4" x14ac:dyDescent="0.3">
      <c r="C1761" t="str">
        <f>IFERROR(IF(B1761="","",VLOOKUP(B1761,CadProd!$A:$B,2,0)),"")</f>
        <v/>
      </c>
      <c r="D1761" t="str">
        <f>IFERROR(IF(B1761="","",VLOOKUP(B1761,CadProd!$A:$C,3,0)),"")</f>
        <v/>
      </c>
    </row>
    <row r="1762" spans="3:4" x14ac:dyDescent="0.3">
      <c r="C1762" t="str">
        <f>IFERROR(IF(B1762="","",VLOOKUP(B1762,CadProd!$A:$B,2,0)),"")</f>
        <v/>
      </c>
      <c r="D1762" t="str">
        <f>IFERROR(IF(B1762="","",VLOOKUP(B1762,CadProd!$A:$C,3,0)),"")</f>
        <v/>
      </c>
    </row>
    <row r="1763" spans="3:4" x14ac:dyDescent="0.3">
      <c r="C1763" t="str">
        <f>IFERROR(IF(B1763="","",VLOOKUP(B1763,CadProd!$A:$B,2,0)),"")</f>
        <v/>
      </c>
      <c r="D1763" t="str">
        <f>IFERROR(IF(B1763="","",VLOOKUP(B1763,CadProd!$A:$C,3,0)),"")</f>
        <v/>
      </c>
    </row>
    <row r="1764" spans="3:4" x14ac:dyDescent="0.3">
      <c r="C1764" t="str">
        <f>IFERROR(IF(B1764="","",VLOOKUP(B1764,CadProd!$A:$B,2,0)),"")</f>
        <v/>
      </c>
      <c r="D1764" t="str">
        <f>IFERROR(IF(B1764="","",VLOOKUP(B1764,CadProd!$A:$C,3,0)),"")</f>
        <v/>
      </c>
    </row>
    <row r="1765" spans="3:4" x14ac:dyDescent="0.3">
      <c r="C1765" t="str">
        <f>IFERROR(IF(B1765="","",VLOOKUP(B1765,CadProd!$A:$B,2,0)),"")</f>
        <v/>
      </c>
      <c r="D1765" t="str">
        <f>IFERROR(IF(B1765="","",VLOOKUP(B1765,CadProd!$A:$C,3,0)),"")</f>
        <v/>
      </c>
    </row>
    <row r="1766" spans="3:4" x14ac:dyDescent="0.3">
      <c r="C1766" t="str">
        <f>IFERROR(IF(B1766="","",VLOOKUP(B1766,CadProd!$A:$B,2,0)),"")</f>
        <v/>
      </c>
      <c r="D1766" t="str">
        <f>IFERROR(IF(B1766="","",VLOOKUP(B1766,CadProd!$A:$C,3,0)),"")</f>
        <v/>
      </c>
    </row>
    <row r="1767" spans="3:4" x14ac:dyDescent="0.3">
      <c r="C1767" t="str">
        <f>IFERROR(IF(B1767="","",VLOOKUP(B1767,CadProd!$A:$B,2,0)),"")</f>
        <v/>
      </c>
      <c r="D1767" t="str">
        <f>IFERROR(IF(B1767="","",VLOOKUP(B1767,CadProd!$A:$C,3,0)),"")</f>
        <v/>
      </c>
    </row>
    <row r="1768" spans="3:4" x14ac:dyDescent="0.3">
      <c r="C1768" t="str">
        <f>IFERROR(IF(B1768="","",VLOOKUP(B1768,CadProd!$A:$B,2,0)),"")</f>
        <v/>
      </c>
      <c r="D1768" t="str">
        <f>IFERROR(IF(B1768="","",VLOOKUP(B1768,CadProd!$A:$C,3,0)),"")</f>
        <v/>
      </c>
    </row>
    <row r="1769" spans="3:4" x14ac:dyDescent="0.3">
      <c r="C1769" t="str">
        <f>IFERROR(IF(B1769="","",VLOOKUP(B1769,CadProd!$A:$B,2,0)),"")</f>
        <v/>
      </c>
      <c r="D1769" t="str">
        <f>IFERROR(IF(B1769="","",VLOOKUP(B1769,CadProd!$A:$C,3,0)),"")</f>
        <v/>
      </c>
    </row>
    <row r="1770" spans="3:4" x14ac:dyDescent="0.3">
      <c r="C1770" t="str">
        <f>IFERROR(IF(B1770="","",VLOOKUP(B1770,CadProd!$A:$B,2,0)),"")</f>
        <v/>
      </c>
      <c r="D1770" t="str">
        <f>IFERROR(IF(B1770="","",VLOOKUP(B1770,CadProd!$A:$C,3,0)),"")</f>
        <v/>
      </c>
    </row>
    <row r="1771" spans="3:4" x14ac:dyDescent="0.3">
      <c r="C1771" t="str">
        <f>IFERROR(IF(B1771="","",VLOOKUP(B1771,CadProd!$A:$B,2,0)),"")</f>
        <v/>
      </c>
      <c r="D1771" t="str">
        <f>IFERROR(IF(B1771="","",VLOOKUP(B1771,CadProd!$A:$C,3,0)),"")</f>
        <v/>
      </c>
    </row>
    <row r="1772" spans="3:4" x14ac:dyDescent="0.3">
      <c r="C1772" t="str">
        <f>IFERROR(IF(B1772="","",VLOOKUP(B1772,CadProd!$A:$B,2,0)),"")</f>
        <v/>
      </c>
      <c r="D1772" t="str">
        <f>IFERROR(IF(B1772="","",VLOOKUP(B1772,CadProd!$A:$C,3,0)),"")</f>
        <v/>
      </c>
    </row>
    <row r="1773" spans="3:4" x14ac:dyDescent="0.3">
      <c r="C1773" t="str">
        <f>IFERROR(IF(B1773="","",VLOOKUP(B1773,CadProd!$A:$B,2,0)),"")</f>
        <v/>
      </c>
      <c r="D1773" t="str">
        <f>IFERROR(IF(B1773="","",VLOOKUP(B1773,CadProd!$A:$C,3,0)),"")</f>
        <v/>
      </c>
    </row>
    <row r="1774" spans="3:4" x14ac:dyDescent="0.3">
      <c r="C1774" t="str">
        <f>IFERROR(IF(B1774="","",VLOOKUP(B1774,CadProd!$A:$B,2,0)),"")</f>
        <v/>
      </c>
      <c r="D1774" t="str">
        <f>IFERROR(IF(B1774="","",VLOOKUP(B1774,CadProd!$A:$C,3,0)),"")</f>
        <v/>
      </c>
    </row>
    <row r="1775" spans="3:4" x14ac:dyDescent="0.3">
      <c r="C1775" t="str">
        <f>IFERROR(IF(B1775="","",VLOOKUP(B1775,CadProd!$A:$B,2,0)),"")</f>
        <v/>
      </c>
      <c r="D1775" t="str">
        <f>IFERROR(IF(B1775="","",VLOOKUP(B1775,CadProd!$A:$C,3,0)),"")</f>
        <v/>
      </c>
    </row>
    <row r="1776" spans="3:4" x14ac:dyDescent="0.3">
      <c r="C1776" t="str">
        <f>IFERROR(IF(B1776="","",VLOOKUP(B1776,CadProd!$A:$B,2,0)),"")</f>
        <v/>
      </c>
      <c r="D1776" t="str">
        <f>IFERROR(IF(B1776="","",VLOOKUP(B1776,CadProd!$A:$C,3,0)),"")</f>
        <v/>
      </c>
    </row>
    <row r="1777" spans="3:4" x14ac:dyDescent="0.3">
      <c r="C1777" t="str">
        <f>IFERROR(IF(B1777="","",VLOOKUP(B1777,CadProd!$A:$B,2,0)),"")</f>
        <v/>
      </c>
      <c r="D1777" t="str">
        <f>IFERROR(IF(B1777="","",VLOOKUP(B1777,CadProd!$A:$C,3,0)),"")</f>
        <v/>
      </c>
    </row>
    <row r="1778" spans="3:4" x14ac:dyDescent="0.3">
      <c r="C1778" t="str">
        <f>IFERROR(IF(B1778="","",VLOOKUP(B1778,CadProd!$A:$B,2,0)),"")</f>
        <v/>
      </c>
      <c r="D1778" t="str">
        <f>IFERROR(IF(B1778="","",VLOOKUP(B1778,CadProd!$A:$C,3,0)),"")</f>
        <v/>
      </c>
    </row>
    <row r="1779" spans="3:4" x14ac:dyDescent="0.3">
      <c r="C1779" t="str">
        <f>IFERROR(IF(B1779="","",VLOOKUP(B1779,CadProd!$A:$B,2,0)),"")</f>
        <v/>
      </c>
      <c r="D1779" t="str">
        <f>IFERROR(IF(B1779="","",VLOOKUP(B1779,CadProd!$A:$C,3,0)),"")</f>
        <v/>
      </c>
    </row>
    <row r="1780" spans="3:4" x14ac:dyDescent="0.3">
      <c r="C1780" t="str">
        <f>IFERROR(IF(B1780="","",VLOOKUP(B1780,CadProd!$A:$B,2,0)),"")</f>
        <v/>
      </c>
      <c r="D1780" t="str">
        <f>IFERROR(IF(B1780="","",VLOOKUP(B1780,CadProd!$A:$C,3,0)),"")</f>
        <v/>
      </c>
    </row>
    <row r="1781" spans="3:4" x14ac:dyDescent="0.3">
      <c r="C1781" t="str">
        <f>IFERROR(IF(B1781="","",VLOOKUP(B1781,CadProd!$A:$B,2,0)),"")</f>
        <v/>
      </c>
      <c r="D1781" t="str">
        <f>IFERROR(IF(B1781="","",VLOOKUP(B1781,CadProd!$A:$C,3,0)),"")</f>
        <v/>
      </c>
    </row>
    <row r="1782" spans="3:4" x14ac:dyDescent="0.3">
      <c r="C1782" t="str">
        <f>IFERROR(IF(B1782="","",VLOOKUP(B1782,CadProd!$A:$B,2,0)),"")</f>
        <v/>
      </c>
      <c r="D1782" t="str">
        <f>IFERROR(IF(B1782="","",VLOOKUP(B1782,CadProd!$A:$C,3,0)),"")</f>
        <v/>
      </c>
    </row>
    <row r="1783" spans="3:4" x14ac:dyDescent="0.3">
      <c r="C1783" t="str">
        <f>IFERROR(IF(B1783="","",VLOOKUP(B1783,CadProd!$A:$B,2,0)),"")</f>
        <v/>
      </c>
      <c r="D1783" t="str">
        <f>IFERROR(IF(B1783="","",VLOOKUP(B1783,CadProd!$A:$C,3,0)),"")</f>
        <v/>
      </c>
    </row>
    <row r="1784" spans="3:4" x14ac:dyDescent="0.3">
      <c r="C1784" t="str">
        <f>IFERROR(IF(B1784="","",VLOOKUP(B1784,CadProd!$A:$B,2,0)),"")</f>
        <v/>
      </c>
      <c r="D1784" t="str">
        <f>IFERROR(IF(B1784="","",VLOOKUP(B1784,CadProd!$A:$C,3,0)),"")</f>
        <v/>
      </c>
    </row>
    <row r="1785" spans="3:4" x14ac:dyDescent="0.3">
      <c r="C1785" t="str">
        <f>IFERROR(IF(B1785="","",VLOOKUP(B1785,CadProd!$A:$B,2,0)),"")</f>
        <v/>
      </c>
      <c r="D1785" t="str">
        <f>IFERROR(IF(B1785="","",VLOOKUP(B1785,CadProd!$A:$C,3,0)),"")</f>
        <v/>
      </c>
    </row>
    <row r="1786" spans="3:4" x14ac:dyDescent="0.3">
      <c r="C1786" t="str">
        <f>IFERROR(IF(B1786="","",VLOOKUP(B1786,CadProd!$A:$B,2,0)),"")</f>
        <v/>
      </c>
      <c r="D1786" t="str">
        <f>IFERROR(IF(B1786="","",VLOOKUP(B1786,CadProd!$A:$C,3,0)),"")</f>
        <v/>
      </c>
    </row>
    <row r="1787" spans="3:4" x14ac:dyDescent="0.3">
      <c r="C1787" t="str">
        <f>IFERROR(IF(B1787="","",VLOOKUP(B1787,CadProd!$A:$B,2,0)),"")</f>
        <v/>
      </c>
      <c r="D1787" t="str">
        <f>IFERROR(IF(B1787="","",VLOOKUP(B1787,CadProd!$A:$C,3,0)),"")</f>
        <v/>
      </c>
    </row>
    <row r="1788" spans="3:4" x14ac:dyDescent="0.3">
      <c r="C1788" t="str">
        <f>IFERROR(IF(B1788="","",VLOOKUP(B1788,CadProd!$A:$B,2,0)),"")</f>
        <v/>
      </c>
      <c r="D1788" t="str">
        <f>IFERROR(IF(B1788="","",VLOOKUP(B1788,CadProd!$A:$C,3,0)),"")</f>
        <v/>
      </c>
    </row>
    <row r="1789" spans="3:4" x14ac:dyDescent="0.3">
      <c r="C1789" t="str">
        <f>IFERROR(IF(B1789="","",VLOOKUP(B1789,CadProd!$A:$B,2,0)),"")</f>
        <v/>
      </c>
      <c r="D1789" t="str">
        <f>IFERROR(IF(B1789="","",VLOOKUP(B1789,CadProd!$A:$C,3,0)),"")</f>
        <v/>
      </c>
    </row>
    <row r="1790" spans="3:4" x14ac:dyDescent="0.3">
      <c r="C1790" t="str">
        <f>IFERROR(IF(B1790="","",VLOOKUP(B1790,CadProd!$A:$B,2,0)),"")</f>
        <v/>
      </c>
      <c r="D1790" t="str">
        <f>IFERROR(IF(B1790="","",VLOOKUP(B1790,CadProd!$A:$C,3,0)),"")</f>
        <v/>
      </c>
    </row>
    <row r="1791" spans="3:4" x14ac:dyDescent="0.3">
      <c r="C1791" t="str">
        <f>IFERROR(IF(B1791="","",VLOOKUP(B1791,CadProd!$A:$B,2,0)),"")</f>
        <v/>
      </c>
      <c r="D1791" t="str">
        <f>IFERROR(IF(B1791="","",VLOOKUP(B1791,CadProd!$A:$C,3,0)),"")</f>
        <v/>
      </c>
    </row>
    <row r="1792" spans="3:4" x14ac:dyDescent="0.3">
      <c r="C1792" t="str">
        <f>IFERROR(IF(B1792="","",VLOOKUP(B1792,CadProd!$A:$B,2,0)),"")</f>
        <v/>
      </c>
      <c r="D1792" t="str">
        <f>IFERROR(IF(B1792="","",VLOOKUP(B1792,CadProd!$A:$C,3,0)),"")</f>
        <v/>
      </c>
    </row>
    <row r="1793" spans="3:4" x14ac:dyDescent="0.3">
      <c r="C1793" t="str">
        <f>IFERROR(IF(B1793="","",VLOOKUP(B1793,CadProd!$A:$B,2,0)),"")</f>
        <v/>
      </c>
      <c r="D1793" t="str">
        <f>IFERROR(IF(B1793="","",VLOOKUP(B1793,CadProd!$A:$C,3,0)),"")</f>
        <v/>
      </c>
    </row>
    <row r="1794" spans="3:4" x14ac:dyDescent="0.3">
      <c r="C1794" t="str">
        <f>IFERROR(IF(B1794="","",VLOOKUP(B1794,CadProd!$A:$B,2,0)),"")</f>
        <v/>
      </c>
      <c r="D1794" t="str">
        <f>IFERROR(IF(B1794="","",VLOOKUP(B1794,CadProd!$A:$C,3,0)),"")</f>
        <v/>
      </c>
    </row>
    <row r="1795" spans="3:4" x14ac:dyDescent="0.3">
      <c r="C1795" t="str">
        <f>IFERROR(IF(B1795="","",VLOOKUP(B1795,CadProd!$A:$B,2,0)),"")</f>
        <v/>
      </c>
      <c r="D1795" t="str">
        <f>IFERROR(IF(B1795="","",VLOOKUP(B1795,CadProd!$A:$C,3,0)),"")</f>
        <v/>
      </c>
    </row>
    <row r="1796" spans="3:4" x14ac:dyDescent="0.3">
      <c r="C1796" t="str">
        <f>IFERROR(IF(B1796="","",VLOOKUP(B1796,CadProd!$A:$B,2,0)),"")</f>
        <v/>
      </c>
      <c r="D1796" t="str">
        <f>IFERROR(IF(B1796="","",VLOOKUP(B1796,CadProd!$A:$C,3,0)),"")</f>
        <v/>
      </c>
    </row>
    <row r="1797" spans="3:4" x14ac:dyDescent="0.3">
      <c r="C1797" t="str">
        <f>IFERROR(IF(B1797="","",VLOOKUP(B1797,CadProd!$A:$B,2,0)),"")</f>
        <v/>
      </c>
      <c r="D1797" t="str">
        <f>IFERROR(IF(B1797="","",VLOOKUP(B1797,CadProd!$A:$C,3,0)),"")</f>
        <v/>
      </c>
    </row>
    <row r="1798" spans="3:4" x14ac:dyDescent="0.3">
      <c r="C1798" t="str">
        <f>IFERROR(IF(B1798="","",VLOOKUP(B1798,CadProd!$A:$B,2,0)),"")</f>
        <v/>
      </c>
      <c r="D1798" t="str">
        <f>IFERROR(IF(B1798="","",VLOOKUP(B1798,CadProd!$A:$C,3,0)),"")</f>
        <v/>
      </c>
    </row>
    <row r="1799" spans="3:4" x14ac:dyDescent="0.3">
      <c r="C1799" t="str">
        <f>IFERROR(IF(B1799="","",VLOOKUP(B1799,CadProd!$A:$B,2,0)),"")</f>
        <v/>
      </c>
      <c r="D1799" t="str">
        <f>IFERROR(IF(B1799="","",VLOOKUP(B1799,CadProd!$A:$C,3,0)),"")</f>
        <v/>
      </c>
    </row>
    <row r="1800" spans="3:4" x14ac:dyDescent="0.3">
      <c r="C1800" t="str">
        <f>IFERROR(IF(B1800="","",VLOOKUP(B1800,CadProd!$A:$B,2,0)),"")</f>
        <v/>
      </c>
      <c r="D1800" t="str">
        <f>IFERROR(IF(B1800="","",VLOOKUP(B1800,CadProd!$A:$C,3,0)),"")</f>
        <v/>
      </c>
    </row>
    <row r="1801" spans="3:4" x14ac:dyDescent="0.3">
      <c r="C1801" t="str">
        <f>IFERROR(IF(B1801="","",VLOOKUP(B1801,CadProd!$A:$B,2,0)),"")</f>
        <v/>
      </c>
      <c r="D1801" t="str">
        <f>IFERROR(IF(B1801="","",VLOOKUP(B1801,CadProd!$A:$C,3,0)),"")</f>
        <v/>
      </c>
    </row>
    <row r="1802" spans="3:4" x14ac:dyDescent="0.3">
      <c r="C1802" t="str">
        <f>IFERROR(IF(B1802="","",VLOOKUP(B1802,CadProd!$A:$B,2,0)),"")</f>
        <v/>
      </c>
      <c r="D1802" t="str">
        <f>IFERROR(IF(B1802="","",VLOOKUP(B1802,CadProd!$A:$C,3,0)),"")</f>
        <v/>
      </c>
    </row>
    <row r="1803" spans="3:4" x14ac:dyDescent="0.3">
      <c r="C1803" t="str">
        <f>IFERROR(IF(B1803="","",VLOOKUP(B1803,CadProd!$A:$B,2,0)),"")</f>
        <v/>
      </c>
      <c r="D1803" t="str">
        <f>IFERROR(IF(B1803="","",VLOOKUP(B1803,CadProd!$A:$C,3,0)),"")</f>
        <v/>
      </c>
    </row>
    <row r="1804" spans="3:4" x14ac:dyDescent="0.3">
      <c r="C1804" t="str">
        <f>IFERROR(IF(B1804="","",VLOOKUP(B1804,CadProd!$A:$B,2,0)),"")</f>
        <v/>
      </c>
      <c r="D1804" t="str">
        <f>IFERROR(IF(B1804="","",VLOOKUP(B1804,CadProd!$A:$C,3,0)),"")</f>
        <v/>
      </c>
    </row>
    <row r="1805" spans="3:4" x14ac:dyDescent="0.3">
      <c r="C1805" t="str">
        <f>IFERROR(IF(B1805="","",VLOOKUP(B1805,CadProd!$A:$B,2,0)),"")</f>
        <v/>
      </c>
      <c r="D1805" t="str">
        <f>IFERROR(IF(B1805="","",VLOOKUP(B1805,CadProd!$A:$C,3,0)),"")</f>
        <v/>
      </c>
    </row>
    <row r="1806" spans="3:4" x14ac:dyDescent="0.3">
      <c r="C1806" t="str">
        <f>IFERROR(IF(B1806="","",VLOOKUP(B1806,CadProd!$A:$B,2,0)),"")</f>
        <v/>
      </c>
      <c r="D1806" t="str">
        <f>IFERROR(IF(B1806="","",VLOOKUP(B1806,CadProd!$A:$C,3,0)),"")</f>
        <v/>
      </c>
    </row>
    <row r="1807" spans="3:4" x14ac:dyDescent="0.3">
      <c r="C1807" t="str">
        <f>IFERROR(IF(B1807="","",VLOOKUP(B1807,CadProd!$A:$B,2,0)),"")</f>
        <v/>
      </c>
      <c r="D1807" t="str">
        <f>IFERROR(IF(B1807="","",VLOOKUP(B1807,CadProd!$A:$C,3,0)),"")</f>
        <v/>
      </c>
    </row>
    <row r="1808" spans="3:4" x14ac:dyDescent="0.3">
      <c r="C1808" t="str">
        <f>IFERROR(IF(B1808="","",VLOOKUP(B1808,CadProd!$A:$B,2,0)),"")</f>
        <v/>
      </c>
      <c r="D1808" t="str">
        <f>IFERROR(IF(B1808="","",VLOOKUP(B1808,CadProd!$A:$C,3,0)),"")</f>
        <v/>
      </c>
    </row>
    <row r="1809" spans="3:4" x14ac:dyDescent="0.3">
      <c r="C1809" t="str">
        <f>IFERROR(IF(B1809="","",VLOOKUP(B1809,CadProd!$A:$B,2,0)),"")</f>
        <v/>
      </c>
      <c r="D1809" t="str">
        <f>IFERROR(IF(B1809="","",VLOOKUP(B1809,CadProd!$A:$C,3,0)),"")</f>
        <v/>
      </c>
    </row>
    <row r="1810" spans="3:4" x14ac:dyDescent="0.3">
      <c r="C1810" t="str">
        <f>IFERROR(IF(B1810="","",VLOOKUP(B1810,CadProd!$A:$B,2,0)),"")</f>
        <v/>
      </c>
      <c r="D1810" t="str">
        <f>IFERROR(IF(B1810="","",VLOOKUP(B1810,CadProd!$A:$C,3,0)),"")</f>
        <v/>
      </c>
    </row>
    <row r="1811" spans="3:4" x14ac:dyDescent="0.3">
      <c r="C1811" t="str">
        <f>IFERROR(IF(B1811="","",VLOOKUP(B1811,CadProd!$A:$B,2,0)),"")</f>
        <v/>
      </c>
      <c r="D1811" t="str">
        <f>IFERROR(IF(B1811="","",VLOOKUP(B1811,CadProd!$A:$C,3,0)),"")</f>
        <v/>
      </c>
    </row>
    <row r="1812" spans="3:4" x14ac:dyDescent="0.3">
      <c r="C1812" t="str">
        <f>IFERROR(IF(B1812="","",VLOOKUP(B1812,CadProd!$A:$B,2,0)),"")</f>
        <v/>
      </c>
      <c r="D1812" t="str">
        <f>IFERROR(IF(B1812="","",VLOOKUP(B1812,CadProd!$A:$C,3,0)),"")</f>
        <v/>
      </c>
    </row>
    <row r="1813" spans="3:4" x14ac:dyDescent="0.3">
      <c r="C1813" t="str">
        <f>IFERROR(IF(B1813="","",VLOOKUP(B1813,CadProd!$A:$B,2,0)),"")</f>
        <v/>
      </c>
      <c r="D1813" t="str">
        <f>IFERROR(IF(B1813="","",VLOOKUP(B1813,CadProd!$A:$C,3,0)),"")</f>
        <v/>
      </c>
    </row>
    <row r="1814" spans="3:4" x14ac:dyDescent="0.3">
      <c r="C1814" t="str">
        <f>IFERROR(IF(B1814="","",VLOOKUP(B1814,CadProd!$A:$B,2,0)),"")</f>
        <v/>
      </c>
      <c r="D1814" t="str">
        <f>IFERROR(IF(B1814="","",VLOOKUP(B1814,CadProd!$A:$C,3,0)),"")</f>
        <v/>
      </c>
    </row>
    <row r="1815" spans="3:4" x14ac:dyDescent="0.3">
      <c r="C1815" t="str">
        <f>IFERROR(IF(B1815="","",VLOOKUP(B1815,CadProd!$A:$B,2,0)),"")</f>
        <v/>
      </c>
      <c r="D1815" t="str">
        <f>IFERROR(IF(B1815="","",VLOOKUP(B1815,CadProd!$A:$C,3,0)),"")</f>
        <v/>
      </c>
    </row>
    <row r="1816" spans="3:4" x14ac:dyDescent="0.3">
      <c r="C1816" t="str">
        <f>IFERROR(IF(B1816="","",VLOOKUP(B1816,CadProd!$A:$B,2,0)),"")</f>
        <v/>
      </c>
      <c r="D1816" t="str">
        <f>IFERROR(IF(B1816="","",VLOOKUP(B1816,CadProd!$A:$C,3,0)),"")</f>
        <v/>
      </c>
    </row>
    <row r="1817" spans="3:4" x14ac:dyDescent="0.3">
      <c r="C1817" t="str">
        <f>IFERROR(IF(B1817="","",VLOOKUP(B1817,CadProd!$A:$B,2,0)),"")</f>
        <v/>
      </c>
      <c r="D1817" t="str">
        <f>IFERROR(IF(B1817="","",VLOOKUP(B1817,CadProd!$A:$C,3,0)),"")</f>
        <v/>
      </c>
    </row>
    <row r="1818" spans="3:4" x14ac:dyDescent="0.3">
      <c r="C1818" t="str">
        <f>IFERROR(IF(B1818="","",VLOOKUP(B1818,CadProd!$A:$B,2,0)),"")</f>
        <v/>
      </c>
      <c r="D1818" t="str">
        <f>IFERROR(IF(B1818="","",VLOOKUP(B1818,CadProd!$A:$C,3,0)),"")</f>
        <v/>
      </c>
    </row>
    <row r="1819" spans="3:4" x14ac:dyDescent="0.3">
      <c r="C1819" t="str">
        <f>IFERROR(IF(B1819="","",VLOOKUP(B1819,CadProd!$A:$B,2,0)),"")</f>
        <v/>
      </c>
      <c r="D1819" t="str">
        <f>IFERROR(IF(B1819="","",VLOOKUP(B1819,CadProd!$A:$C,3,0)),"")</f>
        <v/>
      </c>
    </row>
    <row r="1820" spans="3:4" x14ac:dyDescent="0.3">
      <c r="C1820" t="str">
        <f>IFERROR(IF(B1820="","",VLOOKUP(B1820,CadProd!$A:$B,2,0)),"")</f>
        <v/>
      </c>
      <c r="D1820" t="str">
        <f>IFERROR(IF(B1820="","",VLOOKUP(B1820,CadProd!$A:$C,3,0)),"")</f>
        <v/>
      </c>
    </row>
    <row r="1821" spans="3:4" x14ac:dyDescent="0.3">
      <c r="C1821" t="str">
        <f>IFERROR(IF(B1821="","",VLOOKUP(B1821,CadProd!$A:$B,2,0)),"")</f>
        <v/>
      </c>
      <c r="D1821" t="str">
        <f>IFERROR(IF(B1821="","",VLOOKUP(B1821,CadProd!$A:$C,3,0)),"")</f>
        <v/>
      </c>
    </row>
    <row r="1822" spans="3:4" x14ac:dyDescent="0.3">
      <c r="C1822" t="str">
        <f>IFERROR(IF(B1822="","",VLOOKUP(B1822,CadProd!$A:$B,2,0)),"")</f>
        <v/>
      </c>
      <c r="D1822" t="str">
        <f>IFERROR(IF(B1822="","",VLOOKUP(B1822,CadProd!$A:$C,3,0)),"")</f>
        <v/>
      </c>
    </row>
    <row r="1823" spans="3:4" x14ac:dyDescent="0.3">
      <c r="C1823" t="str">
        <f>IFERROR(IF(B1823="","",VLOOKUP(B1823,CadProd!$A:$B,2,0)),"")</f>
        <v/>
      </c>
      <c r="D1823" t="str">
        <f>IFERROR(IF(B1823="","",VLOOKUP(B1823,CadProd!$A:$C,3,0)),"")</f>
        <v/>
      </c>
    </row>
    <row r="1824" spans="3:4" x14ac:dyDescent="0.3">
      <c r="C1824" t="str">
        <f>IFERROR(IF(B1824="","",VLOOKUP(B1824,CadProd!$A:$B,2,0)),"")</f>
        <v/>
      </c>
      <c r="D1824" t="str">
        <f>IFERROR(IF(B1824="","",VLOOKUP(B1824,CadProd!$A:$C,3,0)),"")</f>
        <v/>
      </c>
    </row>
    <row r="1825" spans="3:4" x14ac:dyDescent="0.3">
      <c r="C1825" t="str">
        <f>IFERROR(IF(B1825="","",VLOOKUP(B1825,CadProd!$A:$B,2,0)),"")</f>
        <v/>
      </c>
      <c r="D1825" t="str">
        <f>IFERROR(IF(B1825="","",VLOOKUP(B1825,CadProd!$A:$C,3,0)),"")</f>
        <v/>
      </c>
    </row>
    <row r="1826" spans="3:4" x14ac:dyDescent="0.3">
      <c r="C1826" t="str">
        <f>IFERROR(IF(B1826="","",VLOOKUP(B1826,CadProd!$A:$B,2,0)),"")</f>
        <v/>
      </c>
      <c r="D1826" t="str">
        <f>IFERROR(IF(B1826="","",VLOOKUP(B1826,CadProd!$A:$C,3,0)),"")</f>
        <v/>
      </c>
    </row>
    <row r="1827" spans="3:4" x14ac:dyDescent="0.3">
      <c r="C1827" t="str">
        <f>IFERROR(IF(B1827="","",VLOOKUP(B1827,CadProd!$A:$B,2,0)),"")</f>
        <v/>
      </c>
      <c r="D1827" t="str">
        <f>IFERROR(IF(B1827="","",VLOOKUP(B1827,CadProd!$A:$C,3,0)),"")</f>
        <v/>
      </c>
    </row>
    <row r="1828" spans="3:4" x14ac:dyDescent="0.3">
      <c r="C1828" t="str">
        <f>IFERROR(IF(B1828="","",VLOOKUP(B1828,CadProd!$A:$B,2,0)),"")</f>
        <v/>
      </c>
      <c r="D1828" t="str">
        <f>IFERROR(IF(B1828="","",VLOOKUP(B1828,CadProd!$A:$C,3,0)),"")</f>
        <v/>
      </c>
    </row>
    <row r="1829" spans="3:4" x14ac:dyDescent="0.3">
      <c r="C1829" t="str">
        <f>IFERROR(IF(B1829="","",VLOOKUP(B1829,CadProd!$A:$B,2,0)),"")</f>
        <v/>
      </c>
      <c r="D1829" t="str">
        <f>IFERROR(IF(B1829="","",VLOOKUP(B1829,CadProd!$A:$C,3,0)),"")</f>
        <v/>
      </c>
    </row>
    <row r="1830" spans="3:4" x14ac:dyDescent="0.3">
      <c r="C1830" t="str">
        <f>IFERROR(IF(B1830="","",VLOOKUP(B1830,CadProd!$A:$B,2,0)),"")</f>
        <v/>
      </c>
      <c r="D1830" t="str">
        <f>IFERROR(IF(B1830="","",VLOOKUP(B1830,CadProd!$A:$C,3,0)),"")</f>
        <v/>
      </c>
    </row>
    <row r="1831" spans="3:4" x14ac:dyDescent="0.3">
      <c r="C1831" t="str">
        <f>IFERROR(IF(B1831="","",VLOOKUP(B1831,CadProd!$A:$B,2,0)),"")</f>
        <v/>
      </c>
      <c r="D1831" t="str">
        <f>IFERROR(IF(B1831="","",VLOOKUP(B1831,CadProd!$A:$C,3,0)),"")</f>
        <v/>
      </c>
    </row>
    <row r="1832" spans="3:4" x14ac:dyDescent="0.3">
      <c r="C1832" t="str">
        <f>IFERROR(IF(B1832="","",VLOOKUP(B1832,CadProd!$A:$B,2,0)),"")</f>
        <v/>
      </c>
      <c r="D1832" t="str">
        <f>IFERROR(IF(B1832="","",VLOOKUP(B1832,CadProd!$A:$C,3,0)),"")</f>
        <v/>
      </c>
    </row>
    <row r="1833" spans="3:4" x14ac:dyDescent="0.3">
      <c r="C1833" t="str">
        <f>IFERROR(IF(B1833="","",VLOOKUP(B1833,CadProd!$A:$B,2,0)),"")</f>
        <v/>
      </c>
      <c r="D1833" t="str">
        <f>IFERROR(IF(B1833="","",VLOOKUP(B1833,CadProd!$A:$C,3,0)),"")</f>
        <v/>
      </c>
    </row>
    <row r="1834" spans="3:4" x14ac:dyDescent="0.3">
      <c r="C1834" t="str">
        <f>IFERROR(IF(B1834="","",VLOOKUP(B1834,CadProd!$A:$B,2,0)),"")</f>
        <v/>
      </c>
      <c r="D1834" t="str">
        <f>IFERROR(IF(B1834="","",VLOOKUP(B1834,CadProd!$A:$C,3,0)),"")</f>
        <v/>
      </c>
    </row>
    <row r="1835" spans="3:4" x14ac:dyDescent="0.3">
      <c r="C1835" t="str">
        <f>IFERROR(IF(B1835="","",VLOOKUP(B1835,CadProd!$A:$B,2,0)),"")</f>
        <v/>
      </c>
      <c r="D1835" t="str">
        <f>IFERROR(IF(B1835="","",VLOOKUP(B1835,CadProd!$A:$C,3,0)),"")</f>
        <v/>
      </c>
    </row>
    <row r="1836" spans="3:4" x14ac:dyDescent="0.3">
      <c r="C1836" t="str">
        <f>IFERROR(IF(B1836="","",VLOOKUP(B1836,CadProd!$A:$B,2,0)),"")</f>
        <v/>
      </c>
      <c r="D1836" t="str">
        <f>IFERROR(IF(B1836="","",VLOOKUP(B1836,CadProd!$A:$C,3,0)),"")</f>
        <v/>
      </c>
    </row>
    <row r="1837" spans="3:4" x14ac:dyDescent="0.3">
      <c r="C1837" t="str">
        <f>IFERROR(IF(B1837="","",VLOOKUP(B1837,CadProd!$A:$B,2,0)),"")</f>
        <v/>
      </c>
      <c r="D1837" t="str">
        <f>IFERROR(IF(B1837="","",VLOOKUP(B1837,CadProd!$A:$C,3,0)),"")</f>
        <v/>
      </c>
    </row>
    <row r="1838" spans="3:4" x14ac:dyDescent="0.3">
      <c r="C1838" t="str">
        <f>IFERROR(IF(B1838="","",VLOOKUP(B1838,CadProd!$A:$B,2,0)),"")</f>
        <v/>
      </c>
      <c r="D1838" t="str">
        <f>IFERROR(IF(B1838="","",VLOOKUP(B1838,CadProd!$A:$C,3,0)),"")</f>
        <v/>
      </c>
    </row>
    <row r="1839" spans="3:4" x14ac:dyDescent="0.3">
      <c r="C1839" t="str">
        <f>IFERROR(IF(B1839="","",VLOOKUP(B1839,CadProd!$A:$B,2,0)),"")</f>
        <v/>
      </c>
      <c r="D1839" t="str">
        <f>IFERROR(IF(B1839="","",VLOOKUP(B1839,CadProd!$A:$C,3,0)),"")</f>
        <v/>
      </c>
    </row>
    <row r="1840" spans="3:4" x14ac:dyDescent="0.3">
      <c r="C1840" t="str">
        <f>IFERROR(IF(B1840="","",VLOOKUP(B1840,CadProd!$A:$B,2,0)),"")</f>
        <v/>
      </c>
      <c r="D1840" t="str">
        <f>IFERROR(IF(B1840="","",VLOOKUP(B1840,CadProd!$A:$C,3,0)),"")</f>
        <v/>
      </c>
    </row>
    <row r="1841" spans="3:4" x14ac:dyDescent="0.3">
      <c r="C1841" t="str">
        <f>IFERROR(IF(B1841="","",VLOOKUP(B1841,CadProd!$A:$B,2,0)),"")</f>
        <v/>
      </c>
      <c r="D1841" t="str">
        <f>IFERROR(IF(B1841="","",VLOOKUP(B1841,CadProd!$A:$C,3,0)),"")</f>
        <v/>
      </c>
    </row>
    <row r="1842" spans="3:4" x14ac:dyDescent="0.3">
      <c r="C1842" t="str">
        <f>IFERROR(IF(B1842="","",VLOOKUP(B1842,CadProd!$A:$B,2,0)),"")</f>
        <v/>
      </c>
      <c r="D1842" t="str">
        <f>IFERROR(IF(B1842="","",VLOOKUP(B1842,CadProd!$A:$C,3,0)),"")</f>
        <v/>
      </c>
    </row>
    <row r="1843" spans="3:4" x14ac:dyDescent="0.3">
      <c r="C1843" t="str">
        <f>IFERROR(IF(B1843="","",VLOOKUP(B1843,CadProd!$A:$B,2,0)),"")</f>
        <v/>
      </c>
      <c r="D1843" t="str">
        <f>IFERROR(IF(B1843="","",VLOOKUP(B1843,CadProd!$A:$C,3,0)),"")</f>
        <v/>
      </c>
    </row>
    <row r="1844" spans="3:4" x14ac:dyDescent="0.3">
      <c r="C1844" t="str">
        <f>IFERROR(IF(B1844="","",VLOOKUP(B1844,CadProd!$A:$B,2,0)),"")</f>
        <v/>
      </c>
      <c r="D1844" t="str">
        <f>IFERROR(IF(B1844="","",VLOOKUP(B1844,CadProd!$A:$C,3,0)),"")</f>
        <v/>
      </c>
    </row>
    <row r="1845" spans="3:4" x14ac:dyDescent="0.3">
      <c r="C1845" t="str">
        <f>IFERROR(IF(B1845="","",VLOOKUP(B1845,CadProd!$A:$B,2,0)),"")</f>
        <v/>
      </c>
      <c r="D1845" t="str">
        <f>IFERROR(IF(B1845="","",VLOOKUP(B1845,CadProd!$A:$C,3,0)),"")</f>
        <v/>
      </c>
    </row>
    <row r="1846" spans="3:4" x14ac:dyDescent="0.3">
      <c r="C1846" t="str">
        <f>IFERROR(IF(B1846="","",VLOOKUP(B1846,CadProd!$A:$B,2,0)),"")</f>
        <v/>
      </c>
      <c r="D1846" t="str">
        <f>IFERROR(IF(B1846="","",VLOOKUP(B1846,CadProd!$A:$C,3,0)),"")</f>
        <v/>
      </c>
    </row>
    <row r="1847" spans="3:4" x14ac:dyDescent="0.3">
      <c r="C1847" t="str">
        <f>IFERROR(IF(B1847="","",VLOOKUP(B1847,CadProd!$A:$B,2,0)),"")</f>
        <v/>
      </c>
      <c r="D1847" t="str">
        <f>IFERROR(IF(B1847="","",VLOOKUP(B1847,CadProd!$A:$C,3,0)),"")</f>
        <v/>
      </c>
    </row>
    <row r="1848" spans="3:4" x14ac:dyDescent="0.3">
      <c r="C1848" t="str">
        <f>IFERROR(IF(B1848="","",VLOOKUP(B1848,CadProd!$A:$B,2,0)),"")</f>
        <v/>
      </c>
      <c r="D1848" t="str">
        <f>IFERROR(IF(B1848="","",VLOOKUP(B1848,CadProd!$A:$C,3,0)),"")</f>
        <v/>
      </c>
    </row>
    <row r="1849" spans="3:4" x14ac:dyDescent="0.3">
      <c r="C1849" t="str">
        <f>IFERROR(IF(B1849="","",VLOOKUP(B1849,CadProd!$A:$B,2,0)),"")</f>
        <v/>
      </c>
      <c r="D1849" t="str">
        <f>IFERROR(IF(B1849="","",VLOOKUP(B1849,CadProd!$A:$C,3,0)),"")</f>
        <v/>
      </c>
    </row>
    <row r="1850" spans="3:4" x14ac:dyDescent="0.3">
      <c r="C1850" t="str">
        <f>IFERROR(IF(B1850="","",VLOOKUP(B1850,CadProd!$A:$B,2,0)),"")</f>
        <v/>
      </c>
      <c r="D1850" t="str">
        <f>IFERROR(IF(B1850="","",VLOOKUP(B1850,CadProd!$A:$C,3,0)),"")</f>
        <v/>
      </c>
    </row>
    <row r="1851" spans="3:4" x14ac:dyDescent="0.3">
      <c r="C1851" t="str">
        <f>IFERROR(IF(B1851="","",VLOOKUP(B1851,CadProd!$A:$B,2,0)),"")</f>
        <v/>
      </c>
      <c r="D1851" t="str">
        <f>IFERROR(IF(B1851="","",VLOOKUP(B1851,CadProd!$A:$C,3,0)),"")</f>
        <v/>
      </c>
    </row>
    <row r="1852" spans="3:4" x14ac:dyDescent="0.3">
      <c r="C1852" t="str">
        <f>IFERROR(IF(B1852="","",VLOOKUP(B1852,CadProd!$A:$B,2,0)),"")</f>
        <v/>
      </c>
      <c r="D1852" t="str">
        <f>IFERROR(IF(B1852="","",VLOOKUP(B1852,CadProd!$A:$C,3,0)),"")</f>
        <v/>
      </c>
    </row>
    <row r="1853" spans="3:4" x14ac:dyDescent="0.3">
      <c r="C1853" t="str">
        <f>IFERROR(IF(B1853="","",VLOOKUP(B1853,CadProd!$A:$B,2,0)),"")</f>
        <v/>
      </c>
      <c r="D1853" t="str">
        <f>IFERROR(IF(B1853="","",VLOOKUP(B1853,CadProd!$A:$C,3,0)),"")</f>
        <v/>
      </c>
    </row>
    <row r="1854" spans="3:4" x14ac:dyDescent="0.3">
      <c r="C1854" t="str">
        <f>IFERROR(IF(B1854="","",VLOOKUP(B1854,CadProd!$A:$B,2,0)),"")</f>
        <v/>
      </c>
      <c r="D1854" t="str">
        <f>IFERROR(IF(B1854="","",VLOOKUP(B1854,CadProd!$A:$C,3,0)),"")</f>
        <v/>
      </c>
    </row>
    <row r="1855" spans="3:4" x14ac:dyDescent="0.3">
      <c r="C1855" t="str">
        <f>IFERROR(IF(B1855="","",VLOOKUP(B1855,CadProd!$A:$B,2,0)),"")</f>
        <v/>
      </c>
      <c r="D1855" t="str">
        <f>IFERROR(IF(B1855="","",VLOOKUP(B1855,CadProd!$A:$C,3,0)),"")</f>
        <v/>
      </c>
    </row>
    <row r="1856" spans="3:4" x14ac:dyDescent="0.3">
      <c r="C1856" t="str">
        <f>IFERROR(IF(B1856="","",VLOOKUP(B1856,CadProd!$A:$B,2,0)),"")</f>
        <v/>
      </c>
      <c r="D1856" t="str">
        <f>IFERROR(IF(B1856="","",VLOOKUP(B1856,CadProd!$A:$C,3,0)),"")</f>
        <v/>
      </c>
    </row>
    <row r="1857" spans="3:4" x14ac:dyDescent="0.3">
      <c r="C1857" t="str">
        <f>IFERROR(IF(B1857="","",VLOOKUP(B1857,CadProd!$A:$B,2,0)),"")</f>
        <v/>
      </c>
      <c r="D1857" t="str">
        <f>IFERROR(IF(B1857="","",VLOOKUP(B1857,CadProd!$A:$C,3,0)),"")</f>
        <v/>
      </c>
    </row>
    <row r="1858" spans="3:4" x14ac:dyDescent="0.3">
      <c r="C1858" t="str">
        <f>IFERROR(IF(B1858="","",VLOOKUP(B1858,CadProd!$A:$B,2,0)),"")</f>
        <v/>
      </c>
      <c r="D1858" t="str">
        <f>IFERROR(IF(B1858="","",VLOOKUP(B1858,CadProd!$A:$C,3,0)),"")</f>
        <v/>
      </c>
    </row>
    <row r="1859" spans="3:4" x14ac:dyDescent="0.3">
      <c r="C1859" t="str">
        <f>IFERROR(IF(B1859="","",VLOOKUP(B1859,CadProd!$A:$B,2,0)),"")</f>
        <v/>
      </c>
      <c r="D1859" t="str">
        <f>IFERROR(IF(B1859="","",VLOOKUP(B1859,CadProd!$A:$C,3,0)),"")</f>
        <v/>
      </c>
    </row>
    <row r="1860" spans="3:4" x14ac:dyDescent="0.3">
      <c r="C1860" t="str">
        <f>IFERROR(IF(B1860="","",VLOOKUP(B1860,CadProd!$A:$B,2,0)),"")</f>
        <v/>
      </c>
      <c r="D1860" t="str">
        <f>IFERROR(IF(B1860="","",VLOOKUP(B1860,CadProd!$A:$C,3,0)),"")</f>
        <v/>
      </c>
    </row>
    <row r="1861" spans="3:4" x14ac:dyDescent="0.3">
      <c r="C1861" t="str">
        <f>IFERROR(IF(B1861="","",VLOOKUP(B1861,CadProd!$A:$B,2,0)),"")</f>
        <v/>
      </c>
      <c r="D1861" t="str">
        <f>IFERROR(IF(B1861="","",VLOOKUP(B1861,CadProd!$A:$C,3,0)),"")</f>
        <v/>
      </c>
    </row>
    <row r="1862" spans="3:4" x14ac:dyDescent="0.3">
      <c r="C1862" t="str">
        <f>IFERROR(IF(B1862="","",VLOOKUP(B1862,CadProd!$A:$B,2,0)),"")</f>
        <v/>
      </c>
      <c r="D1862" t="str">
        <f>IFERROR(IF(B1862="","",VLOOKUP(B1862,CadProd!$A:$C,3,0)),"")</f>
        <v/>
      </c>
    </row>
    <row r="1863" spans="3:4" x14ac:dyDescent="0.3">
      <c r="C1863" t="str">
        <f>IFERROR(IF(B1863="","",VLOOKUP(B1863,CadProd!$A:$B,2,0)),"")</f>
        <v/>
      </c>
      <c r="D1863" t="str">
        <f>IFERROR(IF(B1863="","",VLOOKUP(B1863,CadProd!$A:$C,3,0)),"")</f>
        <v/>
      </c>
    </row>
    <row r="1864" spans="3:4" x14ac:dyDescent="0.3">
      <c r="C1864" t="str">
        <f>IFERROR(IF(B1864="","",VLOOKUP(B1864,CadProd!$A:$B,2,0)),"")</f>
        <v/>
      </c>
      <c r="D1864" t="str">
        <f>IFERROR(IF(B1864="","",VLOOKUP(B1864,CadProd!$A:$C,3,0)),"")</f>
        <v/>
      </c>
    </row>
    <row r="1865" spans="3:4" x14ac:dyDescent="0.3">
      <c r="C1865" t="str">
        <f>IFERROR(IF(B1865="","",VLOOKUP(B1865,CadProd!$A:$B,2,0)),"")</f>
        <v/>
      </c>
      <c r="D1865" t="str">
        <f>IFERROR(IF(B1865="","",VLOOKUP(B1865,CadProd!$A:$C,3,0)),"")</f>
        <v/>
      </c>
    </row>
    <row r="1866" spans="3:4" x14ac:dyDescent="0.3">
      <c r="C1866" t="str">
        <f>IFERROR(IF(B1866="","",VLOOKUP(B1866,CadProd!$A:$B,2,0)),"")</f>
        <v/>
      </c>
      <c r="D1866" t="str">
        <f>IFERROR(IF(B1866="","",VLOOKUP(B1866,CadProd!$A:$C,3,0)),"")</f>
        <v/>
      </c>
    </row>
    <row r="1867" spans="3:4" x14ac:dyDescent="0.3">
      <c r="C1867" t="str">
        <f>IFERROR(IF(B1867="","",VLOOKUP(B1867,CadProd!$A:$B,2,0)),"")</f>
        <v/>
      </c>
      <c r="D1867" t="str">
        <f>IFERROR(IF(B1867="","",VLOOKUP(B1867,CadProd!$A:$C,3,0)),"")</f>
        <v/>
      </c>
    </row>
    <row r="1868" spans="3:4" x14ac:dyDescent="0.3">
      <c r="C1868" t="str">
        <f>IFERROR(IF(B1868="","",VLOOKUP(B1868,CadProd!$A:$B,2,0)),"")</f>
        <v/>
      </c>
      <c r="D1868" t="str">
        <f>IFERROR(IF(B1868="","",VLOOKUP(B1868,CadProd!$A:$C,3,0)),"")</f>
        <v/>
      </c>
    </row>
    <row r="1869" spans="3:4" x14ac:dyDescent="0.3">
      <c r="C1869" t="str">
        <f>IFERROR(IF(B1869="","",VLOOKUP(B1869,CadProd!$A:$B,2,0)),"")</f>
        <v/>
      </c>
      <c r="D1869" t="str">
        <f>IFERROR(IF(B1869="","",VLOOKUP(B1869,CadProd!$A:$C,3,0)),"")</f>
        <v/>
      </c>
    </row>
    <row r="1870" spans="3:4" x14ac:dyDescent="0.3">
      <c r="C1870" t="str">
        <f>IFERROR(IF(B1870="","",VLOOKUP(B1870,CadProd!$A:$B,2,0)),"")</f>
        <v/>
      </c>
      <c r="D1870" t="str">
        <f>IFERROR(IF(B1870="","",VLOOKUP(B1870,CadProd!$A:$C,3,0)),"")</f>
        <v/>
      </c>
    </row>
    <row r="1871" spans="3:4" x14ac:dyDescent="0.3">
      <c r="C1871" t="str">
        <f>IFERROR(IF(B1871="","",VLOOKUP(B1871,CadProd!$A:$B,2,0)),"")</f>
        <v/>
      </c>
      <c r="D1871" t="str">
        <f>IFERROR(IF(B1871="","",VLOOKUP(B1871,CadProd!$A:$C,3,0)),"")</f>
        <v/>
      </c>
    </row>
    <row r="1872" spans="3:4" x14ac:dyDescent="0.3">
      <c r="C1872" t="str">
        <f>IFERROR(IF(B1872="","",VLOOKUP(B1872,CadProd!$A:$B,2,0)),"")</f>
        <v/>
      </c>
      <c r="D1872" t="str">
        <f>IFERROR(IF(B1872="","",VLOOKUP(B1872,CadProd!$A:$C,3,0)),"")</f>
        <v/>
      </c>
    </row>
    <row r="1873" spans="3:4" x14ac:dyDescent="0.3">
      <c r="C1873" t="str">
        <f>IFERROR(IF(B1873="","",VLOOKUP(B1873,CadProd!$A:$B,2,0)),"")</f>
        <v/>
      </c>
      <c r="D1873" t="str">
        <f>IFERROR(IF(B1873="","",VLOOKUP(B1873,CadProd!$A:$C,3,0)),"")</f>
        <v/>
      </c>
    </row>
    <row r="1874" spans="3:4" x14ac:dyDescent="0.3">
      <c r="C1874" t="str">
        <f>IFERROR(IF(B1874="","",VLOOKUP(B1874,CadProd!$A:$B,2,0)),"")</f>
        <v/>
      </c>
      <c r="D1874" t="str">
        <f>IFERROR(IF(B1874="","",VLOOKUP(B1874,CadProd!$A:$C,3,0)),"")</f>
        <v/>
      </c>
    </row>
    <row r="1875" spans="3:4" x14ac:dyDescent="0.3">
      <c r="C1875" t="str">
        <f>IFERROR(IF(B1875="","",VLOOKUP(B1875,CadProd!$A:$B,2,0)),"")</f>
        <v/>
      </c>
      <c r="D1875" t="str">
        <f>IFERROR(IF(B1875="","",VLOOKUP(B1875,CadProd!$A:$C,3,0)),"")</f>
        <v/>
      </c>
    </row>
    <row r="1876" spans="3:4" x14ac:dyDescent="0.3">
      <c r="C1876" t="str">
        <f>IFERROR(IF(B1876="","",VLOOKUP(B1876,CadProd!$A:$B,2,0)),"")</f>
        <v/>
      </c>
      <c r="D1876" t="str">
        <f>IFERROR(IF(B1876="","",VLOOKUP(B1876,CadProd!$A:$C,3,0)),"")</f>
        <v/>
      </c>
    </row>
    <row r="1877" spans="3:4" x14ac:dyDescent="0.3">
      <c r="C1877" t="str">
        <f>IFERROR(IF(B1877="","",VLOOKUP(B1877,CadProd!$A:$B,2,0)),"")</f>
        <v/>
      </c>
      <c r="D1877" t="str">
        <f>IFERROR(IF(B1877="","",VLOOKUP(B1877,CadProd!$A:$C,3,0)),"")</f>
        <v/>
      </c>
    </row>
    <row r="1878" spans="3:4" x14ac:dyDescent="0.3">
      <c r="C1878" t="str">
        <f>IFERROR(IF(B1878="","",VLOOKUP(B1878,CadProd!$A:$B,2,0)),"")</f>
        <v/>
      </c>
      <c r="D1878" t="str">
        <f>IFERROR(IF(B1878="","",VLOOKUP(B1878,CadProd!$A:$C,3,0)),"")</f>
        <v/>
      </c>
    </row>
    <row r="1879" spans="3:4" x14ac:dyDescent="0.3">
      <c r="C1879" t="str">
        <f>IFERROR(IF(B1879="","",VLOOKUP(B1879,CadProd!$A:$B,2,0)),"")</f>
        <v/>
      </c>
      <c r="D1879" t="str">
        <f>IFERROR(IF(B1879="","",VLOOKUP(B1879,CadProd!$A:$C,3,0)),"")</f>
        <v/>
      </c>
    </row>
    <row r="1880" spans="3:4" x14ac:dyDescent="0.3">
      <c r="C1880" t="str">
        <f>IFERROR(IF(B1880="","",VLOOKUP(B1880,CadProd!$A:$B,2,0)),"")</f>
        <v/>
      </c>
      <c r="D1880" t="str">
        <f>IFERROR(IF(B1880="","",VLOOKUP(B1880,CadProd!$A:$C,3,0)),"")</f>
        <v/>
      </c>
    </row>
    <row r="1881" spans="3:4" x14ac:dyDescent="0.3">
      <c r="C1881" t="str">
        <f>IFERROR(IF(B1881="","",VLOOKUP(B1881,CadProd!$A:$B,2,0)),"")</f>
        <v/>
      </c>
      <c r="D1881" t="str">
        <f>IFERROR(IF(B1881="","",VLOOKUP(B1881,CadProd!$A:$C,3,0)),"")</f>
        <v/>
      </c>
    </row>
    <row r="1882" spans="3:4" x14ac:dyDescent="0.3">
      <c r="C1882" t="str">
        <f>IFERROR(IF(B1882="","",VLOOKUP(B1882,CadProd!$A:$B,2,0)),"")</f>
        <v/>
      </c>
      <c r="D1882" t="str">
        <f>IFERROR(IF(B1882="","",VLOOKUP(B1882,CadProd!$A:$C,3,0)),"")</f>
        <v/>
      </c>
    </row>
    <row r="1883" spans="3:4" x14ac:dyDescent="0.3">
      <c r="C1883" t="str">
        <f>IFERROR(IF(B1883="","",VLOOKUP(B1883,CadProd!$A:$B,2,0)),"")</f>
        <v/>
      </c>
      <c r="D1883" t="str">
        <f>IFERROR(IF(B1883="","",VLOOKUP(B1883,CadProd!$A:$C,3,0)),"")</f>
        <v/>
      </c>
    </row>
    <row r="1884" spans="3:4" x14ac:dyDescent="0.3">
      <c r="C1884" t="str">
        <f>IFERROR(IF(B1884="","",VLOOKUP(B1884,CadProd!$A:$B,2,0)),"")</f>
        <v/>
      </c>
      <c r="D1884" t="str">
        <f>IFERROR(IF(B1884="","",VLOOKUP(B1884,CadProd!$A:$C,3,0)),"")</f>
        <v/>
      </c>
    </row>
    <row r="1885" spans="3:4" x14ac:dyDescent="0.3">
      <c r="C1885" t="str">
        <f>IFERROR(IF(B1885="","",VLOOKUP(B1885,CadProd!$A:$B,2,0)),"")</f>
        <v/>
      </c>
      <c r="D1885" t="str">
        <f>IFERROR(IF(B1885="","",VLOOKUP(B1885,CadProd!$A:$C,3,0)),"")</f>
        <v/>
      </c>
    </row>
    <row r="1886" spans="3:4" x14ac:dyDescent="0.3">
      <c r="C1886" t="str">
        <f>IFERROR(IF(B1886="","",VLOOKUP(B1886,CadProd!$A:$B,2,0)),"")</f>
        <v/>
      </c>
      <c r="D1886" t="str">
        <f>IFERROR(IF(B1886="","",VLOOKUP(B1886,CadProd!$A:$C,3,0)),"")</f>
        <v/>
      </c>
    </row>
    <row r="1887" spans="3:4" x14ac:dyDescent="0.3">
      <c r="C1887" t="str">
        <f>IFERROR(IF(B1887="","",VLOOKUP(B1887,CadProd!$A:$B,2,0)),"")</f>
        <v/>
      </c>
      <c r="D1887" t="str">
        <f>IFERROR(IF(B1887="","",VLOOKUP(B1887,CadProd!$A:$C,3,0)),"")</f>
        <v/>
      </c>
    </row>
    <row r="1888" spans="3:4" x14ac:dyDescent="0.3">
      <c r="C1888" t="str">
        <f>IFERROR(IF(B1888="","",VLOOKUP(B1888,CadProd!$A:$B,2,0)),"")</f>
        <v/>
      </c>
      <c r="D1888" t="str">
        <f>IFERROR(IF(B1888="","",VLOOKUP(B1888,CadProd!$A:$C,3,0)),"")</f>
        <v/>
      </c>
    </row>
    <row r="1889" spans="3:4" x14ac:dyDescent="0.3">
      <c r="C1889" t="str">
        <f>IFERROR(IF(B1889="","",VLOOKUP(B1889,CadProd!$A:$B,2,0)),"")</f>
        <v/>
      </c>
      <c r="D1889" t="str">
        <f>IFERROR(IF(B1889="","",VLOOKUP(B1889,CadProd!$A:$C,3,0)),"")</f>
        <v/>
      </c>
    </row>
    <row r="1890" spans="3:4" x14ac:dyDescent="0.3">
      <c r="C1890" t="str">
        <f>IFERROR(IF(B1890="","",VLOOKUP(B1890,CadProd!$A:$B,2,0)),"")</f>
        <v/>
      </c>
      <c r="D1890" t="str">
        <f>IFERROR(IF(B1890="","",VLOOKUP(B1890,CadProd!$A:$C,3,0)),"")</f>
        <v/>
      </c>
    </row>
    <row r="1891" spans="3:4" x14ac:dyDescent="0.3">
      <c r="C1891" t="str">
        <f>IFERROR(IF(B1891="","",VLOOKUP(B1891,CadProd!$A:$B,2,0)),"")</f>
        <v/>
      </c>
      <c r="D1891" t="str">
        <f>IFERROR(IF(B1891="","",VLOOKUP(B1891,CadProd!$A:$C,3,0)),"")</f>
        <v/>
      </c>
    </row>
    <row r="1892" spans="3:4" x14ac:dyDescent="0.3">
      <c r="C1892" t="str">
        <f>IFERROR(IF(B1892="","",VLOOKUP(B1892,CadProd!$A:$B,2,0)),"")</f>
        <v/>
      </c>
      <c r="D1892" t="str">
        <f>IFERROR(IF(B1892="","",VLOOKUP(B1892,CadProd!$A:$C,3,0)),"")</f>
        <v/>
      </c>
    </row>
    <row r="1893" spans="3:4" x14ac:dyDescent="0.3">
      <c r="C1893" t="str">
        <f>IFERROR(IF(B1893="","",VLOOKUP(B1893,CadProd!$A:$B,2,0)),"")</f>
        <v/>
      </c>
      <c r="D1893" t="str">
        <f>IFERROR(IF(B1893="","",VLOOKUP(B1893,CadProd!$A:$C,3,0)),"")</f>
        <v/>
      </c>
    </row>
    <row r="1894" spans="3:4" x14ac:dyDescent="0.3">
      <c r="C1894" t="str">
        <f>IFERROR(IF(B1894="","",VLOOKUP(B1894,CadProd!$A:$B,2,0)),"")</f>
        <v/>
      </c>
      <c r="D1894" t="str">
        <f>IFERROR(IF(B1894="","",VLOOKUP(B1894,CadProd!$A:$C,3,0)),"")</f>
        <v/>
      </c>
    </row>
    <row r="1895" spans="3:4" x14ac:dyDescent="0.3">
      <c r="C1895" t="str">
        <f>IFERROR(IF(B1895="","",VLOOKUP(B1895,CadProd!$A:$B,2,0)),"")</f>
        <v/>
      </c>
      <c r="D1895" t="str">
        <f>IFERROR(IF(B1895="","",VLOOKUP(B1895,CadProd!$A:$C,3,0)),"")</f>
        <v/>
      </c>
    </row>
    <row r="1896" spans="3:4" x14ac:dyDescent="0.3">
      <c r="C1896" t="str">
        <f>IFERROR(IF(B1896="","",VLOOKUP(B1896,CadProd!$A:$B,2,0)),"")</f>
        <v/>
      </c>
      <c r="D1896" t="str">
        <f>IFERROR(IF(B1896="","",VLOOKUP(B1896,CadProd!$A:$C,3,0)),"")</f>
        <v/>
      </c>
    </row>
    <row r="1897" spans="3:4" x14ac:dyDescent="0.3">
      <c r="C1897" t="str">
        <f>IFERROR(IF(B1897="","",VLOOKUP(B1897,CadProd!$A:$B,2,0)),"")</f>
        <v/>
      </c>
      <c r="D1897" t="str">
        <f>IFERROR(IF(B1897="","",VLOOKUP(B1897,CadProd!$A:$C,3,0)),"")</f>
        <v/>
      </c>
    </row>
    <row r="1898" spans="3:4" x14ac:dyDescent="0.3">
      <c r="C1898" t="str">
        <f>IFERROR(IF(B1898="","",VLOOKUP(B1898,CadProd!$A:$B,2,0)),"")</f>
        <v/>
      </c>
      <c r="D1898" t="str">
        <f>IFERROR(IF(B1898="","",VLOOKUP(B1898,CadProd!$A:$C,3,0)),"")</f>
        <v/>
      </c>
    </row>
    <row r="1899" spans="3:4" x14ac:dyDescent="0.3">
      <c r="C1899" t="str">
        <f>IFERROR(IF(B1899="","",VLOOKUP(B1899,CadProd!$A:$B,2,0)),"")</f>
        <v/>
      </c>
      <c r="D1899" t="str">
        <f>IFERROR(IF(B1899="","",VLOOKUP(B1899,CadProd!$A:$C,3,0)),"")</f>
        <v/>
      </c>
    </row>
    <row r="1900" spans="3:4" x14ac:dyDescent="0.3">
      <c r="C1900" t="str">
        <f>IFERROR(IF(B1900="","",VLOOKUP(B1900,CadProd!$A:$B,2,0)),"")</f>
        <v/>
      </c>
      <c r="D1900" t="str">
        <f>IFERROR(IF(B1900="","",VLOOKUP(B1900,CadProd!$A:$C,3,0)),"")</f>
        <v/>
      </c>
    </row>
    <row r="1901" spans="3:4" x14ac:dyDescent="0.3">
      <c r="C1901" t="str">
        <f>IFERROR(IF(B1901="","",VLOOKUP(B1901,CadProd!$A:$B,2,0)),"")</f>
        <v/>
      </c>
      <c r="D1901" t="str">
        <f>IFERROR(IF(B1901="","",VLOOKUP(B1901,CadProd!$A:$C,3,0)),"")</f>
        <v/>
      </c>
    </row>
    <row r="1902" spans="3:4" x14ac:dyDescent="0.3">
      <c r="C1902" t="str">
        <f>IFERROR(IF(B1902="","",VLOOKUP(B1902,CadProd!$A:$B,2,0)),"")</f>
        <v/>
      </c>
      <c r="D1902" t="str">
        <f>IFERROR(IF(B1902="","",VLOOKUP(B1902,CadProd!$A:$C,3,0)),"")</f>
        <v/>
      </c>
    </row>
    <row r="1903" spans="3:4" x14ac:dyDescent="0.3">
      <c r="C1903" t="str">
        <f>IFERROR(IF(B1903="","",VLOOKUP(B1903,CadProd!$A:$B,2,0)),"")</f>
        <v/>
      </c>
      <c r="D1903" t="str">
        <f>IFERROR(IF(B1903="","",VLOOKUP(B1903,CadProd!$A:$C,3,0)),"")</f>
        <v/>
      </c>
    </row>
    <row r="1904" spans="3:4" x14ac:dyDescent="0.3">
      <c r="C1904" t="str">
        <f>IFERROR(IF(B1904="","",VLOOKUP(B1904,CadProd!$A:$B,2,0)),"")</f>
        <v/>
      </c>
      <c r="D1904" t="str">
        <f>IFERROR(IF(B1904="","",VLOOKUP(B1904,CadProd!$A:$C,3,0)),"")</f>
        <v/>
      </c>
    </row>
    <row r="1905" spans="3:4" x14ac:dyDescent="0.3">
      <c r="C1905" t="str">
        <f>IFERROR(IF(B1905="","",VLOOKUP(B1905,CadProd!$A:$B,2,0)),"")</f>
        <v/>
      </c>
      <c r="D1905" t="str">
        <f>IFERROR(IF(B1905="","",VLOOKUP(B1905,CadProd!$A:$C,3,0)),"")</f>
        <v/>
      </c>
    </row>
    <row r="1906" spans="3:4" x14ac:dyDescent="0.3">
      <c r="C1906" t="str">
        <f>IFERROR(IF(B1906="","",VLOOKUP(B1906,CadProd!$A:$B,2,0)),"")</f>
        <v/>
      </c>
      <c r="D1906" t="str">
        <f>IFERROR(IF(B1906="","",VLOOKUP(B1906,CadProd!$A:$C,3,0)),"")</f>
        <v/>
      </c>
    </row>
    <row r="1907" spans="3:4" x14ac:dyDescent="0.3">
      <c r="C1907" t="str">
        <f>IFERROR(IF(B1907="","",VLOOKUP(B1907,CadProd!$A:$B,2,0)),"")</f>
        <v/>
      </c>
      <c r="D1907" t="str">
        <f>IFERROR(IF(B1907="","",VLOOKUP(B1907,CadProd!$A:$C,3,0)),"")</f>
        <v/>
      </c>
    </row>
    <row r="1908" spans="3:4" x14ac:dyDescent="0.3">
      <c r="C1908" t="str">
        <f>IFERROR(IF(B1908="","",VLOOKUP(B1908,CadProd!$A:$B,2,0)),"")</f>
        <v/>
      </c>
      <c r="D1908" t="str">
        <f>IFERROR(IF(B1908="","",VLOOKUP(B1908,CadProd!$A:$C,3,0)),"")</f>
        <v/>
      </c>
    </row>
    <row r="1909" spans="3:4" x14ac:dyDescent="0.3">
      <c r="C1909" t="str">
        <f>IFERROR(IF(B1909="","",VLOOKUP(B1909,CadProd!$A:$B,2,0)),"")</f>
        <v/>
      </c>
      <c r="D1909" t="str">
        <f>IFERROR(IF(B1909="","",VLOOKUP(B1909,CadProd!$A:$C,3,0)),"")</f>
        <v/>
      </c>
    </row>
    <row r="1910" spans="3:4" x14ac:dyDescent="0.3">
      <c r="C1910" t="str">
        <f>IFERROR(IF(B1910="","",VLOOKUP(B1910,CadProd!$A:$B,2,0)),"")</f>
        <v/>
      </c>
      <c r="D1910" t="str">
        <f>IFERROR(IF(B1910="","",VLOOKUP(B1910,CadProd!$A:$C,3,0)),"")</f>
        <v/>
      </c>
    </row>
    <row r="1911" spans="3:4" x14ac:dyDescent="0.3">
      <c r="C1911" t="str">
        <f>IFERROR(IF(B1911="","",VLOOKUP(B1911,CadProd!$A:$B,2,0)),"")</f>
        <v/>
      </c>
      <c r="D1911" t="str">
        <f>IFERROR(IF(B1911="","",VLOOKUP(B1911,CadProd!$A:$C,3,0)),"")</f>
        <v/>
      </c>
    </row>
    <row r="1912" spans="3:4" x14ac:dyDescent="0.3">
      <c r="C1912" t="str">
        <f>IFERROR(IF(B1912="","",VLOOKUP(B1912,CadProd!$A:$B,2,0)),"")</f>
        <v/>
      </c>
      <c r="D1912" t="str">
        <f>IFERROR(IF(B1912="","",VLOOKUP(B1912,CadProd!$A:$C,3,0)),"")</f>
        <v/>
      </c>
    </row>
    <row r="1913" spans="3:4" x14ac:dyDescent="0.3">
      <c r="C1913" t="str">
        <f>IFERROR(IF(B1913="","",VLOOKUP(B1913,CadProd!$A:$B,2,0)),"")</f>
        <v/>
      </c>
      <c r="D1913" t="str">
        <f>IFERROR(IF(B1913="","",VLOOKUP(B1913,CadProd!$A:$C,3,0)),"")</f>
        <v/>
      </c>
    </row>
    <row r="1914" spans="3:4" x14ac:dyDescent="0.3">
      <c r="C1914" t="str">
        <f>IFERROR(IF(B1914="","",VLOOKUP(B1914,CadProd!$A:$B,2,0)),"")</f>
        <v/>
      </c>
      <c r="D1914" t="str">
        <f>IFERROR(IF(B1914="","",VLOOKUP(B1914,CadProd!$A:$C,3,0)),"")</f>
        <v/>
      </c>
    </row>
    <row r="1915" spans="3:4" x14ac:dyDescent="0.3">
      <c r="C1915" t="str">
        <f>IFERROR(IF(B1915="","",VLOOKUP(B1915,CadProd!$A:$B,2,0)),"")</f>
        <v/>
      </c>
      <c r="D1915" t="str">
        <f>IFERROR(IF(B1915="","",VLOOKUP(B1915,CadProd!$A:$C,3,0)),"")</f>
        <v/>
      </c>
    </row>
    <row r="1916" spans="3:4" x14ac:dyDescent="0.3">
      <c r="C1916" t="str">
        <f>IFERROR(IF(B1916="","",VLOOKUP(B1916,CadProd!$A:$B,2,0)),"")</f>
        <v/>
      </c>
      <c r="D1916" t="str">
        <f>IFERROR(IF(B1916="","",VLOOKUP(B1916,CadProd!$A:$C,3,0)),"")</f>
        <v/>
      </c>
    </row>
    <row r="1917" spans="3:4" x14ac:dyDescent="0.3">
      <c r="C1917" t="str">
        <f>IFERROR(IF(B1917="","",VLOOKUP(B1917,CadProd!$A:$B,2,0)),"")</f>
        <v/>
      </c>
      <c r="D1917" t="str">
        <f>IFERROR(IF(B1917="","",VLOOKUP(B1917,CadProd!$A:$C,3,0)),"")</f>
        <v/>
      </c>
    </row>
    <row r="1918" spans="3:4" x14ac:dyDescent="0.3">
      <c r="C1918" t="str">
        <f>IFERROR(IF(B1918="","",VLOOKUP(B1918,CadProd!$A:$B,2,0)),"")</f>
        <v/>
      </c>
      <c r="D1918" t="str">
        <f>IFERROR(IF(B1918="","",VLOOKUP(B1918,CadProd!$A:$C,3,0)),"")</f>
        <v/>
      </c>
    </row>
    <row r="1919" spans="3:4" x14ac:dyDescent="0.3">
      <c r="C1919" t="str">
        <f>IFERROR(IF(B1919="","",VLOOKUP(B1919,CadProd!$A:$B,2,0)),"")</f>
        <v/>
      </c>
      <c r="D1919" t="str">
        <f>IFERROR(IF(B1919="","",VLOOKUP(B1919,CadProd!$A:$C,3,0)),"")</f>
        <v/>
      </c>
    </row>
    <row r="1920" spans="3:4" x14ac:dyDescent="0.3">
      <c r="C1920" t="str">
        <f>IFERROR(IF(B1920="","",VLOOKUP(B1920,CadProd!$A:$B,2,0)),"")</f>
        <v/>
      </c>
      <c r="D1920" t="str">
        <f>IFERROR(IF(B1920="","",VLOOKUP(B1920,CadProd!$A:$C,3,0)),"")</f>
        <v/>
      </c>
    </row>
    <row r="1921" spans="3:4" x14ac:dyDescent="0.3">
      <c r="C1921" t="str">
        <f>IFERROR(IF(B1921="","",VLOOKUP(B1921,CadProd!$A:$B,2,0)),"")</f>
        <v/>
      </c>
      <c r="D1921" t="str">
        <f>IFERROR(IF(B1921="","",VLOOKUP(B1921,CadProd!$A:$C,3,0)),"")</f>
        <v/>
      </c>
    </row>
    <row r="1922" spans="3:4" x14ac:dyDescent="0.3">
      <c r="C1922" t="str">
        <f>IFERROR(IF(B1922="","",VLOOKUP(B1922,CadProd!$A:$B,2,0)),"")</f>
        <v/>
      </c>
      <c r="D1922" t="str">
        <f>IFERROR(IF(B1922="","",VLOOKUP(B1922,CadProd!$A:$C,3,0)),"")</f>
        <v/>
      </c>
    </row>
    <row r="1923" spans="3:4" x14ac:dyDescent="0.3">
      <c r="C1923" t="str">
        <f>IFERROR(IF(B1923="","",VLOOKUP(B1923,CadProd!$A:$B,2,0)),"")</f>
        <v/>
      </c>
      <c r="D1923" t="str">
        <f>IFERROR(IF(B1923="","",VLOOKUP(B1923,CadProd!$A:$C,3,0)),"")</f>
        <v/>
      </c>
    </row>
    <row r="1924" spans="3:4" x14ac:dyDescent="0.3">
      <c r="C1924" t="str">
        <f>IFERROR(IF(B1924="","",VLOOKUP(B1924,CadProd!$A:$B,2,0)),"")</f>
        <v/>
      </c>
      <c r="D1924" t="str">
        <f>IFERROR(IF(B1924="","",VLOOKUP(B1924,CadProd!$A:$C,3,0)),"")</f>
        <v/>
      </c>
    </row>
    <row r="1925" spans="3:4" x14ac:dyDescent="0.3">
      <c r="C1925" t="str">
        <f>IFERROR(IF(B1925="","",VLOOKUP(B1925,CadProd!$A:$B,2,0)),"")</f>
        <v/>
      </c>
      <c r="D1925" t="str">
        <f>IFERROR(IF(B1925="","",VLOOKUP(B1925,CadProd!$A:$C,3,0)),"")</f>
        <v/>
      </c>
    </row>
    <row r="1926" spans="3:4" x14ac:dyDescent="0.3">
      <c r="C1926" t="str">
        <f>IFERROR(IF(B1926="","",VLOOKUP(B1926,CadProd!$A:$B,2,0)),"")</f>
        <v/>
      </c>
      <c r="D1926" t="str">
        <f>IFERROR(IF(B1926="","",VLOOKUP(B1926,CadProd!$A:$C,3,0)),"")</f>
        <v/>
      </c>
    </row>
    <row r="1927" spans="3:4" x14ac:dyDescent="0.3">
      <c r="C1927" t="str">
        <f>IFERROR(IF(B1927="","",VLOOKUP(B1927,CadProd!$A:$B,2,0)),"")</f>
        <v/>
      </c>
      <c r="D1927" t="str">
        <f>IFERROR(IF(B1927="","",VLOOKUP(B1927,CadProd!$A:$C,3,0)),"")</f>
        <v/>
      </c>
    </row>
    <row r="1928" spans="3:4" x14ac:dyDescent="0.3">
      <c r="C1928" t="str">
        <f>IFERROR(IF(B1928="","",VLOOKUP(B1928,CadProd!$A:$B,2,0)),"")</f>
        <v/>
      </c>
      <c r="D1928" t="str">
        <f>IFERROR(IF(B1928="","",VLOOKUP(B1928,CadProd!$A:$C,3,0)),"")</f>
        <v/>
      </c>
    </row>
    <row r="1929" spans="3:4" x14ac:dyDescent="0.3">
      <c r="C1929" t="str">
        <f>IFERROR(IF(B1929="","",VLOOKUP(B1929,CadProd!$A:$B,2,0)),"")</f>
        <v/>
      </c>
      <c r="D1929" t="str">
        <f>IFERROR(IF(B1929="","",VLOOKUP(B1929,CadProd!$A:$C,3,0)),"")</f>
        <v/>
      </c>
    </row>
    <row r="1930" spans="3:4" x14ac:dyDescent="0.3">
      <c r="C1930" t="str">
        <f>IFERROR(IF(B1930="","",VLOOKUP(B1930,CadProd!$A:$B,2,0)),"")</f>
        <v/>
      </c>
      <c r="D1930" t="str">
        <f>IFERROR(IF(B1930="","",VLOOKUP(B1930,CadProd!$A:$C,3,0)),"")</f>
        <v/>
      </c>
    </row>
    <row r="1931" spans="3:4" x14ac:dyDescent="0.3">
      <c r="C1931" t="str">
        <f>IFERROR(IF(B1931="","",VLOOKUP(B1931,CadProd!$A:$B,2,0)),"")</f>
        <v/>
      </c>
      <c r="D1931" t="str">
        <f>IFERROR(IF(B1931="","",VLOOKUP(B1931,CadProd!$A:$C,3,0)),"")</f>
        <v/>
      </c>
    </row>
    <row r="1932" spans="3:4" x14ac:dyDescent="0.3">
      <c r="C1932" t="str">
        <f>IFERROR(IF(B1932="","",VLOOKUP(B1932,CadProd!$A:$B,2,0)),"")</f>
        <v/>
      </c>
      <c r="D1932" t="str">
        <f>IFERROR(IF(B1932="","",VLOOKUP(B1932,CadProd!$A:$C,3,0)),"")</f>
        <v/>
      </c>
    </row>
    <row r="1933" spans="3:4" x14ac:dyDescent="0.3">
      <c r="C1933" t="str">
        <f>IFERROR(IF(B1933="","",VLOOKUP(B1933,CadProd!$A:$B,2,0)),"")</f>
        <v/>
      </c>
      <c r="D1933" t="str">
        <f>IFERROR(IF(B1933="","",VLOOKUP(B1933,CadProd!$A:$C,3,0)),"")</f>
        <v/>
      </c>
    </row>
    <row r="1934" spans="3:4" x14ac:dyDescent="0.3">
      <c r="C1934" t="str">
        <f>IFERROR(IF(B1934="","",VLOOKUP(B1934,CadProd!$A:$B,2,0)),"")</f>
        <v/>
      </c>
      <c r="D1934" t="str">
        <f>IFERROR(IF(B1934="","",VLOOKUP(B1934,CadProd!$A:$C,3,0)),"")</f>
        <v/>
      </c>
    </row>
    <row r="1935" spans="3:4" x14ac:dyDescent="0.3">
      <c r="C1935" t="str">
        <f>IFERROR(IF(B1935="","",VLOOKUP(B1935,CadProd!$A:$B,2,0)),"")</f>
        <v/>
      </c>
      <c r="D1935" t="str">
        <f>IFERROR(IF(B1935="","",VLOOKUP(B1935,CadProd!$A:$C,3,0)),"")</f>
        <v/>
      </c>
    </row>
    <row r="1936" spans="3:4" x14ac:dyDescent="0.3">
      <c r="C1936" t="str">
        <f>IFERROR(IF(B1936="","",VLOOKUP(B1936,CadProd!$A:$B,2,0)),"")</f>
        <v/>
      </c>
      <c r="D1936" t="str">
        <f>IFERROR(IF(B1936="","",VLOOKUP(B1936,CadProd!$A:$C,3,0)),"")</f>
        <v/>
      </c>
    </row>
    <row r="1937" spans="3:4" x14ac:dyDescent="0.3">
      <c r="C1937" t="str">
        <f>IFERROR(IF(B1937="","",VLOOKUP(B1937,CadProd!$A:$B,2,0)),"")</f>
        <v/>
      </c>
      <c r="D1937" t="str">
        <f>IFERROR(IF(B1937="","",VLOOKUP(B1937,CadProd!$A:$C,3,0)),"")</f>
        <v/>
      </c>
    </row>
    <row r="1938" spans="3:4" x14ac:dyDescent="0.3">
      <c r="C1938" t="str">
        <f>IFERROR(IF(B1938="","",VLOOKUP(B1938,CadProd!$A:$B,2,0)),"")</f>
        <v/>
      </c>
      <c r="D1938" t="str">
        <f>IFERROR(IF(B1938="","",VLOOKUP(B1938,CadProd!$A:$C,3,0)),"")</f>
        <v/>
      </c>
    </row>
    <row r="1939" spans="3:4" x14ac:dyDescent="0.3">
      <c r="C1939" t="str">
        <f>IFERROR(IF(B1939="","",VLOOKUP(B1939,CadProd!$A:$B,2,0)),"")</f>
        <v/>
      </c>
      <c r="D1939" t="str">
        <f>IFERROR(IF(B1939="","",VLOOKUP(B1939,CadProd!$A:$C,3,0)),"")</f>
        <v/>
      </c>
    </row>
    <row r="1940" spans="3:4" x14ac:dyDescent="0.3">
      <c r="C1940" t="str">
        <f>IFERROR(IF(B1940="","",VLOOKUP(B1940,CadProd!$A:$B,2,0)),"")</f>
        <v/>
      </c>
      <c r="D1940" t="str">
        <f>IFERROR(IF(B1940="","",VLOOKUP(B1940,CadProd!$A:$C,3,0)),"")</f>
        <v/>
      </c>
    </row>
    <row r="1941" spans="3:4" x14ac:dyDescent="0.3">
      <c r="C1941" t="str">
        <f>IFERROR(IF(B1941="","",VLOOKUP(B1941,CadProd!$A:$B,2,0)),"")</f>
        <v/>
      </c>
      <c r="D1941" t="str">
        <f>IFERROR(IF(B1941="","",VLOOKUP(B1941,CadProd!$A:$C,3,0)),"")</f>
        <v/>
      </c>
    </row>
    <row r="1942" spans="3:4" x14ac:dyDescent="0.3">
      <c r="C1942" t="str">
        <f>IFERROR(IF(B1942="","",VLOOKUP(B1942,CadProd!$A:$B,2,0)),"")</f>
        <v/>
      </c>
      <c r="D1942" t="str">
        <f>IFERROR(IF(B1942="","",VLOOKUP(B1942,CadProd!$A:$C,3,0)),"")</f>
        <v/>
      </c>
    </row>
    <row r="1943" spans="3:4" x14ac:dyDescent="0.3">
      <c r="C1943" t="str">
        <f>IFERROR(IF(B1943="","",VLOOKUP(B1943,CadProd!$A:$B,2,0)),"")</f>
        <v/>
      </c>
      <c r="D1943" t="str">
        <f>IFERROR(IF(B1943="","",VLOOKUP(B1943,CadProd!$A:$C,3,0)),"")</f>
        <v/>
      </c>
    </row>
    <row r="1944" spans="3:4" x14ac:dyDescent="0.3">
      <c r="C1944" t="str">
        <f>IFERROR(IF(B1944="","",VLOOKUP(B1944,CadProd!$A:$B,2,0)),"")</f>
        <v/>
      </c>
      <c r="D1944" t="str">
        <f>IFERROR(IF(B1944="","",VLOOKUP(B1944,CadProd!$A:$C,3,0)),"")</f>
        <v/>
      </c>
    </row>
    <row r="1945" spans="3:4" x14ac:dyDescent="0.3">
      <c r="C1945" t="str">
        <f>IFERROR(IF(B1945="","",VLOOKUP(B1945,CadProd!$A:$B,2,0)),"")</f>
        <v/>
      </c>
      <c r="D1945" t="str">
        <f>IFERROR(IF(B1945="","",VLOOKUP(B1945,CadProd!$A:$C,3,0)),"")</f>
        <v/>
      </c>
    </row>
    <row r="1946" spans="3:4" x14ac:dyDescent="0.3">
      <c r="C1946" t="str">
        <f>IFERROR(IF(B1946="","",VLOOKUP(B1946,CadProd!$A:$B,2,0)),"")</f>
        <v/>
      </c>
      <c r="D1946" t="str">
        <f>IFERROR(IF(B1946="","",VLOOKUP(B1946,CadProd!$A:$C,3,0)),"")</f>
        <v/>
      </c>
    </row>
    <row r="1947" spans="3:4" x14ac:dyDescent="0.3">
      <c r="C1947" t="str">
        <f>IFERROR(IF(B1947="","",VLOOKUP(B1947,CadProd!$A:$B,2,0)),"")</f>
        <v/>
      </c>
      <c r="D1947" t="str">
        <f>IFERROR(IF(B1947="","",VLOOKUP(B1947,CadProd!$A:$C,3,0)),"")</f>
        <v/>
      </c>
    </row>
    <row r="1948" spans="3:4" x14ac:dyDescent="0.3">
      <c r="C1948" t="str">
        <f>IFERROR(IF(B1948="","",VLOOKUP(B1948,CadProd!$A:$B,2,0)),"")</f>
        <v/>
      </c>
      <c r="D1948" t="str">
        <f>IFERROR(IF(B1948="","",VLOOKUP(B1948,CadProd!$A:$C,3,0)),"")</f>
        <v/>
      </c>
    </row>
    <row r="1949" spans="3:4" x14ac:dyDescent="0.3">
      <c r="C1949" t="str">
        <f>IFERROR(IF(B1949="","",VLOOKUP(B1949,CadProd!$A:$B,2,0)),"")</f>
        <v/>
      </c>
      <c r="D1949" t="str">
        <f>IFERROR(IF(B1949="","",VLOOKUP(B1949,CadProd!$A:$C,3,0)),"")</f>
        <v/>
      </c>
    </row>
    <row r="1950" spans="3:4" x14ac:dyDescent="0.3">
      <c r="C1950" t="str">
        <f>IFERROR(IF(B1950="","",VLOOKUP(B1950,CadProd!$A:$B,2,0)),"")</f>
        <v/>
      </c>
      <c r="D1950" t="str">
        <f>IFERROR(IF(B1950="","",VLOOKUP(B1950,CadProd!$A:$C,3,0)),"")</f>
        <v/>
      </c>
    </row>
    <row r="1951" spans="3:4" x14ac:dyDescent="0.3">
      <c r="C1951" t="str">
        <f>IFERROR(IF(B1951="","",VLOOKUP(B1951,CadProd!$A:$B,2,0)),"")</f>
        <v/>
      </c>
      <c r="D1951" t="str">
        <f>IFERROR(IF(B1951="","",VLOOKUP(B1951,CadProd!$A:$C,3,0)),"")</f>
        <v/>
      </c>
    </row>
    <row r="1952" spans="3:4" x14ac:dyDescent="0.3">
      <c r="C1952" t="str">
        <f>IFERROR(IF(B1952="","",VLOOKUP(B1952,CadProd!$A:$B,2,0)),"")</f>
        <v/>
      </c>
      <c r="D1952" t="str">
        <f>IFERROR(IF(B1952="","",VLOOKUP(B1952,CadProd!$A:$C,3,0)),"")</f>
        <v/>
      </c>
    </row>
    <row r="1953" spans="3:4" x14ac:dyDescent="0.3">
      <c r="C1953" t="str">
        <f>IFERROR(IF(B1953="","",VLOOKUP(B1953,CadProd!$A:$B,2,0)),"")</f>
        <v/>
      </c>
      <c r="D1953" t="str">
        <f>IFERROR(IF(B1953="","",VLOOKUP(B1953,CadProd!$A:$C,3,0)),"")</f>
        <v/>
      </c>
    </row>
    <row r="1954" spans="3:4" x14ac:dyDescent="0.3">
      <c r="C1954" t="str">
        <f>IFERROR(IF(B1954="","",VLOOKUP(B1954,CadProd!$A:$B,2,0)),"")</f>
        <v/>
      </c>
      <c r="D1954" t="str">
        <f>IFERROR(IF(B1954="","",VLOOKUP(B1954,CadProd!$A:$C,3,0)),"")</f>
        <v/>
      </c>
    </row>
    <row r="1955" spans="3:4" x14ac:dyDescent="0.3">
      <c r="C1955" t="str">
        <f>IFERROR(IF(B1955="","",VLOOKUP(B1955,CadProd!$A:$B,2,0)),"")</f>
        <v/>
      </c>
      <c r="D1955" t="str">
        <f>IFERROR(IF(B1955="","",VLOOKUP(B1955,CadProd!$A:$C,3,0)),"")</f>
        <v/>
      </c>
    </row>
    <row r="1956" spans="3:4" x14ac:dyDescent="0.3">
      <c r="C1956" t="str">
        <f>IFERROR(IF(B1956="","",VLOOKUP(B1956,CadProd!$A:$B,2,0)),"")</f>
        <v/>
      </c>
      <c r="D1956" t="str">
        <f>IFERROR(IF(B1956="","",VLOOKUP(B1956,CadProd!$A:$C,3,0)),"")</f>
        <v/>
      </c>
    </row>
    <row r="1957" spans="3:4" x14ac:dyDescent="0.3">
      <c r="C1957" t="str">
        <f>IFERROR(IF(B1957="","",VLOOKUP(B1957,CadProd!$A:$B,2,0)),"")</f>
        <v/>
      </c>
      <c r="D1957" t="str">
        <f>IFERROR(IF(B1957="","",VLOOKUP(B1957,CadProd!$A:$C,3,0)),"")</f>
        <v/>
      </c>
    </row>
    <row r="1958" spans="3:4" x14ac:dyDescent="0.3">
      <c r="C1958" t="str">
        <f>IFERROR(IF(B1958="","",VLOOKUP(B1958,CadProd!$A:$B,2,0)),"")</f>
        <v/>
      </c>
      <c r="D1958" t="str">
        <f>IFERROR(IF(B1958="","",VLOOKUP(B1958,CadProd!$A:$C,3,0)),"")</f>
        <v/>
      </c>
    </row>
    <row r="1959" spans="3:4" x14ac:dyDescent="0.3">
      <c r="C1959" t="str">
        <f>IFERROR(IF(B1959="","",VLOOKUP(B1959,CadProd!$A:$B,2,0)),"")</f>
        <v/>
      </c>
      <c r="D1959" t="str">
        <f>IFERROR(IF(B1959="","",VLOOKUP(B1959,CadProd!$A:$C,3,0)),"")</f>
        <v/>
      </c>
    </row>
    <row r="1960" spans="3:4" x14ac:dyDescent="0.3">
      <c r="C1960" t="str">
        <f>IFERROR(IF(B1960="","",VLOOKUP(B1960,CadProd!$A:$B,2,0)),"")</f>
        <v/>
      </c>
      <c r="D1960" t="str">
        <f>IFERROR(IF(B1960="","",VLOOKUP(B1960,CadProd!$A:$C,3,0)),"")</f>
        <v/>
      </c>
    </row>
    <row r="1961" spans="3:4" x14ac:dyDescent="0.3">
      <c r="C1961" t="str">
        <f>IFERROR(IF(B1961="","",VLOOKUP(B1961,CadProd!$A:$B,2,0)),"")</f>
        <v/>
      </c>
      <c r="D1961" t="str">
        <f>IFERROR(IF(B1961="","",VLOOKUP(B1961,CadProd!$A:$C,3,0)),"")</f>
        <v/>
      </c>
    </row>
    <row r="1962" spans="3:4" x14ac:dyDescent="0.3">
      <c r="C1962" t="str">
        <f>IFERROR(IF(B1962="","",VLOOKUP(B1962,CadProd!$A:$B,2,0)),"")</f>
        <v/>
      </c>
      <c r="D1962" t="str">
        <f>IFERROR(IF(B1962="","",VLOOKUP(B1962,CadProd!$A:$C,3,0)),"")</f>
        <v/>
      </c>
    </row>
    <row r="1963" spans="3:4" x14ac:dyDescent="0.3">
      <c r="C1963" t="str">
        <f>IFERROR(IF(B1963="","",VLOOKUP(B1963,CadProd!$A:$B,2,0)),"")</f>
        <v/>
      </c>
      <c r="D1963" t="str">
        <f>IFERROR(IF(B1963="","",VLOOKUP(B1963,CadProd!$A:$C,3,0)),"")</f>
        <v/>
      </c>
    </row>
    <row r="1964" spans="3:4" x14ac:dyDescent="0.3">
      <c r="C1964" t="str">
        <f>IFERROR(IF(B1964="","",VLOOKUP(B1964,CadProd!$A:$B,2,0)),"")</f>
        <v/>
      </c>
      <c r="D1964" t="str">
        <f>IFERROR(IF(B1964="","",VLOOKUP(B1964,CadProd!$A:$C,3,0)),"")</f>
        <v/>
      </c>
    </row>
    <row r="1965" spans="3:4" x14ac:dyDescent="0.3">
      <c r="C1965" t="str">
        <f>IFERROR(IF(B1965="","",VLOOKUP(B1965,CadProd!$A:$B,2,0)),"")</f>
        <v/>
      </c>
      <c r="D1965" t="str">
        <f>IFERROR(IF(B1965="","",VLOOKUP(B1965,CadProd!$A:$C,3,0)),"")</f>
        <v/>
      </c>
    </row>
    <row r="1966" spans="3:4" x14ac:dyDescent="0.3">
      <c r="C1966" t="str">
        <f>IFERROR(IF(B1966="","",VLOOKUP(B1966,CadProd!$A:$B,2,0)),"")</f>
        <v/>
      </c>
      <c r="D1966" t="str">
        <f>IFERROR(IF(B1966="","",VLOOKUP(B1966,CadProd!$A:$C,3,0)),"")</f>
        <v/>
      </c>
    </row>
    <row r="1967" spans="3:4" x14ac:dyDescent="0.3">
      <c r="C1967" t="str">
        <f>IFERROR(IF(B1967="","",VLOOKUP(B1967,CadProd!$A:$B,2,0)),"")</f>
        <v/>
      </c>
      <c r="D1967" t="str">
        <f>IFERROR(IF(B1967="","",VLOOKUP(B1967,CadProd!$A:$C,3,0)),"")</f>
        <v/>
      </c>
    </row>
    <row r="1968" spans="3:4" x14ac:dyDescent="0.3">
      <c r="C1968" t="str">
        <f>IFERROR(IF(B1968="","",VLOOKUP(B1968,CadProd!$A:$B,2,0)),"")</f>
        <v/>
      </c>
      <c r="D1968" t="str">
        <f>IFERROR(IF(B1968="","",VLOOKUP(B1968,CadProd!$A:$C,3,0)),"")</f>
        <v/>
      </c>
    </row>
    <row r="1969" spans="3:4" x14ac:dyDescent="0.3">
      <c r="C1969" t="str">
        <f>IFERROR(IF(B1969="","",VLOOKUP(B1969,CadProd!$A:$B,2,0)),"")</f>
        <v/>
      </c>
      <c r="D1969" t="str">
        <f>IFERROR(IF(B1969="","",VLOOKUP(B1969,CadProd!$A:$C,3,0)),"")</f>
        <v/>
      </c>
    </row>
    <row r="1970" spans="3:4" x14ac:dyDescent="0.3">
      <c r="C1970" t="str">
        <f>IFERROR(IF(B1970="","",VLOOKUP(B1970,CadProd!$A:$B,2,0)),"")</f>
        <v/>
      </c>
      <c r="D1970" t="str">
        <f>IFERROR(IF(B1970="","",VLOOKUP(B1970,CadProd!$A:$C,3,0)),"")</f>
        <v/>
      </c>
    </row>
    <row r="1971" spans="3:4" x14ac:dyDescent="0.3">
      <c r="C1971" t="str">
        <f>IFERROR(IF(B1971="","",VLOOKUP(B1971,CadProd!$A:$B,2,0)),"")</f>
        <v/>
      </c>
      <c r="D1971" t="str">
        <f>IFERROR(IF(B1971="","",VLOOKUP(B1971,CadProd!$A:$C,3,0)),"")</f>
        <v/>
      </c>
    </row>
    <row r="1972" spans="3:4" x14ac:dyDescent="0.3">
      <c r="C1972" t="str">
        <f>IFERROR(IF(B1972="","",VLOOKUP(B1972,CadProd!$A:$B,2,0)),"")</f>
        <v/>
      </c>
      <c r="D1972" t="str">
        <f>IFERROR(IF(B1972="","",VLOOKUP(B1972,CadProd!$A:$C,3,0)),"")</f>
        <v/>
      </c>
    </row>
    <row r="1973" spans="3:4" x14ac:dyDescent="0.3">
      <c r="C1973" t="str">
        <f>IFERROR(IF(B1973="","",VLOOKUP(B1973,CadProd!$A:$B,2,0)),"")</f>
        <v/>
      </c>
      <c r="D1973" t="str">
        <f>IFERROR(IF(B1973="","",VLOOKUP(B1973,CadProd!$A:$C,3,0)),"")</f>
        <v/>
      </c>
    </row>
    <row r="1974" spans="3:4" x14ac:dyDescent="0.3">
      <c r="C1974" t="str">
        <f>IFERROR(IF(B1974="","",VLOOKUP(B1974,CadProd!$A:$B,2,0)),"")</f>
        <v/>
      </c>
      <c r="D1974" t="str">
        <f>IFERROR(IF(B1974="","",VLOOKUP(B1974,CadProd!$A:$C,3,0)),"")</f>
        <v/>
      </c>
    </row>
    <row r="1975" spans="3:4" x14ac:dyDescent="0.3">
      <c r="C1975" t="str">
        <f>IFERROR(IF(B1975="","",VLOOKUP(B1975,CadProd!$A:$B,2,0)),"")</f>
        <v/>
      </c>
      <c r="D1975" t="str">
        <f>IFERROR(IF(B1975="","",VLOOKUP(B1975,CadProd!$A:$C,3,0)),"")</f>
        <v/>
      </c>
    </row>
    <row r="1976" spans="3:4" x14ac:dyDescent="0.3">
      <c r="C1976" t="str">
        <f>IFERROR(IF(B1976="","",VLOOKUP(B1976,CadProd!$A:$B,2,0)),"")</f>
        <v/>
      </c>
      <c r="D1976" t="str">
        <f>IFERROR(IF(B1976="","",VLOOKUP(B1976,CadProd!$A:$C,3,0)),"")</f>
        <v/>
      </c>
    </row>
    <row r="1977" spans="3:4" x14ac:dyDescent="0.3">
      <c r="C1977" t="str">
        <f>IFERROR(IF(B1977="","",VLOOKUP(B1977,CadProd!$A:$B,2,0)),"")</f>
        <v/>
      </c>
      <c r="D1977" t="str">
        <f>IFERROR(IF(B1977="","",VLOOKUP(B1977,CadProd!$A:$C,3,0)),"")</f>
        <v/>
      </c>
    </row>
    <row r="1978" spans="3:4" x14ac:dyDescent="0.3">
      <c r="C1978" t="str">
        <f>IFERROR(IF(B1978="","",VLOOKUP(B1978,CadProd!$A:$B,2,0)),"")</f>
        <v/>
      </c>
      <c r="D1978" t="str">
        <f>IFERROR(IF(B1978="","",VLOOKUP(B1978,CadProd!$A:$C,3,0)),"")</f>
        <v/>
      </c>
    </row>
    <row r="1979" spans="3:4" x14ac:dyDescent="0.3">
      <c r="C1979" t="str">
        <f>IFERROR(IF(B1979="","",VLOOKUP(B1979,CadProd!$A:$B,2,0)),"")</f>
        <v/>
      </c>
      <c r="D1979" t="str">
        <f>IFERROR(IF(B1979="","",VLOOKUP(B1979,CadProd!$A:$C,3,0)),"")</f>
        <v/>
      </c>
    </row>
    <row r="1980" spans="3:4" x14ac:dyDescent="0.3">
      <c r="C1980" t="str">
        <f>IFERROR(IF(B1980="","",VLOOKUP(B1980,CadProd!$A:$B,2,0)),"")</f>
        <v/>
      </c>
      <c r="D1980" t="str">
        <f>IFERROR(IF(B1980="","",VLOOKUP(B1980,CadProd!$A:$C,3,0)),"")</f>
        <v/>
      </c>
    </row>
    <row r="1981" spans="3:4" x14ac:dyDescent="0.3">
      <c r="C1981" t="str">
        <f>IFERROR(IF(B1981="","",VLOOKUP(B1981,CadProd!$A:$B,2,0)),"")</f>
        <v/>
      </c>
      <c r="D1981" t="str">
        <f>IFERROR(IF(B1981="","",VLOOKUP(B1981,CadProd!$A:$C,3,0)),"")</f>
        <v/>
      </c>
    </row>
    <row r="1982" spans="3:4" x14ac:dyDescent="0.3">
      <c r="C1982" t="str">
        <f>IFERROR(IF(B1982="","",VLOOKUP(B1982,CadProd!$A:$B,2,0)),"")</f>
        <v/>
      </c>
      <c r="D1982" t="str">
        <f>IFERROR(IF(B1982="","",VLOOKUP(B1982,CadProd!$A:$C,3,0)),"")</f>
        <v/>
      </c>
    </row>
    <row r="1983" spans="3:4" x14ac:dyDescent="0.3">
      <c r="C1983" t="str">
        <f>IFERROR(IF(B1983="","",VLOOKUP(B1983,CadProd!$A:$B,2,0)),"")</f>
        <v/>
      </c>
      <c r="D1983" t="str">
        <f>IFERROR(IF(B1983="","",VLOOKUP(B1983,CadProd!$A:$C,3,0)),"")</f>
        <v/>
      </c>
    </row>
    <row r="1984" spans="3:4" x14ac:dyDescent="0.3">
      <c r="C1984" t="str">
        <f>IFERROR(IF(B1984="","",VLOOKUP(B1984,CadProd!$A:$B,2,0)),"")</f>
        <v/>
      </c>
      <c r="D1984" t="str">
        <f>IFERROR(IF(B1984="","",VLOOKUP(B1984,CadProd!$A:$C,3,0)),"")</f>
        <v/>
      </c>
    </row>
    <row r="1985" spans="3:4" x14ac:dyDescent="0.3">
      <c r="C1985" t="str">
        <f>IFERROR(IF(B1985="","",VLOOKUP(B1985,CadProd!$A:$B,2,0)),"")</f>
        <v/>
      </c>
      <c r="D1985" t="str">
        <f>IFERROR(IF(B1985="","",VLOOKUP(B1985,CadProd!$A:$C,3,0)),"")</f>
        <v/>
      </c>
    </row>
    <row r="1986" spans="3:4" x14ac:dyDescent="0.3">
      <c r="C1986" t="str">
        <f>IFERROR(IF(B1986="","",VLOOKUP(B1986,CadProd!$A:$B,2,0)),"")</f>
        <v/>
      </c>
      <c r="D1986" t="str">
        <f>IFERROR(IF(B1986="","",VLOOKUP(B1986,CadProd!$A:$C,3,0)),"")</f>
        <v/>
      </c>
    </row>
    <row r="1987" spans="3:4" x14ac:dyDescent="0.3">
      <c r="C1987" t="str">
        <f>IFERROR(IF(B1987="","",VLOOKUP(B1987,CadProd!$A:$B,2,0)),"")</f>
        <v/>
      </c>
      <c r="D1987" t="str">
        <f>IFERROR(IF(B1987="","",VLOOKUP(B1987,CadProd!$A:$C,3,0)),"")</f>
        <v/>
      </c>
    </row>
    <row r="1988" spans="3:4" x14ac:dyDescent="0.3">
      <c r="C1988" t="str">
        <f>IFERROR(IF(B1988="","",VLOOKUP(B1988,CadProd!$A:$B,2,0)),"")</f>
        <v/>
      </c>
      <c r="D1988" t="str">
        <f>IFERROR(IF(B1988="","",VLOOKUP(B1988,CadProd!$A:$C,3,0)),"")</f>
        <v/>
      </c>
    </row>
    <row r="1989" spans="3:4" x14ac:dyDescent="0.3">
      <c r="C1989" t="str">
        <f>IFERROR(IF(B1989="","",VLOOKUP(B1989,CadProd!$A:$B,2,0)),"")</f>
        <v/>
      </c>
      <c r="D1989" t="str">
        <f>IFERROR(IF(B1989="","",VLOOKUP(B1989,CadProd!$A:$C,3,0)),"")</f>
        <v/>
      </c>
    </row>
    <row r="1990" spans="3:4" x14ac:dyDescent="0.3">
      <c r="C1990" t="str">
        <f>IFERROR(IF(B1990="","",VLOOKUP(B1990,CadProd!$A:$B,2,0)),"")</f>
        <v/>
      </c>
      <c r="D1990" t="str">
        <f>IFERROR(IF(B1990="","",VLOOKUP(B1990,CadProd!$A:$C,3,0)),"")</f>
        <v/>
      </c>
    </row>
    <row r="1991" spans="3:4" x14ac:dyDescent="0.3">
      <c r="C1991" t="str">
        <f>IFERROR(IF(B1991="","",VLOOKUP(B1991,CadProd!$A:$B,2,0)),"")</f>
        <v/>
      </c>
      <c r="D1991" t="str">
        <f>IFERROR(IF(B1991="","",VLOOKUP(B1991,CadProd!$A:$C,3,0)),"")</f>
        <v/>
      </c>
    </row>
    <row r="1992" spans="3:4" x14ac:dyDescent="0.3">
      <c r="C1992" t="str">
        <f>IFERROR(IF(B1992="","",VLOOKUP(B1992,CadProd!$A:$B,2,0)),"")</f>
        <v/>
      </c>
      <c r="D1992" t="str">
        <f>IFERROR(IF(B1992="","",VLOOKUP(B1992,CadProd!$A:$C,3,0)),"")</f>
        <v/>
      </c>
    </row>
    <row r="1993" spans="3:4" x14ac:dyDescent="0.3">
      <c r="C1993" t="str">
        <f>IFERROR(IF(B1993="","",VLOOKUP(B1993,CadProd!$A:$B,2,0)),"")</f>
        <v/>
      </c>
      <c r="D1993" t="str">
        <f>IFERROR(IF(B1993="","",VLOOKUP(B1993,CadProd!$A:$C,3,0)),"")</f>
        <v/>
      </c>
    </row>
    <row r="1994" spans="3:4" x14ac:dyDescent="0.3">
      <c r="C1994" t="str">
        <f>IFERROR(IF(B1994="","",VLOOKUP(B1994,CadProd!$A:$B,2,0)),"")</f>
        <v/>
      </c>
      <c r="D1994" t="str">
        <f>IFERROR(IF(B1994="","",VLOOKUP(B1994,CadProd!$A:$C,3,0)),"")</f>
        <v/>
      </c>
    </row>
    <row r="1995" spans="3:4" x14ac:dyDescent="0.3">
      <c r="C1995" t="str">
        <f>IFERROR(IF(B1995="","",VLOOKUP(B1995,CadProd!$A:$B,2,0)),"")</f>
        <v/>
      </c>
      <c r="D1995" t="str">
        <f>IFERROR(IF(B1995="","",VLOOKUP(B1995,CadProd!$A:$C,3,0)),"")</f>
        <v/>
      </c>
    </row>
    <row r="1996" spans="3:4" x14ac:dyDescent="0.3">
      <c r="C1996" t="str">
        <f>IFERROR(IF(B1996="","",VLOOKUP(B1996,CadProd!$A:$B,2,0)),"")</f>
        <v/>
      </c>
      <c r="D1996" t="str">
        <f>IFERROR(IF(B1996="","",VLOOKUP(B1996,CadProd!$A:$C,3,0)),"")</f>
        <v/>
      </c>
    </row>
    <row r="1997" spans="3:4" x14ac:dyDescent="0.3">
      <c r="C1997" t="str">
        <f>IFERROR(IF(B1997="","",VLOOKUP(B1997,CadProd!$A:$B,2,0)),"")</f>
        <v/>
      </c>
      <c r="D1997" t="str">
        <f>IFERROR(IF(B1997="","",VLOOKUP(B1997,CadProd!$A:$C,3,0)),"")</f>
        <v/>
      </c>
    </row>
    <row r="1998" spans="3:4" x14ac:dyDescent="0.3">
      <c r="C1998" t="str">
        <f>IFERROR(IF(B1998="","",VLOOKUP(B1998,CadProd!$A:$B,2,0)),"")</f>
        <v/>
      </c>
      <c r="D1998" t="str">
        <f>IFERROR(IF(B1998="","",VLOOKUP(B1998,CadProd!$A:$C,3,0)),"")</f>
        <v/>
      </c>
    </row>
    <row r="1999" spans="3:4" x14ac:dyDescent="0.3">
      <c r="C1999" t="str">
        <f>IFERROR(IF(B1999="","",VLOOKUP(B1999,CadProd!$A:$B,2,0)),"")</f>
        <v/>
      </c>
      <c r="D1999" t="str">
        <f>IFERROR(IF(B1999="","",VLOOKUP(B1999,CadProd!$A:$C,3,0)),"")</f>
        <v/>
      </c>
    </row>
    <row r="2000" spans="3:4" x14ac:dyDescent="0.3">
      <c r="C2000" t="str">
        <f>IFERROR(IF(B2000="","",VLOOKUP(B2000,CadProd!$A:$B,2,0)),"")</f>
        <v/>
      </c>
      <c r="D2000" t="str">
        <f>IFERROR(IF(B2000="","",VLOOKUP(B2000,CadProd!$A:$C,3,0)),"")</f>
        <v/>
      </c>
    </row>
    <row r="2001" spans="3:4" x14ac:dyDescent="0.3">
      <c r="C2001" t="str">
        <f>IFERROR(IF(B2001="","",VLOOKUP(B2001,CadProd!$A:$B,2,0)),"")</f>
        <v/>
      </c>
      <c r="D2001" t="str">
        <f>IFERROR(IF(B2001="","",VLOOKUP(B2001,CadProd!$A:$C,3,0)),"")</f>
        <v/>
      </c>
    </row>
    <row r="2002" spans="3:4" x14ac:dyDescent="0.3">
      <c r="C2002" t="str">
        <f>IFERROR(IF(B2002="","",VLOOKUP(B2002,CadProd!$A:$B,2,0)),"")</f>
        <v/>
      </c>
      <c r="D2002" t="str">
        <f>IFERROR(IF(B2002="","",VLOOKUP(B2002,CadProd!$A:$C,3,0)),"")</f>
        <v/>
      </c>
    </row>
    <row r="2003" spans="3:4" x14ac:dyDescent="0.3">
      <c r="C2003" t="str">
        <f>IFERROR(IF(B2003="","",VLOOKUP(B2003,CadProd!$A:$B,2,0)),"")</f>
        <v/>
      </c>
      <c r="D2003" t="str">
        <f>IFERROR(IF(B2003="","",VLOOKUP(B2003,CadProd!$A:$C,3,0)),"")</f>
        <v/>
      </c>
    </row>
    <row r="2004" spans="3:4" x14ac:dyDescent="0.3">
      <c r="C2004" t="str">
        <f>IFERROR(IF(B2004="","",VLOOKUP(B2004,CadProd!$A:$B,2,0)),"")</f>
        <v/>
      </c>
      <c r="D2004" t="str">
        <f>IFERROR(IF(B2004="","",VLOOKUP(B2004,CadProd!$A:$C,3,0)),"")</f>
        <v/>
      </c>
    </row>
    <row r="2005" spans="3:4" x14ac:dyDescent="0.3">
      <c r="C2005" t="str">
        <f>IFERROR(IF(B2005="","",VLOOKUP(B2005,CadProd!$A:$B,2,0)),"")</f>
        <v/>
      </c>
      <c r="D2005" t="str">
        <f>IFERROR(IF(B2005="","",VLOOKUP(B2005,CadProd!$A:$C,3,0)),"")</f>
        <v/>
      </c>
    </row>
    <row r="2006" spans="3:4" x14ac:dyDescent="0.3">
      <c r="C2006" t="str">
        <f>IFERROR(IF(B2006="","",VLOOKUP(B2006,CadProd!$A:$B,2,0)),"")</f>
        <v/>
      </c>
      <c r="D2006" t="str">
        <f>IFERROR(IF(B2006="","",VLOOKUP(B2006,CadProd!$A:$C,3,0)),"")</f>
        <v/>
      </c>
    </row>
    <row r="2007" spans="3:4" x14ac:dyDescent="0.3">
      <c r="C2007" t="str">
        <f>IFERROR(IF(B2007="","",VLOOKUP(B2007,CadProd!$A:$B,2,0)),"")</f>
        <v/>
      </c>
      <c r="D2007" t="str">
        <f>IFERROR(IF(B2007="","",VLOOKUP(B2007,CadProd!$A:$C,3,0)),"")</f>
        <v/>
      </c>
    </row>
    <row r="2008" spans="3:4" x14ac:dyDescent="0.3">
      <c r="C2008" t="str">
        <f>IFERROR(IF(B2008="","",VLOOKUP(B2008,CadProd!$A:$B,2,0)),"")</f>
        <v/>
      </c>
      <c r="D2008" t="str">
        <f>IFERROR(IF(B2008="","",VLOOKUP(B2008,CadProd!$A:$C,3,0)),"")</f>
        <v/>
      </c>
    </row>
    <row r="2009" spans="3:4" x14ac:dyDescent="0.3">
      <c r="C2009" t="str">
        <f>IFERROR(IF(B2009="","",VLOOKUP(B2009,CadProd!$A:$B,2,0)),"")</f>
        <v/>
      </c>
      <c r="D2009" t="str">
        <f>IFERROR(IF(B2009="","",VLOOKUP(B2009,CadProd!$A:$C,3,0)),"")</f>
        <v/>
      </c>
    </row>
    <row r="2010" spans="3:4" x14ac:dyDescent="0.3">
      <c r="C2010" t="str">
        <f>IFERROR(IF(B2010="","",VLOOKUP(B2010,CadProd!$A:$B,2,0)),"")</f>
        <v/>
      </c>
      <c r="D2010" t="str">
        <f>IFERROR(IF(B2010="","",VLOOKUP(B2010,CadProd!$A:$C,3,0)),"")</f>
        <v/>
      </c>
    </row>
    <row r="2011" spans="3:4" x14ac:dyDescent="0.3">
      <c r="C2011" t="str">
        <f>IFERROR(IF(B2011="","",VLOOKUP(B2011,CadProd!$A:$B,2,0)),"")</f>
        <v/>
      </c>
      <c r="D2011" t="str">
        <f>IFERROR(IF(B2011="","",VLOOKUP(B2011,CadProd!$A:$C,3,0)),"")</f>
        <v/>
      </c>
    </row>
    <row r="2012" spans="3:4" x14ac:dyDescent="0.3">
      <c r="C2012" t="str">
        <f>IFERROR(IF(B2012="","",VLOOKUP(B2012,CadProd!$A:$B,2,0)),"")</f>
        <v/>
      </c>
      <c r="D2012" t="str">
        <f>IFERROR(IF(B2012="","",VLOOKUP(B2012,CadProd!$A:$C,3,0)),"")</f>
        <v/>
      </c>
    </row>
    <row r="2013" spans="3:4" x14ac:dyDescent="0.3">
      <c r="C2013" t="str">
        <f>IFERROR(IF(B2013="","",VLOOKUP(B2013,CadProd!$A:$B,2,0)),"")</f>
        <v/>
      </c>
      <c r="D2013" t="str">
        <f>IFERROR(IF(B2013="","",VLOOKUP(B2013,CadProd!$A:$C,3,0)),"")</f>
        <v/>
      </c>
    </row>
    <row r="2014" spans="3:4" x14ac:dyDescent="0.3">
      <c r="C2014" t="str">
        <f>IFERROR(IF(B2014="","",VLOOKUP(B2014,CadProd!$A:$B,2,0)),"")</f>
        <v/>
      </c>
      <c r="D2014" t="str">
        <f>IFERROR(IF(B2014="","",VLOOKUP(B2014,CadProd!$A:$C,3,0)),"")</f>
        <v/>
      </c>
    </row>
    <row r="2015" spans="3:4" x14ac:dyDescent="0.3">
      <c r="C2015" t="str">
        <f>IFERROR(IF(B2015="","",VLOOKUP(B2015,CadProd!$A:$B,2,0)),"")</f>
        <v/>
      </c>
      <c r="D2015" t="str">
        <f>IFERROR(IF(B2015="","",VLOOKUP(B2015,CadProd!$A:$C,3,0)),"")</f>
        <v/>
      </c>
    </row>
    <row r="2016" spans="3:4" x14ac:dyDescent="0.3">
      <c r="C2016" t="str">
        <f>IFERROR(IF(B2016="","",VLOOKUP(B2016,CadProd!$A:$B,2,0)),"")</f>
        <v/>
      </c>
      <c r="D2016" t="str">
        <f>IFERROR(IF(B2016="","",VLOOKUP(B2016,CadProd!$A:$C,3,0)),"")</f>
        <v/>
      </c>
    </row>
    <row r="2017" spans="3:4" x14ac:dyDescent="0.3">
      <c r="C2017" t="str">
        <f>IFERROR(IF(B2017="","",VLOOKUP(B2017,CadProd!$A:$B,2,0)),"")</f>
        <v/>
      </c>
      <c r="D2017" t="str">
        <f>IFERROR(IF(B2017="","",VLOOKUP(B2017,CadProd!$A:$C,3,0)),"")</f>
        <v/>
      </c>
    </row>
    <row r="2018" spans="3:4" x14ac:dyDescent="0.3">
      <c r="C2018" t="str">
        <f>IFERROR(IF(B2018="","",VLOOKUP(B2018,CadProd!$A:$B,2,0)),"")</f>
        <v/>
      </c>
      <c r="D2018" t="str">
        <f>IFERROR(IF(B2018="","",VLOOKUP(B2018,CadProd!$A:$C,3,0)),"")</f>
        <v/>
      </c>
    </row>
    <row r="2019" spans="3:4" x14ac:dyDescent="0.3">
      <c r="C2019" t="str">
        <f>IFERROR(IF(B2019="","",VLOOKUP(B2019,CadProd!$A:$B,2,0)),"")</f>
        <v/>
      </c>
      <c r="D2019" t="str">
        <f>IFERROR(IF(B2019="","",VLOOKUP(B2019,CadProd!$A:$C,3,0)),"")</f>
        <v/>
      </c>
    </row>
    <row r="2020" spans="3:4" x14ac:dyDescent="0.3">
      <c r="C2020" t="str">
        <f>IFERROR(IF(B2020="","",VLOOKUP(B2020,CadProd!$A:$B,2,0)),"")</f>
        <v/>
      </c>
      <c r="D2020" t="str">
        <f>IFERROR(IF(B2020="","",VLOOKUP(B2020,CadProd!$A:$C,3,0)),"")</f>
        <v/>
      </c>
    </row>
    <row r="2021" spans="3:4" x14ac:dyDescent="0.3">
      <c r="C2021" t="str">
        <f>IFERROR(IF(B2021="","",VLOOKUP(B2021,CadProd!$A:$B,2,0)),"")</f>
        <v/>
      </c>
      <c r="D2021" t="str">
        <f>IFERROR(IF(B2021="","",VLOOKUP(B2021,CadProd!$A:$C,3,0)),"")</f>
        <v/>
      </c>
    </row>
    <row r="2022" spans="3:4" x14ac:dyDescent="0.3">
      <c r="C2022" t="str">
        <f>IFERROR(IF(B2022="","",VLOOKUP(B2022,CadProd!$A:$B,2,0)),"")</f>
        <v/>
      </c>
      <c r="D2022" t="str">
        <f>IFERROR(IF(B2022="","",VLOOKUP(B2022,CadProd!$A:$C,3,0)),"")</f>
        <v/>
      </c>
    </row>
    <row r="2023" spans="3:4" x14ac:dyDescent="0.3">
      <c r="C2023" t="str">
        <f>IFERROR(IF(B2023="","",VLOOKUP(B2023,CadProd!$A:$B,2,0)),"")</f>
        <v/>
      </c>
      <c r="D2023" t="str">
        <f>IFERROR(IF(B2023="","",VLOOKUP(B2023,CadProd!$A:$C,3,0)),"")</f>
        <v/>
      </c>
    </row>
    <row r="2024" spans="3:4" x14ac:dyDescent="0.3">
      <c r="C2024" t="str">
        <f>IFERROR(IF(B2024="","",VLOOKUP(B2024,CadProd!$A:$B,2,0)),"")</f>
        <v/>
      </c>
      <c r="D2024" t="str">
        <f>IFERROR(IF(B2024="","",VLOOKUP(B2024,CadProd!$A:$C,3,0)),"")</f>
        <v/>
      </c>
    </row>
    <row r="2025" spans="3:4" x14ac:dyDescent="0.3">
      <c r="C2025" t="str">
        <f>IFERROR(IF(B2025="","",VLOOKUP(B2025,CadProd!$A:$B,2,0)),"")</f>
        <v/>
      </c>
      <c r="D2025" t="str">
        <f>IFERROR(IF(B2025="","",VLOOKUP(B2025,CadProd!$A:$C,3,0)),"")</f>
        <v/>
      </c>
    </row>
    <row r="2026" spans="3:4" x14ac:dyDescent="0.3">
      <c r="C2026" t="str">
        <f>IFERROR(IF(B2026="","",VLOOKUP(B2026,CadProd!$A:$B,2,0)),"")</f>
        <v/>
      </c>
      <c r="D2026" t="str">
        <f>IFERROR(IF(B2026="","",VLOOKUP(B2026,CadProd!$A:$C,3,0)),"")</f>
        <v/>
      </c>
    </row>
    <row r="2027" spans="3:4" x14ac:dyDescent="0.3">
      <c r="C2027" t="str">
        <f>IFERROR(IF(B2027="","",VLOOKUP(B2027,CadProd!$A:$B,2,0)),"")</f>
        <v/>
      </c>
      <c r="D2027" t="str">
        <f>IFERROR(IF(B2027="","",VLOOKUP(B2027,CadProd!$A:$C,3,0)),"")</f>
        <v/>
      </c>
    </row>
    <row r="2028" spans="3:4" x14ac:dyDescent="0.3">
      <c r="C2028" t="str">
        <f>IFERROR(IF(B2028="","",VLOOKUP(B2028,CadProd!$A:$B,2,0)),"")</f>
        <v/>
      </c>
      <c r="D2028" t="str">
        <f>IFERROR(IF(B2028="","",VLOOKUP(B2028,CadProd!$A:$C,3,0)),"")</f>
        <v/>
      </c>
    </row>
    <row r="2029" spans="3:4" x14ac:dyDescent="0.3">
      <c r="C2029" t="str">
        <f>IFERROR(IF(B2029="","",VLOOKUP(B2029,CadProd!$A:$B,2,0)),"")</f>
        <v/>
      </c>
      <c r="D2029" t="str">
        <f>IFERROR(IF(B2029="","",VLOOKUP(B2029,CadProd!$A:$C,3,0)),"")</f>
        <v/>
      </c>
    </row>
    <row r="2030" spans="3:4" x14ac:dyDescent="0.3">
      <c r="C2030" t="str">
        <f>IFERROR(IF(B2030="","",VLOOKUP(B2030,CadProd!$A:$B,2,0)),"")</f>
        <v/>
      </c>
      <c r="D2030" t="str">
        <f>IFERROR(IF(B2030="","",VLOOKUP(B2030,CadProd!$A:$C,3,0)),"")</f>
        <v/>
      </c>
    </row>
    <row r="2031" spans="3:4" x14ac:dyDescent="0.3">
      <c r="C2031" t="str">
        <f>IFERROR(IF(B2031="","",VLOOKUP(B2031,CadProd!$A:$B,2,0)),"")</f>
        <v/>
      </c>
      <c r="D2031" t="str">
        <f>IFERROR(IF(B2031="","",VLOOKUP(B2031,CadProd!$A:$C,3,0)),"")</f>
        <v/>
      </c>
    </row>
    <row r="2032" spans="3:4" x14ac:dyDescent="0.3">
      <c r="C2032" t="str">
        <f>IFERROR(IF(B2032="","",VLOOKUP(B2032,CadProd!$A:$B,2,0)),"")</f>
        <v/>
      </c>
      <c r="D2032" t="str">
        <f>IFERROR(IF(B2032="","",VLOOKUP(B2032,CadProd!$A:$C,3,0)),"")</f>
        <v/>
      </c>
    </row>
    <row r="2033" spans="3:4" x14ac:dyDescent="0.3">
      <c r="C2033" t="str">
        <f>IFERROR(IF(B2033="","",VLOOKUP(B2033,CadProd!$A:$B,2,0)),"")</f>
        <v/>
      </c>
      <c r="D2033" t="str">
        <f>IFERROR(IF(B2033="","",VLOOKUP(B2033,CadProd!$A:$C,3,0)),"")</f>
        <v/>
      </c>
    </row>
    <row r="2034" spans="3:4" x14ac:dyDescent="0.3">
      <c r="C2034" t="str">
        <f>IFERROR(IF(B2034="","",VLOOKUP(B2034,CadProd!$A:$B,2,0)),"")</f>
        <v/>
      </c>
      <c r="D2034" t="str">
        <f>IFERROR(IF(B2034="","",VLOOKUP(B2034,CadProd!$A:$C,3,0)),"")</f>
        <v/>
      </c>
    </row>
    <row r="2035" spans="3:4" x14ac:dyDescent="0.3">
      <c r="C2035" t="str">
        <f>IFERROR(IF(B2035="","",VLOOKUP(B2035,CadProd!$A:$B,2,0)),"")</f>
        <v/>
      </c>
      <c r="D2035" t="str">
        <f>IFERROR(IF(B2035="","",VLOOKUP(B2035,CadProd!$A:$C,3,0)),"")</f>
        <v/>
      </c>
    </row>
    <row r="2036" spans="3:4" x14ac:dyDescent="0.3">
      <c r="C2036" t="str">
        <f>IFERROR(IF(B2036="","",VLOOKUP(B2036,CadProd!$A:$B,2,0)),"")</f>
        <v/>
      </c>
      <c r="D2036" t="str">
        <f>IFERROR(IF(B2036="","",VLOOKUP(B2036,CadProd!$A:$C,3,0)),"")</f>
        <v/>
      </c>
    </row>
    <row r="2037" spans="3:4" x14ac:dyDescent="0.3">
      <c r="C2037" t="str">
        <f>IFERROR(IF(B2037="","",VLOOKUP(B2037,CadProd!$A:$B,2,0)),"")</f>
        <v/>
      </c>
      <c r="D2037" t="str">
        <f>IFERROR(IF(B2037="","",VLOOKUP(B2037,CadProd!$A:$C,3,0)),"")</f>
        <v/>
      </c>
    </row>
    <row r="2038" spans="3:4" x14ac:dyDescent="0.3">
      <c r="C2038" t="str">
        <f>IFERROR(IF(B2038="","",VLOOKUP(B2038,CadProd!$A:$B,2,0)),"")</f>
        <v/>
      </c>
      <c r="D2038" t="str">
        <f>IFERROR(IF(B2038="","",VLOOKUP(B2038,CadProd!$A:$C,3,0)),"")</f>
        <v/>
      </c>
    </row>
    <row r="2039" spans="3:4" x14ac:dyDescent="0.3">
      <c r="C2039" t="str">
        <f>IFERROR(IF(B2039="","",VLOOKUP(B2039,CadProd!$A:$B,2,0)),"")</f>
        <v/>
      </c>
      <c r="D2039" t="str">
        <f>IFERROR(IF(B2039="","",VLOOKUP(B2039,CadProd!$A:$C,3,0)),"")</f>
        <v/>
      </c>
    </row>
    <row r="2040" spans="3:4" x14ac:dyDescent="0.3">
      <c r="C2040" t="str">
        <f>IFERROR(IF(B2040="","",VLOOKUP(B2040,CadProd!$A:$B,2,0)),"")</f>
        <v/>
      </c>
      <c r="D2040" t="str">
        <f>IFERROR(IF(B2040="","",VLOOKUP(B2040,CadProd!$A:$C,3,0)),"")</f>
        <v/>
      </c>
    </row>
    <row r="2041" spans="3:4" x14ac:dyDescent="0.3">
      <c r="C2041" t="str">
        <f>IFERROR(IF(B2041="","",VLOOKUP(B2041,CadProd!$A:$B,2,0)),"")</f>
        <v/>
      </c>
      <c r="D2041" t="str">
        <f>IFERROR(IF(B2041="","",VLOOKUP(B2041,CadProd!$A:$C,3,0)),"")</f>
        <v/>
      </c>
    </row>
    <row r="2042" spans="3:4" x14ac:dyDescent="0.3">
      <c r="C2042" t="str">
        <f>IFERROR(IF(B2042="","",VLOOKUP(B2042,CadProd!$A:$B,2,0)),"")</f>
        <v/>
      </c>
      <c r="D2042" t="str">
        <f>IFERROR(IF(B2042="","",VLOOKUP(B2042,CadProd!$A:$C,3,0)),"")</f>
        <v/>
      </c>
    </row>
    <row r="2043" spans="3:4" x14ac:dyDescent="0.3">
      <c r="C2043" t="str">
        <f>IFERROR(IF(B2043="","",VLOOKUP(B2043,CadProd!$A:$B,2,0)),"")</f>
        <v/>
      </c>
      <c r="D2043" t="str">
        <f>IFERROR(IF(B2043="","",VLOOKUP(B2043,CadProd!$A:$C,3,0)),"")</f>
        <v/>
      </c>
    </row>
    <row r="2044" spans="3:4" x14ac:dyDescent="0.3">
      <c r="C2044" t="str">
        <f>IFERROR(IF(B2044="","",VLOOKUP(B2044,CadProd!$A:$B,2,0)),"")</f>
        <v/>
      </c>
      <c r="D2044" t="str">
        <f>IFERROR(IF(B2044="","",VLOOKUP(B2044,CadProd!$A:$C,3,0)),"")</f>
        <v/>
      </c>
    </row>
    <row r="2045" spans="3:4" x14ac:dyDescent="0.3">
      <c r="C2045" t="str">
        <f>IFERROR(IF(B2045="","",VLOOKUP(B2045,CadProd!$A:$B,2,0)),"")</f>
        <v/>
      </c>
      <c r="D2045" t="str">
        <f>IFERROR(IF(B2045="","",VLOOKUP(B2045,CadProd!$A:$C,3,0)),"")</f>
        <v/>
      </c>
    </row>
    <row r="2046" spans="3:4" x14ac:dyDescent="0.3">
      <c r="C2046" t="str">
        <f>IFERROR(IF(B2046="","",VLOOKUP(B2046,CadProd!$A:$B,2,0)),"")</f>
        <v/>
      </c>
      <c r="D2046" t="str">
        <f>IFERROR(IF(B2046="","",VLOOKUP(B2046,CadProd!$A:$C,3,0)),"")</f>
        <v/>
      </c>
    </row>
    <row r="2047" spans="3:4" x14ac:dyDescent="0.3">
      <c r="C2047" t="str">
        <f>IFERROR(IF(B2047="","",VLOOKUP(B2047,CadProd!$A:$B,2,0)),"")</f>
        <v/>
      </c>
      <c r="D2047" t="str">
        <f>IFERROR(IF(B2047="","",VLOOKUP(B2047,CadProd!$A:$C,3,0)),"")</f>
        <v/>
      </c>
    </row>
    <row r="2048" spans="3:4" x14ac:dyDescent="0.3">
      <c r="C2048" t="str">
        <f>IFERROR(IF(B2048="","",VLOOKUP(B2048,CadProd!$A:$B,2,0)),"")</f>
        <v/>
      </c>
      <c r="D2048" t="str">
        <f>IFERROR(IF(B2048="","",VLOOKUP(B2048,CadProd!$A:$C,3,0)),"")</f>
        <v/>
      </c>
    </row>
    <row r="2049" spans="3:4" x14ac:dyDescent="0.3">
      <c r="C2049" t="str">
        <f>IFERROR(IF(B2049="","",VLOOKUP(B2049,CadProd!$A:$B,2,0)),"")</f>
        <v/>
      </c>
      <c r="D2049" t="str">
        <f>IFERROR(IF(B2049="","",VLOOKUP(B2049,CadProd!$A:$C,3,0)),"")</f>
        <v/>
      </c>
    </row>
    <row r="2050" spans="3:4" x14ac:dyDescent="0.3">
      <c r="C2050" t="str">
        <f>IFERROR(IF(B2050="","",VLOOKUP(B2050,CadProd!$A:$B,2,0)),"")</f>
        <v/>
      </c>
      <c r="D2050" t="str">
        <f>IFERROR(IF(B2050="","",VLOOKUP(B2050,CadProd!$A:$C,3,0)),"")</f>
        <v/>
      </c>
    </row>
    <row r="2051" spans="3:4" x14ac:dyDescent="0.3">
      <c r="C2051" t="str">
        <f>IFERROR(IF(B2051="","",VLOOKUP(B2051,CadProd!$A:$B,2,0)),"")</f>
        <v/>
      </c>
      <c r="D2051" t="str">
        <f>IFERROR(IF(B2051="","",VLOOKUP(B2051,CadProd!$A:$C,3,0)),"")</f>
        <v/>
      </c>
    </row>
    <row r="2052" spans="3:4" x14ac:dyDescent="0.3">
      <c r="C2052" t="str">
        <f>IFERROR(IF(B2052="","",VLOOKUP(B2052,CadProd!$A:$B,2,0)),"")</f>
        <v/>
      </c>
      <c r="D2052" t="str">
        <f>IFERROR(IF(B2052="","",VLOOKUP(B2052,CadProd!$A:$C,3,0)),"")</f>
        <v/>
      </c>
    </row>
    <row r="2053" spans="3:4" x14ac:dyDescent="0.3">
      <c r="C2053" t="str">
        <f>IFERROR(IF(B2053="","",VLOOKUP(B2053,CadProd!$A:$B,2,0)),"")</f>
        <v/>
      </c>
      <c r="D2053" t="str">
        <f>IFERROR(IF(B2053="","",VLOOKUP(B2053,CadProd!$A:$C,3,0)),"")</f>
        <v/>
      </c>
    </row>
    <row r="2054" spans="3:4" x14ac:dyDescent="0.3">
      <c r="C2054" t="str">
        <f>IFERROR(IF(B2054="","",VLOOKUP(B2054,CadProd!$A:$B,2,0)),"")</f>
        <v/>
      </c>
      <c r="D2054" t="str">
        <f>IFERROR(IF(B2054="","",VLOOKUP(B2054,CadProd!$A:$C,3,0)),"")</f>
        <v/>
      </c>
    </row>
    <row r="2055" spans="3:4" x14ac:dyDescent="0.3">
      <c r="C2055" t="str">
        <f>IFERROR(IF(B2055="","",VLOOKUP(B2055,CadProd!$A:$B,2,0)),"")</f>
        <v/>
      </c>
      <c r="D2055" t="str">
        <f>IFERROR(IF(B2055="","",VLOOKUP(B2055,CadProd!$A:$C,3,0)),"")</f>
        <v/>
      </c>
    </row>
    <row r="2056" spans="3:4" x14ac:dyDescent="0.3">
      <c r="C2056" t="str">
        <f>IFERROR(IF(B2056="","",VLOOKUP(B2056,CadProd!$A:$B,2,0)),"")</f>
        <v/>
      </c>
      <c r="D2056" t="str">
        <f>IFERROR(IF(B2056="","",VLOOKUP(B2056,CadProd!$A:$C,3,0)),"")</f>
        <v/>
      </c>
    </row>
    <row r="2057" spans="3:4" x14ac:dyDescent="0.3">
      <c r="C2057" t="str">
        <f>IFERROR(IF(B2057="","",VLOOKUP(B2057,CadProd!$A:$B,2,0)),"")</f>
        <v/>
      </c>
      <c r="D2057" t="str">
        <f>IFERROR(IF(B2057="","",VLOOKUP(B2057,CadProd!$A:$C,3,0)),"")</f>
        <v/>
      </c>
    </row>
    <row r="2058" spans="3:4" x14ac:dyDescent="0.3">
      <c r="C2058" t="str">
        <f>IFERROR(IF(B2058="","",VLOOKUP(B2058,CadProd!$A:$B,2,0)),"")</f>
        <v/>
      </c>
      <c r="D2058" t="str">
        <f>IFERROR(IF(B2058="","",VLOOKUP(B2058,CadProd!$A:$C,3,0)),"")</f>
        <v/>
      </c>
    </row>
    <row r="2059" spans="3:4" x14ac:dyDescent="0.3">
      <c r="C2059" t="str">
        <f>IFERROR(IF(B2059="","",VLOOKUP(B2059,CadProd!$A:$B,2,0)),"")</f>
        <v/>
      </c>
      <c r="D2059" t="str">
        <f>IFERROR(IF(B2059="","",VLOOKUP(B2059,CadProd!$A:$C,3,0)),"")</f>
        <v/>
      </c>
    </row>
    <row r="2060" spans="3:4" x14ac:dyDescent="0.3">
      <c r="C2060" t="str">
        <f>IFERROR(IF(B2060="","",VLOOKUP(B2060,CadProd!$A:$B,2,0)),"")</f>
        <v/>
      </c>
      <c r="D2060" t="str">
        <f>IFERROR(IF(B2060="","",VLOOKUP(B2060,CadProd!$A:$C,3,0)),"")</f>
        <v/>
      </c>
    </row>
    <row r="2061" spans="3:4" x14ac:dyDescent="0.3">
      <c r="C2061" t="str">
        <f>IFERROR(IF(B2061="","",VLOOKUP(B2061,CadProd!$A:$B,2,0)),"")</f>
        <v/>
      </c>
      <c r="D2061" t="str">
        <f>IFERROR(IF(B2061="","",VLOOKUP(B2061,CadProd!$A:$C,3,0)),"")</f>
        <v/>
      </c>
    </row>
    <row r="2062" spans="3:4" x14ac:dyDescent="0.3">
      <c r="C2062" t="str">
        <f>IFERROR(IF(B2062="","",VLOOKUP(B2062,CadProd!$A:$B,2,0)),"")</f>
        <v/>
      </c>
      <c r="D2062" t="str">
        <f>IFERROR(IF(B2062="","",VLOOKUP(B2062,CadProd!$A:$C,3,0)),"")</f>
        <v/>
      </c>
    </row>
    <row r="2063" spans="3:4" x14ac:dyDescent="0.3">
      <c r="C2063" t="str">
        <f>IFERROR(IF(B2063="","",VLOOKUP(B2063,CadProd!$A:$B,2,0)),"")</f>
        <v/>
      </c>
      <c r="D2063" t="str">
        <f>IFERROR(IF(B2063="","",VLOOKUP(B2063,CadProd!$A:$C,3,0)),"")</f>
        <v/>
      </c>
    </row>
    <row r="2064" spans="3:4" x14ac:dyDescent="0.3">
      <c r="C2064" t="str">
        <f>IFERROR(IF(B2064="","",VLOOKUP(B2064,CadProd!$A:$B,2,0)),"")</f>
        <v/>
      </c>
      <c r="D2064" t="str">
        <f>IFERROR(IF(B2064="","",VLOOKUP(B2064,CadProd!$A:$C,3,0)),"")</f>
        <v/>
      </c>
    </row>
    <row r="2065" spans="3:4" x14ac:dyDescent="0.3">
      <c r="C2065" t="str">
        <f>IFERROR(IF(B2065="","",VLOOKUP(B2065,CadProd!$A:$B,2,0)),"")</f>
        <v/>
      </c>
      <c r="D2065" t="str">
        <f>IFERROR(IF(B2065="","",VLOOKUP(B2065,CadProd!$A:$C,3,0)),"")</f>
        <v/>
      </c>
    </row>
    <row r="2066" spans="3:4" x14ac:dyDescent="0.3">
      <c r="C2066" t="str">
        <f>IFERROR(IF(B2066="","",VLOOKUP(B2066,CadProd!$A:$B,2,0)),"")</f>
        <v/>
      </c>
      <c r="D2066" t="str">
        <f>IFERROR(IF(B2066="","",VLOOKUP(B2066,CadProd!$A:$C,3,0)),"")</f>
        <v/>
      </c>
    </row>
    <row r="2067" spans="3:4" x14ac:dyDescent="0.3">
      <c r="C2067" t="str">
        <f>IFERROR(IF(B2067="","",VLOOKUP(B2067,CadProd!$A:$B,2,0)),"")</f>
        <v/>
      </c>
      <c r="D2067" t="str">
        <f>IFERROR(IF(B2067="","",VLOOKUP(B2067,CadProd!$A:$C,3,0)),"")</f>
        <v/>
      </c>
    </row>
    <row r="2068" spans="3:4" x14ac:dyDescent="0.3">
      <c r="C2068" t="str">
        <f>IFERROR(IF(B2068="","",VLOOKUP(B2068,CadProd!$A:$B,2,0)),"")</f>
        <v/>
      </c>
      <c r="D2068" t="str">
        <f>IFERROR(IF(B2068="","",VLOOKUP(B2068,CadProd!$A:$C,3,0)),"")</f>
        <v/>
      </c>
    </row>
    <row r="2069" spans="3:4" x14ac:dyDescent="0.3">
      <c r="C2069" t="str">
        <f>IFERROR(IF(B2069="","",VLOOKUP(B2069,CadProd!$A:$B,2,0)),"")</f>
        <v/>
      </c>
      <c r="D2069" t="str">
        <f>IFERROR(IF(B2069="","",VLOOKUP(B2069,CadProd!$A:$C,3,0)),"")</f>
        <v/>
      </c>
    </row>
    <row r="2070" spans="3:4" x14ac:dyDescent="0.3">
      <c r="C2070" t="str">
        <f>IFERROR(IF(B2070="","",VLOOKUP(B2070,CadProd!$A:$B,2,0)),"")</f>
        <v/>
      </c>
      <c r="D2070" t="str">
        <f>IFERROR(IF(B2070="","",VLOOKUP(B2070,CadProd!$A:$C,3,0)),"")</f>
        <v/>
      </c>
    </row>
    <row r="2071" spans="3:4" x14ac:dyDescent="0.3">
      <c r="C2071" t="str">
        <f>IFERROR(IF(B2071="","",VLOOKUP(B2071,CadProd!$A:$B,2,0)),"")</f>
        <v/>
      </c>
      <c r="D2071" t="str">
        <f>IFERROR(IF(B2071="","",VLOOKUP(B2071,CadProd!$A:$C,3,0)),"")</f>
        <v/>
      </c>
    </row>
    <row r="2072" spans="3:4" x14ac:dyDescent="0.3">
      <c r="C2072" t="str">
        <f>IFERROR(IF(B2072="","",VLOOKUP(B2072,CadProd!$A:$B,2,0)),"")</f>
        <v/>
      </c>
      <c r="D2072" t="str">
        <f>IFERROR(IF(B2072="","",VLOOKUP(B2072,CadProd!$A:$C,3,0)),"")</f>
        <v/>
      </c>
    </row>
    <row r="2073" spans="3:4" x14ac:dyDescent="0.3">
      <c r="C2073" t="str">
        <f>IFERROR(IF(B2073="","",VLOOKUP(B2073,CadProd!$A:$B,2,0)),"")</f>
        <v/>
      </c>
      <c r="D2073" t="str">
        <f>IFERROR(IF(B2073="","",VLOOKUP(B2073,CadProd!$A:$C,3,0)),"")</f>
        <v/>
      </c>
    </row>
    <row r="2074" spans="3:4" x14ac:dyDescent="0.3">
      <c r="C2074" t="str">
        <f>IFERROR(IF(B2074="","",VLOOKUP(B2074,CadProd!$A:$B,2,0)),"")</f>
        <v/>
      </c>
      <c r="D2074" t="str">
        <f>IFERROR(IF(B2074="","",VLOOKUP(B2074,CadProd!$A:$C,3,0)),"")</f>
        <v/>
      </c>
    </row>
    <row r="2075" spans="3:4" x14ac:dyDescent="0.3">
      <c r="C2075" t="str">
        <f>IFERROR(IF(B2075="","",VLOOKUP(B2075,CadProd!$A:$B,2,0)),"")</f>
        <v/>
      </c>
      <c r="D2075" t="str">
        <f>IFERROR(IF(B2075="","",VLOOKUP(B2075,CadProd!$A:$C,3,0)),"")</f>
        <v/>
      </c>
    </row>
    <row r="2076" spans="3:4" x14ac:dyDescent="0.3">
      <c r="C2076" t="str">
        <f>IFERROR(IF(B2076="","",VLOOKUP(B2076,CadProd!$A:$B,2,0)),"")</f>
        <v/>
      </c>
      <c r="D2076" t="str">
        <f>IFERROR(IF(B2076="","",VLOOKUP(B2076,CadProd!$A:$C,3,0)),"")</f>
        <v/>
      </c>
    </row>
    <row r="2077" spans="3:4" x14ac:dyDescent="0.3">
      <c r="C2077" t="str">
        <f>IFERROR(IF(B2077="","",VLOOKUP(B2077,CadProd!$A:$B,2,0)),"")</f>
        <v/>
      </c>
      <c r="D2077" t="str">
        <f>IFERROR(IF(B2077="","",VLOOKUP(B2077,CadProd!$A:$C,3,0)),"")</f>
        <v/>
      </c>
    </row>
    <row r="2078" spans="3:4" x14ac:dyDescent="0.3">
      <c r="C2078" t="str">
        <f>IFERROR(IF(B2078="","",VLOOKUP(B2078,CadProd!$A:$B,2,0)),"")</f>
        <v/>
      </c>
      <c r="D2078" t="str">
        <f>IFERROR(IF(B2078="","",VLOOKUP(B2078,CadProd!$A:$C,3,0)),"")</f>
        <v/>
      </c>
    </row>
    <row r="2079" spans="3:4" x14ac:dyDescent="0.3">
      <c r="C2079" t="str">
        <f>IFERROR(IF(B2079="","",VLOOKUP(B2079,CadProd!$A:$B,2,0)),"")</f>
        <v/>
      </c>
      <c r="D2079" t="str">
        <f>IFERROR(IF(B2079="","",VLOOKUP(B2079,CadProd!$A:$C,3,0)),"")</f>
        <v/>
      </c>
    </row>
    <row r="2080" spans="3:4" x14ac:dyDescent="0.3">
      <c r="C2080" t="str">
        <f>IFERROR(IF(B2080="","",VLOOKUP(B2080,CadProd!$A:$B,2,0)),"")</f>
        <v/>
      </c>
      <c r="D2080" t="str">
        <f>IFERROR(IF(B2080="","",VLOOKUP(B2080,CadProd!$A:$C,3,0)),"")</f>
        <v/>
      </c>
    </row>
    <row r="2081" spans="3:4" x14ac:dyDescent="0.3">
      <c r="C2081" t="str">
        <f>IFERROR(IF(B2081="","",VLOOKUP(B2081,CadProd!$A:$B,2,0)),"")</f>
        <v/>
      </c>
      <c r="D2081" t="str">
        <f>IFERROR(IF(B2081="","",VLOOKUP(B2081,CadProd!$A:$C,3,0)),"")</f>
        <v/>
      </c>
    </row>
    <row r="2082" spans="3:4" x14ac:dyDescent="0.3">
      <c r="C2082" t="str">
        <f>IFERROR(IF(B2082="","",VLOOKUP(B2082,CadProd!$A:$B,2,0)),"")</f>
        <v/>
      </c>
      <c r="D2082" t="str">
        <f>IFERROR(IF(B2082="","",VLOOKUP(B2082,CadProd!$A:$C,3,0)),"")</f>
        <v/>
      </c>
    </row>
    <row r="2083" spans="3:4" x14ac:dyDescent="0.3">
      <c r="C2083" t="str">
        <f>IFERROR(IF(B2083="","",VLOOKUP(B2083,CadProd!$A:$B,2,0)),"")</f>
        <v/>
      </c>
      <c r="D2083" t="str">
        <f>IFERROR(IF(B2083="","",VLOOKUP(B2083,CadProd!$A:$C,3,0)),"")</f>
        <v/>
      </c>
    </row>
    <row r="2084" spans="3:4" x14ac:dyDescent="0.3">
      <c r="C2084" t="str">
        <f>IFERROR(IF(B2084="","",VLOOKUP(B2084,CadProd!$A:$B,2,0)),"")</f>
        <v/>
      </c>
      <c r="D2084" t="str">
        <f>IFERROR(IF(B2084="","",VLOOKUP(B2084,CadProd!$A:$C,3,0)),"")</f>
        <v/>
      </c>
    </row>
    <row r="2085" spans="3:4" x14ac:dyDescent="0.3">
      <c r="C2085" t="str">
        <f>IFERROR(IF(B2085="","",VLOOKUP(B2085,CadProd!$A:$B,2,0)),"")</f>
        <v/>
      </c>
      <c r="D2085" t="str">
        <f>IFERROR(IF(B2085="","",VLOOKUP(B2085,CadProd!$A:$C,3,0)),"")</f>
        <v/>
      </c>
    </row>
    <row r="2086" spans="3:4" x14ac:dyDescent="0.3">
      <c r="C2086" t="str">
        <f>IFERROR(IF(B2086="","",VLOOKUP(B2086,CadProd!$A:$B,2,0)),"")</f>
        <v/>
      </c>
      <c r="D2086" t="str">
        <f>IFERROR(IF(B2086="","",VLOOKUP(B2086,CadProd!$A:$C,3,0)),"")</f>
        <v/>
      </c>
    </row>
    <row r="2087" spans="3:4" x14ac:dyDescent="0.3">
      <c r="C2087" t="str">
        <f>IFERROR(IF(B2087="","",VLOOKUP(B2087,CadProd!$A:$B,2,0)),"")</f>
        <v/>
      </c>
      <c r="D2087" t="str">
        <f>IFERROR(IF(B2087="","",VLOOKUP(B2087,CadProd!$A:$C,3,0)),"")</f>
        <v/>
      </c>
    </row>
    <row r="2088" spans="3:4" x14ac:dyDescent="0.3">
      <c r="C2088" t="str">
        <f>IFERROR(IF(B2088="","",VLOOKUP(B2088,CadProd!$A:$B,2,0)),"")</f>
        <v/>
      </c>
      <c r="D2088" t="str">
        <f>IFERROR(IF(B2088="","",VLOOKUP(B2088,CadProd!$A:$C,3,0)),"")</f>
        <v/>
      </c>
    </row>
    <row r="2089" spans="3:4" x14ac:dyDescent="0.3">
      <c r="C2089" t="str">
        <f>IFERROR(IF(B2089="","",VLOOKUP(B2089,CadProd!$A:$B,2,0)),"")</f>
        <v/>
      </c>
      <c r="D2089" t="str">
        <f>IFERROR(IF(B2089="","",VLOOKUP(B2089,CadProd!$A:$C,3,0)),"")</f>
        <v/>
      </c>
    </row>
    <row r="2090" spans="3:4" x14ac:dyDescent="0.3">
      <c r="C2090" t="str">
        <f>IFERROR(IF(B2090="","",VLOOKUP(B2090,CadProd!$A:$B,2,0)),"")</f>
        <v/>
      </c>
      <c r="D2090" t="str">
        <f>IFERROR(IF(B2090="","",VLOOKUP(B2090,CadProd!$A:$C,3,0)),"")</f>
        <v/>
      </c>
    </row>
    <row r="2091" spans="3:4" x14ac:dyDescent="0.3">
      <c r="C2091" t="str">
        <f>IFERROR(IF(B2091="","",VLOOKUP(B2091,CadProd!$A:$B,2,0)),"")</f>
        <v/>
      </c>
      <c r="D2091" t="str">
        <f>IFERROR(IF(B2091="","",VLOOKUP(B2091,CadProd!$A:$C,3,0)),"")</f>
        <v/>
      </c>
    </row>
    <row r="2092" spans="3:4" x14ac:dyDescent="0.3">
      <c r="C2092" t="str">
        <f>IFERROR(IF(B2092="","",VLOOKUP(B2092,CadProd!$A:$B,2,0)),"")</f>
        <v/>
      </c>
      <c r="D2092" t="str">
        <f>IFERROR(IF(B2092="","",VLOOKUP(B2092,CadProd!$A:$C,3,0)),"")</f>
        <v/>
      </c>
    </row>
    <row r="2093" spans="3:4" x14ac:dyDescent="0.3">
      <c r="C2093" t="str">
        <f>IFERROR(IF(B2093="","",VLOOKUP(B2093,CadProd!$A:$B,2,0)),"")</f>
        <v/>
      </c>
      <c r="D2093" t="str">
        <f>IFERROR(IF(B2093="","",VLOOKUP(B2093,CadProd!$A:$C,3,0)),"")</f>
        <v/>
      </c>
    </row>
    <row r="2094" spans="3:4" x14ac:dyDescent="0.3">
      <c r="C2094" t="str">
        <f>IFERROR(IF(B2094="","",VLOOKUP(B2094,CadProd!$A:$B,2,0)),"")</f>
        <v/>
      </c>
      <c r="D2094" t="str">
        <f>IFERROR(IF(B2094="","",VLOOKUP(B2094,CadProd!$A:$C,3,0)),"")</f>
        <v/>
      </c>
    </row>
    <row r="2095" spans="3:4" x14ac:dyDescent="0.3">
      <c r="C2095" t="str">
        <f>IFERROR(IF(B2095="","",VLOOKUP(B2095,CadProd!$A:$B,2,0)),"")</f>
        <v/>
      </c>
      <c r="D2095" t="str">
        <f>IFERROR(IF(B2095="","",VLOOKUP(B2095,CadProd!$A:$C,3,0)),"")</f>
        <v/>
      </c>
    </row>
    <row r="2096" spans="3:4" x14ac:dyDescent="0.3">
      <c r="C2096" t="str">
        <f>IFERROR(IF(B2096="","",VLOOKUP(B2096,CadProd!$A:$B,2,0)),"")</f>
        <v/>
      </c>
      <c r="D2096" t="str">
        <f>IFERROR(IF(B2096="","",VLOOKUP(B2096,CadProd!$A:$C,3,0)),"")</f>
        <v/>
      </c>
    </row>
    <row r="2097" spans="3:4" x14ac:dyDescent="0.3">
      <c r="C2097" t="str">
        <f>IFERROR(IF(B2097="","",VLOOKUP(B2097,CadProd!$A:$B,2,0)),"")</f>
        <v/>
      </c>
      <c r="D2097" t="str">
        <f>IFERROR(IF(B2097="","",VLOOKUP(B2097,CadProd!$A:$C,3,0)),"")</f>
        <v/>
      </c>
    </row>
    <row r="2098" spans="3:4" x14ac:dyDescent="0.3">
      <c r="C2098" t="str">
        <f>IFERROR(IF(B2098="","",VLOOKUP(B2098,CadProd!$A:$B,2,0)),"")</f>
        <v/>
      </c>
      <c r="D2098" t="str">
        <f>IFERROR(IF(B2098="","",VLOOKUP(B2098,CadProd!$A:$C,3,0)),"")</f>
        <v/>
      </c>
    </row>
    <row r="2099" spans="3:4" x14ac:dyDescent="0.3">
      <c r="C2099" t="str">
        <f>IFERROR(IF(B2099="","",VLOOKUP(B2099,CadProd!$A:$B,2,0)),"")</f>
        <v/>
      </c>
      <c r="D2099" t="str">
        <f>IFERROR(IF(B2099="","",VLOOKUP(B2099,CadProd!$A:$C,3,0)),"")</f>
        <v/>
      </c>
    </row>
    <row r="2100" spans="3:4" x14ac:dyDescent="0.3">
      <c r="C2100" t="str">
        <f>IFERROR(IF(B2100="","",VLOOKUP(B2100,CadProd!$A:$B,2,0)),"")</f>
        <v/>
      </c>
      <c r="D2100" t="str">
        <f>IFERROR(IF(B2100="","",VLOOKUP(B2100,CadProd!$A:$C,3,0)),"")</f>
        <v/>
      </c>
    </row>
    <row r="2101" spans="3:4" x14ac:dyDescent="0.3">
      <c r="C2101" t="str">
        <f>IFERROR(IF(B2101="","",VLOOKUP(B2101,CadProd!$A:$B,2,0)),"")</f>
        <v/>
      </c>
      <c r="D2101" t="str">
        <f>IFERROR(IF(B2101="","",VLOOKUP(B2101,CadProd!$A:$C,3,0)),"")</f>
        <v/>
      </c>
    </row>
    <row r="2102" spans="3:4" x14ac:dyDescent="0.3">
      <c r="C2102" t="str">
        <f>IFERROR(IF(B2102="","",VLOOKUP(B2102,CadProd!$A:$B,2,0)),"")</f>
        <v/>
      </c>
      <c r="D2102" t="str">
        <f>IFERROR(IF(B2102="","",VLOOKUP(B2102,CadProd!$A:$C,3,0)),"")</f>
        <v/>
      </c>
    </row>
    <row r="2103" spans="3:4" x14ac:dyDescent="0.3">
      <c r="C2103" t="str">
        <f>IFERROR(IF(B2103="","",VLOOKUP(B2103,CadProd!$A:$B,2,0)),"")</f>
        <v/>
      </c>
      <c r="D2103" t="str">
        <f>IFERROR(IF(B2103="","",VLOOKUP(B2103,CadProd!$A:$C,3,0)),"")</f>
        <v/>
      </c>
    </row>
    <row r="2104" spans="3:4" x14ac:dyDescent="0.3">
      <c r="C2104" t="str">
        <f>IFERROR(IF(B2104="","",VLOOKUP(B2104,CadProd!$A:$B,2,0)),"")</f>
        <v/>
      </c>
      <c r="D2104" t="str">
        <f>IFERROR(IF(B2104="","",VLOOKUP(B2104,CadProd!$A:$C,3,0)),"")</f>
        <v/>
      </c>
    </row>
    <row r="2105" spans="3:4" x14ac:dyDescent="0.3">
      <c r="C2105" t="str">
        <f>IFERROR(IF(B2105="","",VLOOKUP(B2105,CadProd!$A:$B,2,0)),"")</f>
        <v/>
      </c>
      <c r="D2105" t="str">
        <f>IFERROR(IF(B2105="","",VLOOKUP(B2105,CadProd!$A:$C,3,0)),"")</f>
        <v/>
      </c>
    </row>
    <row r="2106" spans="3:4" x14ac:dyDescent="0.3">
      <c r="C2106" t="str">
        <f>IFERROR(IF(B2106="","",VLOOKUP(B2106,CadProd!$A:$B,2,0)),"")</f>
        <v/>
      </c>
      <c r="D2106" t="str">
        <f>IFERROR(IF(B2106="","",VLOOKUP(B2106,CadProd!$A:$C,3,0)),"")</f>
        <v/>
      </c>
    </row>
    <row r="2107" spans="3:4" x14ac:dyDescent="0.3">
      <c r="C2107" t="str">
        <f>IFERROR(IF(B2107="","",VLOOKUP(B2107,CadProd!$A:$B,2,0)),"")</f>
        <v/>
      </c>
      <c r="D2107" t="str">
        <f>IFERROR(IF(B2107="","",VLOOKUP(B2107,CadProd!$A:$C,3,0)),"")</f>
        <v/>
      </c>
    </row>
    <row r="2108" spans="3:4" x14ac:dyDescent="0.3">
      <c r="C2108" t="str">
        <f>IFERROR(IF(B2108="","",VLOOKUP(B2108,CadProd!$A:$B,2,0)),"")</f>
        <v/>
      </c>
      <c r="D2108" t="str">
        <f>IFERROR(IF(B2108="","",VLOOKUP(B2108,CadProd!$A:$C,3,0)),"")</f>
        <v/>
      </c>
    </row>
    <row r="2109" spans="3:4" x14ac:dyDescent="0.3">
      <c r="C2109" t="str">
        <f>IFERROR(IF(B2109="","",VLOOKUP(B2109,CadProd!$A:$B,2,0)),"")</f>
        <v/>
      </c>
      <c r="D2109" t="str">
        <f>IFERROR(IF(B2109="","",VLOOKUP(B2109,CadProd!$A:$C,3,0)),"")</f>
        <v/>
      </c>
    </row>
    <row r="2110" spans="3:4" x14ac:dyDescent="0.3">
      <c r="C2110" t="str">
        <f>IFERROR(IF(B2110="","",VLOOKUP(B2110,CadProd!$A:$B,2,0)),"")</f>
        <v/>
      </c>
      <c r="D2110" t="str">
        <f>IFERROR(IF(B2110="","",VLOOKUP(B2110,CadProd!$A:$C,3,0)),"")</f>
        <v/>
      </c>
    </row>
    <row r="2111" spans="3:4" x14ac:dyDescent="0.3">
      <c r="C2111" t="str">
        <f>IFERROR(IF(B2111="","",VLOOKUP(B2111,CadProd!$A:$B,2,0)),"")</f>
        <v/>
      </c>
      <c r="D2111" t="str">
        <f>IFERROR(IF(B2111="","",VLOOKUP(B2111,CadProd!$A:$C,3,0)),"")</f>
        <v/>
      </c>
    </row>
    <row r="2112" spans="3:4" x14ac:dyDescent="0.3">
      <c r="C2112" t="str">
        <f>IFERROR(IF(B2112="","",VLOOKUP(B2112,CadProd!$A:$B,2,0)),"")</f>
        <v/>
      </c>
      <c r="D2112" t="str">
        <f>IFERROR(IF(B2112="","",VLOOKUP(B2112,CadProd!$A:$C,3,0)),"")</f>
        <v/>
      </c>
    </row>
    <row r="2113" spans="3:4" x14ac:dyDescent="0.3">
      <c r="C2113" t="str">
        <f>IFERROR(IF(B2113="","",VLOOKUP(B2113,CadProd!$A:$B,2,0)),"")</f>
        <v/>
      </c>
      <c r="D2113" t="str">
        <f>IFERROR(IF(B2113="","",VLOOKUP(B2113,CadProd!$A:$C,3,0)),"")</f>
        <v/>
      </c>
    </row>
    <row r="2114" spans="3:4" x14ac:dyDescent="0.3">
      <c r="C2114" t="str">
        <f>IFERROR(IF(B2114="","",VLOOKUP(B2114,CadProd!$A:$B,2,0)),"")</f>
        <v/>
      </c>
      <c r="D2114" t="str">
        <f>IFERROR(IF(B2114="","",VLOOKUP(B2114,CadProd!$A:$C,3,0)),"")</f>
        <v/>
      </c>
    </row>
    <row r="2115" spans="3:4" x14ac:dyDescent="0.3">
      <c r="C2115" t="str">
        <f>IFERROR(IF(B2115="","",VLOOKUP(B2115,CadProd!$A:$B,2,0)),"")</f>
        <v/>
      </c>
      <c r="D2115" t="str">
        <f>IFERROR(IF(B2115="","",VLOOKUP(B2115,CadProd!$A:$C,3,0)),"")</f>
        <v/>
      </c>
    </row>
    <row r="2116" spans="3:4" x14ac:dyDescent="0.3">
      <c r="C2116" t="str">
        <f>IFERROR(IF(B2116="","",VLOOKUP(B2116,CadProd!$A:$B,2,0)),"")</f>
        <v/>
      </c>
      <c r="D2116" t="str">
        <f>IFERROR(IF(B2116="","",VLOOKUP(B2116,CadProd!$A:$C,3,0)),"")</f>
        <v/>
      </c>
    </row>
    <row r="2117" spans="3:4" x14ac:dyDescent="0.3">
      <c r="C2117" t="str">
        <f>IFERROR(IF(B2117="","",VLOOKUP(B2117,CadProd!$A:$B,2,0)),"")</f>
        <v/>
      </c>
      <c r="D2117" t="str">
        <f>IFERROR(IF(B2117="","",VLOOKUP(B2117,CadProd!$A:$C,3,0)),"")</f>
        <v/>
      </c>
    </row>
    <row r="2118" spans="3:4" x14ac:dyDescent="0.3">
      <c r="C2118" t="str">
        <f>IFERROR(IF(B2118="","",VLOOKUP(B2118,CadProd!$A:$B,2,0)),"")</f>
        <v/>
      </c>
      <c r="D2118" t="str">
        <f>IFERROR(IF(B2118="","",VLOOKUP(B2118,CadProd!$A:$C,3,0)),"")</f>
        <v/>
      </c>
    </row>
    <row r="2119" spans="3:4" x14ac:dyDescent="0.3">
      <c r="C2119" t="str">
        <f>IFERROR(IF(B2119="","",VLOOKUP(B2119,CadProd!$A:$B,2,0)),"")</f>
        <v/>
      </c>
      <c r="D2119" t="str">
        <f>IFERROR(IF(B2119="","",VLOOKUP(B2119,CadProd!$A:$C,3,0)),"")</f>
        <v/>
      </c>
    </row>
    <row r="2120" spans="3:4" x14ac:dyDescent="0.3">
      <c r="C2120" t="str">
        <f>IFERROR(IF(B2120="","",VLOOKUP(B2120,CadProd!$A:$B,2,0)),"")</f>
        <v/>
      </c>
      <c r="D2120" t="str">
        <f>IFERROR(IF(B2120="","",VLOOKUP(B2120,CadProd!$A:$C,3,0)),"")</f>
        <v/>
      </c>
    </row>
    <row r="2121" spans="3:4" x14ac:dyDescent="0.3">
      <c r="C2121" t="str">
        <f>IFERROR(IF(B2121="","",VLOOKUP(B2121,CadProd!$A:$B,2,0)),"")</f>
        <v/>
      </c>
      <c r="D2121" t="str">
        <f>IFERROR(IF(B2121="","",VLOOKUP(B2121,CadProd!$A:$C,3,0)),"")</f>
        <v/>
      </c>
    </row>
    <row r="2122" spans="3:4" x14ac:dyDescent="0.3">
      <c r="C2122" t="str">
        <f>IFERROR(IF(B2122="","",VLOOKUP(B2122,CadProd!$A:$B,2,0)),"")</f>
        <v/>
      </c>
      <c r="D2122" t="str">
        <f>IFERROR(IF(B2122="","",VLOOKUP(B2122,CadProd!$A:$C,3,0)),"")</f>
        <v/>
      </c>
    </row>
    <row r="2123" spans="3:4" x14ac:dyDescent="0.3">
      <c r="C2123" t="str">
        <f>IFERROR(IF(B2123="","",VLOOKUP(B2123,CadProd!$A:$B,2,0)),"")</f>
        <v/>
      </c>
      <c r="D2123" t="str">
        <f>IFERROR(IF(B2123="","",VLOOKUP(B2123,CadProd!$A:$C,3,0)),"")</f>
        <v/>
      </c>
    </row>
    <row r="2124" spans="3:4" x14ac:dyDescent="0.3">
      <c r="C2124" t="str">
        <f>IFERROR(IF(B2124="","",VLOOKUP(B2124,CadProd!$A:$B,2,0)),"")</f>
        <v/>
      </c>
      <c r="D2124" t="str">
        <f>IFERROR(IF(B2124="","",VLOOKUP(B2124,CadProd!$A:$C,3,0)),"")</f>
        <v/>
      </c>
    </row>
    <row r="2125" spans="3:4" x14ac:dyDescent="0.3">
      <c r="C2125" t="str">
        <f>IFERROR(IF(B2125="","",VLOOKUP(B2125,CadProd!$A:$B,2,0)),"")</f>
        <v/>
      </c>
      <c r="D2125" t="str">
        <f>IFERROR(IF(B2125="","",VLOOKUP(B2125,CadProd!$A:$C,3,0)),"")</f>
        <v/>
      </c>
    </row>
    <row r="2126" spans="3:4" x14ac:dyDescent="0.3">
      <c r="C2126" t="str">
        <f>IFERROR(IF(B2126="","",VLOOKUP(B2126,CadProd!$A:$B,2,0)),"")</f>
        <v/>
      </c>
      <c r="D2126" t="str">
        <f>IFERROR(IF(B2126="","",VLOOKUP(B2126,CadProd!$A:$C,3,0)),"")</f>
        <v/>
      </c>
    </row>
    <row r="2127" spans="3:4" x14ac:dyDescent="0.3">
      <c r="C2127" t="str">
        <f>IFERROR(IF(B2127="","",VLOOKUP(B2127,CadProd!$A:$B,2,0)),"")</f>
        <v/>
      </c>
      <c r="D2127" t="str">
        <f>IFERROR(IF(B2127="","",VLOOKUP(B2127,CadProd!$A:$C,3,0)),"")</f>
        <v/>
      </c>
    </row>
    <row r="2128" spans="3:4" x14ac:dyDescent="0.3">
      <c r="C2128" t="str">
        <f>IFERROR(IF(B2128="","",VLOOKUP(B2128,CadProd!$A:$B,2,0)),"")</f>
        <v/>
      </c>
      <c r="D2128" t="str">
        <f>IFERROR(IF(B2128="","",VLOOKUP(B2128,CadProd!$A:$C,3,0)),"")</f>
        <v/>
      </c>
    </row>
    <row r="2129" spans="3:4" x14ac:dyDescent="0.3">
      <c r="C2129" t="str">
        <f>IFERROR(IF(B2129="","",VLOOKUP(B2129,CadProd!$A:$B,2,0)),"")</f>
        <v/>
      </c>
      <c r="D2129" t="str">
        <f>IFERROR(IF(B2129="","",VLOOKUP(B2129,CadProd!$A:$C,3,0)),"")</f>
        <v/>
      </c>
    </row>
    <row r="2130" spans="3:4" x14ac:dyDescent="0.3">
      <c r="C2130" t="str">
        <f>IFERROR(IF(B2130="","",VLOOKUP(B2130,CadProd!$A:$B,2,0)),"")</f>
        <v/>
      </c>
      <c r="D2130" t="str">
        <f>IFERROR(IF(B2130="","",VLOOKUP(B2130,CadProd!$A:$C,3,0)),"")</f>
        <v/>
      </c>
    </row>
    <row r="2131" spans="3:4" x14ac:dyDescent="0.3">
      <c r="C2131" t="str">
        <f>IFERROR(IF(B2131="","",VLOOKUP(B2131,CadProd!$A:$B,2,0)),"")</f>
        <v/>
      </c>
      <c r="D2131" t="str">
        <f>IFERROR(IF(B2131="","",VLOOKUP(B2131,CadProd!$A:$C,3,0)),"")</f>
        <v/>
      </c>
    </row>
    <row r="2132" spans="3:4" x14ac:dyDescent="0.3">
      <c r="C2132" t="str">
        <f>IFERROR(IF(B2132="","",VLOOKUP(B2132,CadProd!$A:$B,2,0)),"")</f>
        <v/>
      </c>
      <c r="D2132" t="str">
        <f>IFERROR(IF(B2132="","",VLOOKUP(B2132,CadProd!$A:$C,3,0)),"")</f>
        <v/>
      </c>
    </row>
    <row r="2133" spans="3:4" x14ac:dyDescent="0.3">
      <c r="C2133" t="str">
        <f>IFERROR(IF(B2133="","",VLOOKUP(B2133,CadProd!$A:$B,2,0)),"")</f>
        <v/>
      </c>
      <c r="D2133" t="str">
        <f>IFERROR(IF(B2133="","",VLOOKUP(B2133,CadProd!$A:$C,3,0)),"")</f>
        <v/>
      </c>
    </row>
    <row r="2134" spans="3:4" x14ac:dyDescent="0.3">
      <c r="C2134" t="str">
        <f>IFERROR(IF(B2134="","",VLOOKUP(B2134,CadProd!$A:$B,2,0)),"")</f>
        <v/>
      </c>
      <c r="D2134" t="str">
        <f>IFERROR(IF(B2134="","",VLOOKUP(B2134,CadProd!$A:$C,3,0)),"")</f>
        <v/>
      </c>
    </row>
    <row r="2135" spans="3:4" x14ac:dyDescent="0.3">
      <c r="C2135" t="str">
        <f>IFERROR(IF(B2135="","",VLOOKUP(B2135,CadProd!$A:$B,2,0)),"")</f>
        <v/>
      </c>
      <c r="D2135" t="str">
        <f>IFERROR(IF(B2135="","",VLOOKUP(B2135,CadProd!$A:$C,3,0)),"")</f>
        <v/>
      </c>
    </row>
    <row r="2136" spans="3:4" x14ac:dyDescent="0.3">
      <c r="C2136" t="str">
        <f>IFERROR(IF(B2136="","",VLOOKUP(B2136,CadProd!$A:$B,2,0)),"")</f>
        <v/>
      </c>
      <c r="D2136" t="str">
        <f>IFERROR(IF(B2136="","",VLOOKUP(B2136,CadProd!$A:$C,3,0)),"")</f>
        <v/>
      </c>
    </row>
    <row r="2137" spans="3:4" x14ac:dyDescent="0.3">
      <c r="C2137" t="str">
        <f>IFERROR(IF(B2137="","",VLOOKUP(B2137,CadProd!$A:$B,2,0)),"")</f>
        <v/>
      </c>
      <c r="D2137" t="str">
        <f>IFERROR(IF(B2137="","",VLOOKUP(B2137,CadProd!$A:$C,3,0)),"")</f>
        <v/>
      </c>
    </row>
    <row r="2138" spans="3:4" x14ac:dyDescent="0.3">
      <c r="C2138" t="str">
        <f>IFERROR(IF(B2138="","",VLOOKUP(B2138,CadProd!$A:$B,2,0)),"")</f>
        <v/>
      </c>
      <c r="D2138" t="str">
        <f>IFERROR(IF(B2138="","",VLOOKUP(B2138,CadProd!$A:$C,3,0)),"")</f>
        <v/>
      </c>
    </row>
    <row r="2139" spans="3:4" x14ac:dyDescent="0.3">
      <c r="C2139" t="str">
        <f>IFERROR(IF(B2139="","",VLOOKUP(B2139,CadProd!$A:$B,2,0)),"")</f>
        <v/>
      </c>
      <c r="D2139" t="str">
        <f>IFERROR(IF(B2139="","",VLOOKUP(B2139,CadProd!$A:$C,3,0)),"")</f>
        <v/>
      </c>
    </row>
    <row r="2140" spans="3:4" x14ac:dyDescent="0.3">
      <c r="C2140" t="str">
        <f>IFERROR(IF(B2140="","",VLOOKUP(B2140,CadProd!$A:$B,2,0)),"")</f>
        <v/>
      </c>
      <c r="D2140" t="str">
        <f>IFERROR(IF(B2140="","",VLOOKUP(B2140,CadProd!$A:$C,3,0)),"")</f>
        <v/>
      </c>
    </row>
    <row r="2141" spans="3:4" x14ac:dyDescent="0.3">
      <c r="C2141" t="str">
        <f>IFERROR(IF(B2141="","",VLOOKUP(B2141,CadProd!$A:$B,2,0)),"")</f>
        <v/>
      </c>
      <c r="D2141" t="str">
        <f>IFERROR(IF(B2141="","",VLOOKUP(B2141,CadProd!$A:$C,3,0)),"")</f>
        <v/>
      </c>
    </row>
    <row r="2142" spans="3:4" x14ac:dyDescent="0.3">
      <c r="C2142" t="str">
        <f>IFERROR(IF(B2142="","",VLOOKUP(B2142,CadProd!$A:$B,2,0)),"")</f>
        <v/>
      </c>
      <c r="D2142" t="str">
        <f>IFERROR(IF(B2142="","",VLOOKUP(B2142,CadProd!$A:$C,3,0)),"")</f>
        <v/>
      </c>
    </row>
    <row r="2143" spans="3:4" x14ac:dyDescent="0.3">
      <c r="C2143" t="str">
        <f>IFERROR(IF(B2143="","",VLOOKUP(B2143,CadProd!$A:$B,2,0)),"")</f>
        <v/>
      </c>
      <c r="D2143" t="str">
        <f>IFERROR(IF(B2143="","",VLOOKUP(B2143,CadProd!$A:$C,3,0)),"")</f>
        <v/>
      </c>
    </row>
    <row r="2144" spans="3:4" x14ac:dyDescent="0.3">
      <c r="C2144" t="str">
        <f>IFERROR(IF(B2144="","",VLOOKUP(B2144,CadProd!$A:$B,2,0)),"")</f>
        <v/>
      </c>
      <c r="D2144" t="str">
        <f>IFERROR(IF(B2144="","",VLOOKUP(B2144,CadProd!$A:$C,3,0)),"")</f>
        <v/>
      </c>
    </row>
    <row r="2145" spans="3:4" x14ac:dyDescent="0.3">
      <c r="C2145" t="str">
        <f>IFERROR(IF(B2145="","",VLOOKUP(B2145,CadProd!$A:$B,2,0)),"")</f>
        <v/>
      </c>
      <c r="D2145" t="str">
        <f>IFERROR(IF(B2145="","",VLOOKUP(B2145,CadProd!$A:$C,3,0)),"")</f>
        <v/>
      </c>
    </row>
    <row r="2146" spans="3:4" x14ac:dyDescent="0.3">
      <c r="C2146" t="str">
        <f>IFERROR(IF(B2146="","",VLOOKUP(B2146,CadProd!$A:$B,2,0)),"")</f>
        <v/>
      </c>
      <c r="D2146" t="str">
        <f>IFERROR(IF(B2146="","",VLOOKUP(B2146,CadProd!$A:$C,3,0)),"")</f>
        <v/>
      </c>
    </row>
    <row r="2147" spans="3:4" x14ac:dyDescent="0.3">
      <c r="C2147" t="str">
        <f>IFERROR(IF(B2147="","",VLOOKUP(B2147,CadProd!$A:$B,2,0)),"")</f>
        <v/>
      </c>
      <c r="D2147" t="str">
        <f>IFERROR(IF(B2147="","",VLOOKUP(B2147,CadProd!$A:$C,3,0)),"")</f>
        <v/>
      </c>
    </row>
    <row r="2148" spans="3:4" x14ac:dyDescent="0.3">
      <c r="C2148" t="str">
        <f>IFERROR(IF(B2148="","",VLOOKUP(B2148,CadProd!$A:$B,2,0)),"")</f>
        <v/>
      </c>
      <c r="D2148" t="str">
        <f>IFERROR(IF(B2148="","",VLOOKUP(B2148,CadProd!$A:$C,3,0)),"")</f>
        <v/>
      </c>
    </row>
    <row r="2149" spans="3:4" x14ac:dyDescent="0.3">
      <c r="C2149" t="str">
        <f>IFERROR(IF(B2149="","",VLOOKUP(B2149,CadProd!$A:$B,2,0)),"")</f>
        <v/>
      </c>
      <c r="D2149" t="str">
        <f>IFERROR(IF(B2149="","",VLOOKUP(B2149,CadProd!$A:$C,3,0)),"")</f>
        <v/>
      </c>
    </row>
    <row r="2150" spans="3:4" x14ac:dyDescent="0.3">
      <c r="C2150" t="str">
        <f>IFERROR(IF(B2150="","",VLOOKUP(B2150,CadProd!$A:$B,2,0)),"")</f>
        <v/>
      </c>
      <c r="D2150" t="str">
        <f>IFERROR(IF(B2150="","",VLOOKUP(B2150,CadProd!$A:$C,3,0)),"")</f>
        <v/>
      </c>
    </row>
    <row r="2151" spans="3:4" x14ac:dyDescent="0.3">
      <c r="C2151" t="str">
        <f>IFERROR(IF(B2151="","",VLOOKUP(B2151,CadProd!$A:$B,2,0)),"")</f>
        <v/>
      </c>
      <c r="D2151" t="str">
        <f>IFERROR(IF(B2151="","",VLOOKUP(B2151,CadProd!$A:$C,3,0)),"")</f>
        <v/>
      </c>
    </row>
    <row r="2152" spans="3:4" x14ac:dyDescent="0.3">
      <c r="C2152" t="str">
        <f>IFERROR(IF(B2152="","",VLOOKUP(B2152,CadProd!$A:$B,2,0)),"")</f>
        <v/>
      </c>
      <c r="D2152" t="str">
        <f>IFERROR(IF(B2152="","",VLOOKUP(B2152,CadProd!$A:$C,3,0)),"")</f>
        <v/>
      </c>
    </row>
    <row r="2153" spans="3:4" x14ac:dyDescent="0.3">
      <c r="C2153" t="str">
        <f>IFERROR(IF(B2153="","",VLOOKUP(B2153,CadProd!$A:$B,2,0)),"")</f>
        <v/>
      </c>
      <c r="D2153" t="str">
        <f>IFERROR(IF(B2153="","",VLOOKUP(B2153,CadProd!$A:$C,3,0)),"")</f>
        <v/>
      </c>
    </row>
    <row r="2154" spans="3:4" x14ac:dyDescent="0.3">
      <c r="C2154" t="str">
        <f>IFERROR(IF(B2154="","",VLOOKUP(B2154,CadProd!$A:$B,2,0)),"")</f>
        <v/>
      </c>
      <c r="D2154" t="str">
        <f>IFERROR(IF(B2154="","",VLOOKUP(B2154,CadProd!$A:$C,3,0)),"")</f>
        <v/>
      </c>
    </row>
    <row r="2155" spans="3:4" x14ac:dyDescent="0.3">
      <c r="C2155" t="str">
        <f>IFERROR(IF(B2155="","",VLOOKUP(B2155,CadProd!$A:$B,2,0)),"")</f>
        <v/>
      </c>
      <c r="D2155" t="str">
        <f>IFERROR(IF(B2155="","",VLOOKUP(B2155,CadProd!$A:$C,3,0)),"")</f>
        <v/>
      </c>
    </row>
    <row r="2156" spans="3:4" x14ac:dyDescent="0.3">
      <c r="C2156" t="str">
        <f>IFERROR(IF(B2156="","",VLOOKUP(B2156,CadProd!$A:$B,2,0)),"")</f>
        <v/>
      </c>
      <c r="D2156" t="str">
        <f>IFERROR(IF(B2156="","",VLOOKUP(B2156,CadProd!$A:$C,3,0)),"")</f>
        <v/>
      </c>
    </row>
    <row r="2157" spans="3:4" x14ac:dyDescent="0.3">
      <c r="C2157" t="str">
        <f>IFERROR(IF(B2157="","",VLOOKUP(B2157,CadProd!$A:$B,2,0)),"")</f>
        <v/>
      </c>
      <c r="D2157" t="str">
        <f>IFERROR(IF(B2157="","",VLOOKUP(B2157,CadProd!$A:$C,3,0)),"")</f>
        <v/>
      </c>
    </row>
    <row r="2158" spans="3:4" x14ac:dyDescent="0.3">
      <c r="C2158" t="str">
        <f>IFERROR(IF(B2158="","",VLOOKUP(B2158,CadProd!$A:$B,2,0)),"")</f>
        <v/>
      </c>
      <c r="D2158" t="str">
        <f>IFERROR(IF(B2158="","",VLOOKUP(B2158,CadProd!$A:$C,3,0)),"")</f>
        <v/>
      </c>
    </row>
    <row r="2159" spans="3:4" x14ac:dyDescent="0.3">
      <c r="C2159" t="str">
        <f>IFERROR(IF(B2159="","",VLOOKUP(B2159,CadProd!$A:$B,2,0)),"")</f>
        <v/>
      </c>
      <c r="D2159" t="str">
        <f>IFERROR(IF(B2159="","",VLOOKUP(B2159,CadProd!$A:$C,3,0)),"")</f>
        <v/>
      </c>
    </row>
    <row r="2160" spans="3:4" x14ac:dyDescent="0.3">
      <c r="C2160" t="str">
        <f>IFERROR(IF(B2160="","",VLOOKUP(B2160,CadProd!$A:$B,2,0)),"")</f>
        <v/>
      </c>
      <c r="D2160" t="str">
        <f>IFERROR(IF(B2160="","",VLOOKUP(B2160,CadProd!$A:$C,3,0)),"")</f>
        <v/>
      </c>
    </row>
    <row r="2161" spans="3:4" x14ac:dyDescent="0.3">
      <c r="C2161" t="str">
        <f>IFERROR(IF(B2161="","",VLOOKUP(B2161,CadProd!$A:$B,2,0)),"")</f>
        <v/>
      </c>
      <c r="D2161" t="str">
        <f>IFERROR(IF(B2161="","",VLOOKUP(B2161,CadProd!$A:$C,3,0)),"")</f>
        <v/>
      </c>
    </row>
    <row r="2162" spans="3:4" x14ac:dyDescent="0.3">
      <c r="C2162" t="str">
        <f>IFERROR(IF(B2162="","",VLOOKUP(B2162,CadProd!$A:$B,2,0)),"")</f>
        <v/>
      </c>
      <c r="D2162" t="str">
        <f>IFERROR(IF(B2162="","",VLOOKUP(B2162,CadProd!$A:$C,3,0)),"")</f>
        <v/>
      </c>
    </row>
    <row r="2163" spans="3:4" x14ac:dyDescent="0.3">
      <c r="C2163" t="str">
        <f>IFERROR(IF(B2163="","",VLOOKUP(B2163,CadProd!$A:$B,2,0)),"")</f>
        <v/>
      </c>
      <c r="D2163" t="str">
        <f>IFERROR(IF(B2163="","",VLOOKUP(B2163,CadProd!$A:$C,3,0)),"")</f>
        <v/>
      </c>
    </row>
    <row r="2164" spans="3:4" x14ac:dyDescent="0.3">
      <c r="C2164" t="str">
        <f>IFERROR(IF(B2164="","",VLOOKUP(B2164,CadProd!$A:$B,2,0)),"")</f>
        <v/>
      </c>
      <c r="D2164" t="str">
        <f>IFERROR(IF(B2164="","",VLOOKUP(B2164,CadProd!$A:$C,3,0)),"")</f>
        <v/>
      </c>
    </row>
    <row r="2165" spans="3:4" x14ac:dyDescent="0.3">
      <c r="C2165" t="str">
        <f>IFERROR(IF(B2165="","",VLOOKUP(B2165,CadProd!$A:$B,2,0)),"")</f>
        <v/>
      </c>
      <c r="D2165" t="str">
        <f>IFERROR(IF(B2165="","",VLOOKUP(B2165,CadProd!$A:$C,3,0)),"")</f>
        <v/>
      </c>
    </row>
    <row r="2166" spans="3:4" x14ac:dyDescent="0.3">
      <c r="C2166" t="str">
        <f>IFERROR(IF(B2166="","",VLOOKUP(B2166,CadProd!$A:$B,2,0)),"")</f>
        <v/>
      </c>
      <c r="D2166" t="str">
        <f>IFERROR(IF(B2166="","",VLOOKUP(B2166,CadProd!$A:$C,3,0)),"")</f>
        <v/>
      </c>
    </row>
    <row r="2167" spans="3:4" x14ac:dyDescent="0.3">
      <c r="C2167" t="str">
        <f>IFERROR(IF(B2167="","",VLOOKUP(B2167,CadProd!$A:$B,2,0)),"")</f>
        <v/>
      </c>
      <c r="D2167" t="str">
        <f>IFERROR(IF(B2167="","",VLOOKUP(B2167,CadProd!$A:$C,3,0)),"")</f>
        <v/>
      </c>
    </row>
    <row r="2168" spans="3:4" x14ac:dyDescent="0.3">
      <c r="C2168" t="str">
        <f>IFERROR(IF(B2168="","",VLOOKUP(B2168,CadProd!$A:$B,2,0)),"")</f>
        <v/>
      </c>
      <c r="D2168" t="str">
        <f>IFERROR(IF(B2168="","",VLOOKUP(B2168,CadProd!$A:$C,3,0)),"")</f>
        <v/>
      </c>
    </row>
    <row r="2169" spans="3:4" x14ac:dyDescent="0.3">
      <c r="C2169" t="str">
        <f>IFERROR(IF(B2169="","",VLOOKUP(B2169,CadProd!$A:$B,2,0)),"")</f>
        <v/>
      </c>
      <c r="D2169" t="str">
        <f>IFERROR(IF(B2169="","",VLOOKUP(B2169,CadProd!$A:$C,3,0)),"")</f>
        <v/>
      </c>
    </row>
    <row r="2170" spans="3:4" x14ac:dyDescent="0.3">
      <c r="C2170" t="str">
        <f>IFERROR(IF(B2170="","",VLOOKUP(B2170,CadProd!$A:$B,2,0)),"")</f>
        <v/>
      </c>
      <c r="D2170" t="str">
        <f>IFERROR(IF(B2170="","",VLOOKUP(B2170,CadProd!$A:$C,3,0)),"")</f>
        <v/>
      </c>
    </row>
    <row r="2171" spans="3:4" x14ac:dyDescent="0.3">
      <c r="C2171" t="str">
        <f>IFERROR(IF(B2171="","",VLOOKUP(B2171,CadProd!$A:$B,2,0)),"")</f>
        <v/>
      </c>
      <c r="D2171" t="str">
        <f>IFERROR(IF(B2171="","",VLOOKUP(B2171,CadProd!$A:$C,3,0)),"")</f>
        <v/>
      </c>
    </row>
    <row r="2172" spans="3:4" x14ac:dyDescent="0.3">
      <c r="C2172" t="str">
        <f>IFERROR(IF(B2172="","",VLOOKUP(B2172,CadProd!$A:$B,2,0)),"")</f>
        <v/>
      </c>
      <c r="D2172" t="str">
        <f>IFERROR(IF(B2172="","",VLOOKUP(B2172,CadProd!$A:$C,3,0)),"")</f>
        <v/>
      </c>
    </row>
    <row r="2173" spans="3:4" x14ac:dyDescent="0.3">
      <c r="C2173" t="str">
        <f>IFERROR(IF(B2173="","",VLOOKUP(B2173,CadProd!$A:$B,2,0)),"")</f>
        <v/>
      </c>
      <c r="D2173" t="str">
        <f>IFERROR(IF(B2173="","",VLOOKUP(B2173,CadProd!$A:$C,3,0)),"")</f>
        <v/>
      </c>
    </row>
    <row r="2174" spans="3:4" x14ac:dyDescent="0.3">
      <c r="C2174" t="str">
        <f>IFERROR(IF(B2174="","",VLOOKUP(B2174,CadProd!$A:$B,2,0)),"")</f>
        <v/>
      </c>
      <c r="D2174" t="str">
        <f>IFERROR(IF(B2174="","",VLOOKUP(B2174,CadProd!$A:$C,3,0)),"")</f>
        <v/>
      </c>
    </row>
    <row r="2175" spans="3:4" x14ac:dyDescent="0.3">
      <c r="C2175" t="str">
        <f>IFERROR(IF(B2175="","",VLOOKUP(B2175,CadProd!$A:$B,2,0)),"")</f>
        <v/>
      </c>
      <c r="D2175" t="str">
        <f>IFERROR(IF(B2175="","",VLOOKUP(B2175,CadProd!$A:$C,3,0)),"")</f>
        <v/>
      </c>
    </row>
    <row r="2176" spans="3:4" x14ac:dyDescent="0.3">
      <c r="C2176" t="str">
        <f>IFERROR(IF(B2176="","",VLOOKUP(B2176,CadProd!$A:$B,2,0)),"")</f>
        <v/>
      </c>
      <c r="D2176" t="str">
        <f>IFERROR(IF(B2176="","",VLOOKUP(B2176,CadProd!$A:$C,3,0)),"")</f>
        <v/>
      </c>
    </row>
    <row r="2177" spans="3:4" x14ac:dyDescent="0.3">
      <c r="C2177" t="str">
        <f>IFERROR(IF(B2177="","",VLOOKUP(B2177,CadProd!$A:$B,2,0)),"")</f>
        <v/>
      </c>
      <c r="D2177" t="str">
        <f>IFERROR(IF(B2177="","",VLOOKUP(B2177,CadProd!$A:$C,3,0)),"")</f>
        <v/>
      </c>
    </row>
    <row r="2178" spans="3:4" x14ac:dyDescent="0.3">
      <c r="C2178" t="str">
        <f>IFERROR(IF(B2178="","",VLOOKUP(B2178,CadProd!$A:$B,2,0)),"")</f>
        <v/>
      </c>
      <c r="D2178" t="str">
        <f>IFERROR(IF(B2178="","",VLOOKUP(B2178,CadProd!$A:$C,3,0)),"")</f>
        <v/>
      </c>
    </row>
    <row r="2179" spans="3:4" x14ac:dyDescent="0.3">
      <c r="C2179" t="str">
        <f>IFERROR(IF(B2179="","",VLOOKUP(B2179,CadProd!$A:$B,2,0)),"")</f>
        <v/>
      </c>
      <c r="D2179" t="str">
        <f>IFERROR(IF(B2179="","",VLOOKUP(B2179,CadProd!$A:$C,3,0)),"")</f>
        <v/>
      </c>
    </row>
    <row r="2180" spans="3:4" x14ac:dyDescent="0.3">
      <c r="C2180" t="str">
        <f>IFERROR(IF(B2180="","",VLOOKUP(B2180,CadProd!$A:$B,2,0)),"")</f>
        <v/>
      </c>
      <c r="D2180" t="str">
        <f>IFERROR(IF(B2180="","",VLOOKUP(B2180,CadProd!$A:$C,3,0)),"")</f>
        <v/>
      </c>
    </row>
    <row r="2181" spans="3:4" x14ac:dyDescent="0.3">
      <c r="C2181" t="str">
        <f>IFERROR(IF(B2181="","",VLOOKUP(B2181,CadProd!$A:$B,2,0)),"")</f>
        <v/>
      </c>
      <c r="D2181" t="str">
        <f>IFERROR(IF(B2181="","",VLOOKUP(B2181,CadProd!$A:$C,3,0)),"")</f>
        <v/>
      </c>
    </row>
    <row r="2182" spans="3:4" x14ac:dyDescent="0.3">
      <c r="C2182" t="str">
        <f>IFERROR(IF(B2182="","",VLOOKUP(B2182,CadProd!$A:$B,2,0)),"")</f>
        <v/>
      </c>
      <c r="D2182" t="str">
        <f>IFERROR(IF(B2182="","",VLOOKUP(B2182,CadProd!$A:$C,3,0)),"")</f>
        <v/>
      </c>
    </row>
    <row r="2183" spans="3:4" x14ac:dyDescent="0.3">
      <c r="C2183" t="str">
        <f>IFERROR(IF(B2183="","",VLOOKUP(B2183,CadProd!$A:$B,2,0)),"")</f>
        <v/>
      </c>
      <c r="D2183" t="str">
        <f>IFERROR(IF(B2183="","",VLOOKUP(B2183,CadProd!$A:$C,3,0)),"")</f>
        <v/>
      </c>
    </row>
    <row r="2184" spans="3:4" x14ac:dyDescent="0.3">
      <c r="C2184" t="str">
        <f>IFERROR(IF(B2184="","",VLOOKUP(B2184,CadProd!$A:$B,2,0)),"")</f>
        <v/>
      </c>
      <c r="D2184" t="str">
        <f>IFERROR(IF(B2184="","",VLOOKUP(B2184,CadProd!$A:$C,3,0)),"")</f>
        <v/>
      </c>
    </row>
    <row r="2185" spans="3:4" x14ac:dyDescent="0.3">
      <c r="C2185" t="str">
        <f>IFERROR(IF(B2185="","",VLOOKUP(B2185,CadProd!$A:$B,2,0)),"")</f>
        <v/>
      </c>
      <c r="D2185" t="str">
        <f>IFERROR(IF(B2185="","",VLOOKUP(B2185,CadProd!$A:$C,3,0)),"")</f>
        <v/>
      </c>
    </row>
    <row r="2186" spans="3:4" x14ac:dyDescent="0.3">
      <c r="C2186" t="str">
        <f>IFERROR(IF(B2186="","",VLOOKUP(B2186,CadProd!$A:$B,2,0)),"")</f>
        <v/>
      </c>
      <c r="D2186" t="str">
        <f>IFERROR(IF(B2186="","",VLOOKUP(B2186,CadProd!$A:$C,3,0)),"")</f>
        <v/>
      </c>
    </row>
    <row r="2187" spans="3:4" x14ac:dyDescent="0.3">
      <c r="C2187" t="str">
        <f>IFERROR(IF(B2187="","",VLOOKUP(B2187,CadProd!$A:$B,2,0)),"")</f>
        <v/>
      </c>
      <c r="D2187" t="str">
        <f>IFERROR(IF(B2187="","",VLOOKUP(B2187,CadProd!$A:$C,3,0)),"")</f>
        <v/>
      </c>
    </row>
    <row r="2188" spans="3:4" x14ac:dyDescent="0.3">
      <c r="C2188" t="str">
        <f>IFERROR(IF(B2188="","",VLOOKUP(B2188,CadProd!$A:$B,2,0)),"")</f>
        <v/>
      </c>
      <c r="D2188" t="str">
        <f>IFERROR(IF(B2188="","",VLOOKUP(B2188,CadProd!$A:$C,3,0)),"")</f>
        <v/>
      </c>
    </row>
    <row r="2189" spans="3:4" x14ac:dyDescent="0.3">
      <c r="C2189" t="str">
        <f>IFERROR(IF(B2189="","",VLOOKUP(B2189,CadProd!$A:$B,2,0)),"")</f>
        <v/>
      </c>
      <c r="D2189" t="str">
        <f>IFERROR(IF(B2189="","",VLOOKUP(B2189,CadProd!$A:$C,3,0)),"")</f>
        <v/>
      </c>
    </row>
    <row r="2190" spans="3:4" x14ac:dyDescent="0.3">
      <c r="C2190" t="str">
        <f>IFERROR(IF(B2190="","",VLOOKUP(B2190,CadProd!$A:$B,2,0)),"")</f>
        <v/>
      </c>
      <c r="D2190" t="str">
        <f>IFERROR(IF(B2190="","",VLOOKUP(B2190,CadProd!$A:$C,3,0)),"")</f>
        <v/>
      </c>
    </row>
    <row r="2191" spans="3:4" x14ac:dyDescent="0.3">
      <c r="C2191" t="str">
        <f>IFERROR(IF(B2191="","",VLOOKUP(B2191,CadProd!$A:$B,2,0)),"")</f>
        <v/>
      </c>
      <c r="D2191" t="str">
        <f>IFERROR(IF(B2191="","",VLOOKUP(B2191,CadProd!$A:$C,3,0)),"")</f>
        <v/>
      </c>
    </row>
    <row r="2192" spans="3:4" x14ac:dyDescent="0.3">
      <c r="C2192" t="str">
        <f>IFERROR(IF(B2192="","",VLOOKUP(B2192,CadProd!$A:$B,2,0)),"")</f>
        <v/>
      </c>
      <c r="D2192" t="str">
        <f>IFERROR(IF(B2192="","",VLOOKUP(B2192,CadProd!$A:$C,3,0)),"")</f>
        <v/>
      </c>
    </row>
    <row r="2193" spans="3:4" x14ac:dyDescent="0.3">
      <c r="C2193" t="str">
        <f>IFERROR(IF(B2193="","",VLOOKUP(B2193,CadProd!$A:$B,2,0)),"")</f>
        <v/>
      </c>
      <c r="D2193" t="str">
        <f>IFERROR(IF(B2193="","",VLOOKUP(B2193,CadProd!$A:$C,3,0)),"")</f>
        <v/>
      </c>
    </row>
    <row r="2194" spans="3:4" x14ac:dyDescent="0.3">
      <c r="C2194" t="str">
        <f>IFERROR(IF(B2194="","",VLOOKUP(B2194,CadProd!$A:$B,2,0)),"")</f>
        <v/>
      </c>
      <c r="D2194" t="str">
        <f>IFERROR(IF(B2194="","",VLOOKUP(B2194,CadProd!$A:$C,3,0)),"")</f>
        <v/>
      </c>
    </row>
    <row r="2195" spans="3:4" x14ac:dyDescent="0.3">
      <c r="C2195" t="str">
        <f>IFERROR(IF(B2195="","",VLOOKUP(B2195,CadProd!$A:$B,2,0)),"")</f>
        <v/>
      </c>
      <c r="D2195" t="str">
        <f>IFERROR(IF(B2195="","",VLOOKUP(B2195,CadProd!$A:$C,3,0)),"")</f>
        <v/>
      </c>
    </row>
    <row r="2196" spans="3:4" x14ac:dyDescent="0.3">
      <c r="C2196" t="str">
        <f>IFERROR(IF(B2196="","",VLOOKUP(B2196,CadProd!$A:$B,2,0)),"")</f>
        <v/>
      </c>
      <c r="D2196" t="str">
        <f>IFERROR(IF(B2196="","",VLOOKUP(B2196,CadProd!$A:$C,3,0)),"")</f>
        <v/>
      </c>
    </row>
    <row r="2197" spans="3:4" x14ac:dyDescent="0.3">
      <c r="C2197" t="str">
        <f>IFERROR(IF(B2197="","",VLOOKUP(B2197,CadProd!$A:$B,2,0)),"")</f>
        <v/>
      </c>
      <c r="D2197" t="str">
        <f>IFERROR(IF(B2197="","",VLOOKUP(B2197,CadProd!$A:$C,3,0)),"")</f>
        <v/>
      </c>
    </row>
    <row r="2198" spans="3:4" x14ac:dyDescent="0.3">
      <c r="C2198" t="str">
        <f>IFERROR(IF(B2198="","",VLOOKUP(B2198,CadProd!$A:$B,2,0)),"")</f>
        <v/>
      </c>
      <c r="D2198" t="str">
        <f>IFERROR(IF(B2198="","",VLOOKUP(B2198,CadProd!$A:$C,3,0)),"")</f>
        <v/>
      </c>
    </row>
    <row r="2199" spans="3:4" x14ac:dyDescent="0.3">
      <c r="C2199" t="str">
        <f>IFERROR(IF(B2199="","",VLOOKUP(B2199,CadProd!$A:$B,2,0)),"")</f>
        <v/>
      </c>
      <c r="D2199" t="str">
        <f>IFERROR(IF(B2199="","",VLOOKUP(B2199,CadProd!$A:$C,3,0)),"")</f>
        <v/>
      </c>
    </row>
    <row r="2200" spans="3:4" x14ac:dyDescent="0.3">
      <c r="C2200" t="str">
        <f>IFERROR(IF(B2200="","",VLOOKUP(B2200,CadProd!$A:$B,2,0)),"")</f>
        <v/>
      </c>
      <c r="D2200" t="str">
        <f>IFERROR(IF(B2200="","",VLOOKUP(B2200,CadProd!$A:$C,3,0)),"")</f>
        <v/>
      </c>
    </row>
    <row r="2201" spans="3:4" x14ac:dyDescent="0.3">
      <c r="C2201" t="str">
        <f>IFERROR(IF(B2201="","",VLOOKUP(B2201,CadProd!$A:$B,2,0)),"")</f>
        <v/>
      </c>
      <c r="D2201" t="str">
        <f>IFERROR(IF(B2201="","",VLOOKUP(B2201,CadProd!$A:$C,3,0)),"")</f>
        <v/>
      </c>
    </row>
    <row r="2202" spans="3:4" x14ac:dyDescent="0.3">
      <c r="C2202" t="str">
        <f>IFERROR(IF(B2202="","",VLOOKUP(B2202,CadProd!$A:$B,2,0)),"")</f>
        <v/>
      </c>
      <c r="D2202" t="str">
        <f>IFERROR(IF(B2202="","",VLOOKUP(B2202,CadProd!$A:$C,3,0)),"")</f>
        <v/>
      </c>
    </row>
    <row r="2203" spans="3:4" x14ac:dyDescent="0.3">
      <c r="C2203" t="str">
        <f>IFERROR(IF(B2203="","",VLOOKUP(B2203,CadProd!$A:$B,2,0)),"")</f>
        <v/>
      </c>
      <c r="D2203" t="str">
        <f>IFERROR(IF(B2203="","",VLOOKUP(B2203,CadProd!$A:$C,3,0)),"")</f>
        <v/>
      </c>
    </row>
    <row r="2204" spans="3:4" x14ac:dyDescent="0.3">
      <c r="C2204" t="str">
        <f>IFERROR(IF(B2204="","",VLOOKUP(B2204,CadProd!$A:$B,2,0)),"")</f>
        <v/>
      </c>
      <c r="D2204" t="str">
        <f>IFERROR(IF(B2204="","",VLOOKUP(B2204,CadProd!$A:$C,3,0)),"")</f>
        <v/>
      </c>
    </row>
    <row r="2205" spans="3:4" x14ac:dyDescent="0.3">
      <c r="C2205" t="str">
        <f>IFERROR(IF(B2205="","",VLOOKUP(B2205,CadProd!$A:$B,2,0)),"")</f>
        <v/>
      </c>
      <c r="D2205" t="str">
        <f>IFERROR(IF(B2205="","",VLOOKUP(B2205,CadProd!$A:$C,3,0)),"")</f>
        <v/>
      </c>
    </row>
    <row r="2206" spans="3:4" x14ac:dyDescent="0.3">
      <c r="C2206" t="str">
        <f>IFERROR(IF(B2206="","",VLOOKUP(B2206,CadProd!$A:$B,2,0)),"")</f>
        <v/>
      </c>
      <c r="D2206" t="str">
        <f>IFERROR(IF(B2206="","",VLOOKUP(B2206,CadProd!$A:$C,3,0)),"")</f>
        <v/>
      </c>
    </row>
    <row r="2207" spans="3:4" x14ac:dyDescent="0.3">
      <c r="C2207" t="str">
        <f>IFERROR(IF(B2207="","",VLOOKUP(B2207,CadProd!$A:$B,2,0)),"")</f>
        <v/>
      </c>
      <c r="D2207" t="str">
        <f>IFERROR(IF(B2207="","",VLOOKUP(B2207,CadProd!$A:$C,3,0)),"")</f>
        <v/>
      </c>
    </row>
    <row r="2208" spans="3:4" x14ac:dyDescent="0.3">
      <c r="C2208" t="str">
        <f>IFERROR(IF(B2208="","",VLOOKUP(B2208,CadProd!$A:$B,2,0)),"")</f>
        <v/>
      </c>
      <c r="D2208" t="str">
        <f>IFERROR(IF(B2208="","",VLOOKUP(B2208,CadProd!$A:$C,3,0)),"")</f>
        <v/>
      </c>
    </row>
    <row r="2209" spans="3:4" x14ac:dyDescent="0.3">
      <c r="C2209" t="str">
        <f>IFERROR(IF(B2209="","",VLOOKUP(B2209,CadProd!$A:$B,2,0)),"")</f>
        <v/>
      </c>
      <c r="D2209" t="str">
        <f>IFERROR(IF(B2209="","",VLOOKUP(B2209,CadProd!$A:$C,3,0)),"")</f>
        <v/>
      </c>
    </row>
    <row r="2210" spans="3:4" x14ac:dyDescent="0.3">
      <c r="C2210" t="str">
        <f>IFERROR(IF(B2210="","",VLOOKUP(B2210,CadProd!$A:$B,2,0)),"")</f>
        <v/>
      </c>
      <c r="D2210" t="str">
        <f>IFERROR(IF(B2210="","",VLOOKUP(B2210,CadProd!$A:$C,3,0)),"")</f>
        <v/>
      </c>
    </row>
    <row r="2211" spans="3:4" x14ac:dyDescent="0.3">
      <c r="C2211" t="str">
        <f>IFERROR(IF(B2211="","",VLOOKUP(B2211,CadProd!$A:$B,2,0)),"")</f>
        <v/>
      </c>
      <c r="D2211" t="str">
        <f>IFERROR(IF(B2211="","",VLOOKUP(B2211,CadProd!$A:$C,3,0)),"")</f>
        <v/>
      </c>
    </row>
    <row r="2212" spans="3:4" x14ac:dyDescent="0.3">
      <c r="C2212" t="str">
        <f>IFERROR(IF(B2212="","",VLOOKUP(B2212,CadProd!$A:$B,2,0)),"")</f>
        <v/>
      </c>
      <c r="D2212" t="str">
        <f>IFERROR(IF(B2212="","",VLOOKUP(B2212,CadProd!$A:$C,3,0)),"")</f>
        <v/>
      </c>
    </row>
    <row r="2213" spans="3:4" x14ac:dyDescent="0.3">
      <c r="C2213" t="str">
        <f>IFERROR(IF(B2213="","",VLOOKUP(B2213,CadProd!$A:$B,2,0)),"")</f>
        <v/>
      </c>
      <c r="D2213" t="str">
        <f>IFERROR(IF(B2213="","",VLOOKUP(B2213,CadProd!$A:$C,3,0)),"")</f>
        <v/>
      </c>
    </row>
    <row r="2214" spans="3:4" x14ac:dyDescent="0.3">
      <c r="C2214" t="str">
        <f>IFERROR(IF(B2214="","",VLOOKUP(B2214,CadProd!$A:$B,2,0)),"")</f>
        <v/>
      </c>
      <c r="D2214" t="str">
        <f>IFERROR(IF(B2214="","",VLOOKUP(B2214,CadProd!$A:$C,3,0)),"")</f>
        <v/>
      </c>
    </row>
    <row r="2215" spans="3:4" x14ac:dyDescent="0.3">
      <c r="C2215" t="str">
        <f>IFERROR(IF(B2215="","",VLOOKUP(B2215,CadProd!$A:$B,2,0)),"")</f>
        <v/>
      </c>
      <c r="D2215" t="str">
        <f>IFERROR(IF(B2215="","",VLOOKUP(B2215,CadProd!$A:$C,3,0)),"")</f>
        <v/>
      </c>
    </row>
    <row r="2216" spans="3:4" x14ac:dyDescent="0.3">
      <c r="C2216" t="str">
        <f>IFERROR(IF(B2216="","",VLOOKUP(B2216,CadProd!$A:$B,2,0)),"")</f>
        <v/>
      </c>
      <c r="D2216" t="str">
        <f>IFERROR(IF(B2216="","",VLOOKUP(B2216,CadProd!$A:$C,3,0)),"")</f>
        <v/>
      </c>
    </row>
    <row r="2217" spans="3:4" x14ac:dyDescent="0.3">
      <c r="C2217" t="str">
        <f>IFERROR(IF(B2217="","",VLOOKUP(B2217,CadProd!$A:$B,2,0)),"")</f>
        <v/>
      </c>
      <c r="D2217" t="str">
        <f>IFERROR(IF(B2217="","",VLOOKUP(B2217,CadProd!$A:$C,3,0)),"")</f>
        <v/>
      </c>
    </row>
    <row r="2218" spans="3:4" x14ac:dyDescent="0.3">
      <c r="C2218" t="str">
        <f>IFERROR(IF(B2218="","",VLOOKUP(B2218,CadProd!$A:$B,2,0)),"")</f>
        <v/>
      </c>
      <c r="D2218" t="str">
        <f>IFERROR(IF(B2218="","",VLOOKUP(B2218,CadProd!$A:$C,3,0)),"")</f>
        <v/>
      </c>
    </row>
    <row r="2219" spans="3:4" x14ac:dyDescent="0.3">
      <c r="C2219" t="str">
        <f>IFERROR(IF(B2219="","",VLOOKUP(B2219,CadProd!$A:$B,2,0)),"")</f>
        <v/>
      </c>
      <c r="D2219" t="str">
        <f>IFERROR(IF(B2219="","",VLOOKUP(B2219,CadProd!$A:$C,3,0)),"")</f>
        <v/>
      </c>
    </row>
    <row r="2220" spans="3:4" x14ac:dyDescent="0.3">
      <c r="C2220" t="str">
        <f>IFERROR(IF(B2220="","",VLOOKUP(B2220,CadProd!$A:$B,2,0)),"")</f>
        <v/>
      </c>
      <c r="D2220" t="str">
        <f>IFERROR(IF(B2220="","",VLOOKUP(B2220,CadProd!$A:$C,3,0)),"")</f>
        <v/>
      </c>
    </row>
    <row r="2221" spans="3:4" x14ac:dyDescent="0.3">
      <c r="C2221" t="str">
        <f>IFERROR(IF(B2221="","",VLOOKUP(B2221,CadProd!$A:$B,2,0)),"")</f>
        <v/>
      </c>
      <c r="D2221" t="str">
        <f>IFERROR(IF(B2221="","",VLOOKUP(B2221,CadProd!$A:$C,3,0)),"")</f>
        <v/>
      </c>
    </row>
    <row r="2222" spans="3:4" x14ac:dyDescent="0.3">
      <c r="C2222" t="str">
        <f>IFERROR(IF(B2222="","",VLOOKUP(B2222,CadProd!$A:$B,2,0)),"")</f>
        <v/>
      </c>
      <c r="D2222" t="str">
        <f>IFERROR(IF(B2222="","",VLOOKUP(B2222,CadProd!$A:$C,3,0)),"")</f>
        <v/>
      </c>
    </row>
    <row r="2223" spans="3:4" x14ac:dyDescent="0.3">
      <c r="C2223" t="str">
        <f>IFERROR(IF(B2223="","",VLOOKUP(B2223,CadProd!$A:$B,2,0)),"")</f>
        <v/>
      </c>
      <c r="D2223" t="str">
        <f>IFERROR(IF(B2223="","",VLOOKUP(B2223,CadProd!$A:$C,3,0)),"")</f>
        <v/>
      </c>
    </row>
    <row r="2224" spans="3:4" x14ac:dyDescent="0.3">
      <c r="C2224" t="str">
        <f>IFERROR(IF(B2224="","",VLOOKUP(B2224,CadProd!$A:$B,2,0)),"")</f>
        <v/>
      </c>
      <c r="D2224" t="str">
        <f>IFERROR(IF(B2224="","",VLOOKUP(B2224,CadProd!$A:$C,3,0)),"")</f>
        <v/>
      </c>
    </row>
    <row r="2225" spans="3:4" x14ac:dyDescent="0.3">
      <c r="C2225" t="str">
        <f>IFERROR(IF(B2225="","",VLOOKUP(B2225,CadProd!$A:$B,2,0)),"")</f>
        <v/>
      </c>
      <c r="D2225" t="str">
        <f>IFERROR(IF(B2225="","",VLOOKUP(B2225,CadProd!$A:$C,3,0)),"")</f>
        <v/>
      </c>
    </row>
    <row r="2226" spans="3:4" x14ac:dyDescent="0.3">
      <c r="C2226" t="str">
        <f>IFERROR(IF(B2226="","",VLOOKUP(B2226,CadProd!$A:$B,2,0)),"")</f>
        <v/>
      </c>
      <c r="D2226" t="str">
        <f>IFERROR(IF(B2226="","",VLOOKUP(B2226,CadProd!$A:$C,3,0)),"")</f>
        <v/>
      </c>
    </row>
    <row r="2227" spans="3:4" x14ac:dyDescent="0.3">
      <c r="C2227" t="str">
        <f>IFERROR(IF(B2227="","",VLOOKUP(B2227,CadProd!$A:$B,2,0)),"")</f>
        <v/>
      </c>
      <c r="D2227" t="str">
        <f>IFERROR(IF(B2227="","",VLOOKUP(B2227,CadProd!$A:$C,3,0)),"")</f>
        <v/>
      </c>
    </row>
    <row r="2228" spans="3:4" x14ac:dyDescent="0.3">
      <c r="C2228" t="str">
        <f>IFERROR(IF(B2228="","",VLOOKUP(B2228,CadProd!$A:$B,2,0)),"")</f>
        <v/>
      </c>
      <c r="D2228" t="str">
        <f>IFERROR(IF(B2228="","",VLOOKUP(B2228,CadProd!$A:$C,3,0)),"")</f>
        <v/>
      </c>
    </row>
    <row r="2229" spans="3:4" x14ac:dyDescent="0.3">
      <c r="C2229" t="str">
        <f>IFERROR(IF(B2229="","",VLOOKUP(B2229,CadProd!$A:$B,2,0)),"")</f>
        <v/>
      </c>
      <c r="D2229" t="str">
        <f>IFERROR(IF(B2229="","",VLOOKUP(B2229,CadProd!$A:$C,3,0)),"")</f>
        <v/>
      </c>
    </row>
    <row r="2230" spans="3:4" x14ac:dyDescent="0.3">
      <c r="C2230" t="str">
        <f>IFERROR(IF(B2230="","",VLOOKUP(B2230,CadProd!$A:$B,2,0)),"")</f>
        <v/>
      </c>
      <c r="D2230" t="str">
        <f>IFERROR(IF(B2230="","",VLOOKUP(B2230,CadProd!$A:$C,3,0)),"")</f>
        <v/>
      </c>
    </row>
    <row r="2231" spans="3:4" x14ac:dyDescent="0.3">
      <c r="C2231" t="str">
        <f>IFERROR(IF(B2231="","",VLOOKUP(B2231,CadProd!$A:$B,2,0)),"")</f>
        <v/>
      </c>
      <c r="D2231" t="str">
        <f>IFERROR(IF(B2231="","",VLOOKUP(B2231,CadProd!$A:$C,3,0)),"")</f>
        <v/>
      </c>
    </row>
    <row r="2232" spans="3:4" x14ac:dyDescent="0.3">
      <c r="C2232" t="str">
        <f>IFERROR(IF(B2232="","",VLOOKUP(B2232,CadProd!$A:$B,2,0)),"")</f>
        <v/>
      </c>
      <c r="D2232" t="str">
        <f>IFERROR(IF(B2232="","",VLOOKUP(B2232,CadProd!$A:$C,3,0)),"")</f>
        <v/>
      </c>
    </row>
    <row r="2233" spans="3:4" x14ac:dyDescent="0.3">
      <c r="C2233" t="str">
        <f>IFERROR(IF(B2233="","",VLOOKUP(B2233,CadProd!$A:$B,2,0)),"")</f>
        <v/>
      </c>
      <c r="D2233" t="str">
        <f>IFERROR(IF(B2233="","",VLOOKUP(B2233,CadProd!$A:$C,3,0)),"")</f>
        <v/>
      </c>
    </row>
    <row r="2234" spans="3:4" x14ac:dyDescent="0.3">
      <c r="C2234" t="str">
        <f>IFERROR(IF(B2234="","",VLOOKUP(B2234,CadProd!$A:$B,2,0)),"")</f>
        <v/>
      </c>
      <c r="D2234" t="str">
        <f>IFERROR(IF(B2234="","",VLOOKUP(B2234,CadProd!$A:$C,3,0)),"")</f>
        <v/>
      </c>
    </row>
    <row r="2235" spans="3:4" x14ac:dyDescent="0.3">
      <c r="C2235" t="str">
        <f>IFERROR(IF(B2235="","",VLOOKUP(B2235,CadProd!$A:$B,2,0)),"")</f>
        <v/>
      </c>
      <c r="D2235" t="str">
        <f>IFERROR(IF(B2235="","",VLOOKUP(B2235,CadProd!$A:$C,3,0)),"")</f>
        <v/>
      </c>
    </row>
    <row r="2236" spans="3:4" x14ac:dyDescent="0.3">
      <c r="C2236" t="str">
        <f>IFERROR(IF(B2236="","",VLOOKUP(B2236,CadProd!$A:$B,2,0)),"")</f>
        <v/>
      </c>
      <c r="D2236" t="str">
        <f>IFERROR(IF(B2236="","",VLOOKUP(B2236,CadProd!$A:$C,3,0)),"")</f>
        <v/>
      </c>
    </row>
    <row r="2237" spans="3:4" x14ac:dyDescent="0.3">
      <c r="C2237" t="str">
        <f>IFERROR(IF(B2237="","",VLOOKUP(B2237,CadProd!$A:$B,2,0)),"")</f>
        <v/>
      </c>
      <c r="D2237" t="str">
        <f>IFERROR(IF(B2237="","",VLOOKUP(B2237,CadProd!$A:$C,3,0)),"")</f>
        <v/>
      </c>
    </row>
    <row r="2238" spans="3:4" x14ac:dyDescent="0.3">
      <c r="C2238" t="str">
        <f>IFERROR(IF(B2238="","",VLOOKUP(B2238,CadProd!$A:$B,2,0)),"")</f>
        <v/>
      </c>
      <c r="D2238" t="str">
        <f>IFERROR(IF(B2238="","",VLOOKUP(B2238,CadProd!$A:$C,3,0)),"")</f>
        <v/>
      </c>
    </row>
    <row r="2239" spans="3:4" x14ac:dyDescent="0.3">
      <c r="C2239" t="str">
        <f>IFERROR(IF(B2239="","",VLOOKUP(B2239,CadProd!$A:$B,2,0)),"")</f>
        <v/>
      </c>
      <c r="D2239" t="str">
        <f>IFERROR(IF(B2239="","",VLOOKUP(B2239,CadProd!$A:$C,3,0)),"")</f>
        <v/>
      </c>
    </row>
    <row r="2240" spans="3:4" x14ac:dyDescent="0.3">
      <c r="C2240" t="str">
        <f>IFERROR(IF(B2240="","",VLOOKUP(B2240,CadProd!$A:$B,2,0)),"")</f>
        <v/>
      </c>
      <c r="D2240" t="str">
        <f>IFERROR(IF(B2240="","",VLOOKUP(B2240,CadProd!$A:$C,3,0)),"")</f>
        <v/>
      </c>
    </row>
    <row r="2241" spans="3:4" x14ac:dyDescent="0.3">
      <c r="C2241" t="str">
        <f>IFERROR(IF(B2241="","",VLOOKUP(B2241,CadProd!$A:$B,2,0)),"")</f>
        <v/>
      </c>
      <c r="D2241" t="str">
        <f>IFERROR(IF(B2241="","",VLOOKUP(B2241,CadProd!$A:$C,3,0)),"")</f>
        <v/>
      </c>
    </row>
    <row r="2242" spans="3:4" x14ac:dyDescent="0.3">
      <c r="C2242" t="str">
        <f>IFERROR(IF(B2242="","",VLOOKUP(B2242,CadProd!$A:$B,2,0)),"")</f>
        <v/>
      </c>
      <c r="D2242" t="str">
        <f>IFERROR(IF(B2242="","",VLOOKUP(B2242,CadProd!$A:$C,3,0)),"")</f>
        <v/>
      </c>
    </row>
    <row r="2243" spans="3:4" x14ac:dyDescent="0.3">
      <c r="C2243" t="str">
        <f>IFERROR(IF(B2243="","",VLOOKUP(B2243,CadProd!$A:$B,2,0)),"")</f>
        <v/>
      </c>
      <c r="D2243" t="str">
        <f>IFERROR(IF(B2243="","",VLOOKUP(B2243,CadProd!$A:$C,3,0)),"")</f>
        <v/>
      </c>
    </row>
    <row r="2244" spans="3:4" x14ac:dyDescent="0.3">
      <c r="C2244" t="str">
        <f>IFERROR(IF(B2244="","",VLOOKUP(B2244,CadProd!$A:$B,2,0)),"")</f>
        <v/>
      </c>
      <c r="D2244" t="str">
        <f>IFERROR(IF(B2244="","",VLOOKUP(B2244,CadProd!$A:$C,3,0)),"")</f>
        <v/>
      </c>
    </row>
    <row r="2245" spans="3:4" x14ac:dyDescent="0.3">
      <c r="C2245" t="str">
        <f>IFERROR(IF(B2245="","",VLOOKUP(B2245,CadProd!$A:$B,2,0)),"")</f>
        <v/>
      </c>
      <c r="D2245" t="str">
        <f>IFERROR(IF(B2245="","",VLOOKUP(B2245,CadProd!$A:$C,3,0)),"")</f>
        <v/>
      </c>
    </row>
    <row r="2246" spans="3:4" x14ac:dyDescent="0.3">
      <c r="C2246" t="str">
        <f>IFERROR(IF(B2246="","",VLOOKUP(B2246,CadProd!$A:$B,2,0)),"")</f>
        <v/>
      </c>
      <c r="D2246" t="str">
        <f>IFERROR(IF(B2246="","",VLOOKUP(B2246,CadProd!$A:$C,3,0)),"")</f>
        <v/>
      </c>
    </row>
    <row r="2247" spans="3:4" x14ac:dyDescent="0.3">
      <c r="C2247" t="str">
        <f>IFERROR(IF(B2247="","",VLOOKUP(B2247,CadProd!$A:$B,2,0)),"")</f>
        <v/>
      </c>
      <c r="D2247" t="str">
        <f>IFERROR(IF(B2247="","",VLOOKUP(B2247,CadProd!$A:$C,3,0)),"")</f>
        <v/>
      </c>
    </row>
    <row r="2248" spans="3:4" x14ac:dyDescent="0.3">
      <c r="C2248" t="str">
        <f>IFERROR(IF(B2248="","",VLOOKUP(B2248,CadProd!$A:$B,2,0)),"")</f>
        <v/>
      </c>
      <c r="D2248" t="str">
        <f>IFERROR(IF(B2248="","",VLOOKUP(B2248,CadProd!$A:$C,3,0)),"")</f>
        <v/>
      </c>
    </row>
    <row r="2249" spans="3:4" x14ac:dyDescent="0.3">
      <c r="C2249" t="str">
        <f>IFERROR(IF(B2249="","",VLOOKUP(B2249,CadProd!$A:$B,2,0)),"")</f>
        <v/>
      </c>
      <c r="D2249" t="str">
        <f>IFERROR(IF(B2249="","",VLOOKUP(B2249,CadProd!$A:$C,3,0)),"")</f>
        <v/>
      </c>
    </row>
    <row r="2250" spans="3:4" x14ac:dyDescent="0.3">
      <c r="C2250" t="str">
        <f>IFERROR(IF(B2250="","",VLOOKUP(B2250,CadProd!$A:$B,2,0)),"")</f>
        <v/>
      </c>
      <c r="D2250" t="str">
        <f>IFERROR(IF(B2250="","",VLOOKUP(B2250,CadProd!$A:$C,3,0)),"")</f>
        <v/>
      </c>
    </row>
    <row r="2251" spans="3:4" x14ac:dyDescent="0.3">
      <c r="C2251" t="str">
        <f>IFERROR(IF(B2251="","",VLOOKUP(B2251,CadProd!$A:$B,2,0)),"")</f>
        <v/>
      </c>
      <c r="D2251" t="str">
        <f>IFERROR(IF(B2251="","",VLOOKUP(B2251,CadProd!$A:$C,3,0)),"")</f>
        <v/>
      </c>
    </row>
    <row r="2252" spans="3:4" x14ac:dyDescent="0.3">
      <c r="C2252" t="str">
        <f>IFERROR(IF(B2252="","",VLOOKUP(B2252,CadProd!$A:$B,2,0)),"")</f>
        <v/>
      </c>
      <c r="D2252" t="str">
        <f>IFERROR(IF(B2252="","",VLOOKUP(B2252,CadProd!$A:$C,3,0)),"")</f>
        <v/>
      </c>
    </row>
    <row r="2253" spans="3:4" x14ac:dyDescent="0.3">
      <c r="C2253" t="str">
        <f>IFERROR(IF(B2253="","",VLOOKUP(B2253,CadProd!$A:$B,2,0)),"")</f>
        <v/>
      </c>
      <c r="D2253" t="str">
        <f>IFERROR(IF(B2253="","",VLOOKUP(B2253,CadProd!$A:$C,3,0)),"")</f>
        <v/>
      </c>
    </row>
    <row r="2254" spans="3:4" x14ac:dyDescent="0.3">
      <c r="C2254" t="str">
        <f>IFERROR(IF(B2254="","",VLOOKUP(B2254,CadProd!$A:$B,2,0)),"")</f>
        <v/>
      </c>
      <c r="D2254" t="str">
        <f>IFERROR(IF(B2254="","",VLOOKUP(B2254,CadProd!$A:$C,3,0)),"")</f>
        <v/>
      </c>
    </row>
    <row r="2255" spans="3:4" x14ac:dyDescent="0.3">
      <c r="C2255" t="str">
        <f>IFERROR(IF(B2255="","",VLOOKUP(B2255,CadProd!$A:$B,2,0)),"")</f>
        <v/>
      </c>
      <c r="D2255" t="str">
        <f>IFERROR(IF(B2255="","",VLOOKUP(B2255,CadProd!$A:$C,3,0)),"")</f>
        <v/>
      </c>
    </row>
    <row r="2256" spans="3:4" x14ac:dyDescent="0.3">
      <c r="C2256" t="str">
        <f>IFERROR(IF(B2256="","",VLOOKUP(B2256,CadProd!$A:$B,2,0)),"")</f>
        <v/>
      </c>
      <c r="D2256" t="str">
        <f>IFERROR(IF(B2256="","",VLOOKUP(B2256,CadProd!$A:$C,3,0)),"")</f>
        <v/>
      </c>
    </row>
    <row r="2257" spans="3:4" x14ac:dyDescent="0.3">
      <c r="C2257" t="str">
        <f>IFERROR(IF(B2257="","",VLOOKUP(B2257,CadProd!$A:$B,2,0)),"")</f>
        <v/>
      </c>
      <c r="D2257" t="str">
        <f>IFERROR(IF(B2257="","",VLOOKUP(B2257,CadProd!$A:$C,3,0)),"")</f>
        <v/>
      </c>
    </row>
    <row r="2258" spans="3:4" x14ac:dyDescent="0.3">
      <c r="C2258" t="str">
        <f>IFERROR(IF(B2258="","",VLOOKUP(B2258,CadProd!$A:$B,2,0)),"")</f>
        <v/>
      </c>
      <c r="D2258" t="str">
        <f>IFERROR(IF(B2258="","",VLOOKUP(B2258,CadProd!$A:$C,3,0)),"")</f>
        <v/>
      </c>
    </row>
    <row r="2259" spans="3:4" x14ac:dyDescent="0.3">
      <c r="C2259" t="str">
        <f>IFERROR(IF(B2259="","",VLOOKUP(B2259,CadProd!$A:$B,2,0)),"")</f>
        <v/>
      </c>
      <c r="D2259" t="str">
        <f>IFERROR(IF(B2259="","",VLOOKUP(B2259,CadProd!$A:$C,3,0)),"")</f>
        <v/>
      </c>
    </row>
    <row r="2260" spans="3:4" x14ac:dyDescent="0.3">
      <c r="C2260" t="str">
        <f>IFERROR(IF(B2260="","",VLOOKUP(B2260,CadProd!$A:$B,2,0)),"")</f>
        <v/>
      </c>
      <c r="D2260" t="str">
        <f>IFERROR(IF(B2260="","",VLOOKUP(B2260,CadProd!$A:$C,3,0)),"")</f>
        <v/>
      </c>
    </row>
    <row r="2261" spans="3:4" x14ac:dyDescent="0.3">
      <c r="C2261" t="str">
        <f>IFERROR(IF(B2261="","",VLOOKUP(B2261,CadProd!$A:$B,2,0)),"")</f>
        <v/>
      </c>
      <c r="D2261" t="str">
        <f>IFERROR(IF(B2261="","",VLOOKUP(B2261,CadProd!$A:$C,3,0)),"")</f>
        <v/>
      </c>
    </row>
    <row r="2262" spans="3:4" x14ac:dyDescent="0.3">
      <c r="C2262" t="str">
        <f>IFERROR(IF(B2262="","",VLOOKUP(B2262,CadProd!$A:$B,2,0)),"")</f>
        <v/>
      </c>
      <c r="D2262" t="str">
        <f>IFERROR(IF(B2262="","",VLOOKUP(B2262,CadProd!$A:$C,3,0)),"")</f>
        <v/>
      </c>
    </row>
    <row r="2263" spans="3:4" x14ac:dyDescent="0.3">
      <c r="C2263" t="str">
        <f>IFERROR(IF(B2263="","",VLOOKUP(B2263,CadProd!$A:$B,2,0)),"")</f>
        <v/>
      </c>
      <c r="D2263" t="str">
        <f>IFERROR(IF(B2263="","",VLOOKUP(B2263,CadProd!$A:$C,3,0)),"")</f>
        <v/>
      </c>
    </row>
    <row r="2264" spans="3:4" x14ac:dyDescent="0.3">
      <c r="C2264" t="str">
        <f>IFERROR(IF(B2264="","",VLOOKUP(B2264,CadProd!$A:$B,2,0)),"")</f>
        <v/>
      </c>
      <c r="D2264" t="str">
        <f>IFERROR(IF(B2264="","",VLOOKUP(B2264,CadProd!$A:$C,3,0)),"")</f>
        <v/>
      </c>
    </row>
    <row r="2265" spans="3:4" x14ac:dyDescent="0.3">
      <c r="C2265" t="str">
        <f>IFERROR(IF(B2265="","",VLOOKUP(B2265,CadProd!$A:$B,2,0)),"")</f>
        <v/>
      </c>
      <c r="D2265" t="str">
        <f>IFERROR(IF(B2265="","",VLOOKUP(B2265,CadProd!$A:$C,3,0)),"")</f>
        <v/>
      </c>
    </row>
    <row r="2266" spans="3:4" x14ac:dyDescent="0.3">
      <c r="C2266" t="str">
        <f>IFERROR(IF(B2266="","",VLOOKUP(B2266,CadProd!$A:$B,2,0)),"")</f>
        <v/>
      </c>
      <c r="D2266" t="str">
        <f>IFERROR(IF(B2266="","",VLOOKUP(B2266,CadProd!$A:$C,3,0)),"")</f>
        <v/>
      </c>
    </row>
    <row r="2267" spans="3:4" x14ac:dyDescent="0.3">
      <c r="C2267" t="str">
        <f>IFERROR(IF(B2267="","",VLOOKUP(B2267,CadProd!$A:$B,2,0)),"")</f>
        <v/>
      </c>
      <c r="D2267" t="str">
        <f>IFERROR(IF(B2267="","",VLOOKUP(B2267,CadProd!$A:$C,3,0)),"")</f>
        <v/>
      </c>
    </row>
    <row r="2268" spans="3:4" x14ac:dyDescent="0.3">
      <c r="C2268" t="str">
        <f>IFERROR(IF(B2268="","",VLOOKUP(B2268,CadProd!$A:$B,2,0)),"")</f>
        <v/>
      </c>
      <c r="D2268" t="str">
        <f>IFERROR(IF(B2268="","",VLOOKUP(B2268,CadProd!$A:$C,3,0)),"")</f>
        <v/>
      </c>
    </row>
    <row r="2269" spans="3:4" x14ac:dyDescent="0.3">
      <c r="C2269" t="str">
        <f>IFERROR(IF(B2269="","",VLOOKUP(B2269,CadProd!$A:$B,2,0)),"")</f>
        <v/>
      </c>
      <c r="D2269" t="str">
        <f>IFERROR(IF(B2269="","",VLOOKUP(B2269,CadProd!$A:$C,3,0)),"")</f>
        <v/>
      </c>
    </row>
    <row r="2270" spans="3:4" x14ac:dyDescent="0.3">
      <c r="C2270" t="str">
        <f>IFERROR(IF(B2270="","",VLOOKUP(B2270,CadProd!$A:$B,2,0)),"")</f>
        <v/>
      </c>
      <c r="D2270" t="str">
        <f>IFERROR(IF(B2270="","",VLOOKUP(B2270,CadProd!$A:$C,3,0)),"")</f>
        <v/>
      </c>
    </row>
    <row r="2271" spans="3:4" x14ac:dyDescent="0.3">
      <c r="C2271" t="str">
        <f>IFERROR(IF(B2271="","",VLOOKUP(B2271,CadProd!$A:$B,2,0)),"")</f>
        <v/>
      </c>
      <c r="D2271" t="str">
        <f>IFERROR(IF(B2271="","",VLOOKUP(B2271,CadProd!$A:$C,3,0)),"")</f>
        <v/>
      </c>
    </row>
    <row r="2272" spans="3:4" x14ac:dyDescent="0.3">
      <c r="C2272" t="str">
        <f>IFERROR(IF(B2272="","",VLOOKUP(B2272,CadProd!$A:$B,2,0)),"")</f>
        <v/>
      </c>
      <c r="D2272" t="str">
        <f>IFERROR(IF(B2272="","",VLOOKUP(B2272,CadProd!$A:$C,3,0)),"")</f>
        <v/>
      </c>
    </row>
    <row r="2273" spans="3:4" x14ac:dyDescent="0.3">
      <c r="C2273" t="str">
        <f>IFERROR(IF(B2273="","",VLOOKUP(B2273,CadProd!$A:$B,2,0)),"")</f>
        <v/>
      </c>
      <c r="D2273" t="str">
        <f>IFERROR(IF(B2273="","",VLOOKUP(B2273,CadProd!$A:$C,3,0)),"")</f>
        <v/>
      </c>
    </row>
    <row r="2274" spans="3:4" x14ac:dyDescent="0.3">
      <c r="C2274" t="str">
        <f>IFERROR(IF(B2274="","",VLOOKUP(B2274,CadProd!$A:$B,2,0)),"")</f>
        <v/>
      </c>
      <c r="D2274" t="str">
        <f>IFERROR(IF(B2274="","",VLOOKUP(B2274,CadProd!$A:$C,3,0)),"")</f>
        <v/>
      </c>
    </row>
    <row r="2275" spans="3:4" x14ac:dyDescent="0.3">
      <c r="C2275" t="str">
        <f>IFERROR(IF(B2275="","",VLOOKUP(B2275,CadProd!$A:$B,2,0)),"")</f>
        <v/>
      </c>
      <c r="D2275" t="str">
        <f>IFERROR(IF(B2275="","",VLOOKUP(B2275,CadProd!$A:$C,3,0)),"")</f>
        <v/>
      </c>
    </row>
    <row r="2276" spans="3:4" x14ac:dyDescent="0.3">
      <c r="C2276" t="str">
        <f>IFERROR(IF(B2276="","",VLOOKUP(B2276,CadProd!$A:$B,2,0)),"")</f>
        <v/>
      </c>
      <c r="D2276" t="str">
        <f>IFERROR(IF(B2276="","",VLOOKUP(B2276,CadProd!$A:$C,3,0)),"")</f>
        <v/>
      </c>
    </row>
    <row r="2277" spans="3:4" x14ac:dyDescent="0.3">
      <c r="C2277" t="str">
        <f>IFERROR(IF(B2277="","",VLOOKUP(B2277,CadProd!$A:$B,2,0)),"")</f>
        <v/>
      </c>
      <c r="D2277" t="str">
        <f>IFERROR(IF(B2277="","",VLOOKUP(B2277,CadProd!$A:$C,3,0)),"")</f>
        <v/>
      </c>
    </row>
    <row r="2278" spans="3:4" x14ac:dyDescent="0.3">
      <c r="C2278" t="str">
        <f>IFERROR(IF(B2278="","",VLOOKUP(B2278,CadProd!$A:$B,2,0)),"")</f>
        <v/>
      </c>
      <c r="D2278" t="str">
        <f>IFERROR(IF(B2278="","",VLOOKUP(B2278,CadProd!$A:$C,3,0)),"")</f>
        <v/>
      </c>
    </row>
    <row r="2279" spans="3:4" x14ac:dyDescent="0.3">
      <c r="C2279" t="str">
        <f>IFERROR(IF(B2279="","",VLOOKUP(B2279,CadProd!$A:$B,2,0)),"")</f>
        <v/>
      </c>
      <c r="D2279" t="str">
        <f>IFERROR(IF(B2279="","",VLOOKUP(B2279,CadProd!$A:$C,3,0)),"")</f>
        <v/>
      </c>
    </row>
    <row r="2280" spans="3:4" x14ac:dyDescent="0.3">
      <c r="C2280" t="str">
        <f>IFERROR(IF(B2280="","",VLOOKUP(B2280,CadProd!$A:$B,2,0)),"")</f>
        <v/>
      </c>
      <c r="D2280" t="str">
        <f>IFERROR(IF(B2280="","",VLOOKUP(B2280,CadProd!$A:$C,3,0)),"")</f>
        <v/>
      </c>
    </row>
    <row r="2281" spans="3:4" x14ac:dyDescent="0.3">
      <c r="C2281" t="str">
        <f>IFERROR(IF(B2281="","",VLOOKUP(B2281,CadProd!$A:$B,2,0)),"")</f>
        <v/>
      </c>
      <c r="D2281" t="str">
        <f>IFERROR(IF(B2281="","",VLOOKUP(B2281,CadProd!$A:$C,3,0)),"")</f>
        <v/>
      </c>
    </row>
    <row r="2282" spans="3:4" x14ac:dyDescent="0.3">
      <c r="C2282" t="str">
        <f>IFERROR(IF(B2282="","",VLOOKUP(B2282,CadProd!$A:$B,2,0)),"")</f>
        <v/>
      </c>
      <c r="D2282" t="str">
        <f>IFERROR(IF(B2282="","",VLOOKUP(B2282,CadProd!$A:$C,3,0)),"")</f>
        <v/>
      </c>
    </row>
    <row r="2283" spans="3:4" x14ac:dyDescent="0.3">
      <c r="C2283" t="str">
        <f>IFERROR(IF(B2283="","",VLOOKUP(B2283,CadProd!$A:$B,2,0)),"")</f>
        <v/>
      </c>
      <c r="D2283" t="str">
        <f>IFERROR(IF(B2283="","",VLOOKUP(B2283,CadProd!$A:$C,3,0)),"")</f>
        <v/>
      </c>
    </row>
    <row r="2284" spans="3:4" x14ac:dyDescent="0.3">
      <c r="C2284" t="str">
        <f>IFERROR(IF(B2284="","",VLOOKUP(B2284,CadProd!$A:$B,2,0)),"")</f>
        <v/>
      </c>
      <c r="D2284" t="str">
        <f>IFERROR(IF(B2284="","",VLOOKUP(B2284,CadProd!$A:$C,3,0)),"")</f>
        <v/>
      </c>
    </row>
    <row r="2285" spans="3:4" x14ac:dyDescent="0.3">
      <c r="C2285" t="str">
        <f>IFERROR(IF(B2285="","",VLOOKUP(B2285,CadProd!$A:$B,2,0)),"")</f>
        <v/>
      </c>
      <c r="D2285" t="str">
        <f>IFERROR(IF(B2285="","",VLOOKUP(B2285,CadProd!$A:$C,3,0)),"")</f>
        <v/>
      </c>
    </row>
    <row r="2286" spans="3:4" x14ac:dyDescent="0.3">
      <c r="C2286" t="str">
        <f>IFERROR(IF(B2286="","",VLOOKUP(B2286,CadProd!$A:$B,2,0)),"")</f>
        <v/>
      </c>
      <c r="D2286" t="str">
        <f>IFERROR(IF(B2286="","",VLOOKUP(B2286,CadProd!$A:$C,3,0)),"")</f>
        <v/>
      </c>
    </row>
    <row r="2287" spans="3:4" x14ac:dyDescent="0.3">
      <c r="C2287" t="str">
        <f>IFERROR(IF(B2287="","",VLOOKUP(B2287,CadProd!$A:$B,2,0)),"")</f>
        <v/>
      </c>
      <c r="D2287" t="str">
        <f>IFERROR(IF(B2287="","",VLOOKUP(B2287,CadProd!$A:$C,3,0)),"")</f>
        <v/>
      </c>
    </row>
    <row r="2288" spans="3:4" x14ac:dyDescent="0.3">
      <c r="C2288" t="str">
        <f>IFERROR(IF(B2288="","",VLOOKUP(B2288,CadProd!$A:$B,2,0)),"")</f>
        <v/>
      </c>
      <c r="D2288" t="str">
        <f>IFERROR(IF(B2288="","",VLOOKUP(B2288,CadProd!$A:$C,3,0)),"")</f>
        <v/>
      </c>
    </row>
    <row r="2289" spans="3:4" x14ac:dyDescent="0.3">
      <c r="C2289" t="str">
        <f>IFERROR(IF(B2289="","",VLOOKUP(B2289,CadProd!$A:$B,2,0)),"")</f>
        <v/>
      </c>
      <c r="D2289" t="str">
        <f>IFERROR(IF(B2289="","",VLOOKUP(B2289,CadProd!$A:$C,3,0)),"")</f>
        <v/>
      </c>
    </row>
    <row r="2290" spans="3:4" x14ac:dyDescent="0.3">
      <c r="C2290" t="str">
        <f>IFERROR(IF(B2290="","",VLOOKUP(B2290,CadProd!$A:$B,2,0)),"")</f>
        <v/>
      </c>
      <c r="D2290" t="str">
        <f>IFERROR(IF(B2290="","",VLOOKUP(B2290,CadProd!$A:$C,3,0)),"")</f>
        <v/>
      </c>
    </row>
    <row r="2291" spans="3:4" x14ac:dyDescent="0.3">
      <c r="C2291" t="str">
        <f>IFERROR(IF(B2291="","",VLOOKUP(B2291,CadProd!$A:$B,2,0)),"")</f>
        <v/>
      </c>
      <c r="D2291" t="str">
        <f>IFERROR(IF(B2291="","",VLOOKUP(B2291,CadProd!$A:$C,3,0)),"")</f>
        <v/>
      </c>
    </row>
    <row r="2292" spans="3:4" x14ac:dyDescent="0.3">
      <c r="C2292" t="str">
        <f>IFERROR(IF(B2292="","",VLOOKUP(B2292,CadProd!$A:$B,2,0)),"")</f>
        <v/>
      </c>
      <c r="D2292" t="str">
        <f>IFERROR(IF(B2292="","",VLOOKUP(B2292,CadProd!$A:$C,3,0)),"")</f>
        <v/>
      </c>
    </row>
    <row r="2293" spans="3:4" x14ac:dyDescent="0.3">
      <c r="C2293" t="str">
        <f>IFERROR(IF(B2293="","",VLOOKUP(B2293,CadProd!$A:$B,2,0)),"")</f>
        <v/>
      </c>
      <c r="D2293" t="str">
        <f>IFERROR(IF(B2293="","",VLOOKUP(B2293,CadProd!$A:$C,3,0)),"")</f>
        <v/>
      </c>
    </row>
    <row r="2294" spans="3:4" x14ac:dyDescent="0.3">
      <c r="C2294" t="str">
        <f>IFERROR(IF(B2294="","",VLOOKUP(B2294,CadProd!$A:$B,2,0)),"")</f>
        <v/>
      </c>
      <c r="D2294" t="str">
        <f>IFERROR(IF(B2294="","",VLOOKUP(B2294,CadProd!$A:$C,3,0)),"")</f>
        <v/>
      </c>
    </row>
    <row r="2295" spans="3:4" x14ac:dyDescent="0.3">
      <c r="C2295" t="str">
        <f>IFERROR(IF(B2295="","",VLOOKUP(B2295,CadProd!$A:$B,2,0)),"")</f>
        <v/>
      </c>
      <c r="D2295" t="str">
        <f>IFERROR(IF(B2295="","",VLOOKUP(B2295,CadProd!$A:$C,3,0)),"")</f>
        <v/>
      </c>
    </row>
    <row r="2296" spans="3:4" x14ac:dyDescent="0.3">
      <c r="C2296" t="str">
        <f>IFERROR(IF(B2296="","",VLOOKUP(B2296,CadProd!$A:$B,2,0)),"")</f>
        <v/>
      </c>
      <c r="D2296" t="str">
        <f>IFERROR(IF(B2296="","",VLOOKUP(B2296,CadProd!$A:$C,3,0)),"")</f>
        <v/>
      </c>
    </row>
    <row r="2297" spans="3:4" x14ac:dyDescent="0.3">
      <c r="C2297" t="str">
        <f>IFERROR(IF(B2297="","",VLOOKUP(B2297,CadProd!$A:$B,2,0)),"")</f>
        <v/>
      </c>
      <c r="D2297" t="str">
        <f>IFERROR(IF(B2297="","",VLOOKUP(B2297,CadProd!$A:$C,3,0)),"")</f>
        <v/>
      </c>
    </row>
    <row r="2298" spans="3:4" x14ac:dyDescent="0.3">
      <c r="C2298" t="str">
        <f>IFERROR(IF(B2298="","",VLOOKUP(B2298,CadProd!$A:$B,2,0)),"")</f>
        <v/>
      </c>
      <c r="D2298" t="str">
        <f>IFERROR(IF(B2298="","",VLOOKUP(B2298,CadProd!$A:$C,3,0)),"")</f>
        <v/>
      </c>
    </row>
    <row r="2299" spans="3:4" x14ac:dyDescent="0.3">
      <c r="C2299" t="str">
        <f>IFERROR(IF(B2299="","",VLOOKUP(B2299,CadProd!$A:$B,2,0)),"")</f>
        <v/>
      </c>
      <c r="D2299" t="str">
        <f>IFERROR(IF(B2299="","",VLOOKUP(B2299,CadProd!$A:$C,3,0)),"")</f>
        <v/>
      </c>
    </row>
    <row r="2300" spans="3:4" x14ac:dyDescent="0.3">
      <c r="C2300" t="str">
        <f>IFERROR(IF(B2300="","",VLOOKUP(B2300,CadProd!$A:$B,2,0)),"")</f>
        <v/>
      </c>
      <c r="D2300" t="str">
        <f>IFERROR(IF(B2300="","",VLOOKUP(B2300,CadProd!$A:$C,3,0)),"")</f>
        <v/>
      </c>
    </row>
    <row r="2301" spans="3:4" x14ac:dyDescent="0.3">
      <c r="C2301" t="str">
        <f>IFERROR(IF(B2301="","",VLOOKUP(B2301,CadProd!$A:$B,2,0)),"")</f>
        <v/>
      </c>
      <c r="D2301" t="str">
        <f>IFERROR(IF(B2301="","",VLOOKUP(B2301,CadProd!$A:$C,3,0)),"")</f>
        <v/>
      </c>
    </row>
    <row r="2302" spans="3:4" x14ac:dyDescent="0.3">
      <c r="C2302" t="str">
        <f>IFERROR(IF(B2302="","",VLOOKUP(B2302,CadProd!$A:$B,2,0)),"")</f>
        <v/>
      </c>
      <c r="D2302" t="str">
        <f>IFERROR(IF(B2302="","",VLOOKUP(B2302,CadProd!$A:$C,3,0)),"")</f>
        <v/>
      </c>
    </row>
    <row r="2303" spans="3:4" x14ac:dyDescent="0.3">
      <c r="C2303" t="str">
        <f>IFERROR(IF(B2303="","",VLOOKUP(B2303,CadProd!$A:$B,2,0)),"")</f>
        <v/>
      </c>
      <c r="D2303" t="str">
        <f>IFERROR(IF(B2303="","",VLOOKUP(B2303,CadProd!$A:$C,3,0)),"")</f>
        <v/>
      </c>
    </row>
    <row r="2304" spans="3:4" x14ac:dyDescent="0.3">
      <c r="C2304" t="str">
        <f>IFERROR(IF(B2304="","",VLOOKUP(B2304,CadProd!$A:$B,2,0)),"")</f>
        <v/>
      </c>
      <c r="D2304" t="str">
        <f>IFERROR(IF(B2304="","",VLOOKUP(B2304,CadProd!$A:$C,3,0)),"")</f>
        <v/>
      </c>
    </row>
    <row r="2305" spans="3:4" x14ac:dyDescent="0.3">
      <c r="C2305" t="str">
        <f>IFERROR(IF(B2305="","",VLOOKUP(B2305,CadProd!$A:$B,2,0)),"")</f>
        <v/>
      </c>
      <c r="D2305" t="str">
        <f>IFERROR(IF(B2305="","",VLOOKUP(B2305,CadProd!$A:$C,3,0)),"")</f>
        <v/>
      </c>
    </row>
    <row r="2306" spans="3:4" x14ac:dyDescent="0.3">
      <c r="C2306" t="str">
        <f>IFERROR(IF(B2306="","",VLOOKUP(B2306,CadProd!$A:$B,2,0)),"")</f>
        <v/>
      </c>
      <c r="D2306" t="str">
        <f>IFERROR(IF(B2306="","",VLOOKUP(B2306,CadProd!$A:$C,3,0)),"")</f>
        <v/>
      </c>
    </row>
    <row r="2307" spans="3:4" x14ac:dyDescent="0.3">
      <c r="C2307" t="str">
        <f>IFERROR(IF(B2307="","",VLOOKUP(B2307,CadProd!$A:$B,2,0)),"")</f>
        <v/>
      </c>
      <c r="D2307" t="str">
        <f>IFERROR(IF(B2307="","",VLOOKUP(B2307,CadProd!$A:$C,3,0)),"")</f>
        <v/>
      </c>
    </row>
    <row r="2308" spans="3:4" x14ac:dyDescent="0.3">
      <c r="C2308" t="str">
        <f>IFERROR(IF(B2308="","",VLOOKUP(B2308,CadProd!$A:$B,2,0)),"")</f>
        <v/>
      </c>
      <c r="D2308" t="str">
        <f>IFERROR(IF(B2308="","",VLOOKUP(B2308,CadProd!$A:$C,3,0)),"")</f>
        <v/>
      </c>
    </row>
    <row r="2309" spans="3:4" x14ac:dyDescent="0.3">
      <c r="C2309" t="str">
        <f>IFERROR(IF(B2309="","",VLOOKUP(B2309,CadProd!$A:$B,2,0)),"")</f>
        <v/>
      </c>
      <c r="D2309" t="str">
        <f>IFERROR(IF(B2309="","",VLOOKUP(B2309,CadProd!$A:$C,3,0)),"")</f>
        <v/>
      </c>
    </row>
    <row r="2310" spans="3:4" x14ac:dyDescent="0.3">
      <c r="C2310" t="str">
        <f>IFERROR(IF(B2310="","",VLOOKUP(B2310,CadProd!$A:$B,2,0)),"")</f>
        <v/>
      </c>
      <c r="D2310" t="str">
        <f>IFERROR(IF(B2310="","",VLOOKUP(B2310,CadProd!$A:$C,3,0)),"")</f>
        <v/>
      </c>
    </row>
    <row r="2311" spans="3:4" x14ac:dyDescent="0.3">
      <c r="C2311" t="str">
        <f>IFERROR(IF(B2311="","",VLOOKUP(B2311,CadProd!$A:$B,2,0)),"")</f>
        <v/>
      </c>
      <c r="D2311" t="str">
        <f>IFERROR(IF(B2311="","",VLOOKUP(B2311,CadProd!$A:$C,3,0)),"")</f>
        <v/>
      </c>
    </row>
    <row r="2312" spans="3:4" x14ac:dyDescent="0.3">
      <c r="C2312" t="str">
        <f>IFERROR(IF(B2312="","",VLOOKUP(B2312,CadProd!$A:$B,2,0)),"")</f>
        <v/>
      </c>
      <c r="D2312" t="str">
        <f>IFERROR(IF(B2312="","",VLOOKUP(B2312,CadProd!$A:$C,3,0)),"")</f>
        <v/>
      </c>
    </row>
    <row r="2313" spans="3:4" x14ac:dyDescent="0.3">
      <c r="C2313" t="str">
        <f>IFERROR(IF(B2313="","",VLOOKUP(B2313,CadProd!$A:$B,2,0)),"")</f>
        <v/>
      </c>
      <c r="D2313" t="str">
        <f>IFERROR(IF(B2313="","",VLOOKUP(B2313,CadProd!$A:$C,3,0)),"")</f>
        <v/>
      </c>
    </row>
    <row r="2314" spans="3:4" x14ac:dyDescent="0.3">
      <c r="C2314" t="str">
        <f>IFERROR(IF(B2314="","",VLOOKUP(B2314,CadProd!$A:$B,2,0)),"")</f>
        <v/>
      </c>
      <c r="D2314" t="str">
        <f>IFERROR(IF(B2314="","",VLOOKUP(B2314,CadProd!$A:$C,3,0)),"")</f>
        <v/>
      </c>
    </row>
    <row r="2315" spans="3:4" x14ac:dyDescent="0.3">
      <c r="C2315" t="str">
        <f>IFERROR(IF(B2315="","",VLOOKUP(B2315,CadProd!$A:$B,2,0)),"")</f>
        <v/>
      </c>
      <c r="D2315" t="str">
        <f>IFERROR(IF(B2315="","",VLOOKUP(B2315,CadProd!$A:$C,3,0)),"")</f>
        <v/>
      </c>
    </row>
    <row r="2316" spans="3:4" x14ac:dyDescent="0.3">
      <c r="C2316" t="str">
        <f>IFERROR(IF(B2316="","",VLOOKUP(B2316,CadProd!$A:$B,2,0)),"")</f>
        <v/>
      </c>
      <c r="D2316" t="str">
        <f>IFERROR(IF(B2316="","",VLOOKUP(B2316,CadProd!$A:$C,3,0)),"")</f>
        <v/>
      </c>
    </row>
    <row r="2317" spans="3:4" x14ac:dyDescent="0.3">
      <c r="C2317" t="str">
        <f>IFERROR(IF(B2317="","",VLOOKUP(B2317,CadProd!$A:$B,2,0)),"")</f>
        <v/>
      </c>
      <c r="D2317" t="str">
        <f>IFERROR(IF(B2317="","",VLOOKUP(B2317,CadProd!$A:$C,3,0)),"")</f>
        <v/>
      </c>
    </row>
    <row r="2318" spans="3:4" x14ac:dyDescent="0.3">
      <c r="C2318" t="str">
        <f>IFERROR(IF(B2318="","",VLOOKUP(B2318,CadProd!$A:$B,2,0)),"")</f>
        <v/>
      </c>
      <c r="D2318" t="str">
        <f>IFERROR(IF(B2318="","",VLOOKUP(B2318,CadProd!$A:$C,3,0)),"")</f>
        <v/>
      </c>
    </row>
    <row r="2319" spans="3:4" x14ac:dyDescent="0.3">
      <c r="C2319" t="str">
        <f>IFERROR(IF(B2319="","",VLOOKUP(B2319,CadProd!$A:$B,2,0)),"")</f>
        <v/>
      </c>
      <c r="D2319" t="str">
        <f>IFERROR(IF(B2319="","",VLOOKUP(B2319,CadProd!$A:$C,3,0)),"")</f>
        <v/>
      </c>
    </row>
    <row r="2320" spans="3:4" x14ac:dyDescent="0.3">
      <c r="C2320" t="str">
        <f>IFERROR(IF(B2320="","",VLOOKUP(B2320,CadProd!$A:$B,2,0)),"")</f>
        <v/>
      </c>
      <c r="D2320" t="str">
        <f>IFERROR(IF(B2320="","",VLOOKUP(B2320,CadProd!$A:$C,3,0)),"")</f>
        <v/>
      </c>
    </row>
    <row r="2321" spans="3:4" x14ac:dyDescent="0.3">
      <c r="C2321" t="str">
        <f>IFERROR(IF(B2321="","",VLOOKUP(B2321,CadProd!$A:$B,2,0)),"")</f>
        <v/>
      </c>
      <c r="D2321" t="str">
        <f>IFERROR(IF(B2321="","",VLOOKUP(B2321,CadProd!$A:$C,3,0)),"")</f>
        <v/>
      </c>
    </row>
    <row r="2322" spans="3:4" x14ac:dyDescent="0.3">
      <c r="C2322" t="str">
        <f>IFERROR(IF(B2322="","",VLOOKUP(B2322,CadProd!$A:$B,2,0)),"")</f>
        <v/>
      </c>
      <c r="D2322" t="str">
        <f>IFERROR(IF(B2322="","",VLOOKUP(B2322,CadProd!$A:$C,3,0)),"")</f>
        <v/>
      </c>
    </row>
    <row r="2323" spans="3:4" x14ac:dyDescent="0.3">
      <c r="C2323" t="str">
        <f>IFERROR(IF(B2323="","",VLOOKUP(B2323,CadProd!$A:$B,2,0)),"")</f>
        <v/>
      </c>
      <c r="D2323" t="str">
        <f>IFERROR(IF(B2323="","",VLOOKUP(B2323,CadProd!$A:$C,3,0)),"")</f>
        <v/>
      </c>
    </row>
    <row r="2324" spans="3:4" x14ac:dyDescent="0.3">
      <c r="C2324" t="str">
        <f>IFERROR(IF(B2324="","",VLOOKUP(B2324,CadProd!$A:$B,2,0)),"")</f>
        <v/>
      </c>
      <c r="D2324" t="str">
        <f>IFERROR(IF(B2324="","",VLOOKUP(B2324,CadProd!$A:$C,3,0)),"")</f>
        <v/>
      </c>
    </row>
    <row r="2325" spans="3:4" x14ac:dyDescent="0.3">
      <c r="C2325" t="str">
        <f>IFERROR(IF(B2325="","",VLOOKUP(B2325,CadProd!$A:$B,2,0)),"")</f>
        <v/>
      </c>
      <c r="D2325" t="str">
        <f>IFERROR(IF(B2325="","",VLOOKUP(B2325,CadProd!$A:$C,3,0)),"")</f>
        <v/>
      </c>
    </row>
    <row r="2326" spans="3:4" x14ac:dyDescent="0.3">
      <c r="C2326" t="str">
        <f>IFERROR(IF(B2326="","",VLOOKUP(B2326,CadProd!$A:$B,2,0)),"")</f>
        <v/>
      </c>
      <c r="D2326" t="str">
        <f>IFERROR(IF(B2326="","",VLOOKUP(B2326,CadProd!$A:$C,3,0)),"")</f>
        <v/>
      </c>
    </row>
    <row r="2327" spans="3:4" x14ac:dyDescent="0.3">
      <c r="C2327" t="str">
        <f>IFERROR(IF(B2327="","",VLOOKUP(B2327,CadProd!$A:$B,2,0)),"")</f>
        <v/>
      </c>
      <c r="D2327" t="str">
        <f>IFERROR(IF(B2327="","",VLOOKUP(B2327,CadProd!$A:$C,3,0)),"")</f>
        <v/>
      </c>
    </row>
    <row r="2328" spans="3:4" x14ac:dyDescent="0.3">
      <c r="C2328" t="str">
        <f>IFERROR(IF(B2328="","",VLOOKUP(B2328,CadProd!$A:$B,2,0)),"")</f>
        <v/>
      </c>
      <c r="D2328" t="str">
        <f>IFERROR(IF(B2328="","",VLOOKUP(B2328,CadProd!$A:$C,3,0)),"")</f>
        <v/>
      </c>
    </row>
    <row r="2329" spans="3:4" x14ac:dyDescent="0.3">
      <c r="C2329" t="str">
        <f>IFERROR(IF(B2329="","",VLOOKUP(B2329,CadProd!$A:$B,2,0)),"")</f>
        <v/>
      </c>
      <c r="D2329" t="str">
        <f>IFERROR(IF(B2329="","",VLOOKUP(B2329,CadProd!$A:$C,3,0)),"")</f>
        <v/>
      </c>
    </row>
    <row r="2330" spans="3:4" x14ac:dyDescent="0.3">
      <c r="C2330" t="str">
        <f>IFERROR(IF(B2330="","",VLOOKUP(B2330,CadProd!$A:$B,2,0)),"")</f>
        <v/>
      </c>
      <c r="D2330" t="str">
        <f>IFERROR(IF(B2330="","",VLOOKUP(B2330,CadProd!$A:$C,3,0)),"")</f>
        <v/>
      </c>
    </row>
    <row r="2331" spans="3:4" x14ac:dyDescent="0.3">
      <c r="C2331" t="str">
        <f>IFERROR(IF(B2331="","",VLOOKUP(B2331,CadProd!$A:$B,2,0)),"")</f>
        <v/>
      </c>
      <c r="D2331" t="str">
        <f>IFERROR(IF(B2331="","",VLOOKUP(B2331,CadProd!$A:$C,3,0)),"")</f>
        <v/>
      </c>
    </row>
    <row r="2332" spans="3:4" x14ac:dyDescent="0.3">
      <c r="C2332" t="str">
        <f>IFERROR(IF(B2332="","",VLOOKUP(B2332,CadProd!$A:$B,2,0)),"")</f>
        <v/>
      </c>
      <c r="D2332" t="str">
        <f>IFERROR(IF(B2332="","",VLOOKUP(B2332,CadProd!$A:$C,3,0)),"")</f>
        <v/>
      </c>
    </row>
    <row r="2333" spans="3:4" x14ac:dyDescent="0.3">
      <c r="C2333" t="str">
        <f>IFERROR(IF(B2333="","",VLOOKUP(B2333,CadProd!$A:$B,2,0)),"")</f>
        <v/>
      </c>
      <c r="D2333" t="str">
        <f>IFERROR(IF(B2333="","",VLOOKUP(B2333,CadProd!$A:$C,3,0)),"")</f>
        <v/>
      </c>
    </row>
    <row r="2334" spans="3:4" x14ac:dyDescent="0.3">
      <c r="C2334" t="str">
        <f>IFERROR(IF(B2334="","",VLOOKUP(B2334,CadProd!$A:$B,2,0)),"")</f>
        <v/>
      </c>
      <c r="D2334" t="str">
        <f>IFERROR(IF(B2334="","",VLOOKUP(B2334,CadProd!$A:$C,3,0)),"")</f>
        <v/>
      </c>
    </row>
    <row r="2335" spans="3:4" x14ac:dyDescent="0.3">
      <c r="C2335" t="str">
        <f>IFERROR(IF(B2335="","",VLOOKUP(B2335,CadProd!$A:$B,2,0)),"")</f>
        <v/>
      </c>
      <c r="D2335" t="str">
        <f>IFERROR(IF(B2335="","",VLOOKUP(B2335,CadProd!$A:$C,3,0)),"")</f>
        <v/>
      </c>
    </row>
    <row r="2336" spans="3:4" x14ac:dyDescent="0.3">
      <c r="C2336" t="str">
        <f>IFERROR(IF(B2336="","",VLOOKUP(B2336,CadProd!$A:$B,2,0)),"")</f>
        <v/>
      </c>
      <c r="D2336" t="str">
        <f>IFERROR(IF(B2336="","",VLOOKUP(B2336,CadProd!$A:$C,3,0)),"")</f>
        <v/>
      </c>
    </row>
    <row r="2337" spans="3:4" x14ac:dyDescent="0.3">
      <c r="C2337" t="str">
        <f>IFERROR(IF(B2337="","",VLOOKUP(B2337,CadProd!$A:$B,2,0)),"")</f>
        <v/>
      </c>
      <c r="D2337" t="str">
        <f>IFERROR(IF(B2337="","",VLOOKUP(B2337,CadProd!$A:$C,3,0)),"")</f>
        <v/>
      </c>
    </row>
    <row r="2338" spans="3:4" x14ac:dyDescent="0.3">
      <c r="C2338" t="str">
        <f>IFERROR(IF(B2338="","",VLOOKUP(B2338,CadProd!$A:$B,2,0)),"")</f>
        <v/>
      </c>
      <c r="D2338" t="str">
        <f>IFERROR(IF(B2338="","",VLOOKUP(B2338,CadProd!$A:$C,3,0)),"")</f>
        <v/>
      </c>
    </row>
    <row r="2339" spans="3:4" x14ac:dyDescent="0.3">
      <c r="C2339" t="str">
        <f>IFERROR(IF(B2339="","",VLOOKUP(B2339,CadProd!$A:$B,2,0)),"")</f>
        <v/>
      </c>
      <c r="D2339" t="str">
        <f>IFERROR(IF(B2339="","",VLOOKUP(B2339,CadProd!$A:$C,3,0)),"")</f>
        <v/>
      </c>
    </row>
    <row r="2340" spans="3:4" x14ac:dyDescent="0.3">
      <c r="C2340" t="str">
        <f>IFERROR(IF(B2340="","",VLOOKUP(B2340,CadProd!$A:$B,2,0)),"")</f>
        <v/>
      </c>
      <c r="D2340" t="str">
        <f>IFERROR(IF(B2340="","",VLOOKUP(B2340,CadProd!$A:$C,3,0)),"")</f>
        <v/>
      </c>
    </row>
    <row r="2341" spans="3:4" x14ac:dyDescent="0.3">
      <c r="C2341" t="str">
        <f>IFERROR(IF(B2341="","",VLOOKUP(B2341,CadProd!$A:$B,2,0)),"")</f>
        <v/>
      </c>
      <c r="D2341" t="str">
        <f>IFERROR(IF(B2341="","",VLOOKUP(B2341,CadProd!$A:$C,3,0)),"")</f>
        <v/>
      </c>
    </row>
    <row r="2342" spans="3:4" x14ac:dyDescent="0.3">
      <c r="C2342" t="str">
        <f>IFERROR(IF(B2342="","",VLOOKUP(B2342,CadProd!$A:$B,2,0)),"")</f>
        <v/>
      </c>
      <c r="D2342" t="str">
        <f>IFERROR(IF(B2342="","",VLOOKUP(B2342,CadProd!$A:$C,3,0)),"")</f>
        <v/>
      </c>
    </row>
    <row r="2343" spans="3:4" x14ac:dyDescent="0.3">
      <c r="C2343" t="str">
        <f>IFERROR(IF(B2343="","",VLOOKUP(B2343,CadProd!$A:$B,2,0)),"")</f>
        <v/>
      </c>
      <c r="D2343" t="str">
        <f>IFERROR(IF(B2343="","",VLOOKUP(B2343,CadProd!$A:$C,3,0)),"")</f>
        <v/>
      </c>
    </row>
    <row r="2344" spans="3:4" x14ac:dyDescent="0.3">
      <c r="C2344" t="str">
        <f>IFERROR(IF(B2344="","",VLOOKUP(B2344,CadProd!$A:$B,2,0)),"")</f>
        <v/>
      </c>
      <c r="D2344" t="str">
        <f>IFERROR(IF(B2344="","",VLOOKUP(B2344,CadProd!$A:$C,3,0)),"")</f>
        <v/>
      </c>
    </row>
    <row r="2345" spans="3:4" x14ac:dyDescent="0.3">
      <c r="C2345" t="str">
        <f>IFERROR(IF(B2345="","",VLOOKUP(B2345,CadProd!$A:$B,2,0)),"")</f>
        <v/>
      </c>
      <c r="D2345" t="str">
        <f>IFERROR(IF(B2345="","",VLOOKUP(B2345,CadProd!$A:$C,3,0)),"")</f>
        <v/>
      </c>
    </row>
    <row r="2346" spans="3:4" x14ac:dyDescent="0.3">
      <c r="C2346" t="str">
        <f>IFERROR(IF(B2346="","",VLOOKUP(B2346,CadProd!$A:$B,2,0)),"")</f>
        <v/>
      </c>
      <c r="D2346" t="str">
        <f>IFERROR(IF(B2346="","",VLOOKUP(B2346,CadProd!$A:$C,3,0)),"")</f>
        <v/>
      </c>
    </row>
    <row r="2347" spans="3:4" x14ac:dyDescent="0.3">
      <c r="C2347" t="str">
        <f>IFERROR(IF(B2347="","",VLOOKUP(B2347,CadProd!$A:$B,2,0)),"")</f>
        <v/>
      </c>
      <c r="D2347" t="str">
        <f>IFERROR(IF(B2347="","",VLOOKUP(B2347,CadProd!$A:$C,3,0)),"")</f>
        <v/>
      </c>
    </row>
    <row r="2348" spans="3:4" x14ac:dyDescent="0.3">
      <c r="C2348" t="str">
        <f>IFERROR(IF(B2348="","",VLOOKUP(B2348,CadProd!$A:$B,2,0)),"")</f>
        <v/>
      </c>
      <c r="D2348" t="str">
        <f>IFERROR(IF(B2348="","",VLOOKUP(B2348,CadProd!$A:$C,3,0)),"")</f>
        <v/>
      </c>
    </row>
    <row r="2349" spans="3:4" x14ac:dyDescent="0.3">
      <c r="C2349" t="str">
        <f>IFERROR(IF(B2349="","",VLOOKUP(B2349,CadProd!$A:$B,2,0)),"")</f>
        <v/>
      </c>
      <c r="D2349" t="str">
        <f>IFERROR(IF(B2349="","",VLOOKUP(B2349,CadProd!$A:$C,3,0)),"")</f>
        <v/>
      </c>
    </row>
    <row r="2350" spans="3:4" x14ac:dyDescent="0.3">
      <c r="C2350" t="str">
        <f>IFERROR(IF(B2350="","",VLOOKUP(B2350,CadProd!$A:$B,2,0)),"")</f>
        <v/>
      </c>
      <c r="D2350" t="str">
        <f>IFERROR(IF(B2350="","",VLOOKUP(B2350,CadProd!$A:$C,3,0)),"")</f>
        <v/>
      </c>
    </row>
    <row r="2351" spans="3:4" x14ac:dyDescent="0.3">
      <c r="C2351" t="str">
        <f>IFERROR(IF(B2351="","",VLOOKUP(B2351,CadProd!$A:$B,2,0)),"")</f>
        <v/>
      </c>
      <c r="D2351" t="str">
        <f>IFERROR(IF(B2351="","",VLOOKUP(B2351,CadProd!$A:$C,3,0)),"")</f>
        <v/>
      </c>
    </row>
    <row r="2352" spans="3:4" x14ac:dyDescent="0.3">
      <c r="C2352" t="str">
        <f>IFERROR(IF(B2352="","",VLOOKUP(B2352,CadProd!$A:$B,2,0)),"")</f>
        <v/>
      </c>
      <c r="D2352" t="str">
        <f>IFERROR(IF(B2352="","",VLOOKUP(B2352,CadProd!$A:$C,3,0)),"")</f>
        <v/>
      </c>
    </row>
    <row r="2353" spans="3:4" x14ac:dyDescent="0.3">
      <c r="C2353" t="str">
        <f>IFERROR(IF(B2353="","",VLOOKUP(B2353,CadProd!$A:$B,2,0)),"")</f>
        <v/>
      </c>
      <c r="D2353" t="str">
        <f>IFERROR(IF(B2353="","",VLOOKUP(B2353,CadProd!$A:$C,3,0)),"")</f>
        <v/>
      </c>
    </row>
    <row r="2354" spans="3:4" x14ac:dyDescent="0.3">
      <c r="C2354" t="str">
        <f>IFERROR(IF(B2354="","",VLOOKUP(B2354,CadProd!$A:$B,2,0)),"")</f>
        <v/>
      </c>
      <c r="D2354" t="str">
        <f>IFERROR(IF(B2354="","",VLOOKUP(B2354,CadProd!$A:$C,3,0)),"")</f>
        <v/>
      </c>
    </row>
    <row r="2355" spans="3:4" x14ac:dyDescent="0.3">
      <c r="C2355" t="str">
        <f>IFERROR(IF(B2355="","",VLOOKUP(B2355,CadProd!$A:$B,2,0)),"")</f>
        <v/>
      </c>
      <c r="D2355" t="str">
        <f>IFERROR(IF(B2355="","",VLOOKUP(B2355,CadProd!$A:$C,3,0)),"")</f>
        <v/>
      </c>
    </row>
    <row r="2356" spans="3:4" x14ac:dyDescent="0.3">
      <c r="C2356" t="str">
        <f>IFERROR(IF(B2356="","",VLOOKUP(B2356,CadProd!$A:$B,2,0)),"")</f>
        <v/>
      </c>
      <c r="D2356" t="str">
        <f>IFERROR(IF(B2356="","",VLOOKUP(B2356,CadProd!$A:$C,3,0)),"")</f>
        <v/>
      </c>
    </row>
    <row r="2357" spans="3:4" x14ac:dyDescent="0.3">
      <c r="C2357" t="str">
        <f>IFERROR(IF(B2357="","",VLOOKUP(B2357,CadProd!$A:$B,2,0)),"")</f>
        <v/>
      </c>
      <c r="D2357" t="str">
        <f>IFERROR(IF(B2357="","",VLOOKUP(B2357,CadProd!$A:$C,3,0)),"")</f>
        <v/>
      </c>
    </row>
    <row r="2358" spans="3:4" x14ac:dyDescent="0.3">
      <c r="C2358" t="str">
        <f>IFERROR(IF(B2358="","",VLOOKUP(B2358,CadProd!$A:$B,2,0)),"")</f>
        <v/>
      </c>
      <c r="D2358" t="str">
        <f>IFERROR(IF(B2358="","",VLOOKUP(B2358,CadProd!$A:$C,3,0)),"")</f>
        <v/>
      </c>
    </row>
    <row r="2359" spans="3:4" x14ac:dyDescent="0.3">
      <c r="C2359" t="str">
        <f>IFERROR(IF(B2359="","",VLOOKUP(B2359,CadProd!$A:$B,2,0)),"")</f>
        <v/>
      </c>
      <c r="D2359" t="str">
        <f>IFERROR(IF(B2359="","",VLOOKUP(B2359,CadProd!$A:$C,3,0)),"")</f>
        <v/>
      </c>
    </row>
    <row r="2360" spans="3:4" x14ac:dyDescent="0.3">
      <c r="C2360" t="str">
        <f>IFERROR(IF(B2360="","",VLOOKUP(B2360,CadProd!$A:$B,2,0)),"")</f>
        <v/>
      </c>
      <c r="D2360" t="str">
        <f>IFERROR(IF(B2360="","",VLOOKUP(B2360,CadProd!$A:$C,3,0)),"")</f>
        <v/>
      </c>
    </row>
    <row r="2361" spans="3:4" x14ac:dyDescent="0.3">
      <c r="C2361" t="str">
        <f>IFERROR(IF(B2361="","",VLOOKUP(B2361,CadProd!$A:$B,2,0)),"")</f>
        <v/>
      </c>
      <c r="D2361" t="str">
        <f>IFERROR(IF(B2361="","",VLOOKUP(B2361,CadProd!$A:$C,3,0)),"")</f>
        <v/>
      </c>
    </row>
    <row r="2362" spans="3:4" x14ac:dyDescent="0.3">
      <c r="C2362" t="str">
        <f>IFERROR(IF(B2362="","",VLOOKUP(B2362,CadProd!$A:$B,2,0)),"")</f>
        <v/>
      </c>
      <c r="D2362" t="str">
        <f>IFERROR(IF(B2362="","",VLOOKUP(B2362,CadProd!$A:$C,3,0)),"")</f>
        <v/>
      </c>
    </row>
    <row r="2363" spans="3:4" x14ac:dyDescent="0.3">
      <c r="C2363" t="str">
        <f>IFERROR(IF(B2363="","",VLOOKUP(B2363,CadProd!$A:$B,2,0)),"")</f>
        <v/>
      </c>
      <c r="D2363" t="str">
        <f>IFERROR(IF(B2363="","",VLOOKUP(B2363,CadProd!$A:$C,3,0)),"")</f>
        <v/>
      </c>
    </row>
    <row r="2364" spans="3:4" x14ac:dyDescent="0.3">
      <c r="C2364" t="str">
        <f>IFERROR(IF(B2364="","",VLOOKUP(B2364,CadProd!$A:$B,2,0)),"")</f>
        <v/>
      </c>
      <c r="D2364" t="str">
        <f>IFERROR(IF(B2364="","",VLOOKUP(B2364,CadProd!$A:$C,3,0)),"")</f>
        <v/>
      </c>
    </row>
    <row r="2365" spans="3:4" x14ac:dyDescent="0.3">
      <c r="C2365" t="str">
        <f>IFERROR(IF(B2365="","",VLOOKUP(B2365,CadProd!$A:$B,2,0)),"")</f>
        <v/>
      </c>
      <c r="D2365" t="str">
        <f>IFERROR(IF(B2365="","",VLOOKUP(B2365,CadProd!$A:$C,3,0)),"")</f>
        <v/>
      </c>
    </row>
    <row r="2366" spans="3:4" x14ac:dyDescent="0.3">
      <c r="C2366" t="str">
        <f>IFERROR(IF(B2366="","",VLOOKUP(B2366,CadProd!$A:$B,2,0)),"")</f>
        <v/>
      </c>
      <c r="D2366" t="str">
        <f>IFERROR(IF(B2366="","",VLOOKUP(B2366,CadProd!$A:$C,3,0)),"")</f>
        <v/>
      </c>
    </row>
    <row r="2367" spans="3:4" x14ac:dyDescent="0.3">
      <c r="C2367" t="str">
        <f>IFERROR(IF(B2367="","",VLOOKUP(B2367,CadProd!$A:$B,2,0)),"")</f>
        <v/>
      </c>
      <c r="D2367" t="str">
        <f>IFERROR(IF(B2367="","",VLOOKUP(B2367,CadProd!$A:$C,3,0)),"")</f>
        <v/>
      </c>
    </row>
    <row r="2368" spans="3:4" x14ac:dyDescent="0.3">
      <c r="C2368" t="str">
        <f>IFERROR(IF(B2368="","",VLOOKUP(B2368,CadProd!$A:$B,2,0)),"")</f>
        <v/>
      </c>
      <c r="D2368" t="str">
        <f>IFERROR(IF(B2368="","",VLOOKUP(B2368,CadProd!$A:$C,3,0)),"")</f>
        <v/>
      </c>
    </row>
    <row r="2369" spans="3:4" x14ac:dyDescent="0.3">
      <c r="C2369" t="str">
        <f>IFERROR(IF(B2369="","",VLOOKUP(B2369,CadProd!$A:$B,2,0)),"")</f>
        <v/>
      </c>
      <c r="D2369" t="str">
        <f>IFERROR(IF(B2369="","",VLOOKUP(B2369,CadProd!$A:$C,3,0)),"")</f>
        <v/>
      </c>
    </row>
    <row r="2370" spans="3:4" x14ac:dyDescent="0.3">
      <c r="C2370" t="str">
        <f>IFERROR(IF(B2370="","",VLOOKUP(B2370,CadProd!$A:$B,2,0)),"")</f>
        <v/>
      </c>
      <c r="D2370" t="str">
        <f>IFERROR(IF(B2370="","",VLOOKUP(B2370,CadProd!$A:$C,3,0)),"")</f>
        <v/>
      </c>
    </row>
    <row r="2371" spans="3:4" x14ac:dyDescent="0.3">
      <c r="C2371" t="str">
        <f>IFERROR(IF(B2371="","",VLOOKUP(B2371,CadProd!$A:$B,2,0)),"")</f>
        <v/>
      </c>
      <c r="D2371" t="str">
        <f>IFERROR(IF(B2371="","",VLOOKUP(B2371,CadProd!$A:$C,3,0)),"")</f>
        <v/>
      </c>
    </row>
    <row r="2372" spans="3:4" x14ac:dyDescent="0.3">
      <c r="C2372" t="str">
        <f>IFERROR(IF(B2372="","",VLOOKUP(B2372,CadProd!$A:$B,2,0)),"")</f>
        <v/>
      </c>
      <c r="D2372" t="str">
        <f>IFERROR(IF(B2372="","",VLOOKUP(B2372,CadProd!$A:$C,3,0)),"")</f>
        <v/>
      </c>
    </row>
    <row r="2373" spans="3:4" x14ac:dyDescent="0.3">
      <c r="C2373" t="str">
        <f>IFERROR(IF(B2373="","",VLOOKUP(B2373,CadProd!$A:$B,2,0)),"")</f>
        <v/>
      </c>
      <c r="D2373" t="str">
        <f>IFERROR(IF(B2373="","",VLOOKUP(B2373,CadProd!$A:$C,3,0)),"")</f>
        <v/>
      </c>
    </row>
    <row r="2374" spans="3:4" x14ac:dyDescent="0.3">
      <c r="C2374" t="str">
        <f>IFERROR(IF(B2374="","",VLOOKUP(B2374,CadProd!$A:$B,2,0)),"")</f>
        <v/>
      </c>
      <c r="D2374" t="str">
        <f>IFERROR(IF(B2374="","",VLOOKUP(B2374,CadProd!$A:$C,3,0)),"")</f>
        <v/>
      </c>
    </row>
    <row r="2375" spans="3:4" x14ac:dyDescent="0.3">
      <c r="C2375" t="str">
        <f>IFERROR(IF(B2375="","",VLOOKUP(B2375,CadProd!$A:$B,2,0)),"")</f>
        <v/>
      </c>
      <c r="D2375" t="str">
        <f>IFERROR(IF(B2375="","",VLOOKUP(B2375,CadProd!$A:$C,3,0)),"")</f>
        <v/>
      </c>
    </row>
    <row r="2376" spans="3:4" x14ac:dyDescent="0.3">
      <c r="C2376" t="str">
        <f>IFERROR(IF(B2376="","",VLOOKUP(B2376,CadProd!$A:$B,2,0)),"")</f>
        <v/>
      </c>
      <c r="D2376" t="str">
        <f>IFERROR(IF(B2376="","",VLOOKUP(B2376,CadProd!$A:$C,3,0)),"")</f>
        <v/>
      </c>
    </row>
    <row r="2377" spans="3:4" x14ac:dyDescent="0.3">
      <c r="C2377" t="str">
        <f>IFERROR(IF(B2377="","",VLOOKUP(B2377,CadProd!$A:$B,2,0)),"")</f>
        <v/>
      </c>
      <c r="D2377" t="str">
        <f>IFERROR(IF(B2377="","",VLOOKUP(B2377,CadProd!$A:$C,3,0)),"")</f>
        <v/>
      </c>
    </row>
    <row r="2378" spans="3:4" x14ac:dyDescent="0.3">
      <c r="C2378" t="str">
        <f>IFERROR(IF(B2378="","",VLOOKUP(B2378,CadProd!$A:$B,2,0)),"")</f>
        <v/>
      </c>
      <c r="D2378" t="str">
        <f>IFERROR(IF(B2378="","",VLOOKUP(B2378,CadProd!$A:$C,3,0)),"")</f>
        <v/>
      </c>
    </row>
    <row r="2379" spans="3:4" x14ac:dyDescent="0.3">
      <c r="C2379" t="str">
        <f>IFERROR(IF(B2379="","",VLOOKUP(B2379,CadProd!$A:$B,2,0)),"")</f>
        <v/>
      </c>
      <c r="D2379" t="str">
        <f>IFERROR(IF(B2379="","",VLOOKUP(B2379,CadProd!$A:$C,3,0)),"")</f>
        <v/>
      </c>
    </row>
    <row r="2380" spans="3:4" x14ac:dyDescent="0.3">
      <c r="C2380" t="str">
        <f>IFERROR(IF(B2380="","",VLOOKUP(B2380,CadProd!$A:$B,2,0)),"")</f>
        <v/>
      </c>
      <c r="D2380" t="str">
        <f>IFERROR(IF(B2380="","",VLOOKUP(B2380,CadProd!$A:$C,3,0)),"")</f>
        <v/>
      </c>
    </row>
    <row r="2381" spans="3:4" x14ac:dyDescent="0.3">
      <c r="C2381" t="str">
        <f>IFERROR(IF(B2381="","",VLOOKUP(B2381,CadProd!$A:$B,2,0)),"")</f>
        <v/>
      </c>
      <c r="D2381" t="str">
        <f>IFERROR(IF(B2381="","",VLOOKUP(B2381,CadProd!$A:$C,3,0)),"")</f>
        <v/>
      </c>
    </row>
    <row r="2382" spans="3:4" x14ac:dyDescent="0.3">
      <c r="C2382" t="str">
        <f>IFERROR(IF(B2382="","",VLOOKUP(B2382,CadProd!$A:$B,2,0)),"")</f>
        <v/>
      </c>
      <c r="D2382" t="str">
        <f>IFERROR(IF(B2382="","",VLOOKUP(B2382,CadProd!$A:$C,3,0)),"")</f>
        <v/>
      </c>
    </row>
    <row r="2383" spans="3:4" x14ac:dyDescent="0.3">
      <c r="C2383" t="str">
        <f>IFERROR(IF(B2383="","",VLOOKUP(B2383,CadProd!$A:$B,2,0)),"")</f>
        <v/>
      </c>
      <c r="D2383" t="str">
        <f>IFERROR(IF(B2383="","",VLOOKUP(B2383,CadProd!$A:$C,3,0)),"")</f>
        <v/>
      </c>
    </row>
    <row r="2384" spans="3:4" x14ac:dyDescent="0.3">
      <c r="C2384" t="str">
        <f>IFERROR(IF(B2384="","",VLOOKUP(B2384,CadProd!$A:$B,2,0)),"")</f>
        <v/>
      </c>
      <c r="D2384" t="str">
        <f>IFERROR(IF(B2384="","",VLOOKUP(B2384,CadProd!$A:$C,3,0)),"")</f>
        <v/>
      </c>
    </row>
    <row r="2385" spans="3:4" x14ac:dyDescent="0.3">
      <c r="C2385" t="str">
        <f>IFERROR(IF(B2385="","",VLOOKUP(B2385,CadProd!$A:$B,2,0)),"")</f>
        <v/>
      </c>
      <c r="D2385" t="str">
        <f>IFERROR(IF(B2385="","",VLOOKUP(B2385,CadProd!$A:$C,3,0)),"")</f>
        <v/>
      </c>
    </row>
    <row r="2386" spans="3:4" x14ac:dyDescent="0.3">
      <c r="C2386" t="str">
        <f>IFERROR(IF(B2386="","",VLOOKUP(B2386,CadProd!$A:$B,2,0)),"")</f>
        <v/>
      </c>
      <c r="D2386" t="str">
        <f>IFERROR(IF(B2386="","",VLOOKUP(B2386,CadProd!$A:$C,3,0)),"")</f>
        <v/>
      </c>
    </row>
    <row r="2387" spans="3:4" x14ac:dyDescent="0.3">
      <c r="C2387" t="str">
        <f>IFERROR(IF(B2387="","",VLOOKUP(B2387,CadProd!$A:$B,2,0)),"")</f>
        <v/>
      </c>
      <c r="D2387" t="str">
        <f>IFERROR(IF(B2387="","",VLOOKUP(B2387,CadProd!$A:$C,3,0)),"")</f>
        <v/>
      </c>
    </row>
    <row r="2388" spans="3:4" x14ac:dyDescent="0.3">
      <c r="C2388" t="str">
        <f>IFERROR(IF(B2388="","",VLOOKUP(B2388,CadProd!$A:$B,2,0)),"")</f>
        <v/>
      </c>
      <c r="D2388" t="str">
        <f>IFERROR(IF(B2388="","",VLOOKUP(B2388,CadProd!$A:$C,3,0)),"")</f>
        <v/>
      </c>
    </row>
    <row r="2389" spans="3:4" x14ac:dyDescent="0.3">
      <c r="C2389" t="str">
        <f>IFERROR(IF(B2389="","",VLOOKUP(B2389,CadProd!$A:$B,2,0)),"")</f>
        <v/>
      </c>
      <c r="D2389" t="str">
        <f>IFERROR(IF(B2389="","",VLOOKUP(B2389,CadProd!$A:$C,3,0)),"")</f>
        <v/>
      </c>
    </row>
    <row r="2390" spans="3:4" x14ac:dyDescent="0.3">
      <c r="C2390" t="str">
        <f>IFERROR(IF(B2390="","",VLOOKUP(B2390,CadProd!$A:$B,2,0)),"")</f>
        <v/>
      </c>
      <c r="D2390" t="str">
        <f>IFERROR(IF(B2390="","",VLOOKUP(B2390,CadProd!$A:$C,3,0)),"")</f>
        <v/>
      </c>
    </row>
    <row r="2391" spans="3:4" x14ac:dyDescent="0.3">
      <c r="C2391" t="str">
        <f>IFERROR(IF(B2391="","",VLOOKUP(B2391,CadProd!$A:$B,2,0)),"")</f>
        <v/>
      </c>
      <c r="D2391" t="str">
        <f>IFERROR(IF(B2391="","",VLOOKUP(B2391,CadProd!$A:$C,3,0)),"")</f>
        <v/>
      </c>
    </row>
    <row r="2392" spans="3:4" x14ac:dyDescent="0.3">
      <c r="C2392" t="str">
        <f>IFERROR(IF(B2392="","",VLOOKUP(B2392,CadProd!$A:$B,2,0)),"")</f>
        <v/>
      </c>
      <c r="D2392" t="str">
        <f>IFERROR(IF(B2392="","",VLOOKUP(B2392,CadProd!$A:$C,3,0)),"")</f>
        <v/>
      </c>
    </row>
    <row r="2393" spans="3:4" x14ac:dyDescent="0.3">
      <c r="C2393" t="str">
        <f>IFERROR(IF(B2393="","",VLOOKUP(B2393,CadProd!$A:$B,2,0)),"")</f>
        <v/>
      </c>
      <c r="D2393" t="str">
        <f>IFERROR(IF(B2393="","",VLOOKUP(B2393,CadProd!$A:$C,3,0)),"")</f>
        <v/>
      </c>
    </row>
    <row r="2394" spans="3:4" x14ac:dyDescent="0.3">
      <c r="C2394" t="str">
        <f>IFERROR(IF(B2394="","",VLOOKUP(B2394,CadProd!$A:$B,2,0)),"")</f>
        <v/>
      </c>
      <c r="D2394" t="str">
        <f>IFERROR(IF(B2394="","",VLOOKUP(B2394,CadProd!$A:$C,3,0)),"")</f>
        <v/>
      </c>
    </row>
    <row r="2395" spans="3:4" x14ac:dyDescent="0.3">
      <c r="C2395" t="str">
        <f>IFERROR(IF(B2395="","",VLOOKUP(B2395,CadProd!$A:$B,2,0)),"")</f>
        <v/>
      </c>
      <c r="D2395" t="str">
        <f>IFERROR(IF(B2395="","",VLOOKUP(B2395,CadProd!$A:$C,3,0)),"")</f>
        <v/>
      </c>
    </row>
    <row r="2396" spans="3:4" x14ac:dyDescent="0.3">
      <c r="C2396" t="str">
        <f>IFERROR(IF(B2396="","",VLOOKUP(B2396,CadProd!$A:$B,2,0)),"")</f>
        <v/>
      </c>
      <c r="D2396" t="str">
        <f>IFERROR(IF(B2396="","",VLOOKUP(B2396,CadProd!$A:$C,3,0)),"")</f>
        <v/>
      </c>
    </row>
    <row r="2397" spans="3:4" x14ac:dyDescent="0.3">
      <c r="C2397" t="str">
        <f>IFERROR(IF(B2397="","",VLOOKUP(B2397,CadProd!$A:$B,2,0)),"")</f>
        <v/>
      </c>
      <c r="D2397" t="str">
        <f>IFERROR(IF(B2397="","",VLOOKUP(B2397,CadProd!$A:$C,3,0)),"")</f>
        <v/>
      </c>
    </row>
    <row r="2398" spans="3:4" x14ac:dyDescent="0.3">
      <c r="C2398" t="str">
        <f>IFERROR(IF(B2398="","",VLOOKUP(B2398,CadProd!$A:$B,2,0)),"")</f>
        <v/>
      </c>
      <c r="D2398" t="str">
        <f>IFERROR(IF(B2398="","",VLOOKUP(B2398,CadProd!$A:$C,3,0)),"")</f>
        <v/>
      </c>
    </row>
    <row r="2399" spans="3:4" x14ac:dyDescent="0.3">
      <c r="C2399" t="str">
        <f>IFERROR(IF(B2399="","",VLOOKUP(B2399,CadProd!$A:$B,2,0)),"")</f>
        <v/>
      </c>
      <c r="D2399" t="str">
        <f>IFERROR(IF(B2399="","",VLOOKUP(B2399,CadProd!$A:$C,3,0)),"")</f>
        <v/>
      </c>
    </row>
    <row r="2400" spans="3:4" x14ac:dyDescent="0.3">
      <c r="C2400" t="str">
        <f>IFERROR(IF(B2400="","",VLOOKUP(B2400,CadProd!$A:$B,2,0)),"")</f>
        <v/>
      </c>
      <c r="D2400" t="str">
        <f>IFERROR(IF(B2400="","",VLOOKUP(B2400,CadProd!$A:$C,3,0)),"")</f>
        <v/>
      </c>
    </row>
    <row r="2401" spans="3:4" x14ac:dyDescent="0.3">
      <c r="C2401" t="str">
        <f>IFERROR(IF(B2401="","",VLOOKUP(B2401,CadProd!$A:$B,2,0)),"")</f>
        <v/>
      </c>
      <c r="D2401" t="str">
        <f>IFERROR(IF(B2401="","",VLOOKUP(B2401,CadProd!$A:$C,3,0)),"")</f>
        <v/>
      </c>
    </row>
    <row r="2402" spans="3:4" x14ac:dyDescent="0.3">
      <c r="C2402" t="str">
        <f>IFERROR(IF(B2402="","",VLOOKUP(B2402,CadProd!$A:$B,2,0)),"")</f>
        <v/>
      </c>
      <c r="D2402" t="str">
        <f>IFERROR(IF(B2402="","",VLOOKUP(B2402,CadProd!$A:$C,3,0)),"")</f>
        <v/>
      </c>
    </row>
    <row r="2403" spans="3:4" x14ac:dyDescent="0.3">
      <c r="C2403" t="str">
        <f>IFERROR(IF(B2403="","",VLOOKUP(B2403,CadProd!$A:$B,2,0)),"")</f>
        <v/>
      </c>
      <c r="D2403" t="str">
        <f>IFERROR(IF(B2403="","",VLOOKUP(B2403,CadProd!$A:$C,3,0)),"")</f>
        <v/>
      </c>
    </row>
    <row r="2404" spans="3:4" x14ac:dyDescent="0.3">
      <c r="C2404" t="str">
        <f>IFERROR(IF(B2404="","",VLOOKUP(B2404,CadProd!$A:$B,2,0)),"")</f>
        <v/>
      </c>
      <c r="D2404" t="str">
        <f>IFERROR(IF(B2404="","",VLOOKUP(B2404,CadProd!$A:$C,3,0)),"")</f>
        <v/>
      </c>
    </row>
    <row r="2405" spans="3:4" x14ac:dyDescent="0.3">
      <c r="C2405" t="str">
        <f>IFERROR(IF(B2405="","",VLOOKUP(B2405,CadProd!$A:$B,2,0)),"")</f>
        <v/>
      </c>
      <c r="D2405" t="str">
        <f>IFERROR(IF(B2405="","",VLOOKUP(B2405,CadProd!$A:$C,3,0)),"")</f>
        <v/>
      </c>
    </row>
    <row r="2406" spans="3:4" x14ac:dyDescent="0.3">
      <c r="C2406" t="str">
        <f>IFERROR(IF(B2406="","",VLOOKUP(B2406,CadProd!$A:$B,2,0)),"")</f>
        <v/>
      </c>
      <c r="D2406" t="str">
        <f>IFERROR(IF(B2406="","",VLOOKUP(B2406,CadProd!$A:$C,3,0)),"")</f>
        <v/>
      </c>
    </row>
    <row r="2407" spans="3:4" x14ac:dyDescent="0.3">
      <c r="C2407" t="str">
        <f>IFERROR(IF(B2407="","",VLOOKUP(B2407,CadProd!$A:$B,2,0)),"")</f>
        <v/>
      </c>
      <c r="D2407" t="str">
        <f>IFERROR(IF(B2407="","",VLOOKUP(B2407,CadProd!$A:$C,3,0)),"")</f>
        <v/>
      </c>
    </row>
    <row r="2408" spans="3:4" x14ac:dyDescent="0.3">
      <c r="C2408" t="str">
        <f>IFERROR(IF(B2408="","",VLOOKUP(B2408,CadProd!$A:$B,2,0)),"")</f>
        <v/>
      </c>
      <c r="D2408" t="str">
        <f>IFERROR(IF(B2408="","",VLOOKUP(B2408,CadProd!$A:$C,3,0)),"")</f>
        <v/>
      </c>
    </row>
    <row r="2409" spans="3:4" x14ac:dyDescent="0.3">
      <c r="C2409" t="str">
        <f>IFERROR(IF(B2409="","",VLOOKUP(B2409,CadProd!$A:$B,2,0)),"")</f>
        <v/>
      </c>
      <c r="D2409" t="str">
        <f>IFERROR(IF(B2409="","",VLOOKUP(B2409,CadProd!$A:$C,3,0)),"")</f>
        <v/>
      </c>
    </row>
    <row r="2410" spans="3:4" x14ac:dyDescent="0.3">
      <c r="C2410" t="str">
        <f>IFERROR(IF(B2410="","",VLOOKUP(B2410,CadProd!$A:$B,2,0)),"")</f>
        <v/>
      </c>
      <c r="D2410" t="str">
        <f>IFERROR(IF(B2410="","",VLOOKUP(B2410,CadProd!$A:$C,3,0)),"")</f>
        <v/>
      </c>
    </row>
    <row r="2411" spans="3:4" x14ac:dyDescent="0.3">
      <c r="C2411" t="str">
        <f>IFERROR(IF(B2411="","",VLOOKUP(B2411,CadProd!$A:$B,2,0)),"")</f>
        <v/>
      </c>
      <c r="D2411" t="str">
        <f>IFERROR(IF(B2411="","",VLOOKUP(B2411,CadProd!$A:$C,3,0)),"")</f>
        <v/>
      </c>
    </row>
    <row r="2412" spans="3:4" x14ac:dyDescent="0.3">
      <c r="C2412" t="str">
        <f>IFERROR(IF(B2412="","",VLOOKUP(B2412,CadProd!$A:$B,2,0)),"")</f>
        <v/>
      </c>
      <c r="D2412" t="str">
        <f>IFERROR(IF(B2412="","",VLOOKUP(B2412,CadProd!$A:$C,3,0)),"")</f>
        <v/>
      </c>
    </row>
    <row r="2413" spans="3:4" x14ac:dyDescent="0.3">
      <c r="C2413" t="str">
        <f>IFERROR(IF(B2413="","",VLOOKUP(B2413,CadProd!$A:$B,2,0)),"")</f>
        <v/>
      </c>
      <c r="D2413" t="str">
        <f>IFERROR(IF(B2413="","",VLOOKUP(B2413,CadProd!$A:$C,3,0)),"")</f>
        <v/>
      </c>
    </row>
    <row r="2414" spans="3:4" x14ac:dyDescent="0.3">
      <c r="C2414" t="str">
        <f>IFERROR(IF(B2414="","",VLOOKUP(B2414,CadProd!$A:$B,2,0)),"")</f>
        <v/>
      </c>
      <c r="D2414" t="str">
        <f>IFERROR(IF(B2414="","",VLOOKUP(B2414,CadProd!$A:$C,3,0)),"")</f>
        <v/>
      </c>
    </row>
    <row r="2415" spans="3:4" x14ac:dyDescent="0.3">
      <c r="C2415" t="str">
        <f>IFERROR(IF(B2415="","",VLOOKUP(B2415,CadProd!$A:$B,2,0)),"")</f>
        <v/>
      </c>
      <c r="D2415" t="str">
        <f>IFERROR(IF(B2415="","",VLOOKUP(B2415,CadProd!$A:$C,3,0)),"")</f>
        <v/>
      </c>
    </row>
    <row r="2416" spans="3:4" x14ac:dyDescent="0.3">
      <c r="C2416" t="str">
        <f>IFERROR(IF(B2416="","",VLOOKUP(B2416,CadProd!$A:$B,2,0)),"")</f>
        <v/>
      </c>
      <c r="D2416" t="str">
        <f>IFERROR(IF(B2416="","",VLOOKUP(B2416,CadProd!$A:$C,3,0)),"")</f>
        <v/>
      </c>
    </row>
    <row r="2417" spans="3:4" x14ac:dyDescent="0.3">
      <c r="C2417" t="str">
        <f>IFERROR(IF(B2417="","",VLOOKUP(B2417,CadProd!$A:$B,2,0)),"")</f>
        <v/>
      </c>
      <c r="D2417" t="str">
        <f>IFERROR(IF(B2417="","",VLOOKUP(B2417,CadProd!$A:$C,3,0)),"")</f>
        <v/>
      </c>
    </row>
    <row r="2418" spans="3:4" x14ac:dyDescent="0.3">
      <c r="C2418" t="str">
        <f>IFERROR(IF(B2418="","",VLOOKUP(B2418,CadProd!$A:$B,2,0)),"")</f>
        <v/>
      </c>
      <c r="D2418" t="str">
        <f>IFERROR(IF(B2418="","",VLOOKUP(B2418,CadProd!$A:$C,3,0)),"")</f>
        <v/>
      </c>
    </row>
    <row r="2419" spans="3:4" x14ac:dyDescent="0.3">
      <c r="C2419" t="str">
        <f>IFERROR(IF(B2419="","",VLOOKUP(B2419,CadProd!$A:$B,2,0)),"")</f>
        <v/>
      </c>
      <c r="D2419" t="str">
        <f>IFERROR(IF(B2419="","",VLOOKUP(B2419,CadProd!$A:$C,3,0)),"")</f>
        <v/>
      </c>
    </row>
    <row r="2420" spans="3:4" x14ac:dyDescent="0.3">
      <c r="C2420" t="str">
        <f>IFERROR(IF(B2420="","",VLOOKUP(B2420,CadProd!$A:$B,2,0)),"")</f>
        <v/>
      </c>
      <c r="D2420" t="str">
        <f>IFERROR(IF(B2420="","",VLOOKUP(B2420,CadProd!$A:$C,3,0)),"")</f>
        <v/>
      </c>
    </row>
    <row r="2421" spans="3:4" x14ac:dyDescent="0.3">
      <c r="C2421" t="str">
        <f>IFERROR(IF(B2421="","",VLOOKUP(B2421,CadProd!$A:$B,2,0)),"")</f>
        <v/>
      </c>
      <c r="D2421" t="str">
        <f>IFERROR(IF(B2421="","",VLOOKUP(B2421,CadProd!$A:$C,3,0)),"")</f>
        <v/>
      </c>
    </row>
    <row r="2422" spans="3:4" x14ac:dyDescent="0.3">
      <c r="C2422" t="str">
        <f>IFERROR(IF(B2422="","",VLOOKUP(B2422,CadProd!$A:$B,2,0)),"")</f>
        <v/>
      </c>
      <c r="D2422" t="str">
        <f>IFERROR(IF(B2422="","",VLOOKUP(B2422,CadProd!$A:$C,3,0)),"")</f>
        <v/>
      </c>
    </row>
    <row r="2423" spans="3:4" x14ac:dyDescent="0.3">
      <c r="C2423" t="str">
        <f>IFERROR(IF(B2423="","",VLOOKUP(B2423,CadProd!$A:$B,2,0)),"")</f>
        <v/>
      </c>
      <c r="D2423" t="str">
        <f>IFERROR(IF(B2423="","",VLOOKUP(B2423,CadProd!$A:$C,3,0)),"")</f>
        <v/>
      </c>
    </row>
    <row r="2424" spans="3:4" x14ac:dyDescent="0.3">
      <c r="C2424" t="str">
        <f>IFERROR(IF(B2424="","",VLOOKUP(B2424,CadProd!$A:$B,2,0)),"")</f>
        <v/>
      </c>
      <c r="D2424" t="str">
        <f>IFERROR(IF(B2424="","",VLOOKUP(B2424,CadProd!$A:$C,3,0)),"")</f>
        <v/>
      </c>
    </row>
    <row r="2425" spans="3:4" x14ac:dyDescent="0.3">
      <c r="C2425" t="str">
        <f>IFERROR(IF(B2425="","",VLOOKUP(B2425,CadProd!$A:$B,2,0)),"")</f>
        <v/>
      </c>
      <c r="D2425" t="str">
        <f>IFERROR(IF(B2425="","",VLOOKUP(B2425,CadProd!$A:$C,3,0)),"")</f>
        <v/>
      </c>
    </row>
    <row r="2426" spans="3:4" x14ac:dyDescent="0.3">
      <c r="C2426" t="str">
        <f>IFERROR(IF(B2426="","",VLOOKUP(B2426,CadProd!$A:$B,2,0)),"")</f>
        <v/>
      </c>
      <c r="D2426" t="str">
        <f>IFERROR(IF(B2426="","",VLOOKUP(B2426,CadProd!$A:$C,3,0)),"")</f>
        <v/>
      </c>
    </row>
    <row r="2427" spans="3:4" x14ac:dyDescent="0.3">
      <c r="C2427" t="str">
        <f>IFERROR(IF(B2427="","",VLOOKUP(B2427,CadProd!$A:$B,2,0)),"")</f>
        <v/>
      </c>
      <c r="D2427" t="str">
        <f>IFERROR(IF(B2427="","",VLOOKUP(B2427,CadProd!$A:$C,3,0)),"")</f>
        <v/>
      </c>
    </row>
    <row r="2428" spans="3:4" x14ac:dyDescent="0.3">
      <c r="C2428" t="str">
        <f>IFERROR(IF(B2428="","",VLOOKUP(B2428,CadProd!$A:$B,2,0)),"")</f>
        <v/>
      </c>
      <c r="D2428" t="str">
        <f>IFERROR(IF(B2428="","",VLOOKUP(B2428,CadProd!$A:$C,3,0)),"")</f>
        <v/>
      </c>
    </row>
    <row r="2429" spans="3:4" x14ac:dyDescent="0.3">
      <c r="C2429" t="str">
        <f>IFERROR(IF(B2429="","",VLOOKUP(B2429,CadProd!$A:$B,2,0)),"")</f>
        <v/>
      </c>
      <c r="D2429" t="str">
        <f>IFERROR(IF(B2429="","",VLOOKUP(B2429,CadProd!$A:$C,3,0)),"")</f>
        <v/>
      </c>
    </row>
    <row r="2430" spans="3:4" x14ac:dyDescent="0.3">
      <c r="C2430" t="str">
        <f>IFERROR(IF(B2430="","",VLOOKUP(B2430,CadProd!$A:$B,2,0)),"")</f>
        <v/>
      </c>
      <c r="D2430" t="str">
        <f>IFERROR(IF(B2430="","",VLOOKUP(B2430,CadProd!$A:$C,3,0)),"")</f>
        <v/>
      </c>
    </row>
    <row r="2431" spans="3:4" x14ac:dyDescent="0.3">
      <c r="C2431" t="str">
        <f>IFERROR(IF(B2431="","",VLOOKUP(B2431,CadProd!$A:$B,2,0)),"")</f>
        <v/>
      </c>
      <c r="D2431" t="str">
        <f>IFERROR(IF(B2431="","",VLOOKUP(B2431,CadProd!$A:$C,3,0)),"")</f>
        <v/>
      </c>
    </row>
    <row r="2432" spans="3:4" x14ac:dyDescent="0.3">
      <c r="C2432" t="str">
        <f>IFERROR(IF(B2432="","",VLOOKUP(B2432,CadProd!$A:$B,2,0)),"")</f>
        <v/>
      </c>
      <c r="D2432" t="str">
        <f>IFERROR(IF(B2432="","",VLOOKUP(B2432,CadProd!$A:$C,3,0)),"")</f>
        <v/>
      </c>
    </row>
    <row r="2433" spans="3:4" x14ac:dyDescent="0.3">
      <c r="C2433" t="str">
        <f>IFERROR(IF(B2433="","",VLOOKUP(B2433,CadProd!$A:$B,2,0)),"")</f>
        <v/>
      </c>
      <c r="D2433" t="str">
        <f>IFERROR(IF(B2433="","",VLOOKUP(B2433,CadProd!$A:$C,3,0)),"")</f>
        <v/>
      </c>
    </row>
    <row r="2434" spans="3:4" x14ac:dyDescent="0.3">
      <c r="C2434" t="str">
        <f>IFERROR(IF(B2434="","",VLOOKUP(B2434,CadProd!$A:$B,2,0)),"")</f>
        <v/>
      </c>
      <c r="D2434" t="str">
        <f>IFERROR(IF(B2434="","",VLOOKUP(B2434,CadProd!$A:$C,3,0)),"")</f>
        <v/>
      </c>
    </row>
    <row r="2435" spans="3:4" x14ac:dyDescent="0.3">
      <c r="C2435" t="str">
        <f>IFERROR(IF(B2435="","",VLOOKUP(B2435,CadProd!$A:$B,2,0)),"")</f>
        <v/>
      </c>
      <c r="D2435" t="str">
        <f>IFERROR(IF(B2435="","",VLOOKUP(B2435,CadProd!$A:$C,3,0)),"")</f>
        <v/>
      </c>
    </row>
    <row r="2436" spans="3:4" x14ac:dyDescent="0.3">
      <c r="C2436" t="str">
        <f>IFERROR(IF(B2436="","",VLOOKUP(B2436,CadProd!$A:$B,2,0)),"")</f>
        <v/>
      </c>
      <c r="D2436" t="str">
        <f>IFERROR(IF(B2436="","",VLOOKUP(B2436,CadProd!$A:$C,3,0)),"")</f>
        <v/>
      </c>
    </row>
    <row r="2437" spans="3:4" x14ac:dyDescent="0.3">
      <c r="C2437" t="str">
        <f>IFERROR(IF(B2437="","",VLOOKUP(B2437,CadProd!$A:$B,2,0)),"")</f>
        <v/>
      </c>
      <c r="D2437" t="str">
        <f>IFERROR(IF(B2437="","",VLOOKUP(B2437,CadProd!$A:$C,3,0)),"")</f>
        <v/>
      </c>
    </row>
    <row r="2438" spans="3:4" x14ac:dyDescent="0.3">
      <c r="C2438" t="str">
        <f>IFERROR(IF(B2438="","",VLOOKUP(B2438,CadProd!$A:$B,2,0)),"")</f>
        <v/>
      </c>
      <c r="D2438" t="str">
        <f>IFERROR(IF(B2438="","",VLOOKUP(B2438,CadProd!$A:$C,3,0)),"")</f>
        <v/>
      </c>
    </row>
    <row r="2439" spans="3:4" x14ac:dyDescent="0.3">
      <c r="C2439" t="str">
        <f>IFERROR(IF(B2439="","",VLOOKUP(B2439,CadProd!$A:$B,2,0)),"")</f>
        <v/>
      </c>
      <c r="D2439" t="str">
        <f>IFERROR(IF(B2439="","",VLOOKUP(B2439,CadProd!$A:$C,3,0)),"")</f>
        <v/>
      </c>
    </row>
    <row r="2440" spans="3:4" x14ac:dyDescent="0.3">
      <c r="C2440" t="str">
        <f>IFERROR(IF(B2440="","",VLOOKUP(B2440,CadProd!$A:$B,2,0)),"")</f>
        <v/>
      </c>
      <c r="D2440" t="str">
        <f>IFERROR(IF(B2440="","",VLOOKUP(B2440,CadProd!$A:$C,3,0)),"")</f>
        <v/>
      </c>
    </row>
    <row r="2441" spans="3:4" x14ac:dyDescent="0.3">
      <c r="C2441" t="str">
        <f>IFERROR(IF(B2441="","",VLOOKUP(B2441,CadProd!$A:$B,2,0)),"")</f>
        <v/>
      </c>
      <c r="D2441" t="str">
        <f>IFERROR(IF(B2441="","",VLOOKUP(B2441,CadProd!$A:$C,3,0)),"")</f>
        <v/>
      </c>
    </row>
    <row r="2442" spans="3:4" x14ac:dyDescent="0.3">
      <c r="C2442" t="str">
        <f>IFERROR(IF(B2442="","",VLOOKUP(B2442,CadProd!$A:$B,2,0)),"")</f>
        <v/>
      </c>
      <c r="D2442" t="str">
        <f>IFERROR(IF(B2442="","",VLOOKUP(B2442,CadProd!$A:$C,3,0)),"")</f>
        <v/>
      </c>
    </row>
    <row r="2443" spans="3:4" x14ac:dyDescent="0.3">
      <c r="C2443" t="str">
        <f>IFERROR(IF(B2443="","",VLOOKUP(B2443,CadProd!$A:$B,2,0)),"")</f>
        <v/>
      </c>
      <c r="D2443" t="str">
        <f>IFERROR(IF(B2443="","",VLOOKUP(B2443,CadProd!$A:$C,3,0)),"")</f>
        <v/>
      </c>
    </row>
    <row r="2444" spans="3:4" x14ac:dyDescent="0.3">
      <c r="C2444" t="str">
        <f>IFERROR(IF(B2444="","",VLOOKUP(B2444,CadProd!$A:$B,2,0)),"")</f>
        <v/>
      </c>
      <c r="D2444" t="str">
        <f>IFERROR(IF(B2444="","",VLOOKUP(B2444,CadProd!$A:$C,3,0)),"")</f>
        <v/>
      </c>
    </row>
    <row r="2445" spans="3:4" x14ac:dyDescent="0.3">
      <c r="C2445" t="str">
        <f>IFERROR(IF(B2445="","",VLOOKUP(B2445,CadProd!$A:$B,2,0)),"")</f>
        <v/>
      </c>
      <c r="D2445" t="str">
        <f>IFERROR(IF(B2445="","",VLOOKUP(B2445,CadProd!$A:$C,3,0)),"")</f>
        <v/>
      </c>
    </row>
    <row r="2446" spans="3:4" x14ac:dyDescent="0.3">
      <c r="C2446" t="str">
        <f>IFERROR(IF(B2446="","",VLOOKUP(B2446,CadProd!$A:$B,2,0)),"")</f>
        <v/>
      </c>
      <c r="D2446" t="str">
        <f>IFERROR(IF(B2446="","",VLOOKUP(B2446,CadProd!$A:$C,3,0)),"")</f>
        <v/>
      </c>
    </row>
    <row r="2447" spans="3:4" x14ac:dyDescent="0.3">
      <c r="C2447" t="str">
        <f>IFERROR(IF(B2447="","",VLOOKUP(B2447,CadProd!$A:$B,2,0)),"")</f>
        <v/>
      </c>
      <c r="D2447" t="str">
        <f>IFERROR(IF(B2447="","",VLOOKUP(B2447,CadProd!$A:$C,3,0)),"")</f>
        <v/>
      </c>
    </row>
    <row r="2448" spans="3:4" x14ac:dyDescent="0.3">
      <c r="C2448" t="str">
        <f>IFERROR(IF(B2448="","",VLOOKUP(B2448,CadProd!$A:$B,2,0)),"")</f>
        <v/>
      </c>
      <c r="D2448" t="str">
        <f>IFERROR(IF(B2448="","",VLOOKUP(B2448,CadProd!$A:$C,3,0)),"")</f>
        <v/>
      </c>
    </row>
    <row r="2449" spans="3:4" x14ac:dyDescent="0.3">
      <c r="C2449" t="str">
        <f>IFERROR(IF(B2449="","",VLOOKUP(B2449,CadProd!$A:$B,2,0)),"")</f>
        <v/>
      </c>
      <c r="D2449" t="str">
        <f>IFERROR(IF(B2449="","",VLOOKUP(B2449,CadProd!$A:$C,3,0)),"")</f>
        <v/>
      </c>
    </row>
    <row r="2450" spans="3:4" x14ac:dyDescent="0.3">
      <c r="C2450" t="str">
        <f>IFERROR(IF(B2450="","",VLOOKUP(B2450,CadProd!$A:$B,2,0)),"")</f>
        <v/>
      </c>
      <c r="D2450" t="str">
        <f>IFERROR(IF(B2450="","",VLOOKUP(B2450,CadProd!$A:$C,3,0)),"")</f>
        <v/>
      </c>
    </row>
    <row r="2451" spans="3:4" x14ac:dyDescent="0.3">
      <c r="C2451" t="str">
        <f>IFERROR(IF(B2451="","",VLOOKUP(B2451,CadProd!$A:$B,2,0)),"")</f>
        <v/>
      </c>
      <c r="D2451" t="str">
        <f>IFERROR(IF(B2451="","",VLOOKUP(B2451,CadProd!$A:$C,3,0)),"")</f>
        <v/>
      </c>
    </row>
    <row r="2452" spans="3:4" x14ac:dyDescent="0.3">
      <c r="C2452" t="str">
        <f>IFERROR(IF(B2452="","",VLOOKUP(B2452,CadProd!$A:$B,2,0)),"")</f>
        <v/>
      </c>
      <c r="D2452" t="str">
        <f>IFERROR(IF(B2452="","",VLOOKUP(B2452,CadProd!$A:$C,3,0)),"")</f>
        <v/>
      </c>
    </row>
    <row r="2453" spans="3:4" x14ac:dyDescent="0.3">
      <c r="C2453" t="str">
        <f>IFERROR(IF(B2453="","",VLOOKUP(B2453,CadProd!$A:$B,2,0)),"")</f>
        <v/>
      </c>
      <c r="D2453" t="str">
        <f>IFERROR(IF(B2453="","",VLOOKUP(B2453,CadProd!$A:$C,3,0)),"")</f>
        <v/>
      </c>
    </row>
    <row r="2454" spans="3:4" x14ac:dyDescent="0.3">
      <c r="C2454" t="str">
        <f>IFERROR(IF(B2454="","",VLOOKUP(B2454,CadProd!$A:$B,2,0)),"")</f>
        <v/>
      </c>
      <c r="D2454" t="str">
        <f>IFERROR(IF(B2454="","",VLOOKUP(B2454,CadProd!$A:$C,3,0)),"")</f>
        <v/>
      </c>
    </row>
    <row r="2455" spans="3:4" x14ac:dyDescent="0.3">
      <c r="C2455" t="str">
        <f>IFERROR(IF(B2455="","",VLOOKUP(B2455,CadProd!$A:$B,2,0)),"")</f>
        <v/>
      </c>
      <c r="D2455" t="str">
        <f>IFERROR(IF(B2455="","",VLOOKUP(B2455,CadProd!$A:$C,3,0)),"")</f>
        <v/>
      </c>
    </row>
    <row r="2456" spans="3:4" x14ac:dyDescent="0.3">
      <c r="C2456" t="str">
        <f>IFERROR(IF(B2456="","",VLOOKUP(B2456,CadProd!$A:$B,2,0)),"")</f>
        <v/>
      </c>
      <c r="D2456" t="str">
        <f>IFERROR(IF(B2456="","",VLOOKUP(B2456,CadProd!$A:$C,3,0)),"")</f>
        <v/>
      </c>
    </row>
    <row r="2457" spans="3:4" x14ac:dyDescent="0.3">
      <c r="C2457" t="str">
        <f>IFERROR(IF(B2457="","",VLOOKUP(B2457,CadProd!$A:$B,2,0)),"")</f>
        <v/>
      </c>
      <c r="D2457" t="str">
        <f>IFERROR(IF(B2457="","",VLOOKUP(B2457,CadProd!$A:$C,3,0)),"")</f>
        <v/>
      </c>
    </row>
    <row r="2458" spans="3:4" x14ac:dyDescent="0.3">
      <c r="C2458" t="str">
        <f>IFERROR(IF(B2458="","",VLOOKUP(B2458,CadProd!$A:$B,2,0)),"")</f>
        <v/>
      </c>
      <c r="D2458" t="str">
        <f>IFERROR(IF(B2458="","",VLOOKUP(B2458,CadProd!$A:$C,3,0)),"")</f>
        <v/>
      </c>
    </row>
    <row r="2459" spans="3:4" x14ac:dyDescent="0.3">
      <c r="C2459" t="str">
        <f>IFERROR(IF(B2459="","",VLOOKUP(B2459,CadProd!$A:$B,2,0)),"")</f>
        <v/>
      </c>
      <c r="D2459" t="str">
        <f>IFERROR(IF(B2459="","",VLOOKUP(B2459,CadProd!$A:$C,3,0)),"")</f>
        <v/>
      </c>
    </row>
    <row r="2460" spans="3:4" x14ac:dyDescent="0.3">
      <c r="C2460" t="str">
        <f>IFERROR(IF(B2460="","",VLOOKUP(B2460,CadProd!$A:$B,2,0)),"")</f>
        <v/>
      </c>
      <c r="D2460" t="str">
        <f>IFERROR(IF(B2460="","",VLOOKUP(B2460,CadProd!$A:$C,3,0)),"")</f>
        <v/>
      </c>
    </row>
    <row r="2461" spans="3:4" x14ac:dyDescent="0.3">
      <c r="C2461" t="str">
        <f>IFERROR(IF(B2461="","",VLOOKUP(B2461,CadProd!$A:$B,2,0)),"")</f>
        <v/>
      </c>
      <c r="D2461" t="str">
        <f>IFERROR(IF(B2461="","",VLOOKUP(B2461,CadProd!$A:$C,3,0)),"")</f>
        <v/>
      </c>
    </row>
    <row r="2462" spans="3:4" x14ac:dyDescent="0.3">
      <c r="C2462" t="str">
        <f>IFERROR(IF(B2462="","",VLOOKUP(B2462,CadProd!$A:$B,2,0)),"")</f>
        <v/>
      </c>
      <c r="D2462" t="str">
        <f>IFERROR(IF(B2462="","",VLOOKUP(B2462,CadProd!$A:$C,3,0)),"")</f>
        <v/>
      </c>
    </row>
    <row r="2463" spans="3:4" x14ac:dyDescent="0.3">
      <c r="C2463" t="str">
        <f>IFERROR(IF(B2463="","",VLOOKUP(B2463,CadProd!$A:$B,2,0)),"")</f>
        <v/>
      </c>
      <c r="D2463" t="str">
        <f>IFERROR(IF(B2463="","",VLOOKUP(B2463,CadProd!$A:$C,3,0)),"")</f>
        <v/>
      </c>
    </row>
    <row r="2464" spans="3:4" x14ac:dyDescent="0.3">
      <c r="C2464" t="str">
        <f>IFERROR(IF(B2464="","",VLOOKUP(B2464,CadProd!$A:$B,2,0)),"")</f>
        <v/>
      </c>
      <c r="D2464" t="str">
        <f>IFERROR(IF(B2464="","",VLOOKUP(B2464,CadProd!$A:$C,3,0)),"")</f>
        <v/>
      </c>
    </row>
    <row r="2465" spans="3:4" x14ac:dyDescent="0.3">
      <c r="C2465" t="str">
        <f>IFERROR(IF(B2465="","",VLOOKUP(B2465,CadProd!$A:$B,2,0)),"")</f>
        <v/>
      </c>
      <c r="D2465" t="str">
        <f>IFERROR(IF(B2465="","",VLOOKUP(B2465,CadProd!$A:$C,3,0)),"")</f>
        <v/>
      </c>
    </row>
    <row r="2466" spans="3:4" x14ac:dyDescent="0.3">
      <c r="C2466" t="str">
        <f>IFERROR(IF(B2466="","",VLOOKUP(B2466,CadProd!$A:$B,2,0)),"")</f>
        <v/>
      </c>
      <c r="D2466" t="str">
        <f>IFERROR(IF(B2466="","",VLOOKUP(B2466,CadProd!$A:$C,3,0)),"")</f>
        <v/>
      </c>
    </row>
    <row r="2467" spans="3:4" x14ac:dyDescent="0.3">
      <c r="C2467" t="str">
        <f>IFERROR(IF(B2467="","",VLOOKUP(B2467,CadProd!$A:$B,2,0)),"")</f>
        <v/>
      </c>
      <c r="D2467" t="str">
        <f>IFERROR(IF(B2467="","",VLOOKUP(B2467,CadProd!$A:$C,3,0)),"")</f>
        <v/>
      </c>
    </row>
    <row r="2468" spans="3:4" x14ac:dyDescent="0.3">
      <c r="C2468" t="str">
        <f>IFERROR(IF(B2468="","",VLOOKUP(B2468,CadProd!$A:$B,2,0)),"")</f>
        <v/>
      </c>
      <c r="D2468" t="str">
        <f>IFERROR(IF(B2468="","",VLOOKUP(B2468,CadProd!$A:$C,3,0)),"")</f>
        <v/>
      </c>
    </row>
    <row r="2469" spans="3:4" x14ac:dyDescent="0.3">
      <c r="C2469" t="str">
        <f>IFERROR(IF(B2469="","",VLOOKUP(B2469,CadProd!$A:$B,2,0)),"")</f>
        <v/>
      </c>
      <c r="D2469" t="str">
        <f>IFERROR(IF(B2469="","",VLOOKUP(B2469,CadProd!$A:$C,3,0)),"")</f>
        <v/>
      </c>
    </row>
    <row r="2470" spans="3:4" x14ac:dyDescent="0.3">
      <c r="C2470" t="str">
        <f>IFERROR(IF(B2470="","",VLOOKUP(B2470,CadProd!$A:$B,2,0)),"")</f>
        <v/>
      </c>
      <c r="D2470" t="str">
        <f>IFERROR(IF(B2470="","",VLOOKUP(B2470,CadProd!$A:$C,3,0)),"")</f>
        <v/>
      </c>
    </row>
    <row r="2471" spans="3:4" x14ac:dyDescent="0.3">
      <c r="C2471" t="str">
        <f>IFERROR(IF(B2471="","",VLOOKUP(B2471,CadProd!$A:$B,2,0)),"")</f>
        <v/>
      </c>
      <c r="D2471" t="str">
        <f>IFERROR(IF(B2471="","",VLOOKUP(B2471,CadProd!$A:$C,3,0)),"")</f>
        <v/>
      </c>
    </row>
    <row r="2472" spans="3:4" x14ac:dyDescent="0.3">
      <c r="C2472" t="str">
        <f>IFERROR(IF(B2472="","",VLOOKUP(B2472,CadProd!$A:$B,2,0)),"")</f>
        <v/>
      </c>
      <c r="D2472" t="str">
        <f>IFERROR(IF(B2472="","",VLOOKUP(B2472,CadProd!$A:$C,3,0)),"")</f>
        <v/>
      </c>
    </row>
    <row r="2473" spans="3:4" x14ac:dyDescent="0.3">
      <c r="C2473" t="str">
        <f>IFERROR(IF(B2473="","",VLOOKUP(B2473,CadProd!$A:$B,2,0)),"")</f>
        <v/>
      </c>
      <c r="D2473" t="str">
        <f>IFERROR(IF(B2473="","",VLOOKUP(B2473,CadProd!$A:$C,3,0)),"")</f>
        <v/>
      </c>
    </row>
    <row r="2474" spans="3:4" x14ac:dyDescent="0.3">
      <c r="C2474" t="str">
        <f>IFERROR(IF(B2474="","",VLOOKUP(B2474,CadProd!$A:$B,2,0)),"")</f>
        <v/>
      </c>
      <c r="D2474" t="str">
        <f>IFERROR(IF(B2474="","",VLOOKUP(B2474,CadProd!$A:$C,3,0)),"")</f>
        <v/>
      </c>
    </row>
    <row r="2475" spans="3:4" x14ac:dyDescent="0.3">
      <c r="C2475" t="str">
        <f>IFERROR(IF(B2475="","",VLOOKUP(B2475,CadProd!$A:$B,2,0)),"")</f>
        <v/>
      </c>
      <c r="D2475" t="str">
        <f>IFERROR(IF(B2475="","",VLOOKUP(B2475,CadProd!$A:$C,3,0)),"")</f>
        <v/>
      </c>
    </row>
    <row r="2476" spans="3:4" x14ac:dyDescent="0.3">
      <c r="C2476" t="str">
        <f>IFERROR(IF(B2476="","",VLOOKUP(B2476,CadProd!$A:$B,2,0)),"")</f>
        <v/>
      </c>
      <c r="D2476" t="str">
        <f>IFERROR(IF(B2476="","",VLOOKUP(B2476,CadProd!$A:$C,3,0)),"")</f>
        <v/>
      </c>
    </row>
    <row r="2477" spans="3:4" x14ac:dyDescent="0.3">
      <c r="C2477" t="str">
        <f>IFERROR(IF(B2477="","",VLOOKUP(B2477,CadProd!$A:$B,2,0)),"")</f>
        <v/>
      </c>
      <c r="D2477" t="str">
        <f>IFERROR(IF(B2477="","",VLOOKUP(B2477,CadProd!$A:$C,3,0)),"")</f>
        <v/>
      </c>
    </row>
    <row r="2478" spans="3:4" x14ac:dyDescent="0.3">
      <c r="C2478" t="str">
        <f>IFERROR(IF(B2478="","",VLOOKUP(B2478,CadProd!$A:$B,2,0)),"")</f>
        <v/>
      </c>
      <c r="D2478" t="str">
        <f>IFERROR(IF(B2478="","",VLOOKUP(B2478,CadProd!$A:$C,3,0)),"")</f>
        <v/>
      </c>
    </row>
    <row r="2479" spans="3:4" x14ac:dyDescent="0.3">
      <c r="C2479" t="str">
        <f>IFERROR(IF(B2479="","",VLOOKUP(B2479,CadProd!$A:$B,2,0)),"")</f>
        <v/>
      </c>
      <c r="D2479" t="str">
        <f>IFERROR(IF(B2479="","",VLOOKUP(B2479,CadProd!$A:$C,3,0)),"")</f>
        <v/>
      </c>
    </row>
    <row r="2480" spans="3:4" x14ac:dyDescent="0.3">
      <c r="C2480" t="str">
        <f>IFERROR(IF(B2480="","",VLOOKUP(B2480,CadProd!$A:$B,2,0)),"")</f>
        <v/>
      </c>
      <c r="D2480" t="str">
        <f>IFERROR(IF(B2480="","",VLOOKUP(B2480,CadProd!$A:$C,3,0)),"")</f>
        <v/>
      </c>
    </row>
    <row r="2481" spans="3:4" x14ac:dyDescent="0.3">
      <c r="C2481" t="str">
        <f>IFERROR(IF(B2481="","",VLOOKUP(B2481,CadProd!$A:$B,2,0)),"")</f>
        <v/>
      </c>
      <c r="D2481" t="str">
        <f>IFERROR(IF(B2481="","",VLOOKUP(B2481,CadProd!$A:$C,3,0)),"")</f>
        <v/>
      </c>
    </row>
    <row r="2482" spans="3:4" x14ac:dyDescent="0.3">
      <c r="C2482" t="str">
        <f>IFERROR(IF(B2482="","",VLOOKUP(B2482,CadProd!$A:$B,2,0)),"")</f>
        <v/>
      </c>
      <c r="D2482" t="str">
        <f>IFERROR(IF(B2482="","",VLOOKUP(B2482,CadProd!$A:$C,3,0)),"")</f>
        <v/>
      </c>
    </row>
    <row r="2483" spans="3:4" x14ac:dyDescent="0.3">
      <c r="C2483" t="str">
        <f>IFERROR(IF(B2483="","",VLOOKUP(B2483,CadProd!$A:$B,2,0)),"")</f>
        <v/>
      </c>
      <c r="D2483" t="str">
        <f>IFERROR(IF(B2483="","",VLOOKUP(B2483,CadProd!$A:$C,3,0)),"")</f>
        <v/>
      </c>
    </row>
    <row r="2484" spans="3:4" x14ac:dyDescent="0.3">
      <c r="C2484" t="str">
        <f>IFERROR(IF(B2484="","",VLOOKUP(B2484,CadProd!$A:$B,2,0)),"")</f>
        <v/>
      </c>
      <c r="D2484" t="str">
        <f>IFERROR(IF(B2484="","",VLOOKUP(B2484,CadProd!$A:$C,3,0)),"")</f>
        <v/>
      </c>
    </row>
    <row r="2485" spans="3:4" x14ac:dyDescent="0.3">
      <c r="C2485" t="str">
        <f>IFERROR(IF(B2485="","",VLOOKUP(B2485,CadProd!$A:$B,2,0)),"")</f>
        <v/>
      </c>
      <c r="D2485" t="str">
        <f>IFERROR(IF(B2485="","",VLOOKUP(B2485,CadProd!$A:$C,3,0)),"")</f>
        <v/>
      </c>
    </row>
    <row r="2486" spans="3:4" x14ac:dyDescent="0.3">
      <c r="C2486" t="str">
        <f>IFERROR(IF(B2486="","",VLOOKUP(B2486,CadProd!$A:$B,2,0)),"")</f>
        <v/>
      </c>
      <c r="D2486" t="str">
        <f>IFERROR(IF(B2486="","",VLOOKUP(B2486,CadProd!$A:$C,3,0)),"")</f>
        <v/>
      </c>
    </row>
    <row r="2487" spans="3:4" x14ac:dyDescent="0.3">
      <c r="C2487" t="str">
        <f>IFERROR(IF(B2487="","",VLOOKUP(B2487,CadProd!$A:$B,2,0)),"")</f>
        <v/>
      </c>
      <c r="D2487" t="str">
        <f>IFERROR(IF(B2487="","",VLOOKUP(B2487,CadProd!$A:$C,3,0)),"")</f>
        <v/>
      </c>
    </row>
    <row r="2488" spans="3:4" x14ac:dyDescent="0.3">
      <c r="C2488" t="str">
        <f>IFERROR(IF(B2488="","",VLOOKUP(B2488,CadProd!$A:$B,2,0)),"")</f>
        <v/>
      </c>
      <c r="D2488" t="str">
        <f>IFERROR(IF(B2488="","",VLOOKUP(B2488,CadProd!$A:$C,3,0)),"")</f>
        <v/>
      </c>
    </row>
    <row r="2489" spans="3:4" x14ac:dyDescent="0.3">
      <c r="C2489" t="str">
        <f>IFERROR(IF(B2489="","",VLOOKUP(B2489,CadProd!$A:$B,2,0)),"")</f>
        <v/>
      </c>
      <c r="D2489" t="str">
        <f>IFERROR(IF(B2489="","",VLOOKUP(B2489,CadProd!$A:$C,3,0)),"")</f>
        <v/>
      </c>
    </row>
    <row r="2490" spans="3:4" x14ac:dyDescent="0.3">
      <c r="C2490" t="str">
        <f>IFERROR(IF(B2490="","",VLOOKUP(B2490,CadProd!$A:$B,2,0)),"")</f>
        <v/>
      </c>
      <c r="D2490" t="str">
        <f>IFERROR(IF(B2490="","",VLOOKUP(B2490,CadProd!$A:$C,3,0)),"")</f>
        <v/>
      </c>
    </row>
    <row r="2491" spans="3:4" x14ac:dyDescent="0.3">
      <c r="C2491" t="str">
        <f>IFERROR(IF(B2491="","",VLOOKUP(B2491,CadProd!$A:$B,2,0)),"")</f>
        <v/>
      </c>
      <c r="D2491" t="str">
        <f>IFERROR(IF(B2491="","",VLOOKUP(B2491,CadProd!$A:$C,3,0)),"")</f>
        <v/>
      </c>
    </row>
    <row r="2492" spans="3:4" x14ac:dyDescent="0.3">
      <c r="C2492" t="str">
        <f>IFERROR(IF(B2492="","",VLOOKUP(B2492,CadProd!$A:$B,2,0)),"")</f>
        <v/>
      </c>
      <c r="D2492" t="str">
        <f>IFERROR(IF(B2492="","",VLOOKUP(B2492,CadProd!$A:$C,3,0)),"")</f>
        <v/>
      </c>
    </row>
    <row r="2493" spans="3:4" x14ac:dyDescent="0.3">
      <c r="C2493" t="str">
        <f>IFERROR(IF(B2493="","",VLOOKUP(B2493,CadProd!$A:$B,2,0)),"")</f>
        <v/>
      </c>
      <c r="D2493" t="str">
        <f>IFERROR(IF(B2493="","",VLOOKUP(B2493,CadProd!$A:$C,3,0)),"")</f>
        <v/>
      </c>
    </row>
    <row r="2494" spans="3:4" x14ac:dyDescent="0.3">
      <c r="C2494" t="str">
        <f>IFERROR(IF(B2494="","",VLOOKUP(B2494,CadProd!$A:$B,2,0)),"")</f>
        <v/>
      </c>
      <c r="D2494" t="str">
        <f>IFERROR(IF(B2494="","",VLOOKUP(B2494,CadProd!$A:$C,3,0)),"")</f>
        <v/>
      </c>
    </row>
    <row r="2495" spans="3:4" x14ac:dyDescent="0.3">
      <c r="C2495" t="str">
        <f>IFERROR(IF(B2495="","",VLOOKUP(B2495,CadProd!$A:$B,2,0)),"")</f>
        <v/>
      </c>
      <c r="D2495" t="str">
        <f>IFERROR(IF(B2495="","",VLOOKUP(B2495,CadProd!$A:$C,3,0)),"")</f>
        <v/>
      </c>
    </row>
    <row r="2496" spans="3:4" x14ac:dyDescent="0.3">
      <c r="C2496" t="str">
        <f>IFERROR(IF(B2496="","",VLOOKUP(B2496,CadProd!$A:$B,2,0)),"")</f>
        <v/>
      </c>
      <c r="D2496" t="str">
        <f>IFERROR(IF(B2496="","",VLOOKUP(B2496,CadProd!$A:$C,3,0)),"")</f>
        <v/>
      </c>
    </row>
    <row r="2497" spans="3:4" x14ac:dyDescent="0.3">
      <c r="C2497" t="str">
        <f>IFERROR(IF(B2497="","",VLOOKUP(B2497,CadProd!$A:$B,2,0)),"")</f>
        <v/>
      </c>
      <c r="D2497" t="str">
        <f>IFERROR(IF(B2497="","",VLOOKUP(B2497,CadProd!$A:$C,3,0)),"")</f>
        <v/>
      </c>
    </row>
    <row r="2498" spans="3:4" x14ac:dyDescent="0.3">
      <c r="C2498" t="str">
        <f>IFERROR(IF(B2498="","",VLOOKUP(B2498,CadProd!$A:$B,2,0)),"")</f>
        <v/>
      </c>
      <c r="D2498" t="str">
        <f>IFERROR(IF(B2498="","",VLOOKUP(B2498,CadProd!$A:$C,3,0)),"")</f>
        <v/>
      </c>
    </row>
    <row r="2499" spans="3:4" x14ac:dyDescent="0.3">
      <c r="C2499" t="str">
        <f>IFERROR(IF(B2499="","",VLOOKUP(B2499,CadProd!$A:$B,2,0)),"")</f>
        <v/>
      </c>
      <c r="D2499" t="str">
        <f>IFERROR(IF(B2499="","",VLOOKUP(B2499,CadProd!$A:$C,3,0)),"")</f>
        <v/>
      </c>
    </row>
    <row r="2500" spans="3:4" x14ac:dyDescent="0.3">
      <c r="C2500" t="str">
        <f>IFERROR(IF(B2500="","",VLOOKUP(B2500,CadProd!$A:$B,2,0)),"")</f>
        <v/>
      </c>
      <c r="D2500" t="str">
        <f>IFERROR(IF(B2500="","",VLOOKUP(B2500,CadProd!$A:$C,3,0)),"")</f>
        <v/>
      </c>
    </row>
    <row r="2501" spans="3:4" x14ac:dyDescent="0.3">
      <c r="C2501" t="str">
        <f>IFERROR(IF(B2501="","",VLOOKUP(B2501,CadProd!$A:$B,2,0)),"")</f>
        <v/>
      </c>
      <c r="D2501" t="str">
        <f>IFERROR(IF(B2501="","",VLOOKUP(B2501,CadProd!$A:$C,3,0)),"")</f>
        <v/>
      </c>
    </row>
    <row r="2502" spans="3:4" x14ac:dyDescent="0.3">
      <c r="C2502" t="str">
        <f>IFERROR(IF(B2502="","",VLOOKUP(B2502,CadProd!$A:$B,2,0)),"")</f>
        <v/>
      </c>
      <c r="D2502" t="str">
        <f>IFERROR(IF(B2502="","",VLOOKUP(B2502,CadProd!$A:$C,3,0)),"")</f>
        <v/>
      </c>
    </row>
    <row r="2503" spans="3:4" x14ac:dyDescent="0.3">
      <c r="C2503" t="str">
        <f>IFERROR(IF(B2503="","",VLOOKUP(B2503,CadProd!$A:$B,2,0)),"")</f>
        <v/>
      </c>
      <c r="D2503" t="str">
        <f>IFERROR(IF(B2503="","",VLOOKUP(B2503,CadProd!$A:$C,3,0)),"")</f>
        <v/>
      </c>
    </row>
    <row r="2504" spans="3:4" x14ac:dyDescent="0.3">
      <c r="C2504" t="str">
        <f>IFERROR(IF(B2504="","",VLOOKUP(B2504,CadProd!$A:$B,2,0)),"")</f>
        <v/>
      </c>
      <c r="D2504" t="str">
        <f>IFERROR(IF(B2504="","",VLOOKUP(B2504,CadProd!$A:$C,3,0)),"")</f>
        <v/>
      </c>
    </row>
    <row r="2505" spans="3:4" x14ac:dyDescent="0.3">
      <c r="C2505" t="str">
        <f>IFERROR(IF(B2505="","",VLOOKUP(B2505,CadProd!$A:$B,2,0)),"")</f>
        <v/>
      </c>
      <c r="D2505" t="str">
        <f>IFERROR(IF(B2505="","",VLOOKUP(B2505,CadProd!$A:$C,3,0)),"")</f>
        <v/>
      </c>
    </row>
    <row r="2506" spans="3:4" x14ac:dyDescent="0.3">
      <c r="C2506" t="str">
        <f>IFERROR(IF(B2506="","",VLOOKUP(B2506,CadProd!$A:$B,2,0)),"")</f>
        <v/>
      </c>
      <c r="D2506" t="str">
        <f>IFERROR(IF(B2506="","",VLOOKUP(B2506,CadProd!$A:$C,3,0)),"")</f>
        <v/>
      </c>
    </row>
    <row r="2507" spans="3:4" x14ac:dyDescent="0.3">
      <c r="C2507" t="str">
        <f>IFERROR(IF(B2507="","",VLOOKUP(B2507,CadProd!$A:$B,2,0)),"")</f>
        <v/>
      </c>
      <c r="D2507" t="str">
        <f>IFERROR(IF(B2507="","",VLOOKUP(B2507,CadProd!$A:$C,3,0)),"")</f>
        <v/>
      </c>
    </row>
    <row r="2508" spans="3:4" x14ac:dyDescent="0.3">
      <c r="C2508" t="str">
        <f>IFERROR(IF(B2508="","",VLOOKUP(B2508,CadProd!$A:$B,2,0)),"")</f>
        <v/>
      </c>
      <c r="D2508" t="str">
        <f>IFERROR(IF(B2508="","",VLOOKUP(B2508,CadProd!$A:$C,3,0)),"")</f>
        <v/>
      </c>
    </row>
    <row r="2509" spans="3:4" x14ac:dyDescent="0.3">
      <c r="C2509" t="str">
        <f>IFERROR(IF(B2509="","",VLOOKUP(B2509,CadProd!$A:$B,2,0)),"")</f>
        <v/>
      </c>
      <c r="D2509" t="str">
        <f>IFERROR(IF(B2509="","",VLOOKUP(B2509,CadProd!$A:$C,3,0)),"")</f>
        <v/>
      </c>
    </row>
    <row r="2510" spans="3:4" x14ac:dyDescent="0.3">
      <c r="C2510" t="str">
        <f>IFERROR(IF(B2510="","",VLOOKUP(B2510,CadProd!$A:$B,2,0)),"")</f>
        <v/>
      </c>
      <c r="D2510" t="str">
        <f>IFERROR(IF(B2510="","",VLOOKUP(B2510,CadProd!$A:$C,3,0)),"")</f>
        <v/>
      </c>
    </row>
    <row r="2511" spans="3:4" x14ac:dyDescent="0.3">
      <c r="C2511" t="str">
        <f>IFERROR(IF(B2511="","",VLOOKUP(B2511,CadProd!$A:$B,2,0)),"")</f>
        <v/>
      </c>
      <c r="D2511" t="str">
        <f>IFERROR(IF(B2511="","",VLOOKUP(B2511,CadProd!$A:$C,3,0)),"")</f>
        <v/>
      </c>
    </row>
    <row r="2512" spans="3:4" x14ac:dyDescent="0.3">
      <c r="C2512" t="str">
        <f>IFERROR(IF(B2512="","",VLOOKUP(B2512,CadProd!$A:$B,2,0)),"")</f>
        <v/>
      </c>
      <c r="D2512" t="str">
        <f>IFERROR(IF(B2512="","",VLOOKUP(B2512,CadProd!$A:$C,3,0)),"")</f>
        <v/>
      </c>
    </row>
    <row r="2513" spans="3:4" x14ac:dyDescent="0.3">
      <c r="C2513" t="str">
        <f>IFERROR(IF(B2513="","",VLOOKUP(B2513,CadProd!$A:$B,2,0)),"")</f>
        <v/>
      </c>
      <c r="D2513" t="str">
        <f>IFERROR(IF(B2513="","",VLOOKUP(B2513,CadProd!$A:$C,3,0)),"")</f>
        <v/>
      </c>
    </row>
    <row r="2514" spans="3:4" x14ac:dyDescent="0.3">
      <c r="C2514" t="str">
        <f>IFERROR(IF(B2514="","",VLOOKUP(B2514,CadProd!$A:$B,2,0)),"")</f>
        <v/>
      </c>
      <c r="D2514" t="str">
        <f>IFERROR(IF(B2514="","",VLOOKUP(B2514,CadProd!$A:$C,3,0)),"")</f>
        <v/>
      </c>
    </row>
    <row r="2515" spans="3:4" x14ac:dyDescent="0.3">
      <c r="C2515" t="str">
        <f>IFERROR(IF(B2515="","",VLOOKUP(B2515,CadProd!$A:$B,2,0)),"")</f>
        <v/>
      </c>
      <c r="D2515" t="str">
        <f>IFERROR(IF(B2515="","",VLOOKUP(B2515,CadProd!$A:$C,3,0)),"")</f>
        <v/>
      </c>
    </row>
    <row r="2516" spans="3:4" x14ac:dyDescent="0.3">
      <c r="C2516" t="str">
        <f>IFERROR(IF(B2516="","",VLOOKUP(B2516,CadProd!$A:$B,2,0)),"")</f>
        <v/>
      </c>
      <c r="D2516" t="str">
        <f>IFERROR(IF(B2516="","",VLOOKUP(B2516,CadProd!$A:$C,3,0)),"")</f>
        <v/>
      </c>
    </row>
    <row r="2517" spans="3:4" x14ac:dyDescent="0.3">
      <c r="C2517" t="str">
        <f>IFERROR(IF(B2517="","",VLOOKUP(B2517,CadProd!$A:$B,2,0)),"")</f>
        <v/>
      </c>
      <c r="D2517" t="str">
        <f>IFERROR(IF(B2517="","",VLOOKUP(B2517,CadProd!$A:$C,3,0)),"")</f>
        <v/>
      </c>
    </row>
    <row r="2518" spans="3:4" x14ac:dyDescent="0.3">
      <c r="C2518" t="str">
        <f>IFERROR(IF(B2518="","",VLOOKUP(B2518,CadProd!$A:$B,2,0)),"")</f>
        <v/>
      </c>
      <c r="D2518" t="str">
        <f>IFERROR(IF(B2518="","",VLOOKUP(B2518,CadProd!$A:$C,3,0)),"")</f>
        <v/>
      </c>
    </row>
    <row r="2519" spans="3:4" x14ac:dyDescent="0.3">
      <c r="C2519" t="str">
        <f>IFERROR(IF(B2519="","",VLOOKUP(B2519,CadProd!$A:$B,2,0)),"")</f>
        <v/>
      </c>
      <c r="D2519" t="str">
        <f>IFERROR(IF(B2519="","",VLOOKUP(B2519,CadProd!$A:$C,3,0)),"")</f>
        <v/>
      </c>
    </row>
    <row r="2520" spans="3:4" x14ac:dyDescent="0.3">
      <c r="C2520" t="str">
        <f>IFERROR(IF(B2520="","",VLOOKUP(B2520,CadProd!$A:$B,2,0)),"")</f>
        <v/>
      </c>
      <c r="D2520" t="str">
        <f>IFERROR(IF(B2520="","",VLOOKUP(B2520,CadProd!$A:$C,3,0)),"")</f>
        <v/>
      </c>
    </row>
    <row r="2521" spans="3:4" x14ac:dyDescent="0.3">
      <c r="C2521" t="str">
        <f>IFERROR(IF(B2521="","",VLOOKUP(B2521,CadProd!$A:$B,2,0)),"")</f>
        <v/>
      </c>
      <c r="D2521" t="str">
        <f>IFERROR(IF(B2521="","",VLOOKUP(B2521,CadProd!$A:$C,3,0)),"")</f>
        <v/>
      </c>
    </row>
    <row r="2522" spans="3:4" x14ac:dyDescent="0.3">
      <c r="C2522" t="str">
        <f>IFERROR(IF(B2522="","",VLOOKUP(B2522,CadProd!$A:$B,2,0)),"")</f>
        <v/>
      </c>
      <c r="D2522" t="str">
        <f>IFERROR(IF(B2522="","",VLOOKUP(B2522,CadProd!$A:$C,3,0)),"")</f>
        <v/>
      </c>
    </row>
    <row r="2523" spans="3:4" x14ac:dyDescent="0.3">
      <c r="C2523" t="str">
        <f>IFERROR(IF(B2523="","",VLOOKUP(B2523,CadProd!$A:$B,2,0)),"")</f>
        <v/>
      </c>
      <c r="D2523" t="str">
        <f>IFERROR(IF(B2523="","",VLOOKUP(B2523,CadProd!$A:$C,3,0)),"")</f>
        <v/>
      </c>
    </row>
    <row r="2524" spans="3:4" x14ac:dyDescent="0.3">
      <c r="C2524" t="str">
        <f>IFERROR(IF(B2524="","",VLOOKUP(B2524,CadProd!$A:$B,2,0)),"")</f>
        <v/>
      </c>
      <c r="D2524" t="str">
        <f>IFERROR(IF(B2524="","",VLOOKUP(B2524,CadProd!$A:$C,3,0)),"")</f>
        <v/>
      </c>
    </row>
    <row r="2525" spans="3:4" x14ac:dyDescent="0.3">
      <c r="C2525" t="str">
        <f>IFERROR(IF(B2525="","",VLOOKUP(B2525,CadProd!$A:$B,2,0)),"")</f>
        <v/>
      </c>
      <c r="D2525" t="str">
        <f>IFERROR(IF(B2525="","",VLOOKUP(B2525,CadProd!$A:$C,3,0)),"")</f>
        <v/>
      </c>
    </row>
    <row r="2526" spans="3:4" x14ac:dyDescent="0.3">
      <c r="C2526" t="str">
        <f>IFERROR(IF(B2526="","",VLOOKUP(B2526,CadProd!$A:$B,2,0)),"")</f>
        <v/>
      </c>
      <c r="D2526" t="str">
        <f>IFERROR(IF(B2526="","",VLOOKUP(B2526,CadProd!$A:$C,3,0)),"")</f>
        <v/>
      </c>
    </row>
    <row r="2527" spans="3:4" x14ac:dyDescent="0.3">
      <c r="C2527" t="str">
        <f>IFERROR(IF(B2527="","",VLOOKUP(B2527,CadProd!$A:$B,2,0)),"")</f>
        <v/>
      </c>
      <c r="D2527" t="str">
        <f>IFERROR(IF(B2527="","",VLOOKUP(B2527,CadProd!$A:$C,3,0)),"")</f>
        <v/>
      </c>
    </row>
    <row r="2528" spans="3:4" x14ac:dyDescent="0.3">
      <c r="C2528" t="str">
        <f>IFERROR(IF(B2528="","",VLOOKUP(B2528,CadProd!$A:$B,2,0)),"")</f>
        <v/>
      </c>
      <c r="D2528" t="str">
        <f>IFERROR(IF(B2528="","",VLOOKUP(B2528,CadProd!$A:$C,3,0)),"")</f>
        <v/>
      </c>
    </row>
    <row r="2529" spans="3:4" x14ac:dyDescent="0.3">
      <c r="C2529" t="str">
        <f>IFERROR(IF(B2529="","",VLOOKUP(B2529,CadProd!$A:$B,2,0)),"")</f>
        <v/>
      </c>
      <c r="D2529" t="str">
        <f>IFERROR(IF(B2529="","",VLOOKUP(B2529,CadProd!$A:$C,3,0)),"")</f>
        <v/>
      </c>
    </row>
    <row r="2530" spans="3:4" x14ac:dyDescent="0.3">
      <c r="C2530" t="str">
        <f>IFERROR(IF(B2530="","",VLOOKUP(B2530,CadProd!$A:$B,2,0)),"")</f>
        <v/>
      </c>
      <c r="D2530" t="str">
        <f>IFERROR(IF(B2530="","",VLOOKUP(B2530,CadProd!$A:$C,3,0)),"")</f>
        <v/>
      </c>
    </row>
    <row r="2531" spans="3:4" x14ac:dyDescent="0.3">
      <c r="C2531" t="str">
        <f>IFERROR(IF(B2531="","",VLOOKUP(B2531,CadProd!$A:$B,2,0)),"")</f>
        <v/>
      </c>
      <c r="D2531" t="str">
        <f>IFERROR(IF(B2531="","",VLOOKUP(B2531,CadProd!$A:$C,3,0)),"")</f>
        <v/>
      </c>
    </row>
    <row r="2532" spans="3:4" x14ac:dyDescent="0.3">
      <c r="C2532" t="str">
        <f>IFERROR(IF(B2532="","",VLOOKUP(B2532,CadProd!$A:$B,2,0)),"")</f>
        <v/>
      </c>
      <c r="D2532" t="str">
        <f>IFERROR(IF(B2532="","",VLOOKUP(B2532,CadProd!$A:$C,3,0)),"")</f>
        <v/>
      </c>
    </row>
    <row r="2533" spans="3:4" x14ac:dyDescent="0.3">
      <c r="C2533" t="str">
        <f>IFERROR(IF(B2533="","",VLOOKUP(B2533,CadProd!$A:$B,2,0)),"")</f>
        <v/>
      </c>
      <c r="D2533" t="str">
        <f>IFERROR(IF(B2533="","",VLOOKUP(B2533,CadProd!$A:$C,3,0)),"")</f>
        <v/>
      </c>
    </row>
    <row r="2534" spans="3:4" x14ac:dyDescent="0.3">
      <c r="C2534" t="str">
        <f>IFERROR(IF(B2534="","",VLOOKUP(B2534,CadProd!$A:$B,2,0)),"")</f>
        <v/>
      </c>
      <c r="D2534" t="str">
        <f>IFERROR(IF(B2534="","",VLOOKUP(B2534,CadProd!$A:$C,3,0)),"")</f>
        <v/>
      </c>
    </row>
    <row r="2535" spans="3:4" x14ac:dyDescent="0.3">
      <c r="C2535" t="str">
        <f>IFERROR(IF(B2535="","",VLOOKUP(B2535,CadProd!$A:$B,2,0)),"")</f>
        <v/>
      </c>
      <c r="D2535" t="str">
        <f>IFERROR(IF(B2535="","",VLOOKUP(B2535,CadProd!$A:$C,3,0)),"")</f>
        <v/>
      </c>
    </row>
    <row r="2536" spans="3:4" x14ac:dyDescent="0.3">
      <c r="C2536" t="str">
        <f>IFERROR(IF(B2536="","",VLOOKUP(B2536,CadProd!$A:$B,2,0)),"")</f>
        <v/>
      </c>
      <c r="D2536" t="str">
        <f>IFERROR(IF(B2536="","",VLOOKUP(B2536,CadProd!$A:$C,3,0)),"")</f>
        <v/>
      </c>
    </row>
    <row r="2537" spans="3:4" x14ac:dyDescent="0.3">
      <c r="C2537" t="str">
        <f>IFERROR(IF(B2537="","",VLOOKUP(B2537,CadProd!$A:$B,2,0)),"")</f>
        <v/>
      </c>
      <c r="D2537" t="str">
        <f>IFERROR(IF(B2537="","",VLOOKUP(B2537,CadProd!$A:$C,3,0)),"")</f>
        <v/>
      </c>
    </row>
    <row r="2538" spans="3:4" x14ac:dyDescent="0.3">
      <c r="C2538" t="str">
        <f>IFERROR(IF(B2538="","",VLOOKUP(B2538,CadProd!$A:$B,2,0)),"")</f>
        <v/>
      </c>
      <c r="D2538" t="str">
        <f>IFERROR(IF(B2538="","",VLOOKUP(B2538,CadProd!$A:$C,3,0)),"")</f>
        <v/>
      </c>
    </row>
    <row r="2539" spans="3:4" x14ac:dyDescent="0.3">
      <c r="C2539" t="str">
        <f>IFERROR(IF(B2539="","",VLOOKUP(B2539,CadProd!$A:$B,2,0)),"")</f>
        <v/>
      </c>
      <c r="D2539" t="str">
        <f>IFERROR(IF(B2539="","",VLOOKUP(B2539,CadProd!$A:$C,3,0)),"")</f>
        <v/>
      </c>
    </row>
    <row r="2540" spans="3:4" x14ac:dyDescent="0.3">
      <c r="C2540" t="str">
        <f>IFERROR(IF(B2540="","",VLOOKUP(B2540,CadProd!$A:$B,2,0)),"")</f>
        <v/>
      </c>
      <c r="D2540" t="str">
        <f>IFERROR(IF(B2540="","",VLOOKUP(B2540,CadProd!$A:$C,3,0)),"")</f>
        <v/>
      </c>
    </row>
    <row r="2541" spans="3:4" x14ac:dyDescent="0.3">
      <c r="C2541" t="str">
        <f>IFERROR(IF(B2541="","",VLOOKUP(B2541,CadProd!$A:$B,2,0)),"")</f>
        <v/>
      </c>
      <c r="D2541" t="str">
        <f>IFERROR(IF(B2541="","",VLOOKUP(B2541,CadProd!$A:$C,3,0)),"")</f>
        <v/>
      </c>
    </row>
    <row r="2542" spans="3:4" x14ac:dyDescent="0.3">
      <c r="C2542" t="str">
        <f>IFERROR(IF(B2542="","",VLOOKUP(B2542,CadProd!$A:$B,2,0)),"")</f>
        <v/>
      </c>
      <c r="D2542" t="str">
        <f>IFERROR(IF(B2542="","",VLOOKUP(B2542,CadProd!$A:$C,3,0)),"")</f>
        <v/>
      </c>
    </row>
    <row r="2543" spans="3:4" x14ac:dyDescent="0.3">
      <c r="C2543" t="str">
        <f>IFERROR(IF(B2543="","",VLOOKUP(B2543,CadProd!$A:$B,2,0)),"")</f>
        <v/>
      </c>
      <c r="D2543" t="str">
        <f>IFERROR(IF(B2543="","",VLOOKUP(B2543,CadProd!$A:$C,3,0)),"")</f>
        <v/>
      </c>
    </row>
    <row r="2544" spans="3:4" x14ac:dyDescent="0.3">
      <c r="C2544" t="str">
        <f>IFERROR(IF(B2544="","",VLOOKUP(B2544,CadProd!$A:$B,2,0)),"")</f>
        <v/>
      </c>
      <c r="D2544" t="str">
        <f>IFERROR(IF(B2544="","",VLOOKUP(B2544,CadProd!$A:$C,3,0)),"")</f>
        <v/>
      </c>
    </row>
    <row r="2545" spans="3:4" x14ac:dyDescent="0.3">
      <c r="C2545" t="str">
        <f>IFERROR(IF(B2545="","",VLOOKUP(B2545,CadProd!$A:$B,2,0)),"")</f>
        <v/>
      </c>
      <c r="D2545" t="str">
        <f>IFERROR(IF(B2545="","",VLOOKUP(B2545,CadProd!$A:$C,3,0)),"")</f>
        <v/>
      </c>
    </row>
    <row r="2546" spans="3:4" x14ac:dyDescent="0.3">
      <c r="C2546" t="str">
        <f>IFERROR(IF(B2546="","",VLOOKUP(B2546,CadProd!$A:$B,2,0)),"")</f>
        <v/>
      </c>
      <c r="D2546" t="str">
        <f>IFERROR(IF(B2546="","",VLOOKUP(B2546,CadProd!$A:$C,3,0)),"")</f>
        <v/>
      </c>
    </row>
    <row r="2547" spans="3:4" x14ac:dyDescent="0.3">
      <c r="C2547" t="str">
        <f>IFERROR(IF(B2547="","",VLOOKUP(B2547,CadProd!$A:$B,2,0)),"")</f>
        <v/>
      </c>
      <c r="D2547" t="str">
        <f>IFERROR(IF(B2547="","",VLOOKUP(B2547,CadProd!$A:$C,3,0)),"")</f>
        <v/>
      </c>
    </row>
    <row r="2548" spans="3:4" x14ac:dyDescent="0.3">
      <c r="C2548" t="str">
        <f>IFERROR(IF(B2548="","",VLOOKUP(B2548,CadProd!$A:$B,2,0)),"")</f>
        <v/>
      </c>
      <c r="D2548" t="str">
        <f>IFERROR(IF(B2548="","",VLOOKUP(B2548,CadProd!$A:$C,3,0)),"")</f>
        <v/>
      </c>
    </row>
    <row r="2549" spans="3:4" x14ac:dyDescent="0.3">
      <c r="C2549" t="str">
        <f>IFERROR(IF(B2549="","",VLOOKUP(B2549,CadProd!$A:$B,2,0)),"")</f>
        <v/>
      </c>
      <c r="D2549" t="str">
        <f>IFERROR(IF(B2549="","",VLOOKUP(B2549,CadProd!$A:$C,3,0)),"")</f>
        <v/>
      </c>
    </row>
    <row r="2550" spans="3:4" x14ac:dyDescent="0.3">
      <c r="C2550" t="str">
        <f>IFERROR(IF(B2550="","",VLOOKUP(B2550,CadProd!$A:$B,2,0)),"")</f>
        <v/>
      </c>
      <c r="D2550" t="str">
        <f>IFERROR(IF(B2550="","",VLOOKUP(B2550,CadProd!$A:$C,3,0)),"")</f>
        <v/>
      </c>
    </row>
    <row r="2551" spans="3:4" x14ac:dyDescent="0.3">
      <c r="C2551" t="str">
        <f>IFERROR(IF(B2551="","",VLOOKUP(B2551,CadProd!$A:$B,2,0)),"")</f>
        <v/>
      </c>
      <c r="D2551" t="str">
        <f>IFERROR(IF(B2551="","",VLOOKUP(B2551,CadProd!$A:$C,3,0)),"")</f>
        <v/>
      </c>
    </row>
    <row r="2552" spans="3:4" x14ac:dyDescent="0.3">
      <c r="C2552" t="str">
        <f>IFERROR(IF(B2552="","",VLOOKUP(B2552,CadProd!$A:$B,2,0)),"")</f>
        <v/>
      </c>
      <c r="D2552" t="str">
        <f>IFERROR(IF(B2552="","",VLOOKUP(B2552,CadProd!$A:$C,3,0)),"")</f>
        <v/>
      </c>
    </row>
    <row r="2553" spans="3:4" x14ac:dyDescent="0.3">
      <c r="C2553" t="str">
        <f>IFERROR(IF(B2553="","",VLOOKUP(B2553,CadProd!$A:$B,2,0)),"")</f>
        <v/>
      </c>
      <c r="D2553" t="str">
        <f>IFERROR(IF(B2553="","",VLOOKUP(B2553,CadProd!$A:$C,3,0)),"")</f>
        <v/>
      </c>
    </row>
    <row r="2554" spans="3:4" x14ac:dyDescent="0.3">
      <c r="C2554" t="str">
        <f>IFERROR(IF(B2554="","",VLOOKUP(B2554,CadProd!$A:$B,2,0)),"")</f>
        <v/>
      </c>
      <c r="D2554" t="str">
        <f>IFERROR(IF(B2554="","",VLOOKUP(B2554,CadProd!$A:$C,3,0)),"")</f>
        <v/>
      </c>
    </row>
    <row r="2555" spans="3:4" x14ac:dyDescent="0.3">
      <c r="C2555" t="str">
        <f>IFERROR(IF(B2555="","",VLOOKUP(B2555,CadProd!$A:$B,2,0)),"")</f>
        <v/>
      </c>
      <c r="D2555" t="str">
        <f>IFERROR(IF(B2555="","",VLOOKUP(B2555,CadProd!$A:$C,3,0)),"")</f>
        <v/>
      </c>
    </row>
    <row r="2556" spans="3:4" x14ac:dyDescent="0.3">
      <c r="C2556" t="str">
        <f>IFERROR(IF(B2556="","",VLOOKUP(B2556,CadProd!$A:$B,2,0)),"")</f>
        <v/>
      </c>
      <c r="D2556" t="str">
        <f>IFERROR(IF(B2556="","",VLOOKUP(B2556,CadProd!$A:$C,3,0)),"")</f>
        <v/>
      </c>
    </row>
    <row r="2557" spans="3:4" x14ac:dyDescent="0.3">
      <c r="C2557" t="str">
        <f>IFERROR(IF(B2557="","",VLOOKUP(B2557,CadProd!$A:$B,2,0)),"")</f>
        <v/>
      </c>
      <c r="D2557" t="str">
        <f>IFERROR(IF(B2557="","",VLOOKUP(B2557,CadProd!$A:$C,3,0)),"")</f>
        <v/>
      </c>
    </row>
    <row r="2558" spans="3:4" x14ac:dyDescent="0.3">
      <c r="C2558" t="str">
        <f>IFERROR(IF(B2558="","",VLOOKUP(B2558,CadProd!$A:$B,2,0)),"")</f>
        <v/>
      </c>
      <c r="D2558" t="str">
        <f>IFERROR(IF(B2558="","",VLOOKUP(B2558,CadProd!$A:$C,3,0)),"")</f>
        <v/>
      </c>
    </row>
    <row r="2559" spans="3:4" x14ac:dyDescent="0.3">
      <c r="C2559" t="str">
        <f>IFERROR(IF(B2559="","",VLOOKUP(B2559,CadProd!$A:$B,2,0)),"")</f>
        <v/>
      </c>
      <c r="D2559" t="str">
        <f>IFERROR(IF(B2559="","",VLOOKUP(B2559,CadProd!$A:$C,3,0)),"")</f>
        <v/>
      </c>
    </row>
    <row r="2560" spans="3:4" x14ac:dyDescent="0.3">
      <c r="C2560" t="str">
        <f>IFERROR(IF(B2560="","",VLOOKUP(B2560,CadProd!$A:$B,2,0)),"")</f>
        <v/>
      </c>
      <c r="D2560" t="str">
        <f>IFERROR(IF(B2560="","",VLOOKUP(B2560,CadProd!$A:$C,3,0)),"")</f>
        <v/>
      </c>
    </row>
    <row r="2561" spans="3:4" x14ac:dyDescent="0.3">
      <c r="C2561" t="str">
        <f>IFERROR(IF(B2561="","",VLOOKUP(B2561,CadProd!$A:$B,2,0)),"")</f>
        <v/>
      </c>
      <c r="D2561" t="str">
        <f>IFERROR(IF(B2561="","",VLOOKUP(B2561,CadProd!$A:$C,3,0)),"")</f>
        <v/>
      </c>
    </row>
    <row r="2562" spans="3:4" x14ac:dyDescent="0.3">
      <c r="C2562" t="str">
        <f>IFERROR(IF(B2562="","",VLOOKUP(B2562,CadProd!$A:$B,2,0)),"")</f>
        <v/>
      </c>
      <c r="D2562" t="str">
        <f>IFERROR(IF(B2562="","",VLOOKUP(B2562,CadProd!$A:$C,3,0)),"")</f>
        <v/>
      </c>
    </row>
    <row r="2563" spans="3:4" x14ac:dyDescent="0.3">
      <c r="C2563" t="str">
        <f>IFERROR(IF(B2563="","",VLOOKUP(B2563,CadProd!$A:$B,2,0)),"")</f>
        <v/>
      </c>
      <c r="D2563" t="str">
        <f>IFERROR(IF(B2563="","",VLOOKUP(B2563,CadProd!$A:$C,3,0)),"")</f>
        <v/>
      </c>
    </row>
    <row r="2564" spans="3:4" x14ac:dyDescent="0.3">
      <c r="C2564" t="str">
        <f>IFERROR(IF(B2564="","",VLOOKUP(B2564,CadProd!$A:$B,2,0)),"")</f>
        <v/>
      </c>
      <c r="D2564" t="str">
        <f>IFERROR(IF(B2564="","",VLOOKUP(B2564,CadProd!$A:$C,3,0)),"")</f>
        <v/>
      </c>
    </row>
    <row r="2565" spans="3:4" x14ac:dyDescent="0.3">
      <c r="C2565" t="str">
        <f>IFERROR(IF(B2565="","",VLOOKUP(B2565,CadProd!$A:$B,2,0)),"")</f>
        <v/>
      </c>
      <c r="D2565" t="str">
        <f>IFERROR(IF(B2565="","",VLOOKUP(B2565,CadProd!$A:$C,3,0)),"")</f>
        <v/>
      </c>
    </row>
    <row r="2566" spans="3:4" x14ac:dyDescent="0.3">
      <c r="C2566" t="str">
        <f>IFERROR(IF(B2566="","",VLOOKUP(B2566,CadProd!$A:$B,2,0)),"")</f>
        <v/>
      </c>
      <c r="D2566" t="str">
        <f>IFERROR(IF(B2566="","",VLOOKUP(B2566,CadProd!$A:$C,3,0)),"")</f>
        <v/>
      </c>
    </row>
    <row r="2567" spans="3:4" x14ac:dyDescent="0.3">
      <c r="C2567" t="str">
        <f>IFERROR(IF(B2567="","",VLOOKUP(B2567,CadProd!$A:$B,2,0)),"")</f>
        <v/>
      </c>
      <c r="D2567" t="str">
        <f>IFERROR(IF(B2567="","",VLOOKUP(B2567,CadProd!$A:$C,3,0)),"")</f>
        <v/>
      </c>
    </row>
    <row r="2568" spans="3:4" x14ac:dyDescent="0.3">
      <c r="C2568" t="str">
        <f>IFERROR(IF(B2568="","",VLOOKUP(B2568,CadProd!$A:$B,2,0)),"")</f>
        <v/>
      </c>
      <c r="D2568" t="str">
        <f>IFERROR(IF(B2568="","",VLOOKUP(B2568,CadProd!$A:$C,3,0)),"")</f>
        <v/>
      </c>
    </row>
    <row r="2569" spans="3:4" x14ac:dyDescent="0.3">
      <c r="C2569" t="str">
        <f>IFERROR(IF(B2569="","",VLOOKUP(B2569,CadProd!$A:$B,2,0)),"")</f>
        <v/>
      </c>
      <c r="D2569" t="str">
        <f>IFERROR(IF(B2569="","",VLOOKUP(B2569,CadProd!$A:$C,3,0)),"")</f>
        <v/>
      </c>
    </row>
    <row r="2570" spans="3:4" x14ac:dyDescent="0.3">
      <c r="C2570" t="str">
        <f>IFERROR(IF(B2570="","",VLOOKUP(B2570,CadProd!$A:$B,2,0)),"")</f>
        <v/>
      </c>
      <c r="D2570" t="str">
        <f>IFERROR(IF(B2570="","",VLOOKUP(B2570,CadProd!$A:$C,3,0)),"")</f>
        <v/>
      </c>
    </row>
    <row r="2571" spans="3:4" x14ac:dyDescent="0.3">
      <c r="C2571" t="str">
        <f>IFERROR(IF(B2571="","",VLOOKUP(B2571,CadProd!$A:$B,2,0)),"")</f>
        <v/>
      </c>
      <c r="D2571" t="str">
        <f>IFERROR(IF(B2571="","",VLOOKUP(B2571,CadProd!$A:$C,3,0)),"")</f>
        <v/>
      </c>
    </row>
    <row r="2572" spans="3:4" x14ac:dyDescent="0.3">
      <c r="C2572" t="str">
        <f>IFERROR(IF(B2572="","",VLOOKUP(B2572,CadProd!$A:$B,2,0)),"")</f>
        <v/>
      </c>
      <c r="D2572" t="str">
        <f>IFERROR(IF(B2572="","",VLOOKUP(B2572,CadProd!$A:$C,3,0)),"")</f>
        <v/>
      </c>
    </row>
    <row r="2573" spans="3:4" x14ac:dyDescent="0.3">
      <c r="C2573" t="str">
        <f>IFERROR(IF(B2573="","",VLOOKUP(B2573,CadProd!$A:$B,2,0)),"")</f>
        <v/>
      </c>
      <c r="D2573" t="str">
        <f>IFERROR(IF(B2573="","",VLOOKUP(B2573,CadProd!$A:$C,3,0)),"")</f>
        <v/>
      </c>
    </row>
    <row r="2574" spans="3:4" x14ac:dyDescent="0.3">
      <c r="C2574" t="str">
        <f>IFERROR(IF(B2574="","",VLOOKUP(B2574,CadProd!$A:$B,2,0)),"")</f>
        <v/>
      </c>
      <c r="D2574" t="str">
        <f>IFERROR(IF(B2574="","",VLOOKUP(B2574,CadProd!$A:$C,3,0)),"")</f>
        <v/>
      </c>
    </row>
    <row r="2575" spans="3:4" x14ac:dyDescent="0.3">
      <c r="C2575" t="str">
        <f>IFERROR(IF(B2575="","",VLOOKUP(B2575,CadProd!$A:$B,2,0)),"")</f>
        <v/>
      </c>
      <c r="D2575" t="str">
        <f>IFERROR(IF(B2575="","",VLOOKUP(B2575,CadProd!$A:$C,3,0)),"")</f>
        <v/>
      </c>
    </row>
    <row r="2576" spans="3:4" x14ac:dyDescent="0.3">
      <c r="C2576" t="str">
        <f>IFERROR(IF(B2576="","",VLOOKUP(B2576,CadProd!$A:$B,2,0)),"")</f>
        <v/>
      </c>
      <c r="D2576" t="str">
        <f>IFERROR(IF(B2576="","",VLOOKUP(B2576,CadProd!$A:$C,3,0)),"")</f>
        <v/>
      </c>
    </row>
    <row r="2577" spans="3:4" x14ac:dyDescent="0.3">
      <c r="C2577" t="str">
        <f>IFERROR(IF(B2577="","",VLOOKUP(B2577,CadProd!$A:$B,2,0)),"")</f>
        <v/>
      </c>
      <c r="D2577" t="str">
        <f>IFERROR(IF(B2577="","",VLOOKUP(B2577,CadProd!$A:$C,3,0)),"")</f>
        <v/>
      </c>
    </row>
    <row r="2578" spans="3:4" x14ac:dyDescent="0.3">
      <c r="C2578" t="str">
        <f>IFERROR(IF(B2578="","",VLOOKUP(B2578,CadProd!$A:$B,2,0)),"")</f>
        <v/>
      </c>
      <c r="D2578" t="str">
        <f>IFERROR(IF(B2578="","",VLOOKUP(B2578,CadProd!$A:$C,3,0)),"")</f>
        <v/>
      </c>
    </row>
    <row r="2579" spans="3:4" x14ac:dyDescent="0.3">
      <c r="C2579" t="str">
        <f>IFERROR(IF(B2579="","",VLOOKUP(B2579,CadProd!$A:$B,2,0)),"")</f>
        <v/>
      </c>
      <c r="D2579" t="str">
        <f>IFERROR(IF(B2579="","",VLOOKUP(B2579,CadProd!$A:$C,3,0)),"")</f>
        <v/>
      </c>
    </row>
    <row r="2580" spans="3:4" x14ac:dyDescent="0.3">
      <c r="C2580" t="str">
        <f>IFERROR(IF(B2580="","",VLOOKUP(B2580,CadProd!$A:$B,2,0)),"")</f>
        <v/>
      </c>
      <c r="D2580" t="str">
        <f>IFERROR(IF(B2580="","",VLOOKUP(B2580,CadProd!$A:$C,3,0)),"")</f>
        <v/>
      </c>
    </row>
    <row r="2581" spans="3:4" x14ac:dyDescent="0.3">
      <c r="C2581" t="str">
        <f>IFERROR(IF(B2581="","",VLOOKUP(B2581,CadProd!$A:$B,2,0)),"")</f>
        <v/>
      </c>
      <c r="D2581" t="str">
        <f>IFERROR(IF(B2581="","",VLOOKUP(B2581,CadProd!$A:$C,3,0)),"")</f>
        <v/>
      </c>
    </row>
    <row r="2582" spans="3:4" x14ac:dyDescent="0.3">
      <c r="C2582" t="str">
        <f>IFERROR(IF(B2582="","",VLOOKUP(B2582,CadProd!$A:$B,2,0)),"")</f>
        <v/>
      </c>
      <c r="D2582" t="str">
        <f>IFERROR(IF(B2582="","",VLOOKUP(B2582,CadProd!$A:$C,3,0)),"")</f>
        <v/>
      </c>
    </row>
    <row r="2583" spans="3:4" x14ac:dyDescent="0.3">
      <c r="C2583" t="str">
        <f>IFERROR(IF(B2583="","",VLOOKUP(B2583,CadProd!$A:$B,2,0)),"")</f>
        <v/>
      </c>
      <c r="D2583" t="str">
        <f>IFERROR(IF(B2583="","",VLOOKUP(B2583,CadProd!$A:$C,3,0)),"")</f>
        <v/>
      </c>
    </row>
    <row r="2584" spans="3:4" x14ac:dyDescent="0.3">
      <c r="C2584" t="str">
        <f>IFERROR(IF(B2584="","",VLOOKUP(B2584,CadProd!$A:$B,2,0)),"")</f>
        <v/>
      </c>
      <c r="D2584" t="str">
        <f>IFERROR(IF(B2584="","",VLOOKUP(B2584,CadProd!$A:$C,3,0)),"")</f>
        <v/>
      </c>
    </row>
    <row r="2585" spans="3:4" x14ac:dyDescent="0.3">
      <c r="C2585" t="str">
        <f>IFERROR(IF(B2585="","",VLOOKUP(B2585,CadProd!$A:$B,2,0)),"")</f>
        <v/>
      </c>
      <c r="D2585" t="str">
        <f>IFERROR(IF(B2585="","",VLOOKUP(B2585,CadProd!$A:$C,3,0)),"")</f>
        <v/>
      </c>
    </row>
    <row r="2586" spans="3:4" x14ac:dyDescent="0.3">
      <c r="C2586" t="str">
        <f>IFERROR(IF(B2586="","",VLOOKUP(B2586,CadProd!$A:$B,2,0)),"")</f>
        <v/>
      </c>
      <c r="D2586" t="str">
        <f>IFERROR(IF(B2586="","",VLOOKUP(B2586,CadProd!$A:$C,3,0)),"")</f>
        <v/>
      </c>
    </row>
    <row r="2587" spans="3:4" x14ac:dyDescent="0.3">
      <c r="C2587" t="str">
        <f>IFERROR(IF(B2587="","",VLOOKUP(B2587,CadProd!$A:$B,2,0)),"")</f>
        <v/>
      </c>
      <c r="D2587" t="str">
        <f>IFERROR(IF(B2587="","",VLOOKUP(B2587,CadProd!$A:$C,3,0)),"")</f>
        <v/>
      </c>
    </row>
    <row r="2588" spans="3:4" x14ac:dyDescent="0.3">
      <c r="C2588" t="str">
        <f>IFERROR(IF(B2588="","",VLOOKUP(B2588,CadProd!$A:$B,2,0)),"")</f>
        <v/>
      </c>
      <c r="D2588" t="str">
        <f>IFERROR(IF(B2588="","",VLOOKUP(B2588,CadProd!$A:$C,3,0)),"")</f>
        <v/>
      </c>
    </row>
    <row r="2589" spans="3:4" x14ac:dyDescent="0.3">
      <c r="C2589" t="str">
        <f>IFERROR(IF(B2589="","",VLOOKUP(B2589,CadProd!$A:$B,2,0)),"")</f>
        <v/>
      </c>
      <c r="D2589" t="str">
        <f>IFERROR(IF(B2589="","",VLOOKUP(B2589,CadProd!$A:$C,3,0)),"")</f>
        <v/>
      </c>
    </row>
    <row r="2590" spans="3:4" x14ac:dyDescent="0.3">
      <c r="C2590" t="str">
        <f>IFERROR(IF(B2590="","",VLOOKUP(B2590,CadProd!$A:$B,2,0)),"")</f>
        <v/>
      </c>
      <c r="D2590" t="str">
        <f>IFERROR(IF(B2590="","",VLOOKUP(B2590,CadProd!$A:$C,3,0)),"")</f>
        <v/>
      </c>
    </row>
    <row r="2591" spans="3:4" x14ac:dyDescent="0.3">
      <c r="C2591" t="str">
        <f>IFERROR(IF(B2591="","",VLOOKUP(B2591,CadProd!$A:$B,2,0)),"")</f>
        <v/>
      </c>
      <c r="D2591" t="str">
        <f>IFERROR(IF(B2591="","",VLOOKUP(B2591,CadProd!$A:$C,3,0)),"")</f>
        <v/>
      </c>
    </row>
    <row r="2592" spans="3:4" x14ac:dyDescent="0.3">
      <c r="C2592" t="str">
        <f>IFERROR(IF(B2592="","",VLOOKUP(B2592,CadProd!$A:$B,2,0)),"")</f>
        <v/>
      </c>
      <c r="D2592" t="str">
        <f>IFERROR(IF(B2592="","",VLOOKUP(B2592,CadProd!$A:$C,3,0)),"")</f>
        <v/>
      </c>
    </row>
    <row r="2593" spans="3:4" x14ac:dyDescent="0.3">
      <c r="C2593" t="str">
        <f>IFERROR(IF(B2593="","",VLOOKUP(B2593,CadProd!$A:$B,2,0)),"")</f>
        <v/>
      </c>
      <c r="D2593" t="str">
        <f>IFERROR(IF(B2593="","",VLOOKUP(B2593,CadProd!$A:$C,3,0)),"")</f>
        <v/>
      </c>
    </row>
    <row r="2594" spans="3:4" x14ac:dyDescent="0.3">
      <c r="C2594" t="str">
        <f>IFERROR(IF(B2594="","",VLOOKUP(B2594,CadProd!$A:$B,2,0)),"")</f>
        <v/>
      </c>
      <c r="D2594" t="str">
        <f>IFERROR(IF(B2594="","",VLOOKUP(B2594,CadProd!$A:$C,3,0)),"")</f>
        <v/>
      </c>
    </row>
    <row r="2595" spans="3:4" x14ac:dyDescent="0.3">
      <c r="C2595" t="str">
        <f>IFERROR(IF(B2595="","",VLOOKUP(B2595,CadProd!$A:$B,2,0)),"")</f>
        <v/>
      </c>
      <c r="D2595" t="str">
        <f>IFERROR(IF(B2595="","",VLOOKUP(B2595,CadProd!$A:$C,3,0)),"")</f>
        <v/>
      </c>
    </row>
    <row r="2596" spans="3:4" x14ac:dyDescent="0.3">
      <c r="C2596" t="str">
        <f>IFERROR(IF(B2596="","",VLOOKUP(B2596,CadProd!$A:$B,2,0)),"")</f>
        <v/>
      </c>
      <c r="D2596" t="str">
        <f>IFERROR(IF(B2596="","",VLOOKUP(B2596,CadProd!$A:$C,3,0)),"")</f>
        <v/>
      </c>
    </row>
    <row r="2597" spans="3:4" x14ac:dyDescent="0.3">
      <c r="C2597" t="str">
        <f>IFERROR(IF(B2597="","",VLOOKUP(B2597,CadProd!$A:$B,2,0)),"")</f>
        <v/>
      </c>
      <c r="D2597" t="str">
        <f>IFERROR(IF(B2597="","",VLOOKUP(B2597,CadProd!$A:$C,3,0)),"")</f>
        <v/>
      </c>
    </row>
    <row r="2598" spans="3:4" x14ac:dyDescent="0.3">
      <c r="C2598" t="str">
        <f>IFERROR(IF(B2598="","",VLOOKUP(B2598,CadProd!$A:$B,2,0)),"")</f>
        <v/>
      </c>
      <c r="D2598" t="str">
        <f>IFERROR(IF(B2598="","",VLOOKUP(B2598,CadProd!$A:$C,3,0)),"")</f>
        <v/>
      </c>
    </row>
    <row r="2599" spans="3:4" x14ac:dyDescent="0.3">
      <c r="C2599" t="str">
        <f>IFERROR(IF(B2599="","",VLOOKUP(B2599,CadProd!$A:$B,2,0)),"")</f>
        <v/>
      </c>
      <c r="D2599" t="str">
        <f>IFERROR(IF(B2599="","",VLOOKUP(B2599,CadProd!$A:$C,3,0)),"")</f>
        <v/>
      </c>
    </row>
    <row r="2600" spans="3:4" x14ac:dyDescent="0.3">
      <c r="C2600" t="str">
        <f>IFERROR(IF(B2600="","",VLOOKUP(B2600,CadProd!$A:$B,2,0)),"")</f>
        <v/>
      </c>
      <c r="D2600" t="str">
        <f>IFERROR(IF(B2600="","",VLOOKUP(B2600,CadProd!$A:$C,3,0)),"")</f>
        <v/>
      </c>
    </row>
    <row r="2601" spans="3:4" x14ac:dyDescent="0.3">
      <c r="C2601" t="str">
        <f>IFERROR(IF(B2601="","",VLOOKUP(B2601,CadProd!$A:$B,2,0)),"")</f>
        <v/>
      </c>
      <c r="D2601" t="str">
        <f>IFERROR(IF(B2601="","",VLOOKUP(B2601,CadProd!$A:$C,3,0)),"")</f>
        <v/>
      </c>
    </row>
    <row r="2602" spans="3:4" x14ac:dyDescent="0.3">
      <c r="C2602" t="str">
        <f>IFERROR(IF(B2602="","",VLOOKUP(B2602,CadProd!$A:$B,2,0)),"")</f>
        <v/>
      </c>
      <c r="D2602" t="str">
        <f>IFERROR(IF(B2602="","",VLOOKUP(B2602,CadProd!$A:$C,3,0)),"")</f>
        <v/>
      </c>
    </row>
    <row r="2603" spans="3:4" x14ac:dyDescent="0.3">
      <c r="C2603" t="str">
        <f>IFERROR(IF(B2603="","",VLOOKUP(B2603,CadProd!$A:$B,2,0)),"")</f>
        <v/>
      </c>
      <c r="D2603" t="str">
        <f>IFERROR(IF(B2603="","",VLOOKUP(B2603,CadProd!$A:$C,3,0)),"")</f>
        <v/>
      </c>
    </row>
    <row r="2604" spans="3:4" x14ac:dyDescent="0.3">
      <c r="C2604" t="str">
        <f>IFERROR(IF(B2604="","",VLOOKUP(B2604,CadProd!$A:$B,2,0)),"")</f>
        <v/>
      </c>
      <c r="D2604" t="str">
        <f>IFERROR(IF(B2604="","",VLOOKUP(B2604,CadProd!$A:$C,3,0)),"")</f>
        <v/>
      </c>
    </row>
    <row r="2605" spans="3:4" x14ac:dyDescent="0.3">
      <c r="C2605" t="str">
        <f>IFERROR(IF(B2605="","",VLOOKUP(B2605,CadProd!$A:$B,2,0)),"")</f>
        <v/>
      </c>
      <c r="D2605" t="str">
        <f>IFERROR(IF(B2605="","",VLOOKUP(B2605,CadProd!$A:$C,3,0)),"")</f>
        <v/>
      </c>
    </row>
    <row r="2606" spans="3:4" x14ac:dyDescent="0.3">
      <c r="C2606" t="str">
        <f>IFERROR(IF(B2606="","",VLOOKUP(B2606,CadProd!$A:$B,2,0)),"")</f>
        <v/>
      </c>
      <c r="D2606" t="str">
        <f>IFERROR(IF(B2606="","",VLOOKUP(B2606,CadProd!$A:$C,3,0)),"")</f>
        <v/>
      </c>
    </row>
    <row r="2607" spans="3:4" x14ac:dyDescent="0.3">
      <c r="C2607" t="str">
        <f>IFERROR(IF(B2607="","",VLOOKUP(B2607,CadProd!$A:$B,2,0)),"")</f>
        <v/>
      </c>
      <c r="D2607" t="str">
        <f>IFERROR(IF(B2607="","",VLOOKUP(B2607,CadProd!$A:$C,3,0)),"")</f>
        <v/>
      </c>
    </row>
    <row r="2608" spans="3:4" x14ac:dyDescent="0.3">
      <c r="C2608" t="str">
        <f>IFERROR(IF(B2608="","",VLOOKUP(B2608,CadProd!$A:$B,2,0)),"")</f>
        <v/>
      </c>
      <c r="D2608" t="str">
        <f>IFERROR(IF(B2608="","",VLOOKUP(B2608,CadProd!$A:$C,3,0)),"")</f>
        <v/>
      </c>
    </row>
    <row r="2609" spans="3:4" x14ac:dyDescent="0.3">
      <c r="C2609" t="str">
        <f>IFERROR(IF(B2609="","",VLOOKUP(B2609,CadProd!$A:$B,2,0)),"")</f>
        <v/>
      </c>
      <c r="D2609" t="str">
        <f>IFERROR(IF(B2609="","",VLOOKUP(B2609,CadProd!$A:$C,3,0)),"")</f>
        <v/>
      </c>
    </row>
    <row r="2610" spans="3:4" x14ac:dyDescent="0.3">
      <c r="C2610" t="str">
        <f>IFERROR(IF(B2610="","",VLOOKUP(B2610,CadProd!$A:$B,2,0)),"")</f>
        <v/>
      </c>
      <c r="D2610" t="str">
        <f>IFERROR(IF(B2610="","",VLOOKUP(B2610,CadProd!$A:$C,3,0)),"")</f>
        <v/>
      </c>
    </row>
    <row r="2611" spans="3:4" x14ac:dyDescent="0.3">
      <c r="C2611" t="str">
        <f>IFERROR(IF(B2611="","",VLOOKUP(B2611,CadProd!$A:$B,2,0)),"")</f>
        <v/>
      </c>
      <c r="D2611" t="str">
        <f>IFERROR(IF(B2611="","",VLOOKUP(B2611,CadProd!$A:$C,3,0)),"")</f>
        <v/>
      </c>
    </row>
    <row r="2612" spans="3:4" x14ac:dyDescent="0.3">
      <c r="C2612" t="str">
        <f>IFERROR(IF(B2612="","",VLOOKUP(B2612,CadProd!$A:$B,2,0)),"")</f>
        <v/>
      </c>
      <c r="D2612" t="str">
        <f>IFERROR(IF(B2612="","",VLOOKUP(B2612,CadProd!$A:$C,3,0)),"")</f>
        <v/>
      </c>
    </row>
    <row r="2613" spans="3:4" x14ac:dyDescent="0.3">
      <c r="C2613" t="str">
        <f>IFERROR(IF(B2613="","",VLOOKUP(B2613,CadProd!$A:$B,2,0)),"")</f>
        <v/>
      </c>
      <c r="D2613" t="str">
        <f>IFERROR(IF(B2613="","",VLOOKUP(B2613,CadProd!$A:$C,3,0)),"")</f>
        <v/>
      </c>
    </row>
    <row r="2614" spans="3:4" x14ac:dyDescent="0.3">
      <c r="C2614" t="str">
        <f>IFERROR(IF(B2614="","",VLOOKUP(B2614,CadProd!$A:$B,2,0)),"")</f>
        <v/>
      </c>
      <c r="D2614" t="str">
        <f>IFERROR(IF(B2614="","",VLOOKUP(B2614,CadProd!$A:$C,3,0)),"")</f>
        <v/>
      </c>
    </row>
    <row r="2615" spans="3:4" x14ac:dyDescent="0.3">
      <c r="C2615" t="str">
        <f>IFERROR(IF(B2615="","",VLOOKUP(B2615,CadProd!$A:$B,2,0)),"")</f>
        <v/>
      </c>
      <c r="D2615" t="str">
        <f>IFERROR(IF(B2615="","",VLOOKUP(B2615,CadProd!$A:$C,3,0)),"")</f>
        <v/>
      </c>
    </row>
    <row r="2616" spans="3:4" x14ac:dyDescent="0.3">
      <c r="C2616" t="str">
        <f>IFERROR(IF(B2616="","",VLOOKUP(B2616,CadProd!$A:$B,2,0)),"")</f>
        <v/>
      </c>
      <c r="D2616" t="str">
        <f>IFERROR(IF(B2616="","",VLOOKUP(B2616,CadProd!$A:$C,3,0)),"")</f>
        <v/>
      </c>
    </row>
    <row r="2617" spans="3:4" x14ac:dyDescent="0.3">
      <c r="C2617" t="str">
        <f>IFERROR(IF(B2617="","",VLOOKUP(B2617,CadProd!$A:$B,2,0)),"")</f>
        <v/>
      </c>
      <c r="D2617" t="str">
        <f>IFERROR(IF(B2617="","",VLOOKUP(B2617,CadProd!$A:$C,3,0)),"")</f>
        <v/>
      </c>
    </row>
    <row r="2618" spans="3:4" x14ac:dyDescent="0.3">
      <c r="C2618" t="str">
        <f>IFERROR(IF(B2618="","",VLOOKUP(B2618,CadProd!$A:$B,2,0)),"")</f>
        <v/>
      </c>
      <c r="D2618" t="str">
        <f>IFERROR(IF(B2618="","",VLOOKUP(B2618,CadProd!$A:$C,3,0)),"")</f>
        <v/>
      </c>
    </row>
    <row r="2619" spans="3:4" x14ac:dyDescent="0.3">
      <c r="C2619" t="str">
        <f>IFERROR(IF(B2619="","",VLOOKUP(B2619,CadProd!$A:$B,2,0)),"")</f>
        <v/>
      </c>
      <c r="D2619" t="str">
        <f>IFERROR(IF(B2619="","",VLOOKUP(B2619,CadProd!$A:$C,3,0)),"")</f>
        <v/>
      </c>
    </row>
    <row r="2620" spans="3:4" x14ac:dyDescent="0.3">
      <c r="C2620" t="str">
        <f>IFERROR(IF(B2620="","",VLOOKUP(B2620,CadProd!$A:$B,2,0)),"")</f>
        <v/>
      </c>
      <c r="D2620" t="str">
        <f>IFERROR(IF(B2620="","",VLOOKUP(B2620,CadProd!$A:$C,3,0)),"")</f>
        <v/>
      </c>
    </row>
    <row r="2621" spans="3:4" x14ac:dyDescent="0.3">
      <c r="C2621" t="str">
        <f>IFERROR(IF(B2621="","",VLOOKUP(B2621,CadProd!$A:$B,2,0)),"")</f>
        <v/>
      </c>
      <c r="D2621" t="str">
        <f>IFERROR(IF(B2621="","",VLOOKUP(B2621,CadProd!$A:$C,3,0)),"")</f>
        <v/>
      </c>
    </row>
    <row r="2622" spans="3:4" x14ac:dyDescent="0.3">
      <c r="C2622" t="str">
        <f>IFERROR(IF(B2622="","",VLOOKUP(B2622,CadProd!$A:$B,2,0)),"")</f>
        <v/>
      </c>
      <c r="D2622" t="str">
        <f>IFERROR(IF(B2622="","",VLOOKUP(B2622,CadProd!$A:$C,3,0)),"")</f>
        <v/>
      </c>
    </row>
    <row r="2623" spans="3:4" x14ac:dyDescent="0.3">
      <c r="C2623" t="str">
        <f>IFERROR(IF(B2623="","",VLOOKUP(B2623,CadProd!$A:$B,2,0)),"")</f>
        <v/>
      </c>
      <c r="D2623" t="str">
        <f>IFERROR(IF(B2623="","",VLOOKUP(B2623,CadProd!$A:$C,3,0)),"")</f>
        <v/>
      </c>
    </row>
    <row r="2624" spans="3:4" x14ac:dyDescent="0.3">
      <c r="C2624" t="str">
        <f>IFERROR(IF(B2624="","",VLOOKUP(B2624,CadProd!$A:$B,2,0)),"")</f>
        <v/>
      </c>
      <c r="D2624" t="str">
        <f>IFERROR(IF(B2624="","",VLOOKUP(B2624,CadProd!$A:$C,3,0)),"")</f>
        <v/>
      </c>
    </row>
    <row r="2625" spans="3:4" x14ac:dyDescent="0.3">
      <c r="C2625" t="str">
        <f>IFERROR(IF(B2625="","",VLOOKUP(B2625,CadProd!$A:$B,2,0)),"")</f>
        <v/>
      </c>
      <c r="D2625" t="str">
        <f>IFERROR(IF(B2625="","",VLOOKUP(B2625,CadProd!$A:$C,3,0)),"")</f>
        <v/>
      </c>
    </row>
    <row r="2626" spans="3:4" x14ac:dyDescent="0.3">
      <c r="C2626" t="str">
        <f>IFERROR(IF(B2626="","",VLOOKUP(B2626,CadProd!$A:$B,2,0)),"")</f>
        <v/>
      </c>
      <c r="D2626" t="str">
        <f>IFERROR(IF(B2626="","",VLOOKUP(B2626,CadProd!$A:$C,3,0)),"")</f>
        <v/>
      </c>
    </row>
    <row r="2627" spans="3:4" x14ac:dyDescent="0.3">
      <c r="C2627" t="str">
        <f>IFERROR(IF(B2627="","",VLOOKUP(B2627,CadProd!$A:$B,2,0)),"")</f>
        <v/>
      </c>
      <c r="D2627" t="str">
        <f>IFERROR(IF(B2627="","",VLOOKUP(B2627,CadProd!$A:$C,3,0)),"")</f>
        <v/>
      </c>
    </row>
    <row r="2628" spans="3:4" x14ac:dyDescent="0.3">
      <c r="C2628" t="str">
        <f>IFERROR(IF(B2628="","",VLOOKUP(B2628,CadProd!$A:$B,2,0)),"")</f>
        <v/>
      </c>
      <c r="D2628" t="str">
        <f>IFERROR(IF(B2628="","",VLOOKUP(B2628,CadProd!$A:$C,3,0)),"")</f>
        <v/>
      </c>
    </row>
    <row r="2629" spans="3:4" x14ac:dyDescent="0.3">
      <c r="C2629" t="str">
        <f>IFERROR(IF(B2629="","",VLOOKUP(B2629,CadProd!$A:$B,2,0)),"")</f>
        <v/>
      </c>
      <c r="D2629" t="str">
        <f>IFERROR(IF(B2629="","",VLOOKUP(B2629,CadProd!$A:$C,3,0)),"")</f>
        <v/>
      </c>
    </row>
    <row r="2630" spans="3:4" x14ac:dyDescent="0.3">
      <c r="C2630" t="str">
        <f>IFERROR(IF(B2630="","",VLOOKUP(B2630,CadProd!$A:$B,2,0)),"")</f>
        <v/>
      </c>
      <c r="D2630" t="str">
        <f>IFERROR(IF(B2630="","",VLOOKUP(B2630,CadProd!$A:$C,3,0)),"")</f>
        <v/>
      </c>
    </row>
    <row r="2631" spans="3:4" x14ac:dyDescent="0.3">
      <c r="C2631" t="str">
        <f>IFERROR(IF(B2631="","",VLOOKUP(B2631,CadProd!$A:$B,2,0)),"")</f>
        <v/>
      </c>
      <c r="D2631" t="str">
        <f>IFERROR(IF(B2631="","",VLOOKUP(B2631,CadProd!$A:$C,3,0)),"")</f>
        <v/>
      </c>
    </row>
    <row r="2632" spans="3:4" x14ac:dyDescent="0.3">
      <c r="C2632" t="str">
        <f>IFERROR(IF(B2632="","",VLOOKUP(B2632,CadProd!$A:$B,2,0)),"")</f>
        <v/>
      </c>
      <c r="D2632" t="str">
        <f>IFERROR(IF(B2632="","",VLOOKUP(B2632,CadProd!$A:$C,3,0)),"")</f>
        <v/>
      </c>
    </row>
    <row r="2633" spans="3:4" x14ac:dyDescent="0.3">
      <c r="C2633" t="str">
        <f>IFERROR(IF(B2633="","",VLOOKUP(B2633,CadProd!$A:$B,2,0)),"")</f>
        <v/>
      </c>
      <c r="D2633" t="str">
        <f>IFERROR(IF(B2633="","",VLOOKUP(B2633,CadProd!$A:$C,3,0)),"")</f>
        <v/>
      </c>
    </row>
    <row r="2634" spans="3:4" x14ac:dyDescent="0.3">
      <c r="C2634" t="str">
        <f>IFERROR(IF(B2634="","",VLOOKUP(B2634,CadProd!$A:$B,2,0)),"")</f>
        <v/>
      </c>
      <c r="D2634" t="str">
        <f>IFERROR(IF(B2634="","",VLOOKUP(B2634,CadProd!$A:$C,3,0)),"")</f>
        <v/>
      </c>
    </row>
    <row r="2635" spans="3:4" x14ac:dyDescent="0.3">
      <c r="C2635" t="str">
        <f>IFERROR(IF(B2635="","",VLOOKUP(B2635,CadProd!$A:$B,2,0)),"")</f>
        <v/>
      </c>
      <c r="D2635" t="str">
        <f>IFERROR(IF(B2635="","",VLOOKUP(B2635,CadProd!$A:$C,3,0)),"")</f>
        <v/>
      </c>
    </row>
    <row r="2636" spans="3:4" x14ac:dyDescent="0.3">
      <c r="C2636" t="str">
        <f>IFERROR(IF(B2636="","",VLOOKUP(B2636,CadProd!$A:$B,2,0)),"")</f>
        <v/>
      </c>
      <c r="D2636" t="str">
        <f>IFERROR(IF(B2636="","",VLOOKUP(B2636,CadProd!$A:$C,3,0)),"")</f>
        <v/>
      </c>
    </row>
    <row r="2637" spans="3:4" x14ac:dyDescent="0.3">
      <c r="C2637" t="str">
        <f>IFERROR(IF(B2637="","",VLOOKUP(B2637,CadProd!$A:$B,2,0)),"")</f>
        <v/>
      </c>
      <c r="D2637" t="str">
        <f>IFERROR(IF(B2637="","",VLOOKUP(B2637,CadProd!$A:$C,3,0)),"")</f>
        <v/>
      </c>
    </row>
    <row r="2638" spans="3:4" x14ac:dyDescent="0.3">
      <c r="C2638" t="str">
        <f>IFERROR(IF(B2638="","",VLOOKUP(B2638,CadProd!$A:$B,2,0)),"")</f>
        <v/>
      </c>
      <c r="D2638" t="str">
        <f>IFERROR(IF(B2638="","",VLOOKUP(B2638,CadProd!$A:$C,3,0)),"")</f>
        <v/>
      </c>
    </row>
    <row r="2639" spans="3:4" x14ac:dyDescent="0.3">
      <c r="C2639" t="str">
        <f>IFERROR(IF(B2639="","",VLOOKUP(B2639,CadProd!$A:$B,2,0)),"")</f>
        <v/>
      </c>
      <c r="D2639" t="str">
        <f>IFERROR(IF(B2639="","",VLOOKUP(B2639,CadProd!$A:$C,3,0)),"")</f>
        <v/>
      </c>
    </row>
    <row r="2640" spans="3:4" x14ac:dyDescent="0.3">
      <c r="C2640" t="str">
        <f>IFERROR(IF(B2640="","",VLOOKUP(B2640,CadProd!$A:$B,2,0)),"")</f>
        <v/>
      </c>
      <c r="D2640" t="str">
        <f>IFERROR(IF(B2640="","",VLOOKUP(B2640,CadProd!$A:$C,3,0)),"")</f>
        <v/>
      </c>
    </row>
    <row r="2641" spans="3:4" x14ac:dyDescent="0.3">
      <c r="C2641" t="str">
        <f>IFERROR(IF(B2641="","",VLOOKUP(B2641,CadProd!$A:$B,2,0)),"")</f>
        <v/>
      </c>
      <c r="D2641" t="str">
        <f>IFERROR(IF(B2641="","",VLOOKUP(B2641,CadProd!$A:$C,3,0)),"")</f>
        <v/>
      </c>
    </row>
    <row r="2642" spans="3:4" x14ac:dyDescent="0.3">
      <c r="C2642" t="str">
        <f>IFERROR(IF(B2642="","",VLOOKUP(B2642,CadProd!$A:$B,2,0)),"")</f>
        <v/>
      </c>
      <c r="D2642" t="str">
        <f>IFERROR(IF(B2642="","",VLOOKUP(B2642,CadProd!$A:$C,3,0)),"")</f>
        <v/>
      </c>
    </row>
    <row r="2643" spans="3:4" x14ac:dyDescent="0.3">
      <c r="C2643" t="str">
        <f>IFERROR(IF(B2643="","",VLOOKUP(B2643,CadProd!$A:$B,2,0)),"")</f>
        <v/>
      </c>
      <c r="D2643" t="str">
        <f>IFERROR(IF(B2643="","",VLOOKUP(B2643,CadProd!$A:$C,3,0)),"")</f>
        <v/>
      </c>
    </row>
    <row r="2644" spans="3:4" x14ac:dyDescent="0.3">
      <c r="C2644" t="str">
        <f>IFERROR(IF(B2644="","",VLOOKUP(B2644,CadProd!$A:$B,2,0)),"")</f>
        <v/>
      </c>
      <c r="D2644" t="str">
        <f>IFERROR(IF(B2644="","",VLOOKUP(B2644,CadProd!$A:$C,3,0)),"")</f>
        <v/>
      </c>
    </row>
    <row r="2645" spans="3:4" x14ac:dyDescent="0.3">
      <c r="C2645" t="str">
        <f>IFERROR(IF(B2645="","",VLOOKUP(B2645,CadProd!$A:$B,2,0)),"")</f>
        <v/>
      </c>
      <c r="D2645" t="str">
        <f>IFERROR(IF(B2645="","",VLOOKUP(B2645,CadProd!$A:$C,3,0)),"")</f>
        <v/>
      </c>
    </row>
    <row r="2646" spans="3:4" x14ac:dyDescent="0.3">
      <c r="C2646" t="str">
        <f>IFERROR(IF(B2646="","",VLOOKUP(B2646,CadProd!$A:$B,2,0)),"")</f>
        <v/>
      </c>
      <c r="D2646" t="str">
        <f>IFERROR(IF(B2646="","",VLOOKUP(B2646,CadProd!$A:$C,3,0)),"")</f>
        <v/>
      </c>
    </row>
    <row r="2647" spans="3:4" x14ac:dyDescent="0.3">
      <c r="C2647" t="str">
        <f>IFERROR(IF(B2647="","",VLOOKUP(B2647,CadProd!$A:$B,2,0)),"")</f>
        <v/>
      </c>
      <c r="D2647" t="str">
        <f>IFERROR(IF(B2647="","",VLOOKUP(B2647,CadProd!$A:$C,3,0)),"")</f>
        <v/>
      </c>
    </row>
    <row r="2648" spans="3:4" x14ac:dyDescent="0.3">
      <c r="C2648" t="str">
        <f>IFERROR(IF(B2648="","",VLOOKUP(B2648,CadProd!$A:$B,2,0)),"")</f>
        <v/>
      </c>
      <c r="D2648" t="str">
        <f>IFERROR(IF(B2648="","",VLOOKUP(B2648,CadProd!$A:$C,3,0)),"")</f>
        <v/>
      </c>
    </row>
    <row r="2649" spans="3:4" x14ac:dyDescent="0.3">
      <c r="C2649" t="str">
        <f>IFERROR(IF(B2649="","",VLOOKUP(B2649,CadProd!$A:$B,2,0)),"")</f>
        <v/>
      </c>
      <c r="D2649" t="str">
        <f>IFERROR(IF(B2649="","",VLOOKUP(B2649,CadProd!$A:$C,3,0)),"")</f>
        <v/>
      </c>
    </row>
    <row r="2650" spans="3:4" x14ac:dyDescent="0.3">
      <c r="C2650" t="str">
        <f>IFERROR(IF(B2650="","",VLOOKUP(B2650,CadProd!$A:$B,2,0)),"")</f>
        <v/>
      </c>
      <c r="D2650" t="str">
        <f>IFERROR(IF(B2650="","",VLOOKUP(B2650,CadProd!$A:$C,3,0)),"")</f>
        <v/>
      </c>
    </row>
    <row r="2651" spans="3:4" x14ac:dyDescent="0.3">
      <c r="C2651" t="str">
        <f>IFERROR(IF(B2651="","",VLOOKUP(B2651,CadProd!$A:$B,2,0)),"")</f>
        <v/>
      </c>
      <c r="D2651" t="str">
        <f>IFERROR(IF(B2651="","",VLOOKUP(B2651,CadProd!$A:$C,3,0)),"")</f>
        <v/>
      </c>
    </row>
    <row r="2652" spans="3:4" x14ac:dyDescent="0.3">
      <c r="C2652" t="str">
        <f>IFERROR(IF(B2652="","",VLOOKUP(B2652,CadProd!$A:$B,2,0)),"")</f>
        <v/>
      </c>
      <c r="D2652" t="str">
        <f>IFERROR(IF(B2652="","",VLOOKUP(B2652,CadProd!$A:$C,3,0)),"")</f>
        <v/>
      </c>
    </row>
    <row r="2653" spans="3:4" x14ac:dyDescent="0.3">
      <c r="C2653" t="str">
        <f>IFERROR(IF(B2653="","",VLOOKUP(B2653,CadProd!$A:$B,2,0)),"")</f>
        <v/>
      </c>
      <c r="D2653" t="str">
        <f>IFERROR(IF(B2653="","",VLOOKUP(B2653,CadProd!$A:$C,3,0)),"")</f>
        <v/>
      </c>
    </row>
    <row r="2654" spans="3:4" x14ac:dyDescent="0.3">
      <c r="C2654" t="str">
        <f>IFERROR(IF(B2654="","",VLOOKUP(B2654,CadProd!$A:$B,2,0)),"")</f>
        <v/>
      </c>
      <c r="D2654" t="str">
        <f>IFERROR(IF(B2654="","",VLOOKUP(B2654,CadProd!$A:$C,3,0)),"")</f>
        <v/>
      </c>
    </row>
    <row r="2655" spans="3:4" x14ac:dyDescent="0.3">
      <c r="C2655" t="str">
        <f>IFERROR(IF(B2655="","",VLOOKUP(B2655,CadProd!$A:$B,2,0)),"")</f>
        <v/>
      </c>
      <c r="D2655" t="str">
        <f>IFERROR(IF(B2655="","",VLOOKUP(B2655,CadProd!$A:$C,3,0)),"")</f>
        <v/>
      </c>
    </row>
    <row r="2656" spans="3:4" x14ac:dyDescent="0.3">
      <c r="C2656" t="str">
        <f>IFERROR(IF(B2656="","",VLOOKUP(B2656,CadProd!$A:$B,2,0)),"")</f>
        <v/>
      </c>
      <c r="D2656" t="str">
        <f>IFERROR(IF(B2656="","",VLOOKUP(B2656,CadProd!$A:$C,3,0)),"")</f>
        <v/>
      </c>
    </row>
    <row r="2657" spans="3:4" x14ac:dyDescent="0.3">
      <c r="C2657" t="str">
        <f>IFERROR(IF(B2657="","",VLOOKUP(B2657,CadProd!$A:$B,2,0)),"")</f>
        <v/>
      </c>
      <c r="D2657" t="str">
        <f>IFERROR(IF(B2657="","",VLOOKUP(B2657,CadProd!$A:$C,3,0)),"")</f>
        <v/>
      </c>
    </row>
    <row r="2658" spans="3:4" x14ac:dyDescent="0.3">
      <c r="C2658" t="str">
        <f>IFERROR(IF(B2658="","",VLOOKUP(B2658,CadProd!$A:$B,2,0)),"")</f>
        <v/>
      </c>
      <c r="D2658" t="str">
        <f>IFERROR(IF(B2658="","",VLOOKUP(B2658,CadProd!$A:$C,3,0)),"")</f>
        <v/>
      </c>
    </row>
    <row r="2659" spans="3:4" x14ac:dyDescent="0.3">
      <c r="C2659" t="str">
        <f>IFERROR(IF(B2659="","",VLOOKUP(B2659,CadProd!$A:$B,2,0)),"")</f>
        <v/>
      </c>
      <c r="D2659" t="str">
        <f>IFERROR(IF(B2659="","",VLOOKUP(B2659,CadProd!$A:$C,3,0)),"")</f>
        <v/>
      </c>
    </row>
    <row r="2660" spans="3:4" x14ac:dyDescent="0.3">
      <c r="C2660" t="str">
        <f>IFERROR(IF(B2660="","",VLOOKUP(B2660,CadProd!$A:$B,2,0)),"")</f>
        <v/>
      </c>
      <c r="D2660" t="str">
        <f>IFERROR(IF(B2660="","",VLOOKUP(B2660,CadProd!$A:$C,3,0)),"")</f>
        <v/>
      </c>
    </row>
    <row r="2661" spans="3:4" x14ac:dyDescent="0.3">
      <c r="C2661" t="str">
        <f>IFERROR(IF(B2661="","",VLOOKUP(B2661,CadProd!$A:$B,2,0)),"")</f>
        <v/>
      </c>
      <c r="D2661" t="str">
        <f>IFERROR(IF(B2661="","",VLOOKUP(B2661,CadProd!$A:$C,3,0)),"")</f>
        <v/>
      </c>
    </row>
    <row r="2662" spans="3:4" x14ac:dyDescent="0.3">
      <c r="C2662" t="str">
        <f>IFERROR(IF(B2662="","",VLOOKUP(B2662,CadProd!$A:$B,2,0)),"")</f>
        <v/>
      </c>
      <c r="D2662" t="str">
        <f>IFERROR(IF(B2662="","",VLOOKUP(B2662,CadProd!$A:$C,3,0)),"")</f>
        <v/>
      </c>
    </row>
    <row r="2663" spans="3:4" x14ac:dyDescent="0.3">
      <c r="C2663" t="str">
        <f>IFERROR(IF(B2663="","",VLOOKUP(B2663,CadProd!$A:$B,2,0)),"")</f>
        <v/>
      </c>
      <c r="D2663" t="str">
        <f>IFERROR(IF(B2663="","",VLOOKUP(B2663,CadProd!$A:$C,3,0)),"")</f>
        <v/>
      </c>
    </row>
    <row r="2664" spans="3:4" x14ac:dyDescent="0.3">
      <c r="C2664" t="str">
        <f>IFERROR(IF(B2664="","",VLOOKUP(B2664,CadProd!$A:$B,2,0)),"")</f>
        <v/>
      </c>
      <c r="D2664" t="str">
        <f>IFERROR(IF(B2664="","",VLOOKUP(B2664,CadProd!$A:$C,3,0)),"")</f>
        <v/>
      </c>
    </row>
    <row r="2665" spans="3:4" x14ac:dyDescent="0.3">
      <c r="C2665" t="str">
        <f>IFERROR(IF(B2665="","",VLOOKUP(B2665,CadProd!$A:$B,2,0)),"")</f>
        <v/>
      </c>
      <c r="D2665" t="str">
        <f>IFERROR(IF(B2665="","",VLOOKUP(B2665,CadProd!$A:$C,3,0)),"")</f>
        <v/>
      </c>
    </row>
    <row r="2666" spans="3:4" x14ac:dyDescent="0.3">
      <c r="C2666" t="str">
        <f>IFERROR(IF(B2666="","",VLOOKUP(B2666,CadProd!$A:$B,2,0)),"")</f>
        <v/>
      </c>
      <c r="D2666" t="str">
        <f>IFERROR(IF(B2666="","",VLOOKUP(B2666,CadProd!$A:$C,3,0)),"")</f>
        <v/>
      </c>
    </row>
    <row r="2667" spans="3:4" x14ac:dyDescent="0.3">
      <c r="C2667" t="str">
        <f>IFERROR(IF(B2667="","",VLOOKUP(B2667,CadProd!$A:$B,2,0)),"")</f>
        <v/>
      </c>
      <c r="D2667" t="str">
        <f>IFERROR(IF(B2667="","",VLOOKUP(B2667,CadProd!$A:$C,3,0)),"")</f>
        <v/>
      </c>
    </row>
    <row r="2668" spans="3:4" x14ac:dyDescent="0.3">
      <c r="C2668" t="str">
        <f>IFERROR(IF(B2668="","",VLOOKUP(B2668,CadProd!$A:$B,2,0)),"")</f>
        <v/>
      </c>
      <c r="D2668" t="str">
        <f>IFERROR(IF(B2668="","",VLOOKUP(B2668,CadProd!$A:$C,3,0)),"")</f>
        <v/>
      </c>
    </row>
    <row r="2669" spans="3:4" x14ac:dyDescent="0.3">
      <c r="C2669" t="str">
        <f>IFERROR(IF(B2669="","",VLOOKUP(B2669,CadProd!$A:$B,2,0)),"")</f>
        <v/>
      </c>
      <c r="D2669" t="str">
        <f>IFERROR(IF(B2669="","",VLOOKUP(B2669,CadProd!$A:$C,3,0)),"")</f>
        <v/>
      </c>
    </row>
    <row r="2670" spans="3:4" x14ac:dyDescent="0.3">
      <c r="C2670" t="str">
        <f>IFERROR(IF(B2670="","",VLOOKUP(B2670,CadProd!$A:$B,2,0)),"")</f>
        <v/>
      </c>
      <c r="D2670" t="str">
        <f>IFERROR(IF(B2670="","",VLOOKUP(B2670,CadProd!$A:$C,3,0)),"")</f>
        <v/>
      </c>
    </row>
    <row r="2671" spans="3:4" x14ac:dyDescent="0.3">
      <c r="C2671" t="str">
        <f>IFERROR(IF(B2671="","",VLOOKUP(B2671,CadProd!$A:$B,2,0)),"")</f>
        <v/>
      </c>
      <c r="D2671" t="str">
        <f>IFERROR(IF(B2671="","",VLOOKUP(B2671,CadProd!$A:$C,3,0)),"")</f>
        <v/>
      </c>
    </row>
    <row r="2672" spans="3:4" x14ac:dyDescent="0.3">
      <c r="C2672" t="str">
        <f>IFERROR(IF(B2672="","",VLOOKUP(B2672,CadProd!$A:$B,2,0)),"")</f>
        <v/>
      </c>
      <c r="D2672" t="str">
        <f>IFERROR(IF(B2672="","",VLOOKUP(B2672,CadProd!$A:$C,3,0)),"")</f>
        <v/>
      </c>
    </row>
    <row r="2673" spans="3:4" x14ac:dyDescent="0.3">
      <c r="C2673" t="str">
        <f>IFERROR(IF(B2673="","",VLOOKUP(B2673,CadProd!$A:$B,2,0)),"")</f>
        <v/>
      </c>
      <c r="D2673" t="str">
        <f>IFERROR(IF(B2673="","",VLOOKUP(B2673,CadProd!$A:$C,3,0)),"")</f>
        <v/>
      </c>
    </row>
    <row r="2674" spans="3:4" x14ac:dyDescent="0.3">
      <c r="C2674" t="str">
        <f>IFERROR(IF(B2674="","",VLOOKUP(B2674,CadProd!$A:$B,2,0)),"")</f>
        <v/>
      </c>
      <c r="D2674" t="str">
        <f>IFERROR(IF(B2674="","",VLOOKUP(B2674,CadProd!$A:$C,3,0)),"")</f>
        <v/>
      </c>
    </row>
    <row r="2675" spans="3:4" x14ac:dyDescent="0.3">
      <c r="C2675" t="str">
        <f>IFERROR(IF(B2675="","",VLOOKUP(B2675,CadProd!$A:$B,2,0)),"")</f>
        <v/>
      </c>
      <c r="D2675" t="str">
        <f>IFERROR(IF(B2675="","",VLOOKUP(B2675,CadProd!$A:$C,3,0)),"")</f>
        <v/>
      </c>
    </row>
    <row r="2676" spans="3:4" x14ac:dyDescent="0.3">
      <c r="C2676" t="str">
        <f>IFERROR(IF(B2676="","",VLOOKUP(B2676,CadProd!$A:$B,2,0)),"")</f>
        <v/>
      </c>
      <c r="D2676" t="str">
        <f>IFERROR(IF(B2676="","",VLOOKUP(B2676,CadProd!$A:$C,3,0)),"")</f>
        <v/>
      </c>
    </row>
    <row r="2677" spans="3:4" x14ac:dyDescent="0.3">
      <c r="C2677" t="str">
        <f>IFERROR(IF(B2677="","",VLOOKUP(B2677,CadProd!$A:$B,2,0)),"")</f>
        <v/>
      </c>
      <c r="D2677" t="str">
        <f>IFERROR(IF(B2677="","",VLOOKUP(B2677,CadProd!$A:$C,3,0)),"")</f>
        <v/>
      </c>
    </row>
    <row r="2678" spans="3:4" x14ac:dyDescent="0.3">
      <c r="C2678" t="str">
        <f>IFERROR(IF(B2678="","",VLOOKUP(B2678,CadProd!$A:$B,2,0)),"")</f>
        <v/>
      </c>
      <c r="D2678" t="str">
        <f>IFERROR(IF(B2678="","",VLOOKUP(B2678,CadProd!$A:$C,3,0)),"")</f>
        <v/>
      </c>
    </row>
    <row r="2679" spans="3:4" x14ac:dyDescent="0.3">
      <c r="C2679" t="str">
        <f>IFERROR(IF(B2679="","",VLOOKUP(B2679,CadProd!$A:$B,2,0)),"")</f>
        <v/>
      </c>
      <c r="D2679" t="str">
        <f>IFERROR(IF(B2679="","",VLOOKUP(B2679,CadProd!$A:$C,3,0)),"")</f>
        <v/>
      </c>
    </row>
    <row r="2680" spans="3:4" x14ac:dyDescent="0.3">
      <c r="C2680" t="str">
        <f>IFERROR(IF(B2680="","",VLOOKUP(B2680,CadProd!$A:$B,2,0)),"")</f>
        <v/>
      </c>
      <c r="D2680" t="str">
        <f>IFERROR(IF(B2680="","",VLOOKUP(B2680,CadProd!$A:$C,3,0)),"")</f>
        <v/>
      </c>
    </row>
    <row r="2681" spans="3:4" x14ac:dyDescent="0.3">
      <c r="C2681" t="str">
        <f>IFERROR(IF(B2681="","",VLOOKUP(B2681,CadProd!$A:$B,2,0)),"")</f>
        <v/>
      </c>
      <c r="D2681" t="str">
        <f>IFERROR(IF(B2681="","",VLOOKUP(B2681,CadProd!$A:$C,3,0)),"")</f>
        <v/>
      </c>
    </row>
    <row r="2682" spans="3:4" x14ac:dyDescent="0.3">
      <c r="C2682" t="str">
        <f>IFERROR(IF(B2682="","",VLOOKUP(B2682,CadProd!$A:$B,2,0)),"")</f>
        <v/>
      </c>
      <c r="D2682" t="str">
        <f>IFERROR(IF(B2682="","",VLOOKUP(B2682,CadProd!$A:$C,3,0)),"")</f>
        <v/>
      </c>
    </row>
    <row r="2683" spans="3:4" x14ac:dyDescent="0.3">
      <c r="C2683" t="str">
        <f>IFERROR(IF(B2683="","",VLOOKUP(B2683,CadProd!$A:$B,2,0)),"")</f>
        <v/>
      </c>
      <c r="D2683" t="str">
        <f>IFERROR(IF(B2683="","",VLOOKUP(B2683,CadProd!$A:$C,3,0)),"")</f>
        <v/>
      </c>
    </row>
    <row r="2684" spans="3:4" x14ac:dyDescent="0.3">
      <c r="C2684" t="str">
        <f>IFERROR(IF(B2684="","",VLOOKUP(B2684,CadProd!$A:$B,2,0)),"")</f>
        <v/>
      </c>
      <c r="D2684" t="str">
        <f>IFERROR(IF(B2684="","",VLOOKUP(B2684,CadProd!$A:$C,3,0)),"")</f>
        <v/>
      </c>
    </row>
    <row r="2685" spans="3:4" x14ac:dyDescent="0.3">
      <c r="C2685" t="str">
        <f>IFERROR(IF(B2685="","",VLOOKUP(B2685,CadProd!$A:$B,2,0)),"")</f>
        <v/>
      </c>
      <c r="D2685" t="str">
        <f>IFERROR(IF(B2685="","",VLOOKUP(B2685,CadProd!$A:$C,3,0)),"")</f>
        <v/>
      </c>
    </row>
    <row r="2686" spans="3:4" x14ac:dyDescent="0.3">
      <c r="C2686" t="str">
        <f>IFERROR(IF(B2686="","",VLOOKUP(B2686,CadProd!$A:$B,2,0)),"")</f>
        <v/>
      </c>
      <c r="D2686" t="str">
        <f>IFERROR(IF(B2686="","",VLOOKUP(B2686,CadProd!$A:$C,3,0)),"")</f>
        <v/>
      </c>
    </row>
    <row r="2687" spans="3:4" x14ac:dyDescent="0.3">
      <c r="C2687" t="str">
        <f>IFERROR(IF(B2687="","",VLOOKUP(B2687,CadProd!$A:$B,2,0)),"")</f>
        <v/>
      </c>
      <c r="D2687" t="str">
        <f>IFERROR(IF(B2687="","",VLOOKUP(B2687,CadProd!$A:$C,3,0)),"")</f>
        <v/>
      </c>
    </row>
    <row r="2688" spans="3:4" x14ac:dyDescent="0.3">
      <c r="C2688" t="str">
        <f>IFERROR(IF(B2688="","",VLOOKUP(B2688,CadProd!$A:$B,2,0)),"")</f>
        <v/>
      </c>
      <c r="D2688" t="str">
        <f>IFERROR(IF(B2688="","",VLOOKUP(B2688,CadProd!$A:$C,3,0)),"")</f>
        <v/>
      </c>
    </row>
    <row r="2689" spans="3:4" x14ac:dyDescent="0.3">
      <c r="C2689" t="str">
        <f>IFERROR(IF(B2689="","",VLOOKUP(B2689,CadProd!$A:$B,2,0)),"")</f>
        <v/>
      </c>
      <c r="D2689" t="str">
        <f>IFERROR(IF(B2689="","",VLOOKUP(B2689,CadProd!$A:$C,3,0)),"")</f>
        <v/>
      </c>
    </row>
    <row r="2690" spans="3:4" x14ac:dyDescent="0.3">
      <c r="C2690" t="str">
        <f>IFERROR(IF(B2690="","",VLOOKUP(B2690,CadProd!$A:$B,2,0)),"")</f>
        <v/>
      </c>
      <c r="D2690" t="str">
        <f>IFERROR(IF(B2690="","",VLOOKUP(B2690,CadProd!$A:$C,3,0)),"")</f>
        <v/>
      </c>
    </row>
    <row r="2691" spans="3:4" x14ac:dyDescent="0.3">
      <c r="C2691" t="str">
        <f>IFERROR(IF(B2691="","",VLOOKUP(B2691,CadProd!$A:$B,2,0)),"")</f>
        <v/>
      </c>
      <c r="D2691" t="str">
        <f>IFERROR(IF(B2691="","",VLOOKUP(B2691,CadProd!$A:$C,3,0)),"")</f>
        <v/>
      </c>
    </row>
    <row r="2692" spans="3:4" x14ac:dyDescent="0.3">
      <c r="C2692" t="str">
        <f>IFERROR(IF(B2692="","",VLOOKUP(B2692,CadProd!$A:$B,2,0)),"")</f>
        <v/>
      </c>
      <c r="D2692" t="str">
        <f>IFERROR(IF(B2692="","",VLOOKUP(B2692,CadProd!$A:$C,3,0)),"")</f>
        <v/>
      </c>
    </row>
    <row r="2693" spans="3:4" x14ac:dyDescent="0.3">
      <c r="C2693" t="str">
        <f>IFERROR(IF(B2693="","",VLOOKUP(B2693,CadProd!$A:$B,2,0)),"")</f>
        <v/>
      </c>
      <c r="D2693" t="str">
        <f>IFERROR(IF(B2693="","",VLOOKUP(B2693,CadProd!$A:$C,3,0)),"")</f>
        <v/>
      </c>
    </row>
    <row r="2694" spans="3:4" x14ac:dyDescent="0.3">
      <c r="C2694" t="str">
        <f>IFERROR(IF(B2694="","",VLOOKUP(B2694,CadProd!$A:$B,2,0)),"")</f>
        <v/>
      </c>
      <c r="D2694" t="str">
        <f>IFERROR(IF(B2694="","",VLOOKUP(B2694,CadProd!$A:$C,3,0)),"")</f>
        <v/>
      </c>
    </row>
    <row r="2695" spans="3:4" x14ac:dyDescent="0.3">
      <c r="C2695" t="str">
        <f>IFERROR(IF(B2695="","",VLOOKUP(B2695,CadProd!$A:$B,2,0)),"")</f>
        <v/>
      </c>
      <c r="D2695" t="str">
        <f>IFERROR(IF(B2695="","",VLOOKUP(B2695,CadProd!$A:$C,3,0)),"")</f>
        <v/>
      </c>
    </row>
    <row r="2696" spans="3:4" x14ac:dyDescent="0.3">
      <c r="C2696" t="str">
        <f>IFERROR(IF(B2696="","",VLOOKUP(B2696,CadProd!$A:$B,2,0)),"")</f>
        <v/>
      </c>
      <c r="D2696" t="str">
        <f>IFERROR(IF(B2696="","",VLOOKUP(B2696,CadProd!$A:$C,3,0)),"")</f>
        <v/>
      </c>
    </row>
    <row r="2697" spans="3:4" x14ac:dyDescent="0.3">
      <c r="C2697" t="str">
        <f>IFERROR(IF(B2697="","",VLOOKUP(B2697,CadProd!$A:$B,2,0)),"")</f>
        <v/>
      </c>
      <c r="D2697" t="str">
        <f>IFERROR(IF(B2697="","",VLOOKUP(B2697,CadProd!$A:$C,3,0)),"")</f>
        <v/>
      </c>
    </row>
    <row r="2698" spans="3:4" x14ac:dyDescent="0.3">
      <c r="C2698" t="str">
        <f>IFERROR(IF(B2698="","",VLOOKUP(B2698,CadProd!$A:$B,2,0)),"")</f>
        <v/>
      </c>
      <c r="D2698" t="str">
        <f>IFERROR(IF(B2698="","",VLOOKUP(B2698,CadProd!$A:$C,3,0)),"")</f>
        <v/>
      </c>
    </row>
    <row r="2699" spans="3:4" x14ac:dyDescent="0.3">
      <c r="C2699" t="str">
        <f>IFERROR(IF(B2699="","",VLOOKUP(B2699,CadProd!$A:$B,2,0)),"")</f>
        <v/>
      </c>
      <c r="D2699" t="str">
        <f>IFERROR(IF(B2699="","",VLOOKUP(B2699,CadProd!$A:$C,3,0)),"")</f>
        <v/>
      </c>
    </row>
    <row r="2700" spans="3:4" x14ac:dyDescent="0.3">
      <c r="C2700" t="str">
        <f>IFERROR(IF(B2700="","",VLOOKUP(B2700,CadProd!$A:$B,2,0)),"")</f>
        <v/>
      </c>
      <c r="D2700" t="str">
        <f>IFERROR(IF(B2700="","",VLOOKUP(B2700,CadProd!$A:$C,3,0)),"")</f>
        <v/>
      </c>
    </row>
    <row r="2701" spans="3:4" x14ac:dyDescent="0.3">
      <c r="C2701" t="str">
        <f>IFERROR(IF(B2701="","",VLOOKUP(B2701,CadProd!$A:$B,2,0)),"")</f>
        <v/>
      </c>
      <c r="D2701" t="str">
        <f>IFERROR(IF(B2701="","",VLOOKUP(B2701,CadProd!$A:$C,3,0)),"")</f>
        <v/>
      </c>
    </row>
    <row r="2702" spans="3:4" x14ac:dyDescent="0.3">
      <c r="C2702" t="str">
        <f>IFERROR(IF(B2702="","",VLOOKUP(B2702,CadProd!$A:$B,2,0)),"")</f>
        <v/>
      </c>
      <c r="D2702" t="str">
        <f>IFERROR(IF(B2702="","",VLOOKUP(B2702,CadProd!$A:$C,3,0)),"")</f>
        <v/>
      </c>
    </row>
    <row r="2703" spans="3:4" x14ac:dyDescent="0.3">
      <c r="C2703" t="str">
        <f>IFERROR(IF(B2703="","",VLOOKUP(B2703,CadProd!$A:$B,2,0)),"")</f>
        <v/>
      </c>
      <c r="D2703" t="str">
        <f>IFERROR(IF(B2703="","",VLOOKUP(B2703,CadProd!$A:$C,3,0)),"")</f>
        <v/>
      </c>
    </row>
    <row r="2704" spans="3:4" x14ac:dyDescent="0.3">
      <c r="C2704" t="str">
        <f>IFERROR(IF(B2704="","",VLOOKUP(B2704,CadProd!$A:$B,2,0)),"")</f>
        <v/>
      </c>
      <c r="D2704" t="str">
        <f>IFERROR(IF(B2704="","",VLOOKUP(B2704,CadProd!$A:$C,3,0)),"")</f>
        <v/>
      </c>
    </row>
    <row r="2705" spans="3:4" x14ac:dyDescent="0.3">
      <c r="C2705" t="str">
        <f>IFERROR(IF(B2705="","",VLOOKUP(B2705,CadProd!$A:$B,2,0)),"")</f>
        <v/>
      </c>
      <c r="D2705" t="str">
        <f>IFERROR(IF(B2705="","",VLOOKUP(B2705,CadProd!$A:$C,3,0)),"")</f>
        <v/>
      </c>
    </row>
    <row r="2706" spans="3:4" x14ac:dyDescent="0.3">
      <c r="C2706" t="str">
        <f>IFERROR(IF(B2706="","",VLOOKUP(B2706,CadProd!$A:$B,2,0)),"")</f>
        <v/>
      </c>
      <c r="D2706" t="str">
        <f>IFERROR(IF(B2706="","",VLOOKUP(B2706,CadProd!$A:$C,3,0)),"")</f>
        <v/>
      </c>
    </row>
    <row r="2707" spans="3:4" x14ac:dyDescent="0.3">
      <c r="C2707" t="str">
        <f>IFERROR(IF(B2707="","",VLOOKUP(B2707,CadProd!$A:$B,2,0)),"")</f>
        <v/>
      </c>
      <c r="D2707" t="str">
        <f>IFERROR(IF(B2707="","",VLOOKUP(B2707,CadProd!$A:$C,3,0)),"")</f>
        <v/>
      </c>
    </row>
    <row r="2708" spans="3:4" x14ac:dyDescent="0.3">
      <c r="C2708" t="str">
        <f>IFERROR(IF(B2708="","",VLOOKUP(B2708,CadProd!$A:$B,2,0)),"")</f>
        <v/>
      </c>
      <c r="D2708" t="str">
        <f>IFERROR(IF(B2708="","",VLOOKUP(B2708,CadProd!$A:$C,3,0)),"")</f>
        <v/>
      </c>
    </row>
    <row r="2709" spans="3:4" x14ac:dyDescent="0.3">
      <c r="C2709" t="str">
        <f>IFERROR(IF(B2709="","",VLOOKUP(B2709,CadProd!$A:$B,2,0)),"")</f>
        <v/>
      </c>
      <c r="D2709" t="str">
        <f>IFERROR(IF(B2709="","",VLOOKUP(B2709,CadProd!$A:$C,3,0)),"")</f>
        <v/>
      </c>
    </row>
    <row r="2710" spans="3:4" x14ac:dyDescent="0.3">
      <c r="C2710" t="str">
        <f>IFERROR(IF(B2710="","",VLOOKUP(B2710,CadProd!$A:$B,2,0)),"")</f>
        <v/>
      </c>
      <c r="D2710" t="str">
        <f>IFERROR(IF(B2710="","",VLOOKUP(B2710,CadProd!$A:$C,3,0)),"")</f>
        <v/>
      </c>
    </row>
    <row r="2711" spans="3:4" x14ac:dyDescent="0.3">
      <c r="C2711" t="str">
        <f>IFERROR(IF(B2711="","",VLOOKUP(B2711,CadProd!$A:$B,2,0)),"")</f>
        <v/>
      </c>
      <c r="D2711" t="str">
        <f>IFERROR(IF(B2711="","",VLOOKUP(B2711,CadProd!$A:$C,3,0)),"")</f>
        <v/>
      </c>
    </row>
    <row r="2712" spans="3:4" x14ac:dyDescent="0.3">
      <c r="C2712" t="str">
        <f>IFERROR(IF(B2712="","",VLOOKUP(B2712,CadProd!$A:$B,2,0)),"")</f>
        <v/>
      </c>
      <c r="D2712" t="str">
        <f>IFERROR(IF(B2712="","",VLOOKUP(B2712,CadProd!$A:$C,3,0)),"")</f>
        <v/>
      </c>
    </row>
    <row r="2713" spans="3:4" x14ac:dyDescent="0.3">
      <c r="C2713" t="str">
        <f>IFERROR(IF(B2713="","",VLOOKUP(B2713,CadProd!$A:$B,2,0)),"")</f>
        <v/>
      </c>
      <c r="D2713" t="str">
        <f>IFERROR(IF(B2713="","",VLOOKUP(B2713,CadProd!$A:$C,3,0)),"")</f>
        <v/>
      </c>
    </row>
    <row r="2714" spans="3:4" x14ac:dyDescent="0.3">
      <c r="C2714" t="str">
        <f>IFERROR(IF(B2714="","",VLOOKUP(B2714,CadProd!$A:$B,2,0)),"")</f>
        <v/>
      </c>
      <c r="D2714" t="str">
        <f>IFERROR(IF(B2714="","",VLOOKUP(B2714,CadProd!$A:$C,3,0)),"")</f>
        <v/>
      </c>
    </row>
    <row r="2715" spans="3:4" x14ac:dyDescent="0.3">
      <c r="C2715" t="str">
        <f>IFERROR(IF(B2715="","",VLOOKUP(B2715,CadProd!$A:$B,2,0)),"")</f>
        <v/>
      </c>
      <c r="D2715" t="str">
        <f>IFERROR(IF(B2715="","",VLOOKUP(B2715,CadProd!$A:$C,3,0)),"")</f>
        <v/>
      </c>
    </row>
    <row r="2716" spans="3:4" x14ac:dyDescent="0.3">
      <c r="C2716" t="str">
        <f>IFERROR(IF(B2716="","",VLOOKUP(B2716,CadProd!$A:$B,2,0)),"")</f>
        <v/>
      </c>
      <c r="D2716" t="str">
        <f>IFERROR(IF(B2716="","",VLOOKUP(B2716,CadProd!$A:$C,3,0)),"")</f>
        <v/>
      </c>
    </row>
    <row r="2717" spans="3:4" x14ac:dyDescent="0.3">
      <c r="C2717" t="str">
        <f>IFERROR(IF(B2717="","",VLOOKUP(B2717,CadProd!$A:$B,2,0)),"")</f>
        <v/>
      </c>
      <c r="D2717" t="str">
        <f>IFERROR(IF(B2717="","",VLOOKUP(B2717,CadProd!$A:$C,3,0)),"")</f>
        <v/>
      </c>
    </row>
    <row r="2718" spans="3:4" x14ac:dyDescent="0.3">
      <c r="C2718" t="str">
        <f>IFERROR(IF(B2718="","",VLOOKUP(B2718,CadProd!$A:$B,2,0)),"")</f>
        <v/>
      </c>
      <c r="D2718" t="str">
        <f>IFERROR(IF(B2718="","",VLOOKUP(B2718,CadProd!$A:$C,3,0)),"")</f>
        <v/>
      </c>
    </row>
    <row r="2719" spans="3:4" x14ac:dyDescent="0.3">
      <c r="C2719" t="str">
        <f>IFERROR(IF(B2719="","",VLOOKUP(B2719,CadProd!$A:$B,2,0)),"")</f>
        <v/>
      </c>
      <c r="D2719" t="str">
        <f>IFERROR(IF(B2719="","",VLOOKUP(B2719,CadProd!$A:$C,3,0)),"")</f>
        <v/>
      </c>
    </row>
    <row r="2720" spans="3:4" x14ac:dyDescent="0.3">
      <c r="C2720" t="str">
        <f>IFERROR(IF(B2720="","",VLOOKUP(B2720,CadProd!$A:$B,2,0)),"")</f>
        <v/>
      </c>
      <c r="D2720" t="str">
        <f>IFERROR(IF(B2720="","",VLOOKUP(B2720,CadProd!$A:$C,3,0)),"")</f>
        <v/>
      </c>
    </row>
    <row r="2721" spans="3:4" x14ac:dyDescent="0.3">
      <c r="C2721" t="str">
        <f>IFERROR(IF(B2721="","",VLOOKUP(B2721,CadProd!$A:$B,2,0)),"")</f>
        <v/>
      </c>
      <c r="D2721" t="str">
        <f>IFERROR(IF(B2721="","",VLOOKUP(B2721,CadProd!$A:$C,3,0)),"")</f>
        <v/>
      </c>
    </row>
    <row r="2722" spans="3:4" x14ac:dyDescent="0.3">
      <c r="C2722" t="str">
        <f>IFERROR(IF(B2722="","",VLOOKUP(B2722,CadProd!$A:$B,2,0)),"")</f>
        <v/>
      </c>
      <c r="D2722" t="str">
        <f>IFERROR(IF(B2722="","",VLOOKUP(B2722,CadProd!$A:$C,3,0)),"")</f>
        <v/>
      </c>
    </row>
    <row r="2723" spans="3:4" x14ac:dyDescent="0.3">
      <c r="C2723" t="str">
        <f>IFERROR(IF(B2723="","",VLOOKUP(B2723,CadProd!$A:$B,2,0)),"")</f>
        <v/>
      </c>
      <c r="D2723" t="str">
        <f>IFERROR(IF(B2723="","",VLOOKUP(B2723,CadProd!$A:$C,3,0)),"")</f>
        <v/>
      </c>
    </row>
    <row r="2724" spans="3:4" x14ac:dyDescent="0.3">
      <c r="C2724" t="str">
        <f>IFERROR(IF(B2724="","",VLOOKUP(B2724,CadProd!$A:$B,2,0)),"")</f>
        <v/>
      </c>
      <c r="D2724" t="str">
        <f>IFERROR(IF(B2724="","",VLOOKUP(B2724,CadProd!$A:$C,3,0)),"")</f>
        <v/>
      </c>
    </row>
    <row r="2725" spans="3:4" x14ac:dyDescent="0.3">
      <c r="C2725" t="str">
        <f>IFERROR(IF(B2725="","",VLOOKUP(B2725,CadProd!$A:$B,2,0)),"")</f>
        <v/>
      </c>
      <c r="D2725" t="str">
        <f>IFERROR(IF(B2725="","",VLOOKUP(B2725,CadProd!$A:$C,3,0)),"")</f>
        <v/>
      </c>
    </row>
    <row r="2726" spans="3:4" x14ac:dyDescent="0.3">
      <c r="C2726" t="str">
        <f>IFERROR(IF(B2726="","",VLOOKUP(B2726,CadProd!$A:$B,2,0)),"")</f>
        <v/>
      </c>
      <c r="D2726" t="str">
        <f>IFERROR(IF(B2726="","",VLOOKUP(B2726,CadProd!$A:$C,3,0)),"")</f>
        <v/>
      </c>
    </row>
    <row r="2727" spans="3:4" x14ac:dyDescent="0.3">
      <c r="C2727" t="str">
        <f>IFERROR(IF(B2727="","",VLOOKUP(B2727,CadProd!$A:$B,2,0)),"")</f>
        <v/>
      </c>
      <c r="D2727" t="str">
        <f>IFERROR(IF(B2727="","",VLOOKUP(B2727,CadProd!$A:$C,3,0)),"")</f>
        <v/>
      </c>
    </row>
    <row r="2728" spans="3:4" x14ac:dyDescent="0.3">
      <c r="C2728" t="str">
        <f>IFERROR(IF(B2728="","",VLOOKUP(B2728,CadProd!$A:$B,2,0)),"")</f>
        <v/>
      </c>
      <c r="D2728" t="str">
        <f>IFERROR(IF(B2728="","",VLOOKUP(B2728,CadProd!$A:$C,3,0)),"")</f>
        <v/>
      </c>
    </row>
    <row r="2729" spans="3:4" x14ac:dyDescent="0.3">
      <c r="C2729" t="str">
        <f>IFERROR(IF(B2729="","",VLOOKUP(B2729,CadProd!$A:$B,2,0)),"")</f>
        <v/>
      </c>
      <c r="D2729" t="str">
        <f>IFERROR(IF(B2729="","",VLOOKUP(B2729,CadProd!$A:$C,3,0)),"")</f>
        <v/>
      </c>
    </row>
    <row r="2730" spans="3:4" x14ac:dyDescent="0.3">
      <c r="C2730" t="str">
        <f>IFERROR(IF(B2730="","",VLOOKUP(B2730,CadProd!$A:$B,2,0)),"")</f>
        <v/>
      </c>
      <c r="D2730" t="str">
        <f>IFERROR(IF(B2730="","",VLOOKUP(B2730,CadProd!$A:$C,3,0)),"")</f>
        <v/>
      </c>
    </row>
    <row r="2731" spans="3:4" x14ac:dyDescent="0.3">
      <c r="C2731" t="str">
        <f>IFERROR(IF(B2731="","",VLOOKUP(B2731,CadProd!$A:$B,2,0)),"")</f>
        <v/>
      </c>
      <c r="D2731" t="str">
        <f>IFERROR(IF(B2731="","",VLOOKUP(B2731,CadProd!$A:$C,3,0)),"")</f>
        <v/>
      </c>
    </row>
    <row r="2732" spans="3:4" x14ac:dyDescent="0.3">
      <c r="C2732" t="str">
        <f>IFERROR(IF(B2732="","",VLOOKUP(B2732,CadProd!$A:$B,2,0)),"")</f>
        <v/>
      </c>
      <c r="D2732" t="str">
        <f>IFERROR(IF(B2732="","",VLOOKUP(B2732,CadProd!$A:$C,3,0)),"")</f>
        <v/>
      </c>
    </row>
    <row r="2733" spans="3:4" x14ac:dyDescent="0.3">
      <c r="C2733" t="str">
        <f>IFERROR(IF(B2733="","",VLOOKUP(B2733,CadProd!$A:$B,2,0)),"")</f>
        <v/>
      </c>
      <c r="D2733" t="str">
        <f>IFERROR(IF(B2733="","",VLOOKUP(B2733,CadProd!$A:$C,3,0)),"")</f>
        <v/>
      </c>
    </row>
    <row r="2734" spans="3:4" x14ac:dyDescent="0.3">
      <c r="C2734" t="str">
        <f>IFERROR(IF(B2734="","",VLOOKUP(B2734,CadProd!$A:$B,2,0)),"")</f>
        <v/>
      </c>
      <c r="D2734" t="str">
        <f>IFERROR(IF(B2734="","",VLOOKUP(B2734,CadProd!$A:$C,3,0)),"")</f>
        <v/>
      </c>
    </row>
    <row r="2735" spans="3:4" x14ac:dyDescent="0.3">
      <c r="C2735" t="str">
        <f>IFERROR(IF(B2735="","",VLOOKUP(B2735,CadProd!$A:$B,2,0)),"")</f>
        <v/>
      </c>
      <c r="D2735" t="str">
        <f>IFERROR(IF(B2735="","",VLOOKUP(B2735,CadProd!$A:$C,3,0)),"")</f>
        <v/>
      </c>
    </row>
    <row r="2736" spans="3:4" x14ac:dyDescent="0.3">
      <c r="C2736" t="str">
        <f>IFERROR(IF(B2736="","",VLOOKUP(B2736,CadProd!$A:$B,2,0)),"")</f>
        <v/>
      </c>
      <c r="D2736" t="str">
        <f>IFERROR(IF(B2736="","",VLOOKUP(B2736,CadProd!$A:$C,3,0)),"")</f>
        <v/>
      </c>
    </row>
    <row r="2737" spans="3:4" x14ac:dyDescent="0.3">
      <c r="C2737" t="str">
        <f>IFERROR(IF(B2737="","",VLOOKUP(B2737,CadProd!$A:$B,2,0)),"")</f>
        <v/>
      </c>
      <c r="D2737" t="str">
        <f>IFERROR(IF(B2737="","",VLOOKUP(B2737,CadProd!$A:$C,3,0)),"")</f>
        <v/>
      </c>
    </row>
    <row r="2738" spans="3:4" x14ac:dyDescent="0.3">
      <c r="C2738" t="str">
        <f>IFERROR(IF(B2738="","",VLOOKUP(B2738,CadProd!$A:$B,2,0)),"")</f>
        <v/>
      </c>
      <c r="D2738" t="str">
        <f>IFERROR(IF(B2738="","",VLOOKUP(B2738,CadProd!$A:$C,3,0)),"")</f>
        <v/>
      </c>
    </row>
    <row r="2739" spans="3:4" x14ac:dyDescent="0.3">
      <c r="C2739" t="str">
        <f>IFERROR(IF(B2739="","",VLOOKUP(B2739,CadProd!$A:$B,2,0)),"")</f>
        <v/>
      </c>
      <c r="D2739" t="str">
        <f>IFERROR(IF(B2739="","",VLOOKUP(B2739,CadProd!$A:$C,3,0)),"")</f>
        <v/>
      </c>
    </row>
    <row r="2740" spans="3:4" x14ac:dyDescent="0.3">
      <c r="C2740" t="str">
        <f>IFERROR(IF(B2740="","",VLOOKUP(B2740,CadProd!$A:$B,2,0)),"")</f>
        <v/>
      </c>
      <c r="D2740" t="str">
        <f>IFERROR(IF(B2740="","",VLOOKUP(B2740,CadProd!$A:$C,3,0)),"")</f>
        <v/>
      </c>
    </row>
    <row r="2741" spans="3:4" x14ac:dyDescent="0.3">
      <c r="C2741" t="str">
        <f>IFERROR(IF(B2741="","",VLOOKUP(B2741,CadProd!$A:$B,2,0)),"")</f>
        <v/>
      </c>
      <c r="D2741" t="str">
        <f>IFERROR(IF(B2741="","",VLOOKUP(B2741,CadProd!$A:$C,3,0)),"")</f>
        <v/>
      </c>
    </row>
    <row r="2742" spans="3:4" x14ac:dyDescent="0.3">
      <c r="C2742" t="str">
        <f>IFERROR(IF(B2742="","",VLOOKUP(B2742,CadProd!$A:$B,2,0)),"")</f>
        <v/>
      </c>
      <c r="D2742" t="str">
        <f>IFERROR(IF(B2742="","",VLOOKUP(B2742,CadProd!$A:$C,3,0)),"")</f>
        <v/>
      </c>
    </row>
    <row r="2743" spans="3:4" x14ac:dyDescent="0.3">
      <c r="C2743" t="str">
        <f>IFERROR(IF(B2743="","",VLOOKUP(B2743,CadProd!$A:$B,2,0)),"")</f>
        <v/>
      </c>
      <c r="D2743" t="str">
        <f>IFERROR(IF(B2743="","",VLOOKUP(B2743,CadProd!$A:$C,3,0)),"")</f>
        <v/>
      </c>
    </row>
    <row r="2744" spans="3:4" x14ac:dyDescent="0.3">
      <c r="C2744" t="str">
        <f>IFERROR(IF(B2744="","",VLOOKUP(B2744,CadProd!$A:$B,2,0)),"")</f>
        <v/>
      </c>
      <c r="D2744" t="str">
        <f>IFERROR(IF(B2744="","",VLOOKUP(B2744,CadProd!$A:$C,3,0)),"")</f>
        <v/>
      </c>
    </row>
    <row r="2745" spans="3:4" x14ac:dyDescent="0.3">
      <c r="C2745" t="str">
        <f>IFERROR(IF(B2745="","",VLOOKUP(B2745,CadProd!$A:$B,2,0)),"")</f>
        <v/>
      </c>
      <c r="D2745" t="str">
        <f>IFERROR(IF(B2745="","",VLOOKUP(B2745,CadProd!$A:$C,3,0)),"")</f>
        <v/>
      </c>
    </row>
    <row r="2746" spans="3:4" x14ac:dyDescent="0.3">
      <c r="C2746" t="str">
        <f>IFERROR(IF(B2746="","",VLOOKUP(B2746,CadProd!$A:$B,2,0)),"")</f>
        <v/>
      </c>
      <c r="D2746" t="str">
        <f>IFERROR(IF(B2746="","",VLOOKUP(B2746,CadProd!$A:$C,3,0)),"")</f>
        <v/>
      </c>
    </row>
    <row r="2747" spans="3:4" x14ac:dyDescent="0.3">
      <c r="C2747" t="str">
        <f>IFERROR(IF(B2747="","",VLOOKUP(B2747,CadProd!$A:$B,2,0)),"")</f>
        <v/>
      </c>
      <c r="D2747" t="str">
        <f>IFERROR(IF(B2747="","",VLOOKUP(B2747,CadProd!$A:$C,3,0)),"")</f>
        <v/>
      </c>
    </row>
    <row r="2748" spans="3:4" x14ac:dyDescent="0.3">
      <c r="C2748" t="str">
        <f>IFERROR(IF(B2748="","",VLOOKUP(B2748,CadProd!$A:$B,2,0)),"")</f>
        <v/>
      </c>
      <c r="D2748" t="str">
        <f>IFERROR(IF(B2748="","",VLOOKUP(B2748,CadProd!$A:$C,3,0)),"")</f>
        <v/>
      </c>
    </row>
    <row r="2749" spans="3:4" x14ac:dyDescent="0.3">
      <c r="C2749" t="str">
        <f>IFERROR(IF(B2749="","",VLOOKUP(B2749,CadProd!$A:$B,2,0)),"")</f>
        <v/>
      </c>
      <c r="D2749" t="str">
        <f>IFERROR(IF(B2749="","",VLOOKUP(B2749,CadProd!$A:$C,3,0)),"")</f>
        <v/>
      </c>
    </row>
    <row r="2750" spans="3:4" x14ac:dyDescent="0.3">
      <c r="C2750" t="str">
        <f>IFERROR(IF(B2750="","",VLOOKUP(B2750,CadProd!$A:$B,2,0)),"")</f>
        <v/>
      </c>
      <c r="D2750" t="str">
        <f>IFERROR(IF(B2750="","",VLOOKUP(B2750,CadProd!$A:$C,3,0)),"")</f>
        <v/>
      </c>
    </row>
    <row r="2751" spans="3:4" x14ac:dyDescent="0.3">
      <c r="C2751" t="str">
        <f>IFERROR(IF(B2751="","",VLOOKUP(B2751,CadProd!$A:$B,2,0)),"")</f>
        <v/>
      </c>
      <c r="D2751" t="str">
        <f>IFERROR(IF(B2751="","",VLOOKUP(B2751,CadProd!$A:$C,3,0)),"")</f>
        <v/>
      </c>
    </row>
    <row r="2752" spans="3:4" x14ac:dyDescent="0.3">
      <c r="C2752" t="str">
        <f>IFERROR(IF(B2752="","",VLOOKUP(B2752,CadProd!$A:$B,2,0)),"")</f>
        <v/>
      </c>
      <c r="D2752" t="str">
        <f>IFERROR(IF(B2752="","",VLOOKUP(B2752,CadProd!$A:$C,3,0)),"")</f>
        <v/>
      </c>
    </row>
    <row r="2753" spans="3:4" x14ac:dyDescent="0.3">
      <c r="C2753" t="str">
        <f>IFERROR(IF(B2753="","",VLOOKUP(B2753,CadProd!$A:$B,2,0)),"")</f>
        <v/>
      </c>
      <c r="D2753" t="str">
        <f>IFERROR(IF(B2753="","",VLOOKUP(B2753,CadProd!$A:$C,3,0)),"")</f>
        <v/>
      </c>
    </row>
    <row r="2754" spans="3:4" x14ac:dyDescent="0.3">
      <c r="C2754" t="str">
        <f>IFERROR(IF(B2754="","",VLOOKUP(B2754,CadProd!$A:$B,2,0)),"")</f>
        <v/>
      </c>
      <c r="D2754" t="str">
        <f>IFERROR(IF(B2754="","",VLOOKUP(B2754,CadProd!$A:$C,3,0)),"")</f>
        <v/>
      </c>
    </row>
    <row r="2755" spans="3:4" x14ac:dyDescent="0.3">
      <c r="C2755" t="str">
        <f>IFERROR(IF(B2755="","",VLOOKUP(B2755,CadProd!$A:$B,2,0)),"")</f>
        <v/>
      </c>
      <c r="D2755" t="str">
        <f>IFERROR(IF(B2755="","",VLOOKUP(B2755,CadProd!$A:$C,3,0)),"")</f>
        <v/>
      </c>
    </row>
    <row r="2756" spans="3:4" x14ac:dyDescent="0.3">
      <c r="C2756" t="str">
        <f>IFERROR(IF(B2756="","",VLOOKUP(B2756,CadProd!$A:$B,2,0)),"")</f>
        <v/>
      </c>
      <c r="D2756" t="str">
        <f>IFERROR(IF(B2756="","",VLOOKUP(B2756,CadProd!$A:$C,3,0)),"")</f>
        <v/>
      </c>
    </row>
    <row r="2757" spans="3:4" x14ac:dyDescent="0.3">
      <c r="C2757" t="str">
        <f>IFERROR(IF(B2757="","",VLOOKUP(B2757,CadProd!$A:$B,2,0)),"")</f>
        <v/>
      </c>
      <c r="D2757" t="str">
        <f>IFERROR(IF(B2757="","",VLOOKUP(B2757,CadProd!$A:$C,3,0)),"")</f>
        <v/>
      </c>
    </row>
    <row r="2758" spans="3:4" x14ac:dyDescent="0.3">
      <c r="C2758" t="str">
        <f>IFERROR(IF(B2758="","",VLOOKUP(B2758,CadProd!$A:$B,2,0)),"")</f>
        <v/>
      </c>
      <c r="D2758" t="str">
        <f>IFERROR(IF(B2758="","",VLOOKUP(B2758,CadProd!$A:$C,3,0)),"")</f>
        <v/>
      </c>
    </row>
    <row r="2759" spans="3:4" x14ac:dyDescent="0.3">
      <c r="C2759" t="str">
        <f>IFERROR(IF(B2759="","",VLOOKUP(B2759,CadProd!$A:$B,2,0)),"")</f>
        <v/>
      </c>
      <c r="D2759" t="str">
        <f>IFERROR(IF(B2759="","",VLOOKUP(B2759,CadProd!$A:$C,3,0)),"")</f>
        <v/>
      </c>
    </row>
    <row r="2760" spans="3:4" x14ac:dyDescent="0.3">
      <c r="C2760" t="str">
        <f>IFERROR(IF(B2760="","",VLOOKUP(B2760,CadProd!$A:$B,2,0)),"")</f>
        <v/>
      </c>
      <c r="D2760" t="str">
        <f>IFERROR(IF(B2760="","",VLOOKUP(B2760,CadProd!$A:$C,3,0)),"")</f>
        <v/>
      </c>
    </row>
    <row r="2761" spans="3:4" x14ac:dyDescent="0.3">
      <c r="C2761" t="str">
        <f>IFERROR(IF(B2761="","",VLOOKUP(B2761,CadProd!$A:$B,2,0)),"")</f>
        <v/>
      </c>
      <c r="D2761" t="str">
        <f>IFERROR(IF(B2761="","",VLOOKUP(B2761,CadProd!$A:$C,3,0)),"")</f>
        <v/>
      </c>
    </row>
    <row r="2762" spans="3:4" x14ac:dyDescent="0.3">
      <c r="C2762" t="str">
        <f>IFERROR(IF(B2762="","",VLOOKUP(B2762,CadProd!$A:$B,2,0)),"")</f>
        <v/>
      </c>
      <c r="D2762" t="str">
        <f>IFERROR(IF(B2762="","",VLOOKUP(B2762,CadProd!$A:$C,3,0)),"")</f>
        <v/>
      </c>
    </row>
    <row r="2763" spans="3:4" x14ac:dyDescent="0.3">
      <c r="C2763" t="str">
        <f>IFERROR(IF(B2763="","",VLOOKUP(B2763,CadProd!$A:$B,2,0)),"")</f>
        <v/>
      </c>
      <c r="D2763" t="str">
        <f>IFERROR(IF(B2763="","",VLOOKUP(B2763,CadProd!$A:$C,3,0)),"")</f>
        <v/>
      </c>
    </row>
    <row r="2764" spans="3:4" x14ac:dyDescent="0.3">
      <c r="C2764" t="str">
        <f>IFERROR(IF(B2764="","",VLOOKUP(B2764,CadProd!$A:$B,2,0)),"")</f>
        <v/>
      </c>
      <c r="D2764" t="str">
        <f>IFERROR(IF(B2764="","",VLOOKUP(B2764,CadProd!$A:$C,3,0)),"")</f>
        <v/>
      </c>
    </row>
    <row r="2765" spans="3:4" x14ac:dyDescent="0.3">
      <c r="C2765" t="str">
        <f>IFERROR(IF(B2765="","",VLOOKUP(B2765,CadProd!$A:$B,2,0)),"")</f>
        <v/>
      </c>
      <c r="D2765" t="str">
        <f>IFERROR(IF(B2765="","",VLOOKUP(B2765,CadProd!$A:$C,3,0)),"")</f>
        <v/>
      </c>
    </row>
    <row r="2766" spans="3:4" x14ac:dyDescent="0.3">
      <c r="C2766" t="str">
        <f>IFERROR(IF(B2766="","",VLOOKUP(B2766,CadProd!$A:$B,2,0)),"")</f>
        <v/>
      </c>
      <c r="D2766" t="str">
        <f>IFERROR(IF(B2766="","",VLOOKUP(B2766,CadProd!$A:$C,3,0)),"")</f>
        <v/>
      </c>
    </row>
    <row r="2767" spans="3:4" x14ac:dyDescent="0.3">
      <c r="C2767" t="str">
        <f>IFERROR(IF(B2767="","",VLOOKUP(B2767,CadProd!$A:$B,2,0)),"")</f>
        <v/>
      </c>
      <c r="D2767" t="str">
        <f>IFERROR(IF(B2767="","",VLOOKUP(B2767,CadProd!$A:$C,3,0)),"")</f>
        <v/>
      </c>
    </row>
    <row r="2768" spans="3:4" x14ac:dyDescent="0.3">
      <c r="C2768" t="str">
        <f>IFERROR(IF(B2768="","",VLOOKUP(B2768,CadProd!$A:$B,2,0)),"")</f>
        <v/>
      </c>
      <c r="D2768" t="str">
        <f>IFERROR(IF(B2768="","",VLOOKUP(B2768,CadProd!$A:$C,3,0)),"")</f>
        <v/>
      </c>
    </row>
    <row r="2769" spans="3:4" x14ac:dyDescent="0.3">
      <c r="C2769" t="str">
        <f>IFERROR(IF(B2769="","",VLOOKUP(B2769,CadProd!$A:$B,2,0)),"")</f>
        <v/>
      </c>
      <c r="D2769" t="str">
        <f>IFERROR(IF(B2769="","",VLOOKUP(B2769,CadProd!$A:$C,3,0)),"")</f>
        <v/>
      </c>
    </row>
    <row r="2770" spans="3:4" x14ac:dyDescent="0.3">
      <c r="C2770" t="str">
        <f>IFERROR(IF(B2770="","",VLOOKUP(B2770,CadProd!$A:$B,2,0)),"")</f>
        <v/>
      </c>
      <c r="D2770" t="str">
        <f>IFERROR(IF(B2770="","",VLOOKUP(B2770,CadProd!$A:$C,3,0)),"")</f>
        <v/>
      </c>
    </row>
    <row r="2771" spans="3:4" x14ac:dyDescent="0.3">
      <c r="C2771" t="str">
        <f>IFERROR(IF(B2771="","",VLOOKUP(B2771,CadProd!$A:$B,2,0)),"")</f>
        <v/>
      </c>
      <c r="D2771" t="str">
        <f>IFERROR(IF(B2771="","",VLOOKUP(B2771,CadProd!$A:$C,3,0)),"")</f>
        <v/>
      </c>
    </row>
    <row r="2772" spans="3:4" x14ac:dyDescent="0.3">
      <c r="C2772" t="str">
        <f>IFERROR(IF(B2772="","",VLOOKUP(B2772,CadProd!$A:$B,2,0)),"")</f>
        <v/>
      </c>
      <c r="D2772" t="str">
        <f>IFERROR(IF(B2772="","",VLOOKUP(B2772,CadProd!$A:$C,3,0)),"")</f>
        <v/>
      </c>
    </row>
    <row r="2773" spans="3:4" x14ac:dyDescent="0.3">
      <c r="C2773" t="str">
        <f>IFERROR(IF(B2773="","",VLOOKUP(B2773,CadProd!$A:$B,2,0)),"")</f>
        <v/>
      </c>
      <c r="D2773" t="str">
        <f>IFERROR(IF(B2773="","",VLOOKUP(B2773,CadProd!$A:$C,3,0)),"")</f>
        <v/>
      </c>
    </row>
    <row r="2774" spans="3:4" x14ac:dyDescent="0.3">
      <c r="C2774" t="str">
        <f>IFERROR(IF(B2774="","",VLOOKUP(B2774,CadProd!$A:$B,2,0)),"")</f>
        <v/>
      </c>
      <c r="D2774" t="str">
        <f>IFERROR(IF(B2774="","",VLOOKUP(B2774,CadProd!$A:$C,3,0)),"")</f>
        <v/>
      </c>
    </row>
    <row r="2775" spans="3:4" x14ac:dyDescent="0.3">
      <c r="C2775" t="str">
        <f>IFERROR(IF(B2775="","",VLOOKUP(B2775,CadProd!$A:$B,2,0)),"")</f>
        <v/>
      </c>
      <c r="D2775" t="str">
        <f>IFERROR(IF(B2775="","",VLOOKUP(B2775,CadProd!$A:$C,3,0)),"")</f>
        <v/>
      </c>
    </row>
    <row r="2776" spans="3:4" x14ac:dyDescent="0.3">
      <c r="C2776" t="str">
        <f>IFERROR(IF(B2776="","",VLOOKUP(B2776,CadProd!$A:$B,2,0)),"")</f>
        <v/>
      </c>
      <c r="D2776" t="str">
        <f>IFERROR(IF(B2776="","",VLOOKUP(B2776,CadProd!$A:$C,3,0)),"")</f>
        <v/>
      </c>
    </row>
    <row r="2777" spans="3:4" x14ac:dyDescent="0.3">
      <c r="C2777" t="str">
        <f>IFERROR(IF(B2777="","",VLOOKUP(B2777,CadProd!$A:$B,2,0)),"")</f>
        <v/>
      </c>
      <c r="D2777" t="str">
        <f>IFERROR(IF(B2777="","",VLOOKUP(B2777,CadProd!$A:$C,3,0)),"")</f>
        <v/>
      </c>
    </row>
    <row r="2778" spans="3:4" x14ac:dyDescent="0.3">
      <c r="C2778" t="str">
        <f>IFERROR(IF(B2778="","",VLOOKUP(B2778,CadProd!$A:$B,2,0)),"")</f>
        <v/>
      </c>
      <c r="D2778" t="str">
        <f>IFERROR(IF(B2778="","",VLOOKUP(B2778,CadProd!$A:$C,3,0)),"")</f>
        <v/>
      </c>
    </row>
    <row r="2779" spans="3:4" x14ac:dyDescent="0.3">
      <c r="C2779" t="str">
        <f>IFERROR(IF(B2779="","",VLOOKUP(B2779,CadProd!$A:$B,2,0)),"")</f>
        <v/>
      </c>
      <c r="D2779" t="str">
        <f>IFERROR(IF(B2779="","",VLOOKUP(B2779,CadProd!$A:$C,3,0)),"")</f>
        <v/>
      </c>
    </row>
    <row r="2780" spans="3:4" x14ac:dyDescent="0.3">
      <c r="C2780" t="str">
        <f>IFERROR(IF(B2780="","",VLOOKUP(B2780,CadProd!$A:$B,2,0)),"")</f>
        <v/>
      </c>
      <c r="D2780" t="str">
        <f>IFERROR(IF(B2780="","",VLOOKUP(B2780,CadProd!$A:$C,3,0)),"")</f>
        <v/>
      </c>
    </row>
    <row r="2781" spans="3:4" x14ac:dyDescent="0.3">
      <c r="C2781" t="str">
        <f>IFERROR(IF(B2781="","",VLOOKUP(B2781,CadProd!$A:$B,2,0)),"")</f>
        <v/>
      </c>
      <c r="D2781" t="str">
        <f>IFERROR(IF(B2781="","",VLOOKUP(B2781,CadProd!$A:$C,3,0)),"")</f>
        <v/>
      </c>
    </row>
    <row r="2782" spans="3:4" x14ac:dyDescent="0.3">
      <c r="C2782" t="str">
        <f>IFERROR(IF(B2782="","",VLOOKUP(B2782,CadProd!$A:$B,2,0)),"")</f>
        <v/>
      </c>
      <c r="D2782" t="str">
        <f>IFERROR(IF(B2782="","",VLOOKUP(B2782,CadProd!$A:$C,3,0)),"")</f>
        <v/>
      </c>
    </row>
    <row r="2783" spans="3:4" x14ac:dyDescent="0.3">
      <c r="C2783" t="str">
        <f>IFERROR(IF(B2783="","",VLOOKUP(B2783,CadProd!$A:$B,2,0)),"")</f>
        <v/>
      </c>
      <c r="D2783" t="str">
        <f>IFERROR(IF(B2783="","",VLOOKUP(B2783,CadProd!$A:$C,3,0)),"")</f>
        <v/>
      </c>
    </row>
    <row r="2784" spans="3:4" x14ac:dyDescent="0.3">
      <c r="C2784" t="str">
        <f>IFERROR(IF(B2784="","",VLOOKUP(B2784,CadProd!$A:$B,2,0)),"")</f>
        <v/>
      </c>
      <c r="D2784" t="str">
        <f>IFERROR(IF(B2784="","",VLOOKUP(B2784,CadProd!$A:$C,3,0)),"")</f>
        <v/>
      </c>
    </row>
    <row r="2785" spans="3:4" x14ac:dyDescent="0.3">
      <c r="C2785" t="str">
        <f>IFERROR(IF(B2785="","",VLOOKUP(B2785,CadProd!$A:$B,2,0)),"")</f>
        <v/>
      </c>
      <c r="D2785" t="str">
        <f>IFERROR(IF(B2785="","",VLOOKUP(B2785,CadProd!$A:$C,3,0)),"")</f>
        <v/>
      </c>
    </row>
    <row r="2786" spans="3:4" x14ac:dyDescent="0.3">
      <c r="C2786" t="str">
        <f>IFERROR(IF(B2786="","",VLOOKUP(B2786,CadProd!$A:$B,2,0)),"")</f>
        <v/>
      </c>
      <c r="D2786" t="str">
        <f>IFERROR(IF(B2786="","",VLOOKUP(B2786,CadProd!$A:$C,3,0)),"")</f>
        <v/>
      </c>
    </row>
    <row r="2787" spans="3:4" x14ac:dyDescent="0.3">
      <c r="C2787" t="str">
        <f>IFERROR(IF(B2787="","",VLOOKUP(B2787,CadProd!$A:$B,2,0)),"")</f>
        <v/>
      </c>
      <c r="D2787" t="str">
        <f>IFERROR(IF(B2787="","",VLOOKUP(B2787,CadProd!$A:$C,3,0)),"")</f>
        <v/>
      </c>
    </row>
    <row r="2788" spans="3:4" x14ac:dyDescent="0.3">
      <c r="C2788" t="str">
        <f>IFERROR(IF(B2788="","",VLOOKUP(B2788,CadProd!$A:$B,2,0)),"")</f>
        <v/>
      </c>
      <c r="D2788" t="str">
        <f>IFERROR(IF(B2788="","",VLOOKUP(B2788,CadProd!$A:$C,3,0)),"")</f>
        <v/>
      </c>
    </row>
    <row r="2789" spans="3:4" x14ac:dyDescent="0.3">
      <c r="C2789" t="str">
        <f>IFERROR(IF(B2789="","",VLOOKUP(B2789,CadProd!$A:$B,2,0)),"")</f>
        <v/>
      </c>
      <c r="D2789" t="str">
        <f>IFERROR(IF(B2789="","",VLOOKUP(B2789,CadProd!$A:$C,3,0)),"")</f>
        <v/>
      </c>
    </row>
    <row r="2790" spans="3:4" x14ac:dyDescent="0.3">
      <c r="C2790" t="str">
        <f>IFERROR(IF(B2790="","",VLOOKUP(B2790,CadProd!$A:$B,2,0)),"")</f>
        <v/>
      </c>
      <c r="D2790" t="str">
        <f>IFERROR(IF(B2790="","",VLOOKUP(B2790,CadProd!$A:$C,3,0)),"")</f>
        <v/>
      </c>
    </row>
    <row r="2791" spans="3:4" x14ac:dyDescent="0.3">
      <c r="C2791" t="str">
        <f>IFERROR(IF(B2791="","",VLOOKUP(B2791,CadProd!$A:$B,2,0)),"")</f>
        <v/>
      </c>
      <c r="D2791" t="str">
        <f>IFERROR(IF(B2791="","",VLOOKUP(B2791,CadProd!$A:$C,3,0)),"")</f>
        <v/>
      </c>
    </row>
    <row r="2792" spans="3:4" x14ac:dyDescent="0.3">
      <c r="C2792" t="str">
        <f>IFERROR(IF(B2792="","",VLOOKUP(B2792,CadProd!$A:$B,2,0)),"")</f>
        <v/>
      </c>
      <c r="D2792" t="str">
        <f>IFERROR(IF(B2792="","",VLOOKUP(B2792,CadProd!$A:$C,3,0)),"")</f>
        <v/>
      </c>
    </row>
    <row r="2793" spans="3:4" x14ac:dyDescent="0.3">
      <c r="C2793" t="str">
        <f>IFERROR(IF(B2793="","",VLOOKUP(B2793,CadProd!$A:$B,2,0)),"")</f>
        <v/>
      </c>
      <c r="D2793" t="str">
        <f>IFERROR(IF(B2793="","",VLOOKUP(B2793,CadProd!$A:$C,3,0)),"")</f>
        <v/>
      </c>
    </row>
    <row r="2794" spans="3:4" x14ac:dyDescent="0.3">
      <c r="C2794" t="str">
        <f>IFERROR(IF(B2794="","",VLOOKUP(B2794,CadProd!$A:$B,2,0)),"")</f>
        <v/>
      </c>
      <c r="D2794" t="str">
        <f>IFERROR(IF(B2794="","",VLOOKUP(B2794,CadProd!$A:$C,3,0)),"")</f>
        <v/>
      </c>
    </row>
    <row r="2795" spans="3:4" x14ac:dyDescent="0.3">
      <c r="C2795" t="str">
        <f>IFERROR(IF(B2795="","",VLOOKUP(B2795,CadProd!$A:$B,2,0)),"")</f>
        <v/>
      </c>
      <c r="D2795" t="str">
        <f>IFERROR(IF(B2795="","",VLOOKUP(B2795,CadProd!$A:$C,3,0)),"")</f>
        <v/>
      </c>
    </row>
    <row r="2796" spans="3:4" x14ac:dyDescent="0.3">
      <c r="C2796" t="str">
        <f>IFERROR(IF(B2796="","",VLOOKUP(B2796,CadProd!$A:$B,2,0)),"")</f>
        <v/>
      </c>
      <c r="D2796" t="str">
        <f>IFERROR(IF(B2796="","",VLOOKUP(B2796,CadProd!$A:$C,3,0)),"")</f>
        <v/>
      </c>
    </row>
    <row r="2797" spans="3:4" x14ac:dyDescent="0.3">
      <c r="C2797" t="str">
        <f>IFERROR(IF(B2797="","",VLOOKUP(B2797,CadProd!$A:$B,2,0)),"")</f>
        <v/>
      </c>
      <c r="D2797" t="str">
        <f>IFERROR(IF(B2797="","",VLOOKUP(B2797,CadProd!$A:$C,3,0)),"")</f>
        <v/>
      </c>
    </row>
    <row r="2798" spans="3:4" x14ac:dyDescent="0.3">
      <c r="C2798" t="str">
        <f>IFERROR(IF(B2798="","",VLOOKUP(B2798,CadProd!$A:$B,2,0)),"")</f>
        <v/>
      </c>
      <c r="D2798" t="str">
        <f>IFERROR(IF(B2798="","",VLOOKUP(B2798,CadProd!$A:$C,3,0)),"")</f>
        <v/>
      </c>
    </row>
    <row r="2799" spans="3:4" x14ac:dyDescent="0.3">
      <c r="C2799" t="str">
        <f>IFERROR(IF(B2799="","",VLOOKUP(B2799,CadProd!$A:$B,2,0)),"")</f>
        <v/>
      </c>
      <c r="D2799" t="str">
        <f>IFERROR(IF(B2799="","",VLOOKUP(B2799,CadProd!$A:$C,3,0)),"")</f>
        <v/>
      </c>
    </row>
    <row r="2800" spans="3:4" x14ac:dyDescent="0.3">
      <c r="C2800" t="str">
        <f>IFERROR(IF(B2800="","",VLOOKUP(B2800,CadProd!$A:$B,2,0)),"")</f>
        <v/>
      </c>
      <c r="D2800" t="str">
        <f>IFERROR(IF(B2800="","",VLOOKUP(B2800,CadProd!$A:$C,3,0)),"")</f>
        <v/>
      </c>
    </row>
    <row r="2801" spans="3:4" x14ac:dyDescent="0.3">
      <c r="C2801" t="str">
        <f>IFERROR(IF(B2801="","",VLOOKUP(B2801,CadProd!$A:$B,2,0)),"")</f>
        <v/>
      </c>
      <c r="D2801" t="str">
        <f>IFERROR(IF(B2801="","",VLOOKUP(B2801,CadProd!$A:$C,3,0)),"")</f>
        <v/>
      </c>
    </row>
    <row r="2802" spans="3:4" x14ac:dyDescent="0.3">
      <c r="C2802" t="str">
        <f>IFERROR(IF(B2802="","",VLOOKUP(B2802,CadProd!$A:$B,2,0)),"")</f>
        <v/>
      </c>
      <c r="D2802" t="str">
        <f>IFERROR(IF(B2802="","",VLOOKUP(B2802,CadProd!$A:$C,3,0)),"")</f>
        <v/>
      </c>
    </row>
    <row r="2803" spans="3:4" x14ac:dyDescent="0.3">
      <c r="C2803" t="str">
        <f>IFERROR(IF(B2803="","",VLOOKUP(B2803,CadProd!$A:$B,2,0)),"")</f>
        <v/>
      </c>
      <c r="D2803" t="str">
        <f>IFERROR(IF(B2803="","",VLOOKUP(B2803,CadProd!$A:$C,3,0)),"")</f>
        <v/>
      </c>
    </row>
    <row r="2804" spans="3:4" x14ac:dyDescent="0.3">
      <c r="C2804" t="str">
        <f>IFERROR(IF(B2804="","",VLOOKUP(B2804,CadProd!$A:$B,2,0)),"")</f>
        <v/>
      </c>
      <c r="D2804" t="str">
        <f>IFERROR(IF(B2804="","",VLOOKUP(B2804,CadProd!$A:$C,3,0)),"")</f>
        <v/>
      </c>
    </row>
    <row r="2805" spans="3:4" x14ac:dyDescent="0.3">
      <c r="C2805" t="str">
        <f>IFERROR(IF(B2805="","",VLOOKUP(B2805,CadProd!$A:$B,2,0)),"")</f>
        <v/>
      </c>
      <c r="D2805" t="str">
        <f>IFERROR(IF(B2805="","",VLOOKUP(B2805,CadProd!$A:$C,3,0)),"")</f>
        <v/>
      </c>
    </row>
    <row r="2806" spans="3:4" x14ac:dyDescent="0.3">
      <c r="C2806" t="str">
        <f>IFERROR(IF(B2806="","",VLOOKUP(B2806,CadProd!$A:$B,2,0)),"")</f>
        <v/>
      </c>
      <c r="D2806" t="str">
        <f>IFERROR(IF(B2806="","",VLOOKUP(B2806,CadProd!$A:$C,3,0)),"")</f>
        <v/>
      </c>
    </row>
    <row r="2807" spans="3:4" x14ac:dyDescent="0.3">
      <c r="C2807" t="str">
        <f>IFERROR(IF(B2807="","",VLOOKUP(B2807,CadProd!$A:$B,2,0)),"")</f>
        <v/>
      </c>
      <c r="D2807" t="str">
        <f>IFERROR(IF(B2807="","",VLOOKUP(B2807,CadProd!$A:$C,3,0)),"")</f>
        <v/>
      </c>
    </row>
    <row r="2808" spans="3:4" x14ac:dyDescent="0.3">
      <c r="C2808" t="str">
        <f>IFERROR(IF(B2808="","",VLOOKUP(B2808,CadProd!$A:$B,2,0)),"")</f>
        <v/>
      </c>
      <c r="D2808" t="str">
        <f>IFERROR(IF(B2808="","",VLOOKUP(B2808,CadProd!$A:$C,3,0)),"")</f>
        <v/>
      </c>
    </row>
    <row r="2809" spans="3:4" x14ac:dyDescent="0.3">
      <c r="C2809" t="str">
        <f>IFERROR(IF(B2809="","",VLOOKUP(B2809,CadProd!$A:$B,2,0)),"")</f>
        <v/>
      </c>
      <c r="D2809" t="str">
        <f>IFERROR(IF(B2809="","",VLOOKUP(B2809,CadProd!$A:$C,3,0)),"")</f>
        <v/>
      </c>
    </row>
    <row r="2810" spans="3:4" x14ac:dyDescent="0.3">
      <c r="C2810" t="str">
        <f>IFERROR(IF(B2810="","",VLOOKUP(B2810,CadProd!$A:$B,2,0)),"")</f>
        <v/>
      </c>
      <c r="D2810" t="str">
        <f>IFERROR(IF(B2810="","",VLOOKUP(B2810,CadProd!$A:$C,3,0)),"")</f>
        <v/>
      </c>
    </row>
    <row r="2811" spans="3:4" x14ac:dyDescent="0.3">
      <c r="C2811" t="str">
        <f>IFERROR(IF(B2811="","",VLOOKUP(B2811,CadProd!$A:$B,2,0)),"")</f>
        <v/>
      </c>
      <c r="D2811" t="str">
        <f>IFERROR(IF(B2811="","",VLOOKUP(B2811,CadProd!$A:$C,3,0)),"")</f>
        <v/>
      </c>
    </row>
    <row r="2812" spans="3:4" x14ac:dyDescent="0.3">
      <c r="C2812" t="str">
        <f>IFERROR(IF(B2812="","",VLOOKUP(B2812,CadProd!$A:$B,2,0)),"")</f>
        <v/>
      </c>
      <c r="D2812" t="str">
        <f>IFERROR(IF(B2812="","",VLOOKUP(B2812,CadProd!$A:$C,3,0)),"")</f>
        <v/>
      </c>
    </row>
    <row r="2813" spans="3:4" x14ac:dyDescent="0.3">
      <c r="C2813" t="str">
        <f>IFERROR(IF(B2813="","",VLOOKUP(B2813,CadProd!$A:$B,2,0)),"")</f>
        <v/>
      </c>
      <c r="D2813" t="str">
        <f>IFERROR(IF(B2813="","",VLOOKUP(B2813,CadProd!$A:$C,3,0)),"")</f>
        <v/>
      </c>
    </row>
    <row r="2814" spans="3:4" x14ac:dyDescent="0.3">
      <c r="C2814" t="str">
        <f>IFERROR(IF(B2814="","",VLOOKUP(B2814,CadProd!$A:$B,2,0)),"")</f>
        <v/>
      </c>
      <c r="D2814" t="str">
        <f>IFERROR(IF(B2814="","",VLOOKUP(B2814,CadProd!$A:$C,3,0)),"")</f>
        <v/>
      </c>
    </row>
    <row r="2815" spans="3:4" x14ac:dyDescent="0.3">
      <c r="C2815" t="str">
        <f>IFERROR(IF(B2815="","",VLOOKUP(B2815,CadProd!$A:$B,2,0)),"")</f>
        <v/>
      </c>
      <c r="D2815" t="str">
        <f>IFERROR(IF(B2815="","",VLOOKUP(B2815,CadProd!$A:$C,3,0)),"")</f>
        <v/>
      </c>
    </row>
    <row r="2816" spans="3:4" x14ac:dyDescent="0.3">
      <c r="C2816" t="str">
        <f>IFERROR(IF(B2816="","",VLOOKUP(B2816,CadProd!$A:$B,2,0)),"")</f>
        <v/>
      </c>
      <c r="D2816" t="str">
        <f>IFERROR(IF(B2816="","",VLOOKUP(B2816,CadProd!$A:$C,3,0)),"")</f>
        <v/>
      </c>
    </row>
    <row r="2817" spans="3:4" x14ac:dyDescent="0.3">
      <c r="C2817" t="str">
        <f>IFERROR(IF(B2817="","",VLOOKUP(B2817,CadProd!$A:$B,2,0)),"")</f>
        <v/>
      </c>
      <c r="D2817" t="str">
        <f>IFERROR(IF(B2817="","",VLOOKUP(B2817,CadProd!$A:$C,3,0)),"")</f>
        <v/>
      </c>
    </row>
    <row r="2818" spans="3:4" x14ac:dyDescent="0.3">
      <c r="C2818" t="str">
        <f>IFERROR(IF(B2818="","",VLOOKUP(B2818,CadProd!$A:$B,2,0)),"")</f>
        <v/>
      </c>
      <c r="D2818" t="str">
        <f>IFERROR(IF(B2818="","",VLOOKUP(B2818,CadProd!$A:$C,3,0)),"")</f>
        <v/>
      </c>
    </row>
    <row r="2819" spans="3:4" x14ac:dyDescent="0.3">
      <c r="C2819" t="str">
        <f>IFERROR(IF(B2819="","",VLOOKUP(B2819,CadProd!$A:$B,2,0)),"")</f>
        <v/>
      </c>
      <c r="D2819" t="str">
        <f>IFERROR(IF(B2819="","",VLOOKUP(B2819,CadProd!$A:$C,3,0)),"")</f>
        <v/>
      </c>
    </row>
    <row r="2820" spans="3:4" x14ac:dyDescent="0.3">
      <c r="C2820" t="str">
        <f>IFERROR(IF(B2820="","",VLOOKUP(B2820,CadProd!$A:$B,2,0)),"")</f>
        <v/>
      </c>
      <c r="D2820" t="str">
        <f>IFERROR(IF(B2820="","",VLOOKUP(B2820,CadProd!$A:$C,3,0)),"")</f>
        <v/>
      </c>
    </row>
    <row r="2821" spans="3:4" x14ac:dyDescent="0.3">
      <c r="C2821" t="str">
        <f>IFERROR(IF(B2821="","",VLOOKUP(B2821,CadProd!$A:$B,2,0)),"")</f>
        <v/>
      </c>
      <c r="D2821" t="str">
        <f>IFERROR(IF(B2821="","",VLOOKUP(B2821,CadProd!$A:$C,3,0)),"")</f>
        <v/>
      </c>
    </row>
    <row r="2822" spans="3:4" x14ac:dyDescent="0.3">
      <c r="C2822" t="str">
        <f>IFERROR(IF(B2822="","",VLOOKUP(B2822,CadProd!$A:$B,2,0)),"")</f>
        <v/>
      </c>
      <c r="D2822" t="str">
        <f>IFERROR(IF(B2822="","",VLOOKUP(B2822,CadProd!$A:$C,3,0)),"")</f>
        <v/>
      </c>
    </row>
    <row r="2823" spans="3:4" x14ac:dyDescent="0.3">
      <c r="C2823" t="str">
        <f>IFERROR(IF(B2823="","",VLOOKUP(B2823,CadProd!$A:$B,2,0)),"")</f>
        <v/>
      </c>
      <c r="D2823" t="str">
        <f>IFERROR(IF(B2823="","",VLOOKUP(B2823,CadProd!$A:$C,3,0)),"")</f>
        <v/>
      </c>
    </row>
    <row r="2824" spans="3:4" x14ac:dyDescent="0.3">
      <c r="C2824" t="str">
        <f>IFERROR(IF(B2824="","",VLOOKUP(B2824,CadProd!$A:$B,2,0)),"")</f>
        <v/>
      </c>
      <c r="D2824" t="str">
        <f>IFERROR(IF(B2824="","",VLOOKUP(B2824,CadProd!$A:$C,3,0)),"")</f>
        <v/>
      </c>
    </row>
    <row r="2825" spans="3:4" x14ac:dyDescent="0.3">
      <c r="C2825" t="str">
        <f>IFERROR(IF(B2825="","",VLOOKUP(B2825,CadProd!$A:$B,2,0)),"")</f>
        <v/>
      </c>
      <c r="D2825" t="str">
        <f>IFERROR(IF(B2825="","",VLOOKUP(B2825,CadProd!$A:$C,3,0)),"")</f>
        <v/>
      </c>
    </row>
    <row r="2826" spans="3:4" x14ac:dyDescent="0.3">
      <c r="C2826" t="str">
        <f>IFERROR(IF(B2826="","",VLOOKUP(B2826,CadProd!$A:$B,2,0)),"")</f>
        <v/>
      </c>
      <c r="D2826" t="str">
        <f>IFERROR(IF(B2826="","",VLOOKUP(B2826,CadProd!$A:$C,3,0)),"")</f>
        <v/>
      </c>
    </row>
    <row r="2827" spans="3:4" x14ac:dyDescent="0.3">
      <c r="C2827" t="str">
        <f>IFERROR(IF(B2827="","",VLOOKUP(B2827,CadProd!$A:$B,2,0)),"")</f>
        <v/>
      </c>
      <c r="D2827" t="str">
        <f>IFERROR(IF(B2827="","",VLOOKUP(B2827,CadProd!$A:$C,3,0)),"")</f>
        <v/>
      </c>
    </row>
    <row r="2828" spans="3:4" x14ac:dyDescent="0.3">
      <c r="C2828" t="str">
        <f>IFERROR(IF(B2828="","",VLOOKUP(B2828,CadProd!$A:$B,2,0)),"")</f>
        <v/>
      </c>
      <c r="D2828" t="str">
        <f>IFERROR(IF(B2828="","",VLOOKUP(B2828,CadProd!$A:$C,3,0)),"")</f>
        <v/>
      </c>
    </row>
    <row r="2829" spans="3:4" x14ac:dyDescent="0.3">
      <c r="C2829" t="str">
        <f>IFERROR(IF(B2829="","",VLOOKUP(B2829,CadProd!$A:$B,2,0)),"")</f>
        <v/>
      </c>
      <c r="D2829" t="str">
        <f>IFERROR(IF(B2829="","",VLOOKUP(B2829,CadProd!$A:$C,3,0)),"")</f>
        <v/>
      </c>
    </row>
    <row r="2830" spans="3:4" x14ac:dyDescent="0.3">
      <c r="C2830" t="str">
        <f>IFERROR(IF(B2830="","",VLOOKUP(B2830,CadProd!$A:$B,2,0)),"")</f>
        <v/>
      </c>
      <c r="D2830" t="str">
        <f>IFERROR(IF(B2830="","",VLOOKUP(B2830,CadProd!$A:$C,3,0)),"")</f>
        <v/>
      </c>
    </row>
    <row r="2831" spans="3:4" x14ac:dyDescent="0.3">
      <c r="C2831" t="str">
        <f>IFERROR(IF(B2831="","",VLOOKUP(B2831,CadProd!$A:$B,2,0)),"")</f>
        <v/>
      </c>
      <c r="D2831" t="str">
        <f>IFERROR(IF(B2831="","",VLOOKUP(B2831,CadProd!$A:$C,3,0)),"")</f>
        <v/>
      </c>
    </row>
    <row r="2832" spans="3:4" x14ac:dyDescent="0.3">
      <c r="C2832" t="str">
        <f>IFERROR(IF(B2832="","",VLOOKUP(B2832,CadProd!$A:$B,2,0)),"")</f>
        <v/>
      </c>
      <c r="D2832" t="str">
        <f>IFERROR(IF(B2832="","",VLOOKUP(B2832,CadProd!$A:$C,3,0)),"")</f>
        <v/>
      </c>
    </row>
    <row r="2833" spans="3:4" x14ac:dyDescent="0.3">
      <c r="C2833" t="str">
        <f>IFERROR(IF(B2833="","",VLOOKUP(B2833,CadProd!$A:$B,2,0)),"")</f>
        <v/>
      </c>
      <c r="D2833" t="str">
        <f>IFERROR(IF(B2833="","",VLOOKUP(B2833,CadProd!$A:$C,3,0)),"")</f>
        <v/>
      </c>
    </row>
    <row r="2834" spans="3:4" x14ac:dyDescent="0.3">
      <c r="C2834" t="str">
        <f>IFERROR(IF(B2834="","",VLOOKUP(B2834,CadProd!$A:$B,2,0)),"")</f>
        <v/>
      </c>
      <c r="D2834" t="str">
        <f>IFERROR(IF(B2834="","",VLOOKUP(B2834,CadProd!$A:$C,3,0)),"")</f>
        <v/>
      </c>
    </row>
    <row r="2835" spans="3:4" x14ac:dyDescent="0.3">
      <c r="C2835" t="str">
        <f>IFERROR(IF(B2835="","",VLOOKUP(B2835,CadProd!$A:$B,2,0)),"")</f>
        <v/>
      </c>
      <c r="D2835" t="str">
        <f>IFERROR(IF(B2835="","",VLOOKUP(B2835,CadProd!$A:$C,3,0)),"")</f>
        <v/>
      </c>
    </row>
    <row r="2836" spans="3:4" x14ac:dyDescent="0.3">
      <c r="C2836" t="str">
        <f>IFERROR(IF(B2836="","",VLOOKUP(B2836,CadProd!$A:$B,2,0)),"")</f>
        <v/>
      </c>
      <c r="D2836" t="str">
        <f>IFERROR(IF(B2836="","",VLOOKUP(B2836,CadProd!$A:$C,3,0)),"")</f>
        <v/>
      </c>
    </row>
    <row r="2837" spans="3:4" x14ac:dyDescent="0.3">
      <c r="C2837" t="str">
        <f>IFERROR(IF(B2837="","",VLOOKUP(B2837,CadProd!$A:$B,2,0)),"")</f>
        <v/>
      </c>
      <c r="D2837" t="str">
        <f>IFERROR(IF(B2837="","",VLOOKUP(B2837,CadProd!$A:$C,3,0)),"")</f>
        <v/>
      </c>
    </row>
    <row r="2838" spans="3:4" x14ac:dyDescent="0.3">
      <c r="C2838" t="str">
        <f>IFERROR(IF(B2838="","",VLOOKUP(B2838,CadProd!$A:$B,2,0)),"")</f>
        <v/>
      </c>
      <c r="D2838" t="str">
        <f>IFERROR(IF(B2838="","",VLOOKUP(B2838,CadProd!$A:$C,3,0)),"")</f>
        <v/>
      </c>
    </row>
    <row r="2839" spans="3:4" x14ac:dyDescent="0.3">
      <c r="C2839" t="str">
        <f>IFERROR(IF(B2839="","",VLOOKUP(B2839,CadProd!$A:$B,2,0)),"")</f>
        <v/>
      </c>
      <c r="D2839" t="str">
        <f>IFERROR(IF(B2839="","",VLOOKUP(B2839,CadProd!$A:$C,3,0)),"")</f>
        <v/>
      </c>
    </row>
    <row r="2840" spans="3:4" x14ac:dyDescent="0.3">
      <c r="C2840" t="str">
        <f>IFERROR(IF(B2840="","",VLOOKUP(B2840,CadProd!$A:$B,2,0)),"")</f>
        <v/>
      </c>
      <c r="D2840" t="str">
        <f>IFERROR(IF(B2840="","",VLOOKUP(B2840,CadProd!$A:$C,3,0)),"")</f>
        <v/>
      </c>
    </row>
    <row r="2841" spans="3:4" x14ac:dyDescent="0.3">
      <c r="C2841" t="str">
        <f>IFERROR(IF(B2841="","",VLOOKUP(B2841,CadProd!$A:$B,2,0)),"")</f>
        <v/>
      </c>
      <c r="D2841" t="str">
        <f>IFERROR(IF(B2841="","",VLOOKUP(B2841,CadProd!$A:$C,3,0)),"")</f>
        <v/>
      </c>
    </row>
    <row r="2842" spans="3:4" x14ac:dyDescent="0.3">
      <c r="C2842" t="str">
        <f>IFERROR(IF(B2842="","",VLOOKUP(B2842,CadProd!$A:$B,2,0)),"")</f>
        <v/>
      </c>
      <c r="D2842" t="str">
        <f>IFERROR(IF(B2842="","",VLOOKUP(B2842,CadProd!$A:$C,3,0)),"")</f>
        <v/>
      </c>
    </row>
    <row r="2843" spans="3:4" x14ac:dyDescent="0.3">
      <c r="C2843" t="str">
        <f>IFERROR(IF(B2843="","",VLOOKUP(B2843,CadProd!$A:$B,2,0)),"")</f>
        <v/>
      </c>
      <c r="D2843" t="str">
        <f>IFERROR(IF(B2843="","",VLOOKUP(B2843,CadProd!$A:$C,3,0)),"")</f>
        <v/>
      </c>
    </row>
    <row r="2844" spans="3:4" x14ac:dyDescent="0.3">
      <c r="C2844" t="str">
        <f>IFERROR(IF(B2844="","",VLOOKUP(B2844,CadProd!$A:$B,2,0)),"")</f>
        <v/>
      </c>
      <c r="D2844" t="str">
        <f>IFERROR(IF(B2844="","",VLOOKUP(B2844,CadProd!$A:$C,3,0)),"")</f>
        <v/>
      </c>
    </row>
    <row r="2845" spans="3:4" x14ac:dyDescent="0.3">
      <c r="C2845" t="str">
        <f>IFERROR(IF(B2845="","",VLOOKUP(B2845,CadProd!$A:$B,2,0)),"")</f>
        <v/>
      </c>
      <c r="D2845" t="str">
        <f>IFERROR(IF(B2845="","",VLOOKUP(B2845,CadProd!$A:$C,3,0)),"")</f>
        <v/>
      </c>
    </row>
    <row r="2846" spans="3:4" x14ac:dyDescent="0.3">
      <c r="C2846" t="str">
        <f>IFERROR(IF(B2846="","",VLOOKUP(B2846,CadProd!$A:$B,2,0)),"")</f>
        <v/>
      </c>
      <c r="D2846" t="str">
        <f>IFERROR(IF(B2846="","",VLOOKUP(B2846,CadProd!$A:$C,3,0)),"")</f>
        <v/>
      </c>
    </row>
    <row r="2847" spans="3:4" x14ac:dyDescent="0.3">
      <c r="C2847" t="str">
        <f>IFERROR(IF(B2847="","",VLOOKUP(B2847,CadProd!$A:$B,2,0)),"")</f>
        <v/>
      </c>
      <c r="D2847" t="str">
        <f>IFERROR(IF(B2847="","",VLOOKUP(B2847,CadProd!$A:$C,3,0)),"")</f>
        <v/>
      </c>
    </row>
    <row r="2848" spans="3:4" x14ac:dyDescent="0.3">
      <c r="C2848" t="str">
        <f>IFERROR(IF(B2848="","",VLOOKUP(B2848,CadProd!$A:$B,2,0)),"")</f>
        <v/>
      </c>
      <c r="D2848" t="str">
        <f>IFERROR(IF(B2848="","",VLOOKUP(B2848,CadProd!$A:$C,3,0)),"")</f>
        <v/>
      </c>
    </row>
    <row r="2849" spans="3:4" x14ac:dyDescent="0.3">
      <c r="C2849" t="str">
        <f>IFERROR(IF(B2849="","",VLOOKUP(B2849,CadProd!$A:$B,2,0)),"")</f>
        <v/>
      </c>
      <c r="D2849" t="str">
        <f>IFERROR(IF(B2849="","",VLOOKUP(B2849,CadProd!$A:$C,3,0)),"")</f>
        <v/>
      </c>
    </row>
    <row r="2850" spans="3:4" x14ac:dyDescent="0.3">
      <c r="C2850" t="str">
        <f>IFERROR(IF(B2850="","",VLOOKUP(B2850,CadProd!$A:$B,2,0)),"")</f>
        <v/>
      </c>
      <c r="D2850" t="str">
        <f>IFERROR(IF(B2850="","",VLOOKUP(B2850,CadProd!$A:$C,3,0)),"")</f>
        <v/>
      </c>
    </row>
    <row r="2851" spans="3:4" x14ac:dyDescent="0.3">
      <c r="C2851" t="str">
        <f>IFERROR(IF(B2851="","",VLOOKUP(B2851,CadProd!$A:$B,2,0)),"")</f>
        <v/>
      </c>
      <c r="D2851" t="str">
        <f>IFERROR(IF(B2851="","",VLOOKUP(B2851,CadProd!$A:$C,3,0)),"")</f>
        <v/>
      </c>
    </row>
    <row r="2852" spans="3:4" x14ac:dyDescent="0.3">
      <c r="C2852" t="str">
        <f>IFERROR(IF(B2852="","",VLOOKUP(B2852,CadProd!$A:$B,2,0)),"")</f>
        <v/>
      </c>
      <c r="D2852" t="str">
        <f>IFERROR(IF(B2852="","",VLOOKUP(B2852,CadProd!$A:$C,3,0)),"")</f>
        <v/>
      </c>
    </row>
    <row r="2853" spans="3:4" x14ac:dyDescent="0.3">
      <c r="C2853" t="str">
        <f>IFERROR(IF(B2853="","",VLOOKUP(B2853,CadProd!$A:$B,2,0)),"")</f>
        <v/>
      </c>
      <c r="D2853" t="str">
        <f>IFERROR(IF(B2853="","",VLOOKUP(B2853,CadProd!$A:$C,3,0)),"")</f>
        <v/>
      </c>
    </row>
    <row r="2854" spans="3:4" x14ac:dyDescent="0.3">
      <c r="C2854" t="str">
        <f>IFERROR(IF(B2854="","",VLOOKUP(B2854,CadProd!$A:$B,2,0)),"")</f>
        <v/>
      </c>
      <c r="D2854" t="str">
        <f>IFERROR(IF(B2854="","",VLOOKUP(B2854,CadProd!$A:$C,3,0)),"")</f>
        <v/>
      </c>
    </row>
    <row r="2855" spans="3:4" x14ac:dyDescent="0.3">
      <c r="C2855" t="str">
        <f>IFERROR(IF(B2855="","",VLOOKUP(B2855,CadProd!$A:$B,2,0)),"")</f>
        <v/>
      </c>
      <c r="D2855" t="str">
        <f>IFERROR(IF(B2855="","",VLOOKUP(B2855,CadProd!$A:$C,3,0)),"")</f>
        <v/>
      </c>
    </row>
    <row r="2856" spans="3:4" x14ac:dyDescent="0.3">
      <c r="C2856" t="str">
        <f>IFERROR(IF(B2856="","",VLOOKUP(B2856,CadProd!$A:$B,2,0)),"")</f>
        <v/>
      </c>
      <c r="D2856" t="str">
        <f>IFERROR(IF(B2856="","",VLOOKUP(B2856,CadProd!$A:$C,3,0)),"")</f>
        <v/>
      </c>
    </row>
    <row r="2857" spans="3:4" x14ac:dyDescent="0.3">
      <c r="C2857" t="str">
        <f>IFERROR(IF(B2857="","",VLOOKUP(B2857,CadProd!$A:$B,2,0)),"")</f>
        <v/>
      </c>
      <c r="D2857" t="str">
        <f>IFERROR(IF(B2857="","",VLOOKUP(B2857,CadProd!$A:$C,3,0)),"")</f>
        <v/>
      </c>
    </row>
    <row r="2858" spans="3:4" x14ac:dyDescent="0.3">
      <c r="C2858" t="str">
        <f>IFERROR(IF(B2858="","",VLOOKUP(B2858,CadProd!$A:$B,2,0)),"")</f>
        <v/>
      </c>
      <c r="D2858" t="str">
        <f>IFERROR(IF(B2858="","",VLOOKUP(B2858,CadProd!$A:$C,3,0)),"")</f>
        <v/>
      </c>
    </row>
    <row r="2859" spans="3:4" x14ac:dyDescent="0.3">
      <c r="C2859" t="str">
        <f>IFERROR(IF(B2859="","",VLOOKUP(B2859,CadProd!$A:$B,2,0)),"")</f>
        <v/>
      </c>
      <c r="D2859" t="str">
        <f>IFERROR(IF(B2859="","",VLOOKUP(B2859,CadProd!$A:$C,3,0)),"")</f>
        <v/>
      </c>
    </row>
    <row r="2860" spans="3:4" x14ac:dyDescent="0.3">
      <c r="C2860" t="str">
        <f>IFERROR(IF(B2860="","",VLOOKUP(B2860,CadProd!$A:$B,2,0)),"")</f>
        <v/>
      </c>
      <c r="D2860" t="str">
        <f>IFERROR(IF(B2860="","",VLOOKUP(B2860,CadProd!$A:$C,3,0)),"")</f>
        <v/>
      </c>
    </row>
    <row r="2861" spans="3:4" x14ac:dyDescent="0.3">
      <c r="C2861" t="str">
        <f>IFERROR(IF(B2861="","",VLOOKUP(B2861,CadProd!$A:$B,2,0)),"")</f>
        <v/>
      </c>
      <c r="D2861" t="str">
        <f>IFERROR(IF(B2861="","",VLOOKUP(B2861,CadProd!$A:$C,3,0)),"")</f>
        <v/>
      </c>
    </row>
    <row r="2862" spans="3:4" x14ac:dyDescent="0.3">
      <c r="C2862" t="str">
        <f>IFERROR(IF(B2862="","",VLOOKUP(B2862,CadProd!$A:$B,2,0)),"")</f>
        <v/>
      </c>
      <c r="D2862" t="str">
        <f>IFERROR(IF(B2862="","",VLOOKUP(B2862,CadProd!$A:$C,3,0)),"")</f>
        <v/>
      </c>
    </row>
    <row r="2863" spans="3:4" x14ac:dyDescent="0.3">
      <c r="C2863" t="str">
        <f>IFERROR(IF(B2863="","",VLOOKUP(B2863,CadProd!$A:$B,2,0)),"")</f>
        <v/>
      </c>
      <c r="D2863" t="str">
        <f>IFERROR(IF(B2863="","",VLOOKUP(B2863,CadProd!$A:$C,3,0)),"")</f>
        <v/>
      </c>
    </row>
    <row r="2864" spans="3:4" x14ac:dyDescent="0.3">
      <c r="C2864" t="str">
        <f>IFERROR(IF(B2864="","",VLOOKUP(B2864,CadProd!$A:$B,2,0)),"")</f>
        <v/>
      </c>
      <c r="D2864" t="str">
        <f>IFERROR(IF(B2864="","",VLOOKUP(B2864,CadProd!$A:$C,3,0)),"")</f>
        <v/>
      </c>
    </row>
    <row r="2865" spans="3:4" x14ac:dyDescent="0.3">
      <c r="C2865" t="str">
        <f>IFERROR(IF(B2865="","",VLOOKUP(B2865,CadProd!$A:$B,2,0)),"")</f>
        <v/>
      </c>
      <c r="D2865" t="str">
        <f>IFERROR(IF(B2865="","",VLOOKUP(B2865,CadProd!$A:$C,3,0)),"")</f>
        <v/>
      </c>
    </row>
    <row r="2866" spans="3:4" x14ac:dyDescent="0.3">
      <c r="C2866" t="str">
        <f>IFERROR(IF(B2866="","",VLOOKUP(B2866,CadProd!$A:$B,2,0)),"")</f>
        <v/>
      </c>
      <c r="D2866" t="str">
        <f>IFERROR(IF(B2866="","",VLOOKUP(B2866,CadProd!$A:$C,3,0)),"")</f>
        <v/>
      </c>
    </row>
    <row r="2867" spans="3:4" x14ac:dyDescent="0.3">
      <c r="C2867" t="str">
        <f>IFERROR(IF(B2867="","",VLOOKUP(B2867,CadProd!$A:$B,2,0)),"")</f>
        <v/>
      </c>
      <c r="D2867" t="str">
        <f>IFERROR(IF(B2867="","",VLOOKUP(B2867,CadProd!$A:$C,3,0)),"")</f>
        <v/>
      </c>
    </row>
    <row r="2868" spans="3:4" x14ac:dyDescent="0.3">
      <c r="C2868" t="str">
        <f>IFERROR(IF(B2868="","",VLOOKUP(B2868,CadProd!$A:$B,2,0)),"")</f>
        <v/>
      </c>
      <c r="D2868" t="str">
        <f>IFERROR(IF(B2868="","",VLOOKUP(B2868,CadProd!$A:$C,3,0)),"")</f>
        <v/>
      </c>
    </row>
    <row r="2869" spans="3:4" x14ac:dyDescent="0.3">
      <c r="C2869" t="str">
        <f>IFERROR(IF(B2869="","",VLOOKUP(B2869,CadProd!$A:$B,2,0)),"")</f>
        <v/>
      </c>
      <c r="D2869" t="str">
        <f>IFERROR(IF(B2869="","",VLOOKUP(B2869,CadProd!$A:$C,3,0)),"")</f>
        <v/>
      </c>
    </row>
    <row r="2870" spans="3:4" x14ac:dyDescent="0.3">
      <c r="C2870" t="str">
        <f>IFERROR(IF(B2870="","",VLOOKUP(B2870,CadProd!$A:$B,2,0)),"")</f>
        <v/>
      </c>
      <c r="D2870" t="str">
        <f>IFERROR(IF(B2870="","",VLOOKUP(B2870,CadProd!$A:$C,3,0)),"")</f>
        <v/>
      </c>
    </row>
    <row r="2871" spans="3:4" x14ac:dyDescent="0.3">
      <c r="C2871" t="str">
        <f>IFERROR(IF(B2871="","",VLOOKUP(B2871,CadProd!$A:$B,2,0)),"")</f>
        <v/>
      </c>
      <c r="D2871" t="str">
        <f>IFERROR(IF(B2871="","",VLOOKUP(B2871,CadProd!$A:$C,3,0)),"")</f>
        <v/>
      </c>
    </row>
    <row r="2872" spans="3:4" x14ac:dyDescent="0.3">
      <c r="C2872" t="str">
        <f>IFERROR(IF(B2872="","",VLOOKUP(B2872,CadProd!$A:$B,2,0)),"")</f>
        <v/>
      </c>
      <c r="D2872" t="str">
        <f>IFERROR(IF(B2872="","",VLOOKUP(B2872,CadProd!$A:$C,3,0)),"")</f>
        <v/>
      </c>
    </row>
    <row r="2873" spans="3:4" x14ac:dyDescent="0.3">
      <c r="C2873" t="str">
        <f>IFERROR(IF(B2873="","",VLOOKUP(B2873,CadProd!$A:$B,2,0)),"")</f>
        <v/>
      </c>
      <c r="D2873" t="str">
        <f>IFERROR(IF(B2873="","",VLOOKUP(B2873,CadProd!$A:$C,3,0)),"")</f>
        <v/>
      </c>
    </row>
    <row r="2874" spans="3:4" x14ac:dyDescent="0.3">
      <c r="C2874" t="str">
        <f>IFERROR(IF(B2874="","",VLOOKUP(B2874,CadProd!$A:$B,2,0)),"")</f>
        <v/>
      </c>
      <c r="D2874" t="str">
        <f>IFERROR(IF(B2874="","",VLOOKUP(B2874,CadProd!$A:$C,3,0)),"")</f>
        <v/>
      </c>
    </row>
    <row r="2875" spans="3:4" x14ac:dyDescent="0.3">
      <c r="C2875" t="str">
        <f>IFERROR(IF(B2875="","",VLOOKUP(B2875,CadProd!$A:$B,2,0)),"")</f>
        <v/>
      </c>
      <c r="D2875" t="str">
        <f>IFERROR(IF(B2875="","",VLOOKUP(B2875,CadProd!$A:$C,3,0)),"")</f>
        <v/>
      </c>
    </row>
    <row r="2876" spans="3:4" x14ac:dyDescent="0.3">
      <c r="C2876" t="str">
        <f>IFERROR(IF(B2876="","",VLOOKUP(B2876,CadProd!$A:$B,2,0)),"")</f>
        <v/>
      </c>
      <c r="D2876" t="str">
        <f>IFERROR(IF(B2876="","",VLOOKUP(B2876,CadProd!$A:$C,3,0)),"")</f>
        <v/>
      </c>
    </row>
    <row r="2877" spans="3:4" x14ac:dyDescent="0.3">
      <c r="C2877" t="str">
        <f>IFERROR(IF(B2877="","",VLOOKUP(B2877,CadProd!$A:$B,2,0)),"")</f>
        <v/>
      </c>
      <c r="D2877" t="str">
        <f>IFERROR(IF(B2877="","",VLOOKUP(B2877,CadProd!$A:$C,3,0)),"")</f>
        <v/>
      </c>
    </row>
    <row r="2878" spans="3:4" x14ac:dyDescent="0.3">
      <c r="C2878" t="str">
        <f>IFERROR(IF(B2878="","",VLOOKUP(B2878,CadProd!$A:$B,2,0)),"")</f>
        <v/>
      </c>
      <c r="D2878" t="str">
        <f>IFERROR(IF(B2878="","",VLOOKUP(B2878,CadProd!$A:$C,3,0)),"")</f>
        <v/>
      </c>
    </row>
    <row r="2879" spans="3:4" x14ac:dyDescent="0.3">
      <c r="C2879" t="str">
        <f>IFERROR(IF(B2879="","",VLOOKUP(B2879,CadProd!$A:$B,2,0)),"")</f>
        <v/>
      </c>
      <c r="D2879" t="str">
        <f>IFERROR(IF(B2879="","",VLOOKUP(B2879,CadProd!$A:$C,3,0)),"")</f>
        <v/>
      </c>
    </row>
    <row r="2880" spans="3:4" x14ac:dyDescent="0.3">
      <c r="C2880" t="str">
        <f>IFERROR(IF(B2880="","",VLOOKUP(B2880,CadProd!$A:$B,2,0)),"")</f>
        <v/>
      </c>
      <c r="D2880" t="str">
        <f>IFERROR(IF(B2880="","",VLOOKUP(B2880,CadProd!$A:$C,3,0)),"")</f>
        <v/>
      </c>
    </row>
    <row r="2881" spans="3:4" x14ac:dyDescent="0.3">
      <c r="C2881" t="str">
        <f>IFERROR(IF(B2881="","",VLOOKUP(B2881,CadProd!$A:$B,2,0)),"")</f>
        <v/>
      </c>
      <c r="D2881" t="str">
        <f>IFERROR(IF(B2881="","",VLOOKUP(B2881,CadProd!$A:$C,3,0)),"")</f>
        <v/>
      </c>
    </row>
    <row r="2882" spans="3:4" x14ac:dyDescent="0.3">
      <c r="C2882" t="str">
        <f>IFERROR(IF(B2882="","",VLOOKUP(B2882,CadProd!$A:$B,2,0)),"")</f>
        <v/>
      </c>
      <c r="D2882" t="str">
        <f>IFERROR(IF(B2882="","",VLOOKUP(B2882,CadProd!$A:$C,3,0)),"")</f>
        <v/>
      </c>
    </row>
    <row r="2883" spans="3:4" x14ac:dyDescent="0.3">
      <c r="C2883" t="str">
        <f>IFERROR(IF(B2883="","",VLOOKUP(B2883,CadProd!$A:$B,2,0)),"")</f>
        <v/>
      </c>
      <c r="D2883" t="str">
        <f>IFERROR(IF(B2883="","",VLOOKUP(B2883,CadProd!$A:$C,3,0)),"")</f>
        <v/>
      </c>
    </row>
    <row r="2884" spans="3:4" x14ac:dyDescent="0.3">
      <c r="C2884" t="str">
        <f>IFERROR(IF(B2884="","",VLOOKUP(B2884,CadProd!$A:$B,2,0)),"")</f>
        <v/>
      </c>
      <c r="D2884" t="str">
        <f>IFERROR(IF(B2884="","",VLOOKUP(B2884,CadProd!$A:$C,3,0)),"")</f>
        <v/>
      </c>
    </row>
    <row r="2885" spans="3:4" x14ac:dyDescent="0.3">
      <c r="C2885" t="str">
        <f>IFERROR(IF(B2885="","",VLOOKUP(B2885,CadProd!$A:$B,2,0)),"")</f>
        <v/>
      </c>
      <c r="D2885" t="str">
        <f>IFERROR(IF(B2885="","",VLOOKUP(B2885,CadProd!$A:$C,3,0)),"")</f>
        <v/>
      </c>
    </row>
    <row r="2886" spans="3:4" x14ac:dyDescent="0.3">
      <c r="C2886" t="str">
        <f>IFERROR(IF(B2886="","",VLOOKUP(B2886,CadProd!$A:$B,2,0)),"")</f>
        <v/>
      </c>
      <c r="D2886" t="str">
        <f>IFERROR(IF(B2886="","",VLOOKUP(B2886,CadProd!$A:$C,3,0)),"")</f>
        <v/>
      </c>
    </row>
    <row r="2887" spans="3:4" x14ac:dyDescent="0.3">
      <c r="C2887" t="str">
        <f>IFERROR(IF(B2887="","",VLOOKUP(B2887,CadProd!$A:$B,2,0)),"")</f>
        <v/>
      </c>
      <c r="D2887" t="str">
        <f>IFERROR(IF(B2887="","",VLOOKUP(B2887,CadProd!$A:$C,3,0)),"")</f>
        <v/>
      </c>
    </row>
    <row r="2888" spans="3:4" x14ac:dyDescent="0.3">
      <c r="C2888" t="str">
        <f>IFERROR(IF(B2888="","",VLOOKUP(B2888,CadProd!$A:$B,2,0)),"")</f>
        <v/>
      </c>
      <c r="D2888" t="str">
        <f>IFERROR(IF(B2888="","",VLOOKUP(B2888,CadProd!$A:$C,3,0)),"")</f>
        <v/>
      </c>
    </row>
    <row r="2889" spans="3:4" x14ac:dyDescent="0.3">
      <c r="C2889" t="str">
        <f>IFERROR(IF(B2889="","",VLOOKUP(B2889,CadProd!$A:$B,2,0)),"")</f>
        <v/>
      </c>
      <c r="D2889" t="str">
        <f>IFERROR(IF(B2889="","",VLOOKUP(B2889,CadProd!$A:$C,3,0)),"")</f>
        <v/>
      </c>
    </row>
    <row r="2890" spans="3:4" x14ac:dyDescent="0.3">
      <c r="C2890" t="str">
        <f>IFERROR(IF(B2890="","",VLOOKUP(B2890,CadProd!$A:$B,2,0)),"")</f>
        <v/>
      </c>
      <c r="D2890" t="str">
        <f>IFERROR(IF(B2890="","",VLOOKUP(B2890,CadProd!$A:$C,3,0)),"")</f>
        <v/>
      </c>
    </row>
    <row r="2891" spans="3:4" x14ac:dyDescent="0.3">
      <c r="C2891" t="str">
        <f>IFERROR(IF(B2891="","",VLOOKUP(B2891,CadProd!$A:$B,2,0)),"")</f>
        <v/>
      </c>
      <c r="D2891" t="str">
        <f>IFERROR(IF(B2891="","",VLOOKUP(B2891,CadProd!$A:$C,3,0)),"")</f>
        <v/>
      </c>
    </row>
    <row r="2892" spans="3:4" x14ac:dyDescent="0.3">
      <c r="C2892" t="str">
        <f>IFERROR(IF(B2892="","",VLOOKUP(B2892,CadProd!$A:$B,2,0)),"")</f>
        <v/>
      </c>
      <c r="D2892" t="str">
        <f>IFERROR(IF(B2892="","",VLOOKUP(B2892,CadProd!$A:$C,3,0)),"")</f>
        <v/>
      </c>
    </row>
    <row r="2893" spans="3:4" x14ac:dyDescent="0.3">
      <c r="C2893" t="str">
        <f>IFERROR(IF(B2893="","",VLOOKUP(B2893,CadProd!$A:$B,2,0)),"")</f>
        <v/>
      </c>
      <c r="D2893" t="str">
        <f>IFERROR(IF(B2893="","",VLOOKUP(B2893,CadProd!$A:$C,3,0)),"")</f>
        <v/>
      </c>
    </row>
    <row r="2894" spans="3:4" x14ac:dyDescent="0.3">
      <c r="C2894" t="str">
        <f>IFERROR(IF(B2894="","",VLOOKUP(B2894,CadProd!$A:$B,2,0)),"")</f>
        <v/>
      </c>
      <c r="D2894" t="str">
        <f>IFERROR(IF(B2894="","",VLOOKUP(B2894,CadProd!$A:$C,3,0)),"")</f>
        <v/>
      </c>
    </row>
    <row r="2895" spans="3:4" x14ac:dyDescent="0.3">
      <c r="C2895" t="str">
        <f>IFERROR(IF(B2895="","",VLOOKUP(B2895,CadProd!$A:$B,2,0)),"")</f>
        <v/>
      </c>
      <c r="D2895" t="str">
        <f>IFERROR(IF(B2895="","",VLOOKUP(B2895,CadProd!$A:$C,3,0)),"")</f>
        <v/>
      </c>
    </row>
    <row r="2896" spans="3:4" x14ac:dyDescent="0.3">
      <c r="C2896" t="str">
        <f>IFERROR(IF(B2896="","",VLOOKUP(B2896,CadProd!$A:$B,2,0)),"")</f>
        <v/>
      </c>
      <c r="D2896" t="str">
        <f>IFERROR(IF(B2896="","",VLOOKUP(B2896,CadProd!$A:$C,3,0)),"")</f>
        <v/>
      </c>
    </row>
    <row r="2897" spans="3:4" x14ac:dyDescent="0.3">
      <c r="C2897" t="str">
        <f>IFERROR(IF(B2897="","",VLOOKUP(B2897,CadProd!$A:$B,2,0)),"")</f>
        <v/>
      </c>
      <c r="D2897" t="str">
        <f>IFERROR(IF(B2897="","",VLOOKUP(B2897,CadProd!$A:$C,3,0)),"")</f>
        <v/>
      </c>
    </row>
    <row r="2898" spans="3:4" x14ac:dyDescent="0.3">
      <c r="C2898" t="str">
        <f>IFERROR(IF(B2898="","",VLOOKUP(B2898,CadProd!$A:$B,2,0)),"")</f>
        <v/>
      </c>
      <c r="D2898" t="str">
        <f>IFERROR(IF(B2898="","",VLOOKUP(B2898,CadProd!$A:$C,3,0)),"")</f>
        <v/>
      </c>
    </row>
    <row r="2899" spans="3:4" x14ac:dyDescent="0.3">
      <c r="C2899" t="str">
        <f>IFERROR(IF(B2899="","",VLOOKUP(B2899,CadProd!$A:$B,2,0)),"")</f>
        <v/>
      </c>
      <c r="D2899" t="str">
        <f>IFERROR(IF(B2899="","",VLOOKUP(B2899,CadProd!$A:$C,3,0)),"")</f>
        <v/>
      </c>
    </row>
    <row r="2900" spans="3:4" x14ac:dyDescent="0.3">
      <c r="C2900" t="str">
        <f>IFERROR(IF(B2900="","",VLOOKUP(B2900,CadProd!$A:$B,2,0)),"")</f>
        <v/>
      </c>
      <c r="D2900" t="str">
        <f>IFERROR(IF(B2900="","",VLOOKUP(B2900,CadProd!$A:$C,3,0)),"")</f>
        <v/>
      </c>
    </row>
    <row r="2901" spans="3:4" x14ac:dyDescent="0.3">
      <c r="C2901" t="str">
        <f>IFERROR(IF(B2901="","",VLOOKUP(B2901,CadProd!$A:$B,2,0)),"")</f>
        <v/>
      </c>
      <c r="D2901" t="str">
        <f>IFERROR(IF(B2901="","",VLOOKUP(B2901,CadProd!$A:$C,3,0)),"")</f>
        <v/>
      </c>
    </row>
    <row r="2902" spans="3:4" x14ac:dyDescent="0.3">
      <c r="C2902" t="str">
        <f>IFERROR(IF(B2902="","",VLOOKUP(B2902,CadProd!$A:$B,2,0)),"")</f>
        <v/>
      </c>
      <c r="D2902" t="str">
        <f>IFERROR(IF(B2902="","",VLOOKUP(B2902,CadProd!$A:$C,3,0)),"")</f>
        <v/>
      </c>
    </row>
    <row r="2903" spans="3:4" x14ac:dyDescent="0.3">
      <c r="C2903" t="str">
        <f>IFERROR(IF(B2903="","",VLOOKUP(B2903,CadProd!$A:$B,2,0)),"")</f>
        <v/>
      </c>
      <c r="D2903" t="str">
        <f>IFERROR(IF(B2903="","",VLOOKUP(B2903,CadProd!$A:$C,3,0)),"")</f>
        <v/>
      </c>
    </row>
    <row r="2904" spans="3:4" x14ac:dyDescent="0.3">
      <c r="C2904" t="str">
        <f>IFERROR(IF(B2904="","",VLOOKUP(B2904,CadProd!$A:$B,2,0)),"")</f>
        <v/>
      </c>
      <c r="D2904" t="str">
        <f>IFERROR(IF(B2904="","",VLOOKUP(B2904,CadProd!$A:$C,3,0)),"")</f>
        <v/>
      </c>
    </row>
    <row r="2905" spans="3:4" x14ac:dyDescent="0.3">
      <c r="C2905" t="str">
        <f>IFERROR(IF(B2905="","",VLOOKUP(B2905,CadProd!$A:$B,2,0)),"")</f>
        <v/>
      </c>
      <c r="D2905" t="str">
        <f>IFERROR(IF(B2905="","",VLOOKUP(B2905,CadProd!$A:$C,3,0)),"")</f>
        <v/>
      </c>
    </row>
    <row r="2906" spans="3:4" x14ac:dyDescent="0.3">
      <c r="C2906" t="str">
        <f>IFERROR(IF(B2906="","",VLOOKUP(B2906,CadProd!$A:$B,2,0)),"")</f>
        <v/>
      </c>
      <c r="D2906" t="str">
        <f>IFERROR(IF(B2906="","",VLOOKUP(B2906,CadProd!$A:$C,3,0)),"")</f>
        <v/>
      </c>
    </row>
    <row r="2907" spans="3:4" x14ac:dyDescent="0.3">
      <c r="C2907" t="str">
        <f>IFERROR(IF(B2907="","",VLOOKUP(B2907,CadProd!$A:$B,2,0)),"")</f>
        <v/>
      </c>
      <c r="D2907" t="str">
        <f>IFERROR(IF(B2907="","",VLOOKUP(B2907,CadProd!$A:$C,3,0)),"")</f>
        <v/>
      </c>
    </row>
    <row r="2908" spans="3:4" x14ac:dyDescent="0.3">
      <c r="C2908" t="str">
        <f>IFERROR(IF(B2908="","",VLOOKUP(B2908,CadProd!$A:$B,2,0)),"")</f>
        <v/>
      </c>
      <c r="D2908" t="str">
        <f>IFERROR(IF(B2908="","",VLOOKUP(B2908,CadProd!$A:$C,3,0)),"")</f>
        <v/>
      </c>
    </row>
    <row r="2909" spans="3:4" x14ac:dyDescent="0.3">
      <c r="C2909" t="str">
        <f>IFERROR(IF(B2909="","",VLOOKUP(B2909,CadProd!$A:$B,2,0)),"")</f>
        <v/>
      </c>
      <c r="D2909" t="str">
        <f>IFERROR(IF(B2909="","",VLOOKUP(B2909,CadProd!$A:$C,3,0)),"")</f>
        <v/>
      </c>
    </row>
    <row r="2910" spans="3:4" x14ac:dyDescent="0.3">
      <c r="C2910" t="str">
        <f>IFERROR(IF(B2910="","",VLOOKUP(B2910,CadProd!$A:$B,2,0)),"")</f>
        <v/>
      </c>
      <c r="D2910" t="str">
        <f>IFERROR(IF(B2910="","",VLOOKUP(B2910,CadProd!$A:$C,3,0)),"")</f>
        <v/>
      </c>
    </row>
    <row r="2911" spans="3:4" x14ac:dyDescent="0.3">
      <c r="C2911" t="str">
        <f>IFERROR(IF(B2911="","",VLOOKUP(B2911,CadProd!$A:$B,2,0)),"")</f>
        <v/>
      </c>
      <c r="D2911" t="str">
        <f>IFERROR(IF(B2911="","",VLOOKUP(B2911,CadProd!$A:$C,3,0)),"")</f>
        <v/>
      </c>
    </row>
    <row r="2912" spans="3:4" x14ac:dyDescent="0.3">
      <c r="C2912" t="str">
        <f>IFERROR(IF(B2912="","",VLOOKUP(B2912,CadProd!$A:$B,2,0)),"")</f>
        <v/>
      </c>
      <c r="D2912" t="str">
        <f>IFERROR(IF(B2912="","",VLOOKUP(B2912,CadProd!$A:$C,3,0)),"")</f>
        <v/>
      </c>
    </row>
    <row r="2913" spans="3:4" x14ac:dyDescent="0.3">
      <c r="C2913" t="str">
        <f>IFERROR(IF(B2913="","",VLOOKUP(B2913,CadProd!$A:$B,2,0)),"")</f>
        <v/>
      </c>
      <c r="D2913" t="str">
        <f>IFERROR(IF(B2913="","",VLOOKUP(B2913,CadProd!$A:$C,3,0)),"")</f>
        <v/>
      </c>
    </row>
    <row r="2914" spans="3:4" x14ac:dyDescent="0.3">
      <c r="C2914" t="str">
        <f>IFERROR(IF(B2914="","",VLOOKUP(B2914,CadProd!$A:$B,2,0)),"")</f>
        <v/>
      </c>
      <c r="D2914" t="str">
        <f>IFERROR(IF(B2914="","",VLOOKUP(B2914,CadProd!$A:$C,3,0)),"")</f>
        <v/>
      </c>
    </row>
    <row r="2915" spans="3:4" x14ac:dyDescent="0.3">
      <c r="C2915" t="str">
        <f>IFERROR(IF(B2915="","",VLOOKUP(B2915,CadProd!$A:$B,2,0)),"")</f>
        <v/>
      </c>
      <c r="D2915" t="str">
        <f>IFERROR(IF(B2915="","",VLOOKUP(B2915,CadProd!$A:$C,3,0)),"")</f>
        <v/>
      </c>
    </row>
    <row r="2916" spans="3:4" x14ac:dyDescent="0.3">
      <c r="C2916" t="str">
        <f>IFERROR(IF(B2916="","",VLOOKUP(B2916,CadProd!$A:$B,2,0)),"")</f>
        <v/>
      </c>
      <c r="D2916" t="str">
        <f>IFERROR(IF(B2916="","",VLOOKUP(B2916,CadProd!$A:$C,3,0)),"")</f>
        <v/>
      </c>
    </row>
    <row r="2917" spans="3:4" x14ac:dyDescent="0.3">
      <c r="C2917" t="str">
        <f>IFERROR(IF(B2917="","",VLOOKUP(B2917,CadProd!$A:$B,2,0)),"")</f>
        <v/>
      </c>
      <c r="D2917" t="str">
        <f>IFERROR(IF(B2917="","",VLOOKUP(B2917,CadProd!$A:$C,3,0)),"")</f>
        <v/>
      </c>
    </row>
    <row r="2918" spans="3:4" x14ac:dyDescent="0.3">
      <c r="C2918" t="str">
        <f>IFERROR(IF(B2918="","",VLOOKUP(B2918,CadProd!$A:$B,2,0)),"")</f>
        <v/>
      </c>
      <c r="D2918" t="str">
        <f>IFERROR(IF(B2918="","",VLOOKUP(B2918,CadProd!$A:$C,3,0)),"")</f>
        <v/>
      </c>
    </row>
    <row r="2919" spans="3:4" x14ac:dyDescent="0.3">
      <c r="C2919" t="str">
        <f>IFERROR(IF(B2919="","",VLOOKUP(B2919,CadProd!$A:$B,2,0)),"")</f>
        <v/>
      </c>
      <c r="D2919" t="str">
        <f>IFERROR(IF(B2919="","",VLOOKUP(B2919,CadProd!$A:$C,3,0)),"")</f>
        <v/>
      </c>
    </row>
    <row r="2920" spans="3:4" x14ac:dyDescent="0.3">
      <c r="C2920" t="str">
        <f>IFERROR(IF(B2920="","",VLOOKUP(B2920,CadProd!$A:$B,2,0)),"")</f>
        <v/>
      </c>
      <c r="D2920" t="str">
        <f>IFERROR(IF(B2920="","",VLOOKUP(B2920,CadProd!$A:$C,3,0)),"")</f>
        <v/>
      </c>
    </row>
    <row r="2921" spans="3:4" x14ac:dyDescent="0.3">
      <c r="C2921" t="str">
        <f>IFERROR(IF(B2921="","",VLOOKUP(B2921,CadProd!$A:$B,2,0)),"")</f>
        <v/>
      </c>
      <c r="D2921" t="str">
        <f>IFERROR(IF(B2921="","",VLOOKUP(B2921,CadProd!$A:$C,3,0)),"")</f>
        <v/>
      </c>
    </row>
    <row r="2922" spans="3:4" x14ac:dyDescent="0.3">
      <c r="C2922" t="str">
        <f>IFERROR(IF(B2922="","",VLOOKUP(B2922,CadProd!$A:$B,2,0)),"")</f>
        <v/>
      </c>
      <c r="D2922" t="str">
        <f>IFERROR(IF(B2922="","",VLOOKUP(B2922,CadProd!$A:$C,3,0)),"")</f>
        <v/>
      </c>
    </row>
    <row r="2923" spans="3:4" x14ac:dyDescent="0.3">
      <c r="C2923" t="str">
        <f>IFERROR(IF(B2923="","",VLOOKUP(B2923,CadProd!$A:$B,2,0)),"")</f>
        <v/>
      </c>
      <c r="D2923" t="str">
        <f>IFERROR(IF(B2923="","",VLOOKUP(B2923,CadProd!$A:$C,3,0)),"")</f>
        <v/>
      </c>
    </row>
    <row r="2924" spans="3:4" x14ac:dyDescent="0.3">
      <c r="C2924" t="str">
        <f>IFERROR(IF(B2924="","",VLOOKUP(B2924,CadProd!$A:$B,2,0)),"")</f>
        <v/>
      </c>
      <c r="D2924" t="str">
        <f>IFERROR(IF(B2924="","",VLOOKUP(B2924,CadProd!$A:$C,3,0)),"")</f>
        <v/>
      </c>
    </row>
    <row r="2925" spans="3:4" x14ac:dyDescent="0.3">
      <c r="C2925" t="str">
        <f>IFERROR(IF(B2925="","",VLOOKUP(B2925,CadProd!$A:$B,2,0)),"")</f>
        <v/>
      </c>
      <c r="D2925" t="str">
        <f>IFERROR(IF(B2925="","",VLOOKUP(B2925,CadProd!$A:$C,3,0)),"")</f>
        <v/>
      </c>
    </row>
    <row r="2926" spans="3:4" x14ac:dyDescent="0.3">
      <c r="C2926" t="str">
        <f>IFERROR(IF(B2926="","",VLOOKUP(B2926,CadProd!$A:$B,2,0)),"")</f>
        <v/>
      </c>
      <c r="D2926" t="str">
        <f>IFERROR(IF(B2926="","",VLOOKUP(B2926,CadProd!$A:$C,3,0)),"")</f>
        <v/>
      </c>
    </row>
    <row r="2927" spans="3:4" x14ac:dyDescent="0.3">
      <c r="C2927" t="str">
        <f>IFERROR(IF(B2927="","",VLOOKUP(B2927,CadProd!$A:$B,2,0)),"")</f>
        <v/>
      </c>
      <c r="D2927" t="str">
        <f>IFERROR(IF(B2927="","",VLOOKUP(B2927,CadProd!$A:$C,3,0)),"")</f>
        <v/>
      </c>
    </row>
    <row r="2928" spans="3:4" x14ac:dyDescent="0.3">
      <c r="C2928" t="str">
        <f>IFERROR(IF(B2928="","",VLOOKUP(B2928,CadProd!$A:$B,2,0)),"")</f>
        <v/>
      </c>
      <c r="D2928" t="str">
        <f>IFERROR(IF(B2928="","",VLOOKUP(B2928,CadProd!$A:$C,3,0)),"")</f>
        <v/>
      </c>
    </row>
    <row r="2929" spans="3:4" x14ac:dyDescent="0.3">
      <c r="C2929" t="str">
        <f>IFERROR(IF(B2929="","",VLOOKUP(B2929,CadProd!$A:$B,2,0)),"")</f>
        <v/>
      </c>
      <c r="D2929" t="str">
        <f>IFERROR(IF(B2929="","",VLOOKUP(B2929,CadProd!$A:$C,3,0)),"")</f>
        <v/>
      </c>
    </row>
    <row r="2930" spans="3:4" x14ac:dyDescent="0.3">
      <c r="C2930" t="str">
        <f>IFERROR(IF(B2930="","",VLOOKUP(B2930,CadProd!$A:$B,2,0)),"")</f>
        <v/>
      </c>
      <c r="D2930" t="str">
        <f>IFERROR(IF(B2930="","",VLOOKUP(B2930,CadProd!$A:$C,3,0)),"")</f>
        <v/>
      </c>
    </row>
    <row r="2931" spans="3:4" x14ac:dyDescent="0.3">
      <c r="C2931" t="str">
        <f>IFERROR(IF(B2931="","",VLOOKUP(B2931,CadProd!$A:$B,2,0)),"")</f>
        <v/>
      </c>
      <c r="D2931" t="str">
        <f>IFERROR(IF(B2931="","",VLOOKUP(B2931,CadProd!$A:$C,3,0)),"")</f>
        <v/>
      </c>
    </row>
    <row r="2932" spans="3:4" x14ac:dyDescent="0.3">
      <c r="C2932" t="str">
        <f>IFERROR(IF(B2932="","",VLOOKUP(B2932,CadProd!$A:$B,2,0)),"")</f>
        <v/>
      </c>
      <c r="D2932" t="str">
        <f>IFERROR(IF(B2932="","",VLOOKUP(B2932,CadProd!$A:$C,3,0)),"")</f>
        <v/>
      </c>
    </row>
    <row r="2933" spans="3:4" x14ac:dyDescent="0.3">
      <c r="C2933" t="str">
        <f>IFERROR(IF(B2933="","",VLOOKUP(B2933,CadProd!$A:$B,2,0)),"")</f>
        <v/>
      </c>
      <c r="D2933" t="str">
        <f>IFERROR(IF(B2933="","",VLOOKUP(B2933,CadProd!$A:$C,3,0)),"")</f>
        <v/>
      </c>
    </row>
    <row r="2934" spans="3:4" x14ac:dyDescent="0.3">
      <c r="C2934" t="str">
        <f>IFERROR(IF(B2934="","",VLOOKUP(B2934,CadProd!$A:$B,2,0)),"")</f>
        <v/>
      </c>
      <c r="D2934" t="str">
        <f>IFERROR(IF(B2934="","",VLOOKUP(B2934,CadProd!$A:$C,3,0)),"")</f>
        <v/>
      </c>
    </row>
    <row r="2935" spans="3:4" x14ac:dyDescent="0.3">
      <c r="C2935" t="str">
        <f>IFERROR(IF(B2935="","",VLOOKUP(B2935,CadProd!$A:$B,2,0)),"")</f>
        <v/>
      </c>
      <c r="D2935" t="str">
        <f>IFERROR(IF(B2935="","",VLOOKUP(B2935,CadProd!$A:$C,3,0)),"")</f>
        <v/>
      </c>
    </row>
    <row r="2936" spans="3:4" x14ac:dyDescent="0.3">
      <c r="C2936" t="str">
        <f>IFERROR(IF(B2936="","",VLOOKUP(B2936,CadProd!$A:$B,2,0)),"")</f>
        <v/>
      </c>
      <c r="D2936" t="str">
        <f>IFERROR(IF(B2936="","",VLOOKUP(B2936,CadProd!$A:$C,3,0)),"")</f>
        <v/>
      </c>
    </row>
    <row r="2937" spans="3:4" x14ac:dyDescent="0.3">
      <c r="C2937" t="str">
        <f>IFERROR(IF(B2937="","",VLOOKUP(B2937,CadProd!$A:$B,2,0)),"")</f>
        <v/>
      </c>
      <c r="D2937" t="str">
        <f>IFERROR(IF(B2937="","",VLOOKUP(B2937,CadProd!$A:$C,3,0)),"")</f>
        <v/>
      </c>
    </row>
    <row r="2938" spans="3:4" x14ac:dyDescent="0.3">
      <c r="C2938" t="str">
        <f>IFERROR(IF(B2938="","",VLOOKUP(B2938,CadProd!$A:$B,2,0)),"")</f>
        <v/>
      </c>
      <c r="D2938" t="str">
        <f>IFERROR(IF(B2938="","",VLOOKUP(B2938,CadProd!$A:$C,3,0)),"")</f>
        <v/>
      </c>
    </row>
    <row r="2939" spans="3:4" x14ac:dyDescent="0.3">
      <c r="C2939" t="str">
        <f>IFERROR(IF(B2939="","",VLOOKUP(B2939,CadProd!$A:$B,2,0)),"")</f>
        <v/>
      </c>
      <c r="D2939" t="str">
        <f>IFERROR(IF(B2939="","",VLOOKUP(B2939,CadProd!$A:$C,3,0)),"")</f>
        <v/>
      </c>
    </row>
    <row r="2940" spans="3:4" x14ac:dyDescent="0.3">
      <c r="C2940" t="str">
        <f>IFERROR(IF(B2940="","",VLOOKUP(B2940,CadProd!$A:$B,2,0)),"")</f>
        <v/>
      </c>
      <c r="D2940" t="str">
        <f>IFERROR(IF(B2940="","",VLOOKUP(B2940,CadProd!$A:$C,3,0)),"")</f>
        <v/>
      </c>
    </row>
    <row r="2941" spans="3:4" x14ac:dyDescent="0.3">
      <c r="C2941" t="str">
        <f>IFERROR(IF(B2941="","",VLOOKUP(B2941,CadProd!$A:$B,2,0)),"")</f>
        <v/>
      </c>
      <c r="D2941" t="str">
        <f>IFERROR(IF(B2941="","",VLOOKUP(B2941,CadProd!$A:$C,3,0)),"")</f>
        <v/>
      </c>
    </row>
    <row r="2942" spans="3:4" x14ac:dyDescent="0.3">
      <c r="C2942" t="str">
        <f>IFERROR(IF(B2942="","",VLOOKUP(B2942,CadProd!$A:$B,2,0)),"")</f>
        <v/>
      </c>
      <c r="D2942" t="str">
        <f>IFERROR(IF(B2942="","",VLOOKUP(B2942,CadProd!$A:$C,3,0)),"")</f>
        <v/>
      </c>
    </row>
    <row r="2943" spans="3:4" x14ac:dyDescent="0.3">
      <c r="C2943" t="str">
        <f>IFERROR(IF(B2943="","",VLOOKUP(B2943,CadProd!$A:$B,2,0)),"")</f>
        <v/>
      </c>
      <c r="D2943" t="str">
        <f>IFERROR(IF(B2943="","",VLOOKUP(B2943,CadProd!$A:$C,3,0)),"")</f>
        <v/>
      </c>
    </row>
    <row r="2944" spans="3:4" x14ac:dyDescent="0.3">
      <c r="C2944" t="str">
        <f>IFERROR(IF(B2944="","",VLOOKUP(B2944,CadProd!$A:$B,2,0)),"")</f>
        <v/>
      </c>
      <c r="D2944" t="str">
        <f>IFERROR(IF(B2944="","",VLOOKUP(B2944,CadProd!$A:$C,3,0)),"")</f>
        <v/>
      </c>
    </row>
    <row r="2945" spans="3:4" x14ac:dyDescent="0.3">
      <c r="C2945" t="str">
        <f>IFERROR(IF(B2945="","",VLOOKUP(B2945,CadProd!$A:$B,2,0)),"")</f>
        <v/>
      </c>
      <c r="D2945" t="str">
        <f>IFERROR(IF(B2945="","",VLOOKUP(B2945,CadProd!$A:$C,3,0)),"")</f>
        <v/>
      </c>
    </row>
    <row r="2946" spans="3:4" x14ac:dyDescent="0.3">
      <c r="C2946" t="str">
        <f>IFERROR(IF(B2946="","",VLOOKUP(B2946,CadProd!$A:$B,2,0)),"")</f>
        <v/>
      </c>
      <c r="D2946" t="str">
        <f>IFERROR(IF(B2946="","",VLOOKUP(B2946,CadProd!$A:$C,3,0)),"")</f>
        <v/>
      </c>
    </row>
    <row r="2947" spans="3:4" x14ac:dyDescent="0.3">
      <c r="C2947" t="str">
        <f>IFERROR(IF(B2947="","",VLOOKUP(B2947,CadProd!$A:$B,2,0)),"")</f>
        <v/>
      </c>
      <c r="D2947" t="str">
        <f>IFERROR(IF(B2947="","",VLOOKUP(B2947,CadProd!$A:$C,3,0)),"")</f>
        <v/>
      </c>
    </row>
    <row r="2948" spans="3:4" x14ac:dyDescent="0.3">
      <c r="C2948" t="str">
        <f>IFERROR(IF(B2948="","",VLOOKUP(B2948,CadProd!$A:$B,2,0)),"")</f>
        <v/>
      </c>
      <c r="D2948" t="str">
        <f>IFERROR(IF(B2948="","",VLOOKUP(B2948,CadProd!$A:$C,3,0)),"")</f>
        <v/>
      </c>
    </row>
    <row r="2949" spans="3:4" x14ac:dyDescent="0.3">
      <c r="C2949" t="str">
        <f>IFERROR(IF(B2949="","",VLOOKUP(B2949,CadProd!$A:$B,2,0)),"")</f>
        <v/>
      </c>
      <c r="D2949" t="str">
        <f>IFERROR(IF(B2949="","",VLOOKUP(B2949,CadProd!$A:$C,3,0)),"")</f>
        <v/>
      </c>
    </row>
    <row r="2950" spans="3:4" x14ac:dyDescent="0.3">
      <c r="C2950" t="str">
        <f>IFERROR(IF(B2950="","",VLOOKUP(B2950,CadProd!$A:$B,2,0)),"")</f>
        <v/>
      </c>
      <c r="D2950" t="str">
        <f>IFERROR(IF(B2950="","",VLOOKUP(B2950,CadProd!$A:$C,3,0)),"")</f>
        <v/>
      </c>
    </row>
    <row r="2951" spans="3:4" x14ac:dyDescent="0.3">
      <c r="C2951" t="str">
        <f>IFERROR(IF(B2951="","",VLOOKUP(B2951,CadProd!$A:$B,2,0)),"")</f>
        <v/>
      </c>
      <c r="D2951" t="str">
        <f>IFERROR(IF(B2951="","",VLOOKUP(B2951,CadProd!$A:$C,3,0)),"")</f>
        <v/>
      </c>
    </row>
    <row r="2952" spans="3:4" x14ac:dyDescent="0.3">
      <c r="C2952" t="str">
        <f>IFERROR(IF(B2952="","",VLOOKUP(B2952,CadProd!$A:$B,2,0)),"")</f>
        <v/>
      </c>
      <c r="D2952" t="str">
        <f>IFERROR(IF(B2952="","",VLOOKUP(B2952,CadProd!$A:$C,3,0)),"")</f>
        <v/>
      </c>
    </row>
    <row r="2953" spans="3:4" x14ac:dyDescent="0.3">
      <c r="C2953" t="str">
        <f>IFERROR(IF(B2953="","",VLOOKUP(B2953,CadProd!$A:$B,2,0)),"")</f>
        <v/>
      </c>
      <c r="D2953" t="str">
        <f>IFERROR(IF(B2953="","",VLOOKUP(B2953,CadProd!$A:$C,3,0)),"")</f>
        <v/>
      </c>
    </row>
    <row r="2954" spans="3:4" x14ac:dyDescent="0.3">
      <c r="C2954" t="str">
        <f>IFERROR(IF(B2954="","",VLOOKUP(B2954,CadProd!$A:$B,2,0)),"")</f>
        <v/>
      </c>
      <c r="D2954" t="str">
        <f>IFERROR(IF(B2954="","",VLOOKUP(B2954,CadProd!$A:$C,3,0)),"")</f>
        <v/>
      </c>
    </row>
    <row r="2955" spans="3:4" x14ac:dyDescent="0.3">
      <c r="C2955" t="str">
        <f>IFERROR(IF(B2955="","",VLOOKUP(B2955,CadProd!$A:$B,2,0)),"")</f>
        <v/>
      </c>
      <c r="D2955" t="str">
        <f>IFERROR(IF(B2955="","",VLOOKUP(B2955,CadProd!$A:$C,3,0)),"")</f>
        <v/>
      </c>
    </row>
    <row r="2956" spans="3:4" x14ac:dyDescent="0.3">
      <c r="C2956" t="str">
        <f>IFERROR(IF(B2956="","",VLOOKUP(B2956,CadProd!$A:$B,2,0)),"")</f>
        <v/>
      </c>
      <c r="D2956" t="str">
        <f>IFERROR(IF(B2956="","",VLOOKUP(B2956,CadProd!$A:$C,3,0)),"")</f>
        <v/>
      </c>
    </row>
    <row r="2957" spans="3:4" x14ac:dyDescent="0.3">
      <c r="C2957" t="str">
        <f>IFERROR(IF(B2957="","",VLOOKUP(B2957,CadProd!$A:$B,2,0)),"")</f>
        <v/>
      </c>
      <c r="D2957" t="str">
        <f>IFERROR(IF(B2957="","",VLOOKUP(B2957,CadProd!$A:$C,3,0)),"")</f>
        <v/>
      </c>
    </row>
    <row r="2958" spans="3:4" x14ac:dyDescent="0.3">
      <c r="C2958" t="str">
        <f>IFERROR(IF(B2958="","",VLOOKUP(B2958,CadProd!$A:$B,2,0)),"")</f>
        <v/>
      </c>
      <c r="D2958" t="str">
        <f>IFERROR(IF(B2958="","",VLOOKUP(B2958,CadProd!$A:$C,3,0)),"")</f>
        <v/>
      </c>
    </row>
    <row r="2959" spans="3:4" x14ac:dyDescent="0.3">
      <c r="C2959" t="str">
        <f>IFERROR(IF(B2959="","",VLOOKUP(B2959,CadProd!$A:$B,2,0)),"")</f>
        <v/>
      </c>
      <c r="D2959" t="str">
        <f>IFERROR(IF(B2959="","",VLOOKUP(B2959,CadProd!$A:$C,3,0)),"")</f>
        <v/>
      </c>
    </row>
    <row r="2960" spans="3:4" x14ac:dyDescent="0.3">
      <c r="C2960" t="str">
        <f>IFERROR(IF(B2960="","",VLOOKUP(B2960,CadProd!$A:$B,2,0)),"")</f>
        <v/>
      </c>
      <c r="D2960" t="str">
        <f>IFERROR(IF(B2960="","",VLOOKUP(B2960,CadProd!$A:$C,3,0)),"")</f>
        <v/>
      </c>
    </row>
    <row r="2961" spans="3:4" x14ac:dyDescent="0.3">
      <c r="C2961" t="str">
        <f>IFERROR(IF(B2961="","",VLOOKUP(B2961,CadProd!$A:$B,2,0)),"")</f>
        <v/>
      </c>
      <c r="D2961" t="str">
        <f>IFERROR(IF(B2961="","",VLOOKUP(B2961,CadProd!$A:$C,3,0)),"")</f>
        <v/>
      </c>
    </row>
    <row r="2962" spans="3:4" x14ac:dyDescent="0.3">
      <c r="C2962" t="str">
        <f>IFERROR(IF(B2962="","",VLOOKUP(B2962,CadProd!$A:$B,2,0)),"")</f>
        <v/>
      </c>
      <c r="D2962" t="str">
        <f>IFERROR(IF(B2962="","",VLOOKUP(B2962,CadProd!$A:$C,3,0)),"")</f>
        <v/>
      </c>
    </row>
    <row r="2963" spans="3:4" x14ac:dyDescent="0.3">
      <c r="C2963" t="str">
        <f>IFERROR(IF(B2963="","",VLOOKUP(B2963,CadProd!$A:$B,2,0)),"")</f>
        <v/>
      </c>
      <c r="D2963" t="str">
        <f>IFERROR(IF(B2963="","",VLOOKUP(B2963,CadProd!$A:$C,3,0)),"")</f>
        <v/>
      </c>
    </row>
    <row r="2964" spans="3:4" x14ac:dyDescent="0.3">
      <c r="C2964" t="str">
        <f>IFERROR(IF(B2964="","",VLOOKUP(B2964,CadProd!$A:$B,2,0)),"")</f>
        <v/>
      </c>
      <c r="D2964" t="str">
        <f>IFERROR(IF(B2964="","",VLOOKUP(B2964,CadProd!$A:$C,3,0)),"")</f>
        <v/>
      </c>
    </row>
    <row r="2965" spans="3:4" x14ac:dyDescent="0.3">
      <c r="C2965" t="str">
        <f>IFERROR(IF(B2965="","",VLOOKUP(B2965,CadProd!$A:$B,2,0)),"")</f>
        <v/>
      </c>
      <c r="D2965" t="str">
        <f>IFERROR(IF(B2965="","",VLOOKUP(B2965,CadProd!$A:$C,3,0)),"")</f>
        <v/>
      </c>
    </row>
    <row r="2966" spans="3:4" x14ac:dyDescent="0.3">
      <c r="C2966" t="str">
        <f>IFERROR(IF(B2966="","",VLOOKUP(B2966,CadProd!$A:$B,2,0)),"")</f>
        <v/>
      </c>
      <c r="D2966" t="str">
        <f>IFERROR(IF(B2966="","",VLOOKUP(B2966,CadProd!$A:$C,3,0)),"")</f>
        <v/>
      </c>
    </row>
    <row r="2967" spans="3:4" x14ac:dyDescent="0.3">
      <c r="C2967" t="str">
        <f>IFERROR(IF(B2967="","",VLOOKUP(B2967,CadProd!$A:$B,2,0)),"")</f>
        <v/>
      </c>
      <c r="D2967" t="str">
        <f>IFERROR(IF(B2967="","",VLOOKUP(B2967,CadProd!$A:$C,3,0)),"")</f>
        <v/>
      </c>
    </row>
    <row r="2968" spans="3:4" x14ac:dyDescent="0.3">
      <c r="C2968" t="str">
        <f>IFERROR(IF(B2968="","",VLOOKUP(B2968,CadProd!$A:$B,2,0)),"")</f>
        <v/>
      </c>
      <c r="D2968" t="str">
        <f>IFERROR(IF(B2968="","",VLOOKUP(B2968,CadProd!$A:$C,3,0)),"")</f>
        <v/>
      </c>
    </row>
    <row r="2969" spans="3:4" x14ac:dyDescent="0.3">
      <c r="C2969" t="str">
        <f>IFERROR(IF(B2969="","",VLOOKUP(B2969,CadProd!$A:$B,2,0)),"")</f>
        <v/>
      </c>
      <c r="D2969" t="str">
        <f>IFERROR(IF(B2969="","",VLOOKUP(B2969,CadProd!$A:$C,3,0)),"")</f>
        <v/>
      </c>
    </row>
    <row r="2970" spans="3:4" x14ac:dyDescent="0.3">
      <c r="C2970" t="str">
        <f>IFERROR(IF(B2970="","",VLOOKUP(B2970,CadProd!$A:$B,2,0)),"")</f>
        <v/>
      </c>
      <c r="D2970" t="str">
        <f>IFERROR(IF(B2970="","",VLOOKUP(B2970,CadProd!$A:$C,3,0)),"")</f>
        <v/>
      </c>
    </row>
    <row r="2971" spans="3:4" x14ac:dyDescent="0.3">
      <c r="C2971" t="str">
        <f>IFERROR(IF(B2971="","",VLOOKUP(B2971,CadProd!$A:$B,2,0)),"")</f>
        <v/>
      </c>
      <c r="D2971" t="str">
        <f>IFERROR(IF(B2971="","",VLOOKUP(B2971,CadProd!$A:$C,3,0)),"")</f>
        <v/>
      </c>
    </row>
    <row r="2972" spans="3:4" x14ac:dyDescent="0.3">
      <c r="C2972" t="str">
        <f>IFERROR(IF(B2972="","",VLOOKUP(B2972,CadProd!$A:$B,2,0)),"")</f>
        <v/>
      </c>
      <c r="D2972" t="str">
        <f>IFERROR(IF(B2972="","",VLOOKUP(B2972,CadProd!$A:$C,3,0)),"")</f>
        <v/>
      </c>
    </row>
    <row r="2973" spans="3:4" x14ac:dyDescent="0.3">
      <c r="C2973" t="str">
        <f>IFERROR(IF(B2973="","",VLOOKUP(B2973,CadProd!$A:$B,2,0)),"")</f>
        <v/>
      </c>
      <c r="D2973" t="str">
        <f>IFERROR(IF(B2973="","",VLOOKUP(B2973,CadProd!$A:$C,3,0)),"")</f>
        <v/>
      </c>
    </row>
    <row r="2974" spans="3:4" x14ac:dyDescent="0.3">
      <c r="C2974" t="str">
        <f>IFERROR(IF(B2974="","",VLOOKUP(B2974,CadProd!$A:$B,2,0)),"")</f>
        <v/>
      </c>
      <c r="D2974" t="str">
        <f>IFERROR(IF(B2974="","",VLOOKUP(B2974,CadProd!$A:$C,3,0)),"")</f>
        <v/>
      </c>
    </row>
    <row r="2975" spans="3:4" x14ac:dyDescent="0.3">
      <c r="C2975" t="str">
        <f>IFERROR(IF(B2975="","",VLOOKUP(B2975,CadProd!$A:$B,2,0)),"")</f>
        <v/>
      </c>
      <c r="D2975" t="str">
        <f>IFERROR(IF(B2975="","",VLOOKUP(B2975,CadProd!$A:$C,3,0)),"")</f>
        <v/>
      </c>
    </row>
    <row r="2976" spans="3:4" x14ac:dyDescent="0.3">
      <c r="C2976" t="str">
        <f>IFERROR(IF(B2976="","",VLOOKUP(B2976,CadProd!$A:$B,2,0)),"")</f>
        <v/>
      </c>
      <c r="D2976" t="str">
        <f>IFERROR(IF(B2976="","",VLOOKUP(B2976,CadProd!$A:$C,3,0)),"")</f>
        <v/>
      </c>
    </row>
    <row r="2977" spans="3:4" x14ac:dyDescent="0.3">
      <c r="C2977" t="str">
        <f>IFERROR(IF(B2977="","",VLOOKUP(B2977,CadProd!$A:$B,2,0)),"")</f>
        <v/>
      </c>
      <c r="D2977" t="str">
        <f>IFERROR(IF(B2977="","",VLOOKUP(B2977,CadProd!$A:$C,3,0)),"")</f>
        <v/>
      </c>
    </row>
    <row r="2978" spans="3:4" x14ac:dyDescent="0.3">
      <c r="C2978" t="str">
        <f>IFERROR(IF(B2978="","",VLOOKUP(B2978,CadProd!$A:$B,2,0)),"")</f>
        <v/>
      </c>
      <c r="D2978" t="str">
        <f>IFERROR(IF(B2978="","",VLOOKUP(B2978,CadProd!$A:$C,3,0)),"")</f>
        <v/>
      </c>
    </row>
    <row r="2979" spans="3:4" x14ac:dyDescent="0.3">
      <c r="C2979" t="str">
        <f>IFERROR(IF(B2979="","",VLOOKUP(B2979,CadProd!$A:$B,2,0)),"")</f>
        <v/>
      </c>
      <c r="D2979" t="str">
        <f>IFERROR(IF(B2979="","",VLOOKUP(B2979,CadProd!$A:$C,3,0)),"")</f>
        <v/>
      </c>
    </row>
    <row r="2980" spans="3:4" x14ac:dyDescent="0.3">
      <c r="C2980" t="str">
        <f>IFERROR(IF(B2980="","",VLOOKUP(B2980,CadProd!$A:$B,2,0)),"")</f>
        <v/>
      </c>
      <c r="D2980" t="str">
        <f>IFERROR(IF(B2980="","",VLOOKUP(B2980,CadProd!$A:$C,3,0)),"")</f>
        <v/>
      </c>
    </row>
    <row r="2981" spans="3:4" x14ac:dyDescent="0.3">
      <c r="C2981" t="str">
        <f>IFERROR(IF(B2981="","",VLOOKUP(B2981,CadProd!$A:$B,2,0)),"")</f>
        <v/>
      </c>
      <c r="D2981" t="str">
        <f>IFERROR(IF(B2981="","",VLOOKUP(B2981,CadProd!$A:$C,3,0)),"")</f>
        <v/>
      </c>
    </row>
    <row r="2982" spans="3:4" x14ac:dyDescent="0.3">
      <c r="C2982" t="str">
        <f>IFERROR(IF(B2982="","",VLOOKUP(B2982,CadProd!$A:$B,2,0)),"")</f>
        <v/>
      </c>
      <c r="D2982" t="str">
        <f>IFERROR(IF(B2982="","",VLOOKUP(B2982,CadProd!$A:$C,3,0)),"")</f>
        <v/>
      </c>
    </row>
    <row r="2983" spans="3:4" x14ac:dyDescent="0.3">
      <c r="C2983" t="str">
        <f>IFERROR(IF(B2983="","",VLOOKUP(B2983,CadProd!$A:$B,2,0)),"")</f>
        <v/>
      </c>
      <c r="D2983" t="str">
        <f>IFERROR(IF(B2983="","",VLOOKUP(B2983,CadProd!$A:$C,3,0)),"")</f>
        <v/>
      </c>
    </row>
    <row r="2984" spans="3:4" x14ac:dyDescent="0.3">
      <c r="C2984" t="str">
        <f>IFERROR(IF(B2984="","",VLOOKUP(B2984,CadProd!$A:$B,2,0)),"")</f>
        <v/>
      </c>
      <c r="D2984" t="str">
        <f>IFERROR(IF(B2984="","",VLOOKUP(B2984,CadProd!$A:$C,3,0)),"")</f>
        <v/>
      </c>
    </row>
    <row r="2985" spans="3:4" x14ac:dyDescent="0.3">
      <c r="C2985" t="str">
        <f>IFERROR(IF(B2985="","",VLOOKUP(B2985,CadProd!$A:$B,2,0)),"")</f>
        <v/>
      </c>
      <c r="D2985" t="str">
        <f>IFERROR(IF(B2985="","",VLOOKUP(B2985,CadProd!$A:$C,3,0)),"")</f>
        <v/>
      </c>
    </row>
    <row r="2986" spans="3:4" x14ac:dyDescent="0.3">
      <c r="C2986" t="str">
        <f>IFERROR(IF(B2986="","",VLOOKUP(B2986,CadProd!$A:$B,2,0)),"")</f>
        <v/>
      </c>
      <c r="D2986" t="str">
        <f>IFERROR(IF(B2986="","",VLOOKUP(B2986,CadProd!$A:$C,3,0)),"")</f>
        <v/>
      </c>
    </row>
    <row r="2987" spans="3:4" x14ac:dyDescent="0.3">
      <c r="C2987" t="str">
        <f>IFERROR(IF(B2987="","",VLOOKUP(B2987,CadProd!$A:$B,2,0)),"")</f>
        <v/>
      </c>
      <c r="D2987" t="str">
        <f>IFERROR(IF(B2987="","",VLOOKUP(B2987,CadProd!$A:$C,3,0)),"")</f>
        <v/>
      </c>
    </row>
    <row r="2988" spans="3:4" x14ac:dyDescent="0.3">
      <c r="C2988" t="str">
        <f>IFERROR(IF(B2988="","",VLOOKUP(B2988,CadProd!$A:$B,2,0)),"")</f>
        <v/>
      </c>
      <c r="D2988" t="str">
        <f>IFERROR(IF(B2988="","",VLOOKUP(B2988,CadProd!$A:$C,3,0)),"")</f>
        <v/>
      </c>
    </row>
    <row r="2989" spans="3:4" x14ac:dyDescent="0.3">
      <c r="C2989" t="str">
        <f>IFERROR(IF(B2989="","",VLOOKUP(B2989,CadProd!$A:$B,2,0)),"")</f>
        <v/>
      </c>
      <c r="D2989" t="str">
        <f>IFERROR(IF(B2989="","",VLOOKUP(B2989,CadProd!$A:$C,3,0)),"")</f>
        <v/>
      </c>
    </row>
    <row r="2990" spans="3:4" x14ac:dyDescent="0.3">
      <c r="C2990" t="str">
        <f>IFERROR(IF(B2990="","",VLOOKUP(B2990,CadProd!$A:$B,2,0)),"")</f>
        <v/>
      </c>
      <c r="D2990" t="str">
        <f>IFERROR(IF(B2990="","",VLOOKUP(B2990,CadProd!$A:$C,3,0)),"")</f>
        <v/>
      </c>
    </row>
    <row r="2991" spans="3:4" x14ac:dyDescent="0.3">
      <c r="C2991" t="str">
        <f>IFERROR(IF(B2991="","",VLOOKUP(B2991,CadProd!$A:$B,2,0)),"")</f>
        <v/>
      </c>
      <c r="D2991" t="str">
        <f>IFERROR(IF(B2991="","",VLOOKUP(B2991,CadProd!$A:$C,3,0)),"")</f>
        <v/>
      </c>
    </row>
    <row r="2992" spans="3:4" x14ac:dyDescent="0.3">
      <c r="C2992" t="str">
        <f>IFERROR(IF(B2992="","",VLOOKUP(B2992,CadProd!$A:$B,2,0)),"")</f>
        <v/>
      </c>
      <c r="D2992" t="str">
        <f>IFERROR(IF(B2992="","",VLOOKUP(B2992,CadProd!$A:$C,3,0)),"")</f>
        <v/>
      </c>
    </row>
    <row r="2993" spans="3:4" x14ac:dyDescent="0.3">
      <c r="C2993" t="str">
        <f>IFERROR(IF(B2993="","",VLOOKUP(B2993,CadProd!$A:$B,2,0)),"")</f>
        <v/>
      </c>
      <c r="D2993" t="str">
        <f>IFERROR(IF(B2993="","",VLOOKUP(B2993,CadProd!$A:$C,3,0)),"")</f>
        <v/>
      </c>
    </row>
    <row r="2994" spans="3:4" x14ac:dyDescent="0.3">
      <c r="C2994" t="str">
        <f>IFERROR(IF(B2994="","",VLOOKUP(B2994,CadProd!$A:$B,2,0)),"")</f>
        <v/>
      </c>
      <c r="D2994" t="str">
        <f>IFERROR(IF(B2994="","",VLOOKUP(B2994,CadProd!$A:$C,3,0)),"")</f>
        <v/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8EBD9-CC33-45F9-9C3F-6EA835AD6F79}">
  <sheetPr codeName="Planilha9"/>
  <dimension ref="A1:Z97"/>
  <sheetViews>
    <sheetView workbookViewId="0">
      <selection activeCell="H2" sqref="H2:I1048576"/>
    </sheetView>
  </sheetViews>
  <sheetFormatPr defaultRowHeight="14.4" x14ac:dyDescent="0.3"/>
  <cols>
    <col min="1" max="1" width="32.21875" customWidth="1"/>
    <col min="2" max="2" width="11" bestFit="1" customWidth="1"/>
    <col min="3" max="3" width="12.33203125" bestFit="1" customWidth="1"/>
    <col min="4" max="4" width="26.77734375" customWidth="1"/>
    <col min="6" max="6" width="11.88671875" style="1" bestFit="1" customWidth="1"/>
    <col min="7" max="7" width="12.5546875" style="1" bestFit="1" customWidth="1"/>
    <col min="8" max="8" width="13.21875" style="3" bestFit="1" customWidth="1"/>
    <col min="9" max="9" width="13.21875" style="2" bestFit="1" customWidth="1"/>
    <col min="10" max="12" width="13.21875" style="2" customWidth="1"/>
    <col min="13" max="20" width="13.21875" customWidth="1"/>
    <col min="22" max="22" width="12.33203125" bestFit="1" customWidth="1"/>
    <col min="23" max="23" width="4.77734375" customWidth="1"/>
    <col min="25" max="25" width="12.77734375" bestFit="1" customWidth="1"/>
    <col min="26" max="26" width="10.33203125" bestFit="1" customWidth="1"/>
  </cols>
  <sheetData>
    <row r="1" spans="1:26" x14ac:dyDescent="0.3">
      <c r="A1" t="s">
        <v>14</v>
      </c>
      <c r="B1" t="s">
        <v>0</v>
      </c>
      <c r="C1" t="s">
        <v>1</v>
      </c>
      <c r="D1" t="s">
        <v>2</v>
      </c>
      <c r="E1" t="s">
        <v>4</v>
      </c>
      <c r="F1" t="s">
        <v>3</v>
      </c>
      <c r="G1" t="s">
        <v>11</v>
      </c>
      <c r="H1" t="s">
        <v>13</v>
      </c>
      <c r="I1" t="s">
        <v>5</v>
      </c>
      <c r="J1" t="s">
        <v>7</v>
      </c>
      <c r="K1" t="s">
        <v>8</v>
      </c>
      <c r="L1" t="s">
        <v>9</v>
      </c>
      <c r="N1" t="s">
        <v>12</v>
      </c>
      <c r="O1">
        <f>SUM(E2:E1048576)</f>
        <v>0</v>
      </c>
      <c r="Q1" t="s">
        <v>11</v>
      </c>
      <c r="R1" s="5">
        <f>SUM(G2:G1048576)</f>
        <v>0</v>
      </c>
      <c r="V1" t="s">
        <v>12</v>
      </c>
      <c r="W1">
        <f>SUM(E2:E1048576)</f>
        <v>0</v>
      </c>
      <c r="Y1" t="s">
        <v>11</v>
      </c>
      <c r="Z1" s="5">
        <f>SUM(G2:G1048576)</f>
        <v>0</v>
      </c>
    </row>
    <row r="2" spans="1:26" x14ac:dyDescent="0.3">
      <c r="U2" t="str">
        <f t="shared" ref="U2:U30" si="0">TRIM(H2)</f>
        <v/>
      </c>
    </row>
    <row r="3" spans="1:26" x14ac:dyDescent="0.3">
      <c r="C3" t="str">
        <f>IF(B3="","",VLOOKUP(B3,CadProd!$A:$B,2,0))</f>
        <v/>
      </c>
      <c r="D3" t="str">
        <f>IF(B3="","",VLOOKUP(B3,CadProd!$A:$C,3,0))</f>
        <v/>
      </c>
      <c r="U3" t="str">
        <f t="shared" si="0"/>
        <v/>
      </c>
    </row>
    <row r="4" spans="1:26" x14ac:dyDescent="0.3">
      <c r="U4" t="str">
        <f t="shared" si="0"/>
        <v/>
      </c>
    </row>
    <row r="5" spans="1:26" x14ac:dyDescent="0.3">
      <c r="U5" t="str">
        <f t="shared" si="0"/>
        <v/>
      </c>
    </row>
    <row r="6" spans="1:26" x14ac:dyDescent="0.3">
      <c r="U6" t="str">
        <f t="shared" si="0"/>
        <v/>
      </c>
    </row>
    <row r="7" spans="1:26" x14ac:dyDescent="0.3">
      <c r="U7" t="str">
        <f t="shared" si="0"/>
        <v/>
      </c>
    </row>
    <row r="8" spans="1:26" x14ac:dyDescent="0.3">
      <c r="U8" t="str">
        <f t="shared" si="0"/>
        <v/>
      </c>
    </row>
    <row r="9" spans="1:26" x14ac:dyDescent="0.3">
      <c r="U9" t="str">
        <f t="shared" si="0"/>
        <v/>
      </c>
    </row>
    <row r="10" spans="1:26" x14ac:dyDescent="0.3">
      <c r="U10" t="str">
        <f t="shared" si="0"/>
        <v/>
      </c>
    </row>
    <row r="11" spans="1:26" x14ac:dyDescent="0.3">
      <c r="U11" t="str">
        <f t="shared" si="0"/>
        <v/>
      </c>
    </row>
    <row r="12" spans="1:26" x14ac:dyDescent="0.3">
      <c r="U12" t="str">
        <f t="shared" si="0"/>
        <v/>
      </c>
    </row>
    <row r="13" spans="1:26" x14ac:dyDescent="0.3">
      <c r="U13" t="str">
        <f t="shared" si="0"/>
        <v/>
      </c>
    </row>
    <row r="14" spans="1:26" x14ac:dyDescent="0.3">
      <c r="U14" t="str">
        <f t="shared" si="0"/>
        <v/>
      </c>
    </row>
    <row r="15" spans="1:26" x14ac:dyDescent="0.3">
      <c r="U15" t="str">
        <f t="shared" si="0"/>
        <v/>
      </c>
    </row>
    <row r="16" spans="1:26" x14ac:dyDescent="0.3">
      <c r="U16" t="str">
        <f t="shared" si="0"/>
        <v/>
      </c>
    </row>
    <row r="17" spans="21:21" x14ac:dyDescent="0.3">
      <c r="U17" t="str">
        <f t="shared" si="0"/>
        <v/>
      </c>
    </row>
    <row r="18" spans="21:21" x14ac:dyDescent="0.3">
      <c r="U18" t="str">
        <f t="shared" si="0"/>
        <v/>
      </c>
    </row>
    <row r="19" spans="21:21" x14ac:dyDescent="0.3">
      <c r="U19" t="str">
        <f t="shared" si="0"/>
        <v/>
      </c>
    </row>
    <row r="20" spans="21:21" x14ac:dyDescent="0.3">
      <c r="U20" t="str">
        <f t="shared" si="0"/>
        <v/>
      </c>
    </row>
    <row r="21" spans="21:21" x14ac:dyDescent="0.3">
      <c r="U21" t="str">
        <f t="shared" si="0"/>
        <v/>
      </c>
    </row>
    <row r="22" spans="21:21" x14ac:dyDescent="0.3">
      <c r="U22" t="str">
        <f t="shared" si="0"/>
        <v/>
      </c>
    </row>
    <row r="23" spans="21:21" x14ac:dyDescent="0.3">
      <c r="U23" t="str">
        <f t="shared" si="0"/>
        <v/>
      </c>
    </row>
    <row r="24" spans="21:21" x14ac:dyDescent="0.3">
      <c r="U24" t="str">
        <f t="shared" si="0"/>
        <v/>
      </c>
    </row>
    <row r="25" spans="21:21" x14ac:dyDescent="0.3">
      <c r="U25" t="str">
        <f t="shared" si="0"/>
        <v/>
      </c>
    </row>
    <row r="26" spans="21:21" x14ac:dyDescent="0.3">
      <c r="U26" t="str">
        <f t="shared" si="0"/>
        <v/>
      </c>
    </row>
    <row r="27" spans="21:21" x14ac:dyDescent="0.3">
      <c r="U27" t="str">
        <f t="shared" si="0"/>
        <v/>
      </c>
    </row>
    <row r="28" spans="21:21" x14ac:dyDescent="0.3">
      <c r="U28" t="str">
        <f t="shared" si="0"/>
        <v/>
      </c>
    </row>
    <row r="29" spans="21:21" x14ac:dyDescent="0.3">
      <c r="U29" t="str">
        <f t="shared" si="0"/>
        <v/>
      </c>
    </row>
    <row r="30" spans="21:21" x14ac:dyDescent="0.3">
      <c r="U30" t="str">
        <f t="shared" si="0"/>
        <v/>
      </c>
    </row>
    <row r="31" spans="21:21" x14ac:dyDescent="0.3">
      <c r="U31" t="str">
        <f t="shared" ref="U31:U59" si="1">TRIM(H31)</f>
        <v/>
      </c>
    </row>
    <row r="32" spans="21:21" x14ac:dyDescent="0.3">
      <c r="U32" t="str">
        <f t="shared" si="1"/>
        <v/>
      </c>
    </row>
    <row r="33" spans="21:21" x14ac:dyDescent="0.3">
      <c r="U33" t="str">
        <f t="shared" si="1"/>
        <v/>
      </c>
    </row>
    <row r="34" spans="21:21" x14ac:dyDescent="0.3">
      <c r="U34" t="str">
        <f t="shared" si="1"/>
        <v/>
      </c>
    </row>
    <row r="35" spans="21:21" x14ac:dyDescent="0.3">
      <c r="U35" t="str">
        <f t="shared" si="1"/>
        <v/>
      </c>
    </row>
    <row r="36" spans="21:21" x14ac:dyDescent="0.3">
      <c r="U36" t="str">
        <f t="shared" si="1"/>
        <v/>
      </c>
    </row>
    <row r="37" spans="21:21" x14ac:dyDescent="0.3">
      <c r="U37" t="str">
        <f t="shared" si="1"/>
        <v/>
      </c>
    </row>
    <row r="38" spans="21:21" x14ac:dyDescent="0.3">
      <c r="U38" t="str">
        <f t="shared" si="1"/>
        <v/>
      </c>
    </row>
    <row r="39" spans="21:21" x14ac:dyDescent="0.3">
      <c r="U39" t="str">
        <f t="shared" si="1"/>
        <v/>
      </c>
    </row>
    <row r="40" spans="21:21" x14ac:dyDescent="0.3">
      <c r="U40" t="str">
        <f t="shared" si="1"/>
        <v/>
      </c>
    </row>
    <row r="41" spans="21:21" x14ac:dyDescent="0.3">
      <c r="U41" t="str">
        <f t="shared" si="1"/>
        <v/>
      </c>
    </row>
    <row r="42" spans="21:21" x14ac:dyDescent="0.3">
      <c r="U42" t="str">
        <f t="shared" si="1"/>
        <v/>
      </c>
    </row>
    <row r="43" spans="21:21" x14ac:dyDescent="0.3">
      <c r="U43" t="str">
        <f t="shared" si="1"/>
        <v/>
      </c>
    </row>
    <row r="44" spans="21:21" x14ac:dyDescent="0.3">
      <c r="U44" t="str">
        <f t="shared" si="1"/>
        <v/>
      </c>
    </row>
    <row r="45" spans="21:21" x14ac:dyDescent="0.3">
      <c r="U45" t="str">
        <f t="shared" si="1"/>
        <v/>
      </c>
    </row>
    <row r="46" spans="21:21" x14ac:dyDescent="0.3">
      <c r="U46" t="str">
        <f t="shared" si="1"/>
        <v/>
      </c>
    </row>
    <row r="47" spans="21:21" x14ac:dyDescent="0.3">
      <c r="U47" t="str">
        <f t="shared" si="1"/>
        <v/>
      </c>
    </row>
    <row r="48" spans="21:21" x14ac:dyDescent="0.3">
      <c r="U48" t="str">
        <f t="shared" si="1"/>
        <v/>
      </c>
    </row>
    <row r="49" spans="21:21" x14ac:dyDescent="0.3">
      <c r="U49" t="str">
        <f t="shared" si="1"/>
        <v/>
      </c>
    </row>
    <row r="50" spans="21:21" x14ac:dyDescent="0.3">
      <c r="U50" t="str">
        <f t="shared" si="1"/>
        <v/>
      </c>
    </row>
    <row r="51" spans="21:21" x14ac:dyDescent="0.3">
      <c r="U51" t="str">
        <f t="shared" si="1"/>
        <v/>
      </c>
    </row>
    <row r="52" spans="21:21" x14ac:dyDescent="0.3">
      <c r="U52" t="str">
        <f t="shared" si="1"/>
        <v/>
      </c>
    </row>
    <row r="53" spans="21:21" x14ac:dyDescent="0.3">
      <c r="U53" t="str">
        <f t="shared" si="1"/>
        <v/>
      </c>
    </row>
    <row r="54" spans="21:21" x14ac:dyDescent="0.3">
      <c r="U54" t="str">
        <f t="shared" si="1"/>
        <v/>
      </c>
    </row>
    <row r="55" spans="21:21" x14ac:dyDescent="0.3">
      <c r="U55" t="str">
        <f t="shared" si="1"/>
        <v/>
      </c>
    </row>
    <row r="56" spans="21:21" x14ac:dyDescent="0.3">
      <c r="U56" t="str">
        <f t="shared" si="1"/>
        <v/>
      </c>
    </row>
    <row r="57" spans="21:21" x14ac:dyDescent="0.3">
      <c r="U57" t="str">
        <f t="shared" si="1"/>
        <v/>
      </c>
    </row>
    <row r="58" spans="21:21" x14ac:dyDescent="0.3">
      <c r="U58" t="str">
        <f t="shared" si="1"/>
        <v/>
      </c>
    </row>
    <row r="59" spans="21:21" x14ac:dyDescent="0.3">
      <c r="U59" t="str">
        <f t="shared" si="1"/>
        <v/>
      </c>
    </row>
    <row r="60" spans="21:21" x14ac:dyDescent="0.3">
      <c r="U60" t="str">
        <f t="shared" ref="U60:U97" si="2">TRIM(H60)</f>
        <v/>
      </c>
    </row>
    <row r="61" spans="21:21" x14ac:dyDescent="0.3">
      <c r="U61" t="str">
        <f t="shared" si="2"/>
        <v/>
      </c>
    </row>
    <row r="62" spans="21:21" x14ac:dyDescent="0.3">
      <c r="U62" t="str">
        <f t="shared" si="2"/>
        <v/>
      </c>
    </row>
    <row r="63" spans="21:21" x14ac:dyDescent="0.3">
      <c r="U63" t="str">
        <f t="shared" si="2"/>
        <v/>
      </c>
    </row>
    <row r="64" spans="21:21" x14ac:dyDescent="0.3">
      <c r="U64" t="str">
        <f t="shared" si="2"/>
        <v/>
      </c>
    </row>
    <row r="65" spans="21:21" x14ac:dyDescent="0.3">
      <c r="U65" t="str">
        <f t="shared" si="2"/>
        <v/>
      </c>
    </row>
    <row r="66" spans="21:21" x14ac:dyDescent="0.3">
      <c r="U66" t="str">
        <f t="shared" si="2"/>
        <v/>
      </c>
    </row>
    <row r="67" spans="21:21" x14ac:dyDescent="0.3">
      <c r="U67" t="str">
        <f t="shared" si="2"/>
        <v/>
      </c>
    </row>
    <row r="68" spans="21:21" x14ac:dyDescent="0.3">
      <c r="U68" t="str">
        <f t="shared" si="2"/>
        <v/>
      </c>
    </row>
    <row r="69" spans="21:21" x14ac:dyDescent="0.3">
      <c r="U69" t="str">
        <f t="shared" si="2"/>
        <v/>
      </c>
    </row>
    <row r="70" spans="21:21" x14ac:dyDescent="0.3">
      <c r="U70" t="str">
        <f t="shared" si="2"/>
        <v/>
      </c>
    </row>
    <row r="71" spans="21:21" x14ac:dyDescent="0.3">
      <c r="U71" t="str">
        <f t="shared" si="2"/>
        <v/>
      </c>
    </row>
    <row r="72" spans="21:21" x14ac:dyDescent="0.3">
      <c r="U72" t="str">
        <f t="shared" si="2"/>
        <v/>
      </c>
    </row>
    <row r="73" spans="21:21" x14ac:dyDescent="0.3">
      <c r="U73" t="str">
        <f t="shared" si="2"/>
        <v/>
      </c>
    </row>
    <row r="74" spans="21:21" x14ac:dyDescent="0.3">
      <c r="U74" t="str">
        <f t="shared" si="2"/>
        <v/>
      </c>
    </row>
    <row r="75" spans="21:21" x14ac:dyDescent="0.3">
      <c r="U75" t="str">
        <f t="shared" si="2"/>
        <v/>
      </c>
    </row>
    <row r="76" spans="21:21" x14ac:dyDescent="0.3">
      <c r="U76" t="str">
        <f t="shared" si="2"/>
        <v/>
      </c>
    </row>
    <row r="77" spans="21:21" x14ac:dyDescent="0.3">
      <c r="U77" t="str">
        <f t="shared" si="2"/>
        <v/>
      </c>
    </row>
    <row r="78" spans="21:21" x14ac:dyDescent="0.3">
      <c r="U78" t="str">
        <f t="shared" si="2"/>
        <v/>
      </c>
    </row>
    <row r="79" spans="21:21" x14ac:dyDescent="0.3">
      <c r="U79" t="str">
        <f t="shared" si="2"/>
        <v/>
      </c>
    </row>
    <row r="80" spans="21:21" x14ac:dyDescent="0.3">
      <c r="U80" t="str">
        <f t="shared" si="2"/>
        <v/>
      </c>
    </row>
    <row r="81" spans="21:21" x14ac:dyDescent="0.3">
      <c r="U81" t="str">
        <f t="shared" si="2"/>
        <v/>
      </c>
    </row>
    <row r="82" spans="21:21" x14ac:dyDescent="0.3">
      <c r="U82" t="str">
        <f t="shared" si="2"/>
        <v/>
      </c>
    </row>
    <row r="83" spans="21:21" x14ac:dyDescent="0.3">
      <c r="U83" t="str">
        <f t="shared" si="2"/>
        <v/>
      </c>
    </row>
    <row r="84" spans="21:21" x14ac:dyDescent="0.3">
      <c r="U84" t="str">
        <f t="shared" si="2"/>
        <v/>
      </c>
    </row>
    <row r="85" spans="21:21" x14ac:dyDescent="0.3">
      <c r="U85" t="str">
        <f t="shared" si="2"/>
        <v/>
      </c>
    </row>
    <row r="86" spans="21:21" x14ac:dyDescent="0.3">
      <c r="U86" t="str">
        <f t="shared" si="2"/>
        <v/>
      </c>
    </row>
    <row r="87" spans="21:21" x14ac:dyDescent="0.3">
      <c r="U87" t="str">
        <f t="shared" si="2"/>
        <v/>
      </c>
    </row>
    <row r="88" spans="21:21" x14ac:dyDescent="0.3">
      <c r="U88" t="str">
        <f t="shared" si="2"/>
        <v/>
      </c>
    </row>
    <row r="89" spans="21:21" x14ac:dyDescent="0.3">
      <c r="U89" t="str">
        <f t="shared" si="2"/>
        <v/>
      </c>
    </row>
    <row r="90" spans="21:21" x14ac:dyDescent="0.3">
      <c r="U90" t="str">
        <f t="shared" si="2"/>
        <v/>
      </c>
    </row>
    <row r="91" spans="21:21" x14ac:dyDescent="0.3">
      <c r="U91" t="str">
        <f t="shared" si="2"/>
        <v/>
      </c>
    </row>
    <row r="92" spans="21:21" x14ac:dyDescent="0.3">
      <c r="U92" t="str">
        <f t="shared" si="2"/>
        <v/>
      </c>
    </row>
    <row r="93" spans="21:21" x14ac:dyDescent="0.3">
      <c r="U93" t="str">
        <f t="shared" si="2"/>
        <v/>
      </c>
    </row>
    <row r="94" spans="21:21" x14ac:dyDescent="0.3">
      <c r="U94" t="str">
        <f t="shared" si="2"/>
        <v/>
      </c>
    </row>
    <row r="95" spans="21:21" x14ac:dyDescent="0.3">
      <c r="U95" t="str">
        <f t="shared" si="2"/>
        <v/>
      </c>
    </row>
    <row r="96" spans="21:21" x14ac:dyDescent="0.3">
      <c r="U96" t="str">
        <f t="shared" si="2"/>
        <v/>
      </c>
    </row>
    <row r="97" spans="21:21" x14ac:dyDescent="0.3">
      <c r="U97" t="str">
        <f t="shared" si="2"/>
        <v/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046F9-069D-4013-A2F1-1A0A8AD1F140}">
  <sheetPr codeName="Planilha11"/>
  <dimension ref="A1:P2976"/>
  <sheetViews>
    <sheetView workbookViewId="0">
      <selection activeCell="A2" sqref="A2:J2"/>
    </sheetView>
  </sheetViews>
  <sheetFormatPr defaultRowHeight="14.4" x14ac:dyDescent="0.3"/>
  <cols>
    <col min="1" max="1" width="32.21875" customWidth="1"/>
    <col min="2" max="2" width="11" bestFit="1" customWidth="1"/>
    <col min="3" max="3" width="12.33203125" bestFit="1" customWidth="1"/>
    <col min="4" max="4" width="26.77734375" customWidth="1"/>
    <col min="6" max="6" width="11.88671875" style="1" bestFit="1" customWidth="1"/>
    <col min="7" max="7" width="12.44140625" style="1" bestFit="1" customWidth="1"/>
    <col min="8" max="8" width="13.21875" style="3" bestFit="1" customWidth="1"/>
    <col min="9" max="9" width="13.21875" style="2" bestFit="1" customWidth="1"/>
    <col min="10" max="11" width="13.21875" customWidth="1"/>
    <col min="12" max="12" width="12.33203125" bestFit="1" customWidth="1"/>
    <col min="13" max="13" width="4.77734375" customWidth="1"/>
    <col min="15" max="15" width="12.77734375" bestFit="1" customWidth="1"/>
    <col min="16" max="16" width="10.33203125" bestFit="1" customWidth="1"/>
  </cols>
  <sheetData>
    <row r="1" spans="1:16" x14ac:dyDescent="0.3">
      <c r="A1" t="s">
        <v>14</v>
      </c>
      <c r="B1" t="s">
        <v>0</v>
      </c>
      <c r="C1" t="s">
        <v>1</v>
      </c>
      <c r="D1" t="s">
        <v>2</v>
      </c>
      <c r="E1" t="s">
        <v>4</v>
      </c>
      <c r="F1" t="s">
        <v>3</v>
      </c>
      <c r="G1" t="s">
        <v>11</v>
      </c>
      <c r="H1" t="s">
        <v>13</v>
      </c>
      <c r="I1" t="s">
        <v>5</v>
      </c>
      <c r="J1" t="s">
        <v>7</v>
      </c>
      <c r="L1" t="s">
        <v>12</v>
      </c>
      <c r="M1">
        <f>SUM(TempMovSaida!E2:E1048576)</f>
        <v>0</v>
      </c>
      <c r="O1" t="s">
        <v>11</v>
      </c>
      <c r="P1" s="5">
        <f>SUM(TempMovSaida!G2:G1048576)</f>
        <v>0</v>
      </c>
    </row>
    <row r="11" spans="1:16" x14ac:dyDescent="0.3">
      <c r="C11" t="str">
        <f>IFERROR(IF(B11="","",VLOOKUP(B11,CadProd!$A:$B,2,0)),"")</f>
        <v/>
      </c>
      <c r="D11" t="str">
        <f>IFERROR(IF(B11="","",VLOOKUP(B11,CadProd!$A:$C,3,0)),"")</f>
        <v/>
      </c>
      <c r="G11" s="1" t="str">
        <f t="shared" ref="G11:G65" si="0">IFERROR(IF(B11="","",F11*E11),"")</f>
        <v/>
      </c>
    </row>
    <row r="12" spans="1:16" x14ac:dyDescent="0.3">
      <c r="C12" t="str">
        <f>IFERROR(IF(B12="","",VLOOKUP(B12,CadProd!$A:$B,2,0)),"")</f>
        <v/>
      </c>
      <c r="D12" t="str">
        <f>IFERROR(IF(B12="","",VLOOKUP(B12,CadProd!$A:$C,3,0)),"")</f>
        <v/>
      </c>
      <c r="G12" s="1" t="str">
        <f t="shared" si="0"/>
        <v/>
      </c>
    </row>
    <row r="13" spans="1:16" x14ac:dyDescent="0.3">
      <c r="C13" t="str">
        <f>IFERROR(IF(B13="","",VLOOKUP(B13,CadProd!$A:$B,2,0)),"")</f>
        <v/>
      </c>
      <c r="D13" t="str">
        <f>IFERROR(IF(B13="","",VLOOKUP(B13,CadProd!$A:$C,3,0)),"")</f>
        <v/>
      </c>
      <c r="G13" s="1" t="str">
        <f t="shared" si="0"/>
        <v/>
      </c>
    </row>
    <row r="14" spans="1:16" x14ac:dyDescent="0.3">
      <c r="C14" t="str">
        <f>IFERROR(IF(B14="","",VLOOKUP(B14,CadProd!$A:$B,2,0)),"")</f>
        <v/>
      </c>
      <c r="D14" t="str">
        <f>IFERROR(IF(B14="","",VLOOKUP(B14,CadProd!$A:$C,3,0)),"")</f>
        <v/>
      </c>
      <c r="G14" s="1" t="str">
        <f t="shared" si="0"/>
        <v/>
      </c>
    </row>
    <row r="15" spans="1:16" x14ac:dyDescent="0.3">
      <c r="C15" t="str">
        <f>IFERROR(IF(B15="","",VLOOKUP(B15,CadProd!$A:$B,2,0)),"")</f>
        <v/>
      </c>
      <c r="D15" t="str">
        <f>IFERROR(IF(B15="","",VLOOKUP(B15,CadProd!$A:$C,3,0)),"")</f>
        <v/>
      </c>
      <c r="G15" s="1" t="str">
        <f t="shared" si="0"/>
        <v/>
      </c>
    </row>
    <row r="16" spans="1:16" x14ac:dyDescent="0.3">
      <c r="C16" t="str">
        <f>IFERROR(IF(B16="","",VLOOKUP(B16,CadProd!$A:$B,2,0)),"")</f>
        <v/>
      </c>
      <c r="D16" t="str">
        <f>IFERROR(IF(B16="","",VLOOKUP(B16,CadProd!$A:$C,3,0)),"")</f>
        <v/>
      </c>
      <c r="G16" s="1" t="str">
        <f t="shared" si="0"/>
        <v/>
      </c>
    </row>
    <row r="17" spans="3:7" x14ac:dyDescent="0.3">
      <c r="C17" t="str">
        <f>IFERROR(IF(B17="","",VLOOKUP(B17,CadProd!$A:$B,2,0)),"")</f>
        <v/>
      </c>
      <c r="D17" t="str">
        <f>IFERROR(IF(B17="","",VLOOKUP(B17,CadProd!$A:$C,3,0)),"")</f>
        <v/>
      </c>
      <c r="G17" s="1" t="str">
        <f t="shared" si="0"/>
        <v/>
      </c>
    </row>
    <row r="18" spans="3:7" x14ac:dyDescent="0.3">
      <c r="C18" t="str">
        <f>IFERROR(IF(B18="","",VLOOKUP(B18,CadProd!$A:$B,2,0)),"")</f>
        <v/>
      </c>
      <c r="D18" t="str">
        <f>IFERROR(IF(B18="","",VLOOKUP(B18,CadProd!$A:$C,3,0)),"")</f>
        <v/>
      </c>
      <c r="G18" s="1" t="str">
        <f t="shared" si="0"/>
        <v/>
      </c>
    </row>
    <row r="19" spans="3:7" x14ac:dyDescent="0.3">
      <c r="C19" t="str">
        <f>IFERROR(IF(B19="","",VLOOKUP(B19,CadProd!$A:$B,2,0)),"")</f>
        <v/>
      </c>
      <c r="D19" t="str">
        <f>IFERROR(IF(B19="","",VLOOKUP(B19,CadProd!$A:$C,3,0)),"")</f>
        <v/>
      </c>
      <c r="G19" s="1" t="str">
        <f t="shared" si="0"/>
        <v/>
      </c>
    </row>
    <row r="20" spans="3:7" x14ac:dyDescent="0.3">
      <c r="C20" t="str">
        <f>IFERROR(IF(B20="","",VLOOKUP(B20,CadProd!$A:$B,2,0)),"")</f>
        <v/>
      </c>
      <c r="D20" t="str">
        <f>IFERROR(IF(B20="","",VLOOKUP(B20,CadProd!$A:$C,3,0)),"")</f>
        <v/>
      </c>
      <c r="G20" s="1" t="str">
        <f t="shared" si="0"/>
        <v/>
      </c>
    </row>
    <row r="21" spans="3:7" x14ac:dyDescent="0.3">
      <c r="C21" t="str">
        <f>IFERROR(IF(B21="","",VLOOKUP(B21,CadProd!$A:$B,2,0)),"")</f>
        <v/>
      </c>
      <c r="D21" t="str">
        <f>IFERROR(IF(B21="","",VLOOKUP(B21,CadProd!$A:$C,3,0)),"")</f>
        <v/>
      </c>
      <c r="G21" s="1" t="str">
        <f t="shared" si="0"/>
        <v/>
      </c>
    </row>
    <row r="22" spans="3:7" x14ac:dyDescent="0.3">
      <c r="C22" t="str">
        <f>IFERROR(IF(B22="","",VLOOKUP(B22,CadProd!$A:$B,2,0)),"")</f>
        <v/>
      </c>
      <c r="D22" t="str">
        <f>IFERROR(IF(B22="","",VLOOKUP(B22,CadProd!$A:$C,3,0)),"")</f>
        <v/>
      </c>
      <c r="G22" s="1" t="str">
        <f t="shared" si="0"/>
        <v/>
      </c>
    </row>
    <row r="23" spans="3:7" x14ac:dyDescent="0.3">
      <c r="C23" t="str">
        <f>IFERROR(IF(B23="","",VLOOKUP(B23,CadProd!$A:$B,2,0)),"")</f>
        <v/>
      </c>
      <c r="D23" t="str">
        <f>IFERROR(IF(B23="","",VLOOKUP(B23,CadProd!$A:$C,3,0)),"")</f>
        <v/>
      </c>
      <c r="G23" s="1" t="str">
        <f t="shared" si="0"/>
        <v/>
      </c>
    </row>
    <row r="24" spans="3:7" x14ac:dyDescent="0.3">
      <c r="C24" t="str">
        <f>IFERROR(IF(B24="","",VLOOKUP(B24,CadProd!$A:$B,2,0)),"")</f>
        <v/>
      </c>
      <c r="D24" t="str">
        <f>IFERROR(IF(B24="","",VLOOKUP(B24,CadProd!$A:$C,3,0)),"")</f>
        <v/>
      </c>
      <c r="G24" s="1" t="str">
        <f t="shared" si="0"/>
        <v/>
      </c>
    </row>
    <row r="25" spans="3:7" x14ac:dyDescent="0.3">
      <c r="C25" t="str">
        <f>IFERROR(IF(B25="","",VLOOKUP(B25,CadProd!$A:$B,2,0)),"")</f>
        <v/>
      </c>
      <c r="D25" t="str">
        <f>IFERROR(IF(B25="","",VLOOKUP(B25,CadProd!$A:$C,3,0)),"")</f>
        <v/>
      </c>
      <c r="G25" s="1" t="str">
        <f t="shared" si="0"/>
        <v/>
      </c>
    </row>
    <row r="26" spans="3:7" x14ac:dyDescent="0.3">
      <c r="C26" t="str">
        <f>IFERROR(IF(B26="","",VLOOKUP(B26,CadProd!$A:$B,2,0)),"")</f>
        <v/>
      </c>
      <c r="D26" t="str">
        <f>IFERROR(IF(B26="","",VLOOKUP(B26,CadProd!$A:$C,3,0)),"")</f>
        <v/>
      </c>
      <c r="G26" s="1" t="str">
        <f t="shared" si="0"/>
        <v/>
      </c>
    </row>
    <row r="27" spans="3:7" x14ac:dyDescent="0.3">
      <c r="C27" t="str">
        <f>IFERROR(IF(B27="","",VLOOKUP(B27,CadProd!$A:$B,2,0)),"")</f>
        <v/>
      </c>
      <c r="D27" t="str">
        <f>IFERROR(IF(B27="","",VLOOKUP(B27,CadProd!$A:$C,3,0)),"")</f>
        <v/>
      </c>
      <c r="G27" s="1" t="str">
        <f t="shared" si="0"/>
        <v/>
      </c>
    </row>
    <row r="28" spans="3:7" x14ac:dyDescent="0.3">
      <c r="C28" t="str">
        <f>IFERROR(IF(B28="","",VLOOKUP(B28,CadProd!$A:$B,2,0)),"")</f>
        <v/>
      </c>
      <c r="D28" t="str">
        <f>IFERROR(IF(B28="","",VLOOKUP(B28,CadProd!$A:$C,3,0)),"")</f>
        <v/>
      </c>
      <c r="G28" s="1" t="str">
        <f t="shared" si="0"/>
        <v/>
      </c>
    </row>
    <row r="29" spans="3:7" x14ac:dyDescent="0.3">
      <c r="C29" t="str">
        <f>IFERROR(IF(B29="","",VLOOKUP(B29,CadProd!$A:$B,2,0)),"")</f>
        <v/>
      </c>
      <c r="D29" t="str">
        <f>IFERROR(IF(B29="","",VLOOKUP(B29,CadProd!$A:$C,3,0)),"")</f>
        <v/>
      </c>
      <c r="G29" s="1" t="str">
        <f t="shared" si="0"/>
        <v/>
      </c>
    </row>
    <row r="30" spans="3:7" x14ac:dyDescent="0.3">
      <c r="C30" t="str">
        <f>IFERROR(IF(B30="","",VLOOKUP(B30,CadProd!$A:$B,2,0)),"")</f>
        <v/>
      </c>
      <c r="D30" t="str">
        <f>IFERROR(IF(B30="","",VLOOKUP(B30,CadProd!$A:$C,3,0)),"")</f>
        <v/>
      </c>
      <c r="G30" s="1" t="str">
        <f t="shared" si="0"/>
        <v/>
      </c>
    </row>
    <row r="31" spans="3:7" x14ac:dyDescent="0.3">
      <c r="C31" t="str">
        <f>IFERROR(IF(B31="","",VLOOKUP(B31,CadProd!$A:$B,2,0)),"")</f>
        <v/>
      </c>
      <c r="D31" t="str">
        <f>IFERROR(IF(B31="","",VLOOKUP(B31,CadProd!$A:$C,3,0)),"")</f>
        <v/>
      </c>
      <c r="G31" s="1" t="str">
        <f t="shared" si="0"/>
        <v/>
      </c>
    </row>
    <row r="32" spans="3:7" x14ac:dyDescent="0.3">
      <c r="C32" t="str">
        <f>IFERROR(IF(B32="","",VLOOKUP(B32,CadProd!$A:$B,2,0)),"")</f>
        <v/>
      </c>
      <c r="D32" t="str">
        <f>IFERROR(IF(B32="","",VLOOKUP(B32,CadProd!$A:$C,3,0)),"")</f>
        <v/>
      </c>
      <c r="G32" s="1" t="str">
        <f t="shared" si="0"/>
        <v/>
      </c>
    </row>
    <row r="33" spans="3:7" x14ac:dyDescent="0.3">
      <c r="C33" t="str">
        <f>IFERROR(IF(B33="","",VLOOKUP(B33,CadProd!$A:$B,2,0)),"")</f>
        <v/>
      </c>
      <c r="D33" t="str">
        <f>IFERROR(IF(B33="","",VLOOKUP(B33,CadProd!$A:$C,3,0)),"")</f>
        <v/>
      </c>
      <c r="G33" s="1" t="str">
        <f t="shared" si="0"/>
        <v/>
      </c>
    </row>
    <row r="34" spans="3:7" x14ac:dyDescent="0.3">
      <c r="C34" t="str">
        <f>IFERROR(IF(B34="","",VLOOKUP(B34,CadProd!$A:$B,2,0)),"")</f>
        <v/>
      </c>
      <c r="D34" t="str">
        <f>IFERROR(IF(B34="","",VLOOKUP(B34,CadProd!$A:$C,3,0)),"")</f>
        <v/>
      </c>
      <c r="G34" s="1" t="str">
        <f t="shared" si="0"/>
        <v/>
      </c>
    </row>
    <row r="35" spans="3:7" x14ac:dyDescent="0.3">
      <c r="C35" t="str">
        <f>IFERROR(IF(B35="","",VLOOKUP(B35,CadProd!$A:$B,2,0)),"")</f>
        <v/>
      </c>
      <c r="D35" t="str">
        <f>IFERROR(IF(B35="","",VLOOKUP(B35,CadProd!$A:$C,3,0)),"")</f>
        <v/>
      </c>
      <c r="G35" s="1" t="str">
        <f t="shared" si="0"/>
        <v/>
      </c>
    </row>
    <row r="36" spans="3:7" x14ac:dyDescent="0.3">
      <c r="C36" t="str">
        <f>IFERROR(IF(B36="","",VLOOKUP(B36,CadProd!$A:$B,2,0)),"")</f>
        <v/>
      </c>
      <c r="D36" t="str">
        <f>IFERROR(IF(B36="","",VLOOKUP(B36,CadProd!$A:$C,3,0)),"")</f>
        <v/>
      </c>
      <c r="G36" s="1" t="str">
        <f t="shared" si="0"/>
        <v/>
      </c>
    </row>
    <row r="37" spans="3:7" x14ac:dyDescent="0.3">
      <c r="C37" t="str">
        <f>IFERROR(IF(B37="","",VLOOKUP(B37,CadProd!$A:$B,2,0)),"")</f>
        <v/>
      </c>
      <c r="D37" t="str">
        <f>IFERROR(IF(B37="","",VLOOKUP(B37,CadProd!$A:$C,3,0)),"")</f>
        <v/>
      </c>
      <c r="G37" s="1" t="str">
        <f t="shared" si="0"/>
        <v/>
      </c>
    </row>
    <row r="38" spans="3:7" x14ac:dyDescent="0.3">
      <c r="C38" t="str">
        <f>IFERROR(IF(B38="","",VLOOKUP(B38,CadProd!$A:$B,2,0)),"")</f>
        <v/>
      </c>
      <c r="D38" t="str">
        <f>IFERROR(IF(B38="","",VLOOKUP(B38,CadProd!$A:$C,3,0)),"")</f>
        <v/>
      </c>
      <c r="G38" s="1" t="str">
        <f t="shared" si="0"/>
        <v/>
      </c>
    </row>
    <row r="39" spans="3:7" x14ac:dyDescent="0.3">
      <c r="C39" t="str">
        <f>IFERROR(IF(B39="","",VLOOKUP(B39,CadProd!$A:$B,2,0)),"")</f>
        <v/>
      </c>
      <c r="D39" t="str">
        <f>IFERROR(IF(B39="","",VLOOKUP(B39,CadProd!$A:$C,3,0)),"")</f>
        <v/>
      </c>
      <c r="G39" s="1" t="str">
        <f t="shared" si="0"/>
        <v/>
      </c>
    </row>
    <row r="40" spans="3:7" x14ac:dyDescent="0.3">
      <c r="C40" t="str">
        <f>IFERROR(IF(B40="","",VLOOKUP(B40,CadProd!$A:$B,2,0)),"")</f>
        <v/>
      </c>
      <c r="D40" t="str">
        <f>IFERROR(IF(B40="","",VLOOKUP(B40,CadProd!$A:$C,3,0)),"")</f>
        <v/>
      </c>
      <c r="G40" s="1" t="str">
        <f t="shared" si="0"/>
        <v/>
      </c>
    </row>
    <row r="41" spans="3:7" x14ac:dyDescent="0.3">
      <c r="C41" t="str">
        <f>IFERROR(IF(B41="","",VLOOKUP(B41,CadProd!$A:$B,2,0)),"")</f>
        <v/>
      </c>
      <c r="D41" t="str">
        <f>IFERROR(IF(B41="","",VLOOKUP(B41,CadProd!$A:$C,3,0)),"")</f>
        <v/>
      </c>
      <c r="G41" s="1" t="str">
        <f t="shared" si="0"/>
        <v/>
      </c>
    </row>
    <row r="42" spans="3:7" x14ac:dyDescent="0.3">
      <c r="C42" t="str">
        <f>IFERROR(IF(B42="","",VLOOKUP(B42,CadProd!$A:$B,2,0)),"")</f>
        <v/>
      </c>
      <c r="D42" t="str">
        <f>IFERROR(IF(B42="","",VLOOKUP(B42,CadProd!$A:$C,3,0)),"")</f>
        <v/>
      </c>
      <c r="G42" s="1" t="str">
        <f t="shared" si="0"/>
        <v/>
      </c>
    </row>
    <row r="43" spans="3:7" x14ac:dyDescent="0.3">
      <c r="C43" t="str">
        <f>IFERROR(IF(B43="","",VLOOKUP(B43,CadProd!$A:$B,2,0)),"")</f>
        <v/>
      </c>
      <c r="D43" t="str">
        <f>IFERROR(IF(B43="","",VLOOKUP(B43,CadProd!$A:$C,3,0)),"")</f>
        <v/>
      </c>
      <c r="G43" s="1" t="str">
        <f t="shared" si="0"/>
        <v/>
      </c>
    </row>
    <row r="44" spans="3:7" x14ac:dyDescent="0.3">
      <c r="C44" t="str">
        <f>IFERROR(IF(B44="","",VLOOKUP(B44,CadProd!$A:$B,2,0)),"")</f>
        <v/>
      </c>
      <c r="D44" t="str">
        <f>IFERROR(IF(B44="","",VLOOKUP(B44,CadProd!$A:$C,3,0)),"")</f>
        <v/>
      </c>
      <c r="G44" s="1" t="str">
        <f t="shared" si="0"/>
        <v/>
      </c>
    </row>
    <row r="45" spans="3:7" x14ac:dyDescent="0.3">
      <c r="C45" t="str">
        <f>IFERROR(IF(B45="","",VLOOKUP(B45,CadProd!$A:$B,2,0)),"")</f>
        <v/>
      </c>
      <c r="D45" t="str">
        <f>IFERROR(IF(B45="","",VLOOKUP(B45,CadProd!$A:$C,3,0)),"")</f>
        <v/>
      </c>
      <c r="G45" s="1" t="str">
        <f t="shared" si="0"/>
        <v/>
      </c>
    </row>
    <row r="46" spans="3:7" x14ac:dyDescent="0.3">
      <c r="C46" t="str">
        <f>IFERROR(IF(B46="","",VLOOKUP(B46,CadProd!$A:$B,2,0)),"")</f>
        <v/>
      </c>
      <c r="D46" t="str">
        <f>IFERROR(IF(B46="","",VLOOKUP(B46,CadProd!$A:$C,3,0)),"")</f>
        <v/>
      </c>
      <c r="G46" s="1" t="str">
        <f t="shared" si="0"/>
        <v/>
      </c>
    </row>
    <row r="47" spans="3:7" x14ac:dyDescent="0.3">
      <c r="C47" t="str">
        <f>IFERROR(IF(B47="","",VLOOKUP(B47,CadProd!$A:$B,2,0)),"")</f>
        <v/>
      </c>
      <c r="D47" t="str">
        <f>IFERROR(IF(B47="","",VLOOKUP(B47,CadProd!$A:$C,3,0)),"")</f>
        <v/>
      </c>
      <c r="G47" s="1" t="str">
        <f t="shared" si="0"/>
        <v/>
      </c>
    </row>
    <row r="48" spans="3:7" x14ac:dyDescent="0.3">
      <c r="C48" t="str">
        <f>IFERROR(IF(B48="","",VLOOKUP(B48,CadProd!$A:$B,2,0)),"")</f>
        <v/>
      </c>
      <c r="D48" t="str">
        <f>IFERROR(IF(B48="","",VLOOKUP(B48,CadProd!$A:$C,3,0)),"")</f>
        <v/>
      </c>
      <c r="G48" s="1" t="str">
        <f t="shared" si="0"/>
        <v/>
      </c>
    </row>
    <row r="49" spans="3:7" x14ac:dyDescent="0.3">
      <c r="C49" t="str">
        <f>IFERROR(IF(B49="","",VLOOKUP(B49,CadProd!$A:$B,2,0)),"")</f>
        <v/>
      </c>
      <c r="D49" t="str">
        <f>IFERROR(IF(B49="","",VLOOKUP(B49,CadProd!$A:$C,3,0)),"")</f>
        <v/>
      </c>
      <c r="G49" s="1" t="str">
        <f t="shared" si="0"/>
        <v/>
      </c>
    </row>
    <row r="50" spans="3:7" x14ac:dyDescent="0.3">
      <c r="C50" t="str">
        <f>IFERROR(IF(B50="","",VLOOKUP(B50,CadProd!$A:$B,2,0)),"")</f>
        <v/>
      </c>
      <c r="D50" t="str">
        <f>IFERROR(IF(B50="","",VLOOKUP(B50,CadProd!$A:$C,3,0)),"")</f>
        <v/>
      </c>
      <c r="G50" s="1" t="str">
        <f t="shared" si="0"/>
        <v/>
      </c>
    </row>
    <row r="51" spans="3:7" x14ac:dyDescent="0.3">
      <c r="C51" t="str">
        <f>IFERROR(IF(B51="","",VLOOKUP(B51,CadProd!$A:$B,2,0)),"")</f>
        <v/>
      </c>
      <c r="D51" t="str">
        <f>IFERROR(IF(B51="","",VLOOKUP(B51,CadProd!$A:$C,3,0)),"")</f>
        <v/>
      </c>
      <c r="G51" s="1" t="str">
        <f t="shared" si="0"/>
        <v/>
      </c>
    </row>
    <row r="52" spans="3:7" x14ac:dyDescent="0.3">
      <c r="C52" t="str">
        <f>IFERROR(IF(B52="","",VLOOKUP(B52,CadProd!$A:$B,2,0)),"")</f>
        <v/>
      </c>
      <c r="D52" t="str">
        <f>IFERROR(IF(B52="","",VLOOKUP(B52,CadProd!$A:$C,3,0)),"")</f>
        <v/>
      </c>
      <c r="G52" s="1" t="str">
        <f t="shared" si="0"/>
        <v/>
      </c>
    </row>
    <row r="53" spans="3:7" x14ac:dyDescent="0.3">
      <c r="C53" t="str">
        <f>IFERROR(IF(B53="","",VLOOKUP(B53,CadProd!$A:$B,2,0)),"")</f>
        <v/>
      </c>
      <c r="D53" t="str">
        <f>IFERROR(IF(B53="","",VLOOKUP(B53,CadProd!$A:$C,3,0)),"")</f>
        <v/>
      </c>
      <c r="G53" s="1" t="str">
        <f t="shared" si="0"/>
        <v/>
      </c>
    </row>
    <row r="54" spans="3:7" x14ac:dyDescent="0.3">
      <c r="C54" t="str">
        <f>IFERROR(IF(B54="","",VLOOKUP(B54,CadProd!$A:$B,2,0)),"")</f>
        <v/>
      </c>
      <c r="D54" t="str">
        <f>IFERROR(IF(B54="","",VLOOKUP(B54,CadProd!$A:$C,3,0)),"")</f>
        <v/>
      </c>
      <c r="G54" s="1" t="str">
        <f t="shared" si="0"/>
        <v/>
      </c>
    </row>
    <row r="55" spans="3:7" x14ac:dyDescent="0.3">
      <c r="C55" t="str">
        <f>IFERROR(IF(B55="","",VLOOKUP(B55,CadProd!$A:$B,2,0)),"")</f>
        <v/>
      </c>
      <c r="D55" t="str">
        <f>IFERROR(IF(B55="","",VLOOKUP(B55,CadProd!$A:$C,3,0)),"")</f>
        <v/>
      </c>
      <c r="G55" s="1" t="str">
        <f t="shared" si="0"/>
        <v/>
      </c>
    </row>
    <row r="56" spans="3:7" x14ac:dyDescent="0.3">
      <c r="C56" t="str">
        <f>IFERROR(IF(B56="","",VLOOKUP(B56,CadProd!$A:$B,2,0)),"")</f>
        <v/>
      </c>
      <c r="D56" t="str">
        <f>IFERROR(IF(B56="","",VLOOKUP(B56,CadProd!$A:$C,3,0)),"")</f>
        <v/>
      </c>
      <c r="G56" s="1" t="str">
        <f t="shared" si="0"/>
        <v/>
      </c>
    </row>
    <row r="57" spans="3:7" x14ac:dyDescent="0.3">
      <c r="C57" t="str">
        <f>IFERROR(IF(B57="","",VLOOKUP(B57,CadProd!$A:$B,2,0)),"")</f>
        <v/>
      </c>
      <c r="D57" t="str">
        <f>IFERROR(IF(B57="","",VLOOKUP(B57,CadProd!$A:$C,3,0)),"")</f>
        <v/>
      </c>
      <c r="G57" s="1" t="str">
        <f t="shared" si="0"/>
        <v/>
      </c>
    </row>
    <row r="58" spans="3:7" x14ac:dyDescent="0.3">
      <c r="C58" t="str">
        <f>IFERROR(IF(B58="","",VLOOKUP(B58,CadProd!$A:$B,2,0)),"")</f>
        <v/>
      </c>
      <c r="D58" t="str">
        <f>IFERROR(IF(B58="","",VLOOKUP(B58,CadProd!$A:$C,3,0)),"")</f>
        <v/>
      </c>
      <c r="G58" s="1" t="str">
        <f t="shared" si="0"/>
        <v/>
      </c>
    </row>
    <row r="59" spans="3:7" x14ac:dyDescent="0.3">
      <c r="C59" t="str">
        <f>IFERROR(IF(B59="","",VLOOKUP(B59,CadProd!$A:$B,2,0)),"")</f>
        <v/>
      </c>
      <c r="D59" t="str">
        <f>IFERROR(IF(B59="","",VLOOKUP(B59,CadProd!$A:$C,3,0)),"")</f>
        <v/>
      </c>
      <c r="G59" s="1" t="str">
        <f t="shared" si="0"/>
        <v/>
      </c>
    </row>
    <row r="60" spans="3:7" x14ac:dyDescent="0.3">
      <c r="C60" t="str">
        <f>IFERROR(IF(B60="","",VLOOKUP(B60,CadProd!$A:$B,2,0)),"")</f>
        <v/>
      </c>
      <c r="D60" t="str">
        <f>IFERROR(IF(B60="","",VLOOKUP(B60,CadProd!$A:$C,3,0)),"")</f>
        <v/>
      </c>
      <c r="G60" s="1" t="str">
        <f t="shared" si="0"/>
        <v/>
      </c>
    </row>
    <row r="61" spans="3:7" x14ac:dyDescent="0.3">
      <c r="C61" t="str">
        <f>IFERROR(IF(B61="","",VLOOKUP(B61,CadProd!$A:$B,2,0)),"")</f>
        <v/>
      </c>
      <c r="D61" t="str">
        <f>IFERROR(IF(B61="","",VLOOKUP(B61,CadProd!$A:$C,3,0)),"")</f>
        <v/>
      </c>
      <c r="G61" s="1" t="str">
        <f t="shared" si="0"/>
        <v/>
      </c>
    </row>
    <row r="62" spans="3:7" x14ac:dyDescent="0.3">
      <c r="C62" t="str">
        <f>IFERROR(IF(B62="","",VLOOKUP(B62,CadProd!$A:$B,2,0)),"")</f>
        <v/>
      </c>
      <c r="D62" t="str">
        <f>IFERROR(IF(B62="","",VLOOKUP(B62,CadProd!$A:$C,3,0)),"")</f>
        <v/>
      </c>
      <c r="G62" s="1" t="str">
        <f t="shared" si="0"/>
        <v/>
      </c>
    </row>
    <row r="63" spans="3:7" x14ac:dyDescent="0.3">
      <c r="C63" t="str">
        <f>IFERROR(IF(B63="","",VLOOKUP(B63,CadProd!$A:$B,2,0)),"")</f>
        <v/>
      </c>
      <c r="D63" t="str">
        <f>IFERROR(IF(B63="","",VLOOKUP(B63,CadProd!$A:$C,3,0)),"")</f>
        <v/>
      </c>
      <c r="G63" s="1" t="str">
        <f t="shared" si="0"/>
        <v/>
      </c>
    </row>
    <row r="64" spans="3:7" x14ac:dyDescent="0.3">
      <c r="C64" t="str">
        <f>IFERROR(IF(B64="","",VLOOKUP(B64,CadProd!$A:$B,2,0)),"")</f>
        <v/>
      </c>
      <c r="D64" t="str">
        <f>IFERROR(IF(B64="","",VLOOKUP(B64,CadProd!$A:$C,3,0)),"")</f>
        <v/>
      </c>
      <c r="G64" s="1" t="str">
        <f t="shared" si="0"/>
        <v/>
      </c>
    </row>
    <row r="65" spans="3:7" x14ac:dyDescent="0.3">
      <c r="C65" t="str">
        <f>IFERROR(IF(B65="","",VLOOKUP(B65,CadProd!$A:$B,2,0)),"")</f>
        <v/>
      </c>
      <c r="D65" t="str">
        <f>IFERROR(IF(B65="","",VLOOKUP(B65,CadProd!$A:$C,3,0)),"")</f>
        <v/>
      </c>
      <c r="G65" s="1" t="str">
        <f t="shared" si="0"/>
        <v/>
      </c>
    </row>
    <row r="66" spans="3:7" x14ac:dyDescent="0.3">
      <c r="C66" t="str">
        <f>IFERROR(IF(B66="","",VLOOKUP(B66,CadProd!$A:$B,2,0)),"")</f>
        <v/>
      </c>
      <c r="D66" t="str">
        <f>IFERROR(IF(B66="","",VLOOKUP(B66,CadProd!$A:$C,3,0)),"")</f>
        <v/>
      </c>
      <c r="G66" s="1" t="str">
        <f t="shared" ref="G66:G129" si="1">IFERROR(IF(B66="","",F66*E66),"")</f>
        <v/>
      </c>
    </row>
    <row r="67" spans="3:7" x14ac:dyDescent="0.3">
      <c r="C67" t="str">
        <f>IFERROR(IF(B67="","",VLOOKUP(B67,CadProd!$A:$B,2,0)),"")</f>
        <v/>
      </c>
      <c r="D67" t="str">
        <f>IFERROR(IF(B67="","",VLOOKUP(B67,CadProd!$A:$C,3,0)),"")</f>
        <v/>
      </c>
      <c r="G67" s="1" t="str">
        <f t="shared" si="1"/>
        <v/>
      </c>
    </row>
    <row r="68" spans="3:7" x14ac:dyDescent="0.3">
      <c r="C68" t="str">
        <f>IFERROR(IF(B68="","",VLOOKUP(B68,CadProd!$A:$B,2,0)),"")</f>
        <v/>
      </c>
      <c r="D68" t="str">
        <f>IFERROR(IF(B68="","",VLOOKUP(B68,CadProd!$A:$C,3,0)),"")</f>
        <v/>
      </c>
      <c r="G68" s="1" t="str">
        <f t="shared" si="1"/>
        <v/>
      </c>
    </row>
    <row r="69" spans="3:7" x14ac:dyDescent="0.3">
      <c r="C69" t="str">
        <f>IFERROR(IF(B69="","",VLOOKUP(B69,CadProd!$A:$B,2,0)),"")</f>
        <v/>
      </c>
      <c r="D69" t="str">
        <f>IFERROR(IF(B69="","",VLOOKUP(B69,CadProd!$A:$C,3,0)),"")</f>
        <v/>
      </c>
      <c r="G69" s="1" t="str">
        <f t="shared" si="1"/>
        <v/>
      </c>
    </row>
    <row r="70" spans="3:7" x14ac:dyDescent="0.3">
      <c r="C70" t="str">
        <f>IFERROR(IF(B70="","",VLOOKUP(B70,CadProd!$A:$B,2,0)),"")</f>
        <v/>
      </c>
      <c r="D70" t="str">
        <f>IFERROR(IF(B70="","",VLOOKUP(B70,CadProd!$A:$C,3,0)),"")</f>
        <v/>
      </c>
      <c r="G70" s="1" t="str">
        <f t="shared" si="1"/>
        <v/>
      </c>
    </row>
    <row r="71" spans="3:7" x14ac:dyDescent="0.3">
      <c r="C71" t="str">
        <f>IFERROR(IF(B71="","",VLOOKUP(B71,CadProd!$A:$B,2,0)),"")</f>
        <v/>
      </c>
      <c r="D71" t="str">
        <f>IFERROR(IF(B71="","",VLOOKUP(B71,CadProd!$A:$C,3,0)),"")</f>
        <v/>
      </c>
      <c r="G71" s="1" t="str">
        <f t="shared" si="1"/>
        <v/>
      </c>
    </row>
    <row r="72" spans="3:7" x14ac:dyDescent="0.3">
      <c r="C72" t="str">
        <f>IFERROR(IF(B72="","",VLOOKUP(B72,CadProd!$A:$B,2,0)),"")</f>
        <v/>
      </c>
      <c r="D72" t="str">
        <f>IFERROR(IF(B72="","",VLOOKUP(B72,CadProd!$A:$C,3,0)),"")</f>
        <v/>
      </c>
      <c r="G72" s="1" t="str">
        <f t="shared" si="1"/>
        <v/>
      </c>
    </row>
    <row r="73" spans="3:7" x14ac:dyDescent="0.3">
      <c r="C73" t="str">
        <f>IFERROR(IF(B73="","",VLOOKUP(B73,CadProd!$A:$B,2,0)),"")</f>
        <v/>
      </c>
      <c r="D73" t="str">
        <f>IFERROR(IF(B73="","",VLOOKUP(B73,CadProd!$A:$C,3,0)),"")</f>
        <v/>
      </c>
      <c r="G73" s="1" t="str">
        <f t="shared" si="1"/>
        <v/>
      </c>
    </row>
    <row r="74" spans="3:7" x14ac:dyDescent="0.3">
      <c r="C74" t="str">
        <f>IFERROR(IF(B74="","",VLOOKUP(B74,CadProd!$A:$B,2,0)),"")</f>
        <v/>
      </c>
      <c r="D74" t="str">
        <f>IFERROR(IF(B74="","",VLOOKUP(B74,CadProd!$A:$C,3,0)),"")</f>
        <v/>
      </c>
      <c r="G74" s="1" t="str">
        <f t="shared" si="1"/>
        <v/>
      </c>
    </row>
    <row r="75" spans="3:7" x14ac:dyDescent="0.3">
      <c r="C75" t="str">
        <f>IFERROR(IF(B75="","",VLOOKUP(B75,CadProd!$A:$B,2,0)),"")</f>
        <v/>
      </c>
      <c r="D75" t="str">
        <f>IFERROR(IF(B75="","",VLOOKUP(B75,CadProd!$A:$C,3,0)),"")</f>
        <v/>
      </c>
      <c r="G75" s="1" t="str">
        <f t="shared" si="1"/>
        <v/>
      </c>
    </row>
    <row r="76" spans="3:7" x14ac:dyDescent="0.3">
      <c r="C76" t="str">
        <f>IFERROR(IF(B76="","",VLOOKUP(B76,CadProd!$A:$B,2,0)),"")</f>
        <v/>
      </c>
      <c r="D76" t="str">
        <f>IFERROR(IF(B76="","",VLOOKUP(B76,CadProd!$A:$C,3,0)),"")</f>
        <v/>
      </c>
      <c r="G76" s="1" t="str">
        <f t="shared" si="1"/>
        <v/>
      </c>
    </row>
    <row r="77" spans="3:7" x14ac:dyDescent="0.3">
      <c r="C77" t="str">
        <f>IFERROR(IF(B77="","",VLOOKUP(B77,CadProd!$A:$B,2,0)),"")</f>
        <v/>
      </c>
      <c r="D77" t="str">
        <f>IFERROR(IF(B77="","",VLOOKUP(B77,CadProd!$A:$C,3,0)),"")</f>
        <v/>
      </c>
      <c r="G77" s="1" t="str">
        <f t="shared" si="1"/>
        <v/>
      </c>
    </row>
    <row r="78" spans="3:7" x14ac:dyDescent="0.3">
      <c r="C78" t="str">
        <f>IFERROR(IF(B78="","",VLOOKUP(B78,CadProd!$A:$B,2,0)),"")</f>
        <v/>
      </c>
      <c r="D78" t="str">
        <f>IFERROR(IF(B78="","",VLOOKUP(B78,CadProd!$A:$C,3,0)),"")</f>
        <v/>
      </c>
      <c r="G78" s="1" t="str">
        <f t="shared" si="1"/>
        <v/>
      </c>
    </row>
    <row r="79" spans="3:7" x14ac:dyDescent="0.3">
      <c r="C79" t="str">
        <f>IFERROR(IF(B79="","",VLOOKUP(B79,CadProd!$A:$B,2,0)),"")</f>
        <v/>
      </c>
      <c r="D79" t="str">
        <f>IFERROR(IF(B79="","",VLOOKUP(B79,CadProd!$A:$C,3,0)),"")</f>
        <v/>
      </c>
      <c r="G79" s="1" t="str">
        <f t="shared" si="1"/>
        <v/>
      </c>
    </row>
    <row r="80" spans="3:7" x14ac:dyDescent="0.3">
      <c r="C80" t="str">
        <f>IFERROR(IF(B80="","",VLOOKUP(B80,CadProd!$A:$B,2,0)),"")</f>
        <v/>
      </c>
      <c r="D80" t="str">
        <f>IFERROR(IF(B80="","",VLOOKUP(B80,CadProd!$A:$C,3,0)),"")</f>
        <v/>
      </c>
      <c r="G80" s="1" t="str">
        <f t="shared" si="1"/>
        <v/>
      </c>
    </row>
    <row r="81" spans="3:7" x14ac:dyDescent="0.3">
      <c r="C81" t="str">
        <f>IFERROR(IF(B81="","",VLOOKUP(B81,CadProd!$A:$B,2,0)),"")</f>
        <v/>
      </c>
      <c r="D81" t="str">
        <f>IFERROR(IF(B81="","",VLOOKUP(B81,CadProd!$A:$C,3,0)),"")</f>
        <v/>
      </c>
      <c r="G81" s="1" t="str">
        <f t="shared" si="1"/>
        <v/>
      </c>
    </row>
    <row r="82" spans="3:7" x14ac:dyDescent="0.3">
      <c r="C82" t="str">
        <f>IFERROR(IF(B82="","",VLOOKUP(B82,CadProd!$A:$B,2,0)),"")</f>
        <v/>
      </c>
      <c r="D82" t="str">
        <f>IFERROR(IF(B82="","",VLOOKUP(B82,CadProd!$A:$C,3,0)),"")</f>
        <v/>
      </c>
      <c r="G82" s="1" t="str">
        <f t="shared" si="1"/>
        <v/>
      </c>
    </row>
    <row r="83" spans="3:7" x14ac:dyDescent="0.3">
      <c r="C83" t="str">
        <f>IFERROR(IF(B83="","",VLOOKUP(B83,CadProd!$A:$B,2,0)),"")</f>
        <v/>
      </c>
      <c r="D83" t="str">
        <f>IFERROR(IF(B83="","",VLOOKUP(B83,CadProd!$A:$C,3,0)),"")</f>
        <v/>
      </c>
      <c r="G83" s="1" t="str">
        <f t="shared" si="1"/>
        <v/>
      </c>
    </row>
    <row r="84" spans="3:7" x14ac:dyDescent="0.3">
      <c r="C84" t="str">
        <f>IFERROR(IF(B84="","",VLOOKUP(B84,CadProd!$A:$B,2,0)),"")</f>
        <v/>
      </c>
      <c r="D84" t="str">
        <f>IFERROR(IF(B84="","",VLOOKUP(B84,CadProd!$A:$C,3,0)),"")</f>
        <v/>
      </c>
      <c r="G84" s="1" t="str">
        <f t="shared" si="1"/>
        <v/>
      </c>
    </row>
    <row r="85" spans="3:7" x14ac:dyDescent="0.3">
      <c r="C85" t="str">
        <f>IFERROR(IF(B85="","",VLOOKUP(B85,CadProd!$A:$B,2,0)),"")</f>
        <v/>
      </c>
      <c r="D85" t="str">
        <f>IFERROR(IF(B85="","",VLOOKUP(B85,CadProd!$A:$C,3,0)),"")</f>
        <v/>
      </c>
      <c r="G85" s="1" t="str">
        <f t="shared" si="1"/>
        <v/>
      </c>
    </row>
    <row r="86" spans="3:7" x14ac:dyDescent="0.3">
      <c r="C86" t="str">
        <f>IFERROR(IF(B86="","",VLOOKUP(B86,CadProd!$A:$B,2,0)),"")</f>
        <v/>
      </c>
      <c r="D86" t="str">
        <f>IFERROR(IF(B86="","",VLOOKUP(B86,CadProd!$A:$C,3,0)),"")</f>
        <v/>
      </c>
      <c r="G86" s="1" t="str">
        <f t="shared" si="1"/>
        <v/>
      </c>
    </row>
    <row r="87" spans="3:7" x14ac:dyDescent="0.3">
      <c r="C87" t="str">
        <f>IFERROR(IF(B87="","",VLOOKUP(B87,CadProd!$A:$B,2,0)),"")</f>
        <v/>
      </c>
      <c r="D87" t="str">
        <f>IFERROR(IF(B87="","",VLOOKUP(B87,CadProd!$A:$C,3,0)),"")</f>
        <v/>
      </c>
      <c r="G87" s="1" t="str">
        <f t="shared" si="1"/>
        <v/>
      </c>
    </row>
    <row r="88" spans="3:7" x14ac:dyDescent="0.3">
      <c r="C88" t="str">
        <f>IFERROR(IF(B88="","",VLOOKUP(B88,CadProd!$A:$B,2,0)),"")</f>
        <v/>
      </c>
      <c r="D88" t="str">
        <f>IFERROR(IF(B88="","",VLOOKUP(B88,CadProd!$A:$C,3,0)),"")</f>
        <v/>
      </c>
      <c r="G88" s="1" t="str">
        <f t="shared" si="1"/>
        <v/>
      </c>
    </row>
    <row r="89" spans="3:7" x14ac:dyDescent="0.3">
      <c r="C89" t="str">
        <f>IFERROR(IF(B89="","",VLOOKUP(B89,CadProd!$A:$B,2,0)),"")</f>
        <v/>
      </c>
      <c r="D89" t="str">
        <f>IFERROR(IF(B89="","",VLOOKUP(B89,CadProd!$A:$C,3,0)),"")</f>
        <v/>
      </c>
      <c r="G89" s="1" t="str">
        <f t="shared" si="1"/>
        <v/>
      </c>
    </row>
    <row r="90" spans="3:7" x14ac:dyDescent="0.3">
      <c r="C90" t="str">
        <f>IFERROR(IF(B90="","",VLOOKUP(B90,CadProd!$A:$B,2,0)),"")</f>
        <v/>
      </c>
      <c r="D90" t="str">
        <f>IFERROR(IF(B90="","",VLOOKUP(B90,CadProd!$A:$C,3,0)),"")</f>
        <v/>
      </c>
      <c r="G90" s="1" t="str">
        <f t="shared" si="1"/>
        <v/>
      </c>
    </row>
    <row r="91" spans="3:7" x14ac:dyDescent="0.3">
      <c r="C91" t="str">
        <f>IFERROR(IF(B91="","",VLOOKUP(B91,CadProd!$A:$B,2,0)),"")</f>
        <v/>
      </c>
      <c r="D91" t="str">
        <f>IFERROR(IF(B91="","",VLOOKUP(B91,CadProd!$A:$C,3,0)),"")</f>
        <v/>
      </c>
      <c r="G91" s="1" t="str">
        <f t="shared" si="1"/>
        <v/>
      </c>
    </row>
    <row r="92" spans="3:7" x14ac:dyDescent="0.3">
      <c r="C92" t="str">
        <f>IFERROR(IF(B92="","",VLOOKUP(B92,CadProd!$A:$B,2,0)),"")</f>
        <v/>
      </c>
      <c r="D92" t="str">
        <f>IFERROR(IF(B92="","",VLOOKUP(B92,CadProd!$A:$C,3,0)),"")</f>
        <v/>
      </c>
      <c r="G92" s="1" t="str">
        <f t="shared" si="1"/>
        <v/>
      </c>
    </row>
    <row r="93" spans="3:7" x14ac:dyDescent="0.3">
      <c r="C93" t="str">
        <f>IFERROR(IF(B93="","",VLOOKUP(B93,CadProd!$A:$B,2,0)),"")</f>
        <v/>
      </c>
      <c r="D93" t="str">
        <f>IFERROR(IF(B93="","",VLOOKUP(B93,CadProd!$A:$C,3,0)),"")</f>
        <v/>
      </c>
      <c r="G93" s="1" t="str">
        <f t="shared" si="1"/>
        <v/>
      </c>
    </row>
    <row r="94" spans="3:7" x14ac:dyDescent="0.3">
      <c r="C94" t="str">
        <f>IFERROR(IF(B94="","",VLOOKUP(B94,CadProd!$A:$B,2,0)),"")</f>
        <v/>
      </c>
      <c r="D94" t="str">
        <f>IFERROR(IF(B94="","",VLOOKUP(B94,CadProd!$A:$C,3,0)),"")</f>
        <v/>
      </c>
      <c r="G94" s="1" t="str">
        <f t="shared" si="1"/>
        <v/>
      </c>
    </row>
    <row r="95" spans="3:7" x14ac:dyDescent="0.3">
      <c r="C95" t="str">
        <f>IFERROR(IF(B95="","",VLOOKUP(B95,CadProd!$A:$B,2,0)),"")</f>
        <v/>
      </c>
      <c r="D95" t="str">
        <f>IFERROR(IF(B95="","",VLOOKUP(B95,CadProd!$A:$C,3,0)),"")</f>
        <v/>
      </c>
      <c r="G95" s="1" t="str">
        <f t="shared" si="1"/>
        <v/>
      </c>
    </row>
    <row r="96" spans="3:7" x14ac:dyDescent="0.3">
      <c r="C96" t="str">
        <f>IFERROR(IF(B96="","",VLOOKUP(B96,CadProd!$A:$B,2,0)),"")</f>
        <v/>
      </c>
      <c r="D96" t="str">
        <f>IFERROR(IF(B96="","",VLOOKUP(B96,CadProd!$A:$C,3,0)),"")</f>
        <v/>
      </c>
      <c r="G96" s="1" t="str">
        <f t="shared" si="1"/>
        <v/>
      </c>
    </row>
    <row r="97" spans="3:7" x14ac:dyDescent="0.3">
      <c r="C97" t="str">
        <f>IFERROR(IF(B97="","",VLOOKUP(B97,CadProd!$A:$B,2,0)),"")</f>
        <v/>
      </c>
      <c r="D97" t="str">
        <f>IFERROR(IF(B97="","",VLOOKUP(B97,CadProd!$A:$C,3,0)),"")</f>
        <v/>
      </c>
      <c r="G97" s="1" t="str">
        <f t="shared" si="1"/>
        <v/>
      </c>
    </row>
    <row r="98" spans="3:7" x14ac:dyDescent="0.3">
      <c r="C98" t="str">
        <f>IFERROR(IF(B98="","",VLOOKUP(B98,CadProd!$A:$B,2,0)),"")</f>
        <v/>
      </c>
      <c r="D98" t="str">
        <f>IFERROR(IF(B98="","",VLOOKUP(B98,CadProd!$A:$C,3,0)),"")</f>
        <v/>
      </c>
      <c r="G98" s="1" t="str">
        <f t="shared" si="1"/>
        <v/>
      </c>
    </row>
    <row r="99" spans="3:7" x14ac:dyDescent="0.3">
      <c r="C99" t="str">
        <f>IFERROR(IF(B99="","",VLOOKUP(B99,CadProd!$A:$B,2,0)),"")</f>
        <v/>
      </c>
      <c r="D99" t="str">
        <f>IFERROR(IF(B99="","",VLOOKUP(B99,CadProd!$A:$C,3,0)),"")</f>
        <v/>
      </c>
      <c r="G99" s="1" t="str">
        <f t="shared" si="1"/>
        <v/>
      </c>
    </row>
    <row r="100" spans="3:7" x14ac:dyDescent="0.3">
      <c r="C100" t="str">
        <f>IFERROR(IF(B100="","",VLOOKUP(B100,CadProd!$A:$B,2,0)),"")</f>
        <v/>
      </c>
      <c r="D100" t="str">
        <f>IFERROR(IF(B100="","",VLOOKUP(B100,CadProd!$A:$C,3,0)),"")</f>
        <v/>
      </c>
      <c r="G100" s="1" t="str">
        <f t="shared" si="1"/>
        <v/>
      </c>
    </row>
    <row r="101" spans="3:7" x14ac:dyDescent="0.3">
      <c r="C101" t="str">
        <f>IFERROR(IF(B101="","",VLOOKUP(B101,CadProd!$A:$B,2,0)),"")</f>
        <v/>
      </c>
      <c r="D101" t="str">
        <f>IFERROR(IF(B101="","",VLOOKUP(B101,CadProd!$A:$C,3,0)),"")</f>
        <v/>
      </c>
      <c r="G101" s="1" t="str">
        <f t="shared" si="1"/>
        <v/>
      </c>
    </row>
    <row r="102" spans="3:7" x14ac:dyDescent="0.3">
      <c r="C102" t="str">
        <f>IFERROR(IF(B102="","",VLOOKUP(B102,CadProd!$A:$B,2,0)),"")</f>
        <v/>
      </c>
      <c r="D102" t="str">
        <f>IFERROR(IF(B102="","",VLOOKUP(B102,CadProd!$A:$C,3,0)),"")</f>
        <v/>
      </c>
      <c r="G102" s="1" t="str">
        <f t="shared" si="1"/>
        <v/>
      </c>
    </row>
    <row r="103" spans="3:7" x14ac:dyDescent="0.3">
      <c r="C103" t="str">
        <f>IFERROR(IF(B103="","",VLOOKUP(B103,CadProd!$A:$B,2,0)),"")</f>
        <v/>
      </c>
      <c r="D103" t="str">
        <f>IFERROR(IF(B103="","",VLOOKUP(B103,CadProd!$A:$C,3,0)),"")</f>
        <v/>
      </c>
      <c r="G103" s="1" t="str">
        <f t="shared" si="1"/>
        <v/>
      </c>
    </row>
    <row r="104" spans="3:7" x14ac:dyDescent="0.3">
      <c r="C104" t="str">
        <f>IFERROR(IF(B104="","",VLOOKUP(B104,CadProd!$A:$B,2,0)),"")</f>
        <v/>
      </c>
      <c r="D104" t="str">
        <f>IFERROR(IF(B104="","",VLOOKUP(B104,CadProd!$A:$C,3,0)),"")</f>
        <v/>
      </c>
      <c r="G104" s="1" t="str">
        <f t="shared" si="1"/>
        <v/>
      </c>
    </row>
    <row r="105" spans="3:7" x14ac:dyDescent="0.3">
      <c r="C105" t="str">
        <f>IFERROR(IF(B105="","",VLOOKUP(B105,CadProd!$A:$B,2,0)),"")</f>
        <v/>
      </c>
      <c r="D105" t="str">
        <f>IFERROR(IF(B105="","",VLOOKUP(B105,CadProd!$A:$C,3,0)),"")</f>
        <v/>
      </c>
      <c r="G105" s="1" t="str">
        <f t="shared" si="1"/>
        <v/>
      </c>
    </row>
    <row r="106" spans="3:7" x14ac:dyDescent="0.3">
      <c r="C106" t="str">
        <f>IFERROR(IF(B106="","",VLOOKUP(B106,CadProd!$A:$B,2,0)),"")</f>
        <v/>
      </c>
      <c r="D106" t="str">
        <f>IFERROR(IF(B106="","",VLOOKUP(B106,CadProd!$A:$C,3,0)),"")</f>
        <v/>
      </c>
      <c r="G106" s="1" t="str">
        <f t="shared" si="1"/>
        <v/>
      </c>
    </row>
    <row r="107" spans="3:7" x14ac:dyDescent="0.3">
      <c r="C107" t="str">
        <f>IFERROR(IF(B107="","",VLOOKUP(B107,CadProd!$A:$B,2,0)),"")</f>
        <v/>
      </c>
      <c r="D107" t="str">
        <f>IFERROR(IF(B107="","",VLOOKUP(B107,CadProd!$A:$C,3,0)),"")</f>
        <v/>
      </c>
      <c r="G107" s="1" t="str">
        <f t="shared" si="1"/>
        <v/>
      </c>
    </row>
    <row r="108" spans="3:7" x14ac:dyDescent="0.3">
      <c r="C108" t="str">
        <f>IFERROR(IF(B108="","",VLOOKUP(B108,CadProd!$A:$B,2,0)),"")</f>
        <v/>
      </c>
      <c r="D108" t="str">
        <f>IFERROR(IF(B108="","",VLOOKUP(B108,CadProd!$A:$C,3,0)),"")</f>
        <v/>
      </c>
      <c r="G108" s="1" t="str">
        <f t="shared" si="1"/>
        <v/>
      </c>
    </row>
    <row r="109" spans="3:7" x14ac:dyDescent="0.3">
      <c r="C109" t="str">
        <f>IFERROR(IF(B109="","",VLOOKUP(B109,CadProd!$A:$B,2,0)),"")</f>
        <v/>
      </c>
      <c r="D109" t="str">
        <f>IFERROR(IF(B109="","",VLOOKUP(B109,CadProd!$A:$C,3,0)),"")</f>
        <v/>
      </c>
      <c r="G109" s="1" t="str">
        <f t="shared" si="1"/>
        <v/>
      </c>
    </row>
    <row r="110" spans="3:7" x14ac:dyDescent="0.3">
      <c r="C110" t="str">
        <f>IFERROR(IF(B110="","",VLOOKUP(B110,CadProd!$A:$B,2,0)),"")</f>
        <v/>
      </c>
      <c r="D110" t="str">
        <f>IFERROR(IF(B110="","",VLOOKUP(B110,CadProd!$A:$C,3,0)),"")</f>
        <v/>
      </c>
      <c r="G110" s="1" t="str">
        <f t="shared" si="1"/>
        <v/>
      </c>
    </row>
    <row r="111" spans="3:7" x14ac:dyDescent="0.3">
      <c r="C111" t="str">
        <f>IFERROR(IF(B111="","",VLOOKUP(B111,CadProd!$A:$B,2,0)),"")</f>
        <v/>
      </c>
      <c r="D111" t="str">
        <f>IFERROR(IF(B111="","",VLOOKUP(B111,CadProd!$A:$C,3,0)),"")</f>
        <v/>
      </c>
      <c r="G111" s="1" t="str">
        <f t="shared" si="1"/>
        <v/>
      </c>
    </row>
    <row r="112" spans="3:7" x14ac:dyDescent="0.3">
      <c r="C112" t="str">
        <f>IFERROR(IF(B112="","",VLOOKUP(B112,CadProd!$A:$B,2,0)),"")</f>
        <v/>
      </c>
      <c r="D112" t="str">
        <f>IFERROR(IF(B112="","",VLOOKUP(B112,CadProd!$A:$C,3,0)),"")</f>
        <v/>
      </c>
      <c r="G112" s="1" t="str">
        <f t="shared" si="1"/>
        <v/>
      </c>
    </row>
    <row r="113" spans="3:7" x14ac:dyDescent="0.3">
      <c r="C113" t="str">
        <f>IFERROR(IF(B113="","",VLOOKUP(B113,CadProd!$A:$B,2,0)),"")</f>
        <v/>
      </c>
      <c r="D113" t="str">
        <f>IFERROR(IF(B113="","",VLOOKUP(B113,CadProd!$A:$C,3,0)),"")</f>
        <v/>
      </c>
      <c r="G113" s="1" t="str">
        <f t="shared" si="1"/>
        <v/>
      </c>
    </row>
    <row r="114" spans="3:7" x14ac:dyDescent="0.3">
      <c r="C114" t="str">
        <f>IFERROR(IF(B114="","",VLOOKUP(B114,CadProd!$A:$B,2,0)),"")</f>
        <v/>
      </c>
      <c r="D114" t="str">
        <f>IFERROR(IF(B114="","",VLOOKUP(B114,CadProd!$A:$C,3,0)),"")</f>
        <v/>
      </c>
      <c r="G114" s="1" t="str">
        <f t="shared" si="1"/>
        <v/>
      </c>
    </row>
    <row r="115" spans="3:7" x14ac:dyDescent="0.3">
      <c r="C115" t="str">
        <f>IFERROR(IF(B115="","",VLOOKUP(B115,CadProd!$A:$B,2,0)),"")</f>
        <v/>
      </c>
      <c r="D115" t="str">
        <f>IFERROR(IF(B115="","",VLOOKUP(B115,CadProd!$A:$C,3,0)),"")</f>
        <v/>
      </c>
      <c r="G115" s="1" t="str">
        <f t="shared" si="1"/>
        <v/>
      </c>
    </row>
    <row r="116" spans="3:7" x14ac:dyDescent="0.3">
      <c r="C116" t="str">
        <f>IFERROR(IF(B116="","",VLOOKUP(B116,CadProd!$A:$B,2,0)),"")</f>
        <v/>
      </c>
      <c r="D116" t="str">
        <f>IFERROR(IF(B116="","",VLOOKUP(B116,CadProd!$A:$C,3,0)),"")</f>
        <v/>
      </c>
      <c r="G116" s="1" t="str">
        <f t="shared" si="1"/>
        <v/>
      </c>
    </row>
    <row r="117" spans="3:7" x14ac:dyDescent="0.3">
      <c r="C117" t="str">
        <f>IFERROR(IF(B117="","",VLOOKUP(B117,CadProd!$A:$B,2,0)),"")</f>
        <v/>
      </c>
      <c r="D117" t="str">
        <f>IFERROR(IF(B117="","",VLOOKUP(B117,CadProd!$A:$C,3,0)),"")</f>
        <v/>
      </c>
      <c r="G117" s="1" t="str">
        <f t="shared" si="1"/>
        <v/>
      </c>
    </row>
    <row r="118" spans="3:7" x14ac:dyDescent="0.3">
      <c r="C118" t="str">
        <f>IFERROR(IF(B118="","",VLOOKUP(B118,CadProd!$A:$B,2,0)),"")</f>
        <v/>
      </c>
      <c r="D118" t="str">
        <f>IFERROR(IF(B118="","",VLOOKUP(B118,CadProd!$A:$C,3,0)),"")</f>
        <v/>
      </c>
      <c r="G118" s="1" t="str">
        <f t="shared" si="1"/>
        <v/>
      </c>
    </row>
    <row r="119" spans="3:7" x14ac:dyDescent="0.3">
      <c r="C119" t="str">
        <f>IFERROR(IF(B119="","",VLOOKUP(B119,CadProd!$A:$B,2,0)),"")</f>
        <v/>
      </c>
      <c r="D119" t="str">
        <f>IFERROR(IF(B119="","",VLOOKUP(B119,CadProd!$A:$C,3,0)),"")</f>
        <v/>
      </c>
      <c r="G119" s="1" t="str">
        <f t="shared" si="1"/>
        <v/>
      </c>
    </row>
    <row r="120" spans="3:7" x14ac:dyDescent="0.3">
      <c r="C120" t="str">
        <f>IFERROR(IF(B120="","",VLOOKUP(B120,CadProd!$A:$B,2,0)),"")</f>
        <v/>
      </c>
      <c r="D120" t="str">
        <f>IFERROR(IF(B120="","",VLOOKUP(B120,CadProd!$A:$C,3,0)),"")</f>
        <v/>
      </c>
      <c r="G120" s="1" t="str">
        <f t="shared" si="1"/>
        <v/>
      </c>
    </row>
    <row r="121" spans="3:7" x14ac:dyDescent="0.3">
      <c r="C121" t="str">
        <f>IFERROR(IF(B121="","",VLOOKUP(B121,CadProd!$A:$B,2,0)),"")</f>
        <v/>
      </c>
      <c r="D121" t="str">
        <f>IFERROR(IF(B121="","",VLOOKUP(B121,CadProd!$A:$C,3,0)),"")</f>
        <v/>
      </c>
      <c r="G121" s="1" t="str">
        <f t="shared" si="1"/>
        <v/>
      </c>
    </row>
    <row r="122" spans="3:7" x14ac:dyDescent="0.3">
      <c r="C122" t="str">
        <f>IFERROR(IF(B122="","",VLOOKUP(B122,CadProd!$A:$B,2,0)),"")</f>
        <v/>
      </c>
      <c r="D122" t="str">
        <f>IFERROR(IF(B122="","",VLOOKUP(B122,CadProd!$A:$C,3,0)),"")</f>
        <v/>
      </c>
      <c r="G122" s="1" t="str">
        <f t="shared" si="1"/>
        <v/>
      </c>
    </row>
    <row r="123" spans="3:7" x14ac:dyDescent="0.3">
      <c r="C123" t="str">
        <f>IFERROR(IF(B123="","",VLOOKUP(B123,CadProd!$A:$B,2,0)),"")</f>
        <v/>
      </c>
      <c r="D123" t="str">
        <f>IFERROR(IF(B123="","",VLOOKUP(B123,CadProd!$A:$C,3,0)),"")</f>
        <v/>
      </c>
      <c r="G123" s="1" t="str">
        <f t="shared" si="1"/>
        <v/>
      </c>
    </row>
    <row r="124" spans="3:7" x14ac:dyDescent="0.3">
      <c r="C124" t="str">
        <f>IFERROR(IF(B124="","",VLOOKUP(B124,CadProd!$A:$B,2,0)),"")</f>
        <v/>
      </c>
      <c r="D124" t="str">
        <f>IFERROR(IF(B124="","",VLOOKUP(B124,CadProd!$A:$C,3,0)),"")</f>
        <v/>
      </c>
      <c r="G124" s="1" t="str">
        <f t="shared" si="1"/>
        <v/>
      </c>
    </row>
    <row r="125" spans="3:7" x14ac:dyDescent="0.3">
      <c r="C125" t="str">
        <f>IFERROR(IF(B125="","",VLOOKUP(B125,CadProd!$A:$B,2,0)),"")</f>
        <v/>
      </c>
      <c r="D125" t="str">
        <f>IFERROR(IF(B125="","",VLOOKUP(B125,CadProd!$A:$C,3,0)),"")</f>
        <v/>
      </c>
      <c r="G125" s="1" t="str">
        <f t="shared" si="1"/>
        <v/>
      </c>
    </row>
    <row r="126" spans="3:7" x14ac:dyDescent="0.3">
      <c r="C126" t="str">
        <f>IFERROR(IF(B126="","",VLOOKUP(B126,CadProd!$A:$B,2,0)),"")</f>
        <v/>
      </c>
      <c r="D126" t="str">
        <f>IFERROR(IF(B126="","",VLOOKUP(B126,CadProd!$A:$C,3,0)),"")</f>
        <v/>
      </c>
      <c r="G126" s="1" t="str">
        <f t="shared" si="1"/>
        <v/>
      </c>
    </row>
    <row r="127" spans="3:7" x14ac:dyDescent="0.3">
      <c r="C127" t="str">
        <f>IFERROR(IF(B127="","",VLOOKUP(B127,CadProd!$A:$B,2,0)),"")</f>
        <v/>
      </c>
      <c r="D127" t="str">
        <f>IFERROR(IF(B127="","",VLOOKUP(B127,CadProd!$A:$C,3,0)),"")</f>
        <v/>
      </c>
      <c r="G127" s="1" t="str">
        <f t="shared" si="1"/>
        <v/>
      </c>
    </row>
    <row r="128" spans="3:7" x14ac:dyDescent="0.3">
      <c r="C128" t="str">
        <f>IFERROR(IF(B128="","",VLOOKUP(B128,CadProd!$A:$B,2,0)),"")</f>
        <v/>
      </c>
      <c r="D128" t="str">
        <f>IFERROR(IF(B128="","",VLOOKUP(B128,CadProd!$A:$C,3,0)),"")</f>
        <v/>
      </c>
      <c r="G128" s="1" t="str">
        <f t="shared" si="1"/>
        <v/>
      </c>
    </row>
    <row r="129" spans="3:7" x14ac:dyDescent="0.3">
      <c r="C129" t="str">
        <f>IFERROR(IF(B129="","",VLOOKUP(B129,CadProd!$A:$B,2,0)),"")</f>
        <v/>
      </c>
      <c r="D129" t="str">
        <f>IFERROR(IF(B129="","",VLOOKUP(B129,CadProd!$A:$C,3,0)),"")</f>
        <v/>
      </c>
      <c r="G129" s="1" t="str">
        <f t="shared" si="1"/>
        <v/>
      </c>
    </row>
    <row r="130" spans="3:7" x14ac:dyDescent="0.3">
      <c r="C130" t="str">
        <f>IFERROR(IF(B130="","",VLOOKUP(B130,CadProd!$A:$B,2,0)),"")</f>
        <v/>
      </c>
      <c r="D130" t="str">
        <f>IFERROR(IF(B130="","",VLOOKUP(B130,CadProd!$A:$C,3,0)),"")</f>
        <v/>
      </c>
      <c r="G130" s="1" t="str">
        <f t="shared" ref="G130:G193" si="2">IFERROR(IF(B130="","",F130*E130),"")</f>
        <v/>
      </c>
    </row>
    <row r="131" spans="3:7" x14ac:dyDescent="0.3">
      <c r="C131" t="str">
        <f>IFERROR(IF(B131="","",VLOOKUP(B131,CadProd!$A:$B,2,0)),"")</f>
        <v/>
      </c>
      <c r="D131" t="str">
        <f>IFERROR(IF(B131="","",VLOOKUP(B131,CadProd!$A:$C,3,0)),"")</f>
        <v/>
      </c>
      <c r="G131" s="1" t="str">
        <f t="shared" si="2"/>
        <v/>
      </c>
    </row>
    <row r="132" spans="3:7" x14ac:dyDescent="0.3">
      <c r="C132" t="str">
        <f>IFERROR(IF(B132="","",VLOOKUP(B132,CadProd!$A:$B,2,0)),"")</f>
        <v/>
      </c>
      <c r="D132" t="str">
        <f>IFERROR(IF(B132="","",VLOOKUP(B132,CadProd!$A:$C,3,0)),"")</f>
        <v/>
      </c>
      <c r="G132" s="1" t="str">
        <f t="shared" si="2"/>
        <v/>
      </c>
    </row>
    <row r="133" spans="3:7" x14ac:dyDescent="0.3">
      <c r="C133" t="str">
        <f>IFERROR(IF(B133="","",VLOOKUP(B133,CadProd!$A:$B,2,0)),"")</f>
        <v/>
      </c>
      <c r="D133" t="str">
        <f>IFERROR(IF(B133="","",VLOOKUP(B133,CadProd!$A:$C,3,0)),"")</f>
        <v/>
      </c>
      <c r="G133" s="1" t="str">
        <f t="shared" si="2"/>
        <v/>
      </c>
    </row>
    <row r="134" spans="3:7" x14ac:dyDescent="0.3">
      <c r="C134" t="str">
        <f>IFERROR(IF(B134="","",VLOOKUP(B134,CadProd!$A:$B,2,0)),"")</f>
        <v/>
      </c>
      <c r="D134" t="str">
        <f>IFERROR(IF(B134="","",VLOOKUP(B134,CadProd!$A:$C,3,0)),"")</f>
        <v/>
      </c>
      <c r="G134" s="1" t="str">
        <f t="shared" si="2"/>
        <v/>
      </c>
    </row>
    <row r="135" spans="3:7" x14ac:dyDescent="0.3">
      <c r="C135" t="str">
        <f>IFERROR(IF(B135="","",VLOOKUP(B135,CadProd!$A:$B,2,0)),"")</f>
        <v/>
      </c>
      <c r="D135" t="str">
        <f>IFERROR(IF(B135="","",VLOOKUP(B135,CadProd!$A:$C,3,0)),"")</f>
        <v/>
      </c>
      <c r="G135" s="1" t="str">
        <f t="shared" si="2"/>
        <v/>
      </c>
    </row>
    <row r="136" spans="3:7" x14ac:dyDescent="0.3">
      <c r="C136" t="str">
        <f>IFERROR(IF(B136="","",VLOOKUP(B136,CadProd!$A:$B,2,0)),"")</f>
        <v/>
      </c>
      <c r="D136" t="str">
        <f>IFERROR(IF(B136="","",VLOOKUP(B136,CadProd!$A:$C,3,0)),"")</f>
        <v/>
      </c>
      <c r="G136" s="1" t="str">
        <f t="shared" si="2"/>
        <v/>
      </c>
    </row>
    <row r="137" spans="3:7" x14ac:dyDescent="0.3">
      <c r="C137" t="str">
        <f>IFERROR(IF(B137="","",VLOOKUP(B137,CadProd!$A:$B,2,0)),"")</f>
        <v/>
      </c>
      <c r="D137" t="str">
        <f>IFERROR(IF(B137="","",VLOOKUP(B137,CadProd!$A:$C,3,0)),"")</f>
        <v/>
      </c>
      <c r="G137" s="1" t="str">
        <f t="shared" si="2"/>
        <v/>
      </c>
    </row>
    <row r="138" spans="3:7" x14ac:dyDescent="0.3">
      <c r="C138" t="str">
        <f>IFERROR(IF(B138="","",VLOOKUP(B138,CadProd!$A:$B,2,0)),"")</f>
        <v/>
      </c>
      <c r="D138" t="str">
        <f>IFERROR(IF(B138="","",VLOOKUP(B138,CadProd!$A:$C,3,0)),"")</f>
        <v/>
      </c>
      <c r="G138" s="1" t="str">
        <f t="shared" si="2"/>
        <v/>
      </c>
    </row>
    <row r="139" spans="3:7" x14ac:dyDescent="0.3">
      <c r="C139" t="str">
        <f>IFERROR(IF(B139="","",VLOOKUP(B139,CadProd!$A:$B,2,0)),"")</f>
        <v/>
      </c>
      <c r="D139" t="str">
        <f>IFERROR(IF(B139="","",VLOOKUP(B139,CadProd!$A:$C,3,0)),"")</f>
        <v/>
      </c>
      <c r="G139" s="1" t="str">
        <f t="shared" si="2"/>
        <v/>
      </c>
    </row>
    <row r="140" spans="3:7" x14ac:dyDescent="0.3">
      <c r="C140" t="str">
        <f>IFERROR(IF(B140="","",VLOOKUP(B140,CadProd!$A:$B,2,0)),"")</f>
        <v/>
      </c>
      <c r="D140" t="str">
        <f>IFERROR(IF(B140="","",VLOOKUP(B140,CadProd!$A:$C,3,0)),"")</f>
        <v/>
      </c>
      <c r="G140" s="1" t="str">
        <f t="shared" si="2"/>
        <v/>
      </c>
    </row>
    <row r="141" spans="3:7" x14ac:dyDescent="0.3">
      <c r="C141" t="str">
        <f>IFERROR(IF(B141="","",VLOOKUP(B141,CadProd!$A:$B,2,0)),"")</f>
        <v/>
      </c>
      <c r="D141" t="str">
        <f>IFERROR(IF(B141="","",VLOOKUP(B141,CadProd!$A:$C,3,0)),"")</f>
        <v/>
      </c>
      <c r="G141" s="1" t="str">
        <f t="shared" si="2"/>
        <v/>
      </c>
    </row>
    <row r="142" spans="3:7" x14ac:dyDescent="0.3">
      <c r="C142" t="str">
        <f>IFERROR(IF(B142="","",VLOOKUP(B142,CadProd!$A:$B,2,0)),"")</f>
        <v/>
      </c>
      <c r="D142" t="str">
        <f>IFERROR(IF(B142="","",VLOOKUP(B142,CadProd!$A:$C,3,0)),"")</f>
        <v/>
      </c>
      <c r="G142" s="1" t="str">
        <f t="shared" si="2"/>
        <v/>
      </c>
    </row>
    <row r="143" spans="3:7" x14ac:dyDescent="0.3">
      <c r="C143" t="str">
        <f>IFERROR(IF(B143="","",VLOOKUP(B143,CadProd!$A:$B,2,0)),"")</f>
        <v/>
      </c>
      <c r="D143" t="str">
        <f>IFERROR(IF(B143="","",VLOOKUP(B143,CadProd!$A:$C,3,0)),"")</f>
        <v/>
      </c>
      <c r="G143" s="1" t="str">
        <f t="shared" si="2"/>
        <v/>
      </c>
    </row>
    <row r="144" spans="3:7" x14ac:dyDescent="0.3">
      <c r="C144" t="str">
        <f>IFERROR(IF(B144="","",VLOOKUP(B144,CadProd!$A:$B,2,0)),"")</f>
        <v/>
      </c>
      <c r="D144" t="str">
        <f>IFERROR(IF(B144="","",VLOOKUP(B144,CadProd!$A:$C,3,0)),"")</f>
        <v/>
      </c>
      <c r="G144" s="1" t="str">
        <f t="shared" si="2"/>
        <v/>
      </c>
    </row>
    <row r="145" spans="3:7" x14ac:dyDescent="0.3">
      <c r="C145" t="str">
        <f>IFERROR(IF(B145="","",VLOOKUP(B145,CadProd!$A:$B,2,0)),"")</f>
        <v/>
      </c>
      <c r="D145" t="str">
        <f>IFERROR(IF(B145="","",VLOOKUP(B145,CadProd!$A:$C,3,0)),"")</f>
        <v/>
      </c>
      <c r="G145" s="1" t="str">
        <f t="shared" si="2"/>
        <v/>
      </c>
    </row>
    <row r="146" spans="3:7" x14ac:dyDescent="0.3">
      <c r="C146" t="str">
        <f>IFERROR(IF(B146="","",VLOOKUP(B146,CadProd!$A:$B,2,0)),"")</f>
        <v/>
      </c>
      <c r="D146" t="str">
        <f>IFERROR(IF(B146="","",VLOOKUP(B146,CadProd!$A:$C,3,0)),"")</f>
        <v/>
      </c>
      <c r="G146" s="1" t="str">
        <f t="shared" si="2"/>
        <v/>
      </c>
    </row>
    <row r="147" spans="3:7" x14ac:dyDescent="0.3">
      <c r="C147" t="str">
        <f>IFERROR(IF(B147="","",VLOOKUP(B147,CadProd!$A:$B,2,0)),"")</f>
        <v/>
      </c>
      <c r="D147" t="str">
        <f>IFERROR(IF(B147="","",VLOOKUP(B147,CadProd!$A:$C,3,0)),"")</f>
        <v/>
      </c>
      <c r="G147" s="1" t="str">
        <f t="shared" si="2"/>
        <v/>
      </c>
    </row>
    <row r="148" spans="3:7" x14ac:dyDescent="0.3">
      <c r="C148" t="str">
        <f>IFERROR(IF(B148="","",VLOOKUP(B148,CadProd!$A:$B,2,0)),"")</f>
        <v/>
      </c>
      <c r="D148" t="str">
        <f>IFERROR(IF(B148="","",VLOOKUP(B148,CadProd!$A:$C,3,0)),"")</f>
        <v/>
      </c>
      <c r="G148" s="1" t="str">
        <f t="shared" si="2"/>
        <v/>
      </c>
    </row>
    <row r="149" spans="3:7" x14ac:dyDescent="0.3">
      <c r="C149" t="str">
        <f>IFERROR(IF(B149="","",VLOOKUP(B149,CadProd!$A:$B,2,0)),"")</f>
        <v/>
      </c>
      <c r="D149" t="str">
        <f>IFERROR(IF(B149="","",VLOOKUP(B149,CadProd!$A:$C,3,0)),"")</f>
        <v/>
      </c>
      <c r="G149" s="1" t="str">
        <f t="shared" si="2"/>
        <v/>
      </c>
    </row>
    <row r="150" spans="3:7" x14ac:dyDescent="0.3">
      <c r="C150" t="str">
        <f>IFERROR(IF(B150="","",VLOOKUP(B150,CadProd!$A:$B,2,0)),"")</f>
        <v/>
      </c>
      <c r="D150" t="str">
        <f>IFERROR(IF(B150="","",VLOOKUP(B150,CadProd!$A:$C,3,0)),"")</f>
        <v/>
      </c>
      <c r="G150" s="1" t="str">
        <f t="shared" si="2"/>
        <v/>
      </c>
    </row>
    <row r="151" spans="3:7" x14ac:dyDescent="0.3">
      <c r="C151" t="str">
        <f>IFERROR(IF(B151="","",VLOOKUP(B151,CadProd!$A:$B,2,0)),"")</f>
        <v/>
      </c>
      <c r="D151" t="str">
        <f>IFERROR(IF(B151="","",VLOOKUP(B151,CadProd!$A:$C,3,0)),"")</f>
        <v/>
      </c>
      <c r="G151" s="1" t="str">
        <f t="shared" si="2"/>
        <v/>
      </c>
    </row>
    <row r="152" spans="3:7" x14ac:dyDescent="0.3">
      <c r="C152" t="str">
        <f>IFERROR(IF(B152="","",VLOOKUP(B152,CadProd!$A:$B,2,0)),"")</f>
        <v/>
      </c>
      <c r="D152" t="str">
        <f>IFERROR(IF(B152="","",VLOOKUP(B152,CadProd!$A:$C,3,0)),"")</f>
        <v/>
      </c>
      <c r="G152" s="1" t="str">
        <f t="shared" si="2"/>
        <v/>
      </c>
    </row>
    <row r="153" spans="3:7" x14ac:dyDescent="0.3">
      <c r="C153" t="str">
        <f>IFERROR(IF(B153="","",VLOOKUP(B153,CadProd!$A:$B,2,0)),"")</f>
        <v/>
      </c>
      <c r="D153" t="str">
        <f>IFERROR(IF(B153="","",VLOOKUP(B153,CadProd!$A:$C,3,0)),"")</f>
        <v/>
      </c>
      <c r="G153" s="1" t="str">
        <f t="shared" si="2"/>
        <v/>
      </c>
    </row>
    <row r="154" spans="3:7" x14ac:dyDescent="0.3">
      <c r="C154" t="str">
        <f>IFERROR(IF(B154="","",VLOOKUP(B154,CadProd!$A:$B,2,0)),"")</f>
        <v/>
      </c>
      <c r="D154" t="str">
        <f>IFERROR(IF(B154="","",VLOOKUP(B154,CadProd!$A:$C,3,0)),"")</f>
        <v/>
      </c>
      <c r="G154" s="1" t="str">
        <f t="shared" si="2"/>
        <v/>
      </c>
    </row>
    <row r="155" spans="3:7" x14ac:dyDescent="0.3">
      <c r="C155" t="str">
        <f>IFERROR(IF(B155="","",VLOOKUP(B155,CadProd!$A:$B,2,0)),"")</f>
        <v/>
      </c>
      <c r="D155" t="str">
        <f>IFERROR(IF(B155="","",VLOOKUP(B155,CadProd!$A:$C,3,0)),"")</f>
        <v/>
      </c>
      <c r="G155" s="1" t="str">
        <f t="shared" si="2"/>
        <v/>
      </c>
    </row>
    <row r="156" spans="3:7" x14ac:dyDescent="0.3">
      <c r="C156" t="str">
        <f>IFERROR(IF(B156="","",VLOOKUP(B156,CadProd!$A:$B,2,0)),"")</f>
        <v/>
      </c>
      <c r="D156" t="str">
        <f>IFERROR(IF(B156="","",VLOOKUP(B156,CadProd!$A:$C,3,0)),"")</f>
        <v/>
      </c>
      <c r="G156" s="1" t="str">
        <f t="shared" si="2"/>
        <v/>
      </c>
    </row>
    <row r="157" spans="3:7" x14ac:dyDescent="0.3">
      <c r="C157" t="str">
        <f>IFERROR(IF(B157="","",VLOOKUP(B157,CadProd!$A:$B,2,0)),"")</f>
        <v/>
      </c>
      <c r="D157" t="str">
        <f>IFERROR(IF(B157="","",VLOOKUP(B157,CadProd!$A:$C,3,0)),"")</f>
        <v/>
      </c>
      <c r="G157" s="1" t="str">
        <f t="shared" si="2"/>
        <v/>
      </c>
    </row>
    <row r="158" spans="3:7" x14ac:dyDescent="0.3">
      <c r="C158" t="str">
        <f>IFERROR(IF(B158="","",VLOOKUP(B158,CadProd!$A:$B,2,0)),"")</f>
        <v/>
      </c>
      <c r="D158" t="str">
        <f>IFERROR(IF(B158="","",VLOOKUP(B158,CadProd!$A:$C,3,0)),"")</f>
        <v/>
      </c>
      <c r="G158" s="1" t="str">
        <f t="shared" si="2"/>
        <v/>
      </c>
    </row>
    <row r="159" spans="3:7" x14ac:dyDescent="0.3">
      <c r="C159" t="str">
        <f>IFERROR(IF(B159="","",VLOOKUP(B159,CadProd!$A:$B,2,0)),"")</f>
        <v/>
      </c>
      <c r="D159" t="str">
        <f>IFERROR(IF(B159="","",VLOOKUP(B159,CadProd!$A:$C,3,0)),"")</f>
        <v/>
      </c>
      <c r="G159" s="1" t="str">
        <f t="shared" si="2"/>
        <v/>
      </c>
    </row>
    <row r="160" spans="3:7" x14ac:dyDescent="0.3">
      <c r="C160" t="str">
        <f>IFERROR(IF(B160="","",VLOOKUP(B160,CadProd!$A:$B,2,0)),"")</f>
        <v/>
      </c>
      <c r="D160" t="str">
        <f>IFERROR(IF(B160="","",VLOOKUP(B160,CadProd!$A:$C,3,0)),"")</f>
        <v/>
      </c>
      <c r="G160" s="1" t="str">
        <f t="shared" si="2"/>
        <v/>
      </c>
    </row>
    <row r="161" spans="3:7" x14ac:dyDescent="0.3">
      <c r="C161" t="str">
        <f>IFERROR(IF(B161="","",VLOOKUP(B161,CadProd!$A:$B,2,0)),"")</f>
        <v/>
      </c>
      <c r="D161" t="str">
        <f>IFERROR(IF(B161="","",VLOOKUP(B161,CadProd!$A:$C,3,0)),"")</f>
        <v/>
      </c>
      <c r="G161" s="1" t="str">
        <f t="shared" si="2"/>
        <v/>
      </c>
    </row>
    <row r="162" spans="3:7" x14ac:dyDescent="0.3">
      <c r="C162" t="str">
        <f>IFERROR(IF(B162="","",VLOOKUP(B162,CadProd!$A:$B,2,0)),"")</f>
        <v/>
      </c>
      <c r="D162" t="str">
        <f>IFERROR(IF(B162="","",VLOOKUP(B162,CadProd!$A:$C,3,0)),"")</f>
        <v/>
      </c>
      <c r="G162" s="1" t="str">
        <f t="shared" si="2"/>
        <v/>
      </c>
    </row>
    <row r="163" spans="3:7" x14ac:dyDescent="0.3">
      <c r="C163" t="str">
        <f>IFERROR(IF(B163="","",VLOOKUP(B163,CadProd!$A:$B,2,0)),"")</f>
        <v/>
      </c>
      <c r="D163" t="str">
        <f>IFERROR(IF(B163="","",VLOOKUP(B163,CadProd!$A:$C,3,0)),"")</f>
        <v/>
      </c>
      <c r="G163" s="1" t="str">
        <f t="shared" si="2"/>
        <v/>
      </c>
    </row>
    <row r="164" spans="3:7" x14ac:dyDescent="0.3">
      <c r="C164" t="str">
        <f>IFERROR(IF(B164="","",VLOOKUP(B164,CadProd!$A:$B,2,0)),"")</f>
        <v/>
      </c>
      <c r="D164" t="str">
        <f>IFERROR(IF(B164="","",VLOOKUP(B164,CadProd!$A:$C,3,0)),"")</f>
        <v/>
      </c>
      <c r="G164" s="1" t="str">
        <f t="shared" si="2"/>
        <v/>
      </c>
    </row>
    <row r="165" spans="3:7" x14ac:dyDescent="0.3">
      <c r="C165" t="str">
        <f>IFERROR(IF(B165="","",VLOOKUP(B165,CadProd!$A:$B,2,0)),"")</f>
        <v/>
      </c>
      <c r="D165" t="str">
        <f>IFERROR(IF(B165="","",VLOOKUP(B165,CadProd!$A:$C,3,0)),"")</f>
        <v/>
      </c>
      <c r="G165" s="1" t="str">
        <f t="shared" si="2"/>
        <v/>
      </c>
    </row>
    <row r="166" spans="3:7" x14ac:dyDescent="0.3">
      <c r="C166" t="str">
        <f>IFERROR(IF(B166="","",VLOOKUP(B166,CadProd!$A:$B,2,0)),"")</f>
        <v/>
      </c>
      <c r="D166" t="str">
        <f>IFERROR(IF(B166="","",VLOOKUP(B166,CadProd!$A:$C,3,0)),"")</f>
        <v/>
      </c>
      <c r="G166" s="1" t="str">
        <f t="shared" si="2"/>
        <v/>
      </c>
    </row>
    <row r="167" spans="3:7" x14ac:dyDescent="0.3">
      <c r="C167" t="str">
        <f>IFERROR(IF(B167="","",VLOOKUP(B167,CadProd!$A:$B,2,0)),"")</f>
        <v/>
      </c>
      <c r="D167" t="str">
        <f>IFERROR(IF(B167="","",VLOOKUP(B167,CadProd!$A:$C,3,0)),"")</f>
        <v/>
      </c>
      <c r="G167" s="1" t="str">
        <f t="shared" si="2"/>
        <v/>
      </c>
    </row>
    <row r="168" spans="3:7" x14ac:dyDescent="0.3">
      <c r="C168" t="str">
        <f>IFERROR(IF(B168="","",VLOOKUP(B168,CadProd!$A:$B,2,0)),"")</f>
        <v/>
      </c>
      <c r="D168" t="str">
        <f>IFERROR(IF(B168="","",VLOOKUP(B168,CadProd!$A:$C,3,0)),"")</f>
        <v/>
      </c>
      <c r="G168" s="1" t="str">
        <f t="shared" si="2"/>
        <v/>
      </c>
    </row>
    <row r="169" spans="3:7" x14ac:dyDescent="0.3">
      <c r="C169" t="str">
        <f>IFERROR(IF(B169="","",VLOOKUP(B169,CadProd!$A:$B,2,0)),"")</f>
        <v/>
      </c>
      <c r="D169" t="str">
        <f>IFERROR(IF(B169="","",VLOOKUP(B169,CadProd!$A:$C,3,0)),"")</f>
        <v/>
      </c>
      <c r="G169" s="1" t="str">
        <f t="shared" si="2"/>
        <v/>
      </c>
    </row>
    <row r="170" spans="3:7" x14ac:dyDescent="0.3">
      <c r="C170" t="str">
        <f>IFERROR(IF(B170="","",VLOOKUP(B170,CadProd!$A:$B,2,0)),"")</f>
        <v/>
      </c>
      <c r="D170" t="str">
        <f>IFERROR(IF(B170="","",VLOOKUP(B170,CadProd!$A:$C,3,0)),"")</f>
        <v/>
      </c>
      <c r="G170" s="1" t="str">
        <f t="shared" si="2"/>
        <v/>
      </c>
    </row>
    <row r="171" spans="3:7" x14ac:dyDescent="0.3">
      <c r="C171" t="str">
        <f>IFERROR(IF(B171="","",VLOOKUP(B171,CadProd!$A:$B,2,0)),"")</f>
        <v/>
      </c>
      <c r="D171" t="str">
        <f>IFERROR(IF(B171="","",VLOOKUP(B171,CadProd!$A:$C,3,0)),"")</f>
        <v/>
      </c>
      <c r="G171" s="1" t="str">
        <f t="shared" si="2"/>
        <v/>
      </c>
    </row>
    <row r="172" spans="3:7" x14ac:dyDescent="0.3">
      <c r="C172" t="str">
        <f>IFERROR(IF(B172="","",VLOOKUP(B172,CadProd!$A:$B,2,0)),"")</f>
        <v/>
      </c>
      <c r="D172" t="str">
        <f>IFERROR(IF(B172="","",VLOOKUP(B172,CadProd!$A:$C,3,0)),"")</f>
        <v/>
      </c>
      <c r="G172" s="1" t="str">
        <f t="shared" si="2"/>
        <v/>
      </c>
    </row>
    <row r="173" spans="3:7" x14ac:dyDescent="0.3">
      <c r="C173" t="str">
        <f>IFERROR(IF(B173="","",VLOOKUP(B173,CadProd!$A:$B,2,0)),"")</f>
        <v/>
      </c>
      <c r="D173" t="str">
        <f>IFERROR(IF(B173="","",VLOOKUP(B173,CadProd!$A:$C,3,0)),"")</f>
        <v/>
      </c>
      <c r="G173" s="1" t="str">
        <f t="shared" si="2"/>
        <v/>
      </c>
    </row>
    <row r="174" spans="3:7" x14ac:dyDescent="0.3">
      <c r="C174" t="str">
        <f>IFERROR(IF(B174="","",VLOOKUP(B174,CadProd!$A:$B,2,0)),"")</f>
        <v/>
      </c>
      <c r="D174" t="str">
        <f>IFERROR(IF(B174="","",VLOOKUP(B174,CadProd!$A:$C,3,0)),"")</f>
        <v/>
      </c>
      <c r="G174" s="1" t="str">
        <f t="shared" si="2"/>
        <v/>
      </c>
    </row>
    <row r="175" spans="3:7" x14ac:dyDescent="0.3">
      <c r="C175" t="str">
        <f>IFERROR(IF(B175="","",VLOOKUP(B175,CadProd!$A:$B,2,0)),"")</f>
        <v/>
      </c>
      <c r="D175" t="str">
        <f>IFERROR(IF(B175="","",VLOOKUP(B175,CadProd!$A:$C,3,0)),"")</f>
        <v/>
      </c>
      <c r="G175" s="1" t="str">
        <f t="shared" si="2"/>
        <v/>
      </c>
    </row>
    <row r="176" spans="3:7" x14ac:dyDescent="0.3">
      <c r="C176" t="str">
        <f>IFERROR(IF(B176="","",VLOOKUP(B176,CadProd!$A:$B,2,0)),"")</f>
        <v/>
      </c>
      <c r="D176" t="str">
        <f>IFERROR(IF(B176="","",VLOOKUP(B176,CadProd!$A:$C,3,0)),"")</f>
        <v/>
      </c>
      <c r="G176" s="1" t="str">
        <f t="shared" si="2"/>
        <v/>
      </c>
    </row>
    <row r="177" spans="3:7" x14ac:dyDescent="0.3">
      <c r="C177" t="str">
        <f>IFERROR(IF(B177="","",VLOOKUP(B177,CadProd!$A:$B,2,0)),"")</f>
        <v/>
      </c>
      <c r="D177" t="str">
        <f>IFERROR(IF(B177="","",VLOOKUP(B177,CadProd!$A:$C,3,0)),"")</f>
        <v/>
      </c>
      <c r="G177" s="1" t="str">
        <f t="shared" si="2"/>
        <v/>
      </c>
    </row>
    <row r="178" spans="3:7" x14ac:dyDescent="0.3">
      <c r="C178" t="str">
        <f>IFERROR(IF(B178="","",VLOOKUP(B178,CadProd!$A:$B,2,0)),"")</f>
        <v/>
      </c>
      <c r="D178" t="str">
        <f>IFERROR(IF(B178="","",VLOOKUP(B178,CadProd!$A:$C,3,0)),"")</f>
        <v/>
      </c>
      <c r="G178" s="1" t="str">
        <f t="shared" si="2"/>
        <v/>
      </c>
    </row>
    <row r="179" spans="3:7" x14ac:dyDescent="0.3">
      <c r="C179" t="str">
        <f>IFERROR(IF(B179="","",VLOOKUP(B179,CadProd!$A:$B,2,0)),"")</f>
        <v/>
      </c>
      <c r="D179" t="str">
        <f>IFERROR(IF(B179="","",VLOOKUP(B179,CadProd!$A:$C,3,0)),"")</f>
        <v/>
      </c>
      <c r="G179" s="1" t="str">
        <f t="shared" si="2"/>
        <v/>
      </c>
    </row>
    <row r="180" spans="3:7" x14ac:dyDescent="0.3">
      <c r="C180" t="str">
        <f>IFERROR(IF(B180="","",VLOOKUP(B180,CadProd!$A:$B,2,0)),"")</f>
        <v/>
      </c>
      <c r="D180" t="str">
        <f>IFERROR(IF(B180="","",VLOOKUP(B180,CadProd!$A:$C,3,0)),"")</f>
        <v/>
      </c>
      <c r="G180" s="1" t="str">
        <f t="shared" si="2"/>
        <v/>
      </c>
    </row>
    <row r="181" spans="3:7" x14ac:dyDescent="0.3">
      <c r="C181" t="str">
        <f>IFERROR(IF(B181="","",VLOOKUP(B181,CadProd!$A:$B,2,0)),"")</f>
        <v/>
      </c>
      <c r="D181" t="str">
        <f>IFERROR(IF(B181="","",VLOOKUP(B181,CadProd!$A:$C,3,0)),"")</f>
        <v/>
      </c>
      <c r="G181" s="1" t="str">
        <f t="shared" si="2"/>
        <v/>
      </c>
    </row>
    <row r="182" spans="3:7" x14ac:dyDescent="0.3">
      <c r="C182" t="str">
        <f>IFERROR(IF(B182="","",VLOOKUP(B182,CadProd!$A:$B,2,0)),"")</f>
        <v/>
      </c>
      <c r="D182" t="str">
        <f>IFERROR(IF(B182="","",VLOOKUP(B182,CadProd!$A:$C,3,0)),"")</f>
        <v/>
      </c>
      <c r="G182" s="1" t="str">
        <f t="shared" si="2"/>
        <v/>
      </c>
    </row>
    <row r="183" spans="3:7" x14ac:dyDescent="0.3">
      <c r="C183" t="str">
        <f>IFERROR(IF(B183="","",VLOOKUP(B183,CadProd!$A:$B,2,0)),"")</f>
        <v/>
      </c>
      <c r="D183" t="str">
        <f>IFERROR(IF(B183="","",VLOOKUP(B183,CadProd!$A:$C,3,0)),"")</f>
        <v/>
      </c>
      <c r="G183" s="1" t="str">
        <f t="shared" si="2"/>
        <v/>
      </c>
    </row>
    <row r="184" spans="3:7" x14ac:dyDescent="0.3">
      <c r="C184" t="str">
        <f>IFERROR(IF(B184="","",VLOOKUP(B184,CadProd!$A:$B,2,0)),"")</f>
        <v/>
      </c>
      <c r="D184" t="str">
        <f>IFERROR(IF(B184="","",VLOOKUP(B184,CadProd!$A:$C,3,0)),"")</f>
        <v/>
      </c>
      <c r="G184" s="1" t="str">
        <f t="shared" si="2"/>
        <v/>
      </c>
    </row>
    <row r="185" spans="3:7" x14ac:dyDescent="0.3">
      <c r="C185" t="str">
        <f>IFERROR(IF(B185="","",VLOOKUP(B185,CadProd!$A:$B,2,0)),"")</f>
        <v/>
      </c>
      <c r="D185" t="str">
        <f>IFERROR(IF(B185="","",VLOOKUP(B185,CadProd!$A:$C,3,0)),"")</f>
        <v/>
      </c>
      <c r="G185" s="1" t="str">
        <f t="shared" si="2"/>
        <v/>
      </c>
    </row>
    <row r="186" spans="3:7" x14ac:dyDescent="0.3">
      <c r="C186" t="str">
        <f>IFERROR(IF(B186="","",VLOOKUP(B186,CadProd!$A:$B,2,0)),"")</f>
        <v/>
      </c>
      <c r="D186" t="str">
        <f>IFERROR(IF(B186="","",VLOOKUP(B186,CadProd!$A:$C,3,0)),"")</f>
        <v/>
      </c>
      <c r="G186" s="1" t="str">
        <f t="shared" si="2"/>
        <v/>
      </c>
    </row>
    <row r="187" spans="3:7" x14ac:dyDescent="0.3">
      <c r="C187" t="str">
        <f>IFERROR(IF(B187="","",VLOOKUP(B187,CadProd!$A:$B,2,0)),"")</f>
        <v/>
      </c>
      <c r="D187" t="str">
        <f>IFERROR(IF(B187="","",VLOOKUP(B187,CadProd!$A:$C,3,0)),"")</f>
        <v/>
      </c>
      <c r="G187" s="1" t="str">
        <f t="shared" si="2"/>
        <v/>
      </c>
    </row>
    <row r="188" spans="3:7" x14ac:dyDescent="0.3">
      <c r="C188" t="str">
        <f>IFERROR(IF(B188="","",VLOOKUP(B188,CadProd!$A:$B,2,0)),"")</f>
        <v/>
      </c>
      <c r="D188" t="str">
        <f>IFERROR(IF(B188="","",VLOOKUP(B188,CadProd!$A:$C,3,0)),"")</f>
        <v/>
      </c>
      <c r="G188" s="1" t="str">
        <f t="shared" si="2"/>
        <v/>
      </c>
    </row>
    <row r="189" spans="3:7" x14ac:dyDescent="0.3">
      <c r="C189" t="str">
        <f>IFERROR(IF(B189="","",VLOOKUP(B189,CadProd!$A:$B,2,0)),"")</f>
        <v/>
      </c>
      <c r="D189" t="str">
        <f>IFERROR(IF(B189="","",VLOOKUP(B189,CadProd!$A:$C,3,0)),"")</f>
        <v/>
      </c>
      <c r="G189" s="1" t="str">
        <f t="shared" si="2"/>
        <v/>
      </c>
    </row>
    <row r="190" spans="3:7" x14ac:dyDescent="0.3">
      <c r="C190" t="str">
        <f>IFERROR(IF(B190="","",VLOOKUP(B190,CadProd!$A:$B,2,0)),"")</f>
        <v/>
      </c>
      <c r="D190" t="str">
        <f>IFERROR(IF(B190="","",VLOOKUP(B190,CadProd!$A:$C,3,0)),"")</f>
        <v/>
      </c>
      <c r="G190" s="1" t="str">
        <f t="shared" si="2"/>
        <v/>
      </c>
    </row>
    <row r="191" spans="3:7" x14ac:dyDescent="0.3">
      <c r="C191" t="str">
        <f>IFERROR(IF(B191="","",VLOOKUP(B191,CadProd!$A:$B,2,0)),"")</f>
        <v/>
      </c>
      <c r="D191" t="str">
        <f>IFERROR(IF(B191="","",VLOOKUP(B191,CadProd!$A:$C,3,0)),"")</f>
        <v/>
      </c>
      <c r="G191" s="1" t="str">
        <f t="shared" si="2"/>
        <v/>
      </c>
    </row>
    <row r="192" spans="3:7" x14ac:dyDescent="0.3">
      <c r="C192" t="str">
        <f>IFERROR(IF(B192="","",VLOOKUP(B192,CadProd!$A:$B,2,0)),"")</f>
        <v/>
      </c>
      <c r="D192" t="str">
        <f>IFERROR(IF(B192="","",VLOOKUP(B192,CadProd!$A:$C,3,0)),"")</f>
        <v/>
      </c>
      <c r="G192" s="1" t="str">
        <f t="shared" si="2"/>
        <v/>
      </c>
    </row>
    <row r="193" spans="3:7" x14ac:dyDescent="0.3">
      <c r="C193" t="str">
        <f>IFERROR(IF(B193="","",VLOOKUP(B193,CadProd!$A:$B,2,0)),"")</f>
        <v/>
      </c>
      <c r="D193" t="str">
        <f>IFERROR(IF(B193="","",VLOOKUP(B193,CadProd!$A:$C,3,0)),"")</f>
        <v/>
      </c>
      <c r="G193" s="1" t="str">
        <f t="shared" si="2"/>
        <v/>
      </c>
    </row>
    <row r="194" spans="3:7" x14ac:dyDescent="0.3">
      <c r="C194" t="str">
        <f>IFERROR(IF(B194="","",VLOOKUP(B194,CadProd!$A:$B,2,0)),"")</f>
        <v/>
      </c>
      <c r="D194" t="str">
        <f>IFERROR(IF(B194="","",VLOOKUP(B194,CadProd!$A:$C,3,0)),"")</f>
        <v/>
      </c>
      <c r="G194" s="1" t="str">
        <f t="shared" ref="G194:G257" si="3">IFERROR(IF(B194="","",F194*E194),"")</f>
        <v/>
      </c>
    </row>
    <row r="195" spans="3:7" x14ac:dyDescent="0.3">
      <c r="C195" t="str">
        <f>IFERROR(IF(B195="","",VLOOKUP(B195,CadProd!$A:$B,2,0)),"")</f>
        <v/>
      </c>
      <c r="D195" t="str">
        <f>IFERROR(IF(B195="","",VLOOKUP(B195,CadProd!$A:$C,3,0)),"")</f>
        <v/>
      </c>
      <c r="G195" s="1" t="str">
        <f t="shared" si="3"/>
        <v/>
      </c>
    </row>
    <row r="196" spans="3:7" x14ac:dyDescent="0.3">
      <c r="C196" t="str">
        <f>IFERROR(IF(B196="","",VLOOKUP(B196,CadProd!$A:$B,2,0)),"")</f>
        <v/>
      </c>
      <c r="D196" t="str">
        <f>IFERROR(IF(B196="","",VLOOKUP(B196,CadProd!$A:$C,3,0)),"")</f>
        <v/>
      </c>
      <c r="G196" s="1" t="str">
        <f t="shared" si="3"/>
        <v/>
      </c>
    </row>
    <row r="197" spans="3:7" x14ac:dyDescent="0.3">
      <c r="C197" t="str">
        <f>IFERROR(IF(B197="","",VLOOKUP(B197,CadProd!$A:$B,2,0)),"")</f>
        <v/>
      </c>
      <c r="D197" t="str">
        <f>IFERROR(IF(B197="","",VLOOKUP(B197,CadProd!$A:$C,3,0)),"")</f>
        <v/>
      </c>
      <c r="G197" s="1" t="str">
        <f t="shared" si="3"/>
        <v/>
      </c>
    </row>
    <row r="198" spans="3:7" x14ac:dyDescent="0.3">
      <c r="C198" t="str">
        <f>IFERROR(IF(B198="","",VLOOKUP(B198,CadProd!$A:$B,2,0)),"")</f>
        <v/>
      </c>
      <c r="D198" t="str">
        <f>IFERROR(IF(B198="","",VLOOKUP(B198,CadProd!$A:$C,3,0)),"")</f>
        <v/>
      </c>
      <c r="G198" s="1" t="str">
        <f t="shared" si="3"/>
        <v/>
      </c>
    </row>
    <row r="199" spans="3:7" x14ac:dyDescent="0.3">
      <c r="C199" t="str">
        <f>IFERROR(IF(B199="","",VLOOKUP(B199,CadProd!$A:$B,2,0)),"")</f>
        <v/>
      </c>
      <c r="D199" t="str">
        <f>IFERROR(IF(B199="","",VLOOKUP(B199,CadProd!$A:$C,3,0)),"")</f>
        <v/>
      </c>
      <c r="G199" s="1" t="str">
        <f t="shared" si="3"/>
        <v/>
      </c>
    </row>
    <row r="200" spans="3:7" x14ac:dyDescent="0.3">
      <c r="C200" t="str">
        <f>IFERROR(IF(B200="","",VLOOKUP(B200,CadProd!$A:$B,2,0)),"")</f>
        <v/>
      </c>
      <c r="D200" t="str">
        <f>IFERROR(IF(B200="","",VLOOKUP(B200,CadProd!$A:$C,3,0)),"")</f>
        <v/>
      </c>
      <c r="G200" s="1" t="str">
        <f t="shared" si="3"/>
        <v/>
      </c>
    </row>
    <row r="201" spans="3:7" x14ac:dyDescent="0.3">
      <c r="C201" t="str">
        <f>IFERROR(IF(B201="","",VLOOKUP(B201,CadProd!$A:$B,2,0)),"")</f>
        <v/>
      </c>
      <c r="D201" t="str">
        <f>IFERROR(IF(B201="","",VLOOKUP(B201,CadProd!$A:$C,3,0)),"")</f>
        <v/>
      </c>
      <c r="G201" s="1" t="str">
        <f t="shared" si="3"/>
        <v/>
      </c>
    </row>
    <row r="202" spans="3:7" x14ac:dyDescent="0.3">
      <c r="C202" t="str">
        <f>IFERROR(IF(B202="","",VLOOKUP(B202,CadProd!$A:$B,2,0)),"")</f>
        <v/>
      </c>
      <c r="D202" t="str">
        <f>IFERROR(IF(B202="","",VLOOKUP(B202,CadProd!$A:$C,3,0)),"")</f>
        <v/>
      </c>
      <c r="G202" s="1" t="str">
        <f t="shared" si="3"/>
        <v/>
      </c>
    </row>
    <row r="203" spans="3:7" x14ac:dyDescent="0.3">
      <c r="C203" t="str">
        <f>IFERROR(IF(B203="","",VLOOKUP(B203,CadProd!$A:$B,2,0)),"")</f>
        <v/>
      </c>
      <c r="D203" t="str">
        <f>IFERROR(IF(B203="","",VLOOKUP(B203,CadProd!$A:$C,3,0)),"")</f>
        <v/>
      </c>
      <c r="G203" s="1" t="str">
        <f t="shared" si="3"/>
        <v/>
      </c>
    </row>
    <row r="204" spans="3:7" x14ac:dyDescent="0.3">
      <c r="C204" t="str">
        <f>IFERROR(IF(B204="","",VLOOKUP(B204,CadProd!$A:$B,2,0)),"")</f>
        <v/>
      </c>
      <c r="D204" t="str">
        <f>IFERROR(IF(B204="","",VLOOKUP(B204,CadProd!$A:$C,3,0)),"")</f>
        <v/>
      </c>
      <c r="G204" s="1" t="str">
        <f t="shared" si="3"/>
        <v/>
      </c>
    </row>
    <row r="205" spans="3:7" x14ac:dyDescent="0.3">
      <c r="C205" t="str">
        <f>IFERROR(IF(B205="","",VLOOKUP(B205,CadProd!$A:$B,2,0)),"")</f>
        <v/>
      </c>
      <c r="D205" t="str">
        <f>IFERROR(IF(B205="","",VLOOKUP(B205,CadProd!$A:$C,3,0)),"")</f>
        <v/>
      </c>
      <c r="G205" s="1" t="str">
        <f t="shared" si="3"/>
        <v/>
      </c>
    </row>
    <row r="206" spans="3:7" x14ac:dyDescent="0.3">
      <c r="C206" t="str">
        <f>IFERROR(IF(B206="","",VLOOKUP(B206,CadProd!$A:$B,2,0)),"")</f>
        <v/>
      </c>
      <c r="D206" t="str">
        <f>IFERROR(IF(B206="","",VLOOKUP(B206,CadProd!$A:$C,3,0)),"")</f>
        <v/>
      </c>
      <c r="G206" s="1" t="str">
        <f t="shared" si="3"/>
        <v/>
      </c>
    </row>
    <row r="207" spans="3:7" x14ac:dyDescent="0.3">
      <c r="C207" t="str">
        <f>IFERROR(IF(B207="","",VLOOKUP(B207,CadProd!$A:$B,2,0)),"")</f>
        <v/>
      </c>
      <c r="D207" t="str">
        <f>IFERROR(IF(B207="","",VLOOKUP(B207,CadProd!$A:$C,3,0)),"")</f>
        <v/>
      </c>
      <c r="G207" s="1" t="str">
        <f t="shared" si="3"/>
        <v/>
      </c>
    </row>
    <row r="208" spans="3:7" x14ac:dyDescent="0.3">
      <c r="C208" t="str">
        <f>IFERROR(IF(B208="","",VLOOKUP(B208,CadProd!$A:$B,2,0)),"")</f>
        <v/>
      </c>
      <c r="D208" t="str">
        <f>IFERROR(IF(B208="","",VLOOKUP(B208,CadProd!$A:$C,3,0)),"")</f>
        <v/>
      </c>
      <c r="G208" s="1" t="str">
        <f t="shared" si="3"/>
        <v/>
      </c>
    </row>
    <row r="209" spans="3:7" x14ac:dyDescent="0.3">
      <c r="C209" t="str">
        <f>IFERROR(IF(B209="","",VLOOKUP(B209,CadProd!$A:$B,2,0)),"")</f>
        <v/>
      </c>
      <c r="D209" t="str">
        <f>IFERROR(IF(B209="","",VLOOKUP(B209,CadProd!$A:$C,3,0)),"")</f>
        <v/>
      </c>
      <c r="G209" s="1" t="str">
        <f t="shared" si="3"/>
        <v/>
      </c>
    </row>
    <row r="210" spans="3:7" x14ac:dyDescent="0.3">
      <c r="C210" t="str">
        <f>IFERROR(IF(B210="","",VLOOKUP(B210,CadProd!$A:$B,2,0)),"")</f>
        <v/>
      </c>
      <c r="D210" t="str">
        <f>IFERROR(IF(B210="","",VLOOKUP(B210,CadProd!$A:$C,3,0)),"")</f>
        <v/>
      </c>
      <c r="G210" s="1" t="str">
        <f t="shared" si="3"/>
        <v/>
      </c>
    </row>
    <row r="211" spans="3:7" x14ac:dyDescent="0.3">
      <c r="C211" t="str">
        <f>IFERROR(IF(B211="","",VLOOKUP(B211,CadProd!$A:$B,2,0)),"")</f>
        <v/>
      </c>
      <c r="D211" t="str">
        <f>IFERROR(IF(B211="","",VLOOKUP(B211,CadProd!$A:$C,3,0)),"")</f>
        <v/>
      </c>
      <c r="G211" s="1" t="str">
        <f t="shared" si="3"/>
        <v/>
      </c>
    </row>
    <row r="212" spans="3:7" x14ac:dyDescent="0.3">
      <c r="C212" t="str">
        <f>IFERROR(IF(B212="","",VLOOKUP(B212,CadProd!$A:$B,2,0)),"")</f>
        <v/>
      </c>
      <c r="D212" t="str">
        <f>IFERROR(IF(B212="","",VLOOKUP(B212,CadProd!$A:$C,3,0)),"")</f>
        <v/>
      </c>
      <c r="G212" s="1" t="str">
        <f t="shared" si="3"/>
        <v/>
      </c>
    </row>
    <row r="213" spans="3:7" x14ac:dyDescent="0.3">
      <c r="C213" t="str">
        <f>IFERROR(IF(B213="","",VLOOKUP(B213,CadProd!$A:$B,2,0)),"")</f>
        <v/>
      </c>
      <c r="D213" t="str">
        <f>IFERROR(IF(B213="","",VLOOKUP(B213,CadProd!$A:$C,3,0)),"")</f>
        <v/>
      </c>
      <c r="G213" s="1" t="str">
        <f t="shared" si="3"/>
        <v/>
      </c>
    </row>
    <row r="214" spans="3:7" x14ac:dyDescent="0.3">
      <c r="C214" t="str">
        <f>IFERROR(IF(B214="","",VLOOKUP(B214,CadProd!$A:$B,2,0)),"")</f>
        <v/>
      </c>
      <c r="D214" t="str">
        <f>IFERROR(IF(B214="","",VLOOKUP(B214,CadProd!$A:$C,3,0)),"")</f>
        <v/>
      </c>
      <c r="G214" s="1" t="str">
        <f t="shared" si="3"/>
        <v/>
      </c>
    </row>
    <row r="215" spans="3:7" x14ac:dyDescent="0.3">
      <c r="C215" t="str">
        <f>IFERROR(IF(B215="","",VLOOKUP(B215,CadProd!$A:$B,2,0)),"")</f>
        <v/>
      </c>
      <c r="D215" t="str">
        <f>IFERROR(IF(B215="","",VLOOKUP(B215,CadProd!$A:$C,3,0)),"")</f>
        <v/>
      </c>
      <c r="G215" s="1" t="str">
        <f t="shared" si="3"/>
        <v/>
      </c>
    </row>
    <row r="216" spans="3:7" x14ac:dyDescent="0.3">
      <c r="C216" t="str">
        <f>IFERROR(IF(B216="","",VLOOKUP(B216,CadProd!$A:$B,2,0)),"")</f>
        <v/>
      </c>
      <c r="D216" t="str">
        <f>IFERROR(IF(B216="","",VLOOKUP(B216,CadProd!$A:$C,3,0)),"")</f>
        <v/>
      </c>
      <c r="G216" s="1" t="str">
        <f t="shared" si="3"/>
        <v/>
      </c>
    </row>
    <row r="217" spans="3:7" x14ac:dyDescent="0.3">
      <c r="C217" t="str">
        <f>IFERROR(IF(B217="","",VLOOKUP(B217,CadProd!$A:$B,2,0)),"")</f>
        <v/>
      </c>
      <c r="D217" t="str">
        <f>IFERROR(IF(B217="","",VLOOKUP(B217,CadProd!$A:$C,3,0)),"")</f>
        <v/>
      </c>
      <c r="G217" s="1" t="str">
        <f t="shared" si="3"/>
        <v/>
      </c>
    </row>
    <row r="218" spans="3:7" x14ac:dyDescent="0.3">
      <c r="C218" t="str">
        <f>IFERROR(IF(B218="","",VLOOKUP(B218,CadProd!$A:$B,2,0)),"")</f>
        <v/>
      </c>
      <c r="D218" t="str">
        <f>IFERROR(IF(B218="","",VLOOKUP(B218,CadProd!$A:$C,3,0)),"")</f>
        <v/>
      </c>
      <c r="G218" s="1" t="str">
        <f t="shared" si="3"/>
        <v/>
      </c>
    </row>
    <row r="219" spans="3:7" x14ac:dyDescent="0.3">
      <c r="C219" t="str">
        <f>IFERROR(IF(B219="","",VLOOKUP(B219,CadProd!$A:$B,2,0)),"")</f>
        <v/>
      </c>
      <c r="D219" t="str">
        <f>IFERROR(IF(B219="","",VLOOKUP(B219,CadProd!$A:$C,3,0)),"")</f>
        <v/>
      </c>
      <c r="G219" s="1" t="str">
        <f t="shared" si="3"/>
        <v/>
      </c>
    </row>
    <row r="220" spans="3:7" x14ac:dyDescent="0.3">
      <c r="C220" t="str">
        <f>IFERROR(IF(B220="","",VLOOKUP(B220,CadProd!$A:$B,2,0)),"")</f>
        <v/>
      </c>
      <c r="D220" t="str">
        <f>IFERROR(IF(B220="","",VLOOKUP(B220,CadProd!$A:$C,3,0)),"")</f>
        <v/>
      </c>
      <c r="G220" s="1" t="str">
        <f t="shared" si="3"/>
        <v/>
      </c>
    </row>
    <row r="221" spans="3:7" x14ac:dyDescent="0.3">
      <c r="C221" t="str">
        <f>IFERROR(IF(B221="","",VLOOKUP(B221,CadProd!$A:$B,2,0)),"")</f>
        <v/>
      </c>
      <c r="D221" t="str">
        <f>IFERROR(IF(B221="","",VLOOKUP(B221,CadProd!$A:$C,3,0)),"")</f>
        <v/>
      </c>
      <c r="G221" s="1" t="str">
        <f t="shared" si="3"/>
        <v/>
      </c>
    </row>
    <row r="222" spans="3:7" x14ac:dyDescent="0.3">
      <c r="C222" t="str">
        <f>IFERROR(IF(B222="","",VLOOKUP(B222,CadProd!$A:$B,2,0)),"")</f>
        <v/>
      </c>
      <c r="D222" t="str">
        <f>IFERROR(IF(B222="","",VLOOKUP(B222,CadProd!$A:$C,3,0)),"")</f>
        <v/>
      </c>
      <c r="G222" s="1" t="str">
        <f t="shared" si="3"/>
        <v/>
      </c>
    </row>
    <row r="223" spans="3:7" x14ac:dyDescent="0.3">
      <c r="C223" t="str">
        <f>IFERROR(IF(B223="","",VLOOKUP(B223,CadProd!$A:$B,2,0)),"")</f>
        <v/>
      </c>
      <c r="D223" t="str">
        <f>IFERROR(IF(B223="","",VLOOKUP(B223,CadProd!$A:$C,3,0)),"")</f>
        <v/>
      </c>
      <c r="G223" s="1" t="str">
        <f t="shared" si="3"/>
        <v/>
      </c>
    </row>
    <row r="224" spans="3:7" x14ac:dyDescent="0.3">
      <c r="C224" t="str">
        <f>IFERROR(IF(B224="","",VLOOKUP(B224,CadProd!$A:$B,2,0)),"")</f>
        <v/>
      </c>
      <c r="D224" t="str">
        <f>IFERROR(IF(B224="","",VLOOKUP(B224,CadProd!$A:$C,3,0)),"")</f>
        <v/>
      </c>
      <c r="G224" s="1" t="str">
        <f t="shared" si="3"/>
        <v/>
      </c>
    </row>
    <row r="225" spans="3:7" x14ac:dyDescent="0.3">
      <c r="C225" t="str">
        <f>IFERROR(IF(B225="","",VLOOKUP(B225,CadProd!$A:$B,2,0)),"")</f>
        <v/>
      </c>
      <c r="D225" t="str">
        <f>IFERROR(IF(B225="","",VLOOKUP(B225,CadProd!$A:$C,3,0)),"")</f>
        <v/>
      </c>
      <c r="G225" s="1" t="str">
        <f t="shared" si="3"/>
        <v/>
      </c>
    </row>
    <row r="226" spans="3:7" x14ac:dyDescent="0.3">
      <c r="C226" t="str">
        <f>IFERROR(IF(B226="","",VLOOKUP(B226,CadProd!$A:$B,2,0)),"")</f>
        <v/>
      </c>
      <c r="D226" t="str">
        <f>IFERROR(IF(B226="","",VLOOKUP(B226,CadProd!$A:$C,3,0)),"")</f>
        <v/>
      </c>
      <c r="G226" s="1" t="str">
        <f t="shared" si="3"/>
        <v/>
      </c>
    </row>
    <row r="227" spans="3:7" x14ac:dyDescent="0.3">
      <c r="C227" t="str">
        <f>IFERROR(IF(B227="","",VLOOKUP(B227,CadProd!$A:$B,2,0)),"")</f>
        <v/>
      </c>
      <c r="D227" t="str">
        <f>IFERROR(IF(B227="","",VLOOKUP(B227,CadProd!$A:$C,3,0)),"")</f>
        <v/>
      </c>
      <c r="G227" s="1" t="str">
        <f t="shared" si="3"/>
        <v/>
      </c>
    </row>
    <row r="228" spans="3:7" x14ac:dyDescent="0.3">
      <c r="C228" t="str">
        <f>IFERROR(IF(B228="","",VLOOKUP(B228,CadProd!$A:$B,2,0)),"")</f>
        <v/>
      </c>
      <c r="D228" t="str">
        <f>IFERROR(IF(B228="","",VLOOKUP(B228,CadProd!$A:$C,3,0)),"")</f>
        <v/>
      </c>
      <c r="G228" s="1" t="str">
        <f t="shared" si="3"/>
        <v/>
      </c>
    </row>
    <row r="229" spans="3:7" x14ac:dyDescent="0.3">
      <c r="C229" t="str">
        <f>IFERROR(IF(B229="","",VLOOKUP(B229,CadProd!$A:$B,2,0)),"")</f>
        <v/>
      </c>
      <c r="D229" t="str">
        <f>IFERROR(IF(B229="","",VLOOKUP(B229,CadProd!$A:$C,3,0)),"")</f>
        <v/>
      </c>
      <c r="G229" s="1" t="str">
        <f t="shared" si="3"/>
        <v/>
      </c>
    </row>
    <row r="230" spans="3:7" x14ac:dyDescent="0.3">
      <c r="C230" t="str">
        <f>IFERROR(IF(B230="","",VLOOKUP(B230,CadProd!$A:$B,2,0)),"")</f>
        <v/>
      </c>
      <c r="D230" t="str">
        <f>IFERROR(IF(B230="","",VLOOKUP(B230,CadProd!$A:$C,3,0)),"")</f>
        <v/>
      </c>
      <c r="G230" s="1" t="str">
        <f t="shared" si="3"/>
        <v/>
      </c>
    </row>
    <row r="231" spans="3:7" x14ac:dyDescent="0.3">
      <c r="C231" t="str">
        <f>IFERROR(IF(B231="","",VLOOKUP(B231,CadProd!$A:$B,2,0)),"")</f>
        <v/>
      </c>
      <c r="D231" t="str">
        <f>IFERROR(IF(B231="","",VLOOKUP(B231,CadProd!$A:$C,3,0)),"")</f>
        <v/>
      </c>
      <c r="G231" s="1" t="str">
        <f t="shared" si="3"/>
        <v/>
      </c>
    </row>
    <row r="232" spans="3:7" x14ac:dyDescent="0.3">
      <c r="C232" t="str">
        <f>IFERROR(IF(B232="","",VLOOKUP(B232,CadProd!$A:$B,2,0)),"")</f>
        <v/>
      </c>
      <c r="D232" t="str">
        <f>IFERROR(IF(B232="","",VLOOKUP(B232,CadProd!$A:$C,3,0)),"")</f>
        <v/>
      </c>
      <c r="G232" s="1" t="str">
        <f t="shared" si="3"/>
        <v/>
      </c>
    </row>
    <row r="233" spans="3:7" x14ac:dyDescent="0.3">
      <c r="C233" t="str">
        <f>IFERROR(IF(B233="","",VLOOKUP(B233,CadProd!$A:$B,2,0)),"")</f>
        <v/>
      </c>
      <c r="D233" t="str">
        <f>IFERROR(IF(B233="","",VLOOKUP(B233,CadProd!$A:$C,3,0)),"")</f>
        <v/>
      </c>
      <c r="G233" s="1" t="str">
        <f t="shared" si="3"/>
        <v/>
      </c>
    </row>
    <row r="234" spans="3:7" x14ac:dyDescent="0.3">
      <c r="C234" t="str">
        <f>IFERROR(IF(B234="","",VLOOKUP(B234,CadProd!$A:$B,2,0)),"")</f>
        <v/>
      </c>
      <c r="D234" t="str">
        <f>IFERROR(IF(B234="","",VLOOKUP(B234,CadProd!$A:$C,3,0)),"")</f>
        <v/>
      </c>
      <c r="G234" s="1" t="str">
        <f t="shared" si="3"/>
        <v/>
      </c>
    </row>
    <row r="235" spans="3:7" x14ac:dyDescent="0.3">
      <c r="C235" t="str">
        <f>IFERROR(IF(B235="","",VLOOKUP(B235,CadProd!$A:$B,2,0)),"")</f>
        <v/>
      </c>
      <c r="D235" t="str">
        <f>IFERROR(IF(B235="","",VLOOKUP(B235,CadProd!$A:$C,3,0)),"")</f>
        <v/>
      </c>
      <c r="G235" s="1" t="str">
        <f t="shared" si="3"/>
        <v/>
      </c>
    </row>
    <row r="236" spans="3:7" x14ac:dyDescent="0.3">
      <c r="C236" t="str">
        <f>IFERROR(IF(B236="","",VLOOKUP(B236,CadProd!$A:$B,2,0)),"")</f>
        <v/>
      </c>
      <c r="D236" t="str">
        <f>IFERROR(IF(B236="","",VLOOKUP(B236,CadProd!$A:$C,3,0)),"")</f>
        <v/>
      </c>
      <c r="G236" s="1" t="str">
        <f t="shared" si="3"/>
        <v/>
      </c>
    </row>
    <row r="237" spans="3:7" x14ac:dyDescent="0.3">
      <c r="C237" t="str">
        <f>IFERROR(IF(B237="","",VLOOKUP(B237,CadProd!$A:$B,2,0)),"")</f>
        <v/>
      </c>
      <c r="D237" t="str">
        <f>IFERROR(IF(B237="","",VLOOKUP(B237,CadProd!$A:$C,3,0)),"")</f>
        <v/>
      </c>
      <c r="G237" s="1" t="str">
        <f t="shared" si="3"/>
        <v/>
      </c>
    </row>
    <row r="238" spans="3:7" x14ac:dyDescent="0.3">
      <c r="C238" t="str">
        <f>IFERROR(IF(B238="","",VLOOKUP(B238,CadProd!$A:$B,2,0)),"")</f>
        <v/>
      </c>
      <c r="D238" t="str">
        <f>IFERROR(IF(B238="","",VLOOKUP(B238,CadProd!$A:$C,3,0)),"")</f>
        <v/>
      </c>
      <c r="G238" s="1" t="str">
        <f t="shared" si="3"/>
        <v/>
      </c>
    </row>
    <row r="239" spans="3:7" x14ac:dyDescent="0.3">
      <c r="C239" t="str">
        <f>IFERROR(IF(B239="","",VLOOKUP(B239,CadProd!$A:$B,2,0)),"")</f>
        <v/>
      </c>
      <c r="D239" t="str">
        <f>IFERROR(IF(B239="","",VLOOKUP(B239,CadProd!$A:$C,3,0)),"")</f>
        <v/>
      </c>
      <c r="G239" s="1" t="str">
        <f t="shared" si="3"/>
        <v/>
      </c>
    </row>
    <row r="240" spans="3:7" x14ac:dyDescent="0.3">
      <c r="C240" t="str">
        <f>IFERROR(IF(B240="","",VLOOKUP(B240,CadProd!$A:$B,2,0)),"")</f>
        <v/>
      </c>
      <c r="D240" t="str">
        <f>IFERROR(IF(B240="","",VLOOKUP(B240,CadProd!$A:$C,3,0)),"")</f>
        <v/>
      </c>
      <c r="G240" s="1" t="str">
        <f t="shared" si="3"/>
        <v/>
      </c>
    </row>
    <row r="241" spans="3:7" x14ac:dyDescent="0.3">
      <c r="C241" t="str">
        <f>IFERROR(IF(B241="","",VLOOKUP(B241,CadProd!$A:$B,2,0)),"")</f>
        <v/>
      </c>
      <c r="D241" t="str">
        <f>IFERROR(IF(B241="","",VLOOKUP(B241,CadProd!$A:$C,3,0)),"")</f>
        <v/>
      </c>
      <c r="G241" s="1" t="str">
        <f t="shared" si="3"/>
        <v/>
      </c>
    </row>
    <row r="242" spans="3:7" x14ac:dyDescent="0.3">
      <c r="C242" t="str">
        <f>IFERROR(IF(B242="","",VLOOKUP(B242,CadProd!$A:$B,2,0)),"")</f>
        <v/>
      </c>
      <c r="D242" t="str">
        <f>IFERROR(IF(B242="","",VLOOKUP(B242,CadProd!$A:$C,3,0)),"")</f>
        <v/>
      </c>
      <c r="G242" s="1" t="str">
        <f t="shared" si="3"/>
        <v/>
      </c>
    </row>
    <row r="243" spans="3:7" x14ac:dyDescent="0.3">
      <c r="C243" t="str">
        <f>IFERROR(IF(B243="","",VLOOKUP(B243,CadProd!$A:$B,2,0)),"")</f>
        <v/>
      </c>
      <c r="D243" t="str">
        <f>IFERROR(IF(B243="","",VLOOKUP(B243,CadProd!$A:$C,3,0)),"")</f>
        <v/>
      </c>
      <c r="G243" s="1" t="str">
        <f t="shared" si="3"/>
        <v/>
      </c>
    </row>
    <row r="244" spans="3:7" x14ac:dyDescent="0.3">
      <c r="C244" t="str">
        <f>IFERROR(IF(B244="","",VLOOKUP(B244,CadProd!$A:$B,2,0)),"")</f>
        <v/>
      </c>
      <c r="D244" t="str">
        <f>IFERROR(IF(B244="","",VLOOKUP(B244,CadProd!$A:$C,3,0)),"")</f>
        <v/>
      </c>
      <c r="G244" s="1" t="str">
        <f t="shared" si="3"/>
        <v/>
      </c>
    </row>
    <row r="245" spans="3:7" x14ac:dyDescent="0.3">
      <c r="C245" t="str">
        <f>IFERROR(IF(B245="","",VLOOKUP(B245,CadProd!$A:$B,2,0)),"")</f>
        <v/>
      </c>
      <c r="D245" t="str">
        <f>IFERROR(IF(B245="","",VLOOKUP(B245,CadProd!$A:$C,3,0)),"")</f>
        <v/>
      </c>
      <c r="G245" s="1" t="str">
        <f t="shared" si="3"/>
        <v/>
      </c>
    </row>
    <row r="246" spans="3:7" x14ac:dyDescent="0.3">
      <c r="C246" t="str">
        <f>IFERROR(IF(B246="","",VLOOKUP(B246,CadProd!$A:$B,2,0)),"")</f>
        <v/>
      </c>
      <c r="D246" t="str">
        <f>IFERROR(IF(B246="","",VLOOKUP(B246,CadProd!$A:$C,3,0)),"")</f>
        <v/>
      </c>
      <c r="G246" s="1" t="str">
        <f t="shared" si="3"/>
        <v/>
      </c>
    </row>
    <row r="247" spans="3:7" x14ac:dyDescent="0.3">
      <c r="C247" t="str">
        <f>IFERROR(IF(B247="","",VLOOKUP(B247,CadProd!$A:$B,2,0)),"")</f>
        <v/>
      </c>
      <c r="D247" t="str">
        <f>IFERROR(IF(B247="","",VLOOKUP(B247,CadProd!$A:$C,3,0)),"")</f>
        <v/>
      </c>
      <c r="G247" s="1" t="str">
        <f t="shared" si="3"/>
        <v/>
      </c>
    </row>
    <row r="248" spans="3:7" x14ac:dyDescent="0.3">
      <c r="C248" t="str">
        <f>IFERROR(IF(B248="","",VLOOKUP(B248,CadProd!$A:$B,2,0)),"")</f>
        <v/>
      </c>
      <c r="D248" t="str">
        <f>IFERROR(IF(B248="","",VLOOKUP(B248,CadProd!$A:$C,3,0)),"")</f>
        <v/>
      </c>
      <c r="G248" s="1" t="str">
        <f t="shared" si="3"/>
        <v/>
      </c>
    </row>
    <row r="249" spans="3:7" x14ac:dyDescent="0.3">
      <c r="C249" t="str">
        <f>IFERROR(IF(B249="","",VLOOKUP(B249,CadProd!$A:$B,2,0)),"")</f>
        <v/>
      </c>
      <c r="D249" t="str">
        <f>IFERROR(IF(B249="","",VLOOKUP(B249,CadProd!$A:$C,3,0)),"")</f>
        <v/>
      </c>
      <c r="G249" s="1" t="str">
        <f t="shared" si="3"/>
        <v/>
      </c>
    </row>
    <row r="250" spans="3:7" x14ac:dyDescent="0.3">
      <c r="C250" t="str">
        <f>IFERROR(IF(B250="","",VLOOKUP(B250,CadProd!$A:$B,2,0)),"")</f>
        <v/>
      </c>
      <c r="D250" t="str">
        <f>IFERROR(IF(B250="","",VLOOKUP(B250,CadProd!$A:$C,3,0)),"")</f>
        <v/>
      </c>
      <c r="G250" s="1" t="str">
        <f t="shared" si="3"/>
        <v/>
      </c>
    </row>
    <row r="251" spans="3:7" x14ac:dyDescent="0.3">
      <c r="C251" t="str">
        <f>IFERROR(IF(B251="","",VLOOKUP(B251,CadProd!$A:$B,2,0)),"")</f>
        <v/>
      </c>
      <c r="D251" t="str">
        <f>IFERROR(IF(B251="","",VLOOKUP(B251,CadProd!$A:$C,3,0)),"")</f>
        <v/>
      </c>
      <c r="G251" s="1" t="str">
        <f t="shared" si="3"/>
        <v/>
      </c>
    </row>
    <row r="252" spans="3:7" x14ac:dyDescent="0.3">
      <c r="C252" t="str">
        <f>IFERROR(IF(B252="","",VLOOKUP(B252,CadProd!$A:$B,2,0)),"")</f>
        <v/>
      </c>
      <c r="D252" t="str">
        <f>IFERROR(IF(B252="","",VLOOKUP(B252,CadProd!$A:$C,3,0)),"")</f>
        <v/>
      </c>
      <c r="G252" s="1" t="str">
        <f t="shared" si="3"/>
        <v/>
      </c>
    </row>
    <row r="253" spans="3:7" x14ac:dyDescent="0.3">
      <c r="C253" t="str">
        <f>IFERROR(IF(B253="","",VLOOKUP(B253,CadProd!$A:$B,2,0)),"")</f>
        <v/>
      </c>
      <c r="D253" t="str">
        <f>IFERROR(IF(B253="","",VLOOKUP(B253,CadProd!$A:$C,3,0)),"")</f>
        <v/>
      </c>
      <c r="G253" s="1" t="str">
        <f t="shared" si="3"/>
        <v/>
      </c>
    </row>
    <row r="254" spans="3:7" x14ac:dyDescent="0.3">
      <c r="C254" t="str">
        <f>IFERROR(IF(B254="","",VLOOKUP(B254,CadProd!$A:$B,2,0)),"")</f>
        <v/>
      </c>
      <c r="D254" t="str">
        <f>IFERROR(IF(B254="","",VLOOKUP(B254,CadProd!$A:$C,3,0)),"")</f>
        <v/>
      </c>
      <c r="G254" s="1" t="str">
        <f t="shared" si="3"/>
        <v/>
      </c>
    </row>
    <row r="255" spans="3:7" x14ac:dyDescent="0.3">
      <c r="C255" t="str">
        <f>IFERROR(IF(B255="","",VLOOKUP(B255,CadProd!$A:$B,2,0)),"")</f>
        <v/>
      </c>
      <c r="D255" t="str">
        <f>IFERROR(IF(B255="","",VLOOKUP(B255,CadProd!$A:$C,3,0)),"")</f>
        <v/>
      </c>
      <c r="G255" s="1" t="str">
        <f t="shared" si="3"/>
        <v/>
      </c>
    </row>
    <row r="256" spans="3:7" x14ac:dyDescent="0.3">
      <c r="C256" t="str">
        <f>IFERROR(IF(B256="","",VLOOKUP(B256,CadProd!$A:$B,2,0)),"")</f>
        <v/>
      </c>
      <c r="D256" t="str">
        <f>IFERROR(IF(B256="","",VLOOKUP(B256,CadProd!$A:$C,3,0)),"")</f>
        <v/>
      </c>
      <c r="G256" s="1" t="str">
        <f t="shared" si="3"/>
        <v/>
      </c>
    </row>
    <row r="257" spans="3:7" x14ac:dyDescent="0.3">
      <c r="C257" t="str">
        <f>IFERROR(IF(B257="","",VLOOKUP(B257,CadProd!$A:$B,2,0)),"")</f>
        <v/>
      </c>
      <c r="D257" t="str">
        <f>IFERROR(IF(B257="","",VLOOKUP(B257,CadProd!$A:$C,3,0)),"")</f>
        <v/>
      </c>
      <c r="G257" s="1" t="str">
        <f t="shared" si="3"/>
        <v/>
      </c>
    </row>
    <row r="258" spans="3:7" x14ac:dyDescent="0.3">
      <c r="C258" t="str">
        <f>IFERROR(IF(B258="","",VLOOKUP(B258,CadProd!$A:$B,2,0)),"")</f>
        <v/>
      </c>
      <c r="D258" t="str">
        <f>IFERROR(IF(B258="","",VLOOKUP(B258,CadProd!$A:$C,3,0)),"")</f>
        <v/>
      </c>
      <c r="G258" s="1" t="str">
        <f t="shared" ref="G258:G321" si="4">IFERROR(IF(B258="","",F258*E258),"")</f>
        <v/>
      </c>
    </row>
    <row r="259" spans="3:7" x14ac:dyDescent="0.3">
      <c r="C259" t="str">
        <f>IFERROR(IF(B259="","",VLOOKUP(B259,CadProd!$A:$B,2,0)),"")</f>
        <v/>
      </c>
      <c r="D259" t="str">
        <f>IFERROR(IF(B259="","",VLOOKUP(B259,CadProd!$A:$C,3,0)),"")</f>
        <v/>
      </c>
      <c r="G259" s="1" t="str">
        <f t="shared" si="4"/>
        <v/>
      </c>
    </row>
    <row r="260" spans="3:7" x14ac:dyDescent="0.3">
      <c r="C260" t="str">
        <f>IFERROR(IF(B260="","",VLOOKUP(B260,CadProd!$A:$B,2,0)),"")</f>
        <v/>
      </c>
      <c r="D260" t="str">
        <f>IFERROR(IF(B260="","",VLOOKUP(B260,CadProd!$A:$C,3,0)),"")</f>
        <v/>
      </c>
      <c r="G260" s="1" t="str">
        <f t="shared" si="4"/>
        <v/>
      </c>
    </row>
    <row r="261" spans="3:7" x14ac:dyDescent="0.3">
      <c r="C261" t="str">
        <f>IFERROR(IF(B261="","",VLOOKUP(B261,CadProd!$A:$B,2,0)),"")</f>
        <v/>
      </c>
      <c r="D261" t="str">
        <f>IFERROR(IF(B261="","",VLOOKUP(B261,CadProd!$A:$C,3,0)),"")</f>
        <v/>
      </c>
      <c r="G261" s="1" t="str">
        <f t="shared" si="4"/>
        <v/>
      </c>
    </row>
    <row r="262" spans="3:7" x14ac:dyDescent="0.3">
      <c r="C262" t="str">
        <f>IFERROR(IF(B262="","",VLOOKUP(B262,CadProd!$A:$B,2,0)),"")</f>
        <v/>
      </c>
      <c r="D262" t="str">
        <f>IFERROR(IF(B262="","",VLOOKUP(B262,CadProd!$A:$C,3,0)),"")</f>
        <v/>
      </c>
      <c r="G262" s="1" t="str">
        <f t="shared" si="4"/>
        <v/>
      </c>
    </row>
    <row r="263" spans="3:7" x14ac:dyDescent="0.3">
      <c r="C263" t="str">
        <f>IFERROR(IF(B263="","",VLOOKUP(B263,CadProd!$A:$B,2,0)),"")</f>
        <v/>
      </c>
      <c r="D263" t="str">
        <f>IFERROR(IF(B263="","",VLOOKUP(B263,CadProd!$A:$C,3,0)),"")</f>
        <v/>
      </c>
      <c r="G263" s="1" t="str">
        <f t="shared" si="4"/>
        <v/>
      </c>
    </row>
    <row r="264" spans="3:7" x14ac:dyDescent="0.3">
      <c r="C264" t="str">
        <f>IFERROR(IF(B264="","",VLOOKUP(B264,CadProd!$A:$B,2,0)),"")</f>
        <v/>
      </c>
      <c r="D264" t="str">
        <f>IFERROR(IF(B264="","",VLOOKUP(B264,CadProd!$A:$C,3,0)),"")</f>
        <v/>
      </c>
      <c r="G264" s="1" t="str">
        <f t="shared" si="4"/>
        <v/>
      </c>
    </row>
    <row r="265" spans="3:7" x14ac:dyDescent="0.3">
      <c r="C265" t="str">
        <f>IFERROR(IF(B265="","",VLOOKUP(B265,CadProd!$A:$B,2,0)),"")</f>
        <v/>
      </c>
      <c r="D265" t="str">
        <f>IFERROR(IF(B265="","",VLOOKUP(B265,CadProd!$A:$C,3,0)),"")</f>
        <v/>
      </c>
      <c r="G265" s="1" t="str">
        <f t="shared" si="4"/>
        <v/>
      </c>
    </row>
    <row r="266" spans="3:7" x14ac:dyDescent="0.3">
      <c r="C266" t="str">
        <f>IFERROR(IF(B266="","",VLOOKUP(B266,CadProd!$A:$B,2,0)),"")</f>
        <v/>
      </c>
      <c r="D266" t="str">
        <f>IFERROR(IF(B266="","",VLOOKUP(B266,CadProd!$A:$C,3,0)),"")</f>
        <v/>
      </c>
      <c r="G266" s="1" t="str">
        <f t="shared" si="4"/>
        <v/>
      </c>
    </row>
    <row r="267" spans="3:7" x14ac:dyDescent="0.3">
      <c r="C267" t="str">
        <f>IFERROR(IF(B267="","",VLOOKUP(B267,CadProd!$A:$B,2,0)),"")</f>
        <v/>
      </c>
      <c r="D267" t="str">
        <f>IFERROR(IF(B267="","",VLOOKUP(B267,CadProd!$A:$C,3,0)),"")</f>
        <v/>
      </c>
      <c r="G267" s="1" t="str">
        <f t="shared" si="4"/>
        <v/>
      </c>
    </row>
    <row r="268" spans="3:7" x14ac:dyDescent="0.3">
      <c r="C268" t="str">
        <f>IFERROR(IF(B268="","",VLOOKUP(B268,CadProd!$A:$B,2,0)),"")</f>
        <v/>
      </c>
      <c r="D268" t="str">
        <f>IFERROR(IF(B268="","",VLOOKUP(B268,CadProd!$A:$C,3,0)),"")</f>
        <v/>
      </c>
      <c r="G268" s="1" t="str">
        <f t="shared" si="4"/>
        <v/>
      </c>
    </row>
    <row r="269" spans="3:7" x14ac:dyDescent="0.3">
      <c r="C269" t="str">
        <f>IFERROR(IF(B269="","",VLOOKUP(B269,CadProd!$A:$B,2,0)),"")</f>
        <v/>
      </c>
      <c r="D269" t="str">
        <f>IFERROR(IF(B269="","",VLOOKUP(B269,CadProd!$A:$C,3,0)),"")</f>
        <v/>
      </c>
      <c r="G269" s="1" t="str">
        <f t="shared" si="4"/>
        <v/>
      </c>
    </row>
    <row r="270" spans="3:7" x14ac:dyDescent="0.3">
      <c r="C270" t="str">
        <f>IFERROR(IF(B270="","",VLOOKUP(B270,CadProd!$A:$B,2,0)),"")</f>
        <v/>
      </c>
      <c r="D270" t="str">
        <f>IFERROR(IF(B270="","",VLOOKUP(B270,CadProd!$A:$C,3,0)),"")</f>
        <v/>
      </c>
      <c r="G270" s="1" t="str">
        <f t="shared" si="4"/>
        <v/>
      </c>
    </row>
    <row r="271" spans="3:7" x14ac:dyDescent="0.3">
      <c r="C271" t="str">
        <f>IFERROR(IF(B271="","",VLOOKUP(B271,CadProd!$A:$B,2,0)),"")</f>
        <v/>
      </c>
      <c r="D271" t="str">
        <f>IFERROR(IF(B271="","",VLOOKUP(B271,CadProd!$A:$C,3,0)),"")</f>
        <v/>
      </c>
      <c r="G271" s="1" t="str">
        <f t="shared" si="4"/>
        <v/>
      </c>
    </row>
    <row r="272" spans="3:7" x14ac:dyDescent="0.3">
      <c r="C272" t="str">
        <f>IFERROR(IF(B272="","",VLOOKUP(B272,CadProd!$A:$B,2,0)),"")</f>
        <v/>
      </c>
      <c r="D272" t="str">
        <f>IFERROR(IF(B272="","",VLOOKUP(B272,CadProd!$A:$C,3,0)),"")</f>
        <v/>
      </c>
      <c r="G272" s="1" t="str">
        <f t="shared" si="4"/>
        <v/>
      </c>
    </row>
    <row r="273" spans="3:7" x14ac:dyDescent="0.3">
      <c r="C273" t="str">
        <f>IFERROR(IF(B273="","",VLOOKUP(B273,CadProd!$A:$B,2,0)),"")</f>
        <v/>
      </c>
      <c r="D273" t="str">
        <f>IFERROR(IF(B273="","",VLOOKUP(B273,CadProd!$A:$C,3,0)),"")</f>
        <v/>
      </c>
      <c r="G273" s="1" t="str">
        <f t="shared" si="4"/>
        <v/>
      </c>
    </row>
    <row r="274" spans="3:7" x14ac:dyDescent="0.3">
      <c r="C274" t="str">
        <f>IFERROR(IF(B274="","",VLOOKUP(B274,CadProd!$A:$B,2,0)),"")</f>
        <v/>
      </c>
      <c r="D274" t="str">
        <f>IFERROR(IF(B274="","",VLOOKUP(B274,CadProd!$A:$C,3,0)),"")</f>
        <v/>
      </c>
      <c r="G274" s="1" t="str">
        <f t="shared" si="4"/>
        <v/>
      </c>
    </row>
    <row r="275" spans="3:7" x14ac:dyDescent="0.3">
      <c r="C275" t="str">
        <f>IFERROR(IF(B275="","",VLOOKUP(B275,CadProd!$A:$B,2,0)),"")</f>
        <v/>
      </c>
      <c r="D275" t="str">
        <f>IFERROR(IF(B275="","",VLOOKUP(B275,CadProd!$A:$C,3,0)),"")</f>
        <v/>
      </c>
      <c r="G275" s="1" t="str">
        <f t="shared" si="4"/>
        <v/>
      </c>
    </row>
    <row r="276" spans="3:7" x14ac:dyDescent="0.3">
      <c r="C276" t="str">
        <f>IFERROR(IF(B276="","",VLOOKUP(B276,CadProd!$A:$B,2,0)),"")</f>
        <v/>
      </c>
      <c r="D276" t="str">
        <f>IFERROR(IF(B276="","",VLOOKUP(B276,CadProd!$A:$C,3,0)),"")</f>
        <v/>
      </c>
      <c r="G276" s="1" t="str">
        <f t="shared" si="4"/>
        <v/>
      </c>
    </row>
    <row r="277" spans="3:7" x14ac:dyDescent="0.3">
      <c r="C277" t="str">
        <f>IFERROR(IF(B277="","",VLOOKUP(B277,CadProd!$A:$B,2,0)),"")</f>
        <v/>
      </c>
      <c r="D277" t="str">
        <f>IFERROR(IF(B277="","",VLOOKUP(B277,CadProd!$A:$C,3,0)),"")</f>
        <v/>
      </c>
      <c r="G277" s="1" t="str">
        <f t="shared" si="4"/>
        <v/>
      </c>
    </row>
    <row r="278" spans="3:7" x14ac:dyDescent="0.3">
      <c r="C278" t="str">
        <f>IFERROR(IF(B278="","",VLOOKUP(B278,CadProd!$A:$B,2,0)),"")</f>
        <v/>
      </c>
      <c r="D278" t="str">
        <f>IFERROR(IF(B278="","",VLOOKUP(B278,CadProd!$A:$C,3,0)),"")</f>
        <v/>
      </c>
      <c r="G278" s="1" t="str">
        <f t="shared" si="4"/>
        <v/>
      </c>
    </row>
    <row r="279" spans="3:7" x14ac:dyDescent="0.3">
      <c r="C279" t="str">
        <f>IFERROR(IF(B279="","",VLOOKUP(B279,CadProd!$A:$B,2,0)),"")</f>
        <v/>
      </c>
      <c r="D279" t="str">
        <f>IFERROR(IF(B279="","",VLOOKUP(B279,CadProd!$A:$C,3,0)),"")</f>
        <v/>
      </c>
      <c r="G279" s="1" t="str">
        <f t="shared" si="4"/>
        <v/>
      </c>
    </row>
    <row r="280" spans="3:7" x14ac:dyDescent="0.3">
      <c r="C280" t="str">
        <f>IFERROR(IF(B280="","",VLOOKUP(B280,CadProd!$A:$B,2,0)),"")</f>
        <v/>
      </c>
      <c r="D280" t="str">
        <f>IFERROR(IF(B280="","",VLOOKUP(B280,CadProd!$A:$C,3,0)),"")</f>
        <v/>
      </c>
      <c r="G280" s="1" t="str">
        <f t="shared" si="4"/>
        <v/>
      </c>
    </row>
    <row r="281" spans="3:7" x14ac:dyDescent="0.3">
      <c r="C281" t="str">
        <f>IFERROR(IF(B281="","",VLOOKUP(B281,CadProd!$A:$B,2,0)),"")</f>
        <v/>
      </c>
      <c r="D281" t="str">
        <f>IFERROR(IF(B281="","",VLOOKUP(B281,CadProd!$A:$C,3,0)),"")</f>
        <v/>
      </c>
      <c r="G281" s="1" t="str">
        <f t="shared" si="4"/>
        <v/>
      </c>
    </row>
    <row r="282" spans="3:7" x14ac:dyDescent="0.3">
      <c r="C282" t="str">
        <f>IFERROR(IF(B282="","",VLOOKUP(B282,CadProd!$A:$B,2,0)),"")</f>
        <v/>
      </c>
      <c r="D282" t="str">
        <f>IFERROR(IF(B282="","",VLOOKUP(B282,CadProd!$A:$C,3,0)),"")</f>
        <v/>
      </c>
      <c r="G282" s="1" t="str">
        <f t="shared" si="4"/>
        <v/>
      </c>
    </row>
    <row r="283" spans="3:7" x14ac:dyDescent="0.3">
      <c r="C283" t="str">
        <f>IFERROR(IF(B283="","",VLOOKUP(B283,CadProd!$A:$B,2,0)),"")</f>
        <v/>
      </c>
      <c r="D283" t="str">
        <f>IFERROR(IF(B283="","",VLOOKUP(B283,CadProd!$A:$C,3,0)),"")</f>
        <v/>
      </c>
      <c r="G283" s="1" t="str">
        <f t="shared" si="4"/>
        <v/>
      </c>
    </row>
    <row r="284" spans="3:7" x14ac:dyDescent="0.3">
      <c r="C284" t="str">
        <f>IFERROR(IF(B284="","",VLOOKUP(B284,CadProd!$A:$B,2,0)),"")</f>
        <v/>
      </c>
      <c r="D284" t="str">
        <f>IFERROR(IF(B284="","",VLOOKUP(B284,CadProd!$A:$C,3,0)),"")</f>
        <v/>
      </c>
      <c r="G284" s="1" t="str">
        <f t="shared" si="4"/>
        <v/>
      </c>
    </row>
    <row r="285" spans="3:7" x14ac:dyDescent="0.3">
      <c r="C285" t="str">
        <f>IFERROR(IF(B285="","",VLOOKUP(B285,CadProd!$A:$B,2,0)),"")</f>
        <v/>
      </c>
      <c r="D285" t="str">
        <f>IFERROR(IF(B285="","",VLOOKUP(B285,CadProd!$A:$C,3,0)),"")</f>
        <v/>
      </c>
      <c r="G285" s="1" t="str">
        <f t="shared" si="4"/>
        <v/>
      </c>
    </row>
    <row r="286" spans="3:7" x14ac:dyDescent="0.3">
      <c r="C286" t="str">
        <f>IFERROR(IF(B286="","",VLOOKUP(B286,CadProd!$A:$B,2,0)),"")</f>
        <v/>
      </c>
      <c r="D286" t="str">
        <f>IFERROR(IF(B286="","",VLOOKUP(B286,CadProd!$A:$C,3,0)),"")</f>
        <v/>
      </c>
      <c r="G286" s="1" t="str">
        <f t="shared" si="4"/>
        <v/>
      </c>
    </row>
    <row r="287" spans="3:7" x14ac:dyDescent="0.3">
      <c r="C287" t="str">
        <f>IFERROR(IF(B287="","",VLOOKUP(B287,CadProd!$A:$B,2,0)),"")</f>
        <v/>
      </c>
      <c r="D287" t="str">
        <f>IFERROR(IF(B287="","",VLOOKUP(B287,CadProd!$A:$C,3,0)),"")</f>
        <v/>
      </c>
      <c r="G287" s="1" t="str">
        <f t="shared" si="4"/>
        <v/>
      </c>
    </row>
    <row r="288" spans="3:7" x14ac:dyDescent="0.3">
      <c r="C288" t="str">
        <f>IFERROR(IF(B288="","",VLOOKUP(B288,CadProd!$A:$B,2,0)),"")</f>
        <v/>
      </c>
      <c r="D288" t="str">
        <f>IFERROR(IF(B288="","",VLOOKUP(B288,CadProd!$A:$C,3,0)),"")</f>
        <v/>
      </c>
      <c r="G288" s="1" t="str">
        <f t="shared" si="4"/>
        <v/>
      </c>
    </row>
    <row r="289" spans="3:7" x14ac:dyDescent="0.3">
      <c r="C289" t="str">
        <f>IFERROR(IF(B289="","",VLOOKUP(B289,CadProd!$A:$B,2,0)),"")</f>
        <v/>
      </c>
      <c r="D289" t="str">
        <f>IFERROR(IF(B289="","",VLOOKUP(B289,CadProd!$A:$C,3,0)),"")</f>
        <v/>
      </c>
      <c r="G289" s="1" t="str">
        <f t="shared" si="4"/>
        <v/>
      </c>
    </row>
    <row r="290" spans="3:7" x14ac:dyDescent="0.3">
      <c r="C290" t="str">
        <f>IFERROR(IF(B290="","",VLOOKUP(B290,CadProd!$A:$B,2,0)),"")</f>
        <v/>
      </c>
      <c r="D290" t="str">
        <f>IFERROR(IF(B290="","",VLOOKUP(B290,CadProd!$A:$C,3,0)),"")</f>
        <v/>
      </c>
      <c r="G290" s="1" t="str">
        <f t="shared" si="4"/>
        <v/>
      </c>
    </row>
    <row r="291" spans="3:7" x14ac:dyDescent="0.3">
      <c r="C291" t="str">
        <f>IFERROR(IF(B291="","",VLOOKUP(B291,CadProd!$A:$B,2,0)),"")</f>
        <v/>
      </c>
      <c r="D291" t="str">
        <f>IFERROR(IF(B291="","",VLOOKUP(B291,CadProd!$A:$C,3,0)),"")</f>
        <v/>
      </c>
      <c r="G291" s="1" t="str">
        <f t="shared" si="4"/>
        <v/>
      </c>
    </row>
    <row r="292" spans="3:7" x14ac:dyDescent="0.3">
      <c r="C292" t="str">
        <f>IFERROR(IF(B292="","",VLOOKUP(B292,CadProd!$A:$B,2,0)),"")</f>
        <v/>
      </c>
      <c r="D292" t="str">
        <f>IFERROR(IF(B292="","",VLOOKUP(B292,CadProd!$A:$C,3,0)),"")</f>
        <v/>
      </c>
      <c r="G292" s="1" t="str">
        <f t="shared" si="4"/>
        <v/>
      </c>
    </row>
    <row r="293" spans="3:7" x14ac:dyDescent="0.3">
      <c r="C293" t="str">
        <f>IFERROR(IF(B293="","",VLOOKUP(B293,CadProd!$A:$B,2,0)),"")</f>
        <v/>
      </c>
      <c r="D293" t="str">
        <f>IFERROR(IF(B293="","",VLOOKUP(B293,CadProd!$A:$C,3,0)),"")</f>
        <v/>
      </c>
      <c r="G293" s="1" t="str">
        <f t="shared" si="4"/>
        <v/>
      </c>
    </row>
    <row r="294" spans="3:7" x14ac:dyDescent="0.3">
      <c r="C294" t="str">
        <f>IFERROR(IF(B294="","",VLOOKUP(B294,CadProd!$A:$B,2,0)),"")</f>
        <v/>
      </c>
      <c r="D294" t="str">
        <f>IFERROR(IF(B294="","",VLOOKUP(B294,CadProd!$A:$C,3,0)),"")</f>
        <v/>
      </c>
      <c r="G294" s="1" t="str">
        <f t="shared" si="4"/>
        <v/>
      </c>
    </row>
    <row r="295" spans="3:7" x14ac:dyDescent="0.3">
      <c r="C295" t="str">
        <f>IFERROR(IF(B295="","",VLOOKUP(B295,CadProd!$A:$B,2,0)),"")</f>
        <v/>
      </c>
      <c r="D295" t="str">
        <f>IFERROR(IF(B295="","",VLOOKUP(B295,CadProd!$A:$C,3,0)),"")</f>
        <v/>
      </c>
      <c r="G295" s="1" t="str">
        <f t="shared" si="4"/>
        <v/>
      </c>
    </row>
    <row r="296" spans="3:7" x14ac:dyDescent="0.3">
      <c r="C296" t="str">
        <f>IFERROR(IF(B296="","",VLOOKUP(B296,CadProd!$A:$B,2,0)),"")</f>
        <v/>
      </c>
      <c r="D296" t="str">
        <f>IFERROR(IF(B296="","",VLOOKUP(B296,CadProd!$A:$C,3,0)),"")</f>
        <v/>
      </c>
      <c r="G296" s="1" t="str">
        <f t="shared" si="4"/>
        <v/>
      </c>
    </row>
    <row r="297" spans="3:7" x14ac:dyDescent="0.3">
      <c r="C297" t="str">
        <f>IFERROR(IF(B297="","",VLOOKUP(B297,CadProd!$A:$B,2,0)),"")</f>
        <v/>
      </c>
      <c r="D297" t="str">
        <f>IFERROR(IF(B297="","",VLOOKUP(B297,CadProd!$A:$C,3,0)),"")</f>
        <v/>
      </c>
      <c r="G297" s="1" t="str">
        <f t="shared" si="4"/>
        <v/>
      </c>
    </row>
    <row r="298" spans="3:7" x14ac:dyDescent="0.3">
      <c r="C298" t="str">
        <f>IFERROR(IF(B298="","",VLOOKUP(B298,CadProd!$A:$B,2,0)),"")</f>
        <v/>
      </c>
      <c r="D298" t="str">
        <f>IFERROR(IF(B298="","",VLOOKUP(B298,CadProd!$A:$C,3,0)),"")</f>
        <v/>
      </c>
      <c r="G298" s="1" t="str">
        <f t="shared" si="4"/>
        <v/>
      </c>
    </row>
    <row r="299" spans="3:7" x14ac:dyDescent="0.3">
      <c r="C299" t="str">
        <f>IFERROR(IF(B299="","",VLOOKUP(B299,CadProd!$A:$B,2,0)),"")</f>
        <v/>
      </c>
      <c r="D299" t="str">
        <f>IFERROR(IF(B299="","",VLOOKUP(B299,CadProd!$A:$C,3,0)),"")</f>
        <v/>
      </c>
      <c r="G299" s="1" t="str">
        <f t="shared" si="4"/>
        <v/>
      </c>
    </row>
    <row r="300" spans="3:7" x14ac:dyDescent="0.3">
      <c r="C300" t="str">
        <f>IFERROR(IF(B300="","",VLOOKUP(B300,CadProd!$A:$B,2,0)),"")</f>
        <v/>
      </c>
      <c r="D300" t="str">
        <f>IFERROR(IF(B300="","",VLOOKUP(B300,CadProd!$A:$C,3,0)),"")</f>
        <v/>
      </c>
      <c r="G300" s="1" t="str">
        <f t="shared" si="4"/>
        <v/>
      </c>
    </row>
    <row r="301" spans="3:7" x14ac:dyDescent="0.3">
      <c r="C301" t="str">
        <f>IFERROR(IF(B301="","",VLOOKUP(B301,CadProd!$A:$B,2,0)),"")</f>
        <v/>
      </c>
      <c r="D301" t="str">
        <f>IFERROR(IF(B301="","",VLOOKUP(B301,CadProd!$A:$C,3,0)),"")</f>
        <v/>
      </c>
      <c r="G301" s="1" t="str">
        <f t="shared" si="4"/>
        <v/>
      </c>
    </row>
    <row r="302" spans="3:7" x14ac:dyDescent="0.3">
      <c r="C302" t="str">
        <f>IFERROR(IF(B302="","",VLOOKUP(B302,CadProd!$A:$B,2,0)),"")</f>
        <v/>
      </c>
      <c r="D302" t="str">
        <f>IFERROR(IF(B302="","",VLOOKUP(B302,CadProd!$A:$C,3,0)),"")</f>
        <v/>
      </c>
      <c r="G302" s="1" t="str">
        <f t="shared" si="4"/>
        <v/>
      </c>
    </row>
    <row r="303" spans="3:7" x14ac:dyDescent="0.3">
      <c r="C303" t="str">
        <f>IFERROR(IF(B303="","",VLOOKUP(B303,CadProd!$A:$B,2,0)),"")</f>
        <v/>
      </c>
      <c r="D303" t="str">
        <f>IFERROR(IF(B303="","",VLOOKUP(B303,CadProd!$A:$C,3,0)),"")</f>
        <v/>
      </c>
      <c r="G303" s="1" t="str">
        <f t="shared" si="4"/>
        <v/>
      </c>
    </row>
    <row r="304" spans="3:7" x14ac:dyDescent="0.3">
      <c r="C304" t="str">
        <f>IFERROR(IF(B304="","",VLOOKUP(B304,CadProd!$A:$B,2,0)),"")</f>
        <v/>
      </c>
      <c r="D304" t="str">
        <f>IFERROR(IF(B304="","",VLOOKUP(B304,CadProd!$A:$C,3,0)),"")</f>
        <v/>
      </c>
      <c r="G304" s="1" t="str">
        <f t="shared" si="4"/>
        <v/>
      </c>
    </row>
    <row r="305" spans="3:7" x14ac:dyDescent="0.3">
      <c r="C305" t="str">
        <f>IFERROR(IF(B305="","",VLOOKUP(B305,CadProd!$A:$B,2,0)),"")</f>
        <v/>
      </c>
      <c r="D305" t="str">
        <f>IFERROR(IF(B305="","",VLOOKUP(B305,CadProd!$A:$C,3,0)),"")</f>
        <v/>
      </c>
      <c r="G305" s="1" t="str">
        <f t="shared" si="4"/>
        <v/>
      </c>
    </row>
    <row r="306" spans="3:7" x14ac:dyDescent="0.3">
      <c r="C306" t="str">
        <f>IFERROR(IF(B306="","",VLOOKUP(B306,CadProd!$A:$B,2,0)),"")</f>
        <v/>
      </c>
      <c r="D306" t="str">
        <f>IFERROR(IF(B306="","",VLOOKUP(B306,CadProd!$A:$C,3,0)),"")</f>
        <v/>
      </c>
      <c r="G306" s="1" t="str">
        <f t="shared" si="4"/>
        <v/>
      </c>
    </row>
    <row r="307" spans="3:7" x14ac:dyDescent="0.3">
      <c r="C307" t="str">
        <f>IFERROR(IF(B307="","",VLOOKUP(B307,CadProd!$A:$B,2,0)),"")</f>
        <v/>
      </c>
      <c r="D307" t="str">
        <f>IFERROR(IF(B307="","",VLOOKUP(B307,CadProd!$A:$C,3,0)),"")</f>
        <v/>
      </c>
      <c r="G307" s="1" t="str">
        <f t="shared" si="4"/>
        <v/>
      </c>
    </row>
    <row r="308" spans="3:7" x14ac:dyDescent="0.3">
      <c r="C308" t="str">
        <f>IFERROR(IF(B308="","",VLOOKUP(B308,CadProd!$A:$B,2,0)),"")</f>
        <v/>
      </c>
      <c r="D308" t="str">
        <f>IFERROR(IF(B308="","",VLOOKUP(B308,CadProd!$A:$C,3,0)),"")</f>
        <v/>
      </c>
      <c r="G308" s="1" t="str">
        <f t="shared" si="4"/>
        <v/>
      </c>
    </row>
    <row r="309" spans="3:7" x14ac:dyDescent="0.3">
      <c r="C309" t="str">
        <f>IFERROR(IF(B309="","",VLOOKUP(B309,CadProd!$A:$B,2,0)),"")</f>
        <v/>
      </c>
      <c r="D309" t="str">
        <f>IFERROR(IF(B309="","",VLOOKUP(B309,CadProd!$A:$C,3,0)),"")</f>
        <v/>
      </c>
      <c r="G309" s="1" t="str">
        <f t="shared" si="4"/>
        <v/>
      </c>
    </row>
    <row r="310" spans="3:7" x14ac:dyDescent="0.3">
      <c r="C310" t="str">
        <f>IFERROR(IF(B310="","",VLOOKUP(B310,CadProd!$A:$B,2,0)),"")</f>
        <v/>
      </c>
      <c r="D310" t="str">
        <f>IFERROR(IF(B310="","",VLOOKUP(B310,CadProd!$A:$C,3,0)),"")</f>
        <v/>
      </c>
      <c r="G310" s="1" t="str">
        <f t="shared" si="4"/>
        <v/>
      </c>
    </row>
    <row r="311" spans="3:7" x14ac:dyDescent="0.3">
      <c r="C311" t="str">
        <f>IFERROR(IF(B311="","",VLOOKUP(B311,CadProd!$A:$B,2,0)),"")</f>
        <v/>
      </c>
      <c r="D311" t="str">
        <f>IFERROR(IF(B311="","",VLOOKUP(B311,CadProd!$A:$C,3,0)),"")</f>
        <v/>
      </c>
      <c r="G311" s="1" t="str">
        <f t="shared" si="4"/>
        <v/>
      </c>
    </row>
    <row r="312" spans="3:7" x14ac:dyDescent="0.3">
      <c r="C312" t="str">
        <f>IFERROR(IF(B312="","",VLOOKUP(B312,CadProd!$A:$B,2,0)),"")</f>
        <v/>
      </c>
      <c r="D312" t="str">
        <f>IFERROR(IF(B312="","",VLOOKUP(B312,CadProd!$A:$C,3,0)),"")</f>
        <v/>
      </c>
      <c r="G312" s="1" t="str">
        <f t="shared" si="4"/>
        <v/>
      </c>
    </row>
    <row r="313" spans="3:7" x14ac:dyDescent="0.3">
      <c r="C313" t="str">
        <f>IFERROR(IF(B313="","",VLOOKUP(B313,CadProd!$A:$B,2,0)),"")</f>
        <v/>
      </c>
      <c r="D313" t="str">
        <f>IFERROR(IF(B313="","",VLOOKUP(B313,CadProd!$A:$C,3,0)),"")</f>
        <v/>
      </c>
      <c r="G313" s="1" t="str">
        <f t="shared" si="4"/>
        <v/>
      </c>
    </row>
    <row r="314" spans="3:7" x14ac:dyDescent="0.3">
      <c r="C314" t="str">
        <f>IFERROR(IF(B314="","",VLOOKUP(B314,CadProd!$A:$B,2,0)),"")</f>
        <v/>
      </c>
      <c r="D314" t="str">
        <f>IFERROR(IF(B314="","",VLOOKUP(B314,CadProd!$A:$C,3,0)),"")</f>
        <v/>
      </c>
      <c r="G314" s="1" t="str">
        <f t="shared" si="4"/>
        <v/>
      </c>
    </row>
    <row r="315" spans="3:7" x14ac:dyDescent="0.3">
      <c r="C315" t="str">
        <f>IFERROR(IF(B315="","",VLOOKUP(B315,CadProd!$A:$B,2,0)),"")</f>
        <v/>
      </c>
      <c r="D315" t="str">
        <f>IFERROR(IF(B315="","",VLOOKUP(B315,CadProd!$A:$C,3,0)),"")</f>
        <v/>
      </c>
      <c r="G315" s="1" t="str">
        <f t="shared" si="4"/>
        <v/>
      </c>
    </row>
    <row r="316" spans="3:7" x14ac:dyDescent="0.3">
      <c r="C316" t="str">
        <f>IFERROR(IF(B316="","",VLOOKUP(B316,CadProd!$A:$B,2,0)),"")</f>
        <v/>
      </c>
      <c r="D316" t="str">
        <f>IFERROR(IF(B316="","",VLOOKUP(B316,CadProd!$A:$C,3,0)),"")</f>
        <v/>
      </c>
      <c r="G316" s="1" t="str">
        <f t="shared" si="4"/>
        <v/>
      </c>
    </row>
    <row r="317" spans="3:7" x14ac:dyDescent="0.3">
      <c r="C317" t="str">
        <f>IFERROR(IF(B317="","",VLOOKUP(B317,CadProd!$A:$B,2,0)),"")</f>
        <v/>
      </c>
      <c r="D317" t="str">
        <f>IFERROR(IF(B317="","",VLOOKUP(B317,CadProd!$A:$C,3,0)),"")</f>
        <v/>
      </c>
      <c r="G317" s="1" t="str">
        <f t="shared" si="4"/>
        <v/>
      </c>
    </row>
    <row r="318" spans="3:7" x14ac:dyDescent="0.3">
      <c r="C318" t="str">
        <f>IFERROR(IF(B318="","",VLOOKUP(B318,CadProd!$A:$B,2,0)),"")</f>
        <v/>
      </c>
      <c r="D318" t="str">
        <f>IFERROR(IF(B318="","",VLOOKUP(B318,CadProd!$A:$C,3,0)),"")</f>
        <v/>
      </c>
      <c r="G318" s="1" t="str">
        <f t="shared" si="4"/>
        <v/>
      </c>
    </row>
    <row r="319" spans="3:7" x14ac:dyDescent="0.3">
      <c r="C319" t="str">
        <f>IFERROR(IF(B319="","",VLOOKUP(B319,CadProd!$A:$B,2,0)),"")</f>
        <v/>
      </c>
      <c r="D319" t="str">
        <f>IFERROR(IF(B319="","",VLOOKUP(B319,CadProd!$A:$C,3,0)),"")</f>
        <v/>
      </c>
      <c r="G319" s="1" t="str">
        <f t="shared" si="4"/>
        <v/>
      </c>
    </row>
    <row r="320" spans="3:7" x14ac:dyDescent="0.3">
      <c r="C320" t="str">
        <f>IFERROR(IF(B320="","",VLOOKUP(B320,CadProd!$A:$B,2,0)),"")</f>
        <v/>
      </c>
      <c r="D320" t="str">
        <f>IFERROR(IF(B320="","",VLOOKUP(B320,CadProd!$A:$C,3,0)),"")</f>
        <v/>
      </c>
      <c r="G320" s="1" t="str">
        <f t="shared" si="4"/>
        <v/>
      </c>
    </row>
    <row r="321" spans="3:7" x14ac:dyDescent="0.3">
      <c r="C321" t="str">
        <f>IFERROR(IF(B321="","",VLOOKUP(B321,CadProd!$A:$B,2,0)),"")</f>
        <v/>
      </c>
      <c r="D321" t="str">
        <f>IFERROR(IF(B321="","",VLOOKUP(B321,CadProd!$A:$C,3,0)),"")</f>
        <v/>
      </c>
      <c r="G321" s="1" t="str">
        <f t="shared" si="4"/>
        <v/>
      </c>
    </row>
    <row r="322" spans="3:7" x14ac:dyDescent="0.3">
      <c r="C322" t="str">
        <f>IFERROR(IF(B322="","",VLOOKUP(B322,CadProd!$A:$B,2,0)),"")</f>
        <v/>
      </c>
      <c r="D322" t="str">
        <f>IFERROR(IF(B322="","",VLOOKUP(B322,CadProd!$A:$C,3,0)),"")</f>
        <v/>
      </c>
      <c r="G322" s="1" t="str">
        <f t="shared" ref="G322:G385" si="5">IFERROR(IF(B322="","",F322*E322),"")</f>
        <v/>
      </c>
    </row>
    <row r="323" spans="3:7" x14ac:dyDescent="0.3">
      <c r="C323" t="str">
        <f>IFERROR(IF(B323="","",VLOOKUP(B323,CadProd!$A:$B,2,0)),"")</f>
        <v/>
      </c>
      <c r="D323" t="str">
        <f>IFERROR(IF(B323="","",VLOOKUP(B323,CadProd!$A:$C,3,0)),"")</f>
        <v/>
      </c>
      <c r="G323" s="1" t="str">
        <f t="shared" si="5"/>
        <v/>
      </c>
    </row>
    <row r="324" spans="3:7" x14ac:dyDescent="0.3">
      <c r="C324" t="str">
        <f>IFERROR(IF(B324="","",VLOOKUP(B324,CadProd!$A:$B,2,0)),"")</f>
        <v/>
      </c>
      <c r="D324" t="str">
        <f>IFERROR(IF(B324="","",VLOOKUP(B324,CadProd!$A:$C,3,0)),"")</f>
        <v/>
      </c>
      <c r="G324" s="1" t="str">
        <f t="shared" si="5"/>
        <v/>
      </c>
    </row>
    <row r="325" spans="3:7" x14ac:dyDescent="0.3">
      <c r="C325" t="str">
        <f>IFERROR(IF(B325="","",VLOOKUP(B325,CadProd!$A:$B,2,0)),"")</f>
        <v/>
      </c>
      <c r="D325" t="str">
        <f>IFERROR(IF(B325="","",VLOOKUP(B325,CadProd!$A:$C,3,0)),"")</f>
        <v/>
      </c>
      <c r="G325" s="1" t="str">
        <f t="shared" si="5"/>
        <v/>
      </c>
    </row>
    <row r="326" spans="3:7" x14ac:dyDescent="0.3">
      <c r="C326" t="str">
        <f>IFERROR(IF(B326="","",VLOOKUP(B326,CadProd!$A:$B,2,0)),"")</f>
        <v/>
      </c>
      <c r="D326" t="str">
        <f>IFERROR(IF(B326="","",VLOOKUP(B326,CadProd!$A:$C,3,0)),"")</f>
        <v/>
      </c>
      <c r="G326" s="1" t="str">
        <f t="shared" si="5"/>
        <v/>
      </c>
    </row>
    <row r="327" spans="3:7" x14ac:dyDescent="0.3">
      <c r="C327" t="str">
        <f>IFERROR(IF(B327="","",VLOOKUP(B327,CadProd!$A:$B,2,0)),"")</f>
        <v/>
      </c>
      <c r="D327" t="str">
        <f>IFERROR(IF(B327="","",VLOOKUP(B327,CadProd!$A:$C,3,0)),"")</f>
        <v/>
      </c>
      <c r="G327" s="1" t="str">
        <f t="shared" si="5"/>
        <v/>
      </c>
    </row>
    <row r="328" spans="3:7" x14ac:dyDescent="0.3">
      <c r="C328" t="str">
        <f>IFERROR(IF(B328="","",VLOOKUP(B328,CadProd!$A:$B,2,0)),"")</f>
        <v/>
      </c>
      <c r="D328" t="str">
        <f>IFERROR(IF(B328="","",VLOOKUP(B328,CadProd!$A:$C,3,0)),"")</f>
        <v/>
      </c>
      <c r="G328" s="1" t="str">
        <f t="shared" si="5"/>
        <v/>
      </c>
    </row>
    <row r="329" spans="3:7" x14ac:dyDescent="0.3">
      <c r="C329" t="str">
        <f>IFERROR(IF(B329="","",VLOOKUP(B329,CadProd!$A:$B,2,0)),"")</f>
        <v/>
      </c>
      <c r="D329" t="str">
        <f>IFERROR(IF(B329="","",VLOOKUP(B329,CadProd!$A:$C,3,0)),"")</f>
        <v/>
      </c>
      <c r="G329" s="1" t="str">
        <f t="shared" si="5"/>
        <v/>
      </c>
    </row>
    <row r="330" spans="3:7" x14ac:dyDescent="0.3">
      <c r="C330" t="str">
        <f>IFERROR(IF(B330="","",VLOOKUP(B330,CadProd!$A:$B,2,0)),"")</f>
        <v/>
      </c>
      <c r="D330" t="str">
        <f>IFERROR(IF(B330="","",VLOOKUP(B330,CadProd!$A:$C,3,0)),"")</f>
        <v/>
      </c>
      <c r="G330" s="1" t="str">
        <f t="shared" si="5"/>
        <v/>
      </c>
    </row>
    <row r="331" spans="3:7" x14ac:dyDescent="0.3">
      <c r="C331" t="str">
        <f>IFERROR(IF(B331="","",VLOOKUP(B331,CadProd!$A:$B,2,0)),"")</f>
        <v/>
      </c>
      <c r="D331" t="str">
        <f>IFERROR(IF(B331="","",VLOOKUP(B331,CadProd!$A:$C,3,0)),"")</f>
        <v/>
      </c>
      <c r="G331" s="1" t="str">
        <f t="shared" si="5"/>
        <v/>
      </c>
    </row>
    <row r="332" spans="3:7" x14ac:dyDescent="0.3">
      <c r="C332" t="str">
        <f>IFERROR(IF(B332="","",VLOOKUP(B332,CadProd!$A:$B,2,0)),"")</f>
        <v/>
      </c>
      <c r="D332" t="str">
        <f>IFERROR(IF(B332="","",VLOOKUP(B332,CadProd!$A:$C,3,0)),"")</f>
        <v/>
      </c>
      <c r="G332" s="1" t="str">
        <f t="shared" si="5"/>
        <v/>
      </c>
    </row>
    <row r="333" spans="3:7" x14ac:dyDescent="0.3">
      <c r="C333" t="str">
        <f>IFERROR(IF(B333="","",VLOOKUP(B333,CadProd!$A:$B,2,0)),"")</f>
        <v/>
      </c>
      <c r="D333" t="str">
        <f>IFERROR(IF(B333="","",VLOOKUP(B333,CadProd!$A:$C,3,0)),"")</f>
        <v/>
      </c>
      <c r="G333" s="1" t="str">
        <f t="shared" si="5"/>
        <v/>
      </c>
    </row>
    <row r="334" spans="3:7" x14ac:dyDescent="0.3">
      <c r="C334" t="str">
        <f>IFERROR(IF(B334="","",VLOOKUP(B334,CadProd!$A:$B,2,0)),"")</f>
        <v/>
      </c>
      <c r="D334" t="str">
        <f>IFERROR(IF(B334="","",VLOOKUP(B334,CadProd!$A:$C,3,0)),"")</f>
        <v/>
      </c>
      <c r="G334" s="1" t="str">
        <f t="shared" si="5"/>
        <v/>
      </c>
    </row>
    <row r="335" spans="3:7" x14ac:dyDescent="0.3">
      <c r="C335" t="str">
        <f>IFERROR(IF(B335="","",VLOOKUP(B335,CadProd!$A:$B,2,0)),"")</f>
        <v/>
      </c>
      <c r="D335" t="str">
        <f>IFERROR(IF(B335="","",VLOOKUP(B335,CadProd!$A:$C,3,0)),"")</f>
        <v/>
      </c>
      <c r="G335" s="1" t="str">
        <f t="shared" si="5"/>
        <v/>
      </c>
    </row>
    <row r="336" spans="3:7" x14ac:dyDescent="0.3">
      <c r="C336" t="str">
        <f>IFERROR(IF(B336="","",VLOOKUP(B336,CadProd!$A:$B,2,0)),"")</f>
        <v/>
      </c>
      <c r="D336" t="str">
        <f>IFERROR(IF(B336="","",VLOOKUP(B336,CadProd!$A:$C,3,0)),"")</f>
        <v/>
      </c>
      <c r="G336" s="1" t="str">
        <f t="shared" si="5"/>
        <v/>
      </c>
    </row>
    <row r="337" spans="3:7" x14ac:dyDescent="0.3">
      <c r="C337" t="str">
        <f>IFERROR(IF(B337="","",VLOOKUP(B337,CadProd!$A:$B,2,0)),"")</f>
        <v/>
      </c>
      <c r="D337" t="str">
        <f>IFERROR(IF(B337="","",VLOOKUP(B337,CadProd!$A:$C,3,0)),"")</f>
        <v/>
      </c>
      <c r="G337" s="1" t="str">
        <f t="shared" si="5"/>
        <v/>
      </c>
    </row>
    <row r="338" spans="3:7" x14ac:dyDescent="0.3">
      <c r="C338" t="str">
        <f>IFERROR(IF(B338="","",VLOOKUP(B338,CadProd!$A:$B,2,0)),"")</f>
        <v/>
      </c>
      <c r="D338" t="str">
        <f>IFERROR(IF(B338="","",VLOOKUP(B338,CadProd!$A:$C,3,0)),"")</f>
        <v/>
      </c>
      <c r="G338" s="1" t="str">
        <f t="shared" si="5"/>
        <v/>
      </c>
    </row>
    <row r="339" spans="3:7" x14ac:dyDescent="0.3">
      <c r="C339" t="str">
        <f>IFERROR(IF(B339="","",VLOOKUP(B339,CadProd!$A:$B,2,0)),"")</f>
        <v/>
      </c>
      <c r="D339" t="str">
        <f>IFERROR(IF(B339="","",VLOOKUP(B339,CadProd!$A:$C,3,0)),"")</f>
        <v/>
      </c>
      <c r="G339" s="1" t="str">
        <f t="shared" si="5"/>
        <v/>
      </c>
    </row>
    <row r="340" spans="3:7" x14ac:dyDescent="0.3">
      <c r="C340" t="str">
        <f>IFERROR(IF(B340="","",VLOOKUP(B340,CadProd!$A:$B,2,0)),"")</f>
        <v/>
      </c>
      <c r="D340" t="str">
        <f>IFERROR(IF(B340="","",VLOOKUP(B340,CadProd!$A:$C,3,0)),"")</f>
        <v/>
      </c>
      <c r="G340" s="1" t="str">
        <f t="shared" si="5"/>
        <v/>
      </c>
    </row>
    <row r="341" spans="3:7" x14ac:dyDescent="0.3">
      <c r="C341" t="str">
        <f>IFERROR(IF(B341="","",VLOOKUP(B341,CadProd!$A:$B,2,0)),"")</f>
        <v/>
      </c>
      <c r="D341" t="str">
        <f>IFERROR(IF(B341="","",VLOOKUP(B341,CadProd!$A:$C,3,0)),"")</f>
        <v/>
      </c>
      <c r="G341" s="1" t="str">
        <f t="shared" si="5"/>
        <v/>
      </c>
    </row>
    <row r="342" spans="3:7" x14ac:dyDescent="0.3">
      <c r="C342" t="str">
        <f>IFERROR(IF(B342="","",VLOOKUP(B342,CadProd!$A:$B,2,0)),"")</f>
        <v/>
      </c>
      <c r="D342" t="str">
        <f>IFERROR(IF(B342="","",VLOOKUP(B342,CadProd!$A:$C,3,0)),"")</f>
        <v/>
      </c>
      <c r="G342" s="1" t="str">
        <f t="shared" si="5"/>
        <v/>
      </c>
    </row>
    <row r="343" spans="3:7" x14ac:dyDescent="0.3">
      <c r="C343" t="str">
        <f>IFERROR(IF(B343="","",VLOOKUP(B343,CadProd!$A:$B,2,0)),"")</f>
        <v/>
      </c>
      <c r="D343" t="str">
        <f>IFERROR(IF(B343="","",VLOOKUP(B343,CadProd!$A:$C,3,0)),"")</f>
        <v/>
      </c>
      <c r="G343" s="1" t="str">
        <f t="shared" si="5"/>
        <v/>
      </c>
    </row>
    <row r="344" spans="3:7" x14ac:dyDescent="0.3">
      <c r="C344" t="str">
        <f>IFERROR(IF(B344="","",VLOOKUP(B344,CadProd!$A:$B,2,0)),"")</f>
        <v/>
      </c>
      <c r="D344" t="str">
        <f>IFERROR(IF(B344="","",VLOOKUP(B344,CadProd!$A:$C,3,0)),"")</f>
        <v/>
      </c>
      <c r="G344" s="1" t="str">
        <f t="shared" si="5"/>
        <v/>
      </c>
    </row>
    <row r="345" spans="3:7" x14ac:dyDescent="0.3">
      <c r="C345" t="str">
        <f>IFERROR(IF(B345="","",VLOOKUP(B345,CadProd!$A:$B,2,0)),"")</f>
        <v/>
      </c>
      <c r="D345" t="str">
        <f>IFERROR(IF(B345="","",VLOOKUP(B345,CadProd!$A:$C,3,0)),"")</f>
        <v/>
      </c>
      <c r="G345" s="1" t="str">
        <f t="shared" si="5"/>
        <v/>
      </c>
    </row>
    <row r="346" spans="3:7" x14ac:dyDescent="0.3">
      <c r="C346" t="str">
        <f>IFERROR(IF(B346="","",VLOOKUP(B346,CadProd!$A:$B,2,0)),"")</f>
        <v/>
      </c>
      <c r="D346" t="str">
        <f>IFERROR(IF(B346="","",VLOOKUP(B346,CadProd!$A:$C,3,0)),"")</f>
        <v/>
      </c>
      <c r="G346" s="1" t="str">
        <f t="shared" si="5"/>
        <v/>
      </c>
    </row>
    <row r="347" spans="3:7" x14ac:dyDescent="0.3">
      <c r="C347" t="str">
        <f>IFERROR(IF(B347="","",VLOOKUP(B347,CadProd!$A:$B,2,0)),"")</f>
        <v/>
      </c>
      <c r="D347" t="str">
        <f>IFERROR(IF(B347="","",VLOOKUP(B347,CadProd!$A:$C,3,0)),"")</f>
        <v/>
      </c>
      <c r="G347" s="1" t="str">
        <f t="shared" si="5"/>
        <v/>
      </c>
    </row>
    <row r="348" spans="3:7" x14ac:dyDescent="0.3">
      <c r="C348" t="str">
        <f>IFERROR(IF(B348="","",VLOOKUP(B348,CadProd!$A:$B,2,0)),"")</f>
        <v/>
      </c>
      <c r="D348" t="str">
        <f>IFERROR(IF(B348="","",VLOOKUP(B348,CadProd!$A:$C,3,0)),"")</f>
        <v/>
      </c>
      <c r="G348" s="1" t="str">
        <f t="shared" si="5"/>
        <v/>
      </c>
    </row>
    <row r="349" spans="3:7" x14ac:dyDescent="0.3">
      <c r="C349" t="str">
        <f>IFERROR(IF(B349="","",VLOOKUP(B349,CadProd!$A:$B,2,0)),"")</f>
        <v/>
      </c>
      <c r="D349" t="str">
        <f>IFERROR(IF(B349="","",VLOOKUP(B349,CadProd!$A:$C,3,0)),"")</f>
        <v/>
      </c>
      <c r="G349" s="1" t="str">
        <f t="shared" si="5"/>
        <v/>
      </c>
    </row>
    <row r="350" spans="3:7" x14ac:dyDescent="0.3">
      <c r="C350" t="str">
        <f>IFERROR(IF(B350="","",VLOOKUP(B350,CadProd!$A:$B,2,0)),"")</f>
        <v/>
      </c>
      <c r="D350" t="str">
        <f>IFERROR(IF(B350="","",VLOOKUP(B350,CadProd!$A:$C,3,0)),"")</f>
        <v/>
      </c>
      <c r="G350" s="1" t="str">
        <f t="shared" si="5"/>
        <v/>
      </c>
    </row>
    <row r="351" spans="3:7" x14ac:dyDescent="0.3">
      <c r="C351" t="str">
        <f>IFERROR(IF(B351="","",VLOOKUP(B351,CadProd!$A:$B,2,0)),"")</f>
        <v/>
      </c>
      <c r="D351" t="str">
        <f>IFERROR(IF(B351="","",VLOOKUP(B351,CadProd!$A:$C,3,0)),"")</f>
        <v/>
      </c>
      <c r="G351" s="1" t="str">
        <f t="shared" si="5"/>
        <v/>
      </c>
    </row>
    <row r="352" spans="3:7" x14ac:dyDescent="0.3">
      <c r="C352" t="str">
        <f>IFERROR(IF(B352="","",VLOOKUP(B352,CadProd!$A:$B,2,0)),"")</f>
        <v/>
      </c>
      <c r="D352" t="str">
        <f>IFERROR(IF(B352="","",VLOOKUP(B352,CadProd!$A:$C,3,0)),"")</f>
        <v/>
      </c>
      <c r="G352" s="1" t="str">
        <f t="shared" si="5"/>
        <v/>
      </c>
    </row>
    <row r="353" spans="3:7" x14ac:dyDescent="0.3">
      <c r="C353" t="str">
        <f>IFERROR(IF(B353="","",VLOOKUP(B353,CadProd!$A:$B,2,0)),"")</f>
        <v/>
      </c>
      <c r="D353" t="str">
        <f>IFERROR(IF(B353="","",VLOOKUP(B353,CadProd!$A:$C,3,0)),"")</f>
        <v/>
      </c>
      <c r="G353" s="1" t="str">
        <f t="shared" si="5"/>
        <v/>
      </c>
    </row>
    <row r="354" spans="3:7" x14ac:dyDescent="0.3">
      <c r="C354" t="str">
        <f>IFERROR(IF(B354="","",VLOOKUP(B354,CadProd!$A:$B,2,0)),"")</f>
        <v/>
      </c>
      <c r="D354" t="str">
        <f>IFERROR(IF(B354="","",VLOOKUP(B354,CadProd!$A:$C,3,0)),"")</f>
        <v/>
      </c>
      <c r="G354" s="1" t="str">
        <f t="shared" si="5"/>
        <v/>
      </c>
    </row>
    <row r="355" spans="3:7" x14ac:dyDescent="0.3">
      <c r="C355" t="str">
        <f>IFERROR(IF(B355="","",VLOOKUP(B355,CadProd!$A:$B,2,0)),"")</f>
        <v/>
      </c>
      <c r="D355" t="str">
        <f>IFERROR(IF(B355="","",VLOOKUP(B355,CadProd!$A:$C,3,0)),"")</f>
        <v/>
      </c>
      <c r="G355" s="1" t="str">
        <f t="shared" si="5"/>
        <v/>
      </c>
    </row>
    <row r="356" spans="3:7" x14ac:dyDescent="0.3">
      <c r="C356" t="str">
        <f>IFERROR(IF(B356="","",VLOOKUP(B356,CadProd!$A:$B,2,0)),"")</f>
        <v/>
      </c>
      <c r="D356" t="str">
        <f>IFERROR(IF(B356="","",VLOOKUP(B356,CadProd!$A:$C,3,0)),"")</f>
        <v/>
      </c>
      <c r="G356" s="1" t="str">
        <f t="shared" si="5"/>
        <v/>
      </c>
    </row>
    <row r="357" spans="3:7" x14ac:dyDescent="0.3">
      <c r="C357" t="str">
        <f>IFERROR(IF(B357="","",VLOOKUP(B357,CadProd!$A:$B,2,0)),"")</f>
        <v/>
      </c>
      <c r="D357" t="str">
        <f>IFERROR(IF(B357="","",VLOOKUP(B357,CadProd!$A:$C,3,0)),"")</f>
        <v/>
      </c>
      <c r="G357" s="1" t="str">
        <f t="shared" si="5"/>
        <v/>
      </c>
    </row>
    <row r="358" spans="3:7" x14ac:dyDescent="0.3">
      <c r="C358" t="str">
        <f>IFERROR(IF(B358="","",VLOOKUP(B358,CadProd!$A:$B,2,0)),"")</f>
        <v/>
      </c>
      <c r="D358" t="str">
        <f>IFERROR(IF(B358="","",VLOOKUP(B358,CadProd!$A:$C,3,0)),"")</f>
        <v/>
      </c>
      <c r="G358" s="1" t="str">
        <f t="shared" si="5"/>
        <v/>
      </c>
    </row>
    <row r="359" spans="3:7" x14ac:dyDescent="0.3">
      <c r="C359" t="str">
        <f>IFERROR(IF(B359="","",VLOOKUP(B359,CadProd!$A:$B,2,0)),"")</f>
        <v/>
      </c>
      <c r="D359" t="str">
        <f>IFERROR(IF(B359="","",VLOOKUP(B359,CadProd!$A:$C,3,0)),"")</f>
        <v/>
      </c>
      <c r="G359" s="1" t="str">
        <f t="shared" si="5"/>
        <v/>
      </c>
    </row>
    <row r="360" spans="3:7" x14ac:dyDescent="0.3">
      <c r="C360" t="str">
        <f>IFERROR(IF(B360="","",VLOOKUP(B360,CadProd!$A:$B,2,0)),"")</f>
        <v/>
      </c>
      <c r="D360" t="str">
        <f>IFERROR(IF(B360="","",VLOOKUP(B360,CadProd!$A:$C,3,0)),"")</f>
        <v/>
      </c>
      <c r="G360" s="1" t="str">
        <f t="shared" si="5"/>
        <v/>
      </c>
    </row>
    <row r="361" spans="3:7" x14ac:dyDescent="0.3">
      <c r="C361" t="str">
        <f>IFERROR(IF(B361="","",VLOOKUP(B361,CadProd!$A:$B,2,0)),"")</f>
        <v/>
      </c>
      <c r="D361" t="str">
        <f>IFERROR(IF(B361="","",VLOOKUP(B361,CadProd!$A:$C,3,0)),"")</f>
        <v/>
      </c>
      <c r="G361" s="1" t="str">
        <f t="shared" si="5"/>
        <v/>
      </c>
    </row>
    <row r="362" spans="3:7" x14ac:dyDescent="0.3">
      <c r="C362" t="str">
        <f>IFERROR(IF(B362="","",VLOOKUP(B362,CadProd!$A:$B,2,0)),"")</f>
        <v/>
      </c>
      <c r="D362" t="str">
        <f>IFERROR(IF(B362="","",VLOOKUP(B362,CadProd!$A:$C,3,0)),"")</f>
        <v/>
      </c>
      <c r="G362" s="1" t="str">
        <f t="shared" si="5"/>
        <v/>
      </c>
    </row>
    <row r="363" spans="3:7" x14ac:dyDescent="0.3">
      <c r="C363" t="str">
        <f>IFERROR(IF(B363="","",VLOOKUP(B363,CadProd!$A:$B,2,0)),"")</f>
        <v/>
      </c>
      <c r="D363" t="str">
        <f>IFERROR(IF(B363="","",VLOOKUP(B363,CadProd!$A:$C,3,0)),"")</f>
        <v/>
      </c>
      <c r="G363" s="1" t="str">
        <f t="shared" si="5"/>
        <v/>
      </c>
    </row>
    <row r="364" spans="3:7" x14ac:dyDescent="0.3">
      <c r="C364" t="str">
        <f>IFERROR(IF(B364="","",VLOOKUP(B364,CadProd!$A:$B,2,0)),"")</f>
        <v/>
      </c>
      <c r="D364" t="str">
        <f>IFERROR(IF(B364="","",VLOOKUP(B364,CadProd!$A:$C,3,0)),"")</f>
        <v/>
      </c>
      <c r="G364" s="1" t="str">
        <f t="shared" si="5"/>
        <v/>
      </c>
    </row>
    <row r="365" spans="3:7" x14ac:dyDescent="0.3">
      <c r="C365" t="str">
        <f>IFERROR(IF(B365="","",VLOOKUP(B365,CadProd!$A:$B,2,0)),"")</f>
        <v/>
      </c>
      <c r="D365" t="str">
        <f>IFERROR(IF(B365="","",VLOOKUP(B365,CadProd!$A:$C,3,0)),"")</f>
        <v/>
      </c>
      <c r="G365" s="1" t="str">
        <f t="shared" si="5"/>
        <v/>
      </c>
    </row>
    <row r="366" spans="3:7" x14ac:dyDescent="0.3">
      <c r="C366" t="str">
        <f>IFERROR(IF(B366="","",VLOOKUP(B366,CadProd!$A:$B,2,0)),"")</f>
        <v/>
      </c>
      <c r="D366" t="str">
        <f>IFERROR(IF(B366="","",VLOOKUP(B366,CadProd!$A:$C,3,0)),"")</f>
        <v/>
      </c>
      <c r="G366" s="1" t="str">
        <f t="shared" si="5"/>
        <v/>
      </c>
    </row>
    <row r="367" spans="3:7" x14ac:dyDescent="0.3">
      <c r="C367" t="str">
        <f>IFERROR(IF(B367="","",VLOOKUP(B367,CadProd!$A:$B,2,0)),"")</f>
        <v/>
      </c>
      <c r="D367" t="str">
        <f>IFERROR(IF(B367="","",VLOOKUP(B367,CadProd!$A:$C,3,0)),"")</f>
        <v/>
      </c>
      <c r="G367" s="1" t="str">
        <f t="shared" si="5"/>
        <v/>
      </c>
    </row>
    <row r="368" spans="3:7" x14ac:dyDescent="0.3">
      <c r="C368" t="str">
        <f>IFERROR(IF(B368="","",VLOOKUP(B368,CadProd!$A:$B,2,0)),"")</f>
        <v/>
      </c>
      <c r="D368" t="str">
        <f>IFERROR(IF(B368="","",VLOOKUP(B368,CadProd!$A:$C,3,0)),"")</f>
        <v/>
      </c>
      <c r="G368" s="1" t="str">
        <f t="shared" si="5"/>
        <v/>
      </c>
    </row>
    <row r="369" spans="3:7" x14ac:dyDescent="0.3">
      <c r="C369" t="str">
        <f>IFERROR(IF(B369="","",VLOOKUP(B369,CadProd!$A:$B,2,0)),"")</f>
        <v/>
      </c>
      <c r="D369" t="str">
        <f>IFERROR(IF(B369="","",VLOOKUP(B369,CadProd!$A:$C,3,0)),"")</f>
        <v/>
      </c>
      <c r="G369" s="1" t="str">
        <f t="shared" si="5"/>
        <v/>
      </c>
    </row>
    <row r="370" spans="3:7" x14ac:dyDescent="0.3">
      <c r="C370" t="str">
        <f>IFERROR(IF(B370="","",VLOOKUP(B370,CadProd!$A:$B,2,0)),"")</f>
        <v/>
      </c>
      <c r="D370" t="str">
        <f>IFERROR(IF(B370="","",VLOOKUP(B370,CadProd!$A:$C,3,0)),"")</f>
        <v/>
      </c>
      <c r="G370" s="1" t="str">
        <f t="shared" si="5"/>
        <v/>
      </c>
    </row>
    <row r="371" spans="3:7" x14ac:dyDescent="0.3">
      <c r="C371" t="str">
        <f>IFERROR(IF(B371="","",VLOOKUP(B371,CadProd!$A:$B,2,0)),"")</f>
        <v/>
      </c>
      <c r="D371" t="str">
        <f>IFERROR(IF(B371="","",VLOOKUP(B371,CadProd!$A:$C,3,0)),"")</f>
        <v/>
      </c>
      <c r="G371" s="1" t="str">
        <f t="shared" si="5"/>
        <v/>
      </c>
    </row>
    <row r="372" spans="3:7" x14ac:dyDescent="0.3">
      <c r="C372" t="str">
        <f>IFERROR(IF(B372="","",VLOOKUP(B372,CadProd!$A:$B,2,0)),"")</f>
        <v/>
      </c>
      <c r="D372" t="str">
        <f>IFERROR(IF(B372="","",VLOOKUP(B372,CadProd!$A:$C,3,0)),"")</f>
        <v/>
      </c>
      <c r="G372" s="1" t="str">
        <f t="shared" si="5"/>
        <v/>
      </c>
    </row>
    <row r="373" spans="3:7" x14ac:dyDescent="0.3">
      <c r="C373" t="str">
        <f>IFERROR(IF(B373="","",VLOOKUP(B373,CadProd!$A:$B,2,0)),"")</f>
        <v/>
      </c>
      <c r="D373" t="str">
        <f>IFERROR(IF(B373="","",VLOOKUP(B373,CadProd!$A:$C,3,0)),"")</f>
        <v/>
      </c>
      <c r="G373" s="1" t="str">
        <f t="shared" si="5"/>
        <v/>
      </c>
    </row>
    <row r="374" spans="3:7" x14ac:dyDescent="0.3">
      <c r="C374" t="str">
        <f>IFERROR(IF(B374="","",VLOOKUP(B374,CadProd!$A:$B,2,0)),"")</f>
        <v/>
      </c>
      <c r="D374" t="str">
        <f>IFERROR(IF(B374="","",VLOOKUP(B374,CadProd!$A:$C,3,0)),"")</f>
        <v/>
      </c>
      <c r="G374" s="1" t="str">
        <f t="shared" si="5"/>
        <v/>
      </c>
    </row>
    <row r="375" spans="3:7" x14ac:dyDescent="0.3">
      <c r="C375" t="str">
        <f>IFERROR(IF(B375="","",VLOOKUP(B375,CadProd!$A:$B,2,0)),"")</f>
        <v/>
      </c>
      <c r="D375" t="str">
        <f>IFERROR(IF(B375="","",VLOOKUP(B375,CadProd!$A:$C,3,0)),"")</f>
        <v/>
      </c>
      <c r="G375" s="1" t="str">
        <f t="shared" si="5"/>
        <v/>
      </c>
    </row>
    <row r="376" spans="3:7" x14ac:dyDescent="0.3">
      <c r="C376" t="str">
        <f>IFERROR(IF(B376="","",VLOOKUP(B376,CadProd!$A:$B,2,0)),"")</f>
        <v/>
      </c>
      <c r="D376" t="str">
        <f>IFERROR(IF(B376="","",VLOOKUP(B376,CadProd!$A:$C,3,0)),"")</f>
        <v/>
      </c>
      <c r="G376" s="1" t="str">
        <f t="shared" si="5"/>
        <v/>
      </c>
    </row>
    <row r="377" spans="3:7" x14ac:dyDescent="0.3">
      <c r="C377" t="str">
        <f>IFERROR(IF(B377="","",VLOOKUP(B377,CadProd!$A:$B,2,0)),"")</f>
        <v/>
      </c>
      <c r="D377" t="str">
        <f>IFERROR(IF(B377="","",VLOOKUP(B377,CadProd!$A:$C,3,0)),"")</f>
        <v/>
      </c>
      <c r="G377" s="1" t="str">
        <f t="shared" si="5"/>
        <v/>
      </c>
    </row>
    <row r="378" spans="3:7" x14ac:dyDescent="0.3">
      <c r="C378" t="str">
        <f>IFERROR(IF(B378="","",VLOOKUP(B378,CadProd!$A:$B,2,0)),"")</f>
        <v/>
      </c>
      <c r="D378" t="str">
        <f>IFERROR(IF(B378="","",VLOOKUP(B378,CadProd!$A:$C,3,0)),"")</f>
        <v/>
      </c>
      <c r="G378" s="1" t="str">
        <f t="shared" si="5"/>
        <v/>
      </c>
    </row>
    <row r="379" spans="3:7" x14ac:dyDescent="0.3">
      <c r="C379" t="str">
        <f>IFERROR(IF(B379="","",VLOOKUP(B379,CadProd!$A:$B,2,0)),"")</f>
        <v/>
      </c>
      <c r="D379" t="str">
        <f>IFERROR(IF(B379="","",VLOOKUP(B379,CadProd!$A:$C,3,0)),"")</f>
        <v/>
      </c>
      <c r="G379" s="1" t="str">
        <f t="shared" si="5"/>
        <v/>
      </c>
    </row>
    <row r="380" spans="3:7" x14ac:dyDescent="0.3">
      <c r="C380" t="str">
        <f>IFERROR(IF(B380="","",VLOOKUP(B380,CadProd!$A:$B,2,0)),"")</f>
        <v/>
      </c>
      <c r="D380" t="str">
        <f>IFERROR(IF(B380="","",VLOOKUP(B380,CadProd!$A:$C,3,0)),"")</f>
        <v/>
      </c>
      <c r="G380" s="1" t="str">
        <f t="shared" si="5"/>
        <v/>
      </c>
    </row>
    <row r="381" spans="3:7" x14ac:dyDescent="0.3">
      <c r="C381" t="str">
        <f>IFERROR(IF(B381="","",VLOOKUP(B381,CadProd!$A:$B,2,0)),"")</f>
        <v/>
      </c>
      <c r="D381" t="str">
        <f>IFERROR(IF(B381="","",VLOOKUP(B381,CadProd!$A:$C,3,0)),"")</f>
        <v/>
      </c>
      <c r="G381" s="1" t="str">
        <f t="shared" si="5"/>
        <v/>
      </c>
    </row>
    <row r="382" spans="3:7" x14ac:dyDescent="0.3">
      <c r="C382" t="str">
        <f>IFERROR(IF(B382="","",VLOOKUP(B382,CadProd!$A:$B,2,0)),"")</f>
        <v/>
      </c>
      <c r="D382" t="str">
        <f>IFERROR(IF(B382="","",VLOOKUP(B382,CadProd!$A:$C,3,0)),"")</f>
        <v/>
      </c>
      <c r="G382" s="1" t="str">
        <f t="shared" si="5"/>
        <v/>
      </c>
    </row>
    <row r="383" spans="3:7" x14ac:dyDescent="0.3">
      <c r="C383" t="str">
        <f>IFERROR(IF(B383="","",VLOOKUP(B383,CadProd!$A:$B,2,0)),"")</f>
        <v/>
      </c>
      <c r="D383" t="str">
        <f>IFERROR(IF(B383="","",VLOOKUP(B383,CadProd!$A:$C,3,0)),"")</f>
        <v/>
      </c>
      <c r="G383" s="1" t="str">
        <f t="shared" si="5"/>
        <v/>
      </c>
    </row>
    <row r="384" spans="3:7" x14ac:dyDescent="0.3">
      <c r="C384" t="str">
        <f>IFERROR(IF(B384="","",VLOOKUP(B384,CadProd!$A:$B,2,0)),"")</f>
        <v/>
      </c>
      <c r="D384" t="str">
        <f>IFERROR(IF(B384="","",VLOOKUP(B384,CadProd!$A:$C,3,0)),"")</f>
        <v/>
      </c>
      <c r="G384" s="1" t="str">
        <f t="shared" si="5"/>
        <v/>
      </c>
    </row>
    <row r="385" spans="3:7" x14ac:dyDescent="0.3">
      <c r="C385" t="str">
        <f>IFERROR(IF(B385="","",VLOOKUP(B385,CadProd!$A:$B,2,0)),"")</f>
        <v/>
      </c>
      <c r="D385" t="str">
        <f>IFERROR(IF(B385="","",VLOOKUP(B385,CadProd!$A:$C,3,0)),"")</f>
        <v/>
      </c>
      <c r="G385" s="1" t="str">
        <f t="shared" si="5"/>
        <v/>
      </c>
    </row>
    <row r="386" spans="3:7" x14ac:dyDescent="0.3">
      <c r="C386" t="str">
        <f>IFERROR(IF(B386="","",VLOOKUP(B386,CadProd!$A:$B,2,0)),"")</f>
        <v/>
      </c>
      <c r="D386" t="str">
        <f>IFERROR(IF(B386="","",VLOOKUP(B386,CadProd!$A:$C,3,0)),"")</f>
        <v/>
      </c>
      <c r="G386" s="1" t="str">
        <f t="shared" ref="G386:G449" si="6">IFERROR(IF(B386="","",F386*E386),"")</f>
        <v/>
      </c>
    </row>
    <row r="387" spans="3:7" x14ac:dyDescent="0.3">
      <c r="C387" t="str">
        <f>IFERROR(IF(B387="","",VLOOKUP(B387,CadProd!$A:$B,2,0)),"")</f>
        <v/>
      </c>
      <c r="D387" t="str">
        <f>IFERROR(IF(B387="","",VLOOKUP(B387,CadProd!$A:$C,3,0)),"")</f>
        <v/>
      </c>
      <c r="G387" s="1" t="str">
        <f t="shared" si="6"/>
        <v/>
      </c>
    </row>
    <row r="388" spans="3:7" x14ac:dyDescent="0.3">
      <c r="C388" t="str">
        <f>IFERROR(IF(B388="","",VLOOKUP(B388,CadProd!$A:$B,2,0)),"")</f>
        <v/>
      </c>
      <c r="D388" t="str">
        <f>IFERROR(IF(B388="","",VLOOKUP(B388,CadProd!$A:$C,3,0)),"")</f>
        <v/>
      </c>
      <c r="G388" s="1" t="str">
        <f t="shared" si="6"/>
        <v/>
      </c>
    </row>
    <row r="389" spans="3:7" x14ac:dyDescent="0.3">
      <c r="C389" t="str">
        <f>IFERROR(IF(B389="","",VLOOKUP(B389,CadProd!$A:$B,2,0)),"")</f>
        <v/>
      </c>
      <c r="D389" t="str">
        <f>IFERROR(IF(B389="","",VLOOKUP(B389,CadProd!$A:$C,3,0)),"")</f>
        <v/>
      </c>
      <c r="G389" s="1" t="str">
        <f t="shared" si="6"/>
        <v/>
      </c>
    </row>
    <row r="390" spans="3:7" x14ac:dyDescent="0.3">
      <c r="C390" t="str">
        <f>IFERROR(IF(B390="","",VLOOKUP(B390,CadProd!$A:$B,2,0)),"")</f>
        <v/>
      </c>
      <c r="D390" t="str">
        <f>IFERROR(IF(B390="","",VLOOKUP(B390,CadProd!$A:$C,3,0)),"")</f>
        <v/>
      </c>
      <c r="G390" s="1" t="str">
        <f t="shared" si="6"/>
        <v/>
      </c>
    </row>
    <row r="391" spans="3:7" x14ac:dyDescent="0.3">
      <c r="C391" t="str">
        <f>IFERROR(IF(B391="","",VLOOKUP(B391,CadProd!$A:$B,2,0)),"")</f>
        <v/>
      </c>
      <c r="D391" t="str">
        <f>IFERROR(IF(B391="","",VLOOKUP(B391,CadProd!$A:$C,3,0)),"")</f>
        <v/>
      </c>
      <c r="G391" s="1" t="str">
        <f t="shared" si="6"/>
        <v/>
      </c>
    </row>
    <row r="392" spans="3:7" x14ac:dyDescent="0.3">
      <c r="C392" t="str">
        <f>IFERROR(IF(B392="","",VLOOKUP(B392,CadProd!$A:$B,2,0)),"")</f>
        <v/>
      </c>
      <c r="D392" t="str">
        <f>IFERROR(IF(B392="","",VLOOKUP(B392,CadProd!$A:$C,3,0)),"")</f>
        <v/>
      </c>
      <c r="G392" s="1" t="str">
        <f t="shared" si="6"/>
        <v/>
      </c>
    </row>
    <row r="393" spans="3:7" x14ac:dyDescent="0.3">
      <c r="C393" t="str">
        <f>IFERROR(IF(B393="","",VLOOKUP(B393,CadProd!$A:$B,2,0)),"")</f>
        <v/>
      </c>
      <c r="D393" t="str">
        <f>IFERROR(IF(B393="","",VLOOKUP(B393,CadProd!$A:$C,3,0)),"")</f>
        <v/>
      </c>
      <c r="G393" s="1" t="str">
        <f t="shared" si="6"/>
        <v/>
      </c>
    </row>
    <row r="394" spans="3:7" x14ac:dyDescent="0.3">
      <c r="C394" t="str">
        <f>IFERROR(IF(B394="","",VLOOKUP(B394,CadProd!$A:$B,2,0)),"")</f>
        <v/>
      </c>
      <c r="D394" t="str">
        <f>IFERROR(IF(B394="","",VLOOKUP(B394,CadProd!$A:$C,3,0)),"")</f>
        <v/>
      </c>
      <c r="G394" s="1" t="str">
        <f t="shared" si="6"/>
        <v/>
      </c>
    </row>
    <row r="395" spans="3:7" x14ac:dyDescent="0.3">
      <c r="C395" t="str">
        <f>IFERROR(IF(B395="","",VLOOKUP(B395,CadProd!$A:$B,2,0)),"")</f>
        <v/>
      </c>
      <c r="D395" t="str">
        <f>IFERROR(IF(B395="","",VLOOKUP(B395,CadProd!$A:$C,3,0)),"")</f>
        <v/>
      </c>
      <c r="G395" s="1" t="str">
        <f t="shared" si="6"/>
        <v/>
      </c>
    </row>
    <row r="396" spans="3:7" x14ac:dyDescent="0.3">
      <c r="C396" t="str">
        <f>IFERROR(IF(B396="","",VLOOKUP(B396,CadProd!$A:$B,2,0)),"")</f>
        <v/>
      </c>
      <c r="D396" t="str">
        <f>IFERROR(IF(B396="","",VLOOKUP(B396,CadProd!$A:$C,3,0)),"")</f>
        <v/>
      </c>
      <c r="G396" s="1" t="str">
        <f t="shared" si="6"/>
        <v/>
      </c>
    </row>
    <row r="397" spans="3:7" x14ac:dyDescent="0.3">
      <c r="C397" t="str">
        <f>IFERROR(IF(B397="","",VLOOKUP(B397,CadProd!$A:$B,2,0)),"")</f>
        <v/>
      </c>
      <c r="D397" t="str">
        <f>IFERROR(IF(B397="","",VLOOKUP(B397,CadProd!$A:$C,3,0)),"")</f>
        <v/>
      </c>
      <c r="G397" s="1" t="str">
        <f t="shared" si="6"/>
        <v/>
      </c>
    </row>
    <row r="398" spans="3:7" x14ac:dyDescent="0.3">
      <c r="C398" t="str">
        <f>IFERROR(IF(B398="","",VLOOKUP(B398,CadProd!$A:$B,2,0)),"")</f>
        <v/>
      </c>
      <c r="D398" t="str">
        <f>IFERROR(IF(B398="","",VLOOKUP(B398,CadProd!$A:$C,3,0)),"")</f>
        <v/>
      </c>
      <c r="G398" s="1" t="str">
        <f t="shared" si="6"/>
        <v/>
      </c>
    </row>
    <row r="399" spans="3:7" x14ac:dyDescent="0.3">
      <c r="C399" t="str">
        <f>IFERROR(IF(B399="","",VLOOKUP(B399,CadProd!$A:$B,2,0)),"")</f>
        <v/>
      </c>
      <c r="D399" t="str">
        <f>IFERROR(IF(B399="","",VLOOKUP(B399,CadProd!$A:$C,3,0)),"")</f>
        <v/>
      </c>
      <c r="G399" s="1" t="str">
        <f t="shared" si="6"/>
        <v/>
      </c>
    </row>
    <row r="400" spans="3:7" x14ac:dyDescent="0.3">
      <c r="C400" t="str">
        <f>IFERROR(IF(B400="","",VLOOKUP(B400,CadProd!$A:$B,2,0)),"")</f>
        <v/>
      </c>
      <c r="D400" t="str">
        <f>IFERROR(IF(B400="","",VLOOKUP(B400,CadProd!$A:$C,3,0)),"")</f>
        <v/>
      </c>
      <c r="G400" s="1" t="str">
        <f t="shared" si="6"/>
        <v/>
      </c>
    </row>
    <row r="401" spans="3:7" x14ac:dyDescent="0.3">
      <c r="C401" t="str">
        <f>IFERROR(IF(B401="","",VLOOKUP(B401,CadProd!$A:$B,2,0)),"")</f>
        <v/>
      </c>
      <c r="D401" t="str">
        <f>IFERROR(IF(B401="","",VLOOKUP(B401,CadProd!$A:$C,3,0)),"")</f>
        <v/>
      </c>
      <c r="G401" s="1" t="str">
        <f t="shared" si="6"/>
        <v/>
      </c>
    </row>
    <row r="402" spans="3:7" x14ac:dyDescent="0.3">
      <c r="C402" t="str">
        <f>IFERROR(IF(B402="","",VLOOKUP(B402,CadProd!$A:$B,2,0)),"")</f>
        <v/>
      </c>
      <c r="D402" t="str">
        <f>IFERROR(IF(B402="","",VLOOKUP(B402,CadProd!$A:$C,3,0)),"")</f>
        <v/>
      </c>
      <c r="G402" s="1" t="str">
        <f t="shared" si="6"/>
        <v/>
      </c>
    </row>
    <row r="403" spans="3:7" x14ac:dyDescent="0.3">
      <c r="C403" t="str">
        <f>IFERROR(IF(B403="","",VLOOKUP(B403,CadProd!$A:$B,2,0)),"")</f>
        <v/>
      </c>
      <c r="D403" t="str">
        <f>IFERROR(IF(B403="","",VLOOKUP(B403,CadProd!$A:$C,3,0)),"")</f>
        <v/>
      </c>
      <c r="G403" s="1" t="str">
        <f t="shared" si="6"/>
        <v/>
      </c>
    </row>
    <row r="404" spans="3:7" x14ac:dyDescent="0.3">
      <c r="C404" t="str">
        <f>IFERROR(IF(B404="","",VLOOKUP(B404,CadProd!$A:$B,2,0)),"")</f>
        <v/>
      </c>
      <c r="D404" t="str">
        <f>IFERROR(IF(B404="","",VLOOKUP(B404,CadProd!$A:$C,3,0)),"")</f>
        <v/>
      </c>
      <c r="G404" s="1" t="str">
        <f t="shared" si="6"/>
        <v/>
      </c>
    </row>
    <row r="405" spans="3:7" x14ac:dyDescent="0.3">
      <c r="C405" t="str">
        <f>IFERROR(IF(B405="","",VLOOKUP(B405,CadProd!$A:$B,2,0)),"")</f>
        <v/>
      </c>
      <c r="D405" t="str">
        <f>IFERROR(IF(B405="","",VLOOKUP(B405,CadProd!$A:$C,3,0)),"")</f>
        <v/>
      </c>
      <c r="G405" s="1" t="str">
        <f t="shared" si="6"/>
        <v/>
      </c>
    </row>
    <row r="406" spans="3:7" x14ac:dyDescent="0.3">
      <c r="C406" t="str">
        <f>IFERROR(IF(B406="","",VLOOKUP(B406,CadProd!$A:$B,2,0)),"")</f>
        <v/>
      </c>
      <c r="D406" t="str">
        <f>IFERROR(IF(B406="","",VLOOKUP(B406,CadProd!$A:$C,3,0)),"")</f>
        <v/>
      </c>
      <c r="G406" s="1" t="str">
        <f t="shared" si="6"/>
        <v/>
      </c>
    </row>
    <row r="407" spans="3:7" x14ac:dyDescent="0.3">
      <c r="C407" t="str">
        <f>IFERROR(IF(B407="","",VLOOKUP(B407,CadProd!$A:$B,2,0)),"")</f>
        <v/>
      </c>
      <c r="D407" t="str">
        <f>IFERROR(IF(B407="","",VLOOKUP(B407,CadProd!$A:$C,3,0)),"")</f>
        <v/>
      </c>
      <c r="G407" s="1" t="str">
        <f t="shared" si="6"/>
        <v/>
      </c>
    </row>
    <row r="408" spans="3:7" x14ac:dyDescent="0.3">
      <c r="C408" t="str">
        <f>IFERROR(IF(B408="","",VLOOKUP(B408,CadProd!$A:$B,2,0)),"")</f>
        <v/>
      </c>
      <c r="D408" t="str">
        <f>IFERROR(IF(B408="","",VLOOKUP(B408,CadProd!$A:$C,3,0)),"")</f>
        <v/>
      </c>
      <c r="G408" s="1" t="str">
        <f t="shared" si="6"/>
        <v/>
      </c>
    </row>
    <row r="409" spans="3:7" x14ac:dyDescent="0.3">
      <c r="C409" t="str">
        <f>IFERROR(IF(B409="","",VLOOKUP(B409,CadProd!$A:$B,2,0)),"")</f>
        <v/>
      </c>
      <c r="D409" t="str">
        <f>IFERROR(IF(B409="","",VLOOKUP(B409,CadProd!$A:$C,3,0)),"")</f>
        <v/>
      </c>
      <c r="G409" s="1" t="str">
        <f t="shared" si="6"/>
        <v/>
      </c>
    </row>
    <row r="410" spans="3:7" x14ac:dyDescent="0.3">
      <c r="C410" t="str">
        <f>IFERROR(IF(B410="","",VLOOKUP(B410,CadProd!$A:$B,2,0)),"")</f>
        <v/>
      </c>
      <c r="D410" t="str">
        <f>IFERROR(IF(B410="","",VLOOKUP(B410,CadProd!$A:$C,3,0)),"")</f>
        <v/>
      </c>
      <c r="G410" s="1" t="str">
        <f t="shared" si="6"/>
        <v/>
      </c>
    </row>
    <row r="411" spans="3:7" x14ac:dyDescent="0.3">
      <c r="C411" t="str">
        <f>IFERROR(IF(B411="","",VLOOKUP(B411,CadProd!$A:$B,2,0)),"")</f>
        <v/>
      </c>
      <c r="D411" t="str">
        <f>IFERROR(IF(B411="","",VLOOKUP(B411,CadProd!$A:$C,3,0)),"")</f>
        <v/>
      </c>
      <c r="G411" s="1" t="str">
        <f t="shared" si="6"/>
        <v/>
      </c>
    </row>
    <row r="412" spans="3:7" x14ac:dyDescent="0.3">
      <c r="C412" t="str">
        <f>IFERROR(IF(B412="","",VLOOKUP(B412,CadProd!$A:$B,2,0)),"")</f>
        <v/>
      </c>
      <c r="D412" t="str">
        <f>IFERROR(IF(B412="","",VLOOKUP(B412,CadProd!$A:$C,3,0)),"")</f>
        <v/>
      </c>
      <c r="G412" s="1" t="str">
        <f t="shared" si="6"/>
        <v/>
      </c>
    </row>
    <row r="413" spans="3:7" x14ac:dyDescent="0.3">
      <c r="C413" t="str">
        <f>IFERROR(IF(B413="","",VLOOKUP(B413,CadProd!$A:$B,2,0)),"")</f>
        <v/>
      </c>
      <c r="D413" t="str">
        <f>IFERROR(IF(B413="","",VLOOKUP(B413,CadProd!$A:$C,3,0)),"")</f>
        <v/>
      </c>
      <c r="G413" s="1" t="str">
        <f t="shared" si="6"/>
        <v/>
      </c>
    </row>
    <row r="414" spans="3:7" x14ac:dyDescent="0.3">
      <c r="C414" t="str">
        <f>IFERROR(IF(B414="","",VLOOKUP(B414,CadProd!$A:$B,2,0)),"")</f>
        <v/>
      </c>
      <c r="D414" t="str">
        <f>IFERROR(IF(B414="","",VLOOKUP(B414,CadProd!$A:$C,3,0)),"")</f>
        <v/>
      </c>
      <c r="G414" s="1" t="str">
        <f t="shared" si="6"/>
        <v/>
      </c>
    </row>
    <row r="415" spans="3:7" x14ac:dyDescent="0.3">
      <c r="C415" t="str">
        <f>IFERROR(IF(B415="","",VLOOKUP(B415,CadProd!$A:$B,2,0)),"")</f>
        <v/>
      </c>
      <c r="D415" t="str">
        <f>IFERROR(IF(B415="","",VLOOKUP(B415,CadProd!$A:$C,3,0)),"")</f>
        <v/>
      </c>
      <c r="G415" s="1" t="str">
        <f t="shared" si="6"/>
        <v/>
      </c>
    </row>
    <row r="416" spans="3:7" x14ac:dyDescent="0.3">
      <c r="C416" t="str">
        <f>IFERROR(IF(B416="","",VLOOKUP(B416,CadProd!$A:$B,2,0)),"")</f>
        <v/>
      </c>
      <c r="D416" t="str">
        <f>IFERROR(IF(B416="","",VLOOKUP(B416,CadProd!$A:$C,3,0)),"")</f>
        <v/>
      </c>
      <c r="G416" s="1" t="str">
        <f t="shared" si="6"/>
        <v/>
      </c>
    </row>
    <row r="417" spans="3:7" x14ac:dyDescent="0.3">
      <c r="C417" t="str">
        <f>IFERROR(IF(B417="","",VLOOKUP(B417,CadProd!$A:$B,2,0)),"")</f>
        <v/>
      </c>
      <c r="D417" t="str">
        <f>IFERROR(IF(B417="","",VLOOKUP(B417,CadProd!$A:$C,3,0)),"")</f>
        <v/>
      </c>
      <c r="G417" s="1" t="str">
        <f t="shared" si="6"/>
        <v/>
      </c>
    </row>
    <row r="418" spans="3:7" x14ac:dyDescent="0.3">
      <c r="C418" t="str">
        <f>IFERROR(IF(B418="","",VLOOKUP(B418,CadProd!$A:$B,2,0)),"")</f>
        <v/>
      </c>
      <c r="D418" t="str">
        <f>IFERROR(IF(B418="","",VLOOKUP(B418,CadProd!$A:$C,3,0)),"")</f>
        <v/>
      </c>
      <c r="G418" s="1" t="str">
        <f t="shared" si="6"/>
        <v/>
      </c>
    </row>
    <row r="419" spans="3:7" x14ac:dyDescent="0.3">
      <c r="C419" t="str">
        <f>IFERROR(IF(B419="","",VLOOKUP(B419,CadProd!$A:$B,2,0)),"")</f>
        <v/>
      </c>
      <c r="D419" t="str">
        <f>IFERROR(IF(B419="","",VLOOKUP(B419,CadProd!$A:$C,3,0)),"")</f>
        <v/>
      </c>
      <c r="G419" s="1" t="str">
        <f t="shared" si="6"/>
        <v/>
      </c>
    </row>
    <row r="420" spans="3:7" x14ac:dyDescent="0.3">
      <c r="C420" t="str">
        <f>IFERROR(IF(B420="","",VLOOKUP(B420,CadProd!$A:$B,2,0)),"")</f>
        <v/>
      </c>
      <c r="D420" t="str">
        <f>IFERROR(IF(B420="","",VLOOKUP(B420,CadProd!$A:$C,3,0)),"")</f>
        <v/>
      </c>
      <c r="G420" s="1" t="str">
        <f t="shared" si="6"/>
        <v/>
      </c>
    </row>
    <row r="421" spans="3:7" x14ac:dyDescent="0.3">
      <c r="C421" t="str">
        <f>IFERROR(IF(B421="","",VLOOKUP(B421,CadProd!$A:$B,2,0)),"")</f>
        <v/>
      </c>
      <c r="D421" t="str">
        <f>IFERROR(IF(B421="","",VLOOKUP(B421,CadProd!$A:$C,3,0)),"")</f>
        <v/>
      </c>
      <c r="G421" s="1" t="str">
        <f t="shared" si="6"/>
        <v/>
      </c>
    </row>
    <row r="422" spans="3:7" x14ac:dyDescent="0.3">
      <c r="C422" t="str">
        <f>IFERROR(IF(B422="","",VLOOKUP(B422,CadProd!$A:$B,2,0)),"")</f>
        <v/>
      </c>
      <c r="D422" t="str">
        <f>IFERROR(IF(B422="","",VLOOKUP(B422,CadProd!$A:$C,3,0)),"")</f>
        <v/>
      </c>
      <c r="G422" s="1" t="str">
        <f t="shared" si="6"/>
        <v/>
      </c>
    </row>
    <row r="423" spans="3:7" x14ac:dyDescent="0.3">
      <c r="C423" t="str">
        <f>IFERROR(IF(B423="","",VLOOKUP(B423,CadProd!$A:$B,2,0)),"")</f>
        <v/>
      </c>
      <c r="D423" t="str">
        <f>IFERROR(IF(B423="","",VLOOKUP(B423,CadProd!$A:$C,3,0)),"")</f>
        <v/>
      </c>
      <c r="G423" s="1" t="str">
        <f t="shared" si="6"/>
        <v/>
      </c>
    </row>
    <row r="424" spans="3:7" x14ac:dyDescent="0.3">
      <c r="C424" t="str">
        <f>IFERROR(IF(B424="","",VLOOKUP(B424,CadProd!$A:$B,2,0)),"")</f>
        <v/>
      </c>
      <c r="D424" t="str">
        <f>IFERROR(IF(B424="","",VLOOKUP(B424,CadProd!$A:$C,3,0)),"")</f>
        <v/>
      </c>
      <c r="G424" s="1" t="str">
        <f t="shared" si="6"/>
        <v/>
      </c>
    </row>
    <row r="425" spans="3:7" x14ac:dyDescent="0.3">
      <c r="C425" t="str">
        <f>IFERROR(IF(B425="","",VLOOKUP(B425,CadProd!$A:$B,2,0)),"")</f>
        <v/>
      </c>
      <c r="D425" t="str">
        <f>IFERROR(IF(B425="","",VLOOKUP(B425,CadProd!$A:$C,3,0)),"")</f>
        <v/>
      </c>
      <c r="G425" s="1" t="str">
        <f t="shared" si="6"/>
        <v/>
      </c>
    </row>
    <row r="426" spans="3:7" x14ac:dyDescent="0.3">
      <c r="C426" t="str">
        <f>IFERROR(IF(B426="","",VLOOKUP(B426,CadProd!$A:$B,2,0)),"")</f>
        <v/>
      </c>
      <c r="D426" t="str">
        <f>IFERROR(IF(B426="","",VLOOKUP(B426,CadProd!$A:$C,3,0)),"")</f>
        <v/>
      </c>
      <c r="G426" s="1" t="str">
        <f t="shared" si="6"/>
        <v/>
      </c>
    </row>
    <row r="427" spans="3:7" x14ac:dyDescent="0.3">
      <c r="C427" t="str">
        <f>IFERROR(IF(B427="","",VLOOKUP(B427,CadProd!$A:$B,2,0)),"")</f>
        <v/>
      </c>
      <c r="D427" t="str">
        <f>IFERROR(IF(B427="","",VLOOKUP(B427,CadProd!$A:$C,3,0)),"")</f>
        <v/>
      </c>
      <c r="G427" s="1" t="str">
        <f t="shared" si="6"/>
        <v/>
      </c>
    </row>
    <row r="428" spans="3:7" x14ac:dyDescent="0.3">
      <c r="C428" t="str">
        <f>IFERROR(IF(B428="","",VLOOKUP(B428,CadProd!$A:$B,2,0)),"")</f>
        <v/>
      </c>
      <c r="D428" t="str">
        <f>IFERROR(IF(B428="","",VLOOKUP(B428,CadProd!$A:$C,3,0)),"")</f>
        <v/>
      </c>
      <c r="G428" s="1" t="str">
        <f t="shared" si="6"/>
        <v/>
      </c>
    </row>
    <row r="429" spans="3:7" x14ac:dyDescent="0.3">
      <c r="C429" t="str">
        <f>IFERROR(IF(B429="","",VLOOKUP(B429,CadProd!$A:$B,2,0)),"")</f>
        <v/>
      </c>
      <c r="D429" t="str">
        <f>IFERROR(IF(B429="","",VLOOKUP(B429,CadProd!$A:$C,3,0)),"")</f>
        <v/>
      </c>
      <c r="G429" s="1" t="str">
        <f t="shared" si="6"/>
        <v/>
      </c>
    </row>
    <row r="430" spans="3:7" x14ac:dyDescent="0.3">
      <c r="C430" t="str">
        <f>IFERROR(IF(B430="","",VLOOKUP(B430,CadProd!$A:$B,2,0)),"")</f>
        <v/>
      </c>
      <c r="D430" t="str">
        <f>IFERROR(IF(B430="","",VLOOKUP(B430,CadProd!$A:$C,3,0)),"")</f>
        <v/>
      </c>
      <c r="G430" s="1" t="str">
        <f t="shared" si="6"/>
        <v/>
      </c>
    </row>
    <row r="431" spans="3:7" x14ac:dyDescent="0.3">
      <c r="C431" t="str">
        <f>IFERROR(IF(B431="","",VLOOKUP(B431,CadProd!$A:$B,2,0)),"")</f>
        <v/>
      </c>
      <c r="D431" t="str">
        <f>IFERROR(IF(B431="","",VLOOKUP(B431,CadProd!$A:$C,3,0)),"")</f>
        <v/>
      </c>
      <c r="G431" s="1" t="str">
        <f t="shared" si="6"/>
        <v/>
      </c>
    </row>
    <row r="432" spans="3:7" x14ac:dyDescent="0.3">
      <c r="C432" t="str">
        <f>IFERROR(IF(B432="","",VLOOKUP(B432,CadProd!$A:$B,2,0)),"")</f>
        <v/>
      </c>
      <c r="D432" t="str">
        <f>IFERROR(IF(B432="","",VLOOKUP(B432,CadProd!$A:$C,3,0)),"")</f>
        <v/>
      </c>
      <c r="G432" s="1" t="str">
        <f t="shared" si="6"/>
        <v/>
      </c>
    </row>
    <row r="433" spans="3:7" x14ac:dyDescent="0.3">
      <c r="C433" t="str">
        <f>IFERROR(IF(B433="","",VLOOKUP(B433,CadProd!$A:$B,2,0)),"")</f>
        <v/>
      </c>
      <c r="D433" t="str">
        <f>IFERROR(IF(B433="","",VLOOKUP(B433,CadProd!$A:$C,3,0)),"")</f>
        <v/>
      </c>
      <c r="G433" s="1" t="str">
        <f t="shared" si="6"/>
        <v/>
      </c>
    </row>
    <row r="434" spans="3:7" x14ac:dyDescent="0.3">
      <c r="C434" t="str">
        <f>IFERROR(IF(B434="","",VLOOKUP(B434,CadProd!$A:$B,2,0)),"")</f>
        <v/>
      </c>
      <c r="D434" t="str">
        <f>IFERROR(IF(B434="","",VLOOKUP(B434,CadProd!$A:$C,3,0)),"")</f>
        <v/>
      </c>
      <c r="G434" s="1" t="str">
        <f t="shared" si="6"/>
        <v/>
      </c>
    </row>
    <row r="435" spans="3:7" x14ac:dyDescent="0.3">
      <c r="C435" t="str">
        <f>IFERROR(IF(B435="","",VLOOKUP(B435,CadProd!$A:$B,2,0)),"")</f>
        <v/>
      </c>
      <c r="D435" t="str">
        <f>IFERROR(IF(B435="","",VLOOKUP(B435,CadProd!$A:$C,3,0)),"")</f>
        <v/>
      </c>
      <c r="G435" s="1" t="str">
        <f t="shared" si="6"/>
        <v/>
      </c>
    </row>
    <row r="436" spans="3:7" x14ac:dyDescent="0.3">
      <c r="C436" t="str">
        <f>IFERROR(IF(B436="","",VLOOKUP(B436,CadProd!$A:$B,2,0)),"")</f>
        <v/>
      </c>
      <c r="D436" t="str">
        <f>IFERROR(IF(B436="","",VLOOKUP(B436,CadProd!$A:$C,3,0)),"")</f>
        <v/>
      </c>
      <c r="G436" s="1" t="str">
        <f t="shared" si="6"/>
        <v/>
      </c>
    </row>
    <row r="437" spans="3:7" x14ac:dyDescent="0.3">
      <c r="C437" t="str">
        <f>IFERROR(IF(B437="","",VLOOKUP(B437,CadProd!$A:$B,2,0)),"")</f>
        <v/>
      </c>
      <c r="D437" t="str">
        <f>IFERROR(IF(B437="","",VLOOKUP(B437,CadProd!$A:$C,3,0)),"")</f>
        <v/>
      </c>
      <c r="G437" s="1" t="str">
        <f t="shared" si="6"/>
        <v/>
      </c>
    </row>
    <row r="438" spans="3:7" x14ac:dyDescent="0.3">
      <c r="C438" t="str">
        <f>IFERROR(IF(B438="","",VLOOKUP(B438,CadProd!$A:$B,2,0)),"")</f>
        <v/>
      </c>
      <c r="D438" t="str">
        <f>IFERROR(IF(B438="","",VLOOKUP(B438,CadProd!$A:$C,3,0)),"")</f>
        <v/>
      </c>
      <c r="G438" s="1" t="str">
        <f t="shared" si="6"/>
        <v/>
      </c>
    </row>
    <row r="439" spans="3:7" x14ac:dyDescent="0.3">
      <c r="C439" t="str">
        <f>IFERROR(IF(B439="","",VLOOKUP(B439,CadProd!$A:$B,2,0)),"")</f>
        <v/>
      </c>
      <c r="D439" t="str">
        <f>IFERROR(IF(B439="","",VLOOKUP(B439,CadProd!$A:$C,3,0)),"")</f>
        <v/>
      </c>
      <c r="G439" s="1" t="str">
        <f t="shared" si="6"/>
        <v/>
      </c>
    </row>
    <row r="440" spans="3:7" x14ac:dyDescent="0.3">
      <c r="C440" t="str">
        <f>IFERROR(IF(B440="","",VLOOKUP(B440,CadProd!$A:$B,2,0)),"")</f>
        <v/>
      </c>
      <c r="D440" t="str">
        <f>IFERROR(IF(B440="","",VLOOKUP(B440,CadProd!$A:$C,3,0)),"")</f>
        <v/>
      </c>
      <c r="G440" s="1" t="str">
        <f t="shared" si="6"/>
        <v/>
      </c>
    </row>
    <row r="441" spans="3:7" x14ac:dyDescent="0.3">
      <c r="C441" t="str">
        <f>IFERROR(IF(B441="","",VLOOKUP(B441,CadProd!$A:$B,2,0)),"")</f>
        <v/>
      </c>
      <c r="D441" t="str">
        <f>IFERROR(IF(B441="","",VLOOKUP(B441,CadProd!$A:$C,3,0)),"")</f>
        <v/>
      </c>
      <c r="G441" s="1" t="str">
        <f t="shared" si="6"/>
        <v/>
      </c>
    </row>
    <row r="442" spans="3:7" x14ac:dyDescent="0.3">
      <c r="C442" t="str">
        <f>IFERROR(IF(B442="","",VLOOKUP(B442,CadProd!$A:$B,2,0)),"")</f>
        <v/>
      </c>
      <c r="D442" t="str">
        <f>IFERROR(IF(B442="","",VLOOKUP(B442,CadProd!$A:$C,3,0)),"")</f>
        <v/>
      </c>
      <c r="G442" s="1" t="str">
        <f t="shared" si="6"/>
        <v/>
      </c>
    </row>
    <row r="443" spans="3:7" x14ac:dyDescent="0.3">
      <c r="C443" t="str">
        <f>IFERROR(IF(B443="","",VLOOKUP(B443,CadProd!$A:$B,2,0)),"")</f>
        <v/>
      </c>
      <c r="D443" t="str">
        <f>IFERROR(IF(B443="","",VLOOKUP(B443,CadProd!$A:$C,3,0)),"")</f>
        <v/>
      </c>
      <c r="G443" s="1" t="str">
        <f t="shared" si="6"/>
        <v/>
      </c>
    </row>
    <row r="444" spans="3:7" x14ac:dyDescent="0.3">
      <c r="C444" t="str">
        <f>IFERROR(IF(B444="","",VLOOKUP(B444,CadProd!$A:$B,2,0)),"")</f>
        <v/>
      </c>
      <c r="D444" t="str">
        <f>IFERROR(IF(B444="","",VLOOKUP(B444,CadProd!$A:$C,3,0)),"")</f>
        <v/>
      </c>
      <c r="G444" s="1" t="str">
        <f t="shared" si="6"/>
        <v/>
      </c>
    </row>
    <row r="445" spans="3:7" x14ac:dyDescent="0.3">
      <c r="C445" t="str">
        <f>IFERROR(IF(B445="","",VLOOKUP(B445,CadProd!$A:$B,2,0)),"")</f>
        <v/>
      </c>
      <c r="D445" t="str">
        <f>IFERROR(IF(B445="","",VLOOKUP(B445,CadProd!$A:$C,3,0)),"")</f>
        <v/>
      </c>
      <c r="G445" s="1" t="str">
        <f t="shared" si="6"/>
        <v/>
      </c>
    </row>
    <row r="446" spans="3:7" x14ac:dyDescent="0.3">
      <c r="C446" t="str">
        <f>IFERROR(IF(B446="","",VLOOKUP(B446,CadProd!$A:$B,2,0)),"")</f>
        <v/>
      </c>
      <c r="D446" t="str">
        <f>IFERROR(IF(B446="","",VLOOKUP(B446,CadProd!$A:$C,3,0)),"")</f>
        <v/>
      </c>
      <c r="G446" s="1" t="str">
        <f t="shared" si="6"/>
        <v/>
      </c>
    </row>
    <row r="447" spans="3:7" x14ac:dyDescent="0.3">
      <c r="C447" t="str">
        <f>IFERROR(IF(B447="","",VLOOKUP(B447,CadProd!$A:$B,2,0)),"")</f>
        <v/>
      </c>
      <c r="D447" t="str">
        <f>IFERROR(IF(B447="","",VLOOKUP(B447,CadProd!$A:$C,3,0)),"")</f>
        <v/>
      </c>
      <c r="G447" s="1" t="str">
        <f t="shared" si="6"/>
        <v/>
      </c>
    </row>
    <row r="448" spans="3:7" x14ac:dyDescent="0.3">
      <c r="C448" t="str">
        <f>IFERROR(IF(B448="","",VLOOKUP(B448,CadProd!$A:$B,2,0)),"")</f>
        <v/>
      </c>
      <c r="D448" t="str">
        <f>IFERROR(IF(B448="","",VLOOKUP(B448,CadProd!$A:$C,3,0)),"")</f>
        <v/>
      </c>
      <c r="G448" s="1" t="str">
        <f t="shared" si="6"/>
        <v/>
      </c>
    </row>
    <row r="449" spans="3:7" x14ac:dyDescent="0.3">
      <c r="C449" t="str">
        <f>IFERROR(IF(B449="","",VLOOKUP(B449,CadProd!$A:$B,2,0)),"")</f>
        <v/>
      </c>
      <c r="D449" t="str">
        <f>IFERROR(IF(B449="","",VLOOKUP(B449,CadProd!$A:$C,3,0)),"")</f>
        <v/>
      </c>
      <c r="G449" s="1" t="str">
        <f t="shared" si="6"/>
        <v/>
      </c>
    </row>
    <row r="450" spans="3:7" x14ac:dyDescent="0.3">
      <c r="C450" t="str">
        <f>IFERROR(IF(B450="","",VLOOKUP(B450,CadProd!$A:$B,2,0)),"")</f>
        <v/>
      </c>
      <c r="D450" t="str">
        <f>IFERROR(IF(B450="","",VLOOKUP(B450,CadProd!$A:$C,3,0)),"")</f>
        <v/>
      </c>
      <c r="G450" s="1" t="str">
        <f t="shared" ref="G450:G513" si="7">IFERROR(IF(B450="","",F450*E450),"")</f>
        <v/>
      </c>
    </row>
    <row r="451" spans="3:7" x14ac:dyDescent="0.3">
      <c r="C451" t="str">
        <f>IFERROR(IF(B451="","",VLOOKUP(B451,CadProd!$A:$B,2,0)),"")</f>
        <v/>
      </c>
      <c r="D451" t="str">
        <f>IFERROR(IF(B451="","",VLOOKUP(B451,CadProd!$A:$C,3,0)),"")</f>
        <v/>
      </c>
      <c r="G451" s="1" t="str">
        <f t="shared" si="7"/>
        <v/>
      </c>
    </row>
    <row r="452" spans="3:7" x14ac:dyDescent="0.3">
      <c r="C452" t="str">
        <f>IFERROR(IF(B452="","",VLOOKUP(B452,CadProd!$A:$B,2,0)),"")</f>
        <v/>
      </c>
      <c r="D452" t="str">
        <f>IFERROR(IF(B452="","",VLOOKUP(B452,CadProd!$A:$C,3,0)),"")</f>
        <v/>
      </c>
      <c r="G452" s="1" t="str">
        <f t="shared" si="7"/>
        <v/>
      </c>
    </row>
    <row r="453" spans="3:7" x14ac:dyDescent="0.3">
      <c r="C453" t="str">
        <f>IFERROR(IF(B453="","",VLOOKUP(B453,CadProd!$A:$B,2,0)),"")</f>
        <v/>
      </c>
      <c r="D453" t="str">
        <f>IFERROR(IF(B453="","",VLOOKUP(B453,CadProd!$A:$C,3,0)),"")</f>
        <v/>
      </c>
      <c r="G453" s="1" t="str">
        <f t="shared" si="7"/>
        <v/>
      </c>
    </row>
    <row r="454" spans="3:7" x14ac:dyDescent="0.3">
      <c r="C454" t="str">
        <f>IFERROR(IF(B454="","",VLOOKUP(B454,CadProd!$A:$B,2,0)),"")</f>
        <v/>
      </c>
      <c r="D454" t="str">
        <f>IFERROR(IF(B454="","",VLOOKUP(B454,CadProd!$A:$C,3,0)),"")</f>
        <v/>
      </c>
      <c r="G454" s="1" t="str">
        <f t="shared" si="7"/>
        <v/>
      </c>
    </row>
    <row r="455" spans="3:7" x14ac:dyDescent="0.3">
      <c r="C455" t="str">
        <f>IFERROR(IF(B455="","",VLOOKUP(B455,CadProd!$A:$B,2,0)),"")</f>
        <v/>
      </c>
      <c r="D455" t="str">
        <f>IFERROR(IF(B455="","",VLOOKUP(B455,CadProd!$A:$C,3,0)),"")</f>
        <v/>
      </c>
      <c r="G455" s="1" t="str">
        <f t="shared" si="7"/>
        <v/>
      </c>
    </row>
    <row r="456" spans="3:7" x14ac:dyDescent="0.3">
      <c r="C456" t="str">
        <f>IFERROR(IF(B456="","",VLOOKUP(B456,CadProd!$A:$B,2,0)),"")</f>
        <v/>
      </c>
      <c r="D456" t="str">
        <f>IFERROR(IF(B456="","",VLOOKUP(B456,CadProd!$A:$C,3,0)),"")</f>
        <v/>
      </c>
      <c r="G456" s="1" t="str">
        <f t="shared" si="7"/>
        <v/>
      </c>
    </row>
    <row r="457" spans="3:7" x14ac:dyDescent="0.3">
      <c r="C457" t="str">
        <f>IFERROR(IF(B457="","",VLOOKUP(B457,CadProd!$A:$B,2,0)),"")</f>
        <v/>
      </c>
      <c r="D457" t="str">
        <f>IFERROR(IF(B457="","",VLOOKUP(B457,CadProd!$A:$C,3,0)),"")</f>
        <v/>
      </c>
      <c r="G457" s="1" t="str">
        <f t="shared" si="7"/>
        <v/>
      </c>
    </row>
    <row r="458" spans="3:7" x14ac:dyDescent="0.3">
      <c r="C458" t="str">
        <f>IFERROR(IF(B458="","",VLOOKUP(B458,CadProd!$A:$B,2,0)),"")</f>
        <v/>
      </c>
      <c r="D458" t="str">
        <f>IFERROR(IF(B458="","",VLOOKUP(B458,CadProd!$A:$C,3,0)),"")</f>
        <v/>
      </c>
      <c r="G458" s="1" t="str">
        <f t="shared" si="7"/>
        <v/>
      </c>
    </row>
    <row r="459" spans="3:7" x14ac:dyDescent="0.3">
      <c r="C459" t="str">
        <f>IFERROR(IF(B459="","",VLOOKUP(B459,CadProd!$A:$B,2,0)),"")</f>
        <v/>
      </c>
      <c r="D459" t="str">
        <f>IFERROR(IF(B459="","",VLOOKUP(B459,CadProd!$A:$C,3,0)),"")</f>
        <v/>
      </c>
      <c r="G459" s="1" t="str">
        <f t="shared" si="7"/>
        <v/>
      </c>
    </row>
    <row r="460" spans="3:7" x14ac:dyDescent="0.3">
      <c r="C460" t="str">
        <f>IFERROR(IF(B460="","",VLOOKUP(B460,CadProd!$A:$B,2,0)),"")</f>
        <v/>
      </c>
      <c r="D460" t="str">
        <f>IFERROR(IF(B460="","",VLOOKUP(B460,CadProd!$A:$C,3,0)),"")</f>
        <v/>
      </c>
      <c r="G460" s="1" t="str">
        <f t="shared" si="7"/>
        <v/>
      </c>
    </row>
    <row r="461" spans="3:7" x14ac:dyDescent="0.3">
      <c r="C461" t="str">
        <f>IFERROR(IF(B461="","",VLOOKUP(B461,CadProd!$A:$B,2,0)),"")</f>
        <v/>
      </c>
      <c r="D461" t="str">
        <f>IFERROR(IF(B461="","",VLOOKUP(B461,CadProd!$A:$C,3,0)),"")</f>
        <v/>
      </c>
      <c r="G461" s="1" t="str">
        <f t="shared" si="7"/>
        <v/>
      </c>
    </row>
    <row r="462" spans="3:7" x14ac:dyDescent="0.3">
      <c r="C462" t="str">
        <f>IFERROR(IF(B462="","",VLOOKUP(B462,CadProd!$A:$B,2,0)),"")</f>
        <v/>
      </c>
      <c r="D462" t="str">
        <f>IFERROR(IF(B462="","",VLOOKUP(B462,CadProd!$A:$C,3,0)),"")</f>
        <v/>
      </c>
      <c r="G462" s="1" t="str">
        <f t="shared" si="7"/>
        <v/>
      </c>
    </row>
    <row r="463" spans="3:7" x14ac:dyDescent="0.3">
      <c r="C463" t="str">
        <f>IFERROR(IF(B463="","",VLOOKUP(B463,CadProd!$A:$B,2,0)),"")</f>
        <v/>
      </c>
      <c r="D463" t="str">
        <f>IFERROR(IF(B463="","",VLOOKUP(B463,CadProd!$A:$C,3,0)),"")</f>
        <v/>
      </c>
      <c r="G463" s="1" t="str">
        <f t="shared" si="7"/>
        <v/>
      </c>
    </row>
    <row r="464" spans="3:7" x14ac:dyDescent="0.3">
      <c r="C464" t="str">
        <f>IFERROR(IF(B464="","",VLOOKUP(B464,CadProd!$A:$B,2,0)),"")</f>
        <v/>
      </c>
      <c r="D464" t="str">
        <f>IFERROR(IF(B464="","",VLOOKUP(B464,CadProd!$A:$C,3,0)),"")</f>
        <v/>
      </c>
      <c r="G464" s="1" t="str">
        <f t="shared" si="7"/>
        <v/>
      </c>
    </row>
    <row r="465" spans="3:7" x14ac:dyDescent="0.3">
      <c r="C465" t="str">
        <f>IFERROR(IF(B465="","",VLOOKUP(B465,CadProd!$A:$B,2,0)),"")</f>
        <v/>
      </c>
      <c r="D465" t="str">
        <f>IFERROR(IF(B465="","",VLOOKUP(B465,CadProd!$A:$C,3,0)),"")</f>
        <v/>
      </c>
      <c r="G465" s="1" t="str">
        <f t="shared" si="7"/>
        <v/>
      </c>
    </row>
    <row r="466" spans="3:7" x14ac:dyDescent="0.3">
      <c r="C466" t="str">
        <f>IFERROR(IF(B466="","",VLOOKUP(B466,CadProd!$A:$B,2,0)),"")</f>
        <v/>
      </c>
      <c r="D466" t="str">
        <f>IFERROR(IF(B466="","",VLOOKUP(B466,CadProd!$A:$C,3,0)),"")</f>
        <v/>
      </c>
      <c r="G466" s="1" t="str">
        <f t="shared" si="7"/>
        <v/>
      </c>
    </row>
    <row r="467" spans="3:7" x14ac:dyDescent="0.3">
      <c r="C467" t="str">
        <f>IFERROR(IF(B467="","",VLOOKUP(B467,CadProd!$A:$B,2,0)),"")</f>
        <v/>
      </c>
      <c r="D467" t="str">
        <f>IFERROR(IF(B467="","",VLOOKUP(B467,CadProd!$A:$C,3,0)),"")</f>
        <v/>
      </c>
      <c r="G467" s="1" t="str">
        <f t="shared" si="7"/>
        <v/>
      </c>
    </row>
    <row r="468" spans="3:7" x14ac:dyDescent="0.3">
      <c r="C468" t="str">
        <f>IFERROR(IF(B468="","",VLOOKUP(B468,CadProd!$A:$B,2,0)),"")</f>
        <v/>
      </c>
      <c r="D468" t="str">
        <f>IFERROR(IF(B468="","",VLOOKUP(B468,CadProd!$A:$C,3,0)),"")</f>
        <v/>
      </c>
      <c r="G468" s="1" t="str">
        <f t="shared" si="7"/>
        <v/>
      </c>
    </row>
    <row r="469" spans="3:7" x14ac:dyDescent="0.3">
      <c r="C469" t="str">
        <f>IFERROR(IF(B469="","",VLOOKUP(B469,CadProd!$A:$B,2,0)),"")</f>
        <v/>
      </c>
      <c r="D469" t="str">
        <f>IFERROR(IF(B469="","",VLOOKUP(B469,CadProd!$A:$C,3,0)),"")</f>
        <v/>
      </c>
      <c r="G469" s="1" t="str">
        <f t="shared" si="7"/>
        <v/>
      </c>
    </row>
    <row r="470" spans="3:7" x14ac:dyDescent="0.3">
      <c r="C470" t="str">
        <f>IFERROR(IF(B470="","",VLOOKUP(B470,CadProd!$A:$B,2,0)),"")</f>
        <v/>
      </c>
      <c r="D470" t="str">
        <f>IFERROR(IF(B470="","",VLOOKUP(B470,CadProd!$A:$C,3,0)),"")</f>
        <v/>
      </c>
      <c r="G470" s="1" t="str">
        <f t="shared" si="7"/>
        <v/>
      </c>
    </row>
    <row r="471" spans="3:7" x14ac:dyDescent="0.3">
      <c r="C471" t="str">
        <f>IFERROR(IF(B471="","",VLOOKUP(B471,CadProd!$A:$B,2,0)),"")</f>
        <v/>
      </c>
      <c r="D471" t="str">
        <f>IFERROR(IF(B471="","",VLOOKUP(B471,CadProd!$A:$C,3,0)),"")</f>
        <v/>
      </c>
      <c r="G471" s="1" t="str">
        <f t="shared" si="7"/>
        <v/>
      </c>
    </row>
    <row r="472" spans="3:7" x14ac:dyDescent="0.3">
      <c r="C472" t="str">
        <f>IFERROR(IF(B472="","",VLOOKUP(B472,CadProd!$A:$B,2,0)),"")</f>
        <v/>
      </c>
      <c r="D472" t="str">
        <f>IFERROR(IF(B472="","",VLOOKUP(B472,CadProd!$A:$C,3,0)),"")</f>
        <v/>
      </c>
      <c r="G472" s="1" t="str">
        <f t="shared" si="7"/>
        <v/>
      </c>
    </row>
    <row r="473" spans="3:7" x14ac:dyDescent="0.3">
      <c r="C473" t="str">
        <f>IFERROR(IF(B473="","",VLOOKUP(B473,CadProd!$A:$B,2,0)),"")</f>
        <v/>
      </c>
      <c r="D473" t="str">
        <f>IFERROR(IF(B473="","",VLOOKUP(B473,CadProd!$A:$C,3,0)),"")</f>
        <v/>
      </c>
      <c r="G473" s="1" t="str">
        <f t="shared" si="7"/>
        <v/>
      </c>
    </row>
    <row r="474" spans="3:7" x14ac:dyDescent="0.3">
      <c r="C474" t="str">
        <f>IFERROR(IF(B474="","",VLOOKUP(B474,CadProd!$A:$B,2,0)),"")</f>
        <v/>
      </c>
      <c r="D474" t="str">
        <f>IFERROR(IF(B474="","",VLOOKUP(B474,CadProd!$A:$C,3,0)),"")</f>
        <v/>
      </c>
      <c r="G474" s="1" t="str">
        <f t="shared" si="7"/>
        <v/>
      </c>
    </row>
    <row r="475" spans="3:7" x14ac:dyDescent="0.3">
      <c r="C475" t="str">
        <f>IFERROR(IF(B475="","",VLOOKUP(B475,CadProd!$A:$B,2,0)),"")</f>
        <v/>
      </c>
      <c r="D475" t="str">
        <f>IFERROR(IF(B475="","",VLOOKUP(B475,CadProd!$A:$C,3,0)),"")</f>
        <v/>
      </c>
      <c r="G475" s="1" t="str">
        <f t="shared" si="7"/>
        <v/>
      </c>
    </row>
    <row r="476" spans="3:7" x14ac:dyDescent="0.3">
      <c r="C476" t="str">
        <f>IFERROR(IF(B476="","",VLOOKUP(B476,CadProd!$A:$B,2,0)),"")</f>
        <v/>
      </c>
      <c r="D476" t="str">
        <f>IFERROR(IF(B476="","",VLOOKUP(B476,CadProd!$A:$C,3,0)),"")</f>
        <v/>
      </c>
      <c r="G476" s="1" t="str">
        <f t="shared" si="7"/>
        <v/>
      </c>
    </row>
    <row r="477" spans="3:7" x14ac:dyDescent="0.3">
      <c r="C477" t="str">
        <f>IFERROR(IF(B477="","",VLOOKUP(B477,CadProd!$A:$B,2,0)),"")</f>
        <v/>
      </c>
      <c r="D477" t="str">
        <f>IFERROR(IF(B477="","",VLOOKUP(B477,CadProd!$A:$C,3,0)),"")</f>
        <v/>
      </c>
      <c r="G477" s="1" t="str">
        <f t="shared" si="7"/>
        <v/>
      </c>
    </row>
    <row r="478" spans="3:7" x14ac:dyDescent="0.3">
      <c r="C478" t="str">
        <f>IFERROR(IF(B478="","",VLOOKUP(B478,CadProd!$A:$B,2,0)),"")</f>
        <v/>
      </c>
      <c r="D478" t="str">
        <f>IFERROR(IF(B478="","",VLOOKUP(B478,CadProd!$A:$C,3,0)),"")</f>
        <v/>
      </c>
      <c r="G478" s="1" t="str">
        <f t="shared" si="7"/>
        <v/>
      </c>
    </row>
    <row r="479" spans="3:7" x14ac:dyDescent="0.3">
      <c r="C479" t="str">
        <f>IFERROR(IF(B479="","",VLOOKUP(B479,CadProd!$A:$B,2,0)),"")</f>
        <v/>
      </c>
      <c r="D479" t="str">
        <f>IFERROR(IF(B479="","",VLOOKUP(B479,CadProd!$A:$C,3,0)),"")</f>
        <v/>
      </c>
      <c r="G479" s="1" t="str">
        <f t="shared" si="7"/>
        <v/>
      </c>
    </row>
    <row r="480" spans="3:7" x14ac:dyDescent="0.3">
      <c r="C480" t="str">
        <f>IFERROR(IF(B480="","",VLOOKUP(B480,CadProd!$A:$B,2,0)),"")</f>
        <v/>
      </c>
      <c r="D480" t="str">
        <f>IFERROR(IF(B480="","",VLOOKUP(B480,CadProd!$A:$C,3,0)),"")</f>
        <v/>
      </c>
      <c r="G480" s="1" t="str">
        <f t="shared" si="7"/>
        <v/>
      </c>
    </row>
    <row r="481" spans="3:7" x14ac:dyDescent="0.3">
      <c r="C481" t="str">
        <f>IFERROR(IF(B481="","",VLOOKUP(B481,CadProd!$A:$B,2,0)),"")</f>
        <v/>
      </c>
      <c r="D481" t="str">
        <f>IFERROR(IF(B481="","",VLOOKUP(B481,CadProd!$A:$C,3,0)),"")</f>
        <v/>
      </c>
      <c r="G481" s="1" t="str">
        <f t="shared" si="7"/>
        <v/>
      </c>
    </row>
    <row r="482" spans="3:7" x14ac:dyDescent="0.3">
      <c r="C482" t="str">
        <f>IFERROR(IF(B482="","",VLOOKUP(B482,CadProd!$A:$B,2,0)),"")</f>
        <v/>
      </c>
      <c r="D482" t="str">
        <f>IFERROR(IF(B482="","",VLOOKUP(B482,CadProd!$A:$C,3,0)),"")</f>
        <v/>
      </c>
      <c r="G482" s="1" t="str">
        <f t="shared" si="7"/>
        <v/>
      </c>
    </row>
    <row r="483" spans="3:7" x14ac:dyDescent="0.3">
      <c r="C483" t="str">
        <f>IFERROR(IF(B483="","",VLOOKUP(B483,CadProd!$A:$B,2,0)),"")</f>
        <v/>
      </c>
      <c r="D483" t="str">
        <f>IFERROR(IF(B483="","",VLOOKUP(B483,CadProd!$A:$C,3,0)),"")</f>
        <v/>
      </c>
      <c r="G483" s="1" t="str">
        <f t="shared" si="7"/>
        <v/>
      </c>
    </row>
    <row r="484" spans="3:7" x14ac:dyDescent="0.3">
      <c r="C484" t="str">
        <f>IFERROR(IF(B484="","",VLOOKUP(B484,CadProd!$A:$B,2,0)),"")</f>
        <v/>
      </c>
      <c r="D484" t="str">
        <f>IFERROR(IF(B484="","",VLOOKUP(B484,CadProd!$A:$C,3,0)),"")</f>
        <v/>
      </c>
      <c r="G484" s="1" t="str">
        <f t="shared" si="7"/>
        <v/>
      </c>
    </row>
    <row r="485" spans="3:7" x14ac:dyDescent="0.3">
      <c r="C485" t="str">
        <f>IFERROR(IF(B485="","",VLOOKUP(B485,CadProd!$A:$B,2,0)),"")</f>
        <v/>
      </c>
      <c r="D485" t="str">
        <f>IFERROR(IF(B485="","",VLOOKUP(B485,CadProd!$A:$C,3,0)),"")</f>
        <v/>
      </c>
      <c r="G485" s="1" t="str">
        <f t="shared" si="7"/>
        <v/>
      </c>
    </row>
    <row r="486" spans="3:7" x14ac:dyDescent="0.3">
      <c r="C486" t="str">
        <f>IFERROR(IF(B486="","",VLOOKUP(B486,CadProd!$A:$B,2,0)),"")</f>
        <v/>
      </c>
      <c r="D486" t="str">
        <f>IFERROR(IF(B486="","",VLOOKUP(B486,CadProd!$A:$C,3,0)),"")</f>
        <v/>
      </c>
      <c r="G486" s="1" t="str">
        <f t="shared" si="7"/>
        <v/>
      </c>
    </row>
    <row r="487" spans="3:7" x14ac:dyDescent="0.3">
      <c r="C487" t="str">
        <f>IFERROR(IF(B487="","",VLOOKUP(B487,CadProd!$A:$B,2,0)),"")</f>
        <v/>
      </c>
      <c r="D487" t="str">
        <f>IFERROR(IF(B487="","",VLOOKUP(B487,CadProd!$A:$C,3,0)),"")</f>
        <v/>
      </c>
      <c r="G487" s="1" t="str">
        <f t="shared" si="7"/>
        <v/>
      </c>
    </row>
    <row r="488" spans="3:7" x14ac:dyDescent="0.3">
      <c r="C488" t="str">
        <f>IFERROR(IF(B488="","",VLOOKUP(B488,CadProd!$A:$B,2,0)),"")</f>
        <v/>
      </c>
      <c r="D488" t="str">
        <f>IFERROR(IF(B488="","",VLOOKUP(B488,CadProd!$A:$C,3,0)),"")</f>
        <v/>
      </c>
      <c r="G488" s="1" t="str">
        <f t="shared" si="7"/>
        <v/>
      </c>
    </row>
    <row r="489" spans="3:7" x14ac:dyDescent="0.3">
      <c r="C489" t="str">
        <f>IFERROR(IF(B489="","",VLOOKUP(B489,CadProd!$A:$B,2,0)),"")</f>
        <v/>
      </c>
      <c r="D489" t="str">
        <f>IFERROR(IF(B489="","",VLOOKUP(B489,CadProd!$A:$C,3,0)),"")</f>
        <v/>
      </c>
      <c r="G489" s="1" t="str">
        <f t="shared" si="7"/>
        <v/>
      </c>
    </row>
    <row r="490" spans="3:7" x14ac:dyDescent="0.3">
      <c r="C490" t="str">
        <f>IFERROR(IF(B490="","",VLOOKUP(B490,CadProd!$A:$B,2,0)),"")</f>
        <v/>
      </c>
      <c r="D490" t="str">
        <f>IFERROR(IF(B490="","",VLOOKUP(B490,CadProd!$A:$C,3,0)),"")</f>
        <v/>
      </c>
      <c r="G490" s="1" t="str">
        <f t="shared" si="7"/>
        <v/>
      </c>
    </row>
    <row r="491" spans="3:7" x14ac:dyDescent="0.3">
      <c r="C491" t="str">
        <f>IFERROR(IF(B491="","",VLOOKUP(B491,CadProd!$A:$B,2,0)),"")</f>
        <v/>
      </c>
      <c r="D491" t="str">
        <f>IFERROR(IF(B491="","",VLOOKUP(B491,CadProd!$A:$C,3,0)),"")</f>
        <v/>
      </c>
      <c r="G491" s="1" t="str">
        <f t="shared" si="7"/>
        <v/>
      </c>
    </row>
    <row r="492" spans="3:7" x14ac:dyDescent="0.3">
      <c r="C492" t="str">
        <f>IFERROR(IF(B492="","",VLOOKUP(B492,CadProd!$A:$B,2,0)),"")</f>
        <v/>
      </c>
      <c r="D492" t="str">
        <f>IFERROR(IF(B492="","",VLOOKUP(B492,CadProd!$A:$C,3,0)),"")</f>
        <v/>
      </c>
      <c r="G492" s="1" t="str">
        <f t="shared" si="7"/>
        <v/>
      </c>
    </row>
    <row r="493" spans="3:7" x14ac:dyDescent="0.3">
      <c r="C493" t="str">
        <f>IFERROR(IF(B493="","",VLOOKUP(B493,CadProd!$A:$B,2,0)),"")</f>
        <v/>
      </c>
      <c r="D493" t="str">
        <f>IFERROR(IF(B493="","",VLOOKUP(B493,CadProd!$A:$C,3,0)),"")</f>
        <v/>
      </c>
      <c r="G493" s="1" t="str">
        <f t="shared" si="7"/>
        <v/>
      </c>
    </row>
    <row r="494" spans="3:7" x14ac:dyDescent="0.3">
      <c r="C494" t="str">
        <f>IFERROR(IF(B494="","",VLOOKUP(B494,CadProd!$A:$B,2,0)),"")</f>
        <v/>
      </c>
      <c r="D494" t="str">
        <f>IFERROR(IF(B494="","",VLOOKUP(B494,CadProd!$A:$C,3,0)),"")</f>
        <v/>
      </c>
      <c r="G494" s="1" t="str">
        <f t="shared" si="7"/>
        <v/>
      </c>
    </row>
    <row r="495" spans="3:7" x14ac:dyDescent="0.3">
      <c r="C495" t="str">
        <f>IFERROR(IF(B495="","",VLOOKUP(B495,CadProd!$A:$B,2,0)),"")</f>
        <v/>
      </c>
      <c r="D495" t="str">
        <f>IFERROR(IF(B495="","",VLOOKUP(B495,CadProd!$A:$C,3,0)),"")</f>
        <v/>
      </c>
      <c r="G495" s="1" t="str">
        <f t="shared" si="7"/>
        <v/>
      </c>
    </row>
    <row r="496" spans="3:7" x14ac:dyDescent="0.3">
      <c r="C496" t="str">
        <f>IFERROR(IF(B496="","",VLOOKUP(B496,CadProd!$A:$B,2,0)),"")</f>
        <v/>
      </c>
      <c r="D496" t="str">
        <f>IFERROR(IF(B496="","",VLOOKUP(B496,CadProd!$A:$C,3,0)),"")</f>
        <v/>
      </c>
      <c r="G496" s="1" t="str">
        <f t="shared" si="7"/>
        <v/>
      </c>
    </row>
    <row r="497" spans="3:7" x14ac:dyDescent="0.3">
      <c r="C497" t="str">
        <f>IFERROR(IF(B497="","",VLOOKUP(B497,CadProd!$A:$B,2,0)),"")</f>
        <v/>
      </c>
      <c r="D497" t="str">
        <f>IFERROR(IF(B497="","",VLOOKUP(B497,CadProd!$A:$C,3,0)),"")</f>
        <v/>
      </c>
      <c r="G497" s="1" t="str">
        <f t="shared" si="7"/>
        <v/>
      </c>
    </row>
    <row r="498" spans="3:7" x14ac:dyDescent="0.3">
      <c r="C498" t="str">
        <f>IFERROR(IF(B498="","",VLOOKUP(B498,CadProd!$A:$B,2,0)),"")</f>
        <v/>
      </c>
      <c r="D498" t="str">
        <f>IFERROR(IF(B498="","",VLOOKUP(B498,CadProd!$A:$C,3,0)),"")</f>
        <v/>
      </c>
      <c r="G498" s="1" t="str">
        <f t="shared" si="7"/>
        <v/>
      </c>
    </row>
    <row r="499" spans="3:7" x14ac:dyDescent="0.3">
      <c r="C499" t="str">
        <f>IFERROR(IF(B499="","",VLOOKUP(B499,CadProd!$A:$B,2,0)),"")</f>
        <v/>
      </c>
      <c r="D499" t="str">
        <f>IFERROR(IF(B499="","",VLOOKUP(B499,CadProd!$A:$C,3,0)),"")</f>
        <v/>
      </c>
      <c r="G499" s="1" t="str">
        <f t="shared" si="7"/>
        <v/>
      </c>
    </row>
    <row r="500" spans="3:7" x14ac:dyDescent="0.3">
      <c r="C500" t="str">
        <f>IFERROR(IF(B500="","",VLOOKUP(B500,CadProd!$A:$B,2,0)),"")</f>
        <v/>
      </c>
      <c r="D500" t="str">
        <f>IFERROR(IF(B500="","",VLOOKUP(B500,CadProd!$A:$C,3,0)),"")</f>
        <v/>
      </c>
      <c r="G500" s="1" t="str">
        <f t="shared" si="7"/>
        <v/>
      </c>
    </row>
    <row r="501" spans="3:7" x14ac:dyDescent="0.3">
      <c r="C501" t="str">
        <f>IFERROR(IF(B501="","",VLOOKUP(B501,CadProd!$A:$B,2,0)),"")</f>
        <v/>
      </c>
      <c r="D501" t="str">
        <f>IFERROR(IF(B501="","",VLOOKUP(B501,CadProd!$A:$C,3,0)),"")</f>
        <v/>
      </c>
      <c r="G501" s="1" t="str">
        <f t="shared" si="7"/>
        <v/>
      </c>
    </row>
    <row r="502" spans="3:7" x14ac:dyDescent="0.3">
      <c r="C502" t="str">
        <f>IFERROR(IF(B502="","",VLOOKUP(B502,CadProd!$A:$B,2,0)),"")</f>
        <v/>
      </c>
      <c r="D502" t="str">
        <f>IFERROR(IF(B502="","",VLOOKUP(B502,CadProd!$A:$C,3,0)),"")</f>
        <v/>
      </c>
      <c r="G502" s="1" t="str">
        <f t="shared" si="7"/>
        <v/>
      </c>
    </row>
    <row r="503" spans="3:7" x14ac:dyDescent="0.3">
      <c r="C503" t="str">
        <f>IFERROR(IF(B503="","",VLOOKUP(B503,CadProd!$A:$B,2,0)),"")</f>
        <v/>
      </c>
      <c r="D503" t="str">
        <f>IFERROR(IF(B503="","",VLOOKUP(B503,CadProd!$A:$C,3,0)),"")</f>
        <v/>
      </c>
      <c r="G503" s="1" t="str">
        <f t="shared" si="7"/>
        <v/>
      </c>
    </row>
    <row r="504" spans="3:7" x14ac:dyDescent="0.3">
      <c r="C504" t="str">
        <f>IFERROR(IF(B504="","",VLOOKUP(B504,CadProd!$A:$B,2,0)),"")</f>
        <v/>
      </c>
      <c r="D504" t="str">
        <f>IFERROR(IF(B504="","",VLOOKUP(B504,CadProd!$A:$C,3,0)),"")</f>
        <v/>
      </c>
      <c r="G504" s="1" t="str">
        <f t="shared" si="7"/>
        <v/>
      </c>
    </row>
    <row r="505" spans="3:7" x14ac:dyDescent="0.3">
      <c r="C505" t="str">
        <f>IFERROR(IF(B505="","",VLOOKUP(B505,CadProd!$A:$B,2,0)),"")</f>
        <v/>
      </c>
      <c r="D505" t="str">
        <f>IFERROR(IF(B505="","",VLOOKUP(B505,CadProd!$A:$C,3,0)),"")</f>
        <v/>
      </c>
      <c r="G505" s="1" t="str">
        <f t="shared" si="7"/>
        <v/>
      </c>
    </row>
    <row r="506" spans="3:7" x14ac:dyDescent="0.3">
      <c r="C506" t="str">
        <f>IFERROR(IF(B506="","",VLOOKUP(B506,CadProd!$A:$B,2,0)),"")</f>
        <v/>
      </c>
      <c r="D506" t="str">
        <f>IFERROR(IF(B506="","",VLOOKUP(B506,CadProd!$A:$C,3,0)),"")</f>
        <v/>
      </c>
      <c r="G506" s="1" t="str">
        <f t="shared" si="7"/>
        <v/>
      </c>
    </row>
    <row r="507" spans="3:7" x14ac:dyDescent="0.3">
      <c r="C507" t="str">
        <f>IFERROR(IF(B507="","",VLOOKUP(B507,CadProd!$A:$B,2,0)),"")</f>
        <v/>
      </c>
      <c r="D507" t="str">
        <f>IFERROR(IF(B507="","",VLOOKUP(B507,CadProd!$A:$C,3,0)),"")</f>
        <v/>
      </c>
      <c r="G507" s="1" t="str">
        <f t="shared" si="7"/>
        <v/>
      </c>
    </row>
    <row r="508" spans="3:7" x14ac:dyDescent="0.3">
      <c r="C508" t="str">
        <f>IFERROR(IF(B508="","",VLOOKUP(B508,CadProd!$A:$B,2,0)),"")</f>
        <v/>
      </c>
      <c r="D508" t="str">
        <f>IFERROR(IF(B508="","",VLOOKUP(B508,CadProd!$A:$C,3,0)),"")</f>
        <v/>
      </c>
      <c r="G508" s="1" t="str">
        <f t="shared" si="7"/>
        <v/>
      </c>
    </row>
    <row r="509" spans="3:7" x14ac:dyDescent="0.3">
      <c r="C509" t="str">
        <f>IFERROR(IF(B509="","",VLOOKUP(B509,CadProd!$A:$B,2,0)),"")</f>
        <v/>
      </c>
      <c r="D509" t="str">
        <f>IFERROR(IF(B509="","",VLOOKUP(B509,CadProd!$A:$C,3,0)),"")</f>
        <v/>
      </c>
      <c r="G509" s="1" t="str">
        <f t="shared" si="7"/>
        <v/>
      </c>
    </row>
    <row r="510" spans="3:7" x14ac:dyDescent="0.3">
      <c r="C510" t="str">
        <f>IFERROR(IF(B510="","",VLOOKUP(B510,CadProd!$A:$B,2,0)),"")</f>
        <v/>
      </c>
      <c r="D510" t="str">
        <f>IFERROR(IF(B510="","",VLOOKUP(B510,CadProd!$A:$C,3,0)),"")</f>
        <v/>
      </c>
      <c r="G510" s="1" t="str">
        <f t="shared" si="7"/>
        <v/>
      </c>
    </row>
    <row r="511" spans="3:7" x14ac:dyDescent="0.3">
      <c r="C511" t="str">
        <f>IFERROR(IF(B511="","",VLOOKUP(B511,CadProd!$A:$B,2,0)),"")</f>
        <v/>
      </c>
      <c r="D511" t="str">
        <f>IFERROR(IF(B511="","",VLOOKUP(B511,CadProd!$A:$C,3,0)),"")</f>
        <v/>
      </c>
      <c r="G511" s="1" t="str">
        <f t="shared" si="7"/>
        <v/>
      </c>
    </row>
    <row r="512" spans="3:7" x14ac:dyDescent="0.3">
      <c r="C512" t="str">
        <f>IFERROR(IF(B512="","",VLOOKUP(B512,CadProd!$A:$B,2,0)),"")</f>
        <v/>
      </c>
      <c r="D512" t="str">
        <f>IFERROR(IF(B512="","",VLOOKUP(B512,CadProd!$A:$C,3,0)),"")</f>
        <v/>
      </c>
      <c r="G512" s="1" t="str">
        <f t="shared" si="7"/>
        <v/>
      </c>
    </row>
    <row r="513" spans="3:7" x14ac:dyDescent="0.3">
      <c r="C513" t="str">
        <f>IFERROR(IF(B513="","",VLOOKUP(B513,CadProd!$A:$B,2,0)),"")</f>
        <v/>
      </c>
      <c r="D513" t="str">
        <f>IFERROR(IF(B513="","",VLOOKUP(B513,CadProd!$A:$C,3,0)),"")</f>
        <v/>
      </c>
      <c r="G513" s="1" t="str">
        <f t="shared" si="7"/>
        <v/>
      </c>
    </row>
    <row r="514" spans="3:7" x14ac:dyDescent="0.3">
      <c r="C514" t="str">
        <f>IFERROR(IF(B514="","",VLOOKUP(B514,CadProd!$A:$B,2,0)),"")</f>
        <v/>
      </c>
      <c r="D514" t="str">
        <f>IFERROR(IF(B514="","",VLOOKUP(B514,CadProd!$A:$C,3,0)),"")</f>
        <v/>
      </c>
      <c r="G514" s="1" t="str">
        <f t="shared" ref="G514:G577" si="8">IFERROR(IF(B514="","",F514*E514),"")</f>
        <v/>
      </c>
    </row>
    <row r="515" spans="3:7" x14ac:dyDescent="0.3">
      <c r="C515" t="str">
        <f>IFERROR(IF(B515="","",VLOOKUP(B515,CadProd!$A:$B,2,0)),"")</f>
        <v/>
      </c>
      <c r="D515" t="str">
        <f>IFERROR(IF(B515="","",VLOOKUP(B515,CadProd!$A:$C,3,0)),"")</f>
        <v/>
      </c>
      <c r="G515" s="1" t="str">
        <f t="shared" si="8"/>
        <v/>
      </c>
    </row>
    <row r="516" spans="3:7" x14ac:dyDescent="0.3">
      <c r="C516" t="str">
        <f>IFERROR(IF(B516="","",VLOOKUP(B516,CadProd!$A:$B,2,0)),"")</f>
        <v/>
      </c>
      <c r="D516" t="str">
        <f>IFERROR(IF(B516="","",VLOOKUP(B516,CadProd!$A:$C,3,0)),"")</f>
        <v/>
      </c>
      <c r="G516" s="1" t="str">
        <f t="shared" si="8"/>
        <v/>
      </c>
    </row>
    <row r="517" spans="3:7" x14ac:dyDescent="0.3">
      <c r="C517" t="str">
        <f>IFERROR(IF(B517="","",VLOOKUP(B517,CadProd!$A:$B,2,0)),"")</f>
        <v/>
      </c>
      <c r="D517" t="str">
        <f>IFERROR(IF(B517="","",VLOOKUP(B517,CadProd!$A:$C,3,0)),"")</f>
        <v/>
      </c>
      <c r="G517" s="1" t="str">
        <f t="shared" si="8"/>
        <v/>
      </c>
    </row>
    <row r="518" spans="3:7" x14ac:dyDescent="0.3">
      <c r="C518" t="str">
        <f>IFERROR(IF(B518="","",VLOOKUP(B518,CadProd!$A:$B,2,0)),"")</f>
        <v/>
      </c>
      <c r="D518" t="str">
        <f>IFERROR(IF(B518="","",VLOOKUP(B518,CadProd!$A:$C,3,0)),"")</f>
        <v/>
      </c>
      <c r="G518" s="1" t="str">
        <f t="shared" si="8"/>
        <v/>
      </c>
    </row>
    <row r="519" spans="3:7" x14ac:dyDescent="0.3">
      <c r="C519" t="str">
        <f>IFERROR(IF(B519="","",VLOOKUP(B519,CadProd!$A:$B,2,0)),"")</f>
        <v/>
      </c>
      <c r="D519" t="str">
        <f>IFERROR(IF(B519="","",VLOOKUP(B519,CadProd!$A:$C,3,0)),"")</f>
        <v/>
      </c>
      <c r="G519" s="1" t="str">
        <f t="shared" si="8"/>
        <v/>
      </c>
    </row>
    <row r="520" spans="3:7" x14ac:dyDescent="0.3">
      <c r="C520" t="str">
        <f>IFERROR(IF(B520="","",VLOOKUP(B520,CadProd!$A:$B,2,0)),"")</f>
        <v/>
      </c>
      <c r="D520" t="str">
        <f>IFERROR(IF(B520="","",VLOOKUP(B520,CadProd!$A:$C,3,0)),"")</f>
        <v/>
      </c>
      <c r="G520" s="1" t="str">
        <f t="shared" si="8"/>
        <v/>
      </c>
    </row>
    <row r="521" spans="3:7" x14ac:dyDescent="0.3">
      <c r="C521" t="str">
        <f>IFERROR(IF(B521="","",VLOOKUP(B521,CadProd!$A:$B,2,0)),"")</f>
        <v/>
      </c>
      <c r="D521" t="str">
        <f>IFERROR(IF(B521="","",VLOOKUP(B521,CadProd!$A:$C,3,0)),"")</f>
        <v/>
      </c>
      <c r="G521" s="1" t="str">
        <f t="shared" si="8"/>
        <v/>
      </c>
    </row>
    <row r="522" spans="3:7" x14ac:dyDescent="0.3">
      <c r="C522" t="str">
        <f>IFERROR(IF(B522="","",VLOOKUP(B522,CadProd!$A:$B,2,0)),"")</f>
        <v/>
      </c>
      <c r="D522" t="str">
        <f>IFERROR(IF(B522="","",VLOOKUP(B522,CadProd!$A:$C,3,0)),"")</f>
        <v/>
      </c>
      <c r="G522" s="1" t="str">
        <f t="shared" si="8"/>
        <v/>
      </c>
    </row>
    <row r="523" spans="3:7" x14ac:dyDescent="0.3">
      <c r="C523" t="str">
        <f>IFERROR(IF(B523="","",VLOOKUP(B523,CadProd!$A:$B,2,0)),"")</f>
        <v/>
      </c>
      <c r="D523" t="str">
        <f>IFERROR(IF(B523="","",VLOOKUP(B523,CadProd!$A:$C,3,0)),"")</f>
        <v/>
      </c>
      <c r="G523" s="1" t="str">
        <f t="shared" si="8"/>
        <v/>
      </c>
    </row>
    <row r="524" spans="3:7" x14ac:dyDescent="0.3">
      <c r="C524" t="str">
        <f>IFERROR(IF(B524="","",VLOOKUP(B524,CadProd!$A:$B,2,0)),"")</f>
        <v/>
      </c>
      <c r="D524" t="str">
        <f>IFERROR(IF(B524="","",VLOOKUP(B524,CadProd!$A:$C,3,0)),"")</f>
        <v/>
      </c>
      <c r="G524" s="1" t="str">
        <f t="shared" si="8"/>
        <v/>
      </c>
    </row>
    <row r="525" spans="3:7" x14ac:dyDescent="0.3">
      <c r="C525" t="str">
        <f>IFERROR(IF(B525="","",VLOOKUP(B525,CadProd!$A:$B,2,0)),"")</f>
        <v/>
      </c>
      <c r="D525" t="str">
        <f>IFERROR(IF(B525="","",VLOOKUP(B525,CadProd!$A:$C,3,0)),"")</f>
        <v/>
      </c>
      <c r="G525" s="1" t="str">
        <f t="shared" si="8"/>
        <v/>
      </c>
    </row>
    <row r="526" spans="3:7" x14ac:dyDescent="0.3">
      <c r="C526" t="str">
        <f>IFERROR(IF(B526="","",VLOOKUP(B526,CadProd!$A:$B,2,0)),"")</f>
        <v/>
      </c>
      <c r="D526" t="str">
        <f>IFERROR(IF(B526="","",VLOOKUP(B526,CadProd!$A:$C,3,0)),"")</f>
        <v/>
      </c>
      <c r="G526" s="1" t="str">
        <f t="shared" si="8"/>
        <v/>
      </c>
    </row>
    <row r="527" spans="3:7" x14ac:dyDescent="0.3">
      <c r="C527" t="str">
        <f>IFERROR(IF(B527="","",VLOOKUP(B527,CadProd!$A:$B,2,0)),"")</f>
        <v/>
      </c>
      <c r="D527" t="str">
        <f>IFERROR(IF(B527="","",VLOOKUP(B527,CadProd!$A:$C,3,0)),"")</f>
        <v/>
      </c>
      <c r="G527" s="1" t="str">
        <f t="shared" si="8"/>
        <v/>
      </c>
    </row>
    <row r="528" spans="3:7" x14ac:dyDescent="0.3">
      <c r="C528" t="str">
        <f>IFERROR(IF(B528="","",VLOOKUP(B528,CadProd!$A:$B,2,0)),"")</f>
        <v/>
      </c>
      <c r="D528" t="str">
        <f>IFERROR(IF(B528="","",VLOOKUP(B528,CadProd!$A:$C,3,0)),"")</f>
        <v/>
      </c>
      <c r="G528" s="1" t="str">
        <f t="shared" si="8"/>
        <v/>
      </c>
    </row>
    <row r="529" spans="3:7" x14ac:dyDescent="0.3">
      <c r="C529" t="str">
        <f>IFERROR(IF(B529="","",VLOOKUP(B529,CadProd!$A:$B,2,0)),"")</f>
        <v/>
      </c>
      <c r="D529" t="str">
        <f>IFERROR(IF(B529="","",VLOOKUP(B529,CadProd!$A:$C,3,0)),"")</f>
        <v/>
      </c>
      <c r="G529" s="1" t="str">
        <f t="shared" si="8"/>
        <v/>
      </c>
    </row>
    <row r="530" spans="3:7" x14ac:dyDescent="0.3">
      <c r="C530" t="str">
        <f>IFERROR(IF(B530="","",VLOOKUP(B530,CadProd!$A:$B,2,0)),"")</f>
        <v/>
      </c>
      <c r="D530" t="str">
        <f>IFERROR(IF(B530="","",VLOOKUP(B530,CadProd!$A:$C,3,0)),"")</f>
        <v/>
      </c>
      <c r="G530" s="1" t="str">
        <f t="shared" si="8"/>
        <v/>
      </c>
    </row>
    <row r="531" spans="3:7" x14ac:dyDescent="0.3">
      <c r="C531" t="str">
        <f>IFERROR(IF(B531="","",VLOOKUP(B531,CadProd!$A:$B,2,0)),"")</f>
        <v/>
      </c>
      <c r="D531" t="str">
        <f>IFERROR(IF(B531="","",VLOOKUP(B531,CadProd!$A:$C,3,0)),"")</f>
        <v/>
      </c>
      <c r="G531" s="1" t="str">
        <f t="shared" si="8"/>
        <v/>
      </c>
    </row>
    <row r="532" spans="3:7" x14ac:dyDescent="0.3">
      <c r="C532" t="str">
        <f>IFERROR(IF(B532="","",VLOOKUP(B532,CadProd!$A:$B,2,0)),"")</f>
        <v/>
      </c>
      <c r="D532" t="str">
        <f>IFERROR(IF(B532="","",VLOOKUP(B532,CadProd!$A:$C,3,0)),"")</f>
        <v/>
      </c>
      <c r="G532" s="1" t="str">
        <f t="shared" si="8"/>
        <v/>
      </c>
    </row>
    <row r="533" spans="3:7" x14ac:dyDescent="0.3">
      <c r="C533" t="str">
        <f>IFERROR(IF(B533="","",VLOOKUP(B533,CadProd!$A:$B,2,0)),"")</f>
        <v/>
      </c>
      <c r="D533" t="str">
        <f>IFERROR(IF(B533="","",VLOOKUP(B533,CadProd!$A:$C,3,0)),"")</f>
        <v/>
      </c>
      <c r="G533" s="1" t="str">
        <f t="shared" si="8"/>
        <v/>
      </c>
    </row>
    <row r="534" spans="3:7" x14ac:dyDescent="0.3">
      <c r="C534" t="str">
        <f>IFERROR(IF(B534="","",VLOOKUP(B534,CadProd!$A:$B,2,0)),"")</f>
        <v/>
      </c>
      <c r="D534" t="str">
        <f>IFERROR(IF(B534="","",VLOOKUP(B534,CadProd!$A:$C,3,0)),"")</f>
        <v/>
      </c>
      <c r="G534" s="1" t="str">
        <f t="shared" si="8"/>
        <v/>
      </c>
    </row>
    <row r="535" spans="3:7" x14ac:dyDescent="0.3">
      <c r="C535" t="str">
        <f>IFERROR(IF(B535="","",VLOOKUP(B535,CadProd!$A:$B,2,0)),"")</f>
        <v/>
      </c>
      <c r="D535" t="str">
        <f>IFERROR(IF(B535="","",VLOOKUP(B535,CadProd!$A:$C,3,0)),"")</f>
        <v/>
      </c>
      <c r="G535" s="1" t="str">
        <f t="shared" si="8"/>
        <v/>
      </c>
    </row>
    <row r="536" spans="3:7" x14ac:dyDescent="0.3">
      <c r="C536" t="str">
        <f>IFERROR(IF(B536="","",VLOOKUP(B536,CadProd!$A:$B,2,0)),"")</f>
        <v/>
      </c>
      <c r="D536" t="str">
        <f>IFERROR(IF(B536="","",VLOOKUP(B536,CadProd!$A:$C,3,0)),"")</f>
        <v/>
      </c>
      <c r="G536" s="1" t="str">
        <f t="shared" si="8"/>
        <v/>
      </c>
    </row>
    <row r="537" spans="3:7" x14ac:dyDescent="0.3">
      <c r="C537" t="str">
        <f>IFERROR(IF(B537="","",VLOOKUP(B537,CadProd!$A:$B,2,0)),"")</f>
        <v/>
      </c>
      <c r="D537" t="str">
        <f>IFERROR(IF(B537="","",VLOOKUP(B537,CadProd!$A:$C,3,0)),"")</f>
        <v/>
      </c>
      <c r="G537" s="1" t="str">
        <f t="shared" si="8"/>
        <v/>
      </c>
    </row>
    <row r="538" spans="3:7" x14ac:dyDescent="0.3">
      <c r="C538" t="str">
        <f>IFERROR(IF(B538="","",VLOOKUP(B538,CadProd!$A:$B,2,0)),"")</f>
        <v/>
      </c>
      <c r="D538" t="str">
        <f>IFERROR(IF(B538="","",VLOOKUP(B538,CadProd!$A:$C,3,0)),"")</f>
        <v/>
      </c>
      <c r="G538" s="1" t="str">
        <f t="shared" si="8"/>
        <v/>
      </c>
    </row>
    <row r="539" spans="3:7" x14ac:dyDescent="0.3">
      <c r="C539" t="str">
        <f>IFERROR(IF(B539="","",VLOOKUP(B539,CadProd!$A:$B,2,0)),"")</f>
        <v/>
      </c>
      <c r="D539" t="str">
        <f>IFERROR(IF(B539="","",VLOOKUP(B539,CadProd!$A:$C,3,0)),"")</f>
        <v/>
      </c>
      <c r="G539" s="1" t="str">
        <f t="shared" si="8"/>
        <v/>
      </c>
    </row>
    <row r="540" spans="3:7" x14ac:dyDescent="0.3">
      <c r="C540" t="str">
        <f>IFERROR(IF(B540="","",VLOOKUP(B540,CadProd!$A:$B,2,0)),"")</f>
        <v/>
      </c>
      <c r="D540" t="str">
        <f>IFERROR(IF(B540="","",VLOOKUP(B540,CadProd!$A:$C,3,0)),"")</f>
        <v/>
      </c>
      <c r="G540" s="1" t="str">
        <f t="shared" si="8"/>
        <v/>
      </c>
    </row>
    <row r="541" spans="3:7" x14ac:dyDescent="0.3">
      <c r="C541" t="str">
        <f>IFERROR(IF(B541="","",VLOOKUP(B541,CadProd!$A:$B,2,0)),"")</f>
        <v/>
      </c>
      <c r="D541" t="str">
        <f>IFERROR(IF(B541="","",VLOOKUP(B541,CadProd!$A:$C,3,0)),"")</f>
        <v/>
      </c>
      <c r="G541" s="1" t="str">
        <f t="shared" si="8"/>
        <v/>
      </c>
    </row>
    <row r="542" spans="3:7" x14ac:dyDescent="0.3">
      <c r="C542" t="str">
        <f>IFERROR(IF(B542="","",VLOOKUP(B542,CadProd!$A:$B,2,0)),"")</f>
        <v/>
      </c>
      <c r="D542" t="str">
        <f>IFERROR(IF(B542="","",VLOOKUP(B542,CadProd!$A:$C,3,0)),"")</f>
        <v/>
      </c>
      <c r="G542" s="1" t="str">
        <f t="shared" si="8"/>
        <v/>
      </c>
    </row>
    <row r="543" spans="3:7" x14ac:dyDescent="0.3">
      <c r="C543" t="str">
        <f>IFERROR(IF(B543="","",VLOOKUP(B543,CadProd!$A:$B,2,0)),"")</f>
        <v/>
      </c>
      <c r="D543" t="str">
        <f>IFERROR(IF(B543="","",VLOOKUP(B543,CadProd!$A:$C,3,0)),"")</f>
        <v/>
      </c>
      <c r="G543" s="1" t="str">
        <f t="shared" si="8"/>
        <v/>
      </c>
    </row>
    <row r="544" spans="3:7" x14ac:dyDescent="0.3">
      <c r="C544" t="str">
        <f>IFERROR(IF(B544="","",VLOOKUP(B544,CadProd!$A:$B,2,0)),"")</f>
        <v/>
      </c>
      <c r="D544" t="str">
        <f>IFERROR(IF(B544="","",VLOOKUP(B544,CadProd!$A:$C,3,0)),"")</f>
        <v/>
      </c>
      <c r="G544" s="1" t="str">
        <f t="shared" si="8"/>
        <v/>
      </c>
    </row>
    <row r="545" spans="3:7" x14ac:dyDescent="0.3">
      <c r="C545" t="str">
        <f>IFERROR(IF(B545="","",VLOOKUP(B545,CadProd!$A:$B,2,0)),"")</f>
        <v/>
      </c>
      <c r="D545" t="str">
        <f>IFERROR(IF(B545="","",VLOOKUP(B545,CadProd!$A:$C,3,0)),"")</f>
        <v/>
      </c>
      <c r="G545" s="1" t="str">
        <f t="shared" si="8"/>
        <v/>
      </c>
    </row>
    <row r="546" spans="3:7" x14ac:dyDescent="0.3">
      <c r="C546" t="str">
        <f>IFERROR(IF(B546="","",VLOOKUP(B546,CadProd!$A:$B,2,0)),"")</f>
        <v/>
      </c>
      <c r="D546" t="str">
        <f>IFERROR(IF(B546="","",VLOOKUP(B546,CadProd!$A:$C,3,0)),"")</f>
        <v/>
      </c>
      <c r="G546" s="1" t="str">
        <f t="shared" si="8"/>
        <v/>
      </c>
    </row>
    <row r="547" spans="3:7" x14ac:dyDescent="0.3">
      <c r="C547" t="str">
        <f>IFERROR(IF(B547="","",VLOOKUP(B547,CadProd!$A:$B,2,0)),"")</f>
        <v/>
      </c>
      <c r="D547" t="str">
        <f>IFERROR(IF(B547="","",VLOOKUP(B547,CadProd!$A:$C,3,0)),"")</f>
        <v/>
      </c>
      <c r="G547" s="1" t="str">
        <f t="shared" si="8"/>
        <v/>
      </c>
    </row>
    <row r="548" spans="3:7" x14ac:dyDescent="0.3">
      <c r="C548" t="str">
        <f>IFERROR(IF(B548="","",VLOOKUP(B548,CadProd!$A:$B,2,0)),"")</f>
        <v/>
      </c>
      <c r="D548" t="str">
        <f>IFERROR(IF(B548="","",VLOOKUP(B548,CadProd!$A:$C,3,0)),"")</f>
        <v/>
      </c>
      <c r="G548" s="1" t="str">
        <f t="shared" si="8"/>
        <v/>
      </c>
    </row>
    <row r="549" spans="3:7" x14ac:dyDescent="0.3">
      <c r="C549" t="str">
        <f>IFERROR(IF(B549="","",VLOOKUP(B549,CadProd!$A:$B,2,0)),"")</f>
        <v/>
      </c>
      <c r="D549" t="str">
        <f>IFERROR(IF(B549="","",VLOOKUP(B549,CadProd!$A:$C,3,0)),"")</f>
        <v/>
      </c>
      <c r="G549" s="1" t="str">
        <f t="shared" si="8"/>
        <v/>
      </c>
    </row>
    <row r="550" spans="3:7" x14ac:dyDescent="0.3">
      <c r="C550" t="str">
        <f>IFERROR(IF(B550="","",VLOOKUP(B550,CadProd!$A:$B,2,0)),"")</f>
        <v/>
      </c>
      <c r="D550" t="str">
        <f>IFERROR(IF(B550="","",VLOOKUP(B550,CadProd!$A:$C,3,0)),"")</f>
        <v/>
      </c>
      <c r="G550" s="1" t="str">
        <f t="shared" si="8"/>
        <v/>
      </c>
    </row>
    <row r="551" spans="3:7" x14ac:dyDescent="0.3">
      <c r="C551" t="str">
        <f>IFERROR(IF(B551="","",VLOOKUP(B551,CadProd!$A:$B,2,0)),"")</f>
        <v/>
      </c>
      <c r="D551" t="str">
        <f>IFERROR(IF(B551="","",VLOOKUP(B551,CadProd!$A:$C,3,0)),"")</f>
        <v/>
      </c>
      <c r="G551" s="1" t="str">
        <f t="shared" si="8"/>
        <v/>
      </c>
    </row>
    <row r="552" spans="3:7" x14ac:dyDescent="0.3">
      <c r="C552" t="str">
        <f>IFERROR(IF(B552="","",VLOOKUP(B552,CadProd!$A:$B,2,0)),"")</f>
        <v/>
      </c>
      <c r="D552" t="str">
        <f>IFERROR(IF(B552="","",VLOOKUP(B552,CadProd!$A:$C,3,0)),"")</f>
        <v/>
      </c>
      <c r="G552" s="1" t="str">
        <f t="shared" si="8"/>
        <v/>
      </c>
    </row>
    <row r="553" spans="3:7" x14ac:dyDescent="0.3">
      <c r="C553" t="str">
        <f>IFERROR(IF(B553="","",VLOOKUP(B553,CadProd!$A:$B,2,0)),"")</f>
        <v/>
      </c>
      <c r="D553" t="str">
        <f>IFERROR(IF(B553="","",VLOOKUP(B553,CadProd!$A:$C,3,0)),"")</f>
        <v/>
      </c>
      <c r="G553" s="1" t="str">
        <f t="shared" si="8"/>
        <v/>
      </c>
    </row>
    <row r="554" spans="3:7" x14ac:dyDescent="0.3">
      <c r="C554" t="str">
        <f>IFERROR(IF(B554="","",VLOOKUP(B554,CadProd!$A:$B,2,0)),"")</f>
        <v/>
      </c>
      <c r="D554" t="str">
        <f>IFERROR(IF(B554="","",VLOOKUP(B554,CadProd!$A:$C,3,0)),"")</f>
        <v/>
      </c>
      <c r="G554" s="1" t="str">
        <f t="shared" si="8"/>
        <v/>
      </c>
    </row>
    <row r="555" spans="3:7" x14ac:dyDescent="0.3">
      <c r="C555" t="str">
        <f>IFERROR(IF(B555="","",VLOOKUP(B555,CadProd!$A:$B,2,0)),"")</f>
        <v/>
      </c>
      <c r="D555" t="str">
        <f>IFERROR(IF(B555="","",VLOOKUP(B555,CadProd!$A:$C,3,0)),"")</f>
        <v/>
      </c>
      <c r="G555" s="1" t="str">
        <f t="shared" si="8"/>
        <v/>
      </c>
    </row>
    <row r="556" spans="3:7" x14ac:dyDescent="0.3">
      <c r="C556" t="str">
        <f>IFERROR(IF(B556="","",VLOOKUP(B556,CadProd!$A:$B,2,0)),"")</f>
        <v/>
      </c>
      <c r="D556" t="str">
        <f>IFERROR(IF(B556="","",VLOOKUP(B556,CadProd!$A:$C,3,0)),"")</f>
        <v/>
      </c>
      <c r="G556" s="1" t="str">
        <f t="shared" si="8"/>
        <v/>
      </c>
    </row>
    <row r="557" spans="3:7" x14ac:dyDescent="0.3">
      <c r="C557" t="str">
        <f>IFERROR(IF(B557="","",VLOOKUP(B557,CadProd!$A:$B,2,0)),"")</f>
        <v/>
      </c>
      <c r="D557" t="str">
        <f>IFERROR(IF(B557="","",VLOOKUP(B557,CadProd!$A:$C,3,0)),"")</f>
        <v/>
      </c>
      <c r="G557" s="1" t="str">
        <f t="shared" si="8"/>
        <v/>
      </c>
    </row>
    <row r="558" spans="3:7" x14ac:dyDescent="0.3">
      <c r="C558" t="str">
        <f>IFERROR(IF(B558="","",VLOOKUP(B558,CadProd!$A:$B,2,0)),"")</f>
        <v/>
      </c>
      <c r="D558" t="str">
        <f>IFERROR(IF(B558="","",VLOOKUP(B558,CadProd!$A:$C,3,0)),"")</f>
        <v/>
      </c>
      <c r="G558" s="1" t="str">
        <f t="shared" si="8"/>
        <v/>
      </c>
    </row>
    <row r="559" spans="3:7" x14ac:dyDescent="0.3">
      <c r="C559" t="str">
        <f>IFERROR(IF(B559="","",VLOOKUP(B559,CadProd!$A:$B,2,0)),"")</f>
        <v/>
      </c>
      <c r="D559" t="str">
        <f>IFERROR(IF(B559="","",VLOOKUP(B559,CadProd!$A:$C,3,0)),"")</f>
        <v/>
      </c>
      <c r="G559" s="1" t="str">
        <f t="shared" si="8"/>
        <v/>
      </c>
    </row>
    <row r="560" spans="3:7" x14ac:dyDescent="0.3">
      <c r="C560" t="str">
        <f>IFERROR(IF(B560="","",VLOOKUP(B560,CadProd!$A:$B,2,0)),"")</f>
        <v/>
      </c>
      <c r="D560" t="str">
        <f>IFERROR(IF(B560="","",VLOOKUP(B560,CadProd!$A:$C,3,0)),"")</f>
        <v/>
      </c>
      <c r="G560" s="1" t="str">
        <f t="shared" si="8"/>
        <v/>
      </c>
    </row>
    <row r="561" spans="3:7" x14ac:dyDescent="0.3">
      <c r="C561" t="str">
        <f>IFERROR(IF(B561="","",VLOOKUP(B561,CadProd!$A:$B,2,0)),"")</f>
        <v/>
      </c>
      <c r="D561" t="str">
        <f>IFERROR(IF(B561="","",VLOOKUP(B561,CadProd!$A:$C,3,0)),"")</f>
        <v/>
      </c>
      <c r="G561" s="1" t="str">
        <f t="shared" si="8"/>
        <v/>
      </c>
    </row>
    <row r="562" spans="3:7" x14ac:dyDescent="0.3">
      <c r="C562" t="str">
        <f>IFERROR(IF(B562="","",VLOOKUP(B562,CadProd!$A:$B,2,0)),"")</f>
        <v/>
      </c>
      <c r="D562" t="str">
        <f>IFERROR(IF(B562="","",VLOOKUP(B562,CadProd!$A:$C,3,0)),"")</f>
        <v/>
      </c>
      <c r="G562" s="1" t="str">
        <f t="shared" si="8"/>
        <v/>
      </c>
    </row>
    <row r="563" spans="3:7" x14ac:dyDescent="0.3">
      <c r="C563" t="str">
        <f>IFERROR(IF(B563="","",VLOOKUP(B563,CadProd!$A:$B,2,0)),"")</f>
        <v/>
      </c>
      <c r="D563" t="str">
        <f>IFERROR(IF(B563="","",VLOOKUP(B563,CadProd!$A:$C,3,0)),"")</f>
        <v/>
      </c>
      <c r="G563" s="1" t="str">
        <f t="shared" si="8"/>
        <v/>
      </c>
    </row>
    <row r="564" spans="3:7" x14ac:dyDescent="0.3">
      <c r="C564" t="str">
        <f>IFERROR(IF(B564="","",VLOOKUP(B564,CadProd!$A:$B,2,0)),"")</f>
        <v/>
      </c>
      <c r="D564" t="str">
        <f>IFERROR(IF(B564="","",VLOOKUP(B564,CadProd!$A:$C,3,0)),"")</f>
        <v/>
      </c>
      <c r="G564" s="1" t="str">
        <f t="shared" si="8"/>
        <v/>
      </c>
    </row>
    <row r="565" spans="3:7" x14ac:dyDescent="0.3">
      <c r="C565" t="str">
        <f>IFERROR(IF(B565="","",VLOOKUP(B565,CadProd!$A:$B,2,0)),"")</f>
        <v/>
      </c>
      <c r="D565" t="str">
        <f>IFERROR(IF(B565="","",VLOOKUP(B565,CadProd!$A:$C,3,0)),"")</f>
        <v/>
      </c>
      <c r="G565" s="1" t="str">
        <f t="shared" si="8"/>
        <v/>
      </c>
    </row>
    <row r="566" spans="3:7" x14ac:dyDescent="0.3">
      <c r="C566" t="str">
        <f>IFERROR(IF(B566="","",VLOOKUP(B566,CadProd!$A:$B,2,0)),"")</f>
        <v/>
      </c>
      <c r="D566" t="str">
        <f>IFERROR(IF(B566="","",VLOOKUP(B566,CadProd!$A:$C,3,0)),"")</f>
        <v/>
      </c>
      <c r="G566" s="1" t="str">
        <f t="shared" si="8"/>
        <v/>
      </c>
    </row>
    <row r="567" spans="3:7" x14ac:dyDescent="0.3">
      <c r="C567" t="str">
        <f>IFERROR(IF(B567="","",VLOOKUP(B567,CadProd!$A:$B,2,0)),"")</f>
        <v/>
      </c>
      <c r="D567" t="str">
        <f>IFERROR(IF(B567="","",VLOOKUP(B567,CadProd!$A:$C,3,0)),"")</f>
        <v/>
      </c>
      <c r="G567" s="1" t="str">
        <f t="shared" si="8"/>
        <v/>
      </c>
    </row>
    <row r="568" spans="3:7" x14ac:dyDescent="0.3">
      <c r="C568" t="str">
        <f>IFERROR(IF(B568="","",VLOOKUP(B568,CadProd!$A:$B,2,0)),"")</f>
        <v/>
      </c>
      <c r="D568" t="str">
        <f>IFERROR(IF(B568="","",VLOOKUP(B568,CadProd!$A:$C,3,0)),"")</f>
        <v/>
      </c>
      <c r="G568" s="1" t="str">
        <f t="shared" si="8"/>
        <v/>
      </c>
    </row>
    <row r="569" spans="3:7" x14ac:dyDescent="0.3">
      <c r="C569" t="str">
        <f>IFERROR(IF(B569="","",VLOOKUP(B569,CadProd!$A:$B,2,0)),"")</f>
        <v/>
      </c>
      <c r="D569" t="str">
        <f>IFERROR(IF(B569="","",VLOOKUP(B569,CadProd!$A:$C,3,0)),"")</f>
        <v/>
      </c>
      <c r="G569" s="1" t="str">
        <f t="shared" si="8"/>
        <v/>
      </c>
    </row>
    <row r="570" spans="3:7" x14ac:dyDescent="0.3">
      <c r="C570" t="str">
        <f>IFERROR(IF(B570="","",VLOOKUP(B570,CadProd!$A:$B,2,0)),"")</f>
        <v/>
      </c>
      <c r="D570" t="str">
        <f>IFERROR(IF(B570="","",VLOOKUP(B570,CadProd!$A:$C,3,0)),"")</f>
        <v/>
      </c>
      <c r="G570" s="1" t="str">
        <f t="shared" si="8"/>
        <v/>
      </c>
    </row>
    <row r="571" spans="3:7" x14ac:dyDescent="0.3">
      <c r="C571" t="str">
        <f>IFERROR(IF(B571="","",VLOOKUP(B571,CadProd!$A:$B,2,0)),"")</f>
        <v/>
      </c>
      <c r="D571" t="str">
        <f>IFERROR(IF(B571="","",VLOOKUP(B571,CadProd!$A:$C,3,0)),"")</f>
        <v/>
      </c>
      <c r="G571" s="1" t="str">
        <f t="shared" si="8"/>
        <v/>
      </c>
    </row>
    <row r="572" spans="3:7" x14ac:dyDescent="0.3">
      <c r="C572" t="str">
        <f>IFERROR(IF(B572="","",VLOOKUP(B572,CadProd!$A:$B,2,0)),"")</f>
        <v/>
      </c>
      <c r="D572" t="str">
        <f>IFERROR(IF(B572="","",VLOOKUP(B572,CadProd!$A:$C,3,0)),"")</f>
        <v/>
      </c>
      <c r="G572" s="1" t="str">
        <f t="shared" si="8"/>
        <v/>
      </c>
    </row>
    <row r="573" spans="3:7" x14ac:dyDescent="0.3">
      <c r="C573" t="str">
        <f>IFERROR(IF(B573="","",VLOOKUP(B573,CadProd!$A:$B,2,0)),"")</f>
        <v/>
      </c>
      <c r="D573" t="str">
        <f>IFERROR(IF(B573="","",VLOOKUP(B573,CadProd!$A:$C,3,0)),"")</f>
        <v/>
      </c>
      <c r="G573" s="1" t="str">
        <f t="shared" si="8"/>
        <v/>
      </c>
    </row>
    <row r="574" spans="3:7" x14ac:dyDescent="0.3">
      <c r="C574" t="str">
        <f>IFERROR(IF(B574="","",VLOOKUP(B574,CadProd!$A:$B,2,0)),"")</f>
        <v/>
      </c>
      <c r="D574" t="str">
        <f>IFERROR(IF(B574="","",VLOOKUP(B574,CadProd!$A:$C,3,0)),"")</f>
        <v/>
      </c>
      <c r="G574" s="1" t="str">
        <f t="shared" si="8"/>
        <v/>
      </c>
    </row>
    <row r="575" spans="3:7" x14ac:dyDescent="0.3">
      <c r="C575" t="str">
        <f>IFERROR(IF(B575="","",VLOOKUP(B575,CadProd!$A:$B,2,0)),"")</f>
        <v/>
      </c>
      <c r="D575" t="str">
        <f>IFERROR(IF(B575="","",VLOOKUP(B575,CadProd!$A:$C,3,0)),"")</f>
        <v/>
      </c>
      <c r="G575" s="1" t="str">
        <f t="shared" si="8"/>
        <v/>
      </c>
    </row>
    <row r="576" spans="3:7" x14ac:dyDescent="0.3">
      <c r="C576" t="str">
        <f>IFERROR(IF(B576="","",VLOOKUP(B576,CadProd!$A:$B,2,0)),"")</f>
        <v/>
      </c>
      <c r="D576" t="str">
        <f>IFERROR(IF(B576="","",VLOOKUP(B576,CadProd!$A:$C,3,0)),"")</f>
        <v/>
      </c>
      <c r="G576" s="1" t="str">
        <f t="shared" si="8"/>
        <v/>
      </c>
    </row>
    <row r="577" spans="3:7" x14ac:dyDescent="0.3">
      <c r="C577" t="str">
        <f>IFERROR(IF(B577="","",VLOOKUP(B577,CadProd!$A:$B,2,0)),"")</f>
        <v/>
      </c>
      <c r="D577" t="str">
        <f>IFERROR(IF(B577="","",VLOOKUP(B577,CadProd!$A:$C,3,0)),"")</f>
        <v/>
      </c>
      <c r="G577" s="1" t="str">
        <f t="shared" si="8"/>
        <v/>
      </c>
    </row>
    <row r="578" spans="3:7" x14ac:dyDescent="0.3">
      <c r="C578" t="str">
        <f>IFERROR(IF(B578="","",VLOOKUP(B578,CadProd!$A:$B,2,0)),"")</f>
        <v/>
      </c>
      <c r="D578" t="str">
        <f>IFERROR(IF(B578="","",VLOOKUP(B578,CadProd!$A:$C,3,0)),"")</f>
        <v/>
      </c>
      <c r="G578" s="1" t="str">
        <f t="shared" ref="G578:G641" si="9">IFERROR(IF(B578="","",F578*E578),"")</f>
        <v/>
      </c>
    </row>
    <row r="579" spans="3:7" x14ac:dyDescent="0.3">
      <c r="C579" t="str">
        <f>IFERROR(IF(B579="","",VLOOKUP(B579,CadProd!$A:$B,2,0)),"")</f>
        <v/>
      </c>
      <c r="D579" t="str">
        <f>IFERROR(IF(B579="","",VLOOKUP(B579,CadProd!$A:$C,3,0)),"")</f>
        <v/>
      </c>
      <c r="G579" s="1" t="str">
        <f t="shared" si="9"/>
        <v/>
      </c>
    </row>
    <row r="580" spans="3:7" x14ac:dyDescent="0.3">
      <c r="C580" t="str">
        <f>IFERROR(IF(B580="","",VLOOKUP(B580,CadProd!$A:$B,2,0)),"")</f>
        <v/>
      </c>
      <c r="D580" t="str">
        <f>IFERROR(IF(B580="","",VLOOKUP(B580,CadProd!$A:$C,3,0)),"")</f>
        <v/>
      </c>
      <c r="G580" s="1" t="str">
        <f t="shared" si="9"/>
        <v/>
      </c>
    </row>
    <row r="581" spans="3:7" x14ac:dyDescent="0.3">
      <c r="C581" t="str">
        <f>IFERROR(IF(B581="","",VLOOKUP(B581,CadProd!$A:$B,2,0)),"")</f>
        <v/>
      </c>
      <c r="D581" t="str">
        <f>IFERROR(IF(B581="","",VLOOKUP(B581,CadProd!$A:$C,3,0)),"")</f>
        <v/>
      </c>
      <c r="G581" s="1" t="str">
        <f t="shared" si="9"/>
        <v/>
      </c>
    </row>
    <row r="582" spans="3:7" x14ac:dyDescent="0.3">
      <c r="C582" t="str">
        <f>IFERROR(IF(B582="","",VLOOKUP(B582,CadProd!$A:$B,2,0)),"")</f>
        <v/>
      </c>
      <c r="D582" t="str">
        <f>IFERROR(IF(B582="","",VLOOKUP(B582,CadProd!$A:$C,3,0)),"")</f>
        <v/>
      </c>
      <c r="G582" s="1" t="str">
        <f t="shared" si="9"/>
        <v/>
      </c>
    </row>
    <row r="583" spans="3:7" x14ac:dyDescent="0.3">
      <c r="C583" t="str">
        <f>IFERROR(IF(B583="","",VLOOKUP(B583,CadProd!$A:$B,2,0)),"")</f>
        <v/>
      </c>
      <c r="D583" t="str">
        <f>IFERROR(IF(B583="","",VLOOKUP(B583,CadProd!$A:$C,3,0)),"")</f>
        <v/>
      </c>
      <c r="G583" s="1" t="str">
        <f t="shared" si="9"/>
        <v/>
      </c>
    </row>
    <row r="584" spans="3:7" x14ac:dyDescent="0.3">
      <c r="C584" t="str">
        <f>IFERROR(IF(B584="","",VLOOKUP(B584,CadProd!$A:$B,2,0)),"")</f>
        <v/>
      </c>
      <c r="D584" t="str">
        <f>IFERROR(IF(B584="","",VLOOKUP(B584,CadProd!$A:$C,3,0)),"")</f>
        <v/>
      </c>
      <c r="G584" s="1" t="str">
        <f t="shared" si="9"/>
        <v/>
      </c>
    </row>
    <row r="585" spans="3:7" x14ac:dyDescent="0.3">
      <c r="C585" t="str">
        <f>IFERROR(IF(B585="","",VLOOKUP(B585,CadProd!$A:$B,2,0)),"")</f>
        <v/>
      </c>
      <c r="D585" t="str">
        <f>IFERROR(IF(B585="","",VLOOKUP(B585,CadProd!$A:$C,3,0)),"")</f>
        <v/>
      </c>
      <c r="G585" s="1" t="str">
        <f t="shared" si="9"/>
        <v/>
      </c>
    </row>
    <row r="586" spans="3:7" x14ac:dyDescent="0.3">
      <c r="C586" t="str">
        <f>IFERROR(IF(B586="","",VLOOKUP(B586,CadProd!$A:$B,2,0)),"")</f>
        <v/>
      </c>
      <c r="D586" t="str">
        <f>IFERROR(IF(B586="","",VLOOKUP(B586,CadProd!$A:$C,3,0)),"")</f>
        <v/>
      </c>
      <c r="G586" s="1" t="str">
        <f t="shared" si="9"/>
        <v/>
      </c>
    </row>
    <row r="587" spans="3:7" x14ac:dyDescent="0.3">
      <c r="C587" t="str">
        <f>IFERROR(IF(B587="","",VLOOKUP(B587,CadProd!$A:$B,2,0)),"")</f>
        <v/>
      </c>
      <c r="D587" t="str">
        <f>IFERROR(IF(B587="","",VLOOKUP(B587,CadProd!$A:$C,3,0)),"")</f>
        <v/>
      </c>
      <c r="G587" s="1" t="str">
        <f t="shared" si="9"/>
        <v/>
      </c>
    </row>
    <row r="588" spans="3:7" x14ac:dyDescent="0.3">
      <c r="C588" t="str">
        <f>IFERROR(IF(B588="","",VLOOKUP(B588,CadProd!$A:$B,2,0)),"")</f>
        <v/>
      </c>
      <c r="D588" t="str">
        <f>IFERROR(IF(B588="","",VLOOKUP(B588,CadProd!$A:$C,3,0)),"")</f>
        <v/>
      </c>
      <c r="G588" s="1" t="str">
        <f t="shared" si="9"/>
        <v/>
      </c>
    </row>
    <row r="589" spans="3:7" x14ac:dyDescent="0.3">
      <c r="C589" t="str">
        <f>IFERROR(IF(B589="","",VLOOKUP(B589,CadProd!$A:$B,2,0)),"")</f>
        <v/>
      </c>
      <c r="D589" t="str">
        <f>IFERROR(IF(B589="","",VLOOKUP(B589,CadProd!$A:$C,3,0)),"")</f>
        <v/>
      </c>
      <c r="G589" s="1" t="str">
        <f t="shared" si="9"/>
        <v/>
      </c>
    </row>
    <row r="590" spans="3:7" x14ac:dyDescent="0.3">
      <c r="C590" t="str">
        <f>IFERROR(IF(B590="","",VLOOKUP(B590,CadProd!$A:$B,2,0)),"")</f>
        <v/>
      </c>
      <c r="D590" t="str">
        <f>IFERROR(IF(B590="","",VLOOKUP(B590,CadProd!$A:$C,3,0)),"")</f>
        <v/>
      </c>
      <c r="G590" s="1" t="str">
        <f t="shared" si="9"/>
        <v/>
      </c>
    </row>
    <row r="591" spans="3:7" x14ac:dyDescent="0.3">
      <c r="C591" t="str">
        <f>IFERROR(IF(B591="","",VLOOKUP(B591,CadProd!$A:$B,2,0)),"")</f>
        <v/>
      </c>
      <c r="D591" t="str">
        <f>IFERROR(IF(B591="","",VLOOKUP(B591,CadProd!$A:$C,3,0)),"")</f>
        <v/>
      </c>
      <c r="G591" s="1" t="str">
        <f t="shared" si="9"/>
        <v/>
      </c>
    </row>
    <row r="592" spans="3:7" x14ac:dyDescent="0.3">
      <c r="C592" t="str">
        <f>IFERROR(IF(B592="","",VLOOKUP(B592,CadProd!$A:$B,2,0)),"")</f>
        <v/>
      </c>
      <c r="D592" t="str">
        <f>IFERROR(IF(B592="","",VLOOKUP(B592,CadProd!$A:$C,3,0)),"")</f>
        <v/>
      </c>
      <c r="G592" s="1" t="str">
        <f t="shared" si="9"/>
        <v/>
      </c>
    </row>
    <row r="593" spans="3:7" x14ac:dyDescent="0.3">
      <c r="C593" t="str">
        <f>IFERROR(IF(B593="","",VLOOKUP(B593,CadProd!$A:$B,2,0)),"")</f>
        <v/>
      </c>
      <c r="D593" t="str">
        <f>IFERROR(IF(B593="","",VLOOKUP(B593,CadProd!$A:$C,3,0)),"")</f>
        <v/>
      </c>
      <c r="G593" s="1" t="str">
        <f t="shared" si="9"/>
        <v/>
      </c>
    </row>
    <row r="594" spans="3:7" x14ac:dyDescent="0.3">
      <c r="C594" t="str">
        <f>IFERROR(IF(B594="","",VLOOKUP(B594,CadProd!$A:$B,2,0)),"")</f>
        <v/>
      </c>
      <c r="D594" t="str">
        <f>IFERROR(IF(B594="","",VLOOKUP(B594,CadProd!$A:$C,3,0)),"")</f>
        <v/>
      </c>
      <c r="G594" s="1" t="str">
        <f t="shared" si="9"/>
        <v/>
      </c>
    </row>
    <row r="595" spans="3:7" x14ac:dyDescent="0.3">
      <c r="C595" t="str">
        <f>IFERROR(IF(B595="","",VLOOKUP(B595,CadProd!$A:$B,2,0)),"")</f>
        <v/>
      </c>
      <c r="D595" t="str">
        <f>IFERROR(IF(B595="","",VLOOKUP(B595,CadProd!$A:$C,3,0)),"")</f>
        <v/>
      </c>
      <c r="G595" s="1" t="str">
        <f t="shared" si="9"/>
        <v/>
      </c>
    </row>
    <row r="596" spans="3:7" x14ac:dyDescent="0.3">
      <c r="C596" t="str">
        <f>IFERROR(IF(B596="","",VLOOKUP(B596,CadProd!$A:$B,2,0)),"")</f>
        <v/>
      </c>
      <c r="D596" t="str">
        <f>IFERROR(IF(B596="","",VLOOKUP(B596,CadProd!$A:$C,3,0)),"")</f>
        <v/>
      </c>
      <c r="G596" s="1" t="str">
        <f t="shared" si="9"/>
        <v/>
      </c>
    </row>
    <row r="597" spans="3:7" x14ac:dyDescent="0.3">
      <c r="C597" t="str">
        <f>IFERROR(IF(B597="","",VLOOKUP(B597,CadProd!$A:$B,2,0)),"")</f>
        <v/>
      </c>
      <c r="D597" t="str">
        <f>IFERROR(IF(B597="","",VLOOKUP(B597,CadProd!$A:$C,3,0)),"")</f>
        <v/>
      </c>
      <c r="G597" s="1" t="str">
        <f t="shared" si="9"/>
        <v/>
      </c>
    </row>
    <row r="598" spans="3:7" x14ac:dyDescent="0.3">
      <c r="C598" t="str">
        <f>IFERROR(IF(B598="","",VLOOKUP(B598,CadProd!$A:$B,2,0)),"")</f>
        <v/>
      </c>
      <c r="D598" t="str">
        <f>IFERROR(IF(B598="","",VLOOKUP(B598,CadProd!$A:$C,3,0)),"")</f>
        <v/>
      </c>
      <c r="G598" s="1" t="str">
        <f t="shared" si="9"/>
        <v/>
      </c>
    </row>
    <row r="599" spans="3:7" x14ac:dyDescent="0.3">
      <c r="C599" t="str">
        <f>IFERROR(IF(B599="","",VLOOKUP(B599,CadProd!$A:$B,2,0)),"")</f>
        <v/>
      </c>
      <c r="D599" t="str">
        <f>IFERROR(IF(B599="","",VLOOKUP(B599,CadProd!$A:$C,3,0)),"")</f>
        <v/>
      </c>
      <c r="G599" s="1" t="str">
        <f t="shared" si="9"/>
        <v/>
      </c>
    </row>
    <row r="600" spans="3:7" x14ac:dyDescent="0.3">
      <c r="C600" t="str">
        <f>IFERROR(IF(B600="","",VLOOKUP(B600,CadProd!$A:$B,2,0)),"")</f>
        <v/>
      </c>
      <c r="D600" t="str">
        <f>IFERROR(IF(B600="","",VLOOKUP(B600,CadProd!$A:$C,3,0)),"")</f>
        <v/>
      </c>
      <c r="G600" s="1" t="str">
        <f t="shared" si="9"/>
        <v/>
      </c>
    </row>
    <row r="601" spans="3:7" x14ac:dyDescent="0.3">
      <c r="C601" t="str">
        <f>IFERROR(IF(B601="","",VLOOKUP(B601,CadProd!$A:$B,2,0)),"")</f>
        <v/>
      </c>
      <c r="D601" t="str">
        <f>IFERROR(IF(B601="","",VLOOKUP(B601,CadProd!$A:$C,3,0)),"")</f>
        <v/>
      </c>
      <c r="G601" s="1" t="str">
        <f t="shared" si="9"/>
        <v/>
      </c>
    </row>
    <row r="602" spans="3:7" x14ac:dyDescent="0.3">
      <c r="C602" t="str">
        <f>IFERROR(IF(B602="","",VLOOKUP(B602,CadProd!$A:$B,2,0)),"")</f>
        <v/>
      </c>
      <c r="D602" t="str">
        <f>IFERROR(IF(B602="","",VLOOKUP(B602,CadProd!$A:$C,3,0)),"")</f>
        <v/>
      </c>
      <c r="G602" s="1" t="str">
        <f t="shared" si="9"/>
        <v/>
      </c>
    </row>
    <row r="603" spans="3:7" x14ac:dyDescent="0.3">
      <c r="C603" t="str">
        <f>IFERROR(IF(B603="","",VLOOKUP(B603,CadProd!$A:$B,2,0)),"")</f>
        <v/>
      </c>
      <c r="D603" t="str">
        <f>IFERROR(IF(B603="","",VLOOKUP(B603,CadProd!$A:$C,3,0)),"")</f>
        <v/>
      </c>
      <c r="G603" s="1" t="str">
        <f t="shared" si="9"/>
        <v/>
      </c>
    </row>
    <row r="604" spans="3:7" x14ac:dyDescent="0.3">
      <c r="C604" t="str">
        <f>IFERROR(IF(B604="","",VLOOKUP(B604,CadProd!$A:$B,2,0)),"")</f>
        <v/>
      </c>
      <c r="D604" t="str">
        <f>IFERROR(IF(B604="","",VLOOKUP(B604,CadProd!$A:$C,3,0)),"")</f>
        <v/>
      </c>
      <c r="G604" s="1" t="str">
        <f t="shared" si="9"/>
        <v/>
      </c>
    </row>
    <row r="605" spans="3:7" x14ac:dyDescent="0.3">
      <c r="C605" t="str">
        <f>IFERROR(IF(B605="","",VLOOKUP(B605,CadProd!$A:$B,2,0)),"")</f>
        <v/>
      </c>
      <c r="D605" t="str">
        <f>IFERROR(IF(B605="","",VLOOKUP(B605,CadProd!$A:$C,3,0)),"")</f>
        <v/>
      </c>
      <c r="G605" s="1" t="str">
        <f t="shared" si="9"/>
        <v/>
      </c>
    </row>
    <row r="606" spans="3:7" x14ac:dyDescent="0.3">
      <c r="C606" t="str">
        <f>IFERROR(IF(B606="","",VLOOKUP(B606,CadProd!$A:$B,2,0)),"")</f>
        <v/>
      </c>
      <c r="D606" t="str">
        <f>IFERROR(IF(B606="","",VLOOKUP(B606,CadProd!$A:$C,3,0)),"")</f>
        <v/>
      </c>
      <c r="G606" s="1" t="str">
        <f t="shared" si="9"/>
        <v/>
      </c>
    </row>
    <row r="607" spans="3:7" x14ac:dyDescent="0.3">
      <c r="C607" t="str">
        <f>IFERROR(IF(B607="","",VLOOKUP(B607,CadProd!$A:$B,2,0)),"")</f>
        <v/>
      </c>
      <c r="D607" t="str">
        <f>IFERROR(IF(B607="","",VLOOKUP(B607,CadProd!$A:$C,3,0)),"")</f>
        <v/>
      </c>
      <c r="G607" s="1" t="str">
        <f t="shared" si="9"/>
        <v/>
      </c>
    </row>
    <row r="608" spans="3:7" x14ac:dyDescent="0.3">
      <c r="C608" t="str">
        <f>IFERROR(IF(B608="","",VLOOKUP(B608,CadProd!$A:$B,2,0)),"")</f>
        <v/>
      </c>
      <c r="D608" t="str">
        <f>IFERROR(IF(B608="","",VLOOKUP(B608,CadProd!$A:$C,3,0)),"")</f>
        <v/>
      </c>
      <c r="G608" s="1" t="str">
        <f t="shared" si="9"/>
        <v/>
      </c>
    </row>
    <row r="609" spans="3:7" x14ac:dyDescent="0.3">
      <c r="C609" t="str">
        <f>IFERROR(IF(B609="","",VLOOKUP(B609,CadProd!$A:$B,2,0)),"")</f>
        <v/>
      </c>
      <c r="D609" t="str">
        <f>IFERROR(IF(B609="","",VLOOKUP(B609,CadProd!$A:$C,3,0)),"")</f>
        <v/>
      </c>
      <c r="G609" s="1" t="str">
        <f t="shared" si="9"/>
        <v/>
      </c>
    </row>
    <row r="610" spans="3:7" x14ac:dyDescent="0.3">
      <c r="C610" t="str">
        <f>IFERROR(IF(B610="","",VLOOKUP(B610,CadProd!$A:$B,2,0)),"")</f>
        <v/>
      </c>
      <c r="D610" t="str">
        <f>IFERROR(IF(B610="","",VLOOKUP(B610,CadProd!$A:$C,3,0)),"")</f>
        <v/>
      </c>
      <c r="G610" s="1" t="str">
        <f t="shared" si="9"/>
        <v/>
      </c>
    </row>
    <row r="611" spans="3:7" x14ac:dyDescent="0.3">
      <c r="C611" t="str">
        <f>IFERROR(IF(B611="","",VLOOKUP(B611,CadProd!$A:$B,2,0)),"")</f>
        <v/>
      </c>
      <c r="D611" t="str">
        <f>IFERROR(IF(B611="","",VLOOKUP(B611,CadProd!$A:$C,3,0)),"")</f>
        <v/>
      </c>
      <c r="G611" s="1" t="str">
        <f t="shared" si="9"/>
        <v/>
      </c>
    </row>
    <row r="612" spans="3:7" x14ac:dyDescent="0.3">
      <c r="C612" t="str">
        <f>IFERROR(IF(B612="","",VLOOKUP(B612,CadProd!$A:$B,2,0)),"")</f>
        <v/>
      </c>
      <c r="D612" t="str">
        <f>IFERROR(IF(B612="","",VLOOKUP(B612,CadProd!$A:$C,3,0)),"")</f>
        <v/>
      </c>
      <c r="G612" s="1" t="str">
        <f t="shared" si="9"/>
        <v/>
      </c>
    </row>
    <row r="613" spans="3:7" x14ac:dyDescent="0.3">
      <c r="C613" t="str">
        <f>IFERROR(IF(B613="","",VLOOKUP(B613,CadProd!$A:$B,2,0)),"")</f>
        <v/>
      </c>
      <c r="D613" t="str">
        <f>IFERROR(IF(B613="","",VLOOKUP(B613,CadProd!$A:$C,3,0)),"")</f>
        <v/>
      </c>
      <c r="G613" s="1" t="str">
        <f t="shared" si="9"/>
        <v/>
      </c>
    </row>
    <row r="614" spans="3:7" x14ac:dyDescent="0.3">
      <c r="C614" t="str">
        <f>IFERROR(IF(B614="","",VLOOKUP(B614,CadProd!$A:$B,2,0)),"")</f>
        <v/>
      </c>
      <c r="D614" t="str">
        <f>IFERROR(IF(B614="","",VLOOKUP(B614,CadProd!$A:$C,3,0)),"")</f>
        <v/>
      </c>
      <c r="G614" s="1" t="str">
        <f t="shared" si="9"/>
        <v/>
      </c>
    </row>
    <row r="615" spans="3:7" x14ac:dyDescent="0.3">
      <c r="C615" t="str">
        <f>IFERROR(IF(B615="","",VLOOKUP(B615,CadProd!$A:$B,2,0)),"")</f>
        <v/>
      </c>
      <c r="D615" t="str">
        <f>IFERROR(IF(B615="","",VLOOKUP(B615,CadProd!$A:$C,3,0)),"")</f>
        <v/>
      </c>
      <c r="G615" s="1" t="str">
        <f t="shared" si="9"/>
        <v/>
      </c>
    </row>
    <row r="616" spans="3:7" x14ac:dyDescent="0.3">
      <c r="C616" t="str">
        <f>IFERROR(IF(B616="","",VLOOKUP(B616,CadProd!$A:$B,2,0)),"")</f>
        <v/>
      </c>
      <c r="D616" t="str">
        <f>IFERROR(IF(B616="","",VLOOKUP(B616,CadProd!$A:$C,3,0)),"")</f>
        <v/>
      </c>
      <c r="G616" s="1" t="str">
        <f t="shared" si="9"/>
        <v/>
      </c>
    </row>
    <row r="617" spans="3:7" x14ac:dyDescent="0.3">
      <c r="C617" t="str">
        <f>IFERROR(IF(B617="","",VLOOKUP(B617,CadProd!$A:$B,2,0)),"")</f>
        <v/>
      </c>
      <c r="D617" t="str">
        <f>IFERROR(IF(B617="","",VLOOKUP(B617,CadProd!$A:$C,3,0)),"")</f>
        <v/>
      </c>
      <c r="G617" s="1" t="str">
        <f t="shared" si="9"/>
        <v/>
      </c>
    </row>
    <row r="618" spans="3:7" x14ac:dyDescent="0.3">
      <c r="C618" t="str">
        <f>IFERROR(IF(B618="","",VLOOKUP(B618,CadProd!$A:$B,2,0)),"")</f>
        <v/>
      </c>
      <c r="D618" t="str">
        <f>IFERROR(IF(B618="","",VLOOKUP(B618,CadProd!$A:$C,3,0)),"")</f>
        <v/>
      </c>
      <c r="G618" s="1" t="str">
        <f t="shared" si="9"/>
        <v/>
      </c>
    </row>
    <row r="619" spans="3:7" x14ac:dyDescent="0.3">
      <c r="C619" t="str">
        <f>IFERROR(IF(B619="","",VLOOKUP(B619,CadProd!$A:$B,2,0)),"")</f>
        <v/>
      </c>
      <c r="D619" t="str">
        <f>IFERROR(IF(B619="","",VLOOKUP(B619,CadProd!$A:$C,3,0)),"")</f>
        <v/>
      </c>
      <c r="G619" s="1" t="str">
        <f t="shared" si="9"/>
        <v/>
      </c>
    </row>
    <row r="620" spans="3:7" x14ac:dyDescent="0.3">
      <c r="C620" t="str">
        <f>IFERROR(IF(B620="","",VLOOKUP(B620,CadProd!$A:$B,2,0)),"")</f>
        <v/>
      </c>
      <c r="D620" t="str">
        <f>IFERROR(IF(B620="","",VLOOKUP(B620,CadProd!$A:$C,3,0)),"")</f>
        <v/>
      </c>
      <c r="G620" s="1" t="str">
        <f t="shared" si="9"/>
        <v/>
      </c>
    </row>
    <row r="621" spans="3:7" x14ac:dyDescent="0.3">
      <c r="C621" t="str">
        <f>IFERROR(IF(B621="","",VLOOKUP(B621,CadProd!$A:$B,2,0)),"")</f>
        <v/>
      </c>
      <c r="D621" t="str">
        <f>IFERROR(IF(B621="","",VLOOKUP(B621,CadProd!$A:$C,3,0)),"")</f>
        <v/>
      </c>
      <c r="G621" s="1" t="str">
        <f t="shared" si="9"/>
        <v/>
      </c>
    </row>
    <row r="622" spans="3:7" x14ac:dyDescent="0.3">
      <c r="C622" t="str">
        <f>IFERROR(IF(B622="","",VLOOKUP(B622,CadProd!$A:$B,2,0)),"")</f>
        <v/>
      </c>
      <c r="D622" t="str">
        <f>IFERROR(IF(B622="","",VLOOKUP(B622,CadProd!$A:$C,3,0)),"")</f>
        <v/>
      </c>
      <c r="G622" s="1" t="str">
        <f t="shared" si="9"/>
        <v/>
      </c>
    </row>
    <row r="623" spans="3:7" x14ac:dyDescent="0.3">
      <c r="C623" t="str">
        <f>IFERROR(IF(B623="","",VLOOKUP(B623,CadProd!$A:$B,2,0)),"")</f>
        <v/>
      </c>
      <c r="D623" t="str">
        <f>IFERROR(IF(B623="","",VLOOKUP(B623,CadProd!$A:$C,3,0)),"")</f>
        <v/>
      </c>
      <c r="G623" s="1" t="str">
        <f t="shared" si="9"/>
        <v/>
      </c>
    </row>
    <row r="624" spans="3:7" x14ac:dyDescent="0.3">
      <c r="C624" t="str">
        <f>IFERROR(IF(B624="","",VLOOKUP(B624,CadProd!$A:$B,2,0)),"")</f>
        <v/>
      </c>
      <c r="D624" t="str">
        <f>IFERROR(IF(B624="","",VLOOKUP(B624,CadProd!$A:$C,3,0)),"")</f>
        <v/>
      </c>
      <c r="G624" s="1" t="str">
        <f t="shared" si="9"/>
        <v/>
      </c>
    </row>
    <row r="625" spans="3:7" x14ac:dyDescent="0.3">
      <c r="C625" t="str">
        <f>IFERROR(IF(B625="","",VLOOKUP(B625,CadProd!$A:$B,2,0)),"")</f>
        <v/>
      </c>
      <c r="D625" t="str">
        <f>IFERROR(IF(B625="","",VLOOKUP(B625,CadProd!$A:$C,3,0)),"")</f>
        <v/>
      </c>
      <c r="G625" s="1" t="str">
        <f t="shared" si="9"/>
        <v/>
      </c>
    </row>
    <row r="626" spans="3:7" x14ac:dyDescent="0.3">
      <c r="C626" t="str">
        <f>IFERROR(IF(B626="","",VLOOKUP(B626,CadProd!$A:$B,2,0)),"")</f>
        <v/>
      </c>
      <c r="D626" t="str">
        <f>IFERROR(IF(B626="","",VLOOKUP(B626,CadProd!$A:$C,3,0)),"")</f>
        <v/>
      </c>
      <c r="G626" s="1" t="str">
        <f t="shared" si="9"/>
        <v/>
      </c>
    </row>
    <row r="627" spans="3:7" x14ac:dyDescent="0.3">
      <c r="C627" t="str">
        <f>IFERROR(IF(B627="","",VLOOKUP(B627,CadProd!$A:$B,2,0)),"")</f>
        <v/>
      </c>
      <c r="D627" t="str">
        <f>IFERROR(IF(B627="","",VLOOKUP(B627,CadProd!$A:$C,3,0)),"")</f>
        <v/>
      </c>
      <c r="G627" s="1" t="str">
        <f t="shared" si="9"/>
        <v/>
      </c>
    </row>
    <row r="628" spans="3:7" x14ac:dyDescent="0.3">
      <c r="C628" t="str">
        <f>IFERROR(IF(B628="","",VLOOKUP(B628,CadProd!$A:$B,2,0)),"")</f>
        <v/>
      </c>
      <c r="D628" t="str">
        <f>IFERROR(IF(B628="","",VLOOKUP(B628,CadProd!$A:$C,3,0)),"")</f>
        <v/>
      </c>
      <c r="G628" s="1" t="str">
        <f t="shared" si="9"/>
        <v/>
      </c>
    </row>
    <row r="629" spans="3:7" x14ac:dyDescent="0.3">
      <c r="C629" t="str">
        <f>IFERROR(IF(B629="","",VLOOKUP(B629,CadProd!$A:$B,2,0)),"")</f>
        <v/>
      </c>
      <c r="D629" t="str">
        <f>IFERROR(IF(B629="","",VLOOKUP(B629,CadProd!$A:$C,3,0)),"")</f>
        <v/>
      </c>
      <c r="G629" s="1" t="str">
        <f t="shared" si="9"/>
        <v/>
      </c>
    </row>
    <row r="630" spans="3:7" x14ac:dyDescent="0.3">
      <c r="C630" t="str">
        <f>IFERROR(IF(B630="","",VLOOKUP(B630,CadProd!$A:$B,2,0)),"")</f>
        <v/>
      </c>
      <c r="D630" t="str">
        <f>IFERROR(IF(B630="","",VLOOKUP(B630,CadProd!$A:$C,3,0)),"")</f>
        <v/>
      </c>
      <c r="G630" s="1" t="str">
        <f t="shared" si="9"/>
        <v/>
      </c>
    </row>
    <row r="631" spans="3:7" x14ac:dyDescent="0.3">
      <c r="C631" t="str">
        <f>IFERROR(IF(B631="","",VLOOKUP(B631,CadProd!$A:$B,2,0)),"")</f>
        <v/>
      </c>
      <c r="D631" t="str">
        <f>IFERROR(IF(B631="","",VLOOKUP(B631,CadProd!$A:$C,3,0)),"")</f>
        <v/>
      </c>
      <c r="G631" s="1" t="str">
        <f t="shared" si="9"/>
        <v/>
      </c>
    </row>
    <row r="632" spans="3:7" x14ac:dyDescent="0.3">
      <c r="C632" t="str">
        <f>IFERROR(IF(B632="","",VLOOKUP(B632,CadProd!$A:$B,2,0)),"")</f>
        <v/>
      </c>
      <c r="D632" t="str">
        <f>IFERROR(IF(B632="","",VLOOKUP(B632,CadProd!$A:$C,3,0)),"")</f>
        <v/>
      </c>
      <c r="G632" s="1" t="str">
        <f t="shared" si="9"/>
        <v/>
      </c>
    </row>
    <row r="633" spans="3:7" x14ac:dyDescent="0.3">
      <c r="C633" t="str">
        <f>IFERROR(IF(B633="","",VLOOKUP(B633,CadProd!$A:$B,2,0)),"")</f>
        <v/>
      </c>
      <c r="D633" t="str">
        <f>IFERROR(IF(B633="","",VLOOKUP(B633,CadProd!$A:$C,3,0)),"")</f>
        <v/>
      </c>
      <c r="G633" s="1" t="str">
        <f t="shared" si="9"/>
        <v/>
      </c>
    </row>
    <row r="634" spans="3:7" x14ac:dyDescent="0.3">
      <c r="C634" t="str">
        <f>IFERROR(IF(B634="","",VLOOKUP(B634,CadProd!$A:$B,2,0)),"")</f>
        <v/>
      </c>
      <c r="D634" t="str">
        <f>IFERROR(IF(B634="","",VLOOKUP(B634,CadProd!$A:$C,3,0)),"")</f>
        <v/>
      </c>
      <c r="G634" s="1" t="str">
        <f t="shared" si="9"/>
        <v/>
      </c>
    </row>
    <row r="635" spans="3:7" x14ac:dyDescent="0.3">
      <c r="C635" t="str">
        <f>IFERROR(IF(B635="","",VLOOKUP(B635,CadProd!$A:$B,2,0)),"")</f>
        <v/>
      </c>
      <c r="D635" t="str">
        <f>IFERROR(IF(B635="","",VLOOKUP(B635,CadProd!$A:$C,3,0)),"")</f>
        <v/>
      </c>
      <c r="G635" s="1" t="str">
        <f t="shared" si="9"/>
        <v/>
      </c>
    </row>
    <row r="636" spans="3:7" x14ac:dyDescent="0.3">
      <c r="C636" t="str">
        <f>IFERROR(IF(B636="","",VLOOKUP(B636,CadProd!$A:$B,2,0)),"")</f>
        <v/>
      </c>
      <c r="D636" t="str">
        <f>IFERROR(IF(B636="","",VLOOKUP(B636,CadProd!$A:$C,3,0)),"")</f>
        <v/>
      </c>
      <c r="G636" s="1" t="str">
        <f t="shared" si="9"/>
        <v/>
      </c>
    </row>
    <row r="637" spans="3:7" x14ac:dyDescent="0.3">
      <c r="C637" t="str">
        <f>IFERROR(IF(B637="","",VLOOKUP(B637,CadProd!$A:$B,2,0)),"")</f>
        <v/>
      </c>
      <c r="D637" t="str">
        <f>IFERROR(IF(B637="","",VLOOKUP(B637,CadProd!$A:$C,3,0)),"")</f>
        <v/>
      </c>
      <c r="G637" s="1" t="str">
        <f t="shared" si="9"/>
        <v/>
      </c>
    </row>
    <row r="638" spans="3:7" x14ac:dyDescent="0.3">
      <c r="C638" t="str">
        <f>IFERROR(IF(B638="","",VLOOKUP(B638,CadProd!$A:$B,2,0)),"")</f>
        <v/>
      </c>
      <c r="D638" t="str">
        <f>IFERROR(IF(B638="","",VLOOKUP(B638,CadProd!$A:$C,3,0)),"")</f>
        <v/>
      </c>
      <c r="G638" s="1" t="str">
        <f t="shared" si="9"/>
        <v/>
      </c>
    </row>
    <row r="639" spans="3:7" x14ac:dyDescent="0.3">
      <c r="C639" t="str">
        <f>IFERROR(IF(B639="","",VLOOKUP(B639,CadProd!$A:$B,2,0)),"")</f>
        <v/>
      </c>
      <c r="D639" t="str">
        <f>IFERROR(IF(B639="","",VLOOKUP(B639,CadProd!$A:$C,3,0)),"")</f>
        <v/>
      </c>
      <c r="G639" s="1" t="str">
        <f t="shared" si="9"/>
        <v/>
      </c>
    </row>
    <row r="640" spans="3:7" x14ac:dyDescent="0.3">
      <c r="C640" t="str">
        <f>IFERROR(IF(B640="","",VLOOKUP(B640,CadProd!$A:$B,2,0)),"")</f>
        <v/>
      </c>
      <c r="D640" t="str">
        <f>IFERROR(IF(B640="","",VLOOKUP(B640,CadProd!$A:$C,3,0)),"")</f>
        <v/>
      </c>
      <c r="G640" s="1" t="str">
        <f t="shared" si="9"/>
        <v/>
      </c>
    </row>
    <row r="641" spans="3:7" x14ac:dyDescent="0.3">
      <c r="C641" t="str">
        <f>IFERROR(IF(B641="","",VLOOKUP(B641,CadProd!$A:$B,2,0)),"")</f>
        <v/>
      </c>
      <c r="D641" t="str">
        <f>IFERROR(IF(B641="","",VLOOKUP(B641,CadProd!$A:$C,3,0)),"")</f>
        <v/>
      </c>
      <c r="G641" s="1" t="str">
        <f t="shared" si="9"/>
        <v/>
      </c>
    </row>
    <row r="642" spans="3:7" x14ac:dyDescent="0.3">
      <c r="C642" t="str">
        <f>IFERROR(IF(B642="","",VLOOKUP(B642,CadProd!$A:$B,2,0)),"")</f>
        <v/>
      </c>
      <c r="D642" t="str">
        <f>IFERROR(IF(B642="","",VLOOKUP(B642,CadProd!$A:$C,3,0)),"")</f>
        <v/>
      </c>
      <c r="G642" s="1" t="str">
        <f t="shared" ref="G642:G705" si="10">IFERROR(IF(B642="","",F642*E642),"")</f>
        <v/>
      </c>
    </row>
    <row r="643" spans="3:7" x14ac:dyDescent="0.3">
      <c r="C643" t="str">
        <f>IFERROR(IF(B643="","",VLOOKUP(B643,CadProd!$A:$B,2,0)),"")</f>
        <v/>
      </c>
      <c r="D643" t="str">
        <f>IFERROR(IF(B643="","",VLOOKUP(B643,CadProd!$A:$C,3,0)),"")</f>
        <v/>
      </c>
      <c r="G643" s="1" t="str">
        <f t="shared" si="10"/>
        <v/>
      </c>
    </row>
    <row r="644" spans="3:7" x14ac:dyDescent="0.3">
      <c r="C644" t="str">
        <f>IFERROR(IF(B644="","",VLOOKUP(B644,CadProd!$A:$B,2,0)),"")</f>
        <v/>
      </c>
      <c r="D644" t="str">
        <f>IFERROR(IF(B644="","",VLOOKUP(B644,CadProd!$A:$C,3,0)),"")</f>
        <v/>
      </c>
      <c r="G644" s="1" t="str">
        <f t="shared" si="10"/>
        <v/>
      </c>
    </row>
    <row r="645" spans="3:7" x14ac:dyDescent="0.3">
      <c r="C645" t="str">
        <f>IFERROR(IF(B645="","",VLOOKUP(B645,CadProd!$A:$B,2,0)),"")</f>
        <v/>
      </c>
      <c r="D645" t="str">
        <f>IFERROR(IF(B645="","",VLOOKUP(B645,CadProd!$A:$C,3,0)),"")</f>
        <v/>
      </c>
      <c r="G645" s="1" t="str">
        <f t="shared" si="10"/>
        <v/>
      </c>
    </row>
    <row r="646" spans="3:7" x14ac:dyDescent="0.3">
      <c r="C646" t="str">
        <f>IFERROR(IF(B646="","",VLOOKUP(B646,CadProd!$A:$B,2,0)),"")</f>
        <v/>
      </c>
      <c r="D646" t="str">
        <f>IFERROR(IF(B646="","",VLOOKUP(B646,CadProd!$A:$C,3,0)),"")</f>
        <v/>
      </c>
      <c r="G646" s="1" t="str">
        <f t="shared" si="10"/>
        <v/>
      </c>
    </row>
    <row r="647" spans="3:7" x14ac:dyDescent="0.3">
      <c r="C647" t="str">
        <f>IFERROR(IF(B647="","",VLOOKUP(B647,CadProd!$A:$B,2,0)),"")</f>
        <v/>
      </c>
      <c r="D647" t="str">
        <f>IFERROR(IF(B647="","",VLOOKUP(B647,CadProd!$A:$C,3,0)),"")</f>
        <v/>
      </c>
      <c r="G647" s="1" t="str">
        <f t="shared" si="10"/>
        <v/>
      </c>
    </row>
    <row r="648" spans="3:7" x14ac:dyDescent="0.3">
      <c r="C648" t="str">
        <f>IFERROR(IF(B648="","",VLOOKUP(B648,CadProd!$A:$B,2,0)),"")</f>
        <v/>
      </c>
      <c r="D648" t="str">
        <f>IFERROR(IF(B648="","",VLOOKUP(B648,CadProd!$A:$C,3,0)),"")</f>
        <v/>
      </c>
      <c r="G648" s="1" t="str">
        <f t="shared" si="10"/>
        <v/>
      </c>
    </row>
    <row r="649" spans="3:7" x14ac:dyDescent="0.3">
      <c r="C649" t="str">
        <f>IFERROR(IF(B649="","",VLOOKUP(B649,CadProd!$A:$B,2,0)),"")</f>
        <v/>
      </c>
      <c r="D649" t="str">
        <f>IFERROR(IF(B649="","",VLOOKUP(B649,CadProd!$A:$C,3,0)),"")</f>
        <v/>
      </c>
      <c r="G649" s="1" t="str">
        <f t="shared" si="10"/>
        <v/>
      </c>
    </row>
    <row r="650" spans="3:7" x14ac:dyDescent="0.3">
      <c r="C650" t="str">
        <f>IFERROR(IF(B650="","",VLOOKUP(B650,CadProd!$A:$B,2,0)),"")</f>
        <v/>
      </c>
      <c r="D650" t="str">
        <f>IFERROR(IF(B650="","",VLOOKUP(B650,CadProd!$A:$C,3,0)),"")</f>
        <v/>
      </c>
      <c r="G650" s="1" t="str">
        <f t="shared" si="10"/>
        <v/>
      </c>
    </row>
    <row r="651" spans="3:7" x14ac:dyDescent="0.3">
      <c r="C651" t="str">
        <f>IFERROR(IF(B651="","",VLOOKUP(B651,CadProd!$A:$B,2,0)),"")</f>
        <v/>
      </c>
      <c r="D651" t="str">
        <f>IFERROR(IF(B651="","",VLOOKUP(B651,CadProd!$A:$C,3,0)),"")</f>
        <v/>
      </c>
      <c r="G651" s="1" t="str">
        <f t="shared" si="10"/>
        <v/>
      </c>
    </row>
    <row r="652" spans="3:7" x14ac:dyDescent="0.3">
      <c r="C652" t="str">
        <f>IFERROR(IF(B652="","",VLOOKUP(B652,CadProd!$A:$B,2,0)),"")</f>
        <v/>
      </c>
      <c r="D652" t="str">
        <f>IFERROR(IF(B652="","",VLOOKUP(B652,CadProd!$A:$C,3,0)),"")</f>
        <v/>
      </c>
      <c r="G652" s="1" t="str">
        <f t="shared" si="10"/>
        <v/>
      </c>
    </row>
    <row r="653" spans="3:7" x14ac:dyDescent="0.3">
      <c r="C653" t="str">
        <f>IFERROR(IF(B653="","",VLOOKUP(B653,CadProd!$A:$B,2,0)),"")</f>
        <v/>
      </c>
      <c r="D653" t="str">
        <f>IFERROR(IF(B653="","",VLOOKUP(B653,CadProd!$A:$C,3,0)),"")</f>
        <v/>
      </c>
      <c r="G653" s="1" t="str">
        <f t="shared" si="10"/>
        <v/>
      </c>
    </row>
    <row r="654" spans="3:7" x14ac:dyDescent="0.3">
      <c r="C654" t="str">
        <f>IFERROR(IF(B654="","",VLOOKUP(B654,CadProd!$A:$B,2,0)),"")</f>
        <v/>
      </c>
      <c r="D654" t="str">
        <f>IFERROR(IF(B654="","",VLOOKUP(B654,CadProd!$A:$C,3,0)),"")</f>
        <v/>
      </c>
      <c r="G654" s="1" t="str">
        <f t="shared" si="10"/>
        <v/>
      </c>
    </row>
    <row r="655" spans="3:7" x14ac:dyDescent="0.3">
      <c r="C655" t="str">
        <f>IFERROR(IF(B655="","",VLOOKUP(B655,CadProd!$A:$B,2,0)),"")</f>
        <v/>
      </c>
      <c r="D655" t="str">
        <f>IFERROR(IF(B655="","",VLOOKUP(B655,CadProd!$A:$C,3,0)),"")</f>
        <v/>
      </c>
      <c r="G655" s="1" t="str">
        <f t="shared" si="10"/>
        <v/>
      </c>
    </row>
    <row r="656" spans="3:7" x14ac:dyDescent="0.3">
      <c r="C656" t="str">
        <f>IFERROR(IF(B656="","",VLOOKUP(B656,CadProd!$A:$B,2,0)),"")</f>
        <v/>
      </c>
      <c r="D656" t="str">
        <f>IFERROR(IF(B656="","",VLOOKUP(B656,CadProd!$A:$C,3,0)),"")</f>
        <v/>
      </c>
      <c r="G656" s="1" t="str">
        <f t="shared" si="10"/>
        <v/>
      </c>
    </row>
    <row r="657" spans="3:7" x14ac:dyDescent="0.3">
      <c r="C657" t="str">
        <f>IFERROR(IF(B657="","",VLOOKUP(B657,CadProd!$A:$B,2,0)),"")</f>
        <v/>
      </c>
      <c r="D657" t="str">
        <f>IFERROR(IF(B657="","",VLOOKUP(B657,CadProd!$A:$C,3,0)),"")</f>
        <v/>
      </c>
      <c r="G657" s="1" t="str">
        <f t="shared" si="10"/>
        <v/>
      </c>
    </row>
    <row r="658" spans="3:7" x14ac:dyDescent="0.3">
      <c r="C658" t="str">
        <f>IFERROR(IF(B658="","",VLOOKUP(B658,CadProd!$A:$B,2,0)),"")</f>
        <v/>
      </c>
      <c r="D658" t="str">
        <f>IFERROR(IF(B658="","",VLOOKUP(B658,CadProd!$A:$C,3,0)),"")</f>
        <v/>
      </c>
      <c r="G658" s="1" t="str">
        <f t="shared" si="10"/>
        <v/>
      </c>
    </row>
    <row r="659" spans="3:7" x14ac:dyDescent="0.3">
      <c r="C659" t="str">
        <f>IFERROR(IF(B659="","",VLOOKUP(B659,CadProd!$A:$B,2,0)),"")</f>
        <v/>
      </c>
      <c r="D659" t="str">
        <f>IFERROR(IF(B659="","",VLOOKUP(B659,CadProd!$A:$C,3,0)),"")</f>
        <v/>
      </c>
      <c r="G659" s="1" t="str">
        <f t="shared" si="10"/>
        <v/>
      </c>
    </row>
    <row r="660" spans="3:7" x14ac:dyDescent="0.3">
      <c r="C660" t="str">
        <f>IFERROR(IF(B660="","",VLOOKUP(B660,CadProd!$A:$B,2,0)),"")</f>
        <v/>
      </c>
      <c r="D660" t="str">
        <f>IFERROR(IF(B660="","",VLOOKUP(B660,CadProd!$A:$C,3,0)),"")</f>
        <v/>
      </c>
      <c r="G660" s="1" t="str">
        <f t="shared" si="10"/>
        <v/>
      </c>
    </row>
    <row r="661" spans="3:7" x14ac:dyDescent="0.3">
      <c r="C661" t="str">
        <f>IFERROR(IF(B661="","",VLOOKUP(B661,CadProd!$A:$B,2,0)),"")</f>
        <v/>
      </c>
      <c r="D661" t="str">
        <f>IFERROR(IF(B661="","",VLOOKUP(B661,CadProd!$A:$C,3,0)),"")</f>
        <v/>
      </c>
      <c r="G661" s="1" t="str">
        <f t="shared" si="10"/>
        <v/>
      </c>
    </row>
    <row r="662" spans="3:7" x14ac:dyDescent="0.3">
      <c r="C662" t="str">
        <f>IFERROR(IF(B662="","",VLOOKUP(B662,CadProd!$A:$B,2,0)),"")</f>
        <v/>
      </c>
      <c r="D662" t="str">
        <f>IFERROR(IF(B662="","",VLOOKUP(B662,CadProd!$A:$C,3,0)),"")</f>
        <v/>
      </c>
      <c r="G662" s="1" t="str">
        <f t="shared" si="10"/>
        <v/>
      </c>
    </row>
    <row r="663" spans="3:7" x14ac:dyDescent="0.3">
      <c r="C663" t="str">
        <f>IFERROR(IF(B663="","",VLOOKUP(B663,CadProd!$A:$B,2,0)),"")</f>
        <v/>
      </c>
      <c r="D663" t="str">
        <f>IFERROR(IF(B663="","",VLOOKUP(B663,CadProd!$A:$C,3,0)),"")</f>
        <v/>
      </c>
      <c r="G663" s="1" t="str">
        <f t="shared" si="10"/>
        <v/>
      </c>
    </row>
    <row r="664" spans="3:7" x14ac:dyDescent="0.3">
      <c r="C664" t="str">
        <f>IFERROR(IF(B664="","",VLOOKUP(B664,CadProd!$A:$B,2,0)),"")</f>
        <v/>
      </c>
      <c r="D664" t="str">
        <f>IFERROR(IF(B664="","",VLOOKUP(B664,CadProd!$A:$C,3,0)),"")</f>
        <v/>
      </c>
      <c r="G664" s="1" t="str">
        <f t="shared" si="10"/>
        <v/>
      </c>
    </row>
    <row r="665" spans="3:7" x14ac:dyDescent="0.3">
      <c r="C665" t="str">
        <f>IFERROR(IF(B665="","",VLOOKUP(B665,CadProd!$A:$B,2,0)),"")</f>
        <v/>
      </c>
      <c r="D665" t="str">
        <f>IFERROR(IF(B665="","",VLOOKUP(B665,CadProd!$A:$C,3,0)),"")</f>
        <v/>
      </c>
      <c r="G665" s="1" t="str">
        <f t="shared" si="10"/>
        <v/>
      </c>
    </row>
    <row r="666" spans="3:7" x14ac:dyDescent="0.3">
      <c r="C666" t="str">
        <f>IFERROR(IF(B666="","",VLOOKUP(B666,CadProd!$A:$B,2,0)),"")</f>
        <v/>
      </c>
      <c r="D666" t="str">
        <f>IFERROR(IF(B666="","",VLOOKUP(B666,CadProd!$A:$C,3,0)),"")</f>
        <v/>
      </c>
      <c r="G666" s="1" t="str">
        <f t="shared" si="10"/>
        <v/>
      </c>
    </row>
    <row r="667" spans="3:7" x14ac:dyDescent="0.3">
      <c r="C667" t="str">
        <f>IFERROR(IF(B667="","",VLOOKUP(B667,CadProd!$A:$B,2,0)),"")</f>
        <v/>
      </c>
      <c r="D667" t="str">
        <f>IFERROR(IF(B667="","",VLOOKUP(B667,CadProd!$A:$C,3,0)),"")</f>
        <v/>
      </c>
      <c r="G667" s="1" t="str">
        <f t="shared" si="10"/>
        <v/>
      </c>
    </row>
    <row r="668" spans="3:7" x14ac:dyDescent="0.3">
      <c r="C668" t="str">
        <f>IFERROR(IF(B668="","",VLOOKUP(B668,CadProd!$A:$B,2,0)),"")</f>
        <v/>
      </c>
      <c r="D668" t="str">
        <f>IFERROR(IF(B668="","",VLOOKUP(B668,CadProd!$A:$C,3,0)),"")</f>
        <v/>
      </c>
      <c r="G668" s="1" t="str">
        <f t="shared" si="10"/>
        <v/>
      </c>
    </row>
    <row r="669" spans="3:7" x14ac:dyDescent="0.3">
      <c r="C669" t="str">
        <f>IFERROR(IF(B669="","",VLOOKUP(B669,CadProd!$A:$B,2,0)),"")</f>
        <v/>
      </c>
      <c r="D669" t="str">
        <f>IFERROR(IF(B669="","",VLOOKUP(B669,CadProd!$A:$C,3,0)),"")</f>
        <v/>
      </c>
      <c r="G669" s="1" t="str">
        <f t="shared" si="10"/>
        <v/>
      </c>
    </row>
    <row r="670" spans="3:7" x14ac:dyDescent="0.3">
      <c r="C670" t="str">
        <f>IFERROR(IF(B670="","",VLOOKUP(B670,CadProd!$A:$B,2,0)),"")</f>
        <v/>
      </c>
      <c r="D670" t="str">
        <f>IFERROR(IF(B670="","",VLOOKUP(B670,CadProd!$A:$C,3,0)),"")</f>
        <v/>
      </c>
      <c r="G670" s="1" t="str">
        <f t="shared" si="10"/>
        <v/>
      </c>
    </row>
    <row r="671" spans="3:7" x14ac:dyDescent="0.3">
      <c r="C671" t="str">
        <f>IFERROR(IF(B671="","",VLOOKUP(B671,CadProd!$A:$B,2,0)),"")</f>
        <v/>
      </c>
      <c r="D671" t="str">
        <f>IFERROR(IF(B671="","",VLOOKUP(B671,CadProd!$A:$C,3,0)),"")</f>
        <v/>
      </c>
      <c r="G671" s="1" t="str">
        <f t="shared" si="10"/>
        <v/>
      </c>
    </row>
    <row r="672" spans="3:7" x14ac:dyDescent="0.3">
      <c r="C672" t="str">
        <f>IFERROR(IF(B672="","",VLOOKUP(B672,CadProd!$A:$B,2,0)),"")</f>
        <v/>
      </c>
      <c r="D672" t="str">
        <f>IFERROR(IF(B672="","",VLOOKUP(B672,CadProd!$A:$C,3,0)),"")</f>
        <v/>
      </c>
      <c r="G672" s="1" t="str">
        <f t="shared" si="10"/>
        <v/>
      </c>
    </row>
    <row r="673" spans="3:7" x14ac:dyDescent="0.3">
      <c r="C673" t="str">
        <f>IFERROR(IF(B673="","",VLOOKUP(B673,CadProd!$A:$B,2,0)),"")</f>
        <v/>
      </c>
      <c r="D673" t="str">
        <f>IFERROR(IF(B673="","",VLOOKUP(B673,CadProd!$A:$C,3,0)),"")</f>
        <v/>
      </c>
      <c r="G673" s="1" t="str">
        <f t="shared" si="10"/>
        <v/>
      </c>
    </row>
    <row r="674" spans="3:7" x14ac:dyDescent="0.3">
      <c r="C674" t="str">
        <f>IFERROR(IF(B674="","",VLOOKUP(B674,CadProd!$A:$B,2,0)),"")</f>
        <v/>
      </c>
      <c r="D674" t="str">
        <f>IFERROR(IF(B674="","",VLOOKUP(B674,CadProd!$A:$C,3,0)),"")</f>
        <v/>
      </c>
      <c r="G674" s="1" t="str">
        <f t="shared" si="10"/>
        <v/>
      </c>
    </row>
    <row r="675" spans="3:7" x14ac:dyDescent="0.3">
      <c r="C675" t="str">
        <f>IFERROR(IF(B675="","",VLOOKUP(B675,CadProd!$A:$B,2,0)),"")</f>
        <v/>
      </c>
      <c r="D675" t="str">
        <f>IFERROR(IF(B675="","",VLOOKUP(B675,CadProd!$A:$C,3,0)),"")</f>
        <v/>
      </c>
      <c r="G675" s="1" t="str">
        <f t="shared" si="10"/>
        <v/>
      </c>
    </row>
    <row r="676" spans="3:7" x14ac:dyDescent="0.3">
      <c r="C676" t="str">
        <f>IFERROR(IF(B676="","",VLOOKUP(B676,CadProd!$A:$B,2,0)),"")</f>
        <v/>
      </c>
      <c r="D676" t="str">
        <f>IFERROR(IF(B676="","",VLOOKUP(B676,CadProd!$A:$C,3,0)),"")</f>
        <v/>
      </c>
      <c r="G676" s="1" t="str">
        <f t="shared" si="10"/>
        <v/>
      </c>
    </row>
    <row r="677" spans="3:7" x14ac:dyDescent="0.3">
      <c r="C677" t="str">
        <f>IFERROR(IF(B677="","",VLOOKUP(B677,CadProd!$A:$B,2,0)),"")</f>
        <v/>
      </c>
      <c r="D677" t="str">
        <f>IFERROR(IF(B677="","",VLOOKUP(B677,CadProd!$A:$C,3,0)),"")</f>
        <v/>
      </c>
      <c r="G677" s="1" t="str">
        <f t="shared" si="10"/>
        <v/>
      </c>
    </row>
    <row r="678" spans="3:7" x14ac:dyDescent="0.3">
      <c r="C678" t="str">
        <f>IFERROR(IF(B678="","",VLOOKUP(B678,CadProd!$A:$B,2,0)),"")</f>
        <v/>
      </c>
      <c r="D678" t="str">
        <f>IFERROR(IF(B678="","",VLOOKUP(B678,CadProd!$A:$C,3,0)),"")</f>
        <v/>
      </c>
      <c r="G678" s="1" t="str">
        <f t="shared" si="10"/>
        <v/>
      </c>
    </row>
    <row r="679" spans="3:7" x14ac:dyDescent="0.3">
      <c r="C679" t="str">
        <f>IFERROR(IF(B679="","",VLOOKUP(B679,CadProd!$A:$B,2,0)),"")</f>
        <v/>
      </c>
      <c r="D679" t="str">
        <f>IFERROR(IF(B679="","",VLOOKUP(B679,CadProd!$A:$C,3,0)),"")</f>
        <v/>
      </c>
      <c r="G679" s="1" t="str">
        <f t="shared" si="10"/>
        <v/>
      </c>
    </row>
    <row r="680" spans="3:7" x14ac:dyDescent="0.3">
      <c r="C680" t="str">
        <f>IFERROR(IF(B680="","",VLOOKUP(B680,CadProd!$A:$B,2,0)),"")</f>
        <v/>
      </c>
      <c r="D680" t="str">
        <f>IFERROR(IF(B680="","",VLOOKUP(B680,CadProd!$A:$C,3,0)),"")</f>
        <v/>
      </c>
      <c r="G680" s="1" t="str">
        <f t="shared" si="10"/>
        <v/>
      </c>
    </row>
    <row r="681" spans="3:7" x14ac:dyDescent="0.3">
      <c r="C681" t="str">
        <f>IFERROR(IF(B681="","",VLOOKUP(B681,CadProd!$A:$B,2,0)),"")</f>
        <v/>
      </c>
      <c r="D681" t="str">
        <f>IFERROR(IF(B681="","",VLOOKUP(B681,CadProd!$A:$C,3,0)),"")</f>
        <v/>
      </c>
      <c r="G681" s="1" t="str">
        <f t="shared" si="10"/>
        <v/>
      </c>
    </row>
    <row r="682" spans="3:7" x14ac:dyDescent="0.3">
      <c r="C682" t="str">
        <f>IFERROR(IF(B682="","",VLOOKUP(B682,CadProd!$A:$B,2,0)),"")</f>
        <v/>
      </c>
      <c r="D682" t="str">
        <f>IFERROR(IF(B682="","",VLOOKUP(B682,CadProd!$A:$C,3,0)),"")</f>
        <v/>
      </c>
      <c r="G682" s="1" t="str">
        <f t="shared" si="10"/>
        <v/>
      </c>
    </row>
    <row r="683" spans="3:7" x14ac:dyDescent="0.3">
      <c r="C683" t="str">
        <f>IFERROR(IF(B683="","",VLOOKUP(B683,CadProd!$A:$B,2,0)),"")</f>
        <v/>
      </c>
      <c r="D683" t="str">
        <f>IFERROR(IF(B683="","",VLOOKUP(B683,CadProd!$A:$C,3,0)),"")</f>
        <v/>
      </c>
      <c r="G683" s="1" t="str">
        <f t="shared" si="10"/>
        <v/>
      </c>
    </row>
    <row r="684" spans="3:7" x14ac:dyDescent="0.3">
      <c r="C684" t="str">
        <f>IFERROR(IF(B684="","",VLOOKUP(B684,CadProd!$A:$B,2,0)),"")</f>
        <v/>
      </c>
      <c r="D684" t="str">
        <f>IFERROR(IF(B684="","",VLOOKUP(B684,CadProd!$A:$C,3,0)),"")</f>
        <v/>
      </c>
      <c r="G684" s="1" t="str">
        <f t="shared" si="10"/>
        <v/>
      </c>
    </row>
    <row r="685" spans="3:7" x14ac:dyDescent="0.3">
      <c r="C685" t="str">
        <f>IFERROR(IF(B685="","",VLOOKUP(B685,CadProd!$A:$B,2,0)),"")</f>
        <v/>
      </c>
      <c r="D685" t="str">
        <f>IFERROR(IF(B685="","",VLOOKUP(B685,CadProd!$A:$C,3,0)),"")</f>
        <v/>
      </c>
      <c r="G685" s="1" t="str">
        <f t="shared" si="10"/>
        <v/>
      </c>
    </row>
    <row r="686" spans="3:7" x14ac:dyDescent="0.3">
      <c r="C686" t="str">
        <f>IFERROR(IF(B686="","",VLOOKUP(B686,CadProd!$A:$B,2,0)),"")</f>
        <v/>
      </c>
      <c r="D686" t="str">
        <f>IFERROR(IF(B686="","",VLOOKUP(B686,CadProd!$A:$C,3,0)),"")</f>
        <v/>
      </c>
      <c r="G686" s="1" t="str">
        <f t="shared" si="10"/>
        <v/>
      </c>
    </row>
    <row r="687" spans="3:7" x14ac:dyDescent="0.3">
      <c r="C687" t="str">
        <f>IFERROR(IF(B687="","",VLOOKUP(B687,CadProd!$A:$B,2,0)),"")</f>
        <v/>
      </c>
      <c r="D687" t="str">
        <f>IFERROR(IF(B687="","",VLOOKUP(B687,CadProd!$A:$C,3,0)),"")</f>
        <v/>
      </c>
      <c r="G687" s="1" t="str">
        <f t="shared" si="10"/>
        <v/>
      </c>
    </row>
    <row r="688" spans="3:7" x14ac:dyDescent="0.3">
      <c r="C688" t="str">
        <f>IFERROR(IF(B688="","",VLOOKUP(B688,CadProd!$A:$B,2,0)),"")</f>
        <v/>
      </c>
      <c r="D688" t="str">
        <f>IFERROR(IF(B688="","",VLOOKUP(B688,CadProd!$A:$C,3,0)),"")</f>
        <v/>
      </c>
      <c r="G688" s="1" t="str">
        <f t="shared" si="10"/>
        <v/>
      </c>
    </row>
    <row r="689" spans="3:7" x14ac:dyDescent="0.3">
      <c r="C689" t="str">
        <f>IFERROR(IF(B689="","",VLOOKUP(B689,CadProd!$A:$B,2,0)),"")</f>
        <v/>
      </c>
      <c r="D689" t="str">
        <f>IFERROR(IF(B689="","",VLOOKUP(B689,CadProd!$A:$C,3,0)),"")</f>
        <v/>
      </c>
      <c r="G689" s="1" t="str">
        <f t="shared" si="10"/>
        <v/>
      </c>
    </row>
    <row r="690" spans="3:7" x14ac:dyDescent="0.3">
      <c r="C690" t="str">
        <f>IFERROR(IF(B690="","",VLOOKUP(B690,CadProd!$A:$B,2,0)),"")</f>
        <v/>
      </c>
      <c r="D690" t="str">
        <f>IFERROR(IF(B690="","",VLOOKUP(B690,CadProd!$A:$C,3,0)),"")</f>
        <v/>
      </c>
      <c r="G690" s="1" t="str">
        <f t="shared" si="10"/>
        <v/>
      </c>
    </row>
    <row r="691" spans="3:7" x14ac:dyDescent="0.3">
      <c r="C691" t="str">
        <f>IFERROR(IF(B691="","",VLOOKUP(B691,CadProd!$A:$B,2,0)),"")</f>
        <v/>
      </c>
      <c r="D691" t="str">
        <f>IFERROR(IF(B691="","",VLOOKUP(B691,CadProd!$A:$C,3,0)),"")</f>
        <v/>
      </c>
      <c r="G691" s="1" t="str">
        <f t="shared" si="10"/>
        <v/>
      </c>
    </row>
    <row r="692" spans="3:7" x14ac:dyDescent="0.3">
      <c r="C692" t="str">
        <f>IFERROR(IF(B692="","",VLOOKUP(B692,CadProd!$A:$B,2,0)),"")</f>
        <v/>
      </c>
      <c r="D692" t="str">
        <f>IFERROR(IF(B692="","",VLOOKUP(B692,CadProd!$A:$C,3,0)),"")</f>
        <v/>
      </c>
      <c r="G692" s="1" t="str">
        <f t="shared" si="10"/>
        <v/>
      </c>
    </row>
    <row r="693" spans="3:7" x14ac:dyDescent="0.3">
      <c r="C693" t="str">
        <f>IFERROR(IF(B693="","",VLOOKUP(B693,CadProd!$A:$B,2,0)),"")</f>
        <v/>
      </c>
      <c r="D693" t="str">
        <f>IFERROR(IF(B693="","",VLOOKUP(B693,CadProd!$A:$C,3,0)),"")</f>
        <v/>
      </c>
      <c r="G693" s="1" t="str">
        <f t="shared" si="10"/>
        <v/>
      </c>
    </row>
    <row r="694" spans="3:7" x14ac:dyDescent="0.3">
      <c r="C694" t="str">
        <f>IFERROR(IF(B694="","",VLOOKUP(B694,CadProd!$A:$B,2,0)),"")</f>
        <v/>
      </c>
      <c r="D694" t="str">
        <f>IFERROR(IF(B694="","",VLOOKUP(B694,CadProd!$A:$C,3,0)),"")</f>
        <v/>
      </c>
      <c r="G694" s="1" t="str">
        <f t="shared" si="10"/>
        <v/>
      </c>
    </row>
    <row r="695" spans="3:7" x14ac:dyDescent="0.3">
      <c r="C695" t="str">
        <f>IFERROR(IF(B695="","",VLOOKUP(B695,CadProd!$A:$B,2,0)),"")</f>
        <v/>
      </c>
      <c r="D695" t="str">
        <f>IFERROR(IF(B695="","",VLOOKUP(B695,CadProd!$A:$C,3,0)),"")</f>
        <v/>
      </c>
      <c r="G695" s="1" t="str">
        <f t="shared" si="10"/>
        <v/>
      </c>
    </row>
    <row r="696" spans="3:7" x14ac:dyDescent="0.3">
      <c r="C696" t="str">
        <f>IFERROR(IF(B696="","",VLOOKUP(B696,CadProd!$A:$B,2,0)),"")</f>
        <v/>
      </c>
      <c r="D696" t="str">
        <f>IFERROR(IF(B696="","",VLOOKUP(B696,CadProd!$A:$C,3,0)),"")</f>
        <v/>
      </c>
      <c r="G696" s="1" t="str">
        <f t="shared" si="10"/>
        <v/>
      </c>
    </row>
    <row r="697" spans="3:7" x14ac:dyDescent="0.3">
      <c r="C697" t="str">
        <f>IFERROR(IF(B697="","",VLOOKUP(B697,CadProd!$A:$B,2,0)),"")</f>
        <v/>
      </c>
      <c r="D697" t="str">
        <f>IFERROR(IF(B697="","",VLOOKUP(B697,CadProd!$A:$C,3,0)),"")</f>
        <v/>
      </c>
      <c r="G697" s="1" t="str">
        <f t="shared" si="10"/>
        <v/>
      </c>
    </row>
    <row r="698" spans="3:7" x14ac:dyDescent="0.3">
      <c r="C698" t="str">
        <f>IFERROR(IF(B698="","",VLOOKUP(B698,CadProd!$A:$B,2,0)),"")</f>
        <v/>
      </c>
      <c r="D698" t="str">
        <f>IFERROR(IF(B698="","",VLOOKUP(B698,CadProd!$A:$C,3,0)),"")</f>
        <v/>
      </c>
      <c r="G698" s="1" t="str">
        <f t="shared" si="10"/>
        <v/>
      </c>
    </row>
    <row r="699" spans="3:7" x14ac:dyDescent="0.3">
      <c r="C699" t="str">
        <f>IFERROR(IF(B699="","",VLOOKUP(B699,CadProd!$A:$B,2,0)),"")</f>
        <v/>
      </c>
      <c r="D699" t="str">
        <f>IFERROR(IF(B699="","",VLOOKUP(B699,CadProd!$A:$C,3,0)),"")</f>
        <v/>
      </c>
      <c r="G699" s="1" t="str">
        <f t="shared" si="10"/>
        <v/>
      </c>
    </row>
    <row r="700" spans="3:7" x14ac:dyDescent="0.3">
      <c r="C700" t="str">
        <f>IFERROR(IF(B700="","",VLOOKUP(B700,CadProd!$A:$B,2,0)),"")</f>
        <v/>
      </c>
      <c r="D700" t="str">
        <f>IFERROR(IF(B700="","",VLOOKUP(B700,CadProd!$A:$C,3,0)),"")</f>
        <v/>
      </c>
      <c r="G700" s="1" t="str">
        <f t="shared" si="10"/>
        <v/>
      </c>
    </row>
    <row r="701" spans="3:7" x14ac:dyDescent="0.3">
      <c r="C701" t="str">
        <f>IFERROR(IF(B701="","",VLOOKUP(B701,CadProd!$A:$B,2,0)),"")</f>
        <v/>
      </c>
      <c r="D701" t="str">
        <f>IFERROR(IF(B701="","",VLOOKUP(B701,CadProd!$A:$C,3,0)),"")</f>
        <v/>
      </c>
      <c r="G701" s="1" t="str">
        <f t="shared" si="10"/>
        <v/>
      </c>
    </row>
    <row r="702" spans="3:7" x14ac:dyDescent="0.3">
      <c r="C702" t="str">
        <f>IFERROR(IF(B702="","",VLOOKUP(B702,CadProd!$A:$B,2,0)),"")</f>
        <v/>
      </c>
      <c r="D702" t="str">
        <f>IFERROR(IF(B702="","",VLOOKUP(B702,CadProd!$A:$C,3,0)),"")</f>
        <v/>
      </c>
      <c r="G702" s="1" t="str">
        <f t="shared" si="10"/>
        <v/>
      </c>
    </row>
    <row r="703" spans="3:7" x14ac:dyDescent="0.3">
      <c r="C703" t="str">
        <f>IFERROR(IF(B703="","",VLOOKUP(B703,CadProd!$A:$B,2,0)),"")</f>
        <v/>
      </c>
      <c r="D703" t="str">
        <f>IFERROR(IF(B703="","",VLOOKUP(B703,CadProd!$A:$C,3,0)),"")</f>
        <v/>
      </c>
      <c r="G703" s="1" t="str">
        <f t="shared" si="10"/>
        <v/>
      </c>
    </row>
    <row r="704" spans="3:7" x14ac:dyDescent="0.3">
      <c r="C704" t="str">
        <f>IFERROR(IF(B704="","",VLOOKUP(B704,CadProd!$A:$B,2,0)),"")</f>
        <v/>
      </c>
      <c r="D704" t="str">
        <f>IFERROR(IF(B704="","",VLOOKUP(B704,CadProd!$A:$C,3,0)),"")</f>
        <v/>
      </c>
      <c r="G704" s="1" t="str">
        <f t="shared" si="10"/>
        <v/>
      </c>
    </row>
    <row r="705" spans="3:7" x14ac:dyDescent="0.3">
      <c r="C705" t="str">
        <f>IFERROR(IF(B705="","",VLOOKUP(B705,CadProd!$A:$B,2,0)),"")</f>
        <v/>
      </c>
      <c r="D705" t="str">
        <f>IFERROR(IF(B705="","",VLOOKUP(B705,CadProd!$A:$C,3,0)),"")</f>
        <v/>
      </c>
      <c r="G705" s="1" t="str">
        <f t="shared" si="10"/>
        <v/>
      </c>
    </row>
    <row r="706" spans="3:7" x14ac:dyDescent="0.3">
      <c r="C706" t="str">
        <f>IFERROR(IF(B706="","",VLOOKUP(B706,CadProd!$A:$B,2,0)),"")</f>
        <v/>
      </c>
      <c r="D706" t="str">
        <f>IFERROR(IF(B706="","",VLOOKUP(B706,CadProd!$A:$C,3,0)),"")</f>
        <v/>
      </c>
      <c r="G706" s="1" t="str">
        <f t="shared" ref="G706:G769" si="11">IFERROR(IF(B706="","",F706*E706),"")</f>
        <v/>
      </c>
    </row>
    <row r="707" spans="3:7" x14ac:dyDescent="0.3">
      <c r="C707" t="str">
        <f>IFERROR(IF(B707="","",VLOOKUP(B707,CadProd!$A:$B,2,0)),"")</f>
        <v/>
      </c>
      <c r="D707" t="str">
        <f>IFERROR(IF(B707="","",VLOOKUP(B707,CadProd!$A:$C,3,0)),"")</f>
        <v/>
      </c>
      <c r="G707" s="1" t="str">
        <f t="shared" si="11"/>
        <v/>
      </c>
    </row>
    <row r="708" spans="3:7" x14ac:dyDescent="0.3">
      <c r="C708" t="str">
        <f>IFERROR(IF(B708="","",VLOOKUP(B708,CadProd!$A:$B,2,0)),"")</f>
        <v/>
      </c>
      <c r="D708" t="str">
        <f>IFERROR(IF(B708="","",VLOOKUP(B708,CadProd!$A:$C,3,0)),"")</f>
        <v/>
      </c>
      <c r="G708" s="1" t="str">
        <f t="shared" si="11"/>
        <v/>
      </c>
    </row>
    <row r="709" spans="3:7" x14ac:dyDescent="0.3">
      <c r="C709" t="str">
        <f>IFERROR(IF(B709="","",VLOOKUP(B709,CadProd!$A:$B,2,0)),"")</f>
        <v/>
      </c>
      <c r="D709" t="str">
        <f>IFERROR(IF(B709="","",VLOOKUP(B709,CadProd!$A:$C,3,0)),"")</f>
        <v/>
      </c>
      <c r="G709" s="1" t="str">
        <f t="shared" si="11"/>
        <v/>
      </c>
    </row>
    <row r="710" spans="3:7" x14ac:dyDescent="0.3">
      <c r="C710" t="str">
        <f>IFERROR(IF(B710="","",VLOOKUP(B710,CadProd!$A:$B,2,0)),"")</f>
        <v/>
      </c>
      <c r="D710" t="str">
        <f>IFERROR(IF(B710="","",VLOOKUP(B710,CadProd!$A:$C,3,0)),"")</f>
        <v/>
      </c>
      <c r="G710" s="1" t="str">
        <f t="shared" si="11"/>
        <v/>
      </c>
    </row>
    <row r="711" spans="3:7" x14ac:dyDescent="0.3">
      <c r="C711" t="str">
        <f>IFERROR(IF(B711="","",VLOOKUP(B711,CadProd!$A:$B,2,0)),"")</f>
        <v/>
      </c>
      <c r="D711" t="str">
        <f>IFERROR(IF(B711="","",VLOOKUP(B711,CadProd!$A:$C,3,0)),"")</f>
        <v/>
      </c>
      <c r="G711" s="1" t="str">
        <f t="shared" si="11"/>
        <v/>
      </c>
    </row>
    <row r="712" spans="3:7" x14ac:dyDescent="0.3">
      <c r="C712" t="str">
        <f>IFERROR(IF(B712="","",VLOOKUP(B712,CadProd!$A:$B,2,0)),"")</f>
        <v/>
      </c>
      <c r="D712" t="str">
        <f>IFERROR(IF(B712="","",VLOOKUP(B712,CadProd!$A:$C,3,0)),"")</f>
        <v/>
      </c>
      <c r="G712" s="1" t="str">
        <f t="shared" si="11"/>
        <v/>
      </c>
    </row>
    <row r="713" spans="3:7" x14ac:dyDescent="0.3">
      <c r="C713" t="str">
        <f>IFERROR(IF(B713="","",VLOOKUP(B713,CadProd!$A:$B,2,0)),"")</f>
        <v/>
      </c>
      <c r="D713" t="str">
        <f>IFERROR(IF(B713="","",VLOOKUP(B713,CadProd!$A:$C,3,0)),"")</f>
        <v/>
      </c>
      <c r="G713" s="1" t="str">
        <f t="shared" si="11"/>
        <v/>
      </c>
    </row>
    <row r="714" spans="3:7" x14ac:dyDescent="0.3">
      <c r="C714" t="str">
        <f>IFERROR(IF(B714="","",VLOOKUP(B714,CadProd!$A:$B,2,0)),"")</f>
        <v/>
      </c>
      <c r="D714" t="str">
        <f>IFERROR(IF(B714="","",VLOOKUP(B714,CadProd!$A:$C,3,0)),"")</f>
        <v/>
      </c>
      <c r="G714" s="1" t="str">
        <f t="shared" si="11"/>
        <v/>
      </c>
    </row>
    <row r="715" spans="3:7" x14ac:dyDescent="0.3">
      <c r="C715" t="str">
        <f>IFERROR(IF(B715="","",VLOOKUP(B715,CadProd!$A:$B,2,0)),"")</f>
        <v/>
      </c>
      <c r="D715" t="str">
        <f>IFERROR(IF(B715="","",VLOOKUP(B715,CadProd!$A:$C,3,0)),"")</f>
        <v/>
      </c>
      <c r="G715" s="1" t="str">
        <f t="shared" si="11"/>
        <v/>
      </c>
    </row>
    <row r="716" spans="3:7" x14ac:dyDescent="0.3">
      <c r="C716" t="str">
        <f>IFERROR(IF(B716="","",VLOOKUP(B716,CadProd!$A:$B,2,0)),"")</f>
        <v/>
      </c>
      <c r="D716" t="str">
        <f>IFERROR(IF(B716="","",VLOOKUP(B716,CadProd!$A:$C,3,0)),"")</f>
        <v/>
      </c>
      <c r="G716" s="1" t="str">
        <f t="shared" si="11"/>
        <v/>
      </c>
    </row>
    <row r="717" spans="3:7" x14ac:dyDescent="0.3">
      <c r="C717" t="str">
        <f>IFERROR(IF(B717="","",VLOOKUP(B717,CadProd!$A:$B,2,0)),"")</f>
        <v/>
      </c>
      <c r="D717" t="str">
        <f>IFERROR(IF(B717="","",VLOOKUP(B717,CadProd!$A:$C,3,0)),"")</f>
        <v/>
      </c>
      <c r="G717" s="1" t="str">
        <f t="shared" si="11"/>
        <v/>
      </c>
    </row>
    <row r="718" spans="3:7" x14ac:dyDescent="0.3">
      <c r="C718" t="str">
        <f>IFERROR(IF(B718="","",VLOOKUP(B718,CadProd!$A:$B,2,0)),"")</f>
        <v/>
      </c>
      <c r="D718" t="str">
        <f>IFERROR(IF(B718="","",VLOOKUP(B718,CadProd!$A:$C,3,0)),"")</f>
        <v/>
      </c>
      <c r="G718" s="1" t="str">
        <f t="shared" si="11"/>
        <v/>
      </c>
    </row>
    <row r="719" spans="3:7" x14ac:dyDescent="0.3">
      <c r="C719" t="str">
        <f>IFERROR(IF(B719="","",VLOOKUP(B719,CadProd!$A:$B,2,0)),"")</f>
        <v/>
      </c>
      <c r="D719" t="str">
        <f>IFERROR(IF(B719="","",VLOOKUP(B719,CadProd!$A:$C,3,0)),"")</f>
        <v/>
      </c>
      <c r="G719" s="1" t="str">
        <f t="shared" si="11"/>
        <v/>
      </c>
    </row>
    <row r="720" spans="3:7" x14ac:dyDescent="0.3">
      <c r="C720" t="str">
        <f>IFERROR(IF(B720="","",VLOOKUP(B720,CadProd!$A:$B,2,0)),"")</f>
        <v/>
      </c>
      <c r="D720" t="str">
        <f>IFERROR(IF(B720="","",VLOOKUP(B720,CadProd!$A:$C,3,0)),"")</f>
        <v/>
      </c>
      <c r="G720" s="1" t="str">
        <f t="shared" si="11"/>
        <v/>
      </c>
    </row>
    <row r="721" spans="3:7" x14ac:dyDescent="0.3">
      <c r="C721" t="str">
        <f>IFERROR(IF(B721="","",VLOOKUP(B721,CadProd!$A:$B,2,0)),"")</f>
        <v/>
      </c>
      <c r="D721" t="str">
        <f>IFERROR(IF(B721="","",VLOOKUP(B721,CadProd!$A:$C,3,0)),"")</f>
        <v/>
      </c>
      <c r="G721" s="1" t="str">
        <f t="shared" si="11"/>
        <v/>
      </c>
    </row>
    <row r="722" spans="3:7" x14ac:dyDescent="0.3">
      <c r="C722" t="str">
        <f>IFERROR(IF(B722="","",VLOOKUP(B722,CadProd!$A:$B,2,0)),"")</f>
        <v/>
      </c>
      <c r="D722" t="str">
        <f>IFERROR(IF(B722="","",VLOOKUP(B722,CadProd!$A:$C,3,0)),"")</f>
        <v/>
      </c>
      <c r="G722" s="1" t="str">
        <f t="shared" si="11"/>
        <v/>
      </c>
    </row>
    <row r="723" spans="3:7" x14ac:dyDescent="0.3">
      <c r="C723" t="str">
        <f>IFERROR(IF(B723="","",VLOOKUP(B723,CadProd!$A:$B,2,0)),"")</f>
        <v/>
      </c>
      <c r="D723" t="str">
        <f>IFERROR(IF(B723="","",VLOOKUP(B723,CadProd!$A:$C,3,0)),"")</f>
        <v/>
      </c>
      <c r="G723" s="1" t="str">
        <f t="shared" si="11"/>
        <v/>
      </c>
    </row>
    <row r="724" spans="3:7" x14ac:dyDescent="0.3">
      <c r="C724" t="str">
        <f>IFERROR(IF(B724="","",VLOOKUP(B724,CadProd!$A:$B,2,0)),"")</f>
        <v/>
      </c>
      <c r="D724" t="str">
        <f>IFERROR(IF(B724="","",VLOOKUP(B724,CadProd!$A:$C,3,0)),"")</f>
        <v/>
      </c>
      <c r="G724" s="1" t="str">
        <f t="shared" si="11"/>
        <v/>
      </c>
    </row>
    <row r="725" spans="3:7" x14ac:dyDescent="0.3">
      <c r="C725" t="str">
        <f>IFERROR(IF(B725="","",VLOOKUP(B725,CadProd!$A:$B,2,0)),"")</f>
        <v/>
      </c>
      <c r="D725" t="str">
        <f>IFERROR(IF(B725="","",VLOOKUP(B725,CadProd!$A:$C,3,0)),"")</f>
        <v/>
      </c>
      <c r="G725" s="1" t="str">
        <f t="shared" si="11"/>
        <v/>
      </c>
    </row>
    <row r="726" spans="3:7" x14ac:dyDescent="0.3">
      <c r="C726" t="str">
        <f>IFERROR(IF(B726="","",VLOOKUP(B726,CadProd!$A:$B,2,0)),"")</f>
        <v/>
      </c>
      <c r="D726" t="str">
        <f>IFERROR(IF(B726="","",VLOOKUP(B726,CadProd!$A:$C,3,0)),"")</f>
        <v/>
      </c>
      <c r="G726" s="1" t="str">
        <f t="shared" si="11"/>
        <v/>
      </c>
    </row>
    <row r="727" spans="3:7" x14ac:dyDescent="0.3">
      <c r="C727" t="str">
        <f>IFERROR(IF(B727="","",VLOOKUP(B727,CadProd!$A:$B,2,0)),"")</f>
        <v/>
      </c>
      <c r="D727" t="str">
        <f>IFERROR(IF(B727="","",VLOOKUP(B727,CadProd!$A:$C,3,0)),"")</f>
        <v/>
      </c>
      <c r="G727" s="1" t="str">
        <f t="shared" si="11"/>
        <v/>
      </c>
    </row>
    <row r="728" spans="3:7" x14ac:dyDescent="0.3">
      <c r="C728" t="str">
        <f>IFERROR(IF(B728="","",VLOOKUP(B728,CadProd!$A:$B,2,0)),"")</f>
        <v/>
      </c>
      <c r="D728" t="str">
        <f>IFERROR(IF(B728="","",VLOOKUP(B728,CadProd!$A:$C,3,0)),"")</f>
        <v/>
      </c>
      <c r="G728" s="1" t="str">
        <f t="shared" si="11"/>
        <v/>
      </c>
    </row>
    <row r="729" spans="3:7" x14ac:dyDescent="0.3">
      <c r="C729" t="str">
        <f>IFERROR(IF(B729="","",VLOOKUP(B729,CadProd!$A:$B,2,0)),"")</f>
        <v/>
      </c>
      <c r="D729" t="str">
        <f>IFERROR(IF(B729="","",VLOOKUP(B729,CadProd!$A:$C,3,0)),"")</f>
        <v/>
      </c>
      <c r="G729" s="1" t="str">
        <f t="shared" si="11"/>
        <v/>
      </c>
    </row>
    <row r="730" spans="3:7" x14ac:dyDescent="0.3">
      <c r="C730" t="str">
        <f>IFERROR(IF(B730="","",VLOOKUP(B730,CadProd!$A:$B,2,0)),"")</f>
        <v/>
      </c>
      <c r="D730" t="str">
        <f>IFERROR(IF(B730="","",VLOOKUP(B730,CadProd!$A:$C,3,0)),"")</f>
        <v/>
      </c>
      <c r="G730" s="1" t="str">
        <f t="shared" si="11"/>
        <v/>
      </c>
    </row>
    <row r="731" spans="3:7" x14ac:dyDescent="0.3">
      <c r="C731" t="str">
        <f>IFERROR(IF(B731="","",VLOOKUP(B731,CadProd!$A:$B,2,0)),"")</f>
        <v/>
      </c>
      <c r="D731" t="str">
        <f>IFERROR(IF(B731="","",VLOOKUP(B731,CadProd!$A:$C,3,0)),"")</f>
        <v/>
      </c>
      <c r="G731" s="1" t="str">
        <f t="shared" si="11"/>
        <v/>
      </c>
    </row>
    <row r="732" spans="3:7" x14ac:dyDescent="0.3">
      <c r="C732" t="str">
        <f>IFERROR(IF(B732="","",VLOOKUP(B732,CadProd!$A:$B,2,0)),"")</f>
        <v/>
      </c>
      <c r="D732" t="str">
        <f>IFERROR(IF(B732="","",VLOOKUP(B732,CadProd!$A:$C,3,0)),"")</f>
        <v/>
      </c>
      <c r="G732" s="1" t="str">
        <f t="shared" si="11"/>
        <v/>
      </c>
    </row>
    <row r="733" spans="3:7" x14ac:dyDescent="0.3">
      <c r="C733" t="str">
        <f>IFERROR(IF(B733="","",VLOOKUP(B733,CadProd!$A:$B,2,0)),"")</f>
        <v/>
      </c>
      <c r="D733" t="str">
        <f>IFERROR(IF(B733="","",VLOOKUP(B733,CadProd!$A:$C,3,0)),"")</f>
        <v/>
      </c>
      <c r="G733" s="1" t="str">
        <f t="shared" si="11"/>
        <v/>
      </c>
    </row>
    <row r="734" spans="3:7" x14ac:dyDescent="0.3">
      <c r="C734" t="str">
        <f>IFERROR(IF(B734="","",VLOOKUP(B734,CadProd!$A:$B,2,0)),"")</f>
        <v/>
      </c>
      <c r="D734" t="str">
        <f>IFERROR(IF(B734="","",VLOOKUP(B734,CadProd!$A:$C,3,0)),"")</f>
        <v/>
      </c>
      <c r="G734" s="1" t="str">
        <f t="shared" si="11"/>
        <v/>
      </c>
    </row>
    <row r="735" spans="3:7" x14ac:dyDescent="0.3">
      <c r="C735" t="str">
        <f>IFERROR(IF(B735="","",VLOOKUP(B735,CadProd!$A:$B,2,0)),"")</f>
        <v/>
      </c>
      <c r="D735" t="str">
        <f>IFERROR(IF(B735="","",VLOOKUP(B735,CadProd!$A:$C,3,0)),"")</f>
        <v/>
      </c>
      <c r="G735" s="1" t="str">
        <f t="shared" si="11"/>
        <v/>
      </c>
    </row>
    <row r="736" spans="3:7" x14ac:dyDescent="0.3">
      <c r="C736" t="str">
        <f>IFERROR(IF(B736="","",VLOOKUP(B736,CadProd!$A:$B,2,0)),"")</f>
        <v/>
      </c>
      <c r="D736" t="str">
        <f>IFERROR(IF(B736="","",VLOOKUP(B736,CadProd!$A:$C,3,0)),"")</f>
        <v/>
      </c>
      <c r="G736" s="1" t="str">
        <f t="shared" si="11"/>
        <v/>
      </c>
    </row>
    <row r="737" spans="3:7" x14ac:dyDescent="0.3">
      <c r="C737" t="str">
        <f>IFERROR(IF(B737="","",VLOOKUP(B737,CadProd!$A:$B,2,0)),"")</f>
        <v/>
      </c>
      <c r="D737" t="str">
        <f>IFERROR(IF(B737="","",VLOOKUP(B737,CadProd!$A:$C,3,0)),"")</f>
        <v/>
      </c>
      <c r="G737" s="1" t="str">
        <f t="shared" si="11"/>
        <v/>
      </c>
    </row>
    <row r="738" spans="3:7" x14ac:dyDescent="0.3">
      <c r="C738" t="str">
        <f>IFERROR(IF(B738="","",VLOOKUP(B738,CadProd!$A:$B,2,0)),"")</f>
        <v/>
      </c>
      <c r="D738" t="str">
        <f>IFERROR(IF(B738="","",VLOOKUP(B738,CadProd!$A:$C,3,0)),"")</f>
        <v/>
      </c>
      <c r="G738" s="1" t="str">
        <f t="shared" si="11"/>
        <v/>
      </c>
    </row>
    <row r="739" spans="3:7" x14ac:dyDescent="0.3">
      <c r="C739" t="str">
        <f>IFERROR(IF(B739="","",VLOOKUP(B739,CadProd!$A:$B,2,0)),"")</f>
        <v/>
      </c>
      <c r="D739" t="str">
        <f>IFERROR(IF(B739="","",VLOOKUP(B739,CadProd!$A:$C,3,0)),"")</f>
        <v/>
      </c>
      <c r="G739" s="1" t="str">
        <f t="shared" si="11"/>
        <v/>
      </c>
    </row>
    <row r="740" spans="3:7" x14ac:dyDescent="0.3">
      <c r="C740" t="str">
        <f>IFERROR(IF(B740="","",VLOOKUP(B740,CadProd!$A:$B,2,0)),"")</f>
        <v/>
      </c>
      <c r="D740" t="str">
        <f>IFERROR(IF(B740="","",VLOOKUP(B740,CadProd!$A:$C,3,0)),"")</f>
        <v/>
      </c>
      <c r="G740" s="1" t="str">
        <f t="shared" si="11"/>
        <v/>
      </c>
    </row>
    <row r="741" spans="3:7" x14ac:dyDescent="0.3">
      <c r="C741" t="str">
        <f>IFERROR(IF(B741="","",VLOOKUP(B741,CadProd!$A:$B,2,0)),"")</f>
        <v/>
      </c>
      <c r="D741" t="str">
        <f>IFERROR(IF(B741="","",VLOOKUP(B741,CadProd!$A:$C,3,0)),"")</f>
        <v/>
      </c>
      <c r="G741" s="1" t="str">
        <f t="shared" si="11"/>
        <v/>
      </c>
    </row>
    <row r="742" spans="3:7" x14ac:dyDescent="0.3">
      <c r="C742" t="str">
        <f>IFERROR(IF(B742="","",VLOOKUP(B742,CadProd!$A:$B,2,0)),"")</f>
        <v/>
      </c>
      <c r="D742" t="str">
        <f>IFERROR(IF(B742="","",VLOOKUP(B742,CadProd!$A:$C,3,0)),"")</f>
        <v/>
      </c>
      <c r="G742" s="1" t="str">
        <f t="shared" si="11"/>
        <v/>
      </c>
    </row>
    <row r="743" spans="3:7" x14ac:dyDescent="0.3">
      <c r="C743" t="str">
        <f>IFERROR(IF(B743="","",VLOOKUP(B743,CadProd!$A:$B,2,0)),"")</f>
        <v/>
      </c>
      <c r="D743" t="str">
        <f>IFERROR(IF(B743="","",VLOOKUP(B743,CadProd!$A:$C,3,0)),"")</f>
        <v/>
      </c>
      <c r="G743" s="1" t="str">
        <f t="shared" si="11"/>
        <v/>
      </c>
    </row>
    <row r="744" spans="3:7" x14ac:dyDescent="0.3">
      <c r="C744" t="str">
        <f>IFERROR(IF(B744="","",VLOOKUP(B744,CadProd!$A:$B,2,0)),"")</f>
        <v/>
      </c>
      <c r="D744" t="str">
        <f>IFERROR(IF(B744="","",VLOOKUP(B744,CadProd!$A:$C,3,0)),"")</f>
        <v/>
      </c>
      <c r="G744" s="1" t="str">
        <f t="shared" si="11"/>
        <v/>
      </c>
    </row>
    <row r="745" spans="3:7" x14ac:dyDescent="0.3">
      <c r="C745" t="str">
        <f>IFERROR(IF(B745="","",VLOOKUP(B745,CadProd!$A:$B,2,0)),"")</f>
        <v/>
      </c>
      <c r="D745" t="str">
        <f>IFERROR(IF(B745="","",VLOOKUP(B745,CadProd!$A:$C,3,0)),"")</f>
        <v/>
      </c>
      <c r="G745" s="1" t="str">
        <f t="shared" si="11"/>
        <v/>
      </c>
    </row>
    <row r="746" spans="3:7" x14ac:dyDescent="0.3">
      <c r="C746" t="str">
        <f>IFERROR(IF(B746="","",VLOOKUP(B746,CadProd!$A:$B,2,0)),"")</f>
        <v/>
      </c>
      <c r="D746" t="str">
        <f>IFERROR(IF(B746="","",VLOOKUP(B746,CadProd!$A:$C,3,0)),"")</f>
        <v/>
      </c>
      <c r="G746" s="1" t="str">
        <f t="shared" si="11"/>
        <v/>
      </c>
    </row>
    <row r="747" spans="3:7" x14ac:dyDescent="0.3">
      <c r="C747" t="str">
        <f>IFERROR(IF(B747="","",VLOOKUP(B747,CadProd!$A:$B,2,0)),"")</f>
        <v/>
      </c>
      <c r="D747" t="str">
        <f>IFERROR(IF(B747="","",VLOOKUP(B747,CadProd!$A:$C,3,0)),"")</f>
        <v/>
      </c>
      <c r="G747" s="1" t="str">
        <f t="shared" si="11"/>
        <v/>
      </c>
    </row>
    <row r="748" spans="3:7" x14ac:dyDescent="0.3">
      <c r="C748" t="str">
        <f>IFERROR(IF(B748="","",VLOOKUP(B748,CadProd!$A:$B,2,0)),"")</f>
        <v/>
      </c>
      <c r="D748" t="str">
        <f>IFERROR(IF(B748="","",VLOOKUP(B748,CadProd!$A:$C,3,0)),"")</f>
        <v/>
      </c>
      <c r="G748" s="1" t="str">
        <f t="shared" si="11"/>
        <v/>
      </c>
    </row>
    <row r="749" spans="3:7" x14ac:dyDescent="0.3">
      <c r="C749" t="str">
        <f>IFERROR(IF(B749="","",VLOOKUP(B749,CadProd!$A:$B,2,0)),"")</f>
        <v/>
      </c>
      <c r="D749" t="str">
        <f>IFERROR(IF(B749="","",VLOOKUP(B749,CadProd!$A:$C,3,0)),"")</f>
        <v/>
      </c>
      <c r="G749" s="1" t="str">
        <f t="shared" si="11"/>
        <v/>
      </c>
    </row>
    <row r="750" spans="3:7" x14ac:dyDescent="0.3">
      <c r="C750" t="str">
        <f>IFERROR(IF(B750="","",VLOOKUP(B750,CadProd!$A:$B,2,0)),"")</f>
        <v/>
      </c>
      <c r="D750" t="str">
        <f>IFERROR(IF(B750="","",VLOOKUP(B750,CadProd!$A:$C,3,0)),"")</f>
        <v/>
      </c>
      <c r="G750" s="1" t="str">
        <f t="shared" si="11"/>
        <v/>
      </c>
    </row>
    <row r="751" spans="3:7" x14ac:dyDescent="0.3">
      <c r="C751" t="str">
        <f>IFERROR(IF(B751="","",VLOOKUP(B751,CadProd!$A:$B,2,0)),"")</f>
        <v/>
      </c>
      <c r="D751" t="str">
        <f>IFERROR(IF(B751="","",VLOOKUP(B751,CadProd!$A:$C,3,0)),"")</f>
        <v/>
      </c>
      <c r="G751" s="1" t="str">
        <f t="shared" si="11"/>
        <v/>
      </c>
    </row>
    <row r="752" spans="3:7" x14ac:dyDescent="0.3">
      <c r="C752" t="str">
        <f>IFERROR(IF(B752="","",VLOOKUP(B752,CadProd!$A:$B,2,0)),"")</f>
        <v/>
      </c>
      <c r="D752" t="str">
        <f>IFERROR(IF(B752="","",VLOOKUP(B752,CadProd!$A:$C,3,0)),"")</f>
        <v/>
      </c>
      <c r="G752" s="1" t="str">
        <f t="shared" si="11"/>
        <v/>
      </c>
    </row>
    <row r="753" spans="3:7" x14ac:dyDescent="0.3">
      <c r="C753" t="str">
        <f>IFERROR(IF(B753="","",VLOOKUP(B753,CadProd!$A:$B,2,0)),"")</f>
        <v/>
      </c>
      <c r="D753" t="str">
        <f>IFERROR(IF(B753="","",VLOOKUP(B753,CadProd!$A:$C,3,0)),"")</f>
        <v/>
      </c>
      <c r="G753" s="1" t="str">
        <f t="shared" si="11"/>
        <v/>
      </c>
    </row>
    <row r="754" spans="3:7" x14ac:dyDescent="0.3">
      <c r="C754" t="str">
        <f>IFERROR(IF(B754="","",VLOOKUP(B754,CadProd!$A:$B,2,0)),"")</f>
        <v/>
      </c>
      <c r="D754" t="str">
        <f>IFERROR(IF(B754="","",VLOOKUP(B754,CadProd!$A:$C,3,0)),"")</f>
        <v/>
      </c>
      <c r="G754" s="1" t="str">
        <f t="shared" si="11"/>
        <v/>
      </c>
    </row>
    <row r="755" spans="3:7" x14ac:dyDescent="0.3">
      <c r="C755" t="str">
        <f>IFERROR(IF(B755="","",VLOOKUP(B755,CadProd!$A:$B,2,0)),"")</f>
        <v/>
      </c>
      <c r="D755" t="str">
        <f>IFERROR(IF(B755="","",VLOOKUP(B755,CadProd!$A:$C,3,0)),"")</f>
        <v/>
      </c>
      <c r="G755" s="1" t="str">
        <f t="shared" si="11"/>
        <v/>
      </c>
    </row>
    <row r="756" spans="3:7" x14ac:dyDescent="0.3">
      <c r="C756" t="str">
        <f>IFERROR(IF(B756="","",VLOOKUP(B756,CadProd!$A:$B,2,0)),"")</f>
        <v/>
      </c>
      <c r="D756" t="str">
        <f>IFERROR(IF(B756="","",VLOOKUP(B756,CadProd!$A:$C,3,0)),"")</f>
        <v/>
      </c>
      <c r="G756" s="1" t="str">
        <f t="shared" si="11"/>
        <v/>
      </c>
    </row>
    <row r="757" spans="3:7" x14ac:dyDescent="0.3">
      <c r="C757" t="str">
        <f>IFERROR(IF(B757="","",VLOOKUP(B757,CadProd!$A:$B,2,0)),"")</f>
        <v/>
      </c>
      <c r="D757" t="str">
        <f>IFERROR(IF(B757="","",VLOOKUP(B757,CadProd!$A:$C,3,0)),"")</f>
        <v/>
      </c>
      <c r="G757" s="1" t="str">
        <f t="shared" si="11"/>
        <v/>
      </c>
    </row>
    <row r="758" spans="3:7" x14ac:dyDescent="0.3">
      <c r="C758" t="str">
        <f>IFERROR(IF(B758="","",VLOOKUP(B758,CadProd!$A:$B,2,0)),"")</f>
        <v/>
      </c>
      <c r="D758" t="str">
        <f>IFERROR(IF(B758="","",VLOOKUP(B758,CadProd!$A:$C,3,0)),"")</f>
        <v/>
      </c>
      <c r="G758" s="1" t="str">
        <f t="shared" si="11"/>
        <v/>
      </c>
    </row>
    <row r="759" spans="3:7" x14ac:dyDescent="0.3">
      <c r="C759" t="str">
        <f>IFERROR(IF(B759="","",VLOOKUP(B759,CadProd!$A:$B,2,0)),"")</f>
        <v/>
      </c>
      <c r="D759" t="str">
        <f>IFERROR(IF(B759="","",VLOOKUP(B759,CadProd!$A:$C,3,0)),"")</f>
        <v/>
      </c>
      <c r="G759" s="1" t="str">
        <f t="shared" si="11"/>
        <v/>
      </c>
    </row>
    <row r="760" spans="3:7" x14ac:dyDescent="0.3">
      <c r="C760" t="str">
        <f>IFERROR(IF(B760="","",VLOOKUP(B760,CadProd!$A:$B,2,0)),"")</f>
        <v/>
      </c>
      <c r="D760" t="str">
        <f>IFERROR(IF(B760="","",VLOOKUP(B760,CadProd!$A:$C,3,0)),"")</f>
        <v/>
      </c>
      <c r="G760" s="1" t="str">
        <f t="shared" si="11"/>
        <v/>
      </c>
    </row>
    <row r="761" spans="3:7" x14ac:dyDescent="0.3">
      <c r="C761" t="str">
        <f>IFERROR(IF(B761="","",VLOOKUP(B761,CadProd!$A:$B,2,0)),"")</f>
        <v/>
      </c>
      <c r="D761" t="str">
        <f>IFERROR(IF(B761="","",VLOOKUP(B761,CadProd!$A:$C,3,0)),"")</f>
        <v/>
      </c>
      <c r="G761" s="1" t="str">
        <f t="shared" si="11"/>
        <v/>
      </c>
    </row>
    <row r="762" spans="3:7" x14ac:dyDescent="0.3">
      <c r="C762" t="str">
        <f>IFERROR(IF(B762="","",VLOOKUP(B762,CadProd!$A:$B,2,0)),"")</f>
        <v/>
      </c>
      <c r="D762" t="str">
        <f>IFERROR(IF(B762="","",VLOOKUP(B762,CadProd!$A:$C,3,0)),"")</f>
        <v/>
      </c>
      <c r="G762" s="1" t="str">
        <f t="shared" si="11"/>
        <v/>
      </c>
    </row>
    <row r="763" spans="3:7" x14ac:dyDescent="0.3">
      <c r="C763" t="str">
        <f>IFERROR(IF(B763="","",VLOOKUP(B763,CadProd!$A:$B,2,0)),"")</f>
        <v/>
      </c>
      <c r="D763" t="str">
        <f>IFERROR(IF(B763="","",VLOOKUP(B763,CadProd!$A:$C,3,0)),"")</f>
        <v/>
      </c>
      <c r="G763" s="1" t="str">
        <f t="shared" si="11"/>
        <v/>
      </c>
    </row>
    <row r="764" spans="3:7" x14ac:dyDescent="0.3">
      <c r="C764" t="str">
        <f>IFERROR(IF(B764="","",VLOOKUP(B764,CadProd!$A:$B,2,0)),"")</f>
        <v/>
      </c>
      <c r="D764" t="str">
        <f>IFERROR(IF(B764="","",VLOOKUP(B764,CadProd!$A:$C,3,0)),"")</f>
        <v/>
      </c>
      <c r="G764" s="1" t="str">
        <f t="shared" si="11"/>
        <v/>
      </c>
    </row>
    <row r="765" spans="3:7" x14ac:dyDescent="0.3">
      <c r="C765" t="str">
        <f>IFERROR(IF(B765="","",VLOOKUP(B765,CadProd!$A:$B,2,0)),"")</f>
        <v/>
      </c>
      <c r="D765" t="str">
        <f>IFERROR(IF(B765="","",VLOOKUP(B765,CadProd!$A:$C,3,0)),"")</f>
        <v/>
      </c>
      <c r="G765" s="1" t="str">
        <f t="shared" si="11"/>
        <v/>
      </c>
    </row>
    <row r="766" spans="3:7" x14ac:dyDescent="0.3">
      <c r="C766" t="str">
        <f>IFERROR(IF(B766="","",VLOOKUP(B766,CadProd!$A:$B,2,0)),"")</f>
        <v/>
      </c>
      <c r="D766" t="str">
        <f>IFERROR(IF(B766="","",VLOOKUP(B766,CadProd!$A:$C,3,0)),"")</f>
        <v/>
      </c>
      <c r="G766" s="1" t="str">
        <f t="shared" si="11"/>
        <v/>
      </c>
    </row>
    <row r="767" spans="3:7" x14ac:dyDescent="0.3">
      <c r="C767" t="str">
        <f>IFERROR(IF(B767="","",VLOOKUP(B767,CadProd!$A:$B,2,0)),"")</f>
        <v/>
      </c>
      <c r="D767" t="str">
        <f>IFERROR(IF(B767="","",VLOOKUP(B767,CadProd!$A:$C,3,0)),"")</f>
        <v/>
      </c>
      <c r="G767" s="1" t="str">
        <f t="shared" si="11"/>
        <v/>
      </c>
    </row>
    <row r="768" spans="3:7" x14ac:dyDescent="0.3">
      <c r="C768" t="str">
        <f>IFERROR(IF(B768="","",VLOOKUP(B768,CadProd!$A:$B,2,0)),"")</f>
        <v/>
      </c>
      <c r="D768" t="str">
        <f>IFERROR(IF(B768="","",VLOOKUP(B768,CadProd!$A:$C,3,0)),"")</f>
        <v/>
      </c>
      <c r="G768" s="1" t="str">
        <f t="shared" si="11"/>
        <v/>
      </c>
    </row>
    <row r="769" spans="3:7" x14ac:dyDescent="0.3">
      <c r="C769" t="str">
        <f>IFERROR(IF(B769="","",VLOOKUP(B769,CadProd!$A:$B,2,0)),"")</f>
        <v/>
      </c>
      <c r="D769" t="str">
        <f>IFERROR(IF(B769="","",VLOOKUP(B769,CadProd!$A:$C,3,0)),"")</f>
        <v/>
      </c>
      <c r="G769" s="1" t="str">
        <f t="shared" si="11"/>
        <v/>
      </c>
    </row>
    <row r="770" spans="3:7" x14ac:dyDescent="0.3">
      <c r="C770" t="str">
        <f>IFERROR(IF(B770="","",VLOOKUP(B770,CadProd!$A:$B,2,0)),"")</f>
        <v/>
      </c>
      <c r="D770" t="str">
        <f>IFERROR(IF(B770="","",VLOOKUP(B770,CadProd!$A:$C,3,0)),"")</f>
        <v/>
      </c>
      <c r="G770" s="1" t="str">
        <f t="shared" ref="G770:G833" si="12">IFERROR(IF(B770="","",F770*E770),"")</f>
        <v/>
      </c>
    </row>
    <row r="771" spans="3:7" x14ac:dyDescent="0.3">
      <c r="C771" t="str">
        <f>IFERROR(IF(B771="","",VLOOKUP(B771,CadProd!$A:$B,2,0)),"")</f>
        <v/>
      </c>
      <c r="D771" t="str">
        <f>IFERROR(IF(B771="","",VLOOKUP(B771,CadProd!$A:$C,3,0)),"")</f>
        <v/>
      </c>
      <c r="G771" s="1" t="str">
        <f t="shared" si="12"/>
        <v/>
      </c>
    </row>
    <row r="772" spans="3:7" x14ac:dyDescent="0.3">
      <c r="C772" t="str">
        <f>IFERROR(IF(B772="","",VLOOKUP(B772,CadProd!$A:$B,2,0)),"")</f>
        <v/>
      </c>
      <c r="D772" t="str">
        <f>IFERROR(IF(B772="","",VLOOKUP(B772,CadProd!$A:$C,3,0)),"")</f>
        <v/>
      </c>
      <c r="G772" s="1" t="str">
        <f t="shared" si="12"/>
        <v/>
      </c>
    </row>
    <row r="773" spans="3:7" x14ac:dyDescent="0.3">
      <c r="C773" t="str">
        <f>IFERROR(IF(B773="","",VLOOKUP(B773,CadProd!$A:$B,2,0)),"")</f>
        <v/>
      </c>
      <c r="D773" t="str">
        <f>IFERROR(IF(B773="","",VLOOKUP(B773,CadProd!$A:$C,3,0)),"")</f>
        <v/>
      </c>
      <c r="G773" s="1" t="str">
        <f t="shared" si="12"/>
        <v/>
      </c>
    </row>
    <row r="774" spans="3:7" x14ac:dyDescent="0.3">
      <c r="C774" t="str">
        <f>IFERROR(IF(B774="","",VLOOKUP(B774,CadProd!$A:$B,2,0)),"")</f>
        <v/>
      </c>
      <c r="D774" t="str">
        <f>IFERROR(IF(B774="","",VLOOKUP(B774,CadProd!$A:$C,3,0)),"")</f>
        <v/>
      </c>
      <c r="G774" s="1" t="str">
        <f t="shared" si="12"/>
        <v/>
      </c>
    </row>
    <row r="775" spans="3:7" x14ac:dyDescent="0.3">
      <c r="C775" t="str">
        <f>IFERROR(IF(B775="","",VLOOKUP(B775,CadProd!$A:$B,2,0)),"")</f>
        <v/>
      </c>
      <c r="D775" t="str">
        <f>IFERROR(IF(B775="","",VLOOKUP(B775,CadProd!$A:$C,3,0)),"")</f>
        <v/>
      </c>
      <c r="G775" s="1" t="str">
        <f t="shared" si="12"/>
        <v/>
      </c>
    </row>
    <row r="776" spans="3:7" x14ac:dyDescent="0.3">
      <c r="C776" t="str">
        <f>IFERROR(IF(B776="","",VLOOKUP(B776,CadProd!$A:$B,2,0)),"")</f>
        <v/>
      </c>
      <c r="D776" t="str">
        <f>IFERROR(IF(B776="","",VLOOKUP(B776,CadProd!$A:$C,3,0)),"")</f>
        <v/>
      </c>
      <c r="G776" s="1" t="str">
        <f t="shared" si="12"/>
        <v/>
      </c>
    </row>
    <row r="777" spans="3:7" x14ac:dyDescent="0.3">
      <c r="C777" t="str">
        <f>IFERROR(IF(B777="","",VLOOKUP(B777,CadProd!$A:$B,2,0)),"")</f>
        <v/>
      </c>
      <c r="D777" t="str">
        <f>IFERROR(IF(B777="","",VLOOKUP(B777,CadProd!$A:$C,3,0)),"")</f>
        <v/>
      </c>
      <c r="G777" s="1" t="str">
        <f t="shared" si="12"/>
        <v/>
      </c>
    </row>
    <row r="778" spans="3:7" x14ac:dyDescent="0.3">
      <c r="C778" t="str">
        <f>IFERROR(IF(B778="","",VLOOKUP(B778,CadProd!$A:$B,2,0)),"")</f>
        <v/>
      </c>
      <c r="D778" t="str">
        <f>IFERROR(IF(B778="","",VLOOKUP(B778,CadProd!$A:$C,3,0)),"")</f>
        <v/>
      </c>
      <c r="G778" s="1" t="str">
        <f t="shared" si="12"/>
        <v/>
      </c>
    </row>
    <row r="779" spans="3:7" x14ac:dyDescent="0.3">
      <c r="C779" t="str">
        <f>IFERROR(IF(B779="","",VLOOKUP(B779,CadProd!$A:$B,2,0)),"")</f>
        <v/>
      </c>
      <c r="D779" t="str">
        <f>IFERROR(IF(B779="","",VLOOKUP(B779,CadProd!$A:$C,3,0)),"")</f>
        <v/>
      </c>
      <c r="G779" s="1" t="str">
        <f t="shared" si="12"/>
        <v/>
      </c>
    </row>
    <row r="780" spans="3:7" x14ac:dyDescent="0.3">
      <c r="C780" t="str">
        <f>IFERROR(IF(B780="","",VLOOKUP(B780,CadProd!$A:$B,2,0)),"")</f>
        <v/>
      </c>
      <c r="D780" t="str">
        <f>IFERROR(IF(B780="","",VLOOKUP(B780,CadProd!$A:$C,3,0)),"")</f>
        <v/>
      </c>
      <c r="G780" s="1" t="str">
        <f t="shared" si="12"/>
        <v/>
      </c>
    </row>
    <row r="781" spans="3:7" x14ac:dyDescent="0.3">
      <c r="C781" t="str">
        <f>IFERROR(IF(B781="","",VLOOKUP(B781,CadProd!$A:$B,2,0)),"")</f>
        <v/>
      </c>
      <c r="D781" t="str">
        <f>IFERROR(IF(B781="","",VLOOKUP(B781,CadProd!$A:$C,3,0)),"")</f>
        <v/>
      </c>
      <c r="G781" s="1" t="str">
        <f t="shared" si="12"/>
        <v/>
      </c>
    </row>
    <row r="782" spans="3:7" x14ac:dyDescent="0.3">
      <c r="C782" t="str">
        <f>IFERROR(IF(B782="","",VLOOKUP(B782,CadProd!$A:$B,2,0)),"")</f>
        <v/>
      </c>
      <c r="D782" t="str">
        <f>IFERROR(IF(B782="","",VLOOKUP(B782,CadProd!$A:$C,3,0)),"")</f>
        <v/>
      </c>
      <c r="G782" s="1" t="str">
        <f t="shared" si="12"/>
        <v/>
      </c>
    </row>
    <row r="783" spans="3:7" x14ac:dyDescent="0.3">
      <c r="C783" t="str">
        <f>IFERROR(IF(B783="","",VLOOKUP(B783,CadProd!$A:$B,2,0)),"")</f>
        <v/>
      </c>
      <c r="D783" t="str">
        <f>IFERROR(IF(B783="","",VLOOKUP(B783,CadProd!$A:$C,3,0)),"")</f>
        <v/>
      </c>
      <c r="G783" s="1" t="str">
        <f t="shared" si="12"/>
        <v/>
      </c>
    </row>
    <row r="784" spans="3:7" x14ac:dyDescent="0.3">
      <c r="C784" t="str">
        <f>IFERROR(IF(B784="","",VLOOKUP(B784,CadProd!$A:$B,2,0)),"")</f>
        <v/>
      </c>
      <c r="D784" t="str">
        <f>IFERROR(IF(B784="","",VLOOKUP(B784,CadProd!$A:$C,3,0)),"")</f>
        <v/>
      </c>
      <c r="G784" s="1" t="str">
        <f t="shared" si="12"/>
        <v/>
      </c>
    </row>
    <row r="785" spans="3:7" x14ac:dyDescent="0.3">
      <c r="C785" t="str">
        <f>IFERROR(IF(B785="","",VLOOKUP(B785,CadProd!$A:$B,2,0)),"")</f>
        <v/>
      </c>
      <c r="D785" t="str">
        <f>IFERROR(IF(B785="","",VLOOKUP(B785,CadProd!$A:$C,3,0)),"")</f>
        <v/>
      </c>
      <c r="G785" s="1" t="str">
        <f t="shared" si="12"/>
        <v/>
      </c>
    </row>
    <row r="786" spans="3:7" x14ac:dyDescent="0.3">
      <c r="C786" t="str">
        <f>IFERROR(IF(B786="","",VLOOKUP(B786,CadProd!$A:$B,2,0)),"")</f>
        <v/>
      </c>
      <c r="D786" t="str">
        <f>IFERROR(IF(B786="","",VLOOKUP(B786,CadProd!$A:$C,3,0)),"")</f>
        <v/>
      </c>
      <c r="G786" s="1" t="str">
        <f t="shared" si="12"/>
        <v/>
      </c>
    </row>
    <row r="787" spans="3:7" x14ac:dyDescent="0.3">
      <c r="C787" t="str">
        <f>IFERROR(IF(B787="","",VLOOKUP(B787,CadProd!$A:$B,2,0)),"")</f>
        <v/>
      </c>
      <c r="D787" t="str">
        <f>IFERROR(IF(B787="","",VLOOKUP(B787,CadProd!$A:$C,3,0)),"")</f>
        <v/>
      </c>
      <c r="G787" s="1" t="str">
        <f t="shared" si="12"/>
        <v/>
      </c>
    </row>
    <row r="788" spans="3:7" x14ac:dyDescent="0.3">
      <c r="C788" t="str">
        <f>IFERROR(IF(B788="","",VLOOKUP(B788,CadProd!$A:$B,2,0)),"")</f>
        <v/>
      </c>
      <c r="D788" t="str">
        <f>IFERROR(IF(B788="","",VLOOKUP(B788,CadProd!$A:$C,3,0)),"")</f>
        <v/>
      </c>
      <c r="G788" s="1" t="str">
        <f t="shared" si="12"/>
        <v/>
      </c>
    </row>
    <row r="789" spans="3:7" x14ac:dyDescent="0.3">
      <c r="C789" t="str">
        <f>IFERROR(IF(B789="","",VLOOKUP(B789,CadProd!$A:$B,2,0)),"")</f>
        <v/>
      </c>
      <c r="D789" t="str">
        <f>IFERROR(IF(B789="","",VLOOKUP(B789,CadProd!$A:$C,3,0)),"")</f>
        <v/>
      </c>
      <c r="G789" s="1" t="str">
        <f t="shared" si="12"/>
        <v/>
      </c>
    </row>
    <row r="790" spans="3:7" x14ac:dyDescent="0.3">
      <c r="C790" t="str">
        <f>IFERROR(IF(B790="","",VLOOKUP(B790,CadProd!$A:$B,2,0)),"")</f>
        <v/>
      </c>
      <c r="D790" t="str">
        <f>IFERROR(IF(B790="","",VLOOKUP(B790,CadProd!$A:$C,3,0)),"")</f>
        <v/>
      </c>
      <c r="G790" s="1" t="str">
        <f t="shared" si="12"/>
        <v/>
      </c>
    </row>
    <row r="791" spans="3:7" x14ac:dyDescent="0.3">
      <c r="C791" t="str">
        <f>IFERROR(IF(B791="","",VLOOKUP(B791,CadProd!$A:$B,2,0)),"")</f>
        <v/>
      </c>
      <c r="D791" t="str">
        <f>IFERROR(IF(B791="","",VLOOKUP(B791,CadProd!$A:$C,3,0)),"")</f>
        <v/>
      </c>
      <c r="G791" s="1" t="str">
        <f t="shared" si="12"/>
        <v/>
      </c>
    </row>
    <row r="792" spans="3:7" x14ac:dyDescent="0.3">
      <c r="C792" t="str">
        <f>IFERROR(IF(B792="","",VLOOKUP(B792,CadProd!$A:$B,2,0)),"")</f>
        <v/>
      </c>
      <c r="D792" t="str">
        <f>IFERROR(IF(B792="","",VLOOKUP(B792,CadProd!$A:$C,3,0)),"")</f>
        <v/>
      </c>
      <c r="G792" s="1" t="str">
        <f t="shared" si="12"/>
        <v/>
      </c>
    </row>
    <row r="793" spans="3:7" x14ac:dyDescent="0.3">
      <c r="C793" t="str">
        <f>IFERROR(IF(B793="","",VLOOKUP(B793,CadProd!$A:$B,2,0)),"")</f>
        <v/>
      </c>
      <c r="D793" t="str">
        <f>IFERROR(IF(B793="","",VLOOKUP(B793,CadProd!$A:$C,3,0)),"")</f>
        <v/>
      </c>
      <c r="G793" s="1" t="str">
        <f t="shared" si="12"/>
        <v/>
      </c>
    </row>
    <row r="794" spans="3:7" x14ac:dyDescent="0.3">
      <c r="C794" t="str">
        <f>IFERROR(IF(B794="","",VLOOKUP(B794,CadProd!$A:$B,2,0)),"")</f>
        <v/>
      </c>
      <c r="D794" t="str">
        <f>IFERROR(IF(B794="","",VLOOKUP(B794,CadProd!$A:$C,3,0)),"")</f>
        <v/>
      </c>
      <c r="G794" s="1" t="str">
        <f t="shared" si="12"/>
        <v/>
      </c>
    </row>
    <row r="795" spans="3:7" x14ac:dyDescent="0.3">
      <c r="C795" t="str">
        <f>IFERROR(IF(B795="","",VLOOKUP(B795,CadProd!$A:$B,2,0)),"")</f>
        <v/>
      </c>
      <c r="D795" t="str">
        <f>IFERROR(IF(B795="","",VLOOKUP(B795,CadProd!$A:$C,3,0)),"")</f>
        <v/>
      </c>
      <c r="G795" s="1" t="str">
        <f t="shared" si="12"/>
        <v/>
      </c>
    </row>
    <row r="796" spans="3:7" x14ac:dyDescent="0.3">
      <c r="C796" t="str">
        <f>IFERROR(IF(B796="","",VLOOKUP(B796,CadProd!$A:$B,2,0)),"")</f>
        <v/>
      </c>
      <c r="D796" t="str">
        <f>IFERROR(IF(B796="","",VLOOKUP(B796,CadProd!$A:$C,3,0)),"")</f>
        <v/>
      </c>
      <c r="G796" s="1" t="str">
        <f t="shared" si="12"/>
        <v/>
      </c>
    </row>
    <row r="797" spans="3:7" x14ac:dyDescent="0.3">
      <c r="C797" t="str">
        <f>IFERROR(IF(B797="","",VLOOKUP(B797,CadProd!$A:$B,2,0)),"")</f>
        <v/>
      </c>
      <c r="D797" t="str">
        <f>IFERROR(IF(B797="","",VLOOKUP(B797,CadProd!$A:$C,3,0)),"")</f>
        <v/>
      </c>
      <c r="G797" s="1" t="str">
        <f t="shared" si="12"/>
        <v/>
      </c>
    </row>
    <row r="798" spans="3:7" x14ac:dyDescent="0.3">
      <c r="C798" t="str">
        <f>IFERROR(IF(B798="","",VLOOKUP(B798,CadProd!$A:$B,2,0)),"")</f>
        <v/>
      </c>
      <c r="D798" t="str">
        <f>IFERROR(IF(B798="","",VLOOKUP(B798,CadProd!$A:$C,3,0)),"")</f>
        <v/>
      </c>
      <c r="G798" s="1" t="str">
        <f t="shared" si="12"/>
        <v/>
      </c>
    </row>
    <row r="799" spans="3:7" x14ac:dyDescent="0.3">
      <c r="C799" t="str">
        <f>IFERROR(IF(B799="","",VLOOKUP(B799,CadProd!$A:$B,2,0)),"")</f>
        <v/>
      </c>
      <c r="D799" t="str">
        <f>IFERROR(IF(B799="","",VLOOKUP(B799,CadProd!$A:$C,3,0)),"")</f>
        <v/>
      </c>
      <c r="G799" s="1" t="str">
        <f t="shared" si="12"/>
        <v/>
      </c>
    </row>
    <row r="800" spans="3:7" x14ac:dyDescent="0.3">
      <c r="C800" t="str">
        <f>IFERROR(IF(B800="","",VLOOKUP(B800,CadProd!$A:$B,2,0)),"")</f>
        <v/>
      </c>
      <c r="D800" t="str">
        <f>IFERROR(IF(B800="","",VLOOKUP(B800,CadProd!$A:$C,3,0)),"")</f>
        <v/>
      </c>
      <c r="G800" s="1" t="str">
        <f t="shared" si="12"/>
        <v/>
      </c>
    </row>
    <row r="801" spans="3:7" x14ac:dyDescent="0.3">
      <c r="C801" t="str">
        <f>IFERROR(IF(B801="","",VLOOKUP(B801,CadProd!$A:$B,2,0)),"")</f>
        <v/>
      </c>
      <c r="D801" t="str">
        <f>IFERROR(IF(B801="","",VLOOKUP(B801,CadProd!$A:$C,3,0)),"")</f>
        <v/>
      </c>
      <c r="G801" s="1" t="str">
        <f t="shared" si="12"/>
        <v/>
      </c>
    </row>
    <row r="802" spans="3:7" x14ac:dyDescent="0.3">
      <c r="C802" t="str">
        <f>IFERROR(IF(B802="","",VLOOKUP(B802,CadProd!$A:$B,2,0)),"")</f>
        <v/>
      </c>
      <c r="D802" t="str">
        <f>IFERROR(IF(B802="","",VLOOKUP(B802,CadProd!$A:$C,3,0)),"")</f>
        <v/>
      </c>
      <c r="G802" s="1" t="str">
        <f t="shared" si="12"/>
        <v/>
      </c>
    </row>
    <row r="803" spans="3:7" x14ac:dyDescent="0.3">
      <c r="C803" t="str">
        <f>IFERROR(IF(B803="","",VLOOKUP(B803,CadProd!$A:$B,2,0)),"")</f>
        <v/>
      </c>
      <c r="D803" t="str">
        <f>IFERROR(IF(B803="","",VLOOKUP(B803,CadProd!$A:$C,3,0)),"")</f>
        <v/>
      </c>
      <c r="G803" s="1" t="str">
        <f t="shared" si="12"/>
        <v/>
      </c>
    </row>
    <row r="804" spans="3:7" x14ac:dyDescent="0.3">
      <c r="C804" t="str">
        <f>IFERROR(IF(B804="","",VLOOKUP(B804,CadProd!$A:$B,2,0)),"")</f>
        <v/>
      </c>
      <c r="D804" t="str">
        <f>IFERROR(IF(B804="","",VLOOKUP(B804,CadProd!$A:$C,3,0)),"")</f>
        <v/>
      </c>
      <c r="G804" s="1" t="str">
        <f t="shared" si="12"/>
        <v/>
      </c>
    </row>
    <row r="805" spans="3:7" x14ac:dyDescent="0.3">
      <c r="C805" t="str">
        <f>IFERROR(IF(B805="","",VLOOKUP(B805,CadProd!$A:$B,2,0)),"")</f>
        <v/>
      </c>
      <c r="D805" t="str">
        <f>IFERROR(IF(B805="","",VLOOKUP(B805,CadProd!$A:$C,3,0)),"")</f>
        <v/>
      </c>
      <c r="G805" s="1" t="str">
        <f t="shared" si="12"/>
        <v/>
      </c>
    </row>
    <row r="806" spans="3:7" x14ac:dyDescent="0.3">
      <c r="C806" t="str">
        <f>IFERROR(IF(B806="","",VLOOKUP(B806,CadProd!$A:$B,2,0)),"")</f>
        <v/>
      </c>
      <c r="D806" t="str">
        <f>IFERROR(IF(B806="","",VLOOKUP(B806,CadProd!$A:$C,3,0)),"")</f>
        <v/>
      </c>
      <c r="G806" s="1" t="str">
        <f t="shared" si="12"/>
        <v/>
      </c>
    </row>
    <row r="807" spans="3:7" x14ac:dyDescent="0.3">
      <c r="C807" t="str">
        <f>IFERROR(IF(B807="","",VLOOKUP(B807,CadProd!$A:$B,2,0)),"")</f>
        <v/>
      </c>
      <c r="D807" t="str">
        <f>IFERROR(IF(B807="","",VLOOKUP(B807,CadProd!$A:$C,3,0)),"")</f>
        <v/>
      </c>
      <c r="G807" s="1" t="str">
        <f t="shared" si="12"/>
        <v/>
      </c>
    </row>
    <row r="808" spans="3:7" x14ac:dyDescent="0.3">
      <c r="C808" t="str">
        <f>IFERROR(IF(B808="","",VLOOKUP(B808,CadProd!$A:$B,2,0)),"")</f>
        <v/>
      </c>
      <c r="D808" t="str">
        <f>IFERROR(IF(B808="","",VLOOKUP(B808,CadProd!$A:$C,3,0)),"")</f>
        <v/>
      </c>
      <c r="G808" s="1" t="str">
        <f t="shared" si="12"/>
        <v/>
      </c>
    </row>
    <row r="809" spans="3:7" x14ac:dyDescent="0.3">
      <c r="C809" t="str">
        <f>IFERROR(IF(B809="","",VLOOKUP(B809,CadProd!$A:$B,2,0)),"")</f>
        <v/>
      </c>
      <c r="D809" t="str">
        <f>IFERROR(IF(B809="","",VLOOKUP(B809,CadProd!$A:$C,3,0)),"")</f>
        <v/>
      </c>
      <c r="G809" s="1" t="str">
        <f t="shared" si="12"/>
        <v/>
      </c>
    </row>
    <row r="810" spans="3:7" x14ac:dyDescent="0.3">
      <c r="C810" t="str">
        <f>IFERROR(IF(B810="","",VLOOKUP(B810,CadProd!$A:$B,2,0)),"")</f>
        <v/>
      </c>
      <c r="D810" t="str">
        <f>IFERROR(IF(B810="","",VLOOKUP(B810,CadProd!$A:$C,3,0)),"")</f>
        <v/>
      </c>
      <c r="G810" s="1" t="str">
        <f t="shared" si="12"/>
        <v/>
      </c>
    </row>
    <row r="811" spans="3:7" x14ac:dyDescent="0.3">
      <c r="C811" t="str">
        <f>IFERROR(IF(B811="","",VLOOKUP(B811,CadProd!$A:$B,2,0)),"")</f>
        <v/>
      </c>
      <c r="D811" t="str">
        <f>IFERROR(IF(B811="","",VLOOKUP(B811,CadProd!$A:$C,3,0)),"")</f>
        <v/>
      </c>
      <c r="G811" s="1" t="str">
        <f t="shared" si="12"/>
        <v/>
      </c>
    </row>
    <row r="812" spans="3:7" x14ac:dyDescent="0.3">
      <c r="C812" t="str">
        <f>IFERROR(IF(B812="","",VLOOKUP(B812,CadProd!$A:$B,2,0)),"")</f>
        <v/>
      </c>
      <c r="D812" t="str">
        <f>IFERROR(IF(B812="","",VLOOKUP(B812,CadProd!$A:$C,3,0)),"")</f>
        <v/>
      </c>
      <c r="G812" s="1" t="str">
        <f t="shared" si="12"/>
        <v/>
      </c>
    </row>
    <row r="813" spans="3:7" x14ac:dyDescent="0.3">
      <c r="C813" t="str">
        <f>IFERROR(IF(B813="","",VLOOKUP(B813,CadProd!$A:$B,2,0)),"")</f>
        <v/>
      </c>
      <c r="D813" t="str">
        <f>IFERROR(IF(B813="","",VLOOKUP(B813,CadProd!$A:$C,3,0)),"")</f>
        <v/>
      </c>
      <c r="G813" s="1" t="str">
        <f t="shared" si="12"/>
        <v/>
      </c>
    </row>
    <row r="814" spans="3:7" x14ac:dyDescent="0.3">
      <c r="C814" t="str">
        <f>IFERROR(IF(B814="","",VLOOKUP(B814,CadProd!$A:$B,2,0)),"")</f>
        <v/>
      </c>
      <c r="D814" t="str">
        <f>IFERROR(IF(B814="","",VLOOKUP(B814,CadProd!$A:$C,3,0)),"")</f>
        <v/>
      </c>
      <c r="G814" s="1" t="str">
        <f t="shared" si="12"/>
        <v/>
      </c>
    </row>
    <row r="815" spans="3:7" x14ac:dyDescent="0.3">
      <c r="C815" t="str">
        <f>IFERROR(IF(B815="","",VLOOKUP(B815,CadProd!$A:$B,2,0)),"")</f>
        <v/>
      </c>
      <c r="D815" t="str">
        <f>IFERROR(IF(B815="","",VLOOKUP(B815,CadProd!$A:$C,3,0)),"")</f>
        <v/>
      </c>
      <c r="G815" s="1" t="str">
        <f t="shared" si="12"/>
        <v/>
      </c>
    </row>
    <row r="816" spans="3:7" x14ac:dyDescent="0.3">
      <c r="C816" t="str">
        <f>IFERROR(IF(B816="","",VLOOKUP(B816,CadProd!$A:$B,2,0)),"")</f>
        <v/>
      </c>
      <c r="D816" t="str">
        <f>IFERROR(IF(B816="","",VLOOKUP(B816,CadProd!$A:$C,3,0)),"")</f>
        <v/>
      </c>
      <c r="G816" s="1" t="str">
        <f t="shared" si="12"/>
        <v/>
      </c>
    </row>
    <row r="817" spans="3:7" x14ac:dyDescent="0.3">
      <c r="C817" t="str">
        <f>IFERROR(IF(B817="","",VLOOKUP(B817,CadProd!$A:$B,2,0)),"")</f>
        <v/>
      </c>
      <c r="D817" t="str">
        <f>IFERROR(IF(B817="","",VLOOKUP(B817,CadProd!$A:$C,3,0)),"")</f>
        <v/>
      </c>
      <c r="G817" s="1" t="str">
        <f t="shared" si="12"/>
        <v/>
      </c>
    </row>
    <row r="818" spans="3:7" x14ac:dyDescent="0.3">
      <c r="C818" t="str">
        <f>IFERROR(IF(B818="","",VLOOKUP(B818,CadProd!$A:$B,2,0)),"")</f>
        <v/>
      </c>
      <c r="D818" t="str">
        <f>IFERROR(IF(B818="","",VLOOKUP(B818,CadProd!$A:$C,3,0)),"")</f>
        <v/>
      </c>
      <c r="G818" s="1" t="str">
        <f t="shared" si="12"/>
        <v/>
      </c>
    </row>
    <row r="819" spans="3:7" x14ac:dyDescent="0.3">
      <c r="C819" t="str">
        <f>IFERROR(IF(B819="","",VLOOKUP(B819,CadProd!$A:$B,2,0)),"")</f>
        <v/>
      </c>
      <c r="D819" t="str">
        <f>IFERROR(IF(B819="","",VLOOKUP(B819,CadProd!$A:$C,3,0)),"")</f>
        <v/>
      </c>
      <c r="G819" s="1" t="str">
        <f t="shared" si="12"/>
        <v/>
      </c>
    </row>
    <row r="820" spans="3:7" x14ac:dyDescent="0.3">
      <c r="C820" t="str">
        <f>IFERROR(IF(B820="","",VLOOKUP(B820,CadProd!$A:$B,2,0)),"")</f>
        <v/>
      </c>
      <c r="D820" t="str">
        <f>IFERROR(IF(B820="","",VLOOKUP(B820,CadProd!$A:$C,3,0)),"")</f>
        <v/>
      </c>
      <c r="G820" s="1" t="str">
        <f t="shared" si="12"/>
        <v/>
      </c>
    </row>
    <row r="821" spans="3:7" x14ac:dyDescent="0.3">
      <c r="C821" t="str">
        <f>IFERROR(IF(B821="","",VLOOKUP(B821,CadProd!$A:$B,2,0)),"")</f>
        <v/>
      </c>
      <c r="D821" t="str">
        <f>IFERROR(IF(B821="","",VLOOKUP(B821,CadProd!$A:$C,3,0)),"")</f>
        <v/>
      </c>
      <c r="G821" s="1" t="str">
        <f t="shared" si="12"/>
        <v/>
      </c>
    </row>
    <row r="822" spans="3:7" x14ac:dyDescent="0.3">
      <c r="C822" t="str">
        <f>IFERROR(IF(B822="","",VLOOKUP(B822,CadProd!$A:$B,2,0)),"")</f>
        <v/>
      </c>
      <c r="D822" t="str">
        <f>IFERROR(IF(B822="","",VLOOKUP(B822,CadProd!$A:$C,3,0)),"")</f>
        <v/>
      </c>
      <c r="G822" s="1" t="str">
        <f t="shared" si="12"/>
        <v/>
      </c>
    </row>
    <row r="823" spans="3:7" x14ac:dyDescent="0.3">
      <c r="C823" t="str">
        <f>IFERROR(IF(B823="","",VLOOKUP(B823,CadProd!$A:$B,2,0)),"")</f>
        <v/>
      </c>
      <c r="D823" t="str">
        <f>IFERROR(IF(B823="","",VLOOKUP(B823,CadProd!$A:$C,3,0)),"")</f>
        <v/>
      </c>
      <c r="G823" s="1" t="str">
        <f t="shared" si="12"/>
        <v/>
      </c>
    </row>
    <row r="824" spans="3:7" x14ac:dyDescent="0.3">
      <c r="C824" t="str">
        <f>IFERROR(IF(B824="","",VLOOKUP(B824,CadProd!$A:$B,2,0)),"")</f>
        <v/>
      </c>
      <c r="D824" t="str">
        <f>IFERROR(IF(B824="","",VLOOKUP(B824,CadProd!$A:$C,3,0)),"")</f>
        <v/>
      </c>
      <c r="G824" s="1" t="str">
        <f t="shared" si="12"/>
        <v/>
      </c>
    </row>
    <row r="825" spans="3:7" x14ac:dyDescent="0.3">
      <c r="C825" t="str">
        <f>IFERROR(IF(B825="","",VLOOKUP(B825,CadProd!$A:$B,2,0)),"")</f>
        <v/>
      </c>
      <c r="D825" t="str">
        <f>IFERROR(IF(B825="","",VLOOKUP(B825,CadProd!$A:$C,3,0)),"")</f>
        <v/>
      </c>
      <c r="G825" s="1" t="str">
        <f t="shared" si="12"/>
        <v/>
      </c>
    </row>
    <row r="826" spans="3:7" x14ac:dyDescent="0.3">
      <c r="C826" t="str">
        <f>IFERROR(IF(B826="","",VLOOKUP(B826,CadProd!$A:$B,2,0)),"")</f>
        <v/>
      </c>
      <c r="D826" t="str">
        <f>IFERROR(IF(B826="","",VLOOKUP(B826,CadProd!$A:$C,3,0)),"")</f>
        <v/>
      </c>
      <c r="G826" s="1" t="str">
        <f t="shared" si="12"/>
        <v/>
      </c>
    </row>
    <row r="827" spans="3:7" x14ac:dyDescent="0.3">
      <c r="C827" t="str">
        <f>IFERROR(IF(B827="","",VLOOKUP(B827,CadProd!$A:$B,2,0)),"")</f>
        <v/>
      </c>
      <c r="D827" t="str">
        <f>IFERROR(IF(B827="","",VLOOKUP(B827,CadProd!$A:$C,3,0)),"")</f>
        <v/>
      </c>
      <c r="G827" s="1" t="str">
        <f t="shared" si="12"/>
        <v/>
      </c>
    </row>
    <row r="828" spans="3:7" x14ac:dyDescent="0.3">
      <c r="C828" t="str">
        <f>IFERROR(IF(B828="","",VLOOKUP(B828,CadProd!$A:$B,2,0)),"")</f>
        <v/>
      </c>
      <c r="D828" t="str">
        <f>IFERROR(IF(B828="","",VLOOKUP(B828,CadProd!$A:$C,3,0)),"")</f>
        <v/>
      </c>
      <c r="G828" s="1" t="str">
        <f t="shared" si="12"/>
        <v/>
      </c>
    </row>
    <row r="829" spans="3:7" x14ac:dyDescent="0.3">
      <c r="C829" t="str">
        <f>IFERROR(IF(B829="","",VLOOKUP(B829,CadProd!$A:$B,2,0)),"")</f>
        <v/>
      </c>
      <c r="D829" t="str">
        <f>IFERROR(IF(B829="","",VLOOKUP(B829,CadProd!$A:$C,3,0)),"")</f>
        <v/>
      </c>
      <c r="G829" s="1" t="str">
        <f t="shared" si="12"/>
        <v/>
      </c>
    </row>
    <row r="830" spans="3:7" x14ac:dyDescent="0.3">
      <c r="C830" t="str">
        <f>IFERROR(IF(B830="","",VLOOKUP(B830,CadProd!$A:$B,2,0)),"")</f>
        <v/>
      </c>
      <c r="D830" t="str">
        <f>IFERROR(IF(B830="","",VLOOKUP(B830,CadProd!$A:$C,3,0)),"")</f>
        <v/>
      </c>
      <c r="G830" s="1" t="str">
        <f t="shared" si="12"/>
        <v/>
      </c>
    </row>
    <row r="831" spans="3:7" x14ac:dyDescent="0.3">
      <c r="C831" t="str">
        <f>IFERROR(IF(B831="","",VLOOKUP(B831,CadProd!$A:$B,2,0)),"")</f>
        <v/>
      </c>
      <c r="D831" t="str">
        <f>IFERROR(IF(B831="","",VLOOKUP(B831,CadProd!$A:$C,3,0)),"")</f>
        <v/>
      </c>
      <c r="G831" s="1" t="str">
        <f t="shared" si="12"/>
        <v/>
      </c>
    </row>
    <row r="832" spans="3:7" x14ac:dyDescent="0.3">
      <c r="C832" t="str">
        <f>IFERROR(IF(B832="","",VLOOKUP(B832,CadProd!$A:$B,2,0)),"")</f>
        <v/>
      </c>
      <c r="D832" t="str">
        <f>IFERROR(IF(B832="","",VLOOKUP(B832,CadProd!$A:$C,3,0)),"")</f>
        <v/>
      </c>
      <c r="G832" s="1" t="str">
        <f t="shared" si="12"/>
        <v/>
      </c>
    </row>
    <row r="833" spans="3:7" x14ac:dyDescent="0.3">
      <c r="C833" t="str">
        <f>IFERROR(IF(B833="","",VLOOKUP(B833,CadProd!$A:$B,2,0)),"")</f>
        <v/>
      </c>
      <c r="D833" t="str">
        <f>IFERROR(IF(B833="","",VLOOKUP(B833,CadProd!$A:$C,3,0)),"")</f>
        <v/>
      </c>
      <c r="G833" s="1" t="str">
        <f t="shared" si="12"/>
        <v/>
      </c>
    </row>
    <row r="834" spans="3:7" x14ac:dyDescent="0.3">
      <c r="C834" t="str">
        <f>IFERROR(IF(B834="","",VLOOKUP(B834,CadProd!$A:$B,2,0)),"")</f>
        <v/>
      </c>
      <c r="D834" t="str">
        <f>IFERROR(IF(B834="","",VLOOKUP(B834,CadProd!$A:$C,3,0)),"")</f>
        <v/>
      </c>
      <c r="G834" s="1" t="str">
        <f t="shared" ref="G834:G897" si="13">IFERROR(IF(B834="","",F834*E834),"")</f>
        <v/>
      </c>
    </row>
    <row r="835" spans="3:7" x14ac:dyDescent="0.3">
      <c r="C835" t="str">
        <f>IFERROR(IF(B835="","",VLOOKUP(B835,CadProd!$A:$B,2,0)),"")</f>
        <v/>
      </c>
      <c r="D835" t="str">
        <f>IFERROR(IF(B835="","",VLOOKUP(B835,CadProd!$A:$C,3,0)),"")</f>
        <v/>
      </c>
      <c r="G835" s="1" t="str">
        <f t="shared" si="13"/>
        <v/>
      </c>
    </row>
    <row r="836" spans="3:7" x14ac:dyDescent="0.3">
      <c r="C836" t="str">
        <f>IFERROR(IF(B836="","",VLOOKUP(B836,CadProd!$A:$B,2,0)),"")</f>
        <v/>
      </c>
      <c r="D836" t="str">
        <f>IFERROR(IF(B836="","",VLOOKUP(B836,CadProd!$A:$C,3,0)),"")</f>
        <v/>
      </c>
      <c r="G836" s="1" t="str">
        <f t="shared" si="13"/>
        <v/>
      </c>
    </row>
    <row r="837" spans="3:7" x14ac:dyDescent="0.3">
      <c r="C837" t="str">
        <f>IFERROR(IF(B837="","",VLOOKUP(B837,CadProd!$A:$B,2,0)),"")</f>
        <v/>
      </c>
      <c r="D837" t="str">
        <f>IFERROR(IF(B837="","",VLOOKUP(B837,CadProd!$A:$C,3,0)),"")</f>
        <v/>
      </c>
      <c r="G837" s="1" t="str">
        <f t="shared" si="13"/>
        <v/>
      </c>
    </row>
    <row r="838" spans="3:7" x14ac:dyDescent="0.3">
      <c r="C838" t="str">
        <f>IFERROR(IF(B838="","",VLOOKUP(B838,CadProd!$A:$B,2,0)),"")</f>
        <v/>
      </c>
      <c r="D838" t="str">
        <f>IFERROR(IF(B838="","",VLOOKUP(B838,CadProd!$A:$C,3,0)),"")</f>
        <v/>
      </c>
      <c r="G838" s="1" t="str">
        <f t="shared" si="13"/>
        <v/>
      </c>
    </row>
    <row r="839" spans="3:7" x14ac:dyDescent="0.3">
      <c r="C839" t="str">
        <f>IFERROR(IF(B839="","",VLOOKUP(B839,CadProd!$A:$B,2,0)),"")</f>
        <v/>
      </c>
      <c r="D839" t="str">
        <f>IFERROR(IF(B839="","",VLOOKUP(B839,CadProd!$A:$C,3,0)),"")</f>
        <v/>
      </c>
      <c r="G839" s="1" t="str">
        <f t="shared" si="13"/>
        <v/>
      </c>
    </row>
    <row r="840" spans="3:7" x14ac:dyDescent="0.3">
      <c r="C840" t="str">
        <f>IFERROR(IF(B840="","",VLOOKUP(B840,CadProd!$A:$B,2,0)),"")</f>
        <v/>
      </c>
      <c r="D840" t="str">
        <f>IFERROR(IF(B840="","",VLOOKUP(B840,CadProd!$A:$C,3,0)),"")</f>
        <v/>
      </c>
      <c r="G840" s="1" t="str">
        <f t="shared" si="13"/>
        <v/>
      </c>
    </row>
    <row r="841" spans="3:7" x14ac:dyDescent="0.3">
      <c r="C841" t="str">
        <f>IFERROR(IF(B841="","",VLOOKUP(B841,CadProd!$A:$B,2,0)),"")</f>
        <v/>
      </c>
      <c r="D841" t="str">
        <f>IFERROR(IF(B841="","",VLOOKUP(B841,CadProd!$A:$C,3,0)),"")</f>
        <v/>
      </c>
      <c r="G841" s="1" t="str">
        <f t="shared" si="13"/>
        <v/>
      </c>
    </row>
    <row r="842" spans="3:7" x14ac:dyDescent="0.3">
      <c r="C842" t="str">
        <f>IFERROR(IF(B842="","",VLOOKUP(B842,CadProd!$A:$B,2,0)),"")</f>
        <v/>
      </c>
      <c r="D842" t="str">
        <f>IFERROR(IF(B842="","",VLOOKUP(B842,CadProd!$A:$C,3,0)),"")</f>
        <v/>
      </c>
      <c r="G842" s="1" t="str">
        <f t="shared" si="13"/>
        <v/>
      </c>
    </row>
    <row r="843" spans="3:7" x14ac:dyDescent="0.3">
      <c r="C843" t="str">
        <f>IFERROR(IF(B843="","",VLOOKUP(B843,CadProd!$A:$B,2,0)),"")</f>
        <v/>
      </c>
      <c r="D843" t="str">
        <f>IFERROR(IF(B843="","",VLOOKUP(B843,CadProd!$A:$C,3,0)),"")</f>
        <v/>
      </c>
      <c r="G843" s="1" t="str">
        <f t="shared" si="13"/>
        <v/>
      </c>
    </row>
    <row r="844" spans="3:7" x14ac:dyDescent="0.3">
      <c r="C844" t="str">
        <f>IFERROR(IF(B844="","",VLOOKUP(B844,CadProd!$A:$B,2,0)),"")</f>
        <v/>
      </c>
      <c r="D844" t="str">
        <f>IFERROR(IF(B844="","",VLOOKUP(B844,CadProd!$A:$C,3,0)),"")</f>
        <v/>
      </c>
      <c r="G844" s="1" t="str">
        <f t="shared" si="13"/>
        <v/>
      </c>
    </row>
    <row r="845" spans="3:7" x14ac:dyDescent="0.3">
      <c r="C845" t="str">
        <f>IFERROR(IF(B845="","",VLOOKUP(B845,CadProd!$A:$B,2,0)),"")</f>
        <v/>
      </c>
      <c r="D845" t="str">
        <f>IFERROR(IF(B845="","",VLOOKUP(B845,CadProd!$A:$C,3,0)),"")</f>
        <v/>
      </c>
      <c r="G845" s="1" t="str">
        <f t="shared" si="13"/>
        <v/>
      </c>
    </row>
    <row r="846" spans="3:7" x14ac:dyDescent="0.3">
      <c r="C846" t="str">
        <f>IFERROR(IF(B846="","",VLOOKUP(B846,CadProd!$A:$B,2,0)),"")</f>
        <v/>
      </c>
      <c r="D846" t="str">
        <f>IFERROR(IF(B846="","",VLOOKUP(B846,CadProd!$A:$C,3,0)),"")</f>
        <v/>
      </c>
      <c r="G846" s="1" t="str">
        <f t="shared" si="13"/>
        <v/>
      </c>
    </row>
    <row r="847" spans="3:7" x14ac:dyDescent="0.3">
      <c r="C847" t="str">
        <f>IFERROR(IF(B847="","",VLOOKUP(B847,CadProd!$A:$B,2,0)),"")</f>
        <v/>
      </c>
      <c r="D847" t="str">
        <f>IFERROR(IF(B847="","",VLOOKUP(B847,CadProd!$A:$C,3,0)),"")</f>
        <v/>
      </c>
      <c r="G847" s="1" t="str">
        <f t="shared" si="13"/>
        <v/>
      </c>
    </row>
    <row r="848" spans="3:7" x14ac:dyDescent="0.3">
      <c r="C848" t="str">
        <f>IFERROR(IF(B848="","",VLOOKUP(B848,CadProd!$A:$B,2,0)),"")</f>
        <v/>
      </c>
      <c r="D848" t="str">
        <f>IFERROR(IF(B848="","",VLOOKUP(B848,CadProd!$A:$C,3,0)),"")</f>
        <v/>
      </c>
      <c r="G848" s="1" t="str">
        <f t="shared" si="13"/>
        <v/>
      </c>
    </row>
    <row r="849" spans="3:7" x14ac:dyDescent="0.3">
      <c r="C849" t="str">
        <f>IFERROR(IF(B849="","",VLOOKUP(B849,CadProd!$A:$B,2,0)),"")</f>
        <v/>
      </c>
      <c r="D849" t="str">
        <f>IFERROR(IF(B849="","",VLOOKUP(B849,CadProd!$A:$C,3,0)),"")</f>
        <v/>
      </c>
      <c r="G849" s="1" t="str">
        <f t="shared" si="13"/>
        <v/>
      </c>
    </row>
    <row r="850" spans="3:7" x14ac:dyDescent="0.3">
      <c r="C850" t="str">
        <f>IFERROR(IF(B850="","",VLOOKUP(B850,CadProd!$A:$B,2,0)),"")</f>
        <v/>
      </c>
      <c r="D850" t="str">
        <f>IFERROR(IF(B850="","",VLOOKUP(B850,CadProd!$A:$C,3,0)),"")</f>
        <v/>
      </c>
      <c r="G850" s="1" t="str">
        <f t="shared" si="13"/>
        <v/>
      </c>
    </row>
    <row r="851" spans="3:7" x14ac:dyDescent="0.3">
      <c r="C851" t="str">
        <f>IFERROR(IF(B851="","",VLOOKUP(B851,CadProd!$A:$B,2,0)),"")</f>
        <v/>
      </c>
      <c r="D851" t="str">
        <f>IFERROR(IF(B851="","",VLOOKUP(B851,CadProd!$A:$C,3,0)),"")</f>
        <v/>
      </c>
      <c r="G851" s="1" t="str">
        <f t="shared" si="13"/>
        <v/>
      </c>
    </row>
    <row r="852" spans="3:7" x14ac:dyDescent="0.3">
      <c r="C852" t="str">
        <f>IFERROR(IF(B852="","",VLOOKUP(B852,CadProd!$A:$B,2,0)),"")</f>
        <v/>
      </c>
      <c r="D852" t="str">
        <f>IFERROR(IF(B852="","",VLOOKUP(B852,CadProd!$A:$C,3,0)),"")</f>
        <v/>
      </c>
      <c r="G852" s="1" t="str">
        <f t="shared" si="13"/>
        <v/>
      </c>
    </row>
    <row r="853" spans="3:7" x14ac:dyDescent="0.3">
      <c r="C853" t="str">
        <f>IFERROR(IF(B853="","",VLOOKUP(B853,CadProd!$A:$B,2,0)),"")</f>
        <v/>
      </c>
      <c r="D853" t="str">
        <f>IFERROR(IF(B853="","",VLOOKUP(B853,CadProd!$A:$C,3,0)),"")</f>
        <v/>
      </c>
      <c r="G853" s="1" t="str">
        <f t="shared" si="13"/>
        <v/>
      </c>
    </row>
    <row r="854" spans="3:7" x14ac:dyDescent="0.3">
      <c r="C854" t="str">
        <f>IFERROR(IF(B854="","",VLOOKUP(B854,CadProd!$A:$B,2,0)),"")</f>
        <v/>
      </c>
      <c r="D854" t="str">
        <f>IFERROR(IF(B854="","",VLOOKUP(B854,CadProd!$A:$C,3,0)),"")</f>
        <v/>
      </c>
      <c r="G854" s="1" t="str">
        <f t="shared" si="13"/>
        <v/>
      </c>
    </row>
    <row r="855" spans="3:7" x14ac:dyDescent="0.3">
      <c r="C855" t="str">
        <f>IFERROR(IF(B855="","",VLOOKUP(B855,CadProd!$A:$B,2,0)),"")</f>
        <v/>
      </c>
      <c r="D855" t="str">
        <f>IFERROR(IF(B855="","",VLOOKUP(B855,CadProd!$A:$C,3,0)),"")</f>
        <v/>
      </c>
      <c r="G855" s="1" t="str">
        <f t="shared" si="13"/>
        <v/>
      </c>
    </row>
    <row r="856" spans="3:7" x14ac:dyDescent="0.3">
      <c r="C856" t="str">
        <f>IFERROR(IF(B856="","",VLOOKUP(B856,CadProd!$A:$B,2,0)),"")</f>
        <v/>
      </c>
      <c r="D856" t="str">
        <f>IFERROR(IF(B856="","",VLOOKUP(B856,CadProd!$A:$C,3,0)),"")</f>
        <v/>
      </c>
      <c r="G856" s="1" t="str">
        <f t="shared" si="13"/>
        <v/>
      </c>
    </row>
    <row r="857" spans="3:7" x14ac:dyDescent="0.3">
      <c r="C857" t="str">
        <f>IFERROR(IF(B857="","",VLOOKUP(B857,CadProd!$A:$B,2,0)),"")</f>
        <v/>
      </c>
      <c r="D857" t="str">
        <f>IFERROR(IF(B857="","",VLOOKUP(B857,CadProd!$A:$C,3,0)),"")</f>
        <v/>
      </c>
      <c r="G857" s="1" t="str">
        <f t="shared" si="13"/>
        <v/>
      </c>
    </row>
    <row r="858" spans="3:7" x14ac:dyDescent="0.3">
      <c r="C858" t="str">
        <f>IFERROR(IF(B858="","",VLOOKUP(B858,CadProd!$A:$B,2,0)),"")</f>
        <v/>
      </c>
      <c r="D858" t="str">
        <f>IFERROR(IF(B858="","",VLOOKUP(B858,CadProd!$A:$C,3,0)),"")</f>
        <v/>
      </c>
      <c r="G858" s="1" t="str">
        <f t="shared" si="13"/>
        <v/>
      </c>
    </row>
    <row r="859" spans="3:7" x14ac:dyDescent="0.3">
      <c r="C859" t="str">
        <f>IFERROR(IF(B859="","",VLOOKUP(B859,CadProd!$A:$B,2,0)),"")</f>
        <v/>
      </c>
      <c r="D859" t="str">
        <f>IFERROR(IF(B859="","",VLOOKUP(B859,CadProd!$A:$C,3,0)),"")</f>
        <v/>
      </c>
      <c r="G859" s="1" t="str">
        <f t="shared" si="13"/>
        <v/>
      </c>
    </row>
    <row r="860" spans="3:7" x14ac:dyDescent="0.3">
      <c r="C860" t="str">
        <f>IFERROR(IF(B860="","",VLOOKUP(B860,CadProd!$A:$B,2,0)),"")</f>
        <v/>
      </c>
      <c r="D860" t="str">
        <f>IFERROR(IF(B860="","",VLOOKUP(B860,CadProd!$A:$C,3,0)),"")</f>
        <v/>
      </c>
      <c r="G860" s="1" t="str">
        <f t="shared" si="13"/>
        <v/>
      </c>
    </row>
    <row r="861" spans="3:7" x14ac:dyDescent="0.3">
      <c r="C861" t="str">
        <f>IFERROR(IF(B861="","",VLOOKUP(B861,CadProd!$A:$B,2,0)),"")</f>
        <v/>
      </c>
      <c r="D861" t="str">
        <f>IFERROR(IF(B861="","",VLOOKUP(B861,CadProd!$A:$C,3,0)),"")</f>
        <v/>
      </c>
      <c r="G861" s="1" t="str">
        <f t="shared" si="13"/>
        <v/>
      </c>
    </row>
    <row r="862" spans="3:7" x14ac:dyDescent="0.3">
      <c r="C862" t="str">
        <f>IFERROR(IF(B862="","",VLOOKUP(B862,CadProd!$A:$B,2,0)),"")</f>
        <v/>
      </c>
      <c r="D862" t="str">
        <f>IFERROR(IF(B862="","",VLOOKUP(B862,CadProd!$A:$C,3,0)),"")</f>
        <v/>
      </c>
      <c r="G862" s="1" t="str">
        <f t="shared" si="13"/>
        <v/>
      </c>
    </row>
    <row r="863" spans="3:7" x14ac:dyDescent="0.3">
      <c r="C863" t="str">
        <f>IFERROR(IF(B863="","",VLOOKUP(B863,CadProd!$A:$B,2,0)),"")</f>
        <v/>
      </c>
      <c r="D863" t="str">
        <f>IFERROR(IF(B863="","",VLOOKUP(B863,CadProd!$A:$C,3,0)),"")</f>
        <v/>
      </c>
      <c r="G863" s="1" t="str">
        <f t="shared" si="13"/>
        <v/>
      </c>
    </row>
    <row r="864" spans="3:7" x14ac:dyDescent="0.3">
      <c r="C864" t="str">
        <f>IFERROR(IF(B864="","",VLOOKUP(B864,CadProd!$A:$B,2,0)),"")</f>
        <v/>
      </c>
      <c r="D864" t="str">
        <f>IFERROR(IF(B864="","",VLOOKUP(B864,CadProd!$A:$C,3,0)),"")</f>
        <v/>
      </c>
      <c r="G864" s="1" t="str">
        <f t="shared" si="13"/>
        <v/>
      </c>
    </row>
    <row r="865" spans="3:7" x14ac:dyDescent="0.3">
      <c r="C865" t="str">
        <f>IFERROR(IF(B865="","",VLOOKUP(B865,CadProd!$A:$B,2,0)),"")</f>
        <v/>
      </c>
      <c r="D865" t="str">
        <f>IFERROR(IF(B865="","",VLOOKUP(B865,CadProd!$A:$C,3,0)),"")</f>
        <v/>
      </c>
      <c r="G865" s="1" t="str">
        <f t="shared" si="13"/>
        <v/>
      </c>
    </row>
    <row r="866" spans="3:7" x14ac:dyDescent="0.3">
      <c r="C866" t="str">
        <f>IFERROR(IF(B866="","",VLOOKUP(B866,CadProd!$A:$B,2,0)),"")</f>
        <v/>
      </c>
      <c r="D866" t="str">
        <f>IFERROR(IF(B866="","",VLOOKUP(B866,CadProd!$A:$C,3,0)),"")</f>
        <v/>
      </c>
      <c r="G866" s="1" t="str">
        <f t="shared" si="13"/>
        <v/>
      </c>
    </row>
    <row r="867" spans="3:7" x14ac:dyDescent="0.3">
      <c r="C867" t="str">
        <f>IFERROR(IF(B867="","",VLOOKUP(B867,CadProd!$A:$B,2,0)),"")</f>
        <v/>
      </c>
      <c r="D867" t="str">
        <f>IFERROR(IF(B867="","",VLOOKUP(B867,CadProd!$A:$C,3,0)),"")</f>
        <v/>
      </c>
      <c r="G867" s="1" t="str">
        <f t="shared" si="13"/>
        <v/>
      </c>
    </row>
    <row r="868" spans="3:7" x14ac:dyDescent="0.3">
      <c r="C868" t="str">
        <f>IFERROR(IF(B868="","",VLOOKUP(B868,CadProd!$A:$B,2,0)),"")</f>
        <v/>
      </c>
      <c r="D868" t="str">
        <f>IFERROR(IF(B868="","",VLOOKUP(B868,CadProd!$A:$C,3,0)),"")</f>
        <v/>
      </c>
      <c r="G868" s="1" t="str">
        <f t="shared" si="13"/>
        <v/>
      </c>
    </row>
    <row r="869" spans="3:7" x14ac:dyDescent="0.3">
      <c r="C869" t="str">
        <f>IFERROR(IF(B869="","",VLOOKUP(B869,CadProd!$A:$B,2,0)),"")</f>
        <v/>
      </c>
      <c r="D869" t="str">
        <f>IFERROR(IF(B869="","",VLOOKUP(B869,CadProd!$A:$C,3,0)),"")</f>
        <v/>
      </c>
      <c r="G869" s="1" t="str">
        <f t="shared" si="13"/>
        <v/>
      </c>
    </row>
    <row r="870" spans="3:7" x14ac:dyDescent="0.3">
      <c r="C870" t="str">
        <f>IFERROR(IF(B870="","",VLOOKUP(B870,CadProd!$A:$B,2,0)),"")</f>
        <v/>
      </c>
      <c r="D870" t="str">
        <f>IFERROR(IF(B870="","",VLOOKUP(B870,CadProd!$A:$C,3,0)),"")</f>
        <v/>
      </c>
      <c r="G870" s="1" t="str">
        <f t="shared" si="13"/>
        <v/>
      </c>
    </row>
    <row r="871" spans="3:7" x14ac:dyDescent="0.3">
      <c r="C871" t="str">
        <f>IFERROR(IF(B871="","",VLOOKUP(B871,CadProd!$A:$B,2,0)),"")</f>
        <v/>
      </c>
      <c r="D871" t="str">
        <f>IFERROR(IF(B871="","",VLOOKUP(B871,CadProd!$A:$C,3,0)),"")</f>
        <v/>
      </c>
      <c r="G871" s="1" t="str">
        <f t="shared" si="13"/>
        <v/>
      </c>
    </row>
    <row r="872" spans="3:7" x14ac:dyDescent="0.3">
      <c r="C872" t="str">
        <f>IFERROR(IF(B872="","",VLOOKUP(B872,CadProd!$A:$B,2,0)),"")</f>
        <v/>
      </c>
      <c r="D872" t="str">
        <f>IFERROR(IF(B872="","",VLOOKUP(B872,CadProd!$A:$C,3,0)),"")</f>
        <v/>
      </c>
      <c r="G872" s="1" t="str">
        <f t="shared" si="13"/>
        <v/>
      </c>
    </row>
    <row r="873" spans="3:7" x14ac:dyDescent="0.3">
      <c r="C873" t="str">
        <f>IFERROR(IF(B873="","",VLOOKUP(B873,CadProd!$A:$B,2,0)),"")</f>
        <v/>
      </c>
      <c r="D873" t="str">
        <f>IFERROR(IF(B873="","",VLOOKUP(B873,CadProd!$A:$C,3,0)),"")</f>
        <v/>
      </c>
      <c r="G873" s="1" t="str">
        <f t="shared" si="13"/>
        <v/>
      </c>
    </row>
    <row r="874" spans="3:7" x14ac:dyDescent="0.3">
      <c r="C874" t="str">
        <f>IFERROR(IF(B874="","",VLOOKUP(B874,CadProd!$A:$B,2,0)),"")</f>
        <v/>
      </c>
      <c r="D874" t="str">
        <f>IFERROR(IF(B874="","",VLOOKUP(B874,CadProd!$A:$C,3,0)),"")</f>
        <v/>
      </c>
      <c r="G874" s="1" t="str">
        <f t="shared" si="13"/>
        <v/>
      </c>
    </row>
    <row r="875" spans="3:7" x14ac:dyDescent="0.3">
      <c r="C875" t="str">
        <f>IFERROR(IF(B875="","",VLOOKUP(B875,CadProd!$A:$B,2,0)),"")</f>
        <v/>
      </c>
      <c r="D875" t="str">
        <f>IFERROR(IF(B875="","",VLOOKUP(B875,CadProd!$A:$C,3,0)),"")</f>
        <v/>
      </c>
      <c r="G875" s="1" t="str">
        <f t="shared" si="13"/>
        <v/>
      </c>
    </row>
    <row r="876" spans="3:7" x14ac:dyDescent="0.3">
      <c r="C876" t="str">
        <f>IFERROR(IF(B876="","",VLOOKUP(B876,CadProd!$A:$B,2,0)),"")</f>
        <v/>
      </c>
      <c r="D876" t="str">
        <f>IFERROR(IF(B876="","",VLOOKUP(B876,CadProd!$A:$C,3,0)),"")</f>
        <v/>
      </c>
      <c r="G876" s="1" t="str">
        <f t="shared" si="13"/>
        <v/>
      </c>
    </row>
    <row r="877" spans="3:7" x14ac:dyDescent="0.3">
      <c r="C877" t="str">
        <f>IFERROR(IF(B877="","",VLOOKUP(B877,CadProd!$A:$B,2,0)),"")</f>
        <v/>
      </c>
      <c r="D877" t="str">
        <f>IFERROR(IF(B877="","",VLOOKUP(B877,CadProd!$A:$C,3,0)),"")</f>
        <v/>
      </c>
      <c r="G877" s="1" t="str">
        <f t="shared" si="13"/>
        <v/>
      </c>
    </row>
    <row r="878" spans="3:7" x14ac:dyDescent="0.3">
      <c r="C878" t="str">
        <f>IFERROR(IF(B878="","",VLOOKUP(B878,CadProd!$A:$B,2,0)),"")</f>
        <v/>
      </c>
      <c r="D878" t="str">
        <f>IFERROR(IF(B878="","",VLOOKUP(B878,CadProd!$A:$C,3,0)),"")</f>
        <v/>
      </c>
      <c r="G878" s="1" t="str">
        <f t="shared" si="13"/>
        <v/>
      </c>
    </row>
    <row r="879" spans="3:7" x14ac:dyDescent="0.3">
      <c r="C879" t="str">
        <f>IFERROR(IF(B879="","",VLOOKUP(B879,CadProd!$A:$B,2,0)),"")</f>
        <v/>
      </c>
      <c r="D879" t="str">
        <f>IFERROR(IF(B879="","",VLOOKUP(B879,CadProd!$A:$C,3,0)),"")</f>
        <v/>
      </c>
      <c r="G879" s="1" t="str">
        <f t="shared" si="13"/>
        <v/>
      </c>
    </row>
    <row r="880" spans="3:7" x14ac:dyDescent="0.3">
      <c r="C880" t="str">
        <f>IFERROR(IF(B880="","",VLOOKUP(B880,CadProd!$A:$B,2,0)),"")</f>
        <v/>
      </c>
      <c r="D880" t="str">
        <f>IFERROR(IF(B880="","",VLOOKUP(B880,CadProd!$A:$C,3,0)),"")</f>
        <v/>
      </c>
      <c r="G880" s="1" t="str">
        <f t="shared" si="13"/>
        <v/>
      </c>
    </row>
    <row r="881" spans="3:7" x14ac:dyDescent="0.3">
      <c r="C881" t="str">
        <f>IFERROR(IF(B881="","",VLOOKUP(B881,CadProd!$A:$B,2,0)),"")</f>
        <v/>
      </c>
      <c r="D881" t="str">
        <f>IFERROR(IF(B881="","",VLOOKUP(B881,CadProd!$A:$C,3,0)),"")</f>
        <v/>
      </c>
      <c r="G881" s="1" t="str">
        <f t="shared" si="13"/>
        <v/>
      </c>
    </row>
    <row r="882" spans="3:7" x14ac:dyDescent="0.3">
      <c r="C882" t="str">
        <f>IFERROR(IF(B882="","",VLOOKUP(B882,CadProd!$A:$B,2,0)),"")</f>
        <v/>
      </c>
      <c r="D882" t="str">
        <f>IFERROR(IF(B882="","",VLOOKUP(B882,CadProd!$A:$C,3,0)),"")</f>
        <v/>
      </c>
      <c r="G882" s="1" t="str">
        <f t="shared" si="13"/>
        <v/>
      </c>
    </row>
    <row r="883" spans="3:7" x14ac:dyDescent="0.3">
      <c r="C883" t="str">
        <f>IFERROR(IF(B883="","",VLOOKUP(B883,CadProd!$A:$B,2,0)),"")</f>
        <v/>
      </c>
      <c r="D883" t="str">
        <f>IFERROR(IF(B883="","",VLOOKUP(B883,CadProd!$A:$C,3,0)),"")</f>
        <v/>
      </c>
      <c r="G883" s="1" t="str">
        <f t="shared" si="13"/>
        <v/>
      </c>
    </row>
    <row r="884" spans="3:7" x14ac:dyDescent="0.3">
      <c r="C884" t="str">
        <f>IFERROR(IF(B884="","",VLOOKUP(B884,CadProd!$A:$B,2,0)),"")</f>
        <v/>
      </c>
      <c r="D884" t="str">
        <f>IFERROR(IF(B884="","",VLOOKUP(B884,CadProd!$A:$C,3,0)),"")</f>
        <v/>
      </c>
      <c r="G884" s="1" t="str">
        <f t="shared" si="13"/>
        <v/>
      </c>
    </row>
    <row r="885" spans="3:7" x14ac:dyDescent="0.3">
      <c r="C885" t="str">
        <f>IFERROR(IF(B885="","",VLOOKUP(B885,CadProd!$A:$B,2,0)),"")</f>
        <v/>
      </c>
      <c r="D885" t="str">
        <f>IFERROR(IF(B885="","",VLOOKUP(B885,CadProd!$A:$C,3,0)),"")</f>
        <v/>
      </c>
      <c r="G885" s="1" t="str">
        <f t="shared" si="13"/>
        <v/>
      </c>
    </row>
    <row r="886" spans="3:7" x14ac:dyDescent="0.3">
      <c r="C886" t="str">
        <f>IFERROR(IF(B886="","",VLOOKUP(B886,CadProd!$A:$B,2,0)),"")</f>
        <v/>
      </c>
      <c r="D886" t="str">
        <f>IFERROR(IF(B886="","",VLOOKUP(B886,CadProd!$A:$C,3,0)),"")</f>
        <v/>
      </c>
      <c r="G886" s="1" t="str">
        <f t="shared" si="13"/>
        <v/>
      </c>
    </row>
    <row r="887" spans="3:7" x14ac:dyDescent="0.3">
      <c r="C887" t="str">
        <f>IFERROR(IF(B887="","",VLOOKUP(B887,CadProd!$A:$B,2,0)),"")</f>
        <v/>
      </c>
      <c r="D887" t="str">
        <f>IFERROR(IF(B887="","",VLOOKUP(B887,CadProd!$A:$C,3,0)),"")</f>
        <v/>
      </c>
      <c r="G887" s="1" t="str">
        <f t="shared" si="13"/>
        <v/>
      </c>
    </row>
    <row r="888" spans="3:7" x14ac:dyDescent="0.3">
      <c r="C888" t="str">
        <f>IFERROR(IF(B888="","",VLOOKUP(B888,CadProd!$A:$B,2,0)),"")</f>
        <v/>
      </c>
      <c r="D888" t="str">
        <f>IFERROR(IF(B888="","",VLOOKUP(B888,CadProd!$A:$C,3,0)),"")</f>
        <v/>
      </c>
      <c r="G888" s="1" t="str">
        <f t="shared" si="13"/>
        <v/>
      </c>
    </row>
    <row r="889" spans="3:7" x14ac:dyDescent="0.3">
      <c r="C889" t="str">
        <f>IFERROR(IF(B889="","",VLOOKUP(B889,CadProd!$A:$B,2,0)),"")</f>
        <v/>
      </c>
      <c r="D889" t="str">
        <f>IFERROR(IF(B889="","",VLOOKUP(B889,CadProd!$A:$C,3,0)),"")</f>
        <v/>
      </c>
      <c r="G889" s="1" t="str">
        <f t="shared" si="13"/>
        <v/>
      </c>
    </row>
    <row r="890" spans="3:7" x14ac:dyDescent="0.3">
      <c r="C890" t="str">
        <f>IFERROR(IF(B890="","",VLOOKUP(B890,CadProd!$A:$B,2,0)),"")</f>
        <v/>
      </c>
      <c r="D890" t="str">
        <f>IFERROR(IF(B890="","",VLOOKUP(B890,CadProd!$A:$C,3,0)),"")</f>
        <v/>
      </c>
      <c r="G890" s="1" t="str">
        <f t="shared" si="13"/>
        <v/>
      </c>
    </row>
    <row r="891" spans="3:7" x14ac:dyDescent="0.3">
      <c r="C891" t="str">
        <f>IFERROR(IF(B891="","",VLOOKUP(B891,CadProd!$A:$B,2,0)),"")</f>
        <v/>
      </c>
      <c r="D891" t="str">
        <f>IFERROR(IF(B891="","",VLOOKUP(B891,CadProd!$A:$C,3,0)),"")</f>
        <v/>
      </c>
      <c r="G891" s="1" t="str">
        <f t="shared" si="13"/>
        <v/>
      </c>
    </row>
    <row r="892" spans="3:7" x14ac:dyDescent="0.3">
      <c r="C892" t="str">
        <f>IFERROR(IF(B892="","",VLOOKUP(B892,CadProd!$A:$B,2,0)),"")</f>
        <v/>
      </c>
      <c r="D892" t="str">
        <f>IFERROR(IF(B892="","",VLOOKUP(B892,CadProd!$A:$C,3,0)),"")</f>
        <v/>
      </c>
      <c r="G892" s="1" t="str">
        <f t="shared" si="13"/>
        <v/>
      </c>
    </row>
    <row r="893" spans="3:7" x14ac:dyDescent="0.3">
      <c r="C893" t="str">
        <f>IFERROR(IF(B893="","",VLOOKUP(B893,CadProd!$A:$B,2,0)),"")</f>
        <v/>
      </c>
      <c r="D893" t="str">
        <f>IFERROR(IF(B893="","",VLOOKUP(B893,CadProd!$A:$C,3,0)),"")</f>
        <v/>
      </c>
      <c r="G893" s="1" t="str">
        <f t="shared" si="13"/>
        <v/>
      </c>
    </row>
    <row r="894" spans="3:7" x14ac:dyDescent="0.3">
      <c r="C894" t="str">
        <f>IFERROR(IF(B894="","",VLOOKUP(B894,CadProd!$A:$B,2,0)),"")</f>
        <v/>
      </c>
      <c r="D894" t="str">
        <f>IFERROR(IF(B894="","",VLOOKUP(B894,CadProd!$A:$C,3,0)),"")</f>
        <v/>
      </c>
      <c r="G894" s="1" t="str">
        <f t="shared" si="13"/>
        <v/>
      </c>
    </row>
    <row r="895" spans="3:7" x14ac:dyDescent="0.3">
      <c r="C895" t="str">
        <f>IFERROR(IF(B895="","",VLOOKUP(B895,CadProd!$A:$B,2,0)),"")</f>
        <v/>
      </c>
      <c r="D895" t="str">
        <f>IFERROR(IF(B895="","",VLOOKUP(B895,CadProd!$A:$C,3,0)),"")</f>
        <v/>
      </c>
      <c r="G895" s="1" t="str">
        <f t="shared" si="13"/>
        <v/>
      </c>
    </row>
    <row r="896" spans="3:7" x14ac:dyDescent="0.3">
      <c r="C896" t="str">
        <f>IFERROR(IF(B896="","",VLOOKUP(B896,CadProd!$A:$B,2,0)),"")</f>
        <v/>
      </c>
      <c r="D896" t="str">
        <f>IFERROR(IF(B896="","",VLOOKUP(B896,CadProd!$A:$C,3,0)),"")</f>
        <v/>
      </c>
      <c r="G896" s="1" t="str">
        <f t="shared" si="13"/>
        <v/>
      </c>
    </row>
    <row r="897" spans="3:7" x14ac:dyDescent="0.3">
      <c r="C897" t="str">
        <f>IFERROR(IF(B897="","",VLOOKUP(B897,CadProd!$A:$B,2,0)),"")</f>
        <v/>
      </c>
      <c r="D897" t="str">
        <f>IFERROR(IF(B897="","",VLOOKUP(B897,CadProd!$A:$C,3,0)),"")</f>
        <v/>
      </c>
      <c r="G897" s="1" t="str">
        <f t="shared" si="13"/>
        <v/>
      </c>
    </row>
    <row r="898" spans="3:7" x14ac:dyDescent="0.3">
      <c r="C898" t="str">
        <f>IFERROR(IF(B898="","",VLOOKUP(B898,CadProd!$A:$B,2,0)),"")</f>
        <v/>
      </c>
      <c r="D898" t="str">
        <f>IFERROR(IF(B898="","",VLOOKUP(B898,CadProd!$A:$C,3,0)),"")</f>
        <v/>
      </c>
      <c r="G898" s="1" t="str">
        <f t="shared" ref="G898:G961" si="14">IFERROR(IF(B898="","",F898*E898),"")</f>
        <v/>
      </c>
    </row>
    <row r="899" spans="3:7" x14ac:dyDescent="0.3">
      <c r="C899" t="str">
        <f>IFERROR(IF(B899="","",VLOOKUP(B899,CadProd!$A:$B,2,0)),"")</f>
        <v/>
      </c>
      <c r="D899" t="str">
        <f>IFERROR(IF(B899="","",VLOOKUP(B899,CadProd!$A:$C,3,0)),"")</f>
        <v/>
      </c>
      <c r="G899" s="1" t="str">
        <f t="shared" si="14"/>
        <v/>
      </c>
    </row>
    <row r="900" spans="3:7" x14ac:dyDescent="0.3">
      <c r="C900" t="str">
        <f>IFERROR(IF(B900="","",VLOOKUP(B900,CadProd!$A:$B,2,0)),"")</f>
        <v/>
      </c>
      <c r="D900" t="str">
        <f>IFERROR(IF(B900="","",VLOOKUP(B900,CadProd!$A:$C,3,0)),"")</f>
        <v/>
      </c>
      <c r="G900" s="1" t="str">
        <f t="shared" si="14"/>
        <v/>
      </c>
    </row>
    <row r="901" spans="3:7" x14ac:dyDescent="0.3">
      <c r="C901" t="str">
        <f>IFERROR(IF(B901="","",VLOOKUP(B901,CadProd!$A:$B,2,0)),"")</f>
        <v/>
      </c>
      <c r="D901" t="str">
        <f>IFERROR(IF(B901="","",VLOOKUP(B901,CadProd!$A:$C,3,0)),"")</f>
        <v/>
      </c>
      <c r="G901" s="1" t="str">
        <f t="shared" si="14"/>
        <v/>
      </c>
    </row>
    <row r="902" spans="3:7" x14ac:dyDescent="0.3">
      <c r="C902" t="str">
        <f>IFERROR(IF(B902="","",VLOOKUP(B902,CadProd!$A:$B,2,0)),"")</f>
        <v/>
      </c>
      <c r="D902" t="str">
        <f>IFERROR(IF(B902="","",VLOOKUP(B902,CadProd!$A:$C,3,0)),"")</f>
        <v/>
      </c>
      <c r="G902" s="1" t="str">
        <f t="shared" si="14"/>
        <v/>
      </c>
    </row>
    <row r="903" spans="3:7" x14ac:dyDescent="0.3">
      <c r="C903" t="str">
        <f>IFERROR(IF(B903="","",VLOOKUP(B903,CadProd!$A:$B,2,0)),"")</f>
        <v/>
      </c>
      <c r="D903" t="str">
        <f>IFERROR(IF(B903="","",VLOOKUP(B903,CadProd!$A:$C,3,0)),"")</f>
        <v/>
      </c>
      <c r="G903" s="1" t="str">
        <f t="shared" si="14"/>
        <v/>
      </c>
    </row>
    <row r="904" spans="3:7" x14ac:dyDescent="0.3">
      <c r="C904" t="str">
        <f>IFERROR(IF(B904="","",VLOOKUP(B904,CadProd!$A:$B,2,0)),"")</f>
        <v/>
      </c>
      <c r="D904" t="str">
        <f>IFERROR(IF(B904="","",VLOOKUP(B904,CadProd!$A:$C,3,0)),"")</f>
        <v/>
      </c>
      <c r="G904" s="1" t="str">
        <f t="shared" si="14"/>
        <v/>
      </c>
    </row>
    <row r="905" spans="3:7" x14ac:dyDescent="0.3">
      <c r="C905" t="str">
        <f>IFERROR(IF(B905="","",VLOOKUP(B905,CadProd!$A:$B,2,0)),"")</f>
        <v/>
      </c>
      <c r="D905" t="str">
        <f>IFERROR(IF(B905="","",VLOOKUP(B905,CadProd!$A:$C,3,0)),"")</f>
        <v/>
      </c>
      <c r="G905" s="1" t="str">
        <f t="shared" si="14"/>
        <v/>
      </c>
    </row>
    <row r="906" spans="3:7" x14ac:dyDescent="0.3">
      <c r="C906" t="str">
        <f>IFERROR(IF(B906="","",VLOOKUP(B906,CadProd!$A:$B,2,0)),"")</f>
        <v/>
      </c>
      <c r="D906" t="str">
        <f>IFERROR(IF(B906="","",VLOOKUP(B906,CadProd!$A:$C,3,0)),"")</f>
        <v/>
      </c>
      <c r="G906" s="1" t="str">
        <f t="shared" si="14"/>
        <v/>
      </c>
    </row>
    <row r="907" spans="3:7" x14ac:dyDescent="0.3">
      <c r="C907" t="str">
        <f>IFERROR(IF(B907="","",VLOOKUP(B907,CadProd!$A:$B,2,0)),"")</f>
        <v/>
      </c>
      <c r="D907" t="str">
        <f>IFERROR(IF(B907="","",VLOOKUP(B907,CadProd!$A:$C,3,0)),"")</f>
        <v/>
      </c>
      <c r="G907" s="1" t="str">
        <f t="shared" si="14"/>
        <v/>
      </c>
    </row>
    <row r="908" spans="3:7" x14ac:dyDescent="0.3">
      <c r="C908" t="str">
        <f>IFERROR(IF(B908="","",VLOOKUP(B908,CadProd!$A:$B,2,0)),"")</f>
        <v/>
      </c>
      <c r="D908" t="str">
        <f>IFERROR(IF(B908="","",VLOOKUP(B908,CadProd!$A:$C,3,0)),"")</f>
        <v/>
      </c>
      <c r="G908" s="1" t="str">
        <f t="shared" si="14"/>
        <v/>
      </c>
    </row>
    <row r="909" spans="3:7" x14ac:dyDescent="0.3">
      <c r="C909" t="str">
        <f>IFERROR(IF(B909="","",VLOOKUP(B909,CadProd!$A:$B,2,0)),"")</f>
        <v/>
      </c>
      <c r="D909" t="str">
        <f>IFERROR(IF(B909="","",VLOOKUP(B909,CadProd!$A:$C,3,0)),"")</f>
        <v/>
      </c>
      <c r="G909" s="1" t="str">
        <f t="shared" si="14"/>
        <v/>
      </c>
    </row>
    <row r="910" spans="3:7" x14ac:dyDescent="0.3">
      <c r="C910" t="str">
        <f>IFERROR(IF(B910="","",VLOOKUP(B910,CadProd!$A:$B,2,0)),"")</f>
        <v/>
      </c>
      <c r="D910" t="str">
        <f>IFERROR(IF(B910="","",VLOOKUP(B910,CadProd!$A:$C,3,0)),"")</f>
        <v/>
      </c>
      <c r="G910" s="1" t="str">
        <f t="shared" si="14"/>
        <v/>
      </c>
    </row>
    <row r="911" spans="3:7" x14ac:dyDescent="0.3">
      <c r="C911" t="str">
        <f>IFERROR(IF(B911="","",VLOOKUP(B911,CadProd!$A:$B,2,0)),"")</f>
        <v/>
      </c>
      <c r="D911" t="str">
        <f>IFERROR(IF(B911="","",VLOOKUP(B911,CadProd!$A:$C,3,0)),"")</f>
        <v/>
      </c>
      <c r="G911" s="1" t="str">
        <f t="shared" si="14"/>
        <v/>
      </c>
    </row>
    <row r="912" spans="3:7" x14ac:dyDescent="0.3">
      <c r="C912" t="str">
        <f>IFERROR(IF(B912="","",VLOOKUP(B912,CadProd!$A:$B,2,0)),"")</f>
        <v/>
      </c>
      <c r="D912" t="str">
        <f>IFERROR(IF(B912="","",VLOOKUP(B912,CadProd!$A:$C,3,0)),"")</f>
        <v/>
      </c>
      <c r="G912" s="1" t="str">
        <f t="shared" si="14"/>
        <v/>
      </c>
    </row>
    <row r="913" spans="3:7" x14ac:dyDescent="0.3">
      <c r="C913" t="str">
        <f>IFERROR(IF(B913="","",VLOOKUP(B913,CadProd!$A:$B,2,0)),"")</f>
        <v/>
      </c>
      <c r="D913" t="str">
        <f>IFERROR(IF(B913="","",VLOOKUP(B913,CadProd!$A:$C,3,0)),"")</f>
        <v/>
      </c>
      <c r="G913" s="1" t="str">
        <f t="shared" si="14"/>
        <v/>
      </c>
    </row>
    <row r="914" spans="3:7" x14ac:dyDescent="0.3">
      <c r="C914" t="str">
        <f>IFERROR(IF(B914="","",VLOOKUP(B914,CadProd!$A:$B,2,0)),"")</f>
        <v/>
      </c>
      <c r="D914" t="str">
        <f>IFERROR(IF(B914="","",VLOOKUP(B914,CadProd!$A:$C,3,0)),"")</f>
        <v/>
      </c>
      <c r="G914" s="1" t="str">
        <f t="shared" si="14"/>
        <v/>
      </c>
    </row>
    <row r="915" spans="3:7" x14ac:dyDescent="0.3">
      <c r="C915" t="str">
        <f>IFERROR(IF(B915="","",VLOOKUP(B915,CadProd!$A:$B,2,0)),"")</f>
        <v/>
      </c>
      <c r="D915" t="str">
        <f>IFERROR(IF(B915="","",VLOOKUP(B915,CadProd!$A:$C,3,0)),"")</f>
        <v/>
      </c>
      <c r="G915" s="1" t="str">
        <f t="shared" si="14"/>
        <v/>
      </c>
    </row>
    <row r="916" spans="3:7" x14ac:dyDescent="0.3">
      <c r="C916" t="str">
        <f>IFERROR(IF(B916="","",VLOOKUP(B916,CadProd!$A:$B,2,0)),"")</f>
        <v/>
      </c>
      <c r="D916" t="str">
        <f>IFERROR(IF(B916="","",VLOOKUP(B916,CadProd!$A:$C,3,0)),"")</f>
        <v/>
      </c>
      <c r="G916" s="1" t="str">
        <f t="shared" si="14"/>
        <v/>
      </c>
    </row>
    <row r="917" spans="3:7" x14ac:dyDescent="0.3">
      <c r="C917" t="str">
        <f>IFERROR(IF(B917="","",VLOOKUP(B917,CadProd!$A:$B,2,0)),"")</f>
        <v/>
      </c>
      <c r="D917" t="str">
        <f>IFERROR(IF(B917="","",VLOOKUP(B917,CadProd!$A:$C,3,0)),"")</f>
        <v/>
      </c>
      <c r="G917" s="1" t="str">
        <f t="shared" si="14"/>
        <v/>
      </c>
    </row>
    <row r="918" spans="3:7" x14ac:dyDescent="0.3">
      <c r="C918" t="str">
        <f>IFERROR(IF(B918="","",VLOOKUP(B918,CadProd!$A:$B,2,0)),"")</f>
        <v/>
      </c>
      <c r="D918" t="str">
        <f>IFERROR(IF(B918="","",VLOOKUP(B918,CadProd!$A:$C,3,0)),"")</f>
        <v/>
      </c>
      <c r="G918" s="1" t="str">
        <f t="shared" si="14"/>
        <v/>
      </c>
    </row>
    <row r="919" spans="3:7" x14ac:dyDescent="0.3">
      <c r="C919" t="str">
        <f>IFERROR(IF(B919="","",VLOOKUP(B919,CadProd!$A:$B,2,0)),"")</f>
        <v/>
      </c>
      <c r="D919" t="str">
        <f>IFERROR(IF(B919="","",VLOOKUP(B919,CadProd!$A:$C,3,0)),"")</f>
        <v/>
      </c>
      <c r="G919" s="1" t="str">
        <f t="shared" si="14"/>
        <v/>
      </c>
    </row>
    <row r="920" spans="3:7" x14ac:dyDescent="0.3">
      <c r="C920" t="str">
        <f>IFERROR(IF(B920="","",VLOOKUP(B920,CadProd!$A:$B,2,0)),"")</f>
        <v/>
      </c>
      <c r="D920" t="str">
        <f>IFERROR(IF(B920="","",VLOOKUP(B920,CadProd!$A:$C,3,0)),"")</f>
        <v/>
      </c>
      <c r="G920" s="1" t="str">
        <f t="shared" si="14"/>
        <v/>
      </c>
    </row>
    <row r="921" spans="3:7" x14ac:dyDescent="0.3">
      <c r="C921" t="str">
        <f>IFERROR(IF(B921="","",VLOOKUP(B921,CadProd!$A:$B,2,0)),"")</f>
        <v/>
      </c>
      <c r="D921" t="str">
        <f>IFERROR(IF(B921="","",VLOOKUP(B921,CadProd!$A:$C,3,0)),"")</f>
        <v/>
      </c>
      <c r="G921" s="1" t="str">
        <f t="shared" si="14"/>
        <v/>
      </c>
    </row>
    <row r="922" spans="3:7" x14ac:dyDescent="0.3">
      <c r="C922" t="str">
        <f>IFERROR(IF(B922="","",VLOOKUP(B922,CadProd!$A:$B,2,0)),"")</f>
        <v/>
      </c>
      <c r="D922" t="str">
        <f>IFERROR(IF(B922="","",VLOOKUP(B922,CadProd!$A:$C,3,0)),"")</f>
        <v/>
      </c>
      <c r="G922" s="1" t="str">
        <f t="shared" si="14"/>
        <v/>
      </c>
    </row>
    <row r="923" spans="3:7" x14ac:dyDescent="0.3">
      <c r="C923" t="str">
        <f>IFERROR(IF(B923="","",VLOOKUP(B923,CadProd!$A:$B,2,0)),"")</f>
        <v/>
      </c>
      <c r="D923" t="str">
        <f>IFERROR(IF(B923="","",VLOOKUP(B923,CadProd!$A:$C,3,0)),"")</f>
        <v/>
      </c>
      <c r="G923" s="1" t="str">
        <f t="shared" si="14"/>
        <v/>
      </c>
    </row>
    <row r="924" spans="3:7" x14ac:dyDescent="0.3">
      <c r="C924" t="str">
        <f>IFERROR(IF(B924="","",VLOOKUP(B924,CadProd!$A:$B,2,0)),"")</f>
        <v/>
      </c>
      <c r="D924" t="str">
        <f>IFERROR(IF(B924="","",VLOOKUP(B924,CadProd!$A:$C,3,0)),"")</f>
        <v/>
      </c>
      <c r="G924" s="1" t="str">
        <f t="shared" si="14"/>
        <v/>
      </c>
    </row>
    <row r="925" spans="3:7" x14ac:dyDescent="0.3">
      <c r="C925" t="str">
        <f>IFERROR(IF(B925="","",VLOOKUP(B925,CadProd!$A:$B,2,0)),"")</f>
        <v/>
      </c>
      <c r="D925" t="str">
        <f>IFERROR(IF(B925="","",VLOOKUP(B925,CadProd!$A:$C,3,0)),"")</f>
        <v/>
      </c>
      <c r="G925" s="1" t="str">
        <f t="shared" si="14"/>
        <v/>
      </c>
    </row>
    <row r="926" spans="3:7" x14ac:dyDescent="0.3">
      <c r="C926" t="str">
        <f>IFERROR(IF(B926="","",VLOOKUP(B926,CadProd!$A:$B,2,0)),"")</f>
        <v/>
      </c>
      <c r="D926" t="str">
        <f>IFERROR(IF(B926="","",VLOOKUP(B926,CadProd!$A:$C,3,0)),"")</f>
        <v/>
      </c>
      <c r="G926" s="1" t="str">
        <f t="shared" si="14"/>
        <v/>
      </c>
    </row>
    <row r="927" spans="3:7" x14ac:dyDescent="0.3">
      <c r="C927" t="str">
        <f>IFERROR(IF(B927="","",VLOOKUP(B927,CadProd!$A:$B,2,0)),"")</f>
        <v/>
      </c>
      <c r="D927" t="str">
        <f>IFERROR(IF(B927="","",VLOOKUP(B927,CadProd!$A:$C,3,0)),"")</f>
        <v/>
      </c>
      <c r="G927" s="1" t="str">
        <f t="shared" si="14"/>
        <v/>
      </c>
    </row>
    <row r="928" spans="3:7" x14ac:dyDescent="0.3">
      <c r="C928" t="str">
        <f>IFERROR(IF(B928="","",VLOOKUP(B928,CadProd!$A:$B,2,0)),"")</f>
        <v/>
      </c>
      <c r="D928" t="str">
        <f>IFERROR(IF(B928="","",VLOOKUP(B928,CadProd!$A:$C,3,0)),"")</f>
        <v/>
      </c>
      <c r="G928" s="1" t="str">
        <f t="shared" si="14"/>
        <v/>
      </c>
    </row>
    <row r="929" spans="3:7" x14ac:dyDescent="0.3">
      <c r="C929" t="str">
        <f>IFERROR(IF(B929="","",VLOOKUP(B929,CadProd!$A:$B,2,0)),"")</f>
        <v/>
      </c>
      <c r="D929" t="str">
        <f>IFERROR(IF(B929="","",VLOOKUP(B929,CadProd!$A:$C,3,0)),"")</f>
        <v/>
      </c>
      <c r="G929" s="1" t="str">
        <f t="shared" si="14"/>
        <v/>
      </c>
    </row>
    <row r="930" spans="3:7" x14ac:dyDescent="0.3">
      <c r="C930" t="str">
        <f>IFERROR(IF(B930="","",VLOOKUP(B930,CadProd!$A:$B,2,0)),"")</f>
        <v/>
      </c>
      <c r="D930" t="str">
        <f>IFERROR(IF(B930="","",VLOOKUP(B930,CadProd!$A:$C,3,0)),"")</f>
        <v/>
      </c>
      <c r="G930" s="1" t="str">
        <f t="shared" si="14"/>
        <v/>
      </c>
    </row>
    <row r="931" spans="3:7" x14ac:dyDescent="0.3">
      <c r="C931" t="str">
        <f>IFERROR(IF(B931="","",VLOOKUP(B931,CadProd!$A:$B,2,0)),"")</f>
        <v/>
      </c>
      <c r="D931" t="str">
        <f>IFERROR(IF(B931="","",VLOOKUP(B931,CadProd!$A:$C,3,0)),"")</f>
        <v/>
      </c>
      <c r="G931" s="1" t="str">
        <f t="shared" si="14"/>
        <v/>
      </c>
    </row>
    <row r="932" spans="3:7" x14ac:dyDescent="0.3">
      <c r="C932" t="str">
        <f>IFERROR(IF(B932="","",VLOOKUP(B932,CadProd!$A:$B,2,0)),"")</f>
        <v/>
      </c>
      <c r="D932" t="str">
        <f>IFERROR(IF(B932="","",VLOOKUP(B932,CadProd!$A:$C,3,0)),"")</f>
        <v/>
      </c>
      <c r="G932" s="1" t="str">
        <f t="shared" si="14"/>
        <v/>
      </c>
    </row>
    <row r="933" spans="3:7" x14ac:dyDescent="0.3">
      <c r="C933" t="str">
        <f>IFERROR(IF(B933="","",VLOOKUP(B933,CadProd!$A:$B,2,0)),"")</f>
        <v/>
      </c>
      <c r="D933" t="str">
        <f>IFERROR(IF(B933="","",VLOOKUP(B933,CadProd!$A:$C,3,0)),"")</f>
        <v/>
      </c>
      <c r="G933" s="1" t="str">
        <f t="shared" si="14"/>
        <v/>
      </c>
    </row>
    <row r="934" spans="3:7" x14ac:dyDescent="0.3">
      <c r="C934" t="str">
        <f>IFERROR(IF(B934="","",VLOOKUP(B934,CadProd!$A:$B,2,0)),"")</f>
        <v/>
      </c>
      <c r="D934" t="str">
        <f>IFERROR(IF(B934="","",VLOOKUP(B934,CadProd!$A:$C,3,0)),"")</f>
        <v/>
      </c>
      <c r="G934" s="1" t="str">
        <f t="shared" si="14"/>
        <v/>
      </c>
    </row>
    <row r="935" spans="3:7" x14ac:dyDescent="0.3">
      <c r="C935" t="str">
        <f>IFERROR(IF(B935="","",VLOOKUP(B935,CadProd!$A:$B,2,0)),"")</f>
        <v/>
      </c>
      <c r="D935" t="str">
        <f>IFERROR(IF(B935="","",VLOOKUP(B935,CadProd!$A:$C,3,0)),"")</f>
        <v/>
      </c>
      <c r="G935" s="1" t="str">
        <f t="shared" si="14"/>
        <v/>
      </c>
    </row>
    <row r="936" spans="3:7" x14ac:dyDescent="0.3">
      <c r="C936" t="str">
        <f>IFERROR(IF(B936="","",VLOOKUP(B936,CadProd!$A:$B,2,0)),"")</f>
        <v/>
      </c>
      <c r="D936" t="str">
        <f>IFERROR(IF(B936="","",VLOOKUP(B936,CadProd!$A:$C,3,0)),"")</f>
        <v/>
      </c>
      <c r="G936" s="1" t="str">
        <f t="shared" si="14"/>
        <v/>
      </c>
    </row>
    <row r="937" spans="3:7" x14ac:dyDescent="0.3">
      <c r="C937" t="str">
        <f>IFERROR(IF(B937="","",VLOOKUP(B937,CadProd!$A:$B,2,0)),"")</f>
        <v/>
      </c>
      <c r="D937" t="str">
        <f>IFERROR(IF(B937="","",VLOOKUP(B937,CadProd!$A:$C,3,0)),"")</f>
        <v/>
      </c>
      <c r="G937" s="1" t="str">
        <f t="shared" si="14"/>
        <v/>
      </c>
    </row>
    <row r="938" spans="3:7" x14ac:dyDescent="0.3">
      <c r="C938" t="str">
        <f>IFERROR(IF(B938="","",VLOOKUP(B938,CadProd!$A:$B,2,0)),"")</f>
        <v/>
      </c>
      <c r="D938" t="str">
        <f>IFERROR(IF(B938="","",VLOOKUP(B938,CadProd!$A:$C,3,0)),"")</f>
        <v/>
      </c>
      <c r="G938" s="1" t="str">
        <f t="shared" si="14"/>
        <v/>
      </c>
    </row>
    <row r="939" spans="3:7" x14ac:dyDescent="0.3">
      <c r="C939" t="str">
        <f>IFERROR(IF(B939="","",VLOOKUP(B939,CadProd!$A:$B,2,0)),"")</f>
        <v/>
      </c>
      <c r="D939" t="str">
        <f>IFERROR(IF(B939="","",VLOOKUP(B939,CadProd!$A:$C,3,0)),"")</f>
        <v/>
      </c>
      <c r="G939" s="1" t="str">
        <f t="shared" si="14"/>
        <v/>
      </c>
    </row>
    <row r="940" spans="3:7" x14ac:dyDescent="0.3">
      <c r="C940" t="str">
        <f>IFERROR(IF(B940="","",VLOOKUP(B940,CadProd!$A:$B,2,0)),"")</f>
        <v/>
      </c>
      <c r="D940" t="str">
        <f>IFERROR(IF(B940="","",VLOOKUP(B940,CadProd!$A:$C,3,0)),"")</f>
        <v/>
      </c>
      <c r="G940" s="1" t="str">
        <f t="shared" si="14"/>
        <v/>
      </c>
    </row>
    <row r="941" spans="3:7" x14ac:dyDescent="0.3">
      <c r="C941" t="str">
        <f>IFERROR(IF(B941="","",VLOOKUP(B941,CadProd!$A:$B,2,0)),"")</f>
        <v/>
      </c>
      <c r="D941" t="str">
        <f>IFERROR(IF(B941="","",VLOOKUP(B941,CadProd!$A:$C,3,0)),"")</f>
        <v/>
      </c>
      <c r="G941" s="1" t="str">
        <f t="shared" si="14"/>
        <v/>
      </c>
    </row>
    <row r="942" spans="3:7" x14ac:dyDescent="0.3">
      <c r="C942" t="str">
        <f>IFERROR(IF(B942="","",VLOOKUP(B942,CadProd!$A:$B,2,0)),"")</f>
        <v/>
      </c>
      <c r="D942" t="str">
        <f>IFERROR(IF(B942="","",VLOOKUP(B942,CadProd!$A:$C,3,0)),"")</f>
        <v/>
      </c>
      <c r="G942" s="1" t="str">
        <f t="shared" si="14"/>
        <v/>
      </c>
    </row>
    <row r="943" spans="3:7" x14ac:dyDescent="0.3">
      <c r="C943" t="str">
        <f>IFERROR(IF(B943="","",VLOOKUP(B943,CadProd!$A:$B,2,0)),"")</f>
        <v/>
      </c>
      <c r="D943" t="str">
        <f>IFERROR(IF(B943="","",VLOOKUP(B943,CadProd!$A:$C,3,0)),"")</f>
        <v/>
      </c>
      <c r="G943" s="1" t="str">
        <f t="shared" si="14"/>
        <v/>
      </c>
    </row>
    <row r="944" spans="3:7" x14ac:dyDescent="0.3">
      <c r="C944" t="str">
        <f>IFERROR(IF(B944="","",VLOOKUP(B944,CadProd!$A:$B,2,0)),"")</f>
        <v/>
      </c>
      <c r="D944" t="str">
        <f>IFERROR(IF(B944="","",VLOOKUP(B944,CadProd!$A:$C,3,0)),"")</f>
        <v/>
      </c>
      <c r="G944" s="1" t="str">
        <f t="shared" si="14"/>
        <v/>
      </c>
    </row>
    <row r="945" spans="3:7" x14ac:dyDescent="0.3">
      <c r="C945" t="str">
        <f>IFERROR(IF(B945="","",VLOOKUP(B945,CadProd!$A:$B,2,0)),"")</f>
        <v/>
      </c>
      <c r="D945" t="str">
        <f>IFERROR(IF(B945="","",VLOOKUP(B945,CadProd!$A:$C,3,0)),"")</f>
        <v/>
      </c>
      <c r="G945" s="1" t="str">
        <f t="shared" si="14"/>
        <v/>
      </c>
    </row>
    <row r="946" spans="3:7" x14ac:dyDescent="0.3">
      <c r="C946" t="str">
        <f>IFERROR(IF(B946="","",VLOOKUP(B946,CadProd!$A:$B,2,0)),"")</f>
        <v/>
      </c>
      <c r="D946" t="str">
        <f>IFERROR(IF(B946="","",VLOOKUP(B946,CadProd!$A:$C,3,0)),"")</f>
        <v/>
      </c>
      <c r="G946" s="1" t="str">
        <f t="shared" si="14"/>
        <v/>
      </c>
    </row>
    <row r="947" spans="3:7" x14ac:dyDescent="0.3">
      <c r="C947" t="str">
        <f>IFERROR(IF(B947="","",VLOOKUP(B947,CadProd!$A:$B,2,0)),"")</f>
        <v/>
      </c>
      <c r="D947" t="str">
        <f>IFERROR(IF(B947="","",VLOOKUP(B947,CadProd!$A:$C,3,0)),"")</f>
        <v/>
      </c>
      <c r="G947" s="1" t="str">
        <f t="shared" si="14"/>
        <v/>
      </c>
    </row>
    <row r="948" spans="3:7" x14ac:dyDescent="0.3">
      <c r="C948" t="str">
        <f>IFERROR(IF(B948="","",VLOOKUP(B948,CadProd!$A:$B,2,0)),"")</f>
        <v/>
      </c>
      <c r="D948" t="str">
        <f>IFERROR(IF(B948="","",VLOOKUP(B948,CadProd!$A:$C,3,0)),"")</f>
        <v/>
      </c>
      <c r="G948" s="1" t="str">
        <f t="shared" si="14"/>
        <v/>
      </c>
    </row>
    <row r="949" spans="3:7" x14ac:dyDescent="0.3">
      <c r="C949" t="str">
        <f>IFERROR(IF(B949="","",VLOOKUP(B949,CadProd!$A:$B,2,0)),"")</f>
        <v/>
      </c>
      <c r="D949" t="str">
        <f>IFERROR(IF(B949="","",VLOOKUP(B949,CadProd!$A:$C,3,0)),"")</f>
        <v/>
      </c>
      <c r="G949" s="1" t="str">
        <f t="shared" si="14"/>
        <v/>
      </c>
    </row>
    <row r="950" spans="3:7" x14ac:dyDescent="0.3">
      <c r="C950" t="str">
        <f>IFERROR(IF(B950="","",VLOOKUP(B950,CadProd!$A:$B,2,0)),"")</f>
        <v/>
      </c>
      <c r="D950" t="str">
        <f>IFERROR(IF(B950="","",VLOOKUP(B950,CadProd!$A:$C,3,0)),"")</f>
        <v/>
      </c>
      <c r="G950" s="1" t="str">
        <f t="shared" si="14"/>
        <v/>
      </c>
    </row>
    <row r="951" spans="3:7" x14ac:dyDescent="0.3">
      <c r="C951" t="str">
        <f>IFERROR(IF(B951="","",VLOOKUP(B951,CadProd!$A:$B,2,0)),"")</f>
        <v/>
      </c>
      <c r="D951" t="str">
        <f>IFERROR(IF(B951="","",VLOOKUP(B951,CadProd!$A:$C,3,0)),"")</f>
        <v/>
      </c>
      <c r="G951" s="1" t="str">
        <f t="shared" si="14"/>
        <v/>
      </c>
    </row>
    <row r="952" spans="3:7" x14ac:dyDescent="0.3">
      <c r="C952" t="str">
        <f>IFERROR(IF(B952="","",VLOOKUP(B952,CadProd!$A:$B,2,0)),"")</f>
        <v/>
      </c>
      <c r="D952" t="str">
        <f>IFERROR(IF(B952="","",VLOOKUP(B952,CadProd!$A:$C,3,0)),"")</f>
        <v/>
      </c>
      <c r="G952" s="1" t="str">
        <f t="shared" si="14"/>
        <v/>
      </c>
    </row>
    <row r="953" spans="3:7" x14ac:dyDescent="0.3">
      <c r="C953" t="str">
        <f>IFERROR(IF(B953="","",VLOOKUP(B953,CadProd!$A:$B,2,0)),"")</f>
        <v/>
      </c>
      <c r="D953" t="str">
        <f>IFERROR(IF(B953="","",VLOOKUP(B953,CadProd!$A:$C,3,0)),"")</f>
        <v/>
      </c>
      <c r="G953" s="1" t="str">
        <f t="shared" si="14"/>
        <v/>
      </c>
    </row>
    <row r="954" spans="3:7" x14ac:dyDescent="0.3">
      <c r="C954" t="str">
        <f>IFERROR(IF(B954="","",VLOOKUP(B954,CadProd!$A:$B,2,0)),"")</f>
        <v/>
      </c>
      <c r="D954" t="str">
        <f>IFERROR(IF(B954="","",VLOOKUP(B954,CadProd!$A:$C,3,0)),"")</f>
        <v/>
      </c>
      <c r="G954" s="1" t="str">
        <f t="shared" si="14"/>
        <v/>
      </c>
    </row>
    <row r="955" spans="3:7" x14ac:dyDescent="0.3">
      <c r="C955" t="str">
        <f>IFERROR(IF(B955="","",VLOOKUP(B955,CadProd!$A:$B,2,0)),"")</f>
        <v/>
      </c>
      <c r="D955" t="str">
        <f>IFERROR(IF(B955="","",VLOOKUP(B955,CadProd!$A:$C,3,0)),"")</f>
        <v/>
      </c>
      <c r="G955" s="1" t="str">
        <f t="shared" si="14"/>
        <v/>
      </c>
    </row>
    <row r="956" spans="3:7" x14ac:dyDescent="0.3">
      <c r="C956" t="str">
        <f>IFERROR(IF(B956="","",VLOOKUP(B956,CadProd!$A:$B,2,0)),"")</f>
        <v/>
      </c>
      <c r="D956" t="str">
        <f>IFERROR(IF(B956="","",VLOOKUP(B956,CadProd!$A:$C,3,0)),"")</f>
        <v/>
      </c>
      <c r="G956" s="1" t="str">
        <f t="shared" si="14"/>
        <v/>
      </c>
    </row>
    <row r="957" spans="3:7" x14ac:dyDescent="0.3">
      <c r="C957" t="str">
        <f>IFERROR(IF(B957="","",VLOOKUP(B957,CadProd!$A:$B,2,0)),"")</f>
        <v/>
      </c>
      <c r="D957" t="str">
        <f>IFERROR(IF(B957="","",VLOOKUP(B957,CadProd!$A:$C,3,0)),"")</f>
        <v/>
      </c>
      <c r="G957" s="1" t="str">
        <f t="shared" si="14"/>
        <v/>
      </c>
    </row>
    <row r="958" spans="3:7" x14ac:dyDescent="0.3">
      <c r="C958" t="str">
        <f>IFERROR(IF(B958="","",VLOOKUP(B958,CadProd!$A:$B,2,0)),"")</f>
        <v/>
      </c>
      <c r="D958" t="str">
        <f>IFERROR(IF(B958="","",VLOOKUP(B958,CadProd!$A:$C,3,0)),"")</f>
        <v/>
      </c>
      <c r="G958" s="1" t="str">
        <f t="shared" si="14"/>
        <v/>
      </c>
    </row>
    <row r="959" spans="3:7" x14ac:dyDescent="0.3">
      <c r="C959" t="str">
        <f>IFERROR(IF(B959="","",VLOOKUP(B959,CadProd!$A:$B,2,0)),"")</f>
        <v/>
      </c>
      <c r="D959" t="str">
        <f>IFERROR(IF(B959="","",VLOOKUP(B959,CadProd!$A:$C,3,0)),"")</f>
        <v/>
      </c>
      <c r="G959" s="1" t="str">
        <f t="shared" si="14"/>
        <v/>
      </c>
    </row>
    <row r="960" spans="3:7" x14ac:dyDescent="0.3">
      <c r="C960" t="str">
        <f>IFERROR(IF(B960="","",VLOOKUP(B960,CadProd!$A:$B,2,0)),"")</f>
        <v/>
      </c>
      <c r="D960" t="str">
        <f>IFERROR(IF(B960="","",VLOOKUP(B960,CadProd!$A:$C,3,0)),"")</f>
        <v/>
      </c>
      <c r="G960" s="1" t="str">
        <f t="shared" si="14"/>
        <v/>
      </c>
    </row>
    <row r="961" spans="3:7" x14ac:dyDescent="0.3">
      <c r="C961" t="str">
        <f>IFERROR(IF(B961="","",VLOOKUP(B961,CadProd!$A:$B,2,0)),"")</f>
        <v/>
      </c>
      <c r="D961" t="str">
        <f>IFERROR(IF(B961="","",VLOOKUP(B961,CadProd!$A:$C,3,0)),"")</f>
        <v/>
      </c>
      <c r="G961" s="1" t="str">
        <f t="shared" si="14"/>
        <v/>
      </c>
    </row>
    <row r="962" spans="3:7" x14ac:dyDescent="0.3">
      <c r="C962" t="str">
        <f>IFERROR(IF(B962="","",VLOOKUP(B962,CadProd!$A:$B,2,0)),"")</f>
        <v/>
      </c>
      <c r="D962" t="str">
        <f>IFERROR(IF(B962="","",VLOOKUP(B962,CadProd!$A:$C,3,0)),"")</f>
        <v/>
      </c>
      <c r="G962" s="1" t="str">
        <f t="shared" ref="G962:G1025" si="15">IFERROR(IF(B962="","",F962*E962),"")</f>
        <v/>
      </c>
    </row>
    <row r="963" spans="3:7" x14ac:dyDescent="0.3">
      <c r="C963" t="str">
        <f>IFERROR(IF(B963="","",VLOOKUP(B963,CadProd!$A:$B,2,0)),"")</f>
        <v/>
      </c>
      <c r="D963" t="str">
        <f>IFERROR(IF(B963="","",VLOOKUP(B963,CadProd!$A:$C,3,0)),"")</f>
        <v/>
      </c>
      <c r="G963" s="1" t="str">
        <f t="shared" si="15"/>
        <v/>
      </c>
    </row>
    <row r="964" spans="3:7" x14ac:dyDescent="0.3">
      <c r="C964" t="str">
        <f>IFERROR(IF(B964="","",VLOOKUP(B964,CadProd!$A:$B,2,0)),"")</f>
        <v/>
      </c>
      <c r="D964" t="str">
        <f>IFERROR(IF(B964="","",VLOOKUP(B964,CadProd!$A:$C,3,0)),"")</f>
        <v/>
      </c>
      <c r="G964" s="1" t="str">
        <f t="shared" si="15"/>
        <v/>
      </c>
    </row>
    <row r="965" spans="3:7" x14ac:dyDescent="0.3">
      <c r="C965" t="str">
        <f>IFERROR(IF(B965="","",VLOOKUP(B965,CadProd!$A:$B,2,0)),"")</f>
        <v/>
      </c>
      <c r="D965" t="str">
        <f>IFERROR(IF(B965="","",VLOOKUP(B965,CadProd!$A:$C,3,0)),"")</f>
        <v/>
      </c>
      <c r="G965" s="1" t="str">
        <f t="shared" si="15"/>
        <v/>
      </c>
    </row>
    <row r="966" spans="3:7" x14ac:dyDescent="0.3">
      <c r="C966" t="str">
        <f>IFERROR(IF(B966="","",VLOOKUP(B966,CadProd!$A:$B,2,0)),"")</f>
        <v/>
      </c>
      <c r="D966" t="str">
        <f>IFERROR(IF(B966="","",VLOOKUP(B966,CadProd!$A:$C,3,0)),"")</f>
        <v/>
      </c>
      <c r="G966" s="1" t="str">
        <f t="shared" si="15"/>
        <v/>
      </c>
    </row>
    <row r="967" spans="3:7" x14ac:dyDescent="0.3">
      <c r="C967" t="str">
        <f>IFERROR(IF(B967="","",VLOOKUP(B967,CadProd!$A:$B,2,0)),"")</f>
        <v/>
      </c>
      <c r="D967" t="str">
        <f>IFERROR(IF(B967="","",VLOOKUP(B967,CadProd!$A:$C,3,0)),"")</f>
        <v/>
      </c>
      <c r="G967" s="1" t="str">
        <f t="shared" si="15"/>
        <v/>
      </c>
    </row>
    <row r="968" spans="3:7" x14ac:dyDescent="0.3">
      <c r="C968" t="str">
        <f>IFERROR(IF(B968="","",VLOOKUP(B968,CadProd!$A:$B,2,0)),"")</f>
        <v/>
      </c>
      <c r="D968" t="str">
        <f>IFERROR(IF(B968="","",VLOOKUP(B968,CadProd!$A:$C,3,0)),"")</f>
        <v/>
      </c>
      <c r="G968" s="1" t="str">
        <f t="shared" si="15"/>
        <v/>
      </c>
    </row>
    <row r="969" spans="3:7" x14ac:dyDescent="0.3">
      <c r="C969" t="str">
        <f>IFERROR(IF(B969="","",VLOOKUP(B969,CadProd!$A:$B,2,0)),"")</f>
        <v/>
      </c>
      <c r="D969" t="str">
        <f>IFERROR(IF(B969="","",VLOOKUP(B969,CadProd!$A:$C,3,0)),"")</f>
        <v/>
      </c>
      <c r="G969" s="1" t="str">
        <f t="shared" si="15"/>
        <v/>
      </c>
    </row>
    <row r="970" spans="3:7" x14ac:dyDescent="0.3">
      <c r="C970" t="str">
        <f>IFERROR(IF(B970="","",VLOOKUP(B970,CadProd!$A:$B,2,0)),"")</f>
        <v/>
      </c>
      <c r="D970" t="str">
        <f>IFERROR(IF(B970="","",VLOOKUP(B970,CadProd!$A:$C,3,0)),"")</f>
        <v/>
      </c>
      <c r="G970" s="1" t="str">
        <f t="shared" si="15"/>
        <v/>
      </c>
    </row>
    <row r="971" spans="3:7" x14ac:dyDescent="0.3">
      <c r="C971" t="str">
        <f>IFERROR(IF(B971="","",VLOOKUP(B971,CadProd!$A:$B,2,0)),"")</f>
        <v/>
      </c>
      <c r="D971" t="str">
        <f>IFERROR(IF(B971="","",VLOOKUP(B971,CadProd!$A:$C,3,0)),"")</f>
        <v/>
      </c>
      <c r="G971" s="1" t="str">
        <f t="shared" si="15"/>
        <v/>
      </c>
    </row>
    <row r="972" spans="3:7" x14ac:dyDescent="0.3">
      <c r="C972" t="str">
        <f>IFERROR(IF(B972="","",VLOOKUP(B972,CadProd!$A:$B,2,0)),"")</f>
        <v/>
      </c>
      <c r="D972" t="str">
        <f>IFERROR(IF(B972="","",VLOOKUP(B972,CadProd!$A:$C,3,0)),"")</f>
        <v/>
      </c>
      <c r="G972" s="1" t="str">
        <f t="shared" si="15"/>
        <v/>
      </c>
    </row>
    <row r="973" spans="3:7" x14ac:dyDescent="0.3">
      <c r="C973" t="str">
        <f>IFERROR(IF(B973="","",VLOOKUP(B973,CadProd!$A:$B,2,0)),"")</f>
        <v/>
      </c>
      <c r="D973" t="str">
        <f>IFERROR(IF(B973="","",VLOOKUP(B973,CadProd!$A:$C,3,0)),"")</f>
        <v/>
      </c>
      <c r="G973" s="1" t="str">
        <f t="shared" si="15"/>
        <v/>
      </c>
    </row>
    <row r="974" spans="3:7" x14ac:dyDescent="0.3">
      <c r="C974" t="str">
        <f>IFERROR(IF(B974="","",VLOOKUP(B974,CadProd!$A:$B,2,0)),"")</f>
        <v/>
      </c>
      <c r="D974" t="str">
        <f>IFERROR(IF(B974="","",VLOOKUP(B974,CadProd!$A:$C,3,0)),"")</f>
        <v/>
      </c>
      <c r="G974" s="1" t="str">
        <f t="shared" si="15"/>
        <v/>
      </c>
    </row>
    <row r="975" spans="3:7" x14ac:dyDescent="0.3">
      <c r="C975" t="str">
        <f>IFERROR(IF(B975="","",VLOOKUP(B975,CadProd!$A:$B,2,0)),"")</f>
        <v/>
      </c>
      <c r="D975" t="str">
        <f>IFERROR(IF(B975="","",VLOOKUP(B975,CadProd!$A:$C,3,0)),"")</f>
        <v/>
      </c>
      <c r="G975" s="1" t="str">
        <f t="shared" si="15"/>
        <v/>
      </c>
    </row>
    <row r="976" spans="3:7" x14ac:dyDescent="0.3">
      <c r="C976" t="str">
        <f>IFERROR(IF(B976="","",VLOOKUP(B976,CadProd!$A:$B,2,0)),"")</f>
        <v/>
      </c>
      <c r="D976" t="str">
        <f>IFERROR(IF(B976="","",VLOOKUP(B976,CadProd!$A:$C,3,0)),"")</f>
        <v/>
      </c>
      <c r="G976" s="1" t="str">
        <f t="shared" si="15"/>
        <v/>
      </c>
    </row>
    <row r="977" spans="3:7" x14ac:dyDescent="0.3">
      <c r="C977" t="str">
        <f>IFERROR(IF(B977="","",VLOOKUP(B977,CadProd!$A:$B,2,0)),"")</f>
        <v/>
      </c>
      <c r="D977" t="str">
        <f>IFERROR(IF(B977="","",VLOOKUP(B977,CadProd!$A:$C,3,0)),"")</f>
        <v/>
      </c>
      <c r="G977" s="1" t="str">
        <f t="shared" si="15"/>
        <v/>
      </c>
    </row>
    <row r="978" spans="3:7" x14ac:dyDescent="0.3">
      <c r="C978" t="str">
        <f>IFERROR(IF(B978="","",VLOOKUP(B978,CadProd!$A:$B,2,0)),"")</f>
        <v/>
      </c>
      <c r="D978" t="str">
        <f>IFERROR(IF(B978="","",VLOOKUP(B978,CadProd!$A:$C,3,0)),"")</f>
        <v/>
      </c>
      <c r="G978" s="1" t="str">
        <f t="shared" si="15"/>
        <v/>
      </c>
    </row>
    <row r="979" spans="3:7" x14ac:dyDescent="0.3">
      <c r="C979" t="str">
        <f>IFERROR(IF(B979="","",VLOOKUP(B979,CadProd!$A:$B,2,0)),"")</f>
        <v/>
      </c>
      <c r="D979" t="str">
        <f>IFERROR(IF(B979="","",VLOOKUP(B979,CadProd!$A:$C,3,0)),"")</f>
        <v/>
      </c>
      <c r="G979" s="1" t="str">
        <f t="shared" si="15"/>
        <v/>
      </c>
    </row>
    <row r="980" spans="3:7" x14ac:dyDescent="0.3">
      <c r="C980" t="str">
        <f>IFERROR(IF(B980="","",VLOOKUP(B980,CadProd!$A:$B,2,0)),"")</f>
        <v/>
      </c>
      <c r="D980" t="str">
        <f>IFERROR(IF(B980="","",VLOOKUP(B980,CadProd!$A:$C,3,0)),"")</f>
        <v/>
      </c>
      <c r="G980" s="1" t="str">
        <f t="shared" si="15"/>
        <v/>
      </c>
    </row>
    <row r="981" spans="3:7" x14ac:dyDescent="0.3">
      <c r="C981" t="str">
        <f>IFERROR(IF(B981="","",VLOOKUP(B981,CadProd!$A:$B,2,0)),"")</f>
        <v/>
      </c>
      <c r="D981" t="str">
        <f>IFERROR(IF(B981="","",VLOOKUP(B981,CadProd!$A:$C,3,0)),"")</f>
        <v/>
      </c>
      <c r="G981" s="1" t="str">
        <f t="shared" si="15"/>
        <v/>
      </c>
    </row>
    <row r="982" spans="3:7" x14ac:dyDescent="0.3">
      <c r="C982" t="str">
        <f>IFERROR(IF(B982="","",VLOOKUP(B982,CadProd!$A:$B,2,0)),"")</f>
        <v/>
      </c>
      <c r="D982" t="str">
        <f>IFERROR(IF(B982="","",VLOOKUP(B982,CadProd!$A:$C,3,0)),"")</f>
        <v/>
      </c>
      <c r="G982" s="1" t="str">
        <f t="shared" si="15"/>
        <v/>
      </c>
    </row>
    <row r="983" spans="3:7" x14ac:dyDescent="0.3">
      <c r="C983" t="str">
        <f>IFERROR(IF(B983="","",VLOOKUP(B983,CadProd!$A:$B,2,0)),"")</f>
        <v/>
      </c>
      <c r="D983" t="str">
        <f>IFERROR(IF(B983="","",VLOOKUP(B983,CadProd!$A:$C,3,0)),"")</f>
        <v/>
      </c>
      <c r="G983" s="1" t="str">
        <f t="shared" si="15"/>
        <v/>
      </c>
    </row>
    <row r="984" spans="3:7" x14ac:dyDescent="0.3">
      <c r="C984" t="str">
        <f>IFERROR(IF(B984="","",VLOOKUP(B984,CadProd!$A:$B,2,0)),"")</f>
        <v/>
      </c>
      <c r="D984" t="str">
        <f>IFERROR(IF(B984="","",VLOOKUP(B984,CadProd!$A:$C,3,0)),"")</f>
        <v/>
      </c>
      <c r="G984" s="1" t="str">
        <f t="shared" si="15"/>
        <v/>
      </c>
    </row>
    <row r="985" spans="3:7" x14ac:dyDescent="0.3">
      <c r="C985" t="str">
        <f>IFERROR(IF(B985="","",VLOOKUP(B985,CadProd!$A:$B,2,0)),"")</f>
        <v/>
      </c>
      <c r="D985" t="str">
        <f>IFERROR(IF(B985="","",VLOOKUP(B985,CadProd!$A:$C,3,0)),"")</f>
        <v/>
      </c>
      <c r="G985" s="1" t="str">
        <f t="shared" si="15"/>
        <v/>
      </c>
    </row>
    <row r="986" spans="3:7" x14ac:dyDescent="0.3">
      <c r="C986" t="str">
        <f>IFERROR(IF(B986="","",VLOOKUP(B986,CadProd!$A:$B,2,0)),"")</f>
        <v/>
      </c>
      <c r="D986" t="str">
        <f>IFERROR(IF(B986="","",VLOOKUP(B986,CadProd!$A:$C,3,0)),"")</f>
        <v/>
      </c>
      <c r="G986" s="1" t="str">
        <f t="shared" si="15"/>
        <v/>
      </c>
    </row>
    <row r="987" spans="3:7" x14ac:dyDescent="0.3">
      <c r="C987" t="str">
        <f>IFERROR(IF(B987="","",VLOOKUP(B987,CadProd!$A:$B,2,0)),"")</f>
        <v/>
      </c>
      <c r="D987" t="str">
        <f>IFERROR(IF(B987="","",VLOOKUP(B987,CadProd!$A:$C,3,0)),"")</f>
        <v/>
      </c>
      <c r="G987" s="1" t="str">
        <f t="shared" si="15"/>
        <v/>
      </c>
    </row>
    <row r="988" spans="3:7" x14ac:dyDescent="0.3">
      <c r="C988" t="str">
        <f>IFERROR(IF(B988="","",VLOOKUP(B988,CadProd!$A:$B,2,0)),"")</f>
        <v/>
      </c>
      <c r="D988" t="str">
        <f>IFERROR(IF(B988="","",VLOOKUP(B988,CadProd!$A:$C,3,0)),"")</f>
        <v/>
      </c>
      <c r="G988" s="1" t="str">
        <f t="shared" si="15"/>
        <v/>
      </c>
    </row>
    <row r="989" spans="3:7" x14ac:dyDescent="0.3">
      <c r="C989" t="str">
        <f>IFERROR(IF(B989="","",VLOOKUP(B989,CadProd!$A:$B,2,0)),"")</f>
        <v/>
      </c>
      <c r="D989" t="str">
        <f>IFERROR(IF(B989="","",VLOOKUP(B989,CadProd!$A:$C,3,0)),"")</f>
        <v/>
      </c>
      <c r="G989" s="1" t="str">
        <f t="shared" si="15"/>
        <v/>
      </c>
    </row>
    <row r="990" spans="3:7" x14ac:dyDescent="0.3">
      <c r="C990" t="str">
        <f>IFERROR(IF(B990="","",VLOOKUP(B990,CadProd!$A:$B,2,0)),"")</f>
        <v/>
      </c>
      <c r="D990" t="str">
        <f>IFERROR(IF(B990="","",VLOOKUP(B990,CadProd!$A:$C,3,0)),"")</f>
        <v/>
      </c>
      <c r="G990" s="1" t="str">
        <f t="shared" si="15"/>
        <v/>
      </c>
    </row>
    <row r="991" spans="3:7" x14ac:dyDescent="0.3">
      <c r="C991" t="str">
        <f>IFERROR(IF(B991="","",VLOOKUP(B991,CadProd!$A:$B,2,0)),"")</f>
        <v/>
      </c>
      <c r="D991" t="str">
        <f>IFERROR(IF(B991="","",VLOOKUP(B991,CadProd!$A:$C,3,0)),"")</f>
        <v/>
      </c>
      <c r="G991" s="1" t="str">
        <f t="shared" si="15"/>
        <v/>
      </c>
    </row>
    <row r="992" spans="3:7" x14ac:dyDescent="0.3">
      <c r="C992" t="str">
        <f>IFERROR(IF(B992="","",VLOOKUP(B992,CadProd!$A:$B,2,0)),"")</f>
        <v/>
      </c>
      <c r="D992" t="str">
        <f>IFERROR(IF(B992="","",VLOOKUP(B992,CadProd!$A:$C,3,0)),"")</f>
        <v/>
      </c>
      <c r="G992" s="1" t="str">
        <f t="shared" si="15"/>
        <v/>
      </c>
    </row>
    <row r="993" spans="3:7" x14ac:dyDescent="0.3">
      <c r="C993" t="str">
        <f>IFERROR(IF(B993="","",VLOOKUP(B993,CadProd!$A:$B,2,0)),"")</f>
        <v/>
      </c>
      <c r="D993" t="str">
        <f>IFERROR(IF(B993="","",VLOOKUP(B993,CadProd!$A:$C,3,0)),"")</f>
        <v/>
      </c>
      <c r="G993" s="1" t="str">
        <f t="shared" si="15"/>
        <v/>
      </c>
    </row>
    <row r="994" spans="3:7" x14ac:dyDescent="0.3">
      <c r="C994" t="str">
        <f>IFERROR(IF(B994="","",VLOOKUP(B994,CadProd!$A:$B,2,0)),"")</f>
        <v/>
      </c>
      <c r="D994" t="str">
        <f>IFERROR(IF(B994="","",VLOOKUP(B994,CadProd!$A:$C,3,0)),"")</f>
        <v/>
      </c>
      <c r="G994" s="1" t="str">
        <f t="shared" si="15"/>
        <v/>
      </c>
    </row>
    <row r="995" spans="3:7" x14ac:dyDescent="0.3">
      <c r="C995" t="str">
        <f>IFERROR(IF(B995="","",VLOOKUP(B995,CadProd!$A:$B,2,0)),"")</f>
        <v/>
      </c>
      <c r="D995" t="str">
        <f>IFERROR(IF(B995="","",VLOOKUP(B995,CadProd!$A:$C,3,0)),"")</f>
        <v/>
      </c>
      <c r="G995" s="1" t="str">
        <f t="shared" si="15"/>
        <v/>
      </c>
    </row>
    <row r="996" spans="3:7" x14ac:dyDescent="0.3">
      <c r="C996" t="str">
        <f>IFERROR(IF(B996="","",VLOOKUP(B996,CadProd!$A:$B,2,0)),"")</f>
        <v/>
      </c>
      <c r="D996" t="str">
        <f>IFERROR(IF(B996="","",VLOOKUP(B996,CadProd!$A:$C,3,0)),"")</f>
        <v/>
      </c>
      <c r="G996" s="1" t="str">
        <f t="shared" si="15"/>
        <v/>
      </c>
    </row>
    <row r="997" spans="3:7" x14ac:dyDescent="0.3">
      <c r="C997" t="str">
        <f>IFERROR(IF(B997="","",VLOOKUP(B997,CadProd!$A:$B,2,0)),"")</f>
        <v/>
      </c>
      <c r="D997" t="str">
        <f>IFERROR(IF(B997="","",VLOOKUP(B997,CadProd!$A:$C,3,0)),"")</f>
        <v/>
      </c>
      <c r="G997" s="1" t="str">
        <f t="shared" si="15"/>
        <v/>
      </c>
    </row>
    <row r="998" spans="3:7" x14ac:dyDescent="0.3">
      <c r="C998" t="str">
        <f>IFERROR(IF(B998="","",VLOOKUP(B998,CadProd!$A:$B,2,0)),"")</f>
        <v/>
      </c>
      <c r="D998" t="str">
        <f>IFERROR(IF(B998="","",VLOOKUP(B998,CadProd!$A:$C,3,0)),"")</f>
        <v/>
      </c>
      <c r="G998" s="1" t="str">
        <f t="shared" si="15"/>
        <v/>
      </c>
    </row>
    <row r="999" spans="3:7" x14ac:dyDescent="0.3">
      <c r="C999" t="str">
        <f>IFERROR(IF(B999="","",VLOOKUP(B999,CadProd!$A:$B,2,0)),"")</f>
        <v/>
      </c>
      <c r="D999" t="str">
        <f>IFERROR(IF(B999="","",VLOOKUP(B999,CadProd!$A:$C,3,0)),"")</f>
        <v/>
      </c>
      <c r="G999" s="1" t="str">
        <f t="shared" si="15"/>
        <v/>
      </c>
    </row>
    <row r="1000" spans="3:7" x14ac:dyDescent="0.3">
      <c r="C1000" t="str">
        <f>IFERROR(IF(B1000="","",VLOOKUP(B1000,CadProd!$A:$B,2,0)),"")</f>
        <v/>
      </c>
      <c r="D1000" t="str">
        <f>IFERROR(IF(B1000="","",VLOOKUP(B1000,CadProd!$A:$C,3,0)),"")</f>
        <v/>
      </c>
      <c r="G1000" s="1" t="str">
        <f t="shared" si="15"/>
        <v/>
      </c>
    </row>
    <row r="1001" spans="3:7" x14ac:dyDescent="0.3">
      <c r="C1001" t="str">
        <f>IFERROR(IF(B1001="","",VLOOKUP(B1001,CadProd!$A:$B,2,0)),"")</f>
        <v/>
      </c>
      <c r="D1001" t="str">
        <f>IFERROR(IF(B1001="","",VLOOKUP(B1001,CadProd!$A:$C,3,0)),"")</f>
        <v/>
      </c>
      <c r="G1001" s="1" t="str">
        <f t="shared" si="15"/>
        <v/>
      </c>
    </row>
    <row r="1002" spans="3:7" x14ac:dyDescent="0.3">
      <c r="C1002" t="str">
        <f>IFERROR(IF(B1002="","",VLOOKUP(B1002,CadProd!$A:$B,2,0)),"")</f>
        <v/>
      </c>
      <c r="D1002" t="str">
        <f>IFERROR(IF(B1002="","",VLOOKUP(B1002,CadProd!$A:$C,3,0)),"")</f>
        <v/>
      </c>
      <c r="G1002" s="1" t="str">
        <f t="shared" si="15"/>
        <v/>
      </c>
    </row>
    <row r="1003" spans="3:7" x14ac:dyDescent="0.3">
      <c r="C1003" t="str">
        <f>IFERROR(IF(B1003="","",VLOOKUP(B1003,CadProd!$A:$B,2,0)),"")</f>
        <v/>
      </c>
      <c r="D1003" t="str">
        <f>IFERROR(IF(B1003="","",VLOOKUP(B1003,CadProd!$A:$C,3,0)),"")</f>
        <v/>
      </c>
      <c r="G1003" s="1" t="str">
        <f t="shared" si="15"/>
        <v/>
      </c>
    </row>
    <row r="1004" spans="3:7" x14ac:dyDescent="0.3">
      <c r="C1004" t="str">
        <f>IFERROR(IF(B1004="","",VLOOKUP(B1004,CadProd!$A:$B,2,0)),"")</f>
        <v/>
      </c>
      <c r="D1004" t="str">
        <f>IFERROR(IF(B1004="","",VLOOKUP(B1004,CadProd!$A:$C,3,0)),"")</f>
        <v/>
      </c>
      <c r="G1004" s="1" t="str">
        <f t="shared" si="15"/>
        <v/>
      </c>
    </row>
    <row r="1005" spans="3:7" x14ac:dyDescent="0.3">
      <c r="C1005" t="str">
        <f>IFERROR(IF(B1005="","",VLOOKUP(B1005,CadProd!$A:$B,2,0)),"")</f>
        <v/>
      </c>
      <c r="D1005" t="str">
        <f>IFERROR(IF(B1005="","",VLOOKUP(B1005,CadProd!$A:$C,3,0)),"")</f>
        <v/>
      </c>
      <c r="G1005" s="1" t="str">
        <f t="shared" si="15"/>
        <v/>
      </c>
    </row>
    <row r="1006" spans="3:7" x14ac:dyDescent="0.3">
      <c r="C1006" t="str">
        <f>IFERROR(IF(B1006="","",VLOOKUP(B1006,CadProd!$A:$B,2,0)),"")</f>
        <v/>
      </c>
      <c r="D1006" t="str">
        <f>IFERROR(IF(B1006="","",VLOOKUP(B1006,CadProd!$A:$C,3,0)),"")</f>
        <v/>
      </c>
      <c r="G1006" s="1" t="str">
        <f t="shared" si="15"/>
        <v/>
      </c>
    </row>
    <row r="1007" spans="3:7" x14ac:dyDescent="0.3">
      <c r="C1007" t="str">
        <f>IFERROR(IF(B1007="","",VLOOKUP(B1007,CadProd!$A:$B,2,0)),"")</f>
        <v/>
      </c>
      <c r="D1007" t="str">
        <f>IFERROR(IF(B1007="","",VLOOKUP(B1007,CadProd!$A:$C,3,0)),"")</f>
        <v/>
      </c>
      <c r="G1007" s="1" t="str">
        <f t="shared" si="15"/>
        <v/>
      </c>
    </row>
    <row r="1008" spans="3:7" x14ac:dyDescent="0.3">
      <c r="C1008" t="str">
        <f>IFERROR(IF(B1008="","",VLOOKUP(B1008,CadProd!$A:$B,2,0)),"")</f>
        <v/>
      </c>
      <c r="D1008" t="str">
        <f>IFERROR(IF(B1008="","",VLOOKUP(B1008,CadProd!$A:$C,3,0)),"")</f>
        <v/>
      </c>
      <c r="G1008" s="1" t="str">
        <f t="shared" si="15"/>
        <v/>
      </c>
    </row>
    <row r="1009" spans="3:7" x14ac:dyDescent="0.3">
      <c r="C1009" t="str">
        <f>IFERROR(IF(B1009="","",VLOOKUP(B1009,CadProd!$A:$B,2,0)),"")</f>
        <v/>
      </c>
      <c r="D1009" t="str">
        <f>IFERROR(IF(B1009="","",VLOOKUP(B1009,CadProd!$A:$C,3,0)),"")</f>
        <v/>
      </c>
      <c r="G1009" s="1" t="str">
        <f t="shared" si="15"/>
        <v/>
      </c>
    </row>
    <row r="1010" spans="3:7" x14ac:dyDescent="0.3">
      <c r="C1010" t="str">
        <f>IFERROR(IF(B1010="","",VLOOKUP(B1010,CadProd!$A:$B,2,0)),"")</f>
        <v/>
      </c>
      <c r="D1010" t="str">
        <f>IFERROR(IF(B1010="","",VLOOKUP(B1010,CadProd!$A:$C,3,0)),"")</f>
        <v/>
      </c>
      <c r="G1010" s="1" t="str">
        <f t="shared" si="15"/>
        <v/>
      </c>
    </row>
    <row r="1011" spans="3:7" x14ac:dyDescent="0.3">
      <c r="C1011" t="str">
        <f>IFERROR(IF(B1011="","",VLOOKUP(B1011,CadProd!$A:$B,2,0)),"")</f>
        <v/>
      </c>
      <c r="D1011" t="str">
        <f>IFERROR(IF(B1011="","",VLOOKUP(B1011,CadProd!$A:$C,3,0)),"")</f>
        <v/>
      </c>
      <c r="G1011" s="1" t="str">
        <f t="shared" si="15"/>
        <v/>
      </c>
    </row>
    <row r="1012" spans="3:7" x14ac:dyDescent="0.3">
      <c r="C1012" t="str">
        <f>IFERROR(IF(B1012="","",VLOOKUP(B1012,CadProd!$A:$B,2,0)),"")</f>
        <v/>
      </c>
      <c r="D1012" t="str">
        <f>IFERROR(IF(B1012="","",VLOOKUP(B1012,CadProd!$A:$C,3,0)),"")</f>
        <v/>
      </c>
      <c r="G1012" s="1" t="str">
        <f t="shared" si="15"/>
        <v/>
      </c>
    </row>
    <row r="1013" spans="3:7" x14ac:dyDescent="0.3">
      <c r="C1013" t="str">
        <f>IFERROR(IF(B1013="","",VLOOKUP(B1013,CadProd!$A:$B,2,0)),"")</f>
        <v/>
      </c>
      <c r="D1013" t="str">
        <f>IFERROR(IF(B1013="","",VLOOKUP(B1013,CadProd!$A:$C,3,0)),"")</f>
        <v/>
      </c>
      <c r="G1013" s="1" t="str">
        <f t="shared" si="15"/>
        <v/>
      </c>
    </row>
    <row r="1014" spans="3:7" x14ac:dyDescent="0.3">
      <c r="C1014" t="str">
        <f>IFERROR(IF(B1014="","",VLOOKUP(B1014,CadProd!$A:$B,2,0)),"")</f>
        <v/>
      </c>
      <c r="D1014" t="str">
        <f>IFERROR(IF(B1014="","",VLOOKUP(B1014,CadProd!$A:$C,3,0)),"")</f>
        <v/>
      </c>
      <c r="G1014" s="1" t="str">
        <f t="shared" si="15"/>
        <v/>
      </c>
    </row>
    <row r="1015" spans="3:7" x14ac:dyDescent="0.3">
      <c r="C1015" t="str">
        <f>IFERROR(IF(B1015="","",VLOOKUP(B1015,CadProd!$A:$B,2,0)),"")</f>
        <v/>
      </c>
      <c r="D1015" t="str">
        <f>IFERROR(IF(B1015="","",VLOOKUP(B1015,CadProd!$A:$C,3,0)),"")</f>
        <v/>
      </c>
      <c r="G1015" s="1" t="str">
        <f t="shared" si="15"/>
        <v/>
      </c>
    </row>
    <row r="1016" spans="3:7" x14ac:dyDescent="0.3">
      <c r="C1016" t="str">
        <f>IFERROR(IF(B1016="","",VLOOKUP(B1016,CadProd!$A:$B,2,0)),"")</f>
        <v/>
      </c>
      <c r="D1016" t="str">
        <f>IFERROR(IF(B1016="","",VLOOKUP(B1016,CadProd!$A:$C,3,0)),"")</f>
        <v/>
      </c>
      <c r="G1016" s="1" t="str">
        <f t="shared" si="15"/>
        <v/>
      </c>
    </row>
    <row r="1017" spans="3:7" x14ac:dyDescent="0.3">
      <c r="C1017" t="str">
        <f>IFERROR(IF(B1017="","",VLOOKUP(B1017,CadProd!$A:$B,2,0)),"")</f>
        <v/>
      </c>
      <c r="D1017" t="str">
        <f>IFERROR(IF(B1017="","",VLOOKUP(B1017,CadProd!$A:$C,3,0)),"")</f>
        <v/>
      </c>
      <c r="G1017" s="1" t="str">
        <f t="shared" si="15"/>
        <v/>
      </c>
    </row>
    <row r="1018" spans="3:7" x14ac:dyDescent="0.3">
      <c r="C1018" t="str">
        <f>IFERROR(IF(B1018="","",VLOOKUP(B1018,CadProd!$A:$B,2,0)),"")</f>
        <v/>
      </c>
      <c r="D1018" t="str">
        <f>IFERROR(IF(B1018="","",VLOOKUP(B1018,CadProd!$A:$C,3,0)),"")</f>
        <v/>
      </c>
      <c r="G1018" s="1" t="str">
        <f t="shared" si="15"/>
        <v/>
      </c>
    </row>
    <row r="1019" spans="3:7" x14ac:dyDescent="0.3">
      <c r="C1019" t="str">
        <f>IFERROR(IF(B1019="","",VLOOKUP(B1019,CadProd!$A:$B,2,0)),"")</f>
        <v/>
      </c>
      <c r="D1019" t="str">
        <f>IFERROR(IF(B1019="","",VLOOKUP(B1019,CadProd!$A:$C,3,0)),"")</f>
        <v/>
      </c>
      <c r="G1019" s="1" t="str">
        <f t="shared" si="15"/>
        <v/>
      </c>
    </row>
    <row r="1020" spans="3:7" x14ac:dyDescent="0.3">
      <c r="C1020" t="str">
        <f>IFERROR(IF(B1020="","",VLOOKUP(B1020,CadProd!$A:$B,2,0)),"")</f>
        <v/>
      </c>
      <c r="D1020" t="str">
        <f>IFERROR(IF(B1020="","",VLOOKUP(B1020,CadProd!$A:$C,3,0)),"")</f>
        <v/>
      </c>
      <c r="G1020" s="1" t="str">
        <f t="shared" si="15"/>
        <v/>
      </c>
    </row>
    <row r="1021" spans="3:7" x14ac:dyDescent="0.3">
      <c r="C1021" t="str">
        <f>IFERROR(IF(B1021="","",VLOOKUP(B1021,CadProd!$A:$B,2,0)),"")</f>
        <v/>
      </c>
      <c r="D1021" t="str">
        <f>IFERROR(IF(B1021="","",VLOOKUP(B1021,CadProd!$A:$C,3,0)),"")</f>
        <v/>
      </c>
      <c r="G1021" s="1" t="str">
        <f t="shared" si="15"/>
        <v/>
      </c>
    </row>
    <row r="1022" spans="3:7" x14ac:dyDescent="0.3">
      <c r="C1022" t="str">
        <f>IFERROR(IF(B1022="","",VLOOKUP(B1022,CadProd!$A:$B,2,0)),"")</f>
        <v/>
      </c>
      <c r="D1022" t="str">
        <f>IFERROR(IF(B1022="","",VLOOKUP(B1022,CadProd!$A:$C,3,0)),"")</f>
        <v/>
      </c>
      <c r="G1022" s="1" t="str">
        <f t="shared" si="15"/>
        <v/>
      </c>
    </row>
    <row r="1023" spans="3:7" x14ac:dyDescent="0.3">
      <c r="C1023" t="str">
        <f>IFERROR(IF(B1023="","",VLOOKUP(B1023,CadProd!$A:$B,2,0)),"")</f>
        <v/>
      </c>
      <c r="D1023" t="str">
        <f>IFERROR(IF(B1023="","",VLOOKUP(B1023,CadProd!$A:$C,3,0)),"")</f>
        <v/>
      </c>
      <c r="G1023" s="1" t="str">
        <f t="shared" si="15"/>
        <v/>
      </c>
    </row>
    <row r="1024" spans="3:7" x14ac:dyDescent="0.3">
      <c r="C1024" t="str">
        <f>IFERROR(IF(B1024="","",VLOOKUP(B1024,CadProd!$A:$B,2,0)),"")</f>
        <v/>
      </c>
      <c r="D1024" t="str">
        <f>IFERROR(IF(B1024="","",VLOOKUP(B1024,CadProd!$A:$C,3,0)),"")</f>
        <v/>
      </c>
      <c r="G1024" s="1" t="str">
        <f t="shared" si="15"/>
        <v/>
      </c>
    </row>
    <row r="1025" spans="3:7" x14ac:dyDescent="0.3">
      <c r="C1025" t="str">
        <f>IFERROR(IF(B1025="","",VLOOKUP(B1025,CadProd!$A:$B,2,0)),"")</f>
        <v/>
      </c>
      <c r="D1025" t="str">
        <f>IFERROR(IF(B1025="","",VLOOKUP(B1025,CadProd!$A:$C,3,0)),"")</f>
        <v/>
      </c>
      <c r="G1025" s="1" t="str">
        <f t="shared" si="15"/>
        <v/>
      </c>
    </row>
    <row r="1026" spans="3:7" x14ac:dyDescent="0.3">
      <c r="C1026" t="str">
        <f>IFERROR(IF(B1026="","",VLOOKUP(B1026,CadProd!$A:$B,2,0)),"")</f>
        <v/>
      </c>
      <c r="D1026" t="str">
        <f>IFERROR(IF(B1026="","",VLOOKUP(B1026,CadProd!$A:$C,3,0)),"")</f>
        <v/>
      </c>
      <c r="G1026" s="1" t="str">
        <f t="shared" ref="G1026:G1089" si="16">IFERROR(IF(B1026="","",F1026*E1026),"")</f>
        <v/>
      </c>
    </row>
    <row r="1027" spans="3:7" x14ac:dyDescent="0.3">
      <c r="C1027" t="str">
        <f>IFERROR(IF(B1027="","",VLOOKUP(B1027,CadProd!$A:$B,2,0)),"")</f>
        <v/>
      </c>
      <c r="D1027" t="str">
        <f>IFERROR(IF(B1027="","",VLOOKUP(B1027,CadProd!$A:$C,3,0)),"")</f>
        <v/>
      </c>
      <c r="G1027" s="1" t="str">
        <f t="shared" si="16"/>
        <v/>
      </c>
    </row>
    <row r="1028" spans="3:7" x14ac:dyDescent="0.3">
      <c r="C1028" t="str">
        <f>IFERROR(IF(B1028="","",VLOOKUP(B1028,CadProd!$A:$B,2,0)),"")</f>
        <v/>
      </c>
      <c r="D1028" t="str">
        <f>IFERROR(IF(B1028="","",VLOOKUP(B1028,CadProd!$A:$C,3,0)),"")</f>
        <v/>
      </c>
      <c r="G1028" s="1" t="str">
        <f t="shared" si="16"/>
        <v/>
      </c>
    </row>
    <row r="1029" spans="3:7" x14ac:dyDescent="0.3">
      <c r="C1029" t="str">
        <f>IFERROR(IF(B1029="","",VLOOKUP(B1029,CadProd!$A:$B,2,0)),"")</f>
        <v/>
      </c>
      <c r="D1029" t="str">
        <f>IFERROR(IF(B1029="","",VLOOKUP(B1029,CadProd!$A:$C,3,0)),"")</f>
        <v/>
      </c>
      <c r="G1029" s="1" t="str">
        <f t="shared" si="16"/>
        <v/>
      </c>
    </row>
    <row r="1030" spans="3:7" x14ac:dyDescent="0.3">
      <c r="C1030" t="str">
        <f>IFERROR(IF(B1030="","",VLOOKUP(B1030,CadProd!$A:$B,2,0)),"")</f>
        <v/>
      </c>
      <c r="D1030" t="str">
        <f>IFERROR(IF(B1030="","",VLOOKUP(B1030,CadProd!$A:$C,3,0)),"")</f>
        <v/>
      </c>
      <c r="G1030" s="1" t="str">
        <f t="shared" si="16"/>
        <v/>
      </c>
    </row>
    <row r="1031" spans="3:7" x14ac:dyDescent="0.3">
      <c r="C1031" t="str">
        <f>IFERROR(IF(B1031="","",VLOOKUP(B1031,CadProd!$A:$B,2,0)),"")</f>
        <v/>
      </c>
      <c r="D1031" t="str">
        <f>IFERROR(IF(B1031="","",VLOOKUP(B1031,CadProd!$A:$C,3,0)),"")</f>
        <v/>
      </c>
      <c r="G1031" s="1" t="str">
        <f t="shared" si="16"/>
        <v/>
      </c>
    </row>
    <row r="1032" spans="3:7" x14ac:dyDescent="0.3">
      <c r="C1032" t="str">
        <f>IFERROR(IF(B1032="","",VLOOKUP(B1032,CadProd!$A:$B,2,0)),"")</f>
        <v/>
      </c>
      <c r="D1032" t="str">
        <f>IFERROR(IF(B1032="","",VLOOKUP(B1032,CadProd!$A:$C,3,0)),"")</f>
        <v/>
      </c>
      <c r="G1032" s="1" t="str">
        <f t="shared" si="16"/>
        <v/>
      </c>
    </row>
    <row r="1033" spans="3:7" x14ac:dyDescent="0.3">
      <c r="C1033" t="str">
        <f>IFERROR(IF(B1033="","",VLOOKUP(B1033,CadProd!$A:$B,2,0)),"")</f>
        <v/>
      </c>
      <c r="D1033" t="str">
        <f>IFERROR(IF(B1033="","",VLOOKUP(B1033,CadProd!$A:$C,3,0)),"")</f>
        <v/>
      </c>
      <c r="G1033" s="1" t="str">
        <f t="shared" si="16"/>
        <v/>
      </c>
    </row>
    <row r="1034" spans="3:7" x14ac:dyDescent="0.3">
      <c r="C1034" t="str">
        <f>IFERROR(IF(B1034="","",VLOOKUP(B1034,CadProd!$A:$B,2,0)),"")</f>
        <v/>
      </c>
      <c r="D1034" t="str">
        <f>IFERROR(IF(B1034="","",VLOOKUP(B1034,CadProd!$A:$C,3,0)),"")</f>
        <v/>
      </c>
      <c r="G1034" s="1" t="str">
        <f t="shared" si="16"/>
        <v/>
      </c>
    </row>
    <row r="1035" spans="3:7" x14ac:dyDescent="0.3">
      <c r="C1035" t="str">
        <f>IFERROR(IF(B1035="","",VLOOKUP(B1035,CadProd!$A:$B,2,0)),"")</f>
        <v/>
      </c>
      <c r="D1035" t="str">
        <f>IFERROR(IF(B1035="","",VLOOKUP(B1035,CadProd!$A:$C,3,0)),"")</f>
        <v/>
      </c>
      <c r="G1035" s="1" t="str">
        <f t="shared" si="16"/>
        <v/>
      </c>
    </row>
    <row r="1036" spans="3:7" x14ac:dyDescent="0.3">
      <c r="C1036" t="str">
        <f>IFERROR(IF(B1036="","",VLOOKUP(B1036,CadProd!$A:$B,2,0)),"")</f>
        <v/>
      </c>
      <c r="D1036" t="str">
        <f>IFERROR(IF(B1036="","",VLOOKUP(B1036,CadProd!$A:$C,3,0)),"")</f>
        <v/>
      </c>
      <c r="G1036" s="1" t="str">
        <f t="shared" si="16"/>
        <v/>
      </c>
    </row>
    <row r="1037" spans="3:7" x14ac:dyDescent="0.3">
      <c r="C1037" t="str">
        <f>IFERROR(IF(B1037="","",VLOOKUP(B1037,CadProd!$A:$B,2,0)),"")</f>
        <v/>
      </c>
      <c r="D1037" t="str">
        <f>IFERROR(IF(B1037="","",VLOOKUP(B1037,CadProd!$A:$C,3,0)),"")</f>
        <v/>
      </c>
      <c r="G1037" s="1" t="str">
        <f t="shared" si="16"/>
        <v/>
      </c>
    </row>
    <row r="1038" spans="3:7" x14ac:dyDescent="0.3">
      <c r="C1038" t="str">
        <f>IFERROR(IF(B1038="","",VLOOKUP(B1038,CadProd!$A:$B,2,0)),"")</f>
        <v/>
      </c>
      <c r="D1038" t="str">
        <f>IFERROR(IF(B1038="","",VLOOKUP(B1038,CadProd!$A:$C,3,0)),"")</f>
        <v/>
      </c>
      <c r="G1038" s="1" t="str">
        <f t="shared" si="16"/>
        <v/>
      </c>
    </row>
    <row r="1039" spans="3:7" x14ac:dyDescent="0.3">
      <c r="C1039" t="str">
        <f>IFERROR(IF(B1039="","",VLOOKUP(B1039,CadProd!$A:$B,2,0)),"")</f>
        <v/>
      </c>
      <c r="D1039" t="str">
        <f>IFERROR(IF(B1039="","",VLOOKUP(B1039,CadProd!$A:$C,3,0)),"")</f>
        <v/>
      </c>
      <c r="G1039" s="1" t="str">
        <f t="shared" si="16"/>
        <v/>
      </c>
    </row>
    <row r="1040" spans="3:7" x14ac:dyDescent="0.3">
      <c r="C1040" t="str">
        <f>IFERROR(IF(B1040="","",VLOOKUP(B1040,CadProd!$A:$B,2,0)),"")</f>
        <v/>
      </c>
      <c r="D1040" t="str">
        <f>IFERROR(IF(B1040="","",VLOOKUP(B1040,CadProd!$A:$C,3,0)),"")</f>
        <v/>
      </c>
      <c r="G1040" s="1" t="str">
        <f t="shared" si="16"/>
        <v/>
      </c>
    </row>
    <row r="1041" spans="3:7" x14ac:dyDescent="0.3">
      <c r="C1041" t="str">
        <f>IFERROR(IF(B1041="","",VLOOKUP(B1041,CadProd!$A:$B,2,0)),"")</f>
        <v/>
      </c>
      <c r="D1041" t="str">
        <f>IFERROR(IF(B1041="","",VLOOKUP(B1041,CadProd!$A:$C,3,0)),"")</f>
        <v/>
      </c>
      <c r="G1041" s="1" t="str">
        <f t="shared" si="16"/>
        <v/>
      </c>
    </row>
    <row r="1042" spans="3:7" x14ac:dyDescent="0.3">
      <c r="C1042" t="str">
        <f>IFERROR(IF(B1042="","",VLOOKUP(B1042,CadProd!$A:$B,2,0)),"")</f>
        <v/>
      </c>
      <c r="D1042" t="str">
        <f>IFERROR(IF(B1042="","",VLOOKUP(B1042,CadProd!$A:$C,3,0)),"")</f>
        <v/>
      </c>
      <c r="G1042" s="1" t="str">
        <f t="shared" si="16"/>
        <v/>
      </c>
    </row>
    <row r="1043" spans="3:7" x14ac:dyDescent="0.3">
      <c r="C1043" t="str">
        <f>IFERROR(IF(B1043="","",VLOOKUP(B1043,CadProd!$A:$B,2,0)),"")</f>
        <v/>
      </c>
      <c r="D1043" t="str">
        <f>IFERROR(IF(B1043="","",VLOOKUP(B1043,CadProd!$A:$C,3,0)),"")</f>
        <v/>
      </c>
      <c r="G1043" s="1" t="str">
        <f t="shared" si="16"/>
        <v/>
      </c>
    </row>
    <row r="1044" spans="3:7" x14ac:dyDescent="0.3">
      <c r="C1044" t="str">
        <f>IFERROR(IF(B1044="","",VLOOKUP(B1044,CadProd!$A:$B,2,0)),"")</f>
        <v/>
      </c>
      <c r="D1044" t="str">
        <f>IFERROR(IF(B1044="","",VLOOKUP(B1044,CadProd!$A:$C,3,0)),"")</f>
        <v/>
      </c>
      <c r="G1044" s="1" t="str">
        <f t="shared" si="16"/>
        <v/>
      </c>
    </row>
    <row r="1045" spans="3:7" x14ac:dyDescent="0.3">
      <c r="C1045" t="str">
        <f>IFERROR(IF(B1045="","",VLOOKUP(B1045,CadProd!$A:$B,2,0)),"")</f>
        <v/>
      </c>
      <c r="D1045" t="str">
        <f>IFERROR(IF(B1045="","",VLOOKUP(B1045,CadProd!$A:$C,3,0)),"")</f>
        <v/>
      </c>
      <c r="G1045" s="1" t="str">
        <f t="shared" si="16"/>
        <v/>
      </c>
    </row>
    <row r="1046" spans="3:7" x14ac:dyDescent="0.3">
      <c r="C1046" t="str">
        <f>IFERROR(IF(B1046="","",VLOOKUP(B1046,CadProd!$A:$B,2,0)),"")</f>
        <v/>
      </c>
      <c r="D1046" t="str">
        <f>IFERROR(IF(B1046="","",VLOOKUP(B1046,CadProd!$A:$C,3,0)),"")</f>
        <v/>
      </c>
      <c r="G1046" s="1" t="str">
        <f t="shared" si="16"/>
        <v/>
      </c>
    </row>
    <row r="1047" spans="3:7" x14ac:dyDescent="0.3">
      <c r="C1047" t="str">
        <f>IFERROR(IF(B1047="","",VLOOKUP(B1047,CadProd!$A:$B,2,0)),"")</f>
        <v/>
      </c>
      <c r="D1047" t="str">
        <f>IFERROR(IF(B1047="","",VLOOKUP(B1047,CadProd!$A:$C,3,0)),"")</f>
        <v/>
      </c>
      <c r="G1047" s="1" t="str">
        <f t="shared" si="16"/>
        <v/>
      </c>
    </row>
    <row r="1048" spans="3:7" x14ac:dyDescent="0.3">
      <c r="C1048" t="str">
        <f>IFERROR(IF(B1048="","",VLOOKUP(B1048,CadProd!$A:$B,2,0)),"")</f>
        <v/>
      </c>
      <c r="D1048" t="str">
        <f>IFERROR(IF(B1048="","",VLOOKUP(B1048,CadProd!$A:$C,3,0)),"")</f>
        <v/>
      </c>
      <c r="G1048" s="1" t="str">
        <f t="shared" si="16"/>
        <v/>
      </c>
    </row>
    <row r="1049" spans="3:7" x14ac:dyDescent="0.3">
      <c r="C1049" t="str">
        <f>IFERROR(IF(B1049="","",VLOOKUP(B1049,CadProd!$A:$B,2,0)),"")</f>
        <v/>
      </c>
      <c r="D1049" t="str">
        <f>IFERROR(IF(B1049="","",VLOOKUP(B1049,CadProd!$A:$C,3,0)),"")</f>
        <v/>
      </c>
      <c r="G1049" s="1" t="str">
        <f t="shared" si="16"/>
        <v/>
      </c>
    </row>
    <row r="1050" spans="3:7" x14ac:dyDescent="0.3">
      <c r="C1050" t="str">
        <f>IFERROR(IF(B1050="","",VLOOKUP(B1050,CadProd!$A:$B,2,0)),"")</f>
        <v/>
      </c>
      <c r="D1050" t="str">
        <f>IFERROR(IF(B1050="","",VLOOKUP(B1050,CadProd!$A:$C,3,0)),"")</f>
        <v/>
      </c>
      <c r="G1050" s="1" t="str">
        <f t="shared" si="16"/>
        <v/>
      </c>
    </row>
    <row r="1051" spans="3:7" x14ac:dyDescent="0.3">
      <c r="C1051" t="str">
        <f>IFERROR(IF(B1051="","",VLOOKUP(B1051,CadProd!$A:$B,2,0)),"")</f>
        <v/>
      </c>
      <c r="D1051" t="str">
        <f>IFERROR(IF(B1051="","",VLOOKUP(B1051,CadProd!$A:$C,3,0)),"")</f>
        <v/>
      </c>
      <c r="G1051" s="1" t="str">
        <f t="shared" si="16"/>
        <v/>
      </c>
    </row>
    <row r="1052" spans="3:7" x14ac:dyDescent="0.3">
      <c r="C1052" t="str">
        <f>IFERROR(IF(B1052="","",VLOOKUP(B1052,CadProd!$A:$B,2,0)),"")</f>
        <v/>
      </c>
      <c r="D1052" t="str">
        <f>IFERROR(IF(B1052="","",VLOOKUP(B1052,CadProd!$A:$C,3,0)),"")</f>
        <v/>
      </c>
      <c r="G1052" s="1" t="str">
        <f t="shared" si="16"/>
        <v/>
      </c>
    </row>
    <row r="1053" spans="3:7" x14ac:dyDescent="0.3">
      <c r="C1053" t="str">
        <f>IFERROR(IF(B1053="","",VLOOKUP(B1053,CadProd!$A:$B,2,0)),"")</f>
        <v/>
      </c>
      <c r="D1053" t="str">
        <f>IFERROR(IF(B1053="","",VLOOKUP(B1053,CadProd!$A:$C,3,0)),"")</f>
        <v/>
      </c>
      <c r="G1053" s="1" t="str">
        <f t="shared" si="16"/>
        <v/>
      </c>
    </row>
    <row r="1054" spans="3:7" x14ac:dyDescent="0.3">
      <c r="C1054" t="str">
        <f>IFERROR(IF(B1054="","",VLOOKUP(B1054,CadProd!$A:$B,2,0)),"")</f>
        <v/>
      </c>
      <c r="D1054" t="str">
        <f>IFERROR(IF(B1054="","",VLOOKUP(B1054,CadProd!$A:$C,3,0)),"")</f>
        <v/>
      </c>
      <c r="G1054" s="1" t="str">
        <f t="shared" si="16"/>
        <v/>
      </c>
    </row>
    <row r="1055" spans="3:7" x14ac:dyDescent="0.3">
      <c r="C1055" t="str">
        <f>IFERROR(IF(B1055="","",VLOOKUP(B1055,CadProd!$A:$B,2,0)),"")</f>
        <v/>
      </c>
      <c r="D1055" t="str">
        <f>IFERROR(IF(B1055="","",VLOOKUP(B1055,CadProd!$A:$C,3,0)),"")</f>
        <v/>
      </c>
      <c r="G1055" s="1" t="str">
        <f t="shared" si="16"/>
        <v/>
      </c>
    </row>
    <row r="1056" spans="3:7" x14ac:dyDescent="0.3">
      <c r="C1056" t="str">
        <f>IFERROR(IF(B1056="","",VLOOKUP(B1056,CadProd!$A:$B,2,0)),"")</f>
        <v/>
      </c>
      <c r="D1056" t="str">
        <f>IFERROR(IF(B1056="","",VLOOKUP(B1056,CadProd!$A:$C,3,0)),"")</f>
        <v/>
      </c>
      <c r="G1056" s="1" t="str">
        <f t="shared" si="16"/>
        <v/>
      </c>
    </row>
    <row r="1057" spans="3:7" x14ac:dyDescent="0.3">
      <c r="C1057" t="str">
        <f>IFERROR(IF(B1057="","",VLOOKUP(B1057,CadProd!$A:$B,2,0)),"")</f>
        <v/>
      </c>
      <c r="D1057" t="str">
        <f>IFERROR(IF(B1057="","",VLOOKUP(B1057,CadProd!$A:$C,3,0)),"")</f>
        <v/>
      </c>
      <c r="G1057" s="1" t="str">
        <f t="shared" si="16"/>
        <v/>
      </c>
    </row>
    <row r="1058" spans="3:7" x14ac:dyDescent="0.3">
      <c r="C1058" t="str">
        <f>IFERROR(IF(B1058="","",VLOOKUP(B1058,CadProd!$A:$B,2,0)),"")</f>
        <v/>
      </c>
      <c r="D1058" t="str">
        <f>IFERROR(IF(B1058="","",VLOOKUP(B1058,CadProd!$A:$C,3,0)),"")</f>
        <v/>
      </c>
      <c r="G1058" s="1" t="str">
        <f t="shared" si="16"/>
        <v/>
      </c>
    </row>
    <row r="1059" spans="3:7" x14ac:dyDescent="0.3">
      <c r="C1059" t="str">
        <f>IFERROR(IF(B1059="","",VLOOKUP(B1059,CadProd!$A:$B,2,0)),"")</f>
        <v/>
      </c>
      <c r="D1059" t="str">
        <f>IFERROR(IF(B1059="","",VLOOKUP(B1059,CadProd!$A:$C,3,0)),"")</f>
        <v/>
      </c>
      <c r="G1059" s="1" t="str">
        <f t="shared" si="16"/>
        <v/>
      </c>
    </row>
    <row r="1060" spans="3:7" x14ac:dyDescent="0.3">
      <c r="C1060" t="str">
        <f>IFERROR(IF(B1060="","",VLOOKUP(B1060,CadProd!$A:$B,2,0)),"")</f>
        <v/>
      </c>
      <c r="D1060" t="str">
        <f>IFERROR(IF(B1060="","",VLOOKUP(B1060,CadProd!$A:$C,3,0)),"")</f>
        <v/>
      </c>
      <c r="G1060" s="1" t="str">
        <f t="shared" si="16"/>
        <v/>
      </c>
    </row>
    <row r="1061" spans="3:7" x14ac:dyDescent="0.3">
      <c r="C1061" t="str">
        <f>IFERROR(IF(B1061="","",VLOOKUP(B1061,CadProd!$A:$B,2,0)),"")</f>
        <v/>
      </c>
      <c r="D1061" t="str">
        <f>IFERROR(IF(B1061="","",VLOOKUP(B1061,CadProd!$A:$C,3,0)),"")</f>
        <v/>
      </c>
      <c r="G1061" s="1" t="str">
        <f t="shared" si="16"/>
        <v/>
      </c>
    </row>
    <row r="1062" spans="3:7" x14ac:dyDescent="0.3">
      <c r="C1062" t="str">
        <f>IFERROR(IF(B1062="","",VLOOKUP(B1062,CadProd!$A:$B,2,0)),"")</f>
        <v/>
      </c>
      <c r="D1062" t="str">
        <f>IFERROR(IF(B1062="","",VLOOKUP(B1062,CadProd!$A:$C,3,0)),"")</f>
        <v/>
      </c>
      <c r="G1062" s="1" t="str">
        <f t="shared" si="16"/>
        <v/>
      </c>
    </row>
    <row r="1063" spans="3:7" x14ac:dyDescent="0.3">
      <c r="C1063" t="str">
        <f>IFERROR(IF(B1063="","",VLOOKUP(B1063,CadProd!$A:$B,2,0)),"")</f>
        <v/>
      </c>
      <c r="D1063" t="str">
        <f>IFERROR(IF(B1063="","",VLOOKUP(B1063,CadProd!$A:$C,3,0)),"")</f>
        <v/>
      </c>
      <c r="G1063" s="1" t="str">
        <f t="shared" si="16"/>
        <v/>
      </c>
    </row>
    <row r="1064" spans="3:7" x14ac:dyDescent="0.3">
      <c r="C1064" t="str">
        <f>IFERROR(IF(B1064="","",VLOOKUP(B1064,CadProd!$A:$B,2,0)),"")</f>
        <v/>
      </c>
      <c r="D1064" t="str">
        <f>IFERROR(IF(B1064="","",VLOOKUP(B1064,CadProd!$A:$C,3,0)),"")</f>
        <v/>
      </c>
      <c r="G1064" s="1" t="str">
        <f t="shared" si="16"/>
        <v/>
      </c>
    </row>
    <row r="1065" spans="3:7" x14ac:dyDescent="0.3">
      <c r="C1065" t="str">
        <f>IFERROR(IF(B1065="","",VLOOKUP(B1065,CadProd!$A:$B,2,0)),"")</f>
        <v/>
      </c>
      <c r="D1065" t="str">
        <f>IFERROR(IF(B1065="","",VLOOKUP(B1065,CadProd!$A:$C,3,0)),"")</f>
        <v/>
      </c>
      <c r="G1065" s="1" t="str">
        <f t="shared" si="16"/>
        <v/>
      </c>
    </row>
    <row r="1066" spans="3:7" x14ac:dyDescent="0.3">
      <c r="C1066" t="str">
        <f>IFERROR(IF(B1066="","",VLOOKUP(B1066,CadProd!$A:$B,2,0)),"")</f>
        <v/>
      </c>
      <c r="D1066" t="str">
        <f>IFERROR(IF(B1066="","",VLOOKUP(B1066,CadProd!$A:$C,3,0)),"")</f>
        <v/>
      </c>
      <c r="G1066" s="1" t="str">
        <f t="shared" si="16"/>
        <v/>
      </c>
    </row>
    <row r="1067" spans="3:7" x14ac:dyDescent="0.3">
      <c r="C1067" t="str">
        <f>IFERROR(IF(B1067="","",VLOOKUP(B1067,CadProd!$A:$B,2,0)),"")</f>
        <v/>
      </c>
      <c r="D1067" t="str">
        <f>IFERROR(IF(B1067="","",VLOOKUP(B1067,CadProd!$A:$C,3,0)),"")</f>
        <v/>
      </c>
      <c r="G1067" s="1" t="str">
        <f t="shared" si="16"/>
        <v/>
      </c>
    </row>
    <row r="1068" spans="3:7" x14ac:dyDescent="0.3">
      <c r="C1068" t="str">
        <f>IFERROR(IF(B1068="","",VLOOKUP(B1068,CadProd!$A:$B,2,0)),"")</f>
        <v/>
      </c>
      <c r="D1068" t="str">
        <f>IFERROR(IF(B1068="","",VLOOKUP(B1068,CadProd!$A:$C,3,0)),"")</f>
        <v/>
      </c>
      <c r="G1068" s="1" t="str">
        <f t="shared" si="16"/>
        <v/>
      </c>
    </row>
    <row r="1069" spans="3:7" x14ac:dyDescent="0.3">
      <c r="C1069" t="str">
        <f>IFERROR(IF(B1069="","",VLOOKUP(B1069,CadProd!$A:$B,2,0)),"")</f>
        <v/>
      </c>
      <c r="D1069" t="str">
        <f>IFERROR(IF(B1069="","",VLOOKUP(B1069,CadProd!$A:$C,3,0)),"")</f>
        <v/>
      </c>
      <c r="G1069" s="1" t="str">
        <f t="shared" si="16"/>
        <v/>
      </c>
    </row>
    <row r="1070" spans="3:7" x14ac:dyDescent="0.3">
      <c r="C1070" t="str">
        <f>IFERROR(IF(B1070="","",VLOOKUP(B1070,CadProd!$A:$B,2,0)),"")</f>
        <v/>
      </c>
      <c r="D1070" t="str">
        <f>IFERROR(IF(B1070="","",VLOOKUP(B1070,CadProd!$A:$C,3,0)),"")</f>
        <v/>
      </c>
      <c r="G1070" s="1" t="str">
        <f t="shared" si="16"/>
        <v/>
      </c>
    </row>
    <row r="1071" spans="3:7" x14ac:dyDescent="0.3">
      <c r="C1071" t="str">
        <f>IFERROR(IF(B1071="","",VLOOKUP(B1071,CadProd!$A:$B,2,0)),"")</f>
        <v/>
      </c>
      <c r="D1071" t="str">
        <f>IFERROR(IF(B1071="","",VLOOKUP(B1071,CadProd!$A:$C,3,0)),"")</f>
        <v/>
      </c>
      <c r="G1071" s="1" t="str">
        <f t="shared" si="16"/>
        <v/>
      </c>
    </row>
    <row r="1072" spans="3:7" x14ac:dyDescent="0.3">
      <c r="C1072" t="str">
        <f>IFERROR(IF(B1072="","",VLOOKUP(B1072,CadProd!$A:$B,2,0)),"")</f>
        <v/>
      </c>
      <c r="D1072" t="str">
        <f>IFERROR(IF(B1072="","",VLOOKUP(B1072,CadProd!$A:$C,3,0)),"")</f>
        <v/>
      </c>
      <c r="G1072" s="1" t="str">
        <f t="shared" si="16"/>
        <v/>
      </c>
    </row>
    <row r="1073" spans="3:7" x14ac:dyDescent="0.3">
      <c r="C1073" t="str">
        <f>IFERROR(IF(B1073="","",VLOOKUP(B1073,CadProd!$A:$B,2,0)),"")</f>
        <v/>
      </c>
      <c r="D1073" t="str">
        <f>IFERROR(IF(B1073="","",VLOOKUP(B1073,CadProd!$A:$C,3,0)),"")</f>
        <v/>
      </c>
      <c r="G1073" s="1" t="str">
        <f t="shared" si="16"/>
        <v/>
      </c>
    </row>
    <row r="1074" spans="3:7" x14ac:dyDescent="0.3">
      <c r="C1074" t="str">
        <f>IFERROR(IF(B1074="","",VLOOKUP(B1074,CadProd!$A:$B,2,0)),"")</f>
        <v/>
      </c>
      <c r="D1074" t="str">
        <f>IFERROR(IF(B1074="","",VLOOKUP(B1074,CadProd!$A:$C,3,0)),"")</f>
        <v/>
      </c>
      <c r="G1074" s="1" t="str">
        <f t="shared" si="16"/>
        <v/>
      </c>
    </row>
    <row r="1075" spans="3:7" x14ac:dyDescent="0.3">
      <c r="C1075" t="str">
        <f>IFERROR(IF(B1075="","",VLOOKUP(B1075,CadProd!$A:$B,2,0)),"")</f>
        <v/>
      </c>
      <c r="D1075" t="str">
        <f>IFERROR(IF(B1075="","",VLOOKUP(B1075,CadProd!$A:$C,3,0)),"")</f>
        <v/>
      </c>
      <c r="G1075" s="1" t="str">
        <f t="shared" si="16"/>
        <v/>
      </c>
    </row>
    <row r="1076" spans="3:7" x14ac:dyDescent="0.3">
      <c r="C1076" t="str">
        <f>IFERROR(IF(B1076="","",VLOOKUP(B1076,CadProd!$A:$B,2,0)),"")</f>
        <v/>
      </c>
      <c r="D1076" t="str">
        <f>IFERROR(IF(B1076="","",VLOOKUP(B1076,CadProd!$A:$C,3,0)),"")</f>
        <v/>
      </c>
      <c r="G1076" s="1" t="str">
        <f t="shared" si="16"/>
        <v/>
      </c>
    </row>
    <row r="1077" spans="3:7" x14ac:dyDescent="0.3">
      <c r="C1077" t="str">
        <f>IFERROR(IF(B1077="","",VLOOKUP(B1077,CadProd!$A:$B,2,0)),"")</f>
        <v/>
      </c>
      <c r="D1077" t="str">
        <f>IFERROR(IF(B1077="","",VLOOKUP(B1077,CadProd!$A:$C,3,0)),"")</f>
        <v/>
      </c>
      <c r="G1077" s="1" t="str">
        <f t="shared" si="16"/>
        <v/>
      </c>
    </row>
    <row r="1078" spans="3:7" x14ac:dyDescent="0.3">
      <c r="C1078" t="str">
        <f>IFERROR(IF(B1078="","",VLOOKUP(B1078,CadProd!$A:$B,2,0)),"")</f>
        <v/>
      </c>
      <c r="D1078" t="str">
        <f>IFERROR(IF(B1078="","",VLOOKUP(B1078,CadProd!$A:$C,3,0)),"")</f>
        <v/>
      </c>
      <c r="G1078" s="1" t="str">
        <f t="shared" si="16"/>
        <v/>
      </c>
    </row>
    <row r="1079" spans="3:7" x14ac:dyDescent="0.3">
      <c r="C1079" t="str">
        <f>IFERROR(IF(B1079="","",VLOOKUP(B1079,CadProd!$A:$B,2,0)),"")</f>
        <v/>
      </c>
      <c r="D1079" t="str">
        <f>IFERROR(IF(B1079="","",VLOOKUP(B1079,CadProd!$A:$C,3,0)),"")</f>
        <v/>
      </c>
      <c r="G1079" s="1" t="str">
        <f t="shared" si="16"/>
        <v/>
      </c>
    </row>
    <row r="1080" spans="3:7" x14ac:dyDescent="0.3">
      <c r="C1080" t="str">
        <f>IFERROR(IF(B1080="","",VLOOKUP(B1080,CadProd!$A:$B,2,0)),"")</f>
        <v/>
      </c>
      <c r="D1080" t="str">
        <f>IFERROR(IF(B1080="","",VLOOKUP(B1080,CadProd!$A:$C,3,0)),"")</f>
        <v/>
      </c>
      <c r="G1080" s="1" t="str">
        <f t="shared" si="16"/>
        <v/>
      </c>
    </row>
    <row r="1081" spans="3:7" x14ac:dyDescent="0.3">
      <c r="C1081" t="str">
        <f>IFERROR(IF(B1081="","",VLOOKUP(B1081,CadProd!$A:$B,2,0)),"")</f>
        <v/>
      </c>
      <c r="D1081" t="str">
        <f>IFERROR(IF(B1081="","",VLOOKUP(B1081,CadProd!$A:$C,3,0)),"")</f>
        <v/>
      </c>
      <c r="G1081" s="1" t="str">
        <f t="shared" si="16"/>
        <v/>
      </c>
    </row>
    <row r="1082" spans="3:7" x14ac:dyDescent="0.3">
      <c r="C1082" t="str">
        <f>IFERROR(IF(B1082="","",VLOOKUP(B1082,CadProd!$A:$B,2,0)),"")</f>
        <v/>
      </c>
      <c r="D1082" t="str">
        <f>IFERROR(IF(B1082="","",VLOOKUP(B1082,CadProd!$A:$C,3,0)),"")</f>
        <v/>
      </c>
      <c r="G1082" s="1" t="str">
        <f t="shared" si="16"/>
        <v/>
      </c>
    </row>
    <row r="1083" spans="3:7" x14ac:dyDescent="0.3">
      <c r="C1083" t="str">
        <f>IFERROR(IF(B1083="","",VLOOKUP(B1083,CadProd!$A:$B,2,0)),"")</f>
        <v/>
      </c>
      <c r="D1083" t="str">
        <f>IFERROR(IF(B1083="","",VLOOKUP(B1083,CadProd!$A:$C,3,0)),"")</f>
        <v/>
      </c>
      <c r="G1083" s="1" t="str">
        <f t="shared" si="16"/>
        <v/>
      </c>
    </row>
    <row r="1084" spans="3:7" x14ac:dyDescent="0.3">
      <c r="C1084" t="str">
        <f>IFERROR(IF(B1084="","",VLOOKUP(B1084,CadProd!$A:$B,2,0)),"")</f>
        <v/>
      </c>
      <c r="D1084" t="str">
        <f>IFERROR(IF(B1084="","",VLOOKUP(B1084,CadProd!$A:$C,3,0)),"")</f>
        <v/>
      </c>
      <c r="G1084" s="1" t="str">
        <f t="shared" si="16"/>
        <v/>
      </c>
    </row>
    <row r="1085" spans="3:7" x14ac:dyDescent="0.3">
      <c r="C1085" t="str">
        <f>IFERROR(IF(B1085="","",VLOOKUP(B1085,CadProd!$A:$B,2,0)),"")</f>
        <v/>
      </c>
      <c r="D1085" t="str">
        <f>IFERROR(IF(B1085="","",VLOOKUP(B1085,CadProd!$A:$C,3,0)),"")</f>
        <v/>
      </c>
      <c r="G1085" s="1" t="str">
        <f t="shared" si="16"/>
        <v/>
      </c>
    </row>
    <row r="1086" spans="3:7" x14ac:dyDescent="0.3">
      <c r="C1086" t="str">
        <f>IFERROR(IF(B1086="","",VLOOKUP(B1086,CadProd!$A:$B,2,0)),"")</f>
        <v/>
      </c>
      <c r="D1086" t="str">
        <f>IFERROR(IF(B1086="","",VLOOKUP(B1086,CadProd!$A:$C,3,0)),"")</f>
        <v/>
      </c>
      <c r="G1086" s="1" t="str">
        <f t="shared" si="16"/>
        <v/>
      </c>
    </row>
    <row r="1087" spans="3:7" x14ac:dyDescent="0.3">
      <c r="C1087" t="str">
        <f>IFERROR(IF(B1087="","",VLOOKUP(B1087,CadProd!$A:$B,2,0)),"")</f>
        <v/>
      </c>
      <c r="D1087" t="str">
        <f>IFERROR(IF(B1087="","",VLOOKUP(B1087,CadProd!$A:$C,3,0)),"")</f>
        <v/>
      </c>
      <c r="G1087" s="1" t="str">
        <f t="shared" si="16"/>
        <v/>
      </c>
    </row>
    <row r="1088" spans="3:7" x14ac:dyDescent="0.3">
      <c r="C1088" t="str">
        <f>IFERROR(IF(B1088="","",VLOOKUP(B1088,CadProd!$A:$B,2,0)),"")</f>
        <v/>
      </c>
      <c r="D1088" t="str">
        <f>IFERROR(IF(B1088="","",VLOOKUP(B1088,CadProd!$A:$C,3,0)),"")</f>
        <v/>
      </c>
      <c r="G1088" s="1" t="str">
        <f t="shared" si="16"/>
        <v/>
      </c>
    </row>
    <row r="1089" spans="3:7" x14ac:dyDescent="0.3">
      <c r="C1089" t="str">
        <f>IFERROR(IF(B1089="","",VLOOKUP(B1089,CadProd!$A:$B,2,0)),"")</f>
        <v/>
      </c>
      <c r="D1089" t="str">
        <f>IFERROR(IF(B1089="","",VLOOKUP(B1089,CadProd!$A:$C,3,0)),"")</f>
        <v/>
      </c>
      <c r="G1089" s="1" t="str">
        <f t="shared" si="16"/>
        <v/>
      </c>
    </row>
    <row r="1090" spans="3:7" x14ac:dyDescent="0.3">
      <c r="C1090" t="str">
        <f>IFERROR(IF(B1090="","",VLOOKUP(B1090,CadProd!$A:$B,2,0)),"")</f>
        <v/>
      </c>
      <c r="D1090" t="str">
        <f>IFERROR(IF(B1090="","",VLOOKUP(B1090,CadProd!$A:$C,3,0)),"")</f>
        <v/>
      </c>
      <c r="G1090" s="1" t="str">
        <f t="shared" ref="G1090:G1153" si="17">IFERROR(IF(B1090="","",F1090*E1090),"")</f>
        <v/>
      </c>
    </row>
    <row r="1091" spans="3:7" x14ac:dyDescent="0.3">
      <c r="C1091" t="str">
        <f>IFERROR(IF(B1091="","",VLOOKUP(B1091,CadProd!$A:$B,2,0)),"")</f>
        <v/>
      </c>
      <c r="D1091" t="str">
        <f>IFERROR(IF(B1091="","",VLOOKUP(B1091,CadProd!$A:$C,3,0)),"")</f>
        <v/>
      </c>
      <c r="G1091" s="1" t="str">
        <f t="shared" si="17"/>
        <v/>
      </c>
    </row>
    <row r="1092" spans="3:7" x14ac:dyDescent="0.3">
      <c r="C1092" t="str">
        <f>IFERROR(IF(B1092="","",VLOOKUP(B1092,CadProd!$A:$B,2,0)),"")</f>
        <v/>
      </c>
      <c r="D1092" t="str">
        <f>IFERROR(IF(B1092="","",VLOOKUP(B1092,CadProd!$A:$C,3,0)),"")</f>
        <v/>
      </c>
      <c r="G1092" s="1" t="str">
        <f t="shared" si="17"/>
        <v/>
      </c>
    </row>
    <row r="1093" spans="3:7" x14ac:dyDescent="0.3">
      <c r="C1093" t="str">
        <f>IFERROR(IF(B1093="","",VLOOKUP(B1093,CadProd!$A:$B,2,0)),"")</f>
        <v/>
      </c>
      <c r="D1093" t="str">
        <f>IFERROR(IF(B1093="","",VLOOKUP(B1093,CadProd!$A:$C,3,0)),"")</f>
        <v/>
      </c>
      <c r="G1093" s="1" t="str">
        <f t="shared" si="17"/>
        <v/>
      </c>
    </row>
    <row r="1094" spans="3:7" x14ac:dyDescent="0.3">
      <c r="C1094" t="str">
        <f>IFERROR(IF(B1094="","",VLOOKUP(B1094,CadProd!$A:$B,2,0)),"")</f>
        <v/>
      </c>
      <c r="D1094" t="str">
        <f>IFERROR(IF(B1094="","",VLOOKUP(B1094,CadProd!$A:$C,3,0)),"")</f>
        <v/>
      </c>
      <c r="G1094" s="1" t="str">
        <f t="shared" si="17"/>
        <v/>
      </c>
    </row>
    <row r="1095" spans="3:7" x14ac:dyDescent="0.3">
      <c r="C1095" t="str">
        <f>IFERROR(IF(B1095="","",VLOOKUP(B1095,CadProd!$A:$B,2,0)),"")</f>
        <v/>
      </c>
      <c r="D1095" t="str">
        <f>IFERROR(IF(B1095="","",VLOOKUP(B1095,CadProd!$A:$C,3,0)),"")</f>
        <v/>
      </c>
      <c r="G1095" s="1" t="str">
        <f t="shared" si="17"/>
        <v/>
      </c>
    </row>
    <row r="1096" spans="3:7" x14ac:dyDescent="0.3">
      <c r="C1096" t="str">
        <f>IFERROR(IF(B1096="","",VLOOKUP(B1096,CadProd!$A:$B,2,0)),"")</f>
        <v/>
      </c>
      <c r="D1096" t="str">
        <f>IFERROR(IF(B1096="","",VLOOKUP(B1096,CadProd!$A:$C,3,0)),"")</f>
        <v/>
      </c>
      <c r="G1096" s="1" t="str">
        <f t="shared" si="17"/>
        <v/>
      </c>
    </row>
    <row r="1097" spans="3:7" x14ac:dyDescent="0.3">
      <c r="C1097" t="str">
        <f>IFERROR(IF(B1097="","",VLOOKUP(B1097,CadProd!$A:$B,2,0)),"")</f>
        <v/>
      </c>
      <c r="D1097" t="str">
        <f>IFERROR(IF(B1097="","",VLOOKUP(B1097,CadProd!$A:$C,3,0)),"")</f>
        <v/>
      </c>
      <c r="G1097" s="1" t="str">
        <f t="shared" si="17"/>
        <v/>
      </c>
    </row>
    <row r="1098" spans="3:7" x14ac:dyDescent="0.3">
      <c r="C1098" t="str">
        <f>IFERROR(IF(B1098="","",VLOOKUP(B1098,CadProd!$A:$B,2,0)),"")</f>
        <v/>
      </c>
      <c r="D1098" t="str">
        <f>IFERROR(IF(B1098="","",VLOOKUP(B1098,CadProd!$A:$C,3,0)),"")</f>
        <v/>
      </c>
      <c r="G1098" s="1" t="str">
        <f t="shared" si="17"/>
        <v/>
      </c>
    </row>
    <row r="1099" spans="3:7" x14ac:dyDescent="0.3">
      <c r="C1099" t="str">
        <f>IFERROR(IF(B1099="","",VLOOKUP(B1099,CadProd!$A:$B,2,0)),"")</f>
        <v/>
      </c>
      <c r="D1099" t="str">
        <f>IFERROR(IF(B1099="","",VLOOKUP(B1099,CadProd!$A:$C,3,0)),"")</f>
        <v/>
      </c>
      <c r="G1099" s="1" t="str">
        <f t="shared" si="17"/>
        <v/>
      </c>
    </row>
    <row r="1100" spans="3:7" x14ac:dyDescent="0.3">
      <c r="C1100" t="str">
        <f>IFERROR(IF(B1100="","",VLOOKUP(B1100,CadProd!$A:$B,2,0)),"")</f>
        <v/>
      </c>
      <c r="D1100" t="str">
        <f>IFERROR(IF(B1100="","",VLOOKUP(B1100,CadProd!$A:$C,3,0)),"")</f>
        <v/>
      </c>
      <c r="G1100" s="1" t="str">
        <f t="shared" si="17"/>
        <v/>
      </c>
    </row>
    <row r="1101" spans="3:7" x14ac:dyDescent="0.3">
      <c r="C1101" t="str">
        <f>IFERROR(IF(B1101="","",VLOOKUP(B1101,CadProd!$A:$B,2,0)),"")</f>
        <v/>
      </c>
      <c r="D1101" t="str">
        <f>IFERROR(IF(B1101="","",VLOOKUP(B1101,CadProd!$A:$C,3,0)),"")</f>
        <v/>
      </c>
      <c r="G1101" s="1" t="str">
        <f t="shared" si="17"/>
        <v/>
      </c>
    </row>
    <row r="1102" spans="3:7" x14ac:dyDescent="0.3">
      <c r="C1102" t="str">
        <f>IFERROR(IF(B1102="","",VLOOKUP(B1102,CadProd!$A:$B,2,0)),"")</f>
        <v/>
      </c>
      <c r="D1102" t="str">
        <f>IFERROR(IF(B1102="","",VLOOKUP(B1102,CadProd!$A:$C,3,0)),"")</f>
        <v/>
      </c>
      <c r="G1102" s="1" t="str">
        <f t="shared" si="17"/>
        <v/>
      </c>
    </row>
    <row r="1103" spans="3:7" x14ac:dyDescent="0.3">
      <c r="C1103" t="str">
        <f>IFERROR(IF(B1103="","",VLOOKUP(B1103,CadProd!$A:$B,2,0)),"")</f>
        <v/>
      </c>
      <c r="D1103" t="str">
        <f>IFERROR(IF(B1103="","",VLOOKUP(B1103,CadProd!$A:$C,3,0)),"")</f>
        <v/>
      </c>
      <c r="G1103" s="1" t="str">
        <f t="shared" si="17"/>
        <v/>
      </c>
    </row>
    <row r="1104" spans="3:7" x14ac:dyDescent="0.3">
      <c r="C1104" t="str">
        <f>IFERROR(IF(B1104="","",VLOOKUP(B1104,CadProd!$A:$B,2,0)),"")</f>
        <v/>
      </c>
      <c r="D1104" t="str">
        <f>IFERROR(IF(B1104="","",VLOOKUP(B1104,CadProd!$A:$C,3,0)),"")</f>
        <v/>
      </c>
      <c r="G1104" s="1" t="str">
        <f t="shared" si="17"/>
        <v/>
      </c>
    </row>
    <row r="1105" spans="3:7" x14ac:dyDescent="0.3">
      <c r="C1105" t="str">
        <f>IFERROR(IF(B1105="","",VLOOKUP(B1105,CadProd!$A:$B,2,0)),"")</f>
        <v/>
      </c>
      <c r="D1105" t="str">
        <f>IFERROR(IF(B1105="","",VLOOKUP(B1105,CadProd!$A:$C,3,0)),"")</f>
        <v/>
      </c>
      <c r="G1105" s="1" t="str">
        <f t="shared" si="17"/>
        <v/>
      </c>
    </row>
    <row r="1106" spans="3:7" x14ac:dyDescent="0.3">
      <c r="C1106" t="str">
        <f>IFERROR(IF(B1106="","",VLOOKUP(B1106,CadProd!$A:$B,2,0)),"")</f>
        <v/>
      </c>
      <c r="D1106" t="str">
        <f>IFERROR(IF(B1106="","",VLOOKUP(B1106,CadProd!$A:$C,3,0)),"")</f>
        <v/>
      </c>
      <c r="G1106" s="1" t="str">
        <f t="shared" si="17"/>
        <v/>
      </c>
    </row>
    <row r="1107" spans="3:7" x14ac:dyDescent="0.3">
      <c r="C1107" t="str">
        <f>IFERROR(IF(B1107="","",VLOOKUP(B1107,CadProd!$A:$B,2,0)),"")</f>
        <v/>
      </c>
      <c r="D1107" t="str">
        <f>IFERROR(IF(B1107="","",VLOOKUP(B1107,CadProd!$A:$C,3,0)),"")</f>
        <v/>
      </c>
      <c r="G1107" s="1" t="str">
        <f t="shared" si="17"/>
        <v/>
      </c>
    </row>
    <row r="1108" spans="3:7" x14ac:dyDescent="0.3">
      <c r="C1108" t="str">
        <f>IFERROR(IF(B1108="","",VLOOKUP(B1108,CadProd!$A:$B,2,0)),"")</f>
        <v/>
      </c>
      <c r="D1108" t="str">
        <f>IFERROR(IF(B1108="","",VLOOKUP(B1108,CadProd!$A:$C,3,0)),"")</f>
        <v/>
      </c>
      <c r="G1108" s="1" t="str">
        <f t="shared" si="17"/>
        <v/>
      </c>
    </row>
    <row r="1109" spans="3:7" x14ac:dyDescent="0.3">
      <c r="C1109" t="str">
        <f>IFERROR(IF(B1109="","",VLOOKUP(B1109,CadProd!$A:$B,2,0)),"")</f>
        <v/>
      </c>
      <c r="D1109" t="str">
        <f>IFERROR(IF(B1109="","",VLOOKUP(B1109,CadProd!$A:$C,3,0)),"")</f>
        <v/>
      </c>
      <c r="G1109" s="1" t="str">
        <f t="shared" si="17"/>
        <v/>
      </c>
    </row>
    <row r="1110" spans="3:7" x14ac:dyDescent="0.3">
      <c r="C1110" t="str">
        <f>IFERROR(IF(B1110="","",VLOOKUP(B1110,CadProd!$A:$B,2,0)),"")</f>
        <v/>
      </c>
      <c r="D1110" t="str">
        <f>IFERROR(IF(B1110="","",VLOOKUP(B1110,CadProd!$A:$C,3,0)),"")</f>
        <v/>
      </c>
      <c r="G1110" s="1" t="str">
        <f t="shared" si="17"/>
        <v/>
      </c>
    </row>
    <row r="1111" spans="3:7" x14ac:dyDescent="0.3">
      <c r="C1111" t="str">
        <f>IFERROR(IF(B1111="","",VLOOKUP(B1111,CadProd!$A:$B,2,0)),"")</f>
        <v/>
      </c>
      <c r="D1111" t="str">
        <f>IFERROR(IF(B1111="","",VLOOKUP(B1111,CadProd!$A:$C,3,0)),"")</f>
        <v/>
      </c>
      <c r="G1111" s="1" t="str">
        <f t="shared" si="17"/>
        <v/>
      </c>
    </row>
    <row r="1112" spans="3:7" x14ac:dyDescent="0.3">
      <c r="C1112" t="str">
        <f>IFERROR(IF(B1112="","",VLOOKUP(B1112,CadProd!$A:$B,2,0)),"")</f>
        <v/>
      </c>
      <c r="D1112" t="str">
        <f>IFERROR(IF(B1112="","",VLOOKUP(B1112,CadProd!$A:$C,3,0)),"")</f>
        <v/>
      </c>
      <c r="G1112" s="1" t="str">
        <f t="shared" si="17"/>
        <v/>
      </c>
    </row>
    <row r="1113" spans="3:7" x14ac:dyDescent="0.3">
      <c r="C1113" t="str">
        <f>IFERROR(IF(B1113="","",VLOOKUP(B1113,CadProd!$A:$B,2,0)),"")</f>
        <v/>
      </c>
      <c r="D1113" t="str">
        <f>IFERROR(IF(B1113="","",VLOOKUP(B1113,CadProd!$A:$C,3,0)),"")</f>
        <v/>
      </c>
      <c r="G1113" s="1" t="str">
        <f t="shared" si="17"/>
        <v/>
      </c>
    </row>
    <row r="1114" spans="3:7" x14ac:dyDescent="0.3">
      <c r="C1114" t="str">
        <f>IFERROR(IF(B1114="","",VLOOKUP(B1114,CadProd!$A:$B,2,0)),"")</f>
        <v/>
      </c>
      <c r="D1114" t="str">
        <f>IFERROR(IF(B1114="","",VLOOKUP(B1114,CadProd!$A:$C,3,0)),"")</f>
        <v/>
      </c>
      <c r="G1114" s="1" t="str">
        <f t="shared" si="17"/>
        <v/>
      </c>
    </row>
    <row r="1115" spans="3:7" x14ac:dyDescent="0.3">
      <c r="C1115" t="str">
        <f>IFERROR(IF(B1115="","",VLOOKUP(B1115,CadProd!$A:$B,2,0)),"")</f>
        <v/>
      </c>
      <c r="D1115" t="str">
        <f>IFERROR(IF(B1115="","",VLOOKUP(B1115,CadProd!$A:$C,3,0)),"")</f>
        <v/>
      </c>
      <c r="G1115" s="1" t="str">
        <f t="shared" si="17"/>
        <v/>
      </c>
    </row>
    <row r="1116" spans="3:7" x14ac:dyDescent="0.3">
      <c r="C1116" t="str">
        <f>IFERROR(IF(B1116="","",VLOOKUP(B1116,CadProd!$A:$B,2,0)),"")</f>
        <v/>
      </c>
      <c r="D1116" t="str">
        <f>IFERROR(IF(B1116="","",VLOOKUP(B1116,CadProd!$A:$C,3,0)),"")</f>
        <v/>
      </c>
      <c r="G1116" s="1" t="str">
        <f t="shared" si="17"/>
        <v/>
      </c>
    </row>
    <row r="1117" spans="3:7" x14ac:dyDescent="0.3">
      <c r="C1117" t="str">
        <f>IFERROR(IF(B1117="","",VLOOKUP(B1117,CadProd!$A:$B,2,0)),"")</f>
        <v/>
      </c>
      <c r="D1117" t="str">
        <f>IFERROR(IF(B1117="","",VLOOKUP(B1117,CadProd!$A:$C,3,0)),"")</f>
        <v/>
      </c>
      <c r="G1117" s="1" t="str">
        <f t="shared" si="17"/>
        <v/>
      </c>
    </row>
    <row r="1118" spans="3:7" x14ac:dyDescent="0.3">
      <c r="C1118" t="str">
        <f>IFERROR(IF(B1118="","",VLOOKUP(B1118,CadProd!$A:$B,2,0)),"")</f>
        <v/>
      </c>
      <c r="D1118" t="str">
        <f>IFERROR(IF(B1118="","",VLOOKUP(B1118,CadProd!$A:$C,3,0)),"")</f>
        <v/>
      </c>
      <c r="G1118" s="1" t="str">
        <f t="shared" si="17"/>
        <v/>
      </c>
    </row>
    <row r="1119" spans="3:7" x14ac:dyDescent="0.3">
      <c r="C1119" t="str">
        <f>IFERROR(IF(B1119="","",VLOOKUP(B1119,CadProd!$A:$B,2,0)),"")</f>
        <v/>
      </c>
      <c r="D1119" t="str">
        <f>IFERROR(IF(B1119="","",VLOOKUP(B1119,CadProd!$A:$C,3,0)),"")</f>
        <v/>
      </c>
      <c r="G1119" s="1" t="str">
        <f t="shared" si="17"/>
        <v/>
      </c>
    </row>
    <row r="1120" spans="3:7" x14ac:dyDescent="0.3">
      <c r="C1120" t="str">
        <f>IFERROR(IF(B1120="","",VLOOKUP(B1120,CadProd!$A:$B,2,0)),"")</f>
        <v/>
      </c>
      <c r="D1120" t="str">
        <f>IFERROR(IF(B1120="","",VLOOKUP(B1120,CadProd!$A:$C,3,0)),"")</f>
        <v/>
      </c>
      <c r="G1120" s="1" t="str">
        <f t="shared" si="17"/>
        <v/>
      </c>
    </row>
    <row r="1121" spans="3:7" x14ac:dyDescent="0.3">
      <c r="C1121" t="str">
        <f>IFERROR(IF(B1121="","",VLOOKUP(B1121,CadProd!$A:$B,2,0)),"")</f>
        <v/>
      </c>
      <c r="D1121" t="str">
        <f>IFERROR(IF(B1121="","",VLOOKUP(B1121,CadProd!$A:$C,3,0)),"")</f>
        <v/>
      </c>
      <c r="G1121" s="1" t="str">
        <f t="shared" si="17"/>
        <v/>
      </c>
    </row>
    <row r="1122" spans="3:7" x14ac:dyDescent="0.3">
      <c r="C1122" t="str">
        <f>IFERROR(IF(B1122="","",VLOOKUP(B1122,CadProd!$A:$B,2,0)),"")</f>
        <v/>
      </c>
      <c r="D1122" t="str">
        <f>IFERROR(IF(B1122="","",VLOOKUP(B1122,CadProd!$A:$C,3,0)),"")</f>
        <v/>
      </c>
      <c r="G1122" s="1" t="str">
        <f t="shared" si="17"/>
        <v/>
      </c>
    </row>
    <row r="1123" spans="3:7" x14ac:dyDescent="0.3">
      <c r="C1123" t="str">
        <f>IFERROR(IF(B1123="","",VLOOKUP(B1123,CadProd!$A:$B,2,0)),"")</f>
        <v/>
      </c>
      <c r="D1123" t="str">
        <f>IFERROR(IF(B1123="","",VLOOKUP(B1123,CadProd!$A:$C,3,0)),"")</f>
        <v/>
      </c>
      <c r="G1123" s="1" t="str">
        <f t="shared" si="17"/>
        <v/>
      </c>
    </row>
    <row r="1124" spans="3:7" x14ac:dyDescent="0.3">
      <c r="C1124" t="str">
        <f>IFERROR(IF(B1124="","",VLOOKUP(B1124,CadProd!$A:$B,2,0)),"")</f>
        <v/>
      </c>
      <c r="D1124" t="str">
        <f>IFERROR(IF(B1124="","",VLOOKUP(B1124,CadProd!$A:$C,3,0)),"")</f>
        <v/>
      </c>
      <c r="G1124" s="1" t="str">
        <f t="shared" si="17"/>
        <v/>
      </c>
    </row>
    <row r="1125" spans="3:7" x14ac:dyDescent="0.3">
      <c r="C1125" t="str">
        <f>IFERROR(IF(B1125="","",VLOOKUP(B1125,CadProd!$A:$B,2,0)),"")</f>
        <v/>
      </c>
      <c r="D1125" t="str">
        <f>IFERROR(IF(B1125="","",VLOOKUP(B1125,CadProd!$A:$C,3,0)),"")</f>
        <v/>
      </c>
      <c r="G1125" s="1" t="str">
        <f t="shared" si="17"/>
        <v/>
      </c>
    </row>
    <row r="1126" spans="3:7" x14ac:dyDescent="0.3">
      <c r="C1126" t="str">
        <f>IFERROR(IF(B1126="","",VLOOKUP(B1126,CadProd!$A:$B,2,0)),"")</f>
        <v/>
      </c>
      <c r="D1126" t="str">
        <f>IFERROR(IF(B1126="","",VLOOKUP(B1126,CadProd!$A:$C,3,0)),"")</f>
        <v/>
      </c>
      <c r="G1126" s="1" t="str">
        <f t="shared" si="17"/>
        <v/>
      </c>
    </row>
    <row r="1127" spans="3:7" x14ac:dyDescent="0.3">
      <c r="C1127" t="str">
        <f>IFERROR(IF(B1127="","",VLOOKUP(B1127,CadProd!$A:$B,2,0)),"")</f>
        <v/>
      </c>
      <c r="D1127" t="str">
        <f>IFERROR(IF(B1127="","",VLOOKUP(B1127,CadProd!$A:$C,3,0)),"")</f>
        <v/>
      </c>
      <c r="G1127" s="1" t="str">
        <f t="shared" si="17"/>
        <v/>
      </c>
    </row>
    <row r="1128" spans="3:7" x14ac:dyDescent="0.3">
      <c r="C1128" t="str">
        <f>IFERROR(IF(B1128="","",VLOOKUP(B1128,CadProd!$A:$B,2,0)),"")</f>
        <v/>
      </c>
      <c r="D1128" t="str">
        <f>IFERROR(IF(B1128="","",VLOOKUP(B1128,CadProd!$A:$C,3,0)),"")</f>
        <v/>
      </c>
      <c r="G1128" s="1" t="str">
        <f t="shared" si="17"/>
        <v/>
      </c>
    </row>
    <row r="1129" spans="3:7" x14ac:dyDescent="0.3">
      <c r="C1129" t="str">
        <f>IFERROR(IF(B1129="","",VLOOKUP(B1129,CadProd!$A:$B,2,0)),"")</f>
        <v/>
      </c>
      <c r="D1129" t="str">
        <f>IFERROR(IF(B1129="","",VLOOKUP(B1129,CadProd!$A:$C,3,0)),"")</f>
        <v/>
      </c>
      <c r="G1129" s="1" t="str">
        <f t="shared" si="17"/>
        <v/>
      </c>
    </row>
    <row r="1130" spans="3:7" x14ac:dyDescent="0.3">
      <c r="C1130" t="str">
        <f>IFERROR(IF(B1130="","",VLOOKUP(B1130,CadProd!$A:$B,2,0)),"")</f>
        <v/>
      </c>
      <c r="D1130" t="str">
        <f>IFERROR(IF(B1130="","",VLOOKUP(B1130,CadProd!$A:$C,3,0)),"")</f>
        <v/>
      </c>
      <c r="G1130" s="1" t="str">
        <f t="shared" si="17"/>
        <v/>
      </c>
    </row>
    <row r="1131" spans="3:7" x14ac:dyDescent="0.3">
      <c r="C1131" t="str">
        <f>IFERROR(IF(B1131="","",VLOOKUP(B1131,CadProd!$A:$B,2,0)),"")</f>
        <v/>
      </c>
      <c r="D1131" t="str">
        <f>IFERROR(IF(B1131="","",VLOOKUP(B1131,CadProd!$A:$C,3,0)),"")</f>
        <v/>
      </c>
      <c r="G1131" s="1" t="str">
        <f t="shared" si="17"/>
        <v/>
      </c>
    </row>
    <row r="1132" spans="3:7" x14ac:dyDescent="0.3">
      <c r="C1132" t="str">
        <f>IFERROR(IF(B1132="","",VLOOKUP(B1132,CadProd!$A:$B,2,0)),"")</f>
        <v/>
      </c>
      <c r="D1132" t="str">
        <f>IFERROR(IF(B1132="","",VLOOKUP(B1132,CadProd!$A:$C,3,0)),"")</f>
        <v/>
      </c>
      <c r="G1132" s="1" t="str">
        <f t="shared" si="17"/>
        <v/>
      </c>
    </row>
    <row r="1133" spans="3:7" x14ac:dyDescent="0.3">
      <c r="C1133" t="str">
        <f>IFERROR(IF(B1133="","",VLOOKUP(B1133,CadProd!$A:$B,2,0)),"")</f>
        <v/>
      </c>
      <c r="D1133" t="str">
        <f>IFERROR(IF(B1133="","",VLOOKUP(B1133,CadProd!$A:$C,3,0)),"")</f>
        <v/>
      </c>
      <c r="G1133" s="1" t="str">
        <f t="shared" si="17"/>
        <v/>
      </c>
    </row>
    <row r="1134" spans="3:7" x14ac:dyDescent="0.3">
      <c r="C1134" t="str">
        <f>IFERROR(IF(B1134="","",VLOOKUP(B1134,CadProd!$A:$B,2,0)),"")</f>
        <v/>
      </c>
      <c r="D1134" t="str">
        <f>IFERROR(IF(B1134="","",VLOOKUP(B1134,CadProd!$A:$C,3,0)),"")</f>
        <v/>
      </c>
      <c r="G1134" s="1" t="str">
        <f t="shared" si="17"/>
        <v/>
      </c>
    </row>
    <row r="1135" spans="3:7" x14ac:dyDescent="0.3">
      <c r="C1135" t="str">
        <f>IFERROR(IF(B1135="","",VLOOKUP(B1135,CadProd!$A:$B,2,0)),"")</f>
        <v/>
      </c>
      <c r="D1135" t="str">
        <f>IFERROR(IF(B1135="","",VLOOKUP(B1135,CadProd!$A:$C,3,0)),"")</f>
        <v/>
      </c>
      <c r="G1135" s="1" t="str">
        <f t="shared" si="17"/>
        <v/>
      </c>
    </row>
    <row r="1136" spans="3:7" x14ac:dyDescent="0.3">
      <c r="C1136" t="str">
        <f>IFERROR(IF(B1136="","",VLOOKUP(B1136,CadProd!$A:$B,2,0)),"")</f>
        <v/>
      </c>
      <c r="D1136" t="str">
        <f>IFERROR(IF(B1136="","",VLOOKUP(B1136,CadProd!$A:$C,3,0)),"")</f>
        <v/>
      </c>
      <c r="G1136" s="1" t="str">
        <f t="shared" si="17"/>
        <v/>
      </c>
    </row>
    <row r="1137" spans="3:7" x14ac:dyDescent="0.3">
      <c r="C1137" t="str">
        <f>IFERROR(IF(B1137="","",VLOOKUP(B1137,CadProd!$A:$B,2,0)),"")</f>
        <v/>
      </c>
      <c r="D1137" t="str">
        <f>IFERROR(IF(B1137="","",VLOOKUP(B1137,CadProd!$A:$C,3,0)),"")</f>
        <v/>
      </c>
      <c r="G1137" s="1" t="str">
        <f t="shared" si="17"/>
        <v/>
      </c>
    </row>
    <row r="1138" spans="3:7" x14ac:dyDescent="0.3">
      <c r="C1138" t="str">
        <f>IFERROR(IF(B1138="","",VLOOKUP(B1138,CadProd!$A:$B,2,0)),"")</f>
        <v/>
      </c>
      <c r="D1138" t="str">
        <f>IFERROR(IF(B1138="","",VLOOKUP(B1138,CadProd!$A:$C,3,0)),"")</f>
        <v/>
      </c>
      <c r="G1138" s="1" t="str">
        <f t="shared" si="17"/>
        <v/>
      </c>
    </row>
    <row r="1139" spans="3:7" x14ac:dyDescent="0.3">
      <c r="C1139" t="str">
        <f>IFERROR(IF(B1139="","",VLOOKUP(B1139,CadProd!$A:$B,2,0)),"")</f>
        <v/>
      </c>
      <c r="D1139" t="str">
        <f>IFERROR(IF(B1139="","",VLOOKUP(B1139,CadProd!$A:$C,3,0)),"")</f>
        <v/>
      </c>
      <c r="G1139" s="1" t="str">
        <f t="shared" si="17"/>
        <v/>
      </c>
    </row>
    <row r="1140" spans="3:7" x14ac:dyDescent="0.3">
      <c r="C1140" t="str">
        <f>IFERROR(IF(B1140="","",VLOOKUP(B1140,CadProd!$A:$B,2,0)),"")</f>
        <v/>
      </c>
      <c r="D1140" t="str">
        <f>IFERROR(IF(B1140="","",VLOOKUP(B1140,CadProd!$A:$C,3,0)),"")</f>
        <v/>
      </c>
      <c r="G1140" s="1" t="str">
        <f t="shared" si="17"/>
        <v/>
      </c>
    </row>
    <row r="1141" spans="3:7" x14ac:dyDescent="0.3">
      <c r="C1141" t="str">
        <f>IFERROR(IF(B1141="","",VLOOKUP(B1141,CadProd!$A:$B,2,0)),"")</f>
        <v/>
      </c>
      <c r="D1141" t="str">
        <f>IFERROR(IF(B1141="","",VLOOKUP(B1141,CadProd!$A:$C,3,0)),"")</f>
        <v/>
      </c>
      <c r="G1141" s="1" t="str">
        <f t="shared" si="17"/>
        <v/>
      </c>
    </row>
    <row r="1142" spans="3:7" x14ac:dyDescent="0.3">
      <c r="C1142" t="str">
        <f>IFERROR(IF(B1142="","",VLOOKUP(B1142,CadProd!$A:$B,2,0)),"")</f>
        <v/>
      </c>
      <c r="D1142" t="str">
        <f>IFERROR(IF(B1142="","",VLOOKUP(B1142,CadProd!$A:$C,3,0)),"")</f>
        <v/>
      </c>
      <c r="G1142" s="1" t="str">
        <f t="shared" si="17"/>
        <v/>
      </c>
    </row>
    <row r="1143" spans="3:7" x14ac:dyDescent="0.3">
      <c r="C1143" t="str">
        <f>IFERROR(IF(B1143="","",VLOOKUP(B1143,CadProd!$A:$B,2,0)),"")</f>
        <v/>
      </c>
      <c r="D1143" t="str">
        <f>IFERROR(IF(B1143="","",VLOOKUP(B1143,CadProd!$A:$C,3,0)),"")</f>
        <v/>
      </c>
      <c r="G1143" s="1" t="str">
        <f t="shared" si="17"/>
        <v/>
      </c>
    </row>
    <row r="1144" spans="3:7" x14ac:dyDescent="0.3">
      <c r="C1144" t="str">
        <f>IFERROR(IF(B1144="","",VLOOKUP(B1144,CadProd!$A:$B,2,0)),"")</f>
        <v/>
      </c>
      <c r="D1144" t="str">
        <f>IFERROR(IF(B1144="","",VLOOKUP(B1144,CadProd!$A:$C,3,0)),"")</f>
        <v/>
      </c>
      <c r="G1144" s="1" t="str">
        <f t="shared" si="17"/>
        <v/>
      </c>
    </row>
    <row r="1145" spans="3:7" x14ac:dyDescent="0.3">
      <c r="C1145" t="str">
        <f>IFERROR(IF(B1145="","",VLOOKUP(B1145,CadProd!$A:$B,2,0)),"")</f>
        <v/>
      </c>
      <c r="D1145" t="str">
        <f>IFERROR(IF(B1145="","",VLOOKUP(B1145,CadProd!$A:$C,3,0)),"")</f>
        <v/>
      </c>
      <c r="G1145" s="1" t="str">
        <f t="shared" si="17"/>
        <v/>
      </c>
    </row>
    <row r="1146" spans="3:7" x14ac:dyDescent="0.3">
      <c r="C1146" t="str">
        <f>IFERROR(IF(B1146="","",VLOOKUP(B1146,CadProd!$A:$B,2,0)),"")</f>
        <v/>
      </c>
      <c r="D1146" t="str">
        <f>IFERROR(IF(B1146="","",VLOOKUP(B1146,CadProd!$A:$C,3,0)),"")</f>
        <v/>
      </c>
      <c r="G1146" s="1" t="str">
        <f t="shared" si="17"/>
        <v/>
      </c>
    </row>
    <row r="1147" spans="3:7" x14ac:dyDescent="0.3">
      <c r="C1147" t="str">
        <f>IFERROR(IF(B1147="","",VLOOKUP(B1147,CadProd!$A:$B,2,0)),"")</f>
        <v/>
      </c>
      <c r="D1147" t="str">
        <f>IFERROR(IF(B1147="","",VLOOKUP(B1147,CadProd!$A:$C,3,0)),"")</f>
        <v/>
      </c>
      <c r="G1147" s="1" t="str">
        <f t="shared" si="17"/>
        <v/>
      </c>
    </row>
    <row r="1148" spans="3:7" x14ac:dyDescent="0.3">
      <c r="C1148" t="str">
        <f>IFERROR(IF(B1148="","",VLOOKUP(B1148,CadProd!$A:$B,2,0)),"")</f>
        <v/>
      </c>
      <c r="D1148" t="str">
        <f>IFERROR(IF(B1148="","",VLOOKUP(B1148,CadProd!$A:$C,3,0)),"")</f>
        <v/>
      </c>
      <c r="G1148" s="1" t="str">
        <f t="shared" si="17"/>
        <v/>
      </c>
    </row>
    <row r="1149" spans="3:7" x14ac:dyDescent="0.3">
      <c r="C1149" t="str">
        <f>IFERROR(IF(B1149="","",VLOOKUP(B1149,CadProd!$A:$B,2,0)),"")</f>
        <v/>
      </c>
      <c r="D1149" t="str">
        <f>IFERROR(IF(B1149="","",VLOOKUP(B1149,CadProd!$A:$C,3,0)),"")</f>
        <v/>
      </c>
      <c r="G1149" s="1" t="str">
        <f t="shared" si="17"/>
        <v/>
      </c>
    </row>
    <row r="1150" spans="3:7" x14ac:dyDescent="0.3">
      <c r="C1150" t="str">
        <f>IFERROR(IF(B1150="","",VLOOKUP(B1150,CadProd!$A:$B,2,0)),"")</f>
        <v/>
      </c>
      <c r="D1150" t="str">
        <f>IFERROR(IF(B1150="","",VLOOKUP(B1150,CadProd!$A:$C,3,0)),"")</f>
        <v/>
      </c>
      <c r="G1150" s="1" t="str">
        <f t="shared" si="17"/>
        <v/>
      </c>
    </row>
    <row r="1151" spans="3:7" x14ac:dyDescent="0.3">
      <c r="C1151" t="str">
        <f>IFERROR(IF(B1151="","",VLOOKUP(B1151,CadProd!$A:$B,2,0)),"")</f>
        <v/>
      </c>
      <c r="D1151" t="str">
        <f>IFERROR(IF(B1151="","",VLOOKUP(B1151,CadProd!$A:$C,3,0)),"")</f>
        <v/>
      </c>
      <c r="G1151" s="1" t="str">
        <f t="shared" si="17"/>
        <v/>
      </c>
    </row>
    <row r="1152" spans="3:7" x14ac:dyDescent="0.3">
      <c r="C1152" t="str">
        <f>IFERROR(IF(B1152="","",VLOOKUP(B1152,CadProd!$A:$B,2,0)),"")</f>
        <v/>
      </c>
      <c r="D1152" t="str">
        <f>IFERROR(IF(B1152="","",VLOOKUP(B1152,CadProd!$A:$C,3,0)),"")</f>
        <v/>
      </c>
      <c r="G1152" s="1" t="str">
        <f t="shared" si="17"/>
        <v/>
      </c>
    </row>
    <row r="1153" spans="3:7" x14ac:dyDescent="0.3">
      <c r="C1153" t="str">
        <f>IFERROR(IF(B1153="","",VLOOKUP(B1153,CadProd!$A:$B,2,0)),"")</f>
        <v/>
      </c>
      <c r="D1153" t="str">
        <f>IFERROR(IF(B1153="","",VLOOKUP(B1153,CadProd!$A:$C,3,0)),"")</f>
        <v/>
      </c>
      <c r="G1153" s="1" t="str">
        <f t="shared" si="17"/>
        <v/>
      </c>
    </row>
    <row r="1154" spans="3:7" x14ac:dyDescent="0.3">
      <c r="C1154" t="str">
        <f>IFERROR(IF(B1154="","",VLOOKUP(B1154,CadProd!$A:$B,2,0)),"")</f>
        <v/>
      </c>
      <c r="D1154" t="str">
        <f>IFERROR(IF(B1154="","",VLOOKUP(B1154,CadProd!$A:$C,3,0)),"")</f>
        <v/>
      </c>
      <c r="G1154" s="1" t="str">
        <f t="shared" ref="G1154:G1217" si="18">IFERROR(IF(B1154="","",F1154*E1154),"")</f>
        <v/>
      </c>
    </row>
    <row r="1155" spans="3:7" x14ac:dyDescent="0.3">
      <c r="C1155" t="str">
        <f>IFERROR(IF(B1155="","",VLOOKUP(B1155,CadProd!$A:$B,2,0)),"")</f>
        <v/>
      </c>
      <c r="D1155" t="str">
        <f>IFERROR(IF(B1155="","",VLOOKUP(B1155,CadProd!$A:$C,3,0)),"")</f>
        <v/>
      </c>
      <c r="G1155" s="1" t="str">
        <f t="shared" si="18"/>
        <v/>
      </c>
    </row>
    <row r="1156" spans="3:7" x14ac:dyDescent="0.3">
      <c r="C1156" t="str">
        <f>IFERROR(IF(B1156="","",VLOOKUP(B1156,CadProd!$A:$B,2,0)),"")</f>
        <v/>
      </c>
      <c r="D1156" t="str">
        <f>IFERROR(IF(B1156="","",VLOOKUP(B1156,CadProd!$A:$C,3,0)),"")</f>
        <v/>
      </c>
      <c r="G1156" s="1" t="str">
        <f t="shared" si="18"/>
        <v/>
      </c>
    </row>
    <row r="1157" spans="3:7" x14ac:dyDescent="0.3">
      <c r="C1157" t="str">
        <f>IFERROR(IF(B1157="","",VLOOKUP(B1157,CadProd!$A:$B,2,0)),"")</f>
        <v/>
      </c>
      <c r="D1157" t="str">
        <f>IFERROR(IF(B1157="","",VLOOKUP(B1157,CadProd!$A:$C,3,0)),"")</f>
        <v/>
      </c>
      <c r="G1157" s="1" t="str">
        <f t="shared" si="18"/>
        <v/>
      </c>
    </row>
    <row r="1158" spans="3:7" x14ac:dyDescent="0.3">
      <c r="C1158" t="str">
        <f>IFERROR(IF(B1158="","",VLOOKUP(B1158,CadProd!$A:$B,2,0)),"")</f>
        <v/>
      </c>
      <c r="D1158" t="str">
        <f>IFERROR(IF(B1158="","",VLOOKUP(B1158,CadProd!$A:$C,3,0)),"")</f>
        <v/>
      </c>
      <c r="G1158" s="1" t="str">
        <f t="shared" si="18"/>
        <v/>
      </c>
    </row>
    <row r="1159" spans="3:7" x14ac:dyDescent="0.3">
      <c r="C1159" t="str">
        <f>IFERROR(IF(B1159="","",VLOOKUP(B1159,CadProd!$A:$B,2,0)),"")</f>
        <v/>
      </c>
      <c r="D1159" t="str">
        <f>IFERROR(IF(B1159="","",VLOOKUP(B1159,CadProd!$A:$C,3,0)),"")</f>
        <v/>
      </c>
      <c r="G1159" s="1" t="str">
        <f t="shared" si="18"/>
        <v/>
      </c>
    </row>
    <row r="1160" spans="3:7" x14ac:dyDescent="0.3">
      <c r="C1160" t="str">
        <f>IFERROR(IF(B1160="","",VLOOKUP(B1160,CadProd!$A:$B,2,0)),"")</f>
        <v/>
      </c>
      <c r="D1160" t="str">
        <f>IFERROR(IF(B1160="","",VLOOKUP(B1160,CadProd!$A:$C,3,0)),"")</f>
        <v/>
      </c>
      <c r="G1160" s="1" t="str">
        <f t="shared" si="18"/>
        <v/>
      </c>
    </row>
    <row r="1161" spans="3:7" x14ac:dyDescent="0.3">
      <c r="C1161" t="str">
        <f>IFERROR(IF(B1161="","",VLOOKUP(B1161,CadProd!$A:$B,2,0)),"")</f>
        <v/>
      </c>
      <c r="D1161" t="str">
        <f>IFERROR(IF(B1161="","",VLOOKUP(B1161,CadProd!$A:$C,3,0)),"")</f>
        <v/>
      </c>
      <c r="G1161" s="1" t="str">
        <f t="shared" si="18"/>
        <v/>
      </c>
    </row>
    <row r="1162" spans="3:7" x14ac:dyDescent="0.3">
      <c r="C1162" t="str">
        <f>IFERROR(IF(B1162="","",VLOOKUP(B1162,CadProd!$A:$B,2,0)),"")</f>
        <v/>
      </c>
      <c r="D1162" t="str">
        <f>IFERROR(IF(B1162="","",VLOOKUP(B1162,CadProd!$A:$C,3,0)),"")</f>
        <v/>
      </c>
      <c r="G1162" s="1" t="str">
        <f t="shared" si="18"/>
        <v/>
      </c>
    </row>
    <row r="1163" spans="3:7" x14ac:dyDescent="0.3">
      <c r="C1163" t="str">
        <f>IFERROR(IF(B1163="","",VLOOKUP(B1163,CadProd!$A:$B,2,0)),"")</f>
        <v/>
      </c>
      <c r="D1163" t="str">
        <f>IFERROR(IF(B1163="","",VLOOKUP(B1163,CadProd!$A:$C,3,0)),"")</f>
        <v/>
      </c>
      <c r="G1163" s="1" t="str">
        <f t="shared" si="18"/>
        <v/>
      </c>
    </row>
    <row r="1164" spans="3:7" x14ac:dyDescent="0.3">
      <c r="C1164" t="str">
        <f>IFERROR(IF(B1164="","",VLOOKUP(B1164,CadProd!$A:$B,2,0)),"")</f>
        <v/>
      </c>
      <c r="D1164" t="str">
        <f>IFERROR(IF(B1164="","",VLOOKUP(B1164,CadProd!$A:$C,3,0)),"")</f>
        <v/>
      </c>
      <c r="G1164" s="1" t="str">
        <f t="shared" si="18"/>
        <v/>
      </c>
    </row>
    <row r="1165" spans="3:7" x14ac:dyDescent="0.3">
      <c r="C1165" t="str">
        <f>IFERROR(IF(B1165="","",VLOOKUP(B1165,CadProd!$A:$B,2,0)),"")</f>
        <v/>
      </c>
      <c r="D1165" t="str">
        <f>IFERROR(IF(B1165="","",VLOOKUP(B1165,CadProd!$A:$C,3,0)),"")</f>
        <v/>
      </c>
      <c r="G1165" s="1" t="str">
        <f t="shared" si="18"/>
        <v/>
      </c>
    </row>
    <row r="1166" spans="3:7" x14ac:dyDescent="0.3">
      <c r="C1166" t="str">
        <f>IFERROR(IF(B1166="","",VLOOKUP(B1166,CadProd!$A:$B,2,0)),"")</f>
        <v/>
      </c>
      <c r="D1166" t="str">
        <f>IFERROR(IF(B1166="","",VLOOKUP(B1166,CadProd!$A:$C,3,0)),"")</f>
        <v/>
      </c>
      <c r="G1166" s="1" t="str">
        <f t="shared" si="18"/>
        <v/>
      </c>
    </row>
    <row r="1167" spans="3:7" x14ac:dyDescent="0.3">
      <c r="C1167" t="str">
        <f>IFERROR(IF(B1167="","",VLOOKUP(B1167,CadProd!$A:$B,2,0)),"")</f>
        <v/>
      </c>
      <c r="D1167" t="str">
        <f>IFERROR(IF(B1167="","",VLOOKUP(B1167,CadProd!$A:$C,3,0)),"")</f>
        <v/>
      </c>
      <c r="G1167" s="1" t="str">
        <f t="shared" si="18"/>
        <v/>
      </c>
    </row>
    <row r="1168" spans="3:7" x14ac:dyDescent="0.3">
      <c r="C1168" t="str">
        <f>IFERROR(IF(B1168="","",VLOOKUP(B1168,CadProd!$A:$B,2,0)),"")</f>
        <v/>
      </c>
      <c r="D1168" t="str">
        <f>IFERROR(IF(B1168="","",VLOOKUP(B1168,CadProd!$A:$C,3,0)),"")</f>
        <v/>
      </c>
      <c r="G1168" s="1" t="str">
        <f t="shared" si="18"/>
        <v/>
      </c>
    </row>
    <row r="1169" spans="3:7" x14ac:dyDescent="0.3">
      <c r="C1169" t="str">
        <f>IFERROR(IF(B1169="","",VLOOKUP(B1169,CadProd!$A:$B,2,0)),"")</f>
        <v/>
      </c>
      <c r="D1169" t="str">
        <f>IFERROR(IF(B1169="","",VLOOKUP(B1169,CadProd!$A:$C,3,0)),"")</f>
        <v/>
      </c>
      <c r="G1169" s="1" t="str">
        <f t="shared" si="18"/>
        <v/>
      </c>
    </row>
    <row r="1170" spans="3:7" x14ac:dyDescent="0.3">
      <c r="C1170" t="str">
        <f>IFERROR(IF(B1170="","",VLOOKUP(B1170,CadProd!$A:$B,2,0)),"")</f>
        <v/>
      </c>
      <c r="D1170" t="str">
        <f>IFERROR(IF(B1170="","",VLOOKUP(B1170,CadProd!$A:$C,3,0)),"")</f>
        <v/>
      </c>
      <c r="G1170" s="1" t="str">
        <f t="shared" si="18"/>
        <v/>
      </c>
    </row>
    <row r="1171" spans="3:7" x14ac:dyDescent="0.3">
      <c r="C1171" t="str">
        <f>IFERROR(IF(B1171="","",VLOOKUP(B1171,CadProd!$A:$B,2,0)),"")</f>
        <v/>
      </c>
      <c r="D1171" t="str">
        <f>IFERROR(IF(B1171="","",VLOOKUP(B1171,CadProd!$A:$C,3,0)),"")</f>
        <v/>
      </c>
      <c r="G1171" s="1" t="str">
        <f t="shared" si="18"/>
        <v/>
      </c>
    </row>
    <row r="1172" spans="3:7" x14ac:dyDescent="0.3">
      <c r="C1172" t="str">
        <f>IFERROR(IF(B1172="","",VLOOKUP(B1172,CadProd!$A:$B,2,0)),"")</f>
        <v/>
      </c>
      <c r="D1172" t="str">
        <f>IFERROR(IF(B1172="","",VLOOKUP(B1172,CadProd!$A:$C,3,0)),"")</f>
        <v/>
      </c>
      <c r="G1172" s="1" t="str">
        <f t="shared" si="18"/>
        <v/>
      </c>
    </row>
    <row r="1173" spans="3:7" x14ac:dyDescent="0.3">
      <c r="C1173" t="str">
        <f>IFERROR(IF(B1173="","",VLOOKUP(B1173,CadProd!$A:$B,2,0)),"")</f>
        <v/>
      </c>
      <c r="D1173" t="str">
        <f>IFERROR(IF(B1173="","",VLOOKUP(B1173,CadProd!$A:$C,3,0)),"")</f>
        <v/>
      </c>
      <c r="G1173" s="1" t="str">
        <f t="shared" si="18"/>
        <v/>
      </c>
    </row>
    <row r="1174" spans="3:7" x14ac:dyDescent="0.3">
      <c r="C1174" t="str">
        <f>IFERROR(IF(B1174="","",VLOOKUP(B1174,CadProd!$A:$B,2,0)),"")</f>
        <v/>
      </c>
      <c r="D1174" t="str">
        <f>IFERROR(IF(B1174="","",VLOOKUP(B1174,CadProd!$A:$C,3,0)),"")</f>
        <v/>
      </c>
      <c r="G1174" s="1" t="str">
        <f t="shared" si="18"/>
        <v/>
      </c>
    </row>
    <row r="1175" spans="3:7" x14ac:dyDescent="0.3">
      <c r="C1175" t="str">
        <f>IFERROR(IF(B1175="","",VLOOKUP(B1175,CadProd!$A:$B,2,0)),"")</f>
        <v/>
      </c>
      <c r="D1175" t="str">
        <f>IFERROR(IF(B1175="","",VLOOKUP(B1175,CadProd!$A:$C,3,0)),"")</f>
        <v/>
      </c>
      <c r="G1175" s="1" t="str">
        <f t="shared" si="18"/>
        <v/>
      </c>
    </row>
    <row r="1176" spans="3:7" x14ac:dyDescent="0.3">
      <c r="C1176" t="str">
        <f>IFERROR(IF(B1176="","",VLOOKUP(B1176,CadProd!$A:$B,2,0)),"")</f>
        <v/>
      </c>
      <c r="D1176" t="str">
        <f>IFERROR(IF(B1176="","",VLOOKUP(B1176,CadProd!$A:$C,3,0)),"")</f>
        <v/>
      </c>
      <c r="G1176" s="1" t="str">
        <f t="shared" si="18"/>
        <v/>
      </c>
    </row>
    <row r="1177" spans="3:7" x14ac:dyDescent="0.3">
      <c r="C1177" t="str">
        <f>IFERROR(IF(B1177="","",VLOOKUP(B1177,CadProd!$A:$B,2,0)),"")</f>
        <v/>
      </c>
      <c r="D1177" t="str">
        <f>IFERROR(IF(B1177="","",VLOOKUP(B1177,CadProd!$A:$C,3,0)),"")</f>
        <v/>
      </c>
      <c r="G1177" s="1" t="str">
        <f t="shared" si="18"/>
        <v/>
      </c>
    </row>
    <row r="1178" spans="3:7" x14ac:dyDescent="0.3">
      <c r="C1178" t="str">
        <f>IFERROR(IF(B1178="","",VLOOKUP(B1178,CadProd!$A:$B,2,0)),"")</f>
        <v/>
      </c>
      <c r="D1178" t="str">
        <f>IFERROR(IF(B1178="","",VLOOKUP(B1178,CadProd!$A:$C,3,0)),"")</f>
        <v/>
      </c>
      <c r="G1178" s="1" t="str">
        <f t="shared" si="18"/>
        <v/>
      </c>
    </row>
    <row r="1179" spans="3:7" x14ac:dyDescent="0.3">
      <c r="C1179" t="str">
        <f>IFERROR(IF(B1179="","",VLOOKUP(B1179,CadProd!$A:$B,2,0)),"")</f>
        <v/>
      </c>
      <c r="D1179" t="str">
        <f>IFERROR(IF(B1179="","",VLOOKUP(B1179,CadProd!$A:$C,3,0)),"")</f>
        <v/>
      </c>
      <c r="G1179" s="1" t="str">
        <f t="shared" si="18"/>
        <v/>
      </c>
    </row>
    <row r="1180" spans="3:7" x14ac:dyDescent="0.3">
      <c r="C1180" t="str">
        <f>IFERROR(IF(B1180="","",VLOOKUP(B1180,CadProd!$A:$B,2,0)),"")</f>
        <v/>
      </c>
      <c r="D1180" t="str">
        <f>IFERROR(IF(B1180="","",VLOOKUP(B1180,CadProd!$A:$C,3,0)),"")</f>
        <v/>
      </c>
      <c r="G1180" s="1" t="str">
        <f t="shared" si="18"/>
        <v/>
      </c>
    </row>
    <row r="1181" spans="3:7" x14ac:dyDescent="0.3">
      <c r="C1181" t="str">
        <f>IFERROR(IF(B1181="","",VLOOKUP(B1181,CadProd!$A:$B,2,0)),"")</f>
        <v/>
      </c>
      <c r="D1181" t="str">
        <f>IFERROR(IF(B1181="","",VLOOKUP(B1181,CadProd!$A:$C,3,0)),"")</f>
        <v/>
      </c>
      <c r="G1181" s="1" t="str">
        <f t="shared" si="18"/>
        <v/>
      </c>
    </row>
    <row r="1182" spans="3:7" x14ac:dyDescent="0.3">
      <c r="C1182" t="str">
        <f>IFERROR(IF(B1182="","",VLOOKUP(B1182,CadProd!$A:$B,2,0)),"")</f>
        <v/>
      </c>
      <c r="D1182" t="str">
        <f>IFERROR(IF(B1182="","",VLOOKUP(B1182,CadProd!$A:$C,3,0)),"")</f>
        <v/>
      </c>
      <c r="G1182" s="1" t="str">
        <f t="shared" si="18"/>
        <v/>
      </c>
    </row>
    <row r="1183" spans="3:7" x14ac:dyDescent="0.3">
      <c r="C1183" t="str">
        <f>IFERROR(IF(B1183="","",VLOOKUP(B1183,CadProd!$A:$B,2,0)),"")</f>
        <v/>
      </c>
      <c r="D1183" t="str">
        <f>IFERROR(IF(B1183="","",VLOOKUP(B1183,CadProd!$A:$C,3,0)),"")</f>
        <v/>
      </c>
      <c r="G1183" s="1" t="str">
        <f t="shared" si="18"/>
        <v/>
      </c>
    </row>
    <row r="1184" spans="3:7" x14ac:dyDescent="0.3">
      <c r="C1184" t="str">
        <f>IFERROR(IF(B1184="","",VLOOKUP(B1184,CadProd!$A:$B,2,0)),"")</f>
        <v/>
      </c>
      <c r="D1184" t="str">
        <f>IFERROR(IF(B1184="","",VLOOKUP(B1184,CadProd!$A:$C,3,0)),"")</f>
        <v/>
      </c>
      <c r="G1184" s="1" t="str">
        <f t="shared" si="18"/>
        <v/>
      </c>
    </row>
    <row r="1185" spans="3:7" x14ac:dyDescent="0.3">
      <c r="C1185" t="str">
        <f>IFERROR(IF(B1185="","",VLOOKUP(B1185,CadProd!$A:$B,2,0)),"")</f>
        <v/>
      </c>
      <c r="D1185" t="str">
        <f>IFERROR(IF(B1185="","",VLOOKUP(B1185,CadProd!$A:$C,3,0)),"")</f>
        <v/>
      </c>
      <c r="G1185" s="1" t="str">
        <f t="shared" si="18"/>
        <v/>
      </c>
    </row>
    <row r="1186" spans="3:7" x14ac:dyDescent="0.3">
      <c r="C1186" t="str">
        <f>IFERROR(IF(B1186="","",VLOOKUP(B1186,CadProd!$A:$B,2,0)),"")</f>
        <v/>
      </c>
      <c r="D1186" t="str">
        <f>IFERROR(IF(B1186="","",VLOOKUP(B1186,CadProd!$A:$C,3,0)),"")</f>
        <v/>
      </c>
      <c r="G1186" s="1" t="str">
        <f t="shared" si="18"/>
        <v/>
      </c>
    </row>
    <row r="1187" spans="3:7" x14ac:dyDescent="0.3">
      <c r="C1187" t="str">
        <f>IFERROR(IF(B1187="","",VLOOKUP(B1187,CadProd!$A:$B,2,0)),"")</f>
        <v/>
      </c>
      <c r="D1187" t="str">
        <f>IFERROR(IF(B1187="","",VLOOKUP(B1187,CadProd!$A:$C,3,0)),"")</f>
        <v/>
      </c>
      <c r="G1187" s="1" t="str">
        <f t="shared" si="18"/>
        <v/>
      </c>
    </row>
    <row r="1188" spans="3:7" x14ac:dyDescent="0.3">
      <c r="C1188" t="str">
        <f>IFERROR(IF(B1188="","",VLOOKUP(B1188,CadProd!$A:$B,2,0)),"")</f>
        <v/>
      </c>
      <c r="D1188" t="str">
        <f>IFERROR(IF(B1188="","",VLOOKUP(B1188,CadProd!$A:$C,3,0)),"")</f>
        <v/>
      </c>
      <c r="G1188" s="1" t="str">
        <f t="shared" si="18"/>
        <v/>
      </c>
    </row>
    <row r="1189" spans="3:7" x14ac:dyDescent="0.3">
      <c r="C1189" t="str">
        <f>IFERROR(IF(B1189="","",VLOOKUP(B1189,CadProd!$A:$B,2,0)),"")</f>
        <v/>
      </c>
      <c r="D1189" t="str">
        <f>IFERROR(IF(B1189="","",VLOOKUP(B1189,CadProd!$A:$C,3,0)),"")</f>
        <v/>
      </c>
      <c r="G1189" s="1" t="str">
        <f t="shared" si="18"/>
        <v/>
      </c>
    </row>
    <row r="1190" spans="3:7" x14ac:dyDescent="0.3">
      <c r="C1190" t="str">
        <f>IFERROR(IF(B1190="","",VLOOKUP(B1190,CadProd!$A:$B,2,0)),"")</f>
        <v/>
      </c>
      <c r="D1190" t="str">
        <f>IFERROR(IF(B1190="","",VLOOKUP(B1190,CadProd!$A:$C,3,0)),"")</f>
        <v/>
      </c>
      <c r="G1190" s="1" t="str">
        <f t="shared" si="18"/>
        <v/>
      </c>
    </row>
    <row r="1191" spans="3:7" x14ac:dyDescent="0.3">
      <c r="C1191" t="str">
        <f>IFERROR(IF(B1191="","",VLOOKUP(B1191,CadProd!$A:$B,2,0)),"")</f>
        <v/>
      </c>
      <c r="D1191" t="str">
        <f>IFERROR(IF(B1191="","",VLOOKUP(B1191,CadProd!$A:$C,3,0)),"")</f>
        <v/>
      </c>
      <c r="G1191" s="1" t="str">
        <f t="shared" si="18"/>
        <v/>
      </c>
    </row>
    <row r="1192" spans="3:7" x14ac:dyDescent="0.3">
      <c r="C1192" t="str">
        <f>IFERROR(IF(B1192="","",VLOOKUP(B1192,CadProd!$A:$B,2,0)),"")</f>
        <v/>
      </c>
      <c r="D1192" t="str">
        <f>IFERROR(IF(B1192="","",VLOOKUP(B1192,CadProd!$A:$C,3,0)),"")</f>
        <v/>
      </c>
      <c r="G1192" s="1" t="str">
        <f t="shared" si="18"/>
        <v/>
      </c>
    </row>
    <row r="1193" spans="3:7" x14ac:dyDescent="0.3">
      <c r="C1193" t="str">
        <f>IFERROR(IF(B1193="","",VLOOKUP(B1193,CadProd!$A:$B,2,0)),"")</f>
        <v/>
      </c>
      <c r="D1193" t="str">
        <f>IFERROR(IF(B1193="","",VLOOKUP(B1193,CadProd!$A:$C,3,0)),"")</f>
        <v/>
      </c>
      <c r="G1193" s="1" t="str">
        <f t="shared" si="18"/>
        <v/>
      </c>
    </row>
    <row r="1194" spans="3:7" x14ac:dyDescent="0.3">
      <c r="C1194" t="str">
        <f>IFERROR(IF(B1194="","",VLOOKUP(B1194,CadProd!$A:$B,2,0)),"")</f>
        <v/>
      </c>
      <c r="D1194" t="str">
        <f>IFERROR(IF(B1194="","",VLOOKUP(B1194,CadProd!$A:$C,3,0)),"")</f>
        <v/>
      </c>
      <c r="G1194" s="1" t="str">
        <f t="shared" si="18"/>
        <v/>
      </c>
    </row>
    <row r="1195" spans="3:7" x14ac:dyDescent="0.3">
      <c r="C1195" t="str">
        <f>IFERROR(IF(B1195="","",VLOOKUP(B1195,CadProd!$A:$B,2,0)),"")</f>
        <v/>
      </c>
      <c r="D1195" t="str">
        <f>IFERROR(IF(B1195="","",VLOOKUP(B1195,CadProd!$A:$C,3,0)),"")</f>
        <v/>
      </c>
      <c r="G1195" s="1" t="str">
        <f t="shared" si="18"/>
        <v/>
      </c>
    </row>
    <row r="1196" spans="3:7" x14ac:dyDescent="0.3">
      <c r="C1196" t="str">
        <f>IFERROR(IF(B1196="","",VLOOKUP(B1196,CadProd!$A:$B,2,0)),"")</f>
        <v/>
      </c>
      <c r="D1196" t="str">
        <f>IFERROR(IF(B1196="","",VLOOKUP(B1196,CadProd!$A:$C,3,0)),"")</f>
        <v/>
      </c>
      <c r="G1196" s="1" t="str">
        <f t="shared" si="18"/>
        <v/>
      </c>
    </row>
    <row r="1197" spans="3:7" x14ac:dyDescent="0.3">
      <c r="C1197" t="str">
        <f>IFERROR(IF(B1197="","",VLOOKUP(B1197,CadProd!$A:$B,2,0)),"")</f>
        <v/>
      </c>
      <c r="D1197" t="str">
        <f>IFERROR(IF(B1197="","",VLOOKUP(B1197,CadProd!$A:$C,3,0)),"")</f>
        <v/>
      </c>
      <c r="G1197" s="1" t="str">
        <f t="shared" si="18"/>
        <v/>
      </c>
    </row>
    <row r="1198" spans="3:7" x14ac:dyDescent="0.3">
      <c r="C1198" t="str">
        <f>IFERROR(IF(B1198="","",VLOOKUP(B1198,CadProd!$A:$B,2,0)),"")</f>
        <v/>
      </c>
      <c r="D1198" t="str">
        <f>IFERROR(IF(B1198="","",VLOOKUP(B1198,CadProd!$A:$C,3,0)),"")</f>
        <v/>
      </c>
      <c r="G1198" s="1" t="str">
        <f t="shared" si="18"/>
        <v/>
      </c>
    </row>
    <row r="1199" spans="3:7" x14ac:dyDescent="0.3">
      <c r="C1199" t="str">
        <f>IFERROR(IF(B1199="","",VLOOKUP(B1199,CadProd!$A:$B,2,0)),"")</f>
        <v/>
      </c>
      <c r="D1199" t="str">
        <f>IFERROR(IF(B1199="","",VLOOKUP(B1199,CadProd!$A:$C,3,0)),"")</f>
        <v/>
      </c>
      <c r="G1199" s="1" t="str">
        <f t="shared" si="18"/>
        <v/>
      </c>
    </row>
    <row r="1200" spans="3:7" x14ac:dyDescent="0.3">
      <c r="C1200" t="str">
        <f>IFERROR(IF(B1200="","",VLOOKUP(B1200,CadProd!$A:$B,2,0)),"")</f>
        <v/>
      </c>
      <c r="D1200" t="str">
        <f>IFERROR(IF(B1200="","",VLOOKUP(B1200,CadProd!$A:$C,3,0)),"")</f>
        <v/>
      </c>
      <c r="G1200" s="1" t="str">
        <f t="shared" si="18"/>
        <v/>
      </c>
    </row>
    <row r="1201" spans="3:7" x14ac:dyDescent="0.3">
      <c r="C1201" t="str">
        <f>IFERROR(IF(B1201="","",VLOOKUP(B1201,CadProd!$A:$B,2,0)),"")</f>
        <v/>
      </c>
      <c r="D1201" t="str">
        <f>IFERROR(IF(B1201="","",VLOOKUP(B1201,CadProd!$A:$C,3,0)),"")</f>
        <v/>
      </c>
      <c r="G1201" s="1" t="str">
        <f t="shared" si="18"/>
        <v/>
      </c>
    </row>
    <row r="1202" spans="3:7" x14ac:dyDescent="0.3">
      <c r="C1202" t="str">
        <f>IFERROR(IF(B1202="","",VLOOKUP(B1202,CadProd!$A:$B,2,0)),"")</f>
        <v/>
      </c>
      <c r="D1202" t="str">
        <f>IFERROR(IF(B1202="","",VLOOKUP(B1202,CadProd!$A:$C,3,0)),"")</f>
        <v/>
      </c>
      <c r="G1202" s="1" t="str">
        <f t="shared" si="18"/>
        <v/>
      </c>
    </row>
    <row r="1203" spans="3:7" x14ac:dyDescent="0.3">
      <c r="C1203" t="str">
        <f>IFERROR(IF(B1203="","",VLOOKUP(B1203,CadProd!$A:$B,2,0)),"")</f>
        <v/>
      </c>
      <c r="D1203" t="str">
        <f>IFERROR(IF(B1203="","",VLOOKUP(B1203,CadProd!$A:$C,3,0)),"")</f>
        <v/>
      </c>
      <c r="G1203" s="1" t="str">
        <f t="shared" si="18"/>
        <v/>
      </c>
    </row>
    <row r="1204" spans="3:7" x14ac:dyDescent="0.3">
      <c r="C1204" t="str">
        <f>IFERROR(IF(B1204="","",VLOOKUP(B1204,CadProd!$A:$B,2,0)),"")</f>
        <v/>
      </c>
      <c r="D1204" t="str">
        <f>IFERROR(IF(B1204="","",VLOOKUP(B1204,CadProd!$A:$C,3,0)),"")</f>
        <v/>
      </c>
      <c r="G1204" s="1" t="str">
        <f t="shared" si="18"/>
        <v/>
      </c>
    </row>
    <row r="1205" spans="3:7" x14ac:dyDescent="0.3">
      <c r="C1205" t="str">
        <f>IFERROR(IF(B1205="","",VLOOKUP(B1205,CadProd!$A:$B,2,0)),"")</f>
        <v/>
      </c>
      <c r="D1205" t="str">
        <f>IFERROR(IF(B1205="","",VLOOKUP(B1205,CadProd!$A:$C,3,0)),"")</f>
        <v/>
      </c>
      <c r="G1205" s="1" t="str">
        <f t="shared" si="18"/>
        <v/>
      </c>
    </row>
    <row r="1206" spans="3:7" x14ac:dyDescent="0.3">
      <c r="C1206" t="str">
        <f>IFERROR(IF(B1206="","",VLOOKUP(B1206,CadProd!$A:$B,2,0)),"")</f>
        <v/>
      </c>
      <c r="D1206" t="str">
        <f>IFERROR(IF(B1206="","",VLOOKUP(B1206,CadProd!$A:$C,3,0)),"")</f>
        <v/>
      </c>
      <c r="G1206" s="1" t="str">
        <f t="shared" si="18"/>
        <v/>
      </c>
    </row>
    <row r="1207" spans="3:7" x14ac:dyDescent="0.3">
      <c r="C1207" t="str">
        <f>IFERROR(IF(B1207="","",VLOOKUP(B1207,CadProd!$A:$B,2,0)),"")</f>
        <v/>
      </c>
      <c r="D1207" t="str">
        <f>IFERROR(IF(B1207="","",VLOOKUP(B1207,CadProd!$A:$C,3,0)),"")</f>
        <v/>
      </c>
      <c r="G1207" s="1" t="str">
        <f t="shared" si="18"/>
        <v/>
      </c>
    </row>
    <row r="1208" spans="3:7" x14ac:dyDescent="0.3">
      <c r="C1208" t="str">
        <f>IFERROR(IF(B1208="","",VLOOKUP(B1208,CadProd!$A:$B,2,0)),"")</f>
        <v/>
      </c>
      <c r="D1208" t="str">
        <f>IFERROR(IF(B1208="","",VLOOKUP(B1208,CadProd!$A:$C,3,0)),"")</f>
        <v/>
      </c>
      <c r="G1208" s="1" t="str">
        <f t="shared" si="18"/>
        <v/>
      </c>
    </row>
    <row r="1209" spans="3:7" x14ac:dyDescent="0.3">
      <c r="C1209" t="str">
        <f>IFERROR(IF(B1209="","",VLOOKUP(B1209,CadProd!$A:$B,2,0)),"")</f>
        <v/>
      </c>
      <c r="D1209" t="str">
        <f>IFERROR(IF(B1209="","",VLOOKUP(B1209,CadProd!$A:$C,3,0)),"")</f>
        <v/>
      </c>
      <c r="G1209" s="1" t="str">
        <f t="shared" si="18"/>
        <v/>
      </c>
    </row>
    <row r="1210" spans="3:7" x14ac:dyDescent="0.3">
      <c r="C1210" t="str">
        <f>IFERROR(IF(B1210="","",VLOOKUP(B1210,CadProd!$A:$B,2,0)),"")</f>
        <v/>
      </c>
      <c r="D1210" t="str">
        <f>IFERROR(IF(B1210="","",VLOOKUP(B1210,CadProd!$A:$C,3,0)),"")</f>
        <v/>
      </c>
      <c r="G1210" s="1" t="str">
        <f t="shared" si="18"/>
        <v/>
      </c>
    </row>
    <row r="1211" spans="3:7" x14ac:dyDescent="0.3">
      <c r="C1211" t="str">
        <f>IFERROR(IF(B1211="","",VLOOKUP(B1211,CadProd!$A:$B,2,0)),"")</f>
        <v/>
      </c>
      <c r="D1211" t="str">
        <f>IFERROR(IF(B1211="","",VLOOKUP(B1211,CadProd!$A:$C,3,0)),"")</f>
        <v/>
      </c>
      <c r="G1211" s="1" t="str">
        <f t="shared" si="18"/>
        <v/>
      </c>
    </row>
    <row r="1212" spans="3:7" x14ac:dyDescent="0.3">
      <c r="C1212" t="str">
        <f>IFERROR(IF(B1212="","",VLOOKUP(B1212,CadProd!$A:$B,2,0)),"")</f>
        <v/>
      </c>
      <c r="D1212" t="str">
        <f>IFERROR(IF(B1212="","",VLOOKUP(B1212,CadProd!$A:$C,3,0)),"")</f>
        <v/>
      </c>
      <c r="G1212" s="1" t="str">
        <f t="shared" si="18"/>
        <v/>
      </c>
    </row>
    <row r="1213" spans="3:7" x14ac:dyDescent="0.3">
      <c r="C1213" t="str">
        <f>IFERROR(IF(B1213="","",VLOOKUP(B1213,CadProd!$A:$B,2,0)),"")</f>
        <v/>
      </c>
      <c r="D1213" t="str">
        <f>IFERROR(IF(B1213="","",VLOOKUP(B1213,CadProd!$A:$C,3,0)),"")</f>
        <v/>
      </c>
      <c r="G1213" s="1" t="str">
        <f t="shared" si="18"/>
        <v/>
      </c>
    </row>
    <row r="1214" spans="3:7" x14ac:dyDescent="0.3">
      <c r="C1214" t="str">
        <f>IFERROR(IF(B1214="","",VLOOKUP(B1214,CadProd!$A:$B,2,0)),"")</f>
        <v/>
      </c>
      <c r="D1214" t="str">
        <f>IFERROR(IF(B1214="","",VLOOKUP(B1214,CadProd!$A:$C,3,0)),"")</f>
        <v/>
      </c>
      <c r="G1214" s="1" t="str">
        <f t="shared" si="18"/>
        <v/>
      </c>
    </row>
    <row r="1215" spans="3:7" x14ac:dyDescent="0.3">
      <c r="C1215" t="str">
        <f>IFERROR(IF(B1215="","",VLOOKUP(B1215,CadProd!$A:$B,2,0)),"")</f>
        <v/>
      </c>
      <c r="D1215" t="str">
        <f>IFERROR(IF(B1215="","",VLOOKUP(B1215,CadProd!$A:$C,3,0)),"")</f>
        <v/>
      </c>
      <c r="G1215" s="1" t="str">
        <f t="shared" si="18"/>
        <v/>
      </c>
    </row>
    <row r="1216" spans="3:7" x14ac:dyDescent="0.3">
      <c r="C1216" t="str">
        <f>IFERROR(IF(B1216="","",VLOOKUP(B1216,CadProd!$A:$B,2,0)),"")</f>
        <v/>
      </c>
      <c r="D1216" t="str">
        <f>IFERROR(IF(B1216="","",VLOOKUP(B1216,CadProd!$A:$C,3,0)),"")</f>
        <v/>
      </c>
      <c r="G1216" s="1" t="str">
        <f t="shared" si="18"/>
        <v/>
      </c>
    </row>
    <row r="1217" spans="3:7" x14ac:dyDescent="0.3">
      <c r="C1217" t="str">
        <f>IFERROR(IF(B1217="","",VLOOKUP(B1217,CadProd!$A:$B,2,0)),"")</f>
        <v/>
      </c>
      <c r="D1217" t="str">
        <f>IFERROR(IF(B1217="","",VLOOKUP(B1217,CadProd!$A:$C,3,0)),"")</f>
        <v/>
      </c>
      <c r="G1217" s="1" t="str">
        <f t="shared" si="18"/>
        <v/>
      </c>
    </row>
    <row r="1218" spans="3:7" x14ac:dyDescent="0.3">
      <c r="C1218" t="str">
        <f>IFERROR(IF(B1218="","",VLOOKUP(B1218,CadProd!$A:$B,2,0)),"")</f>
        <v/>
      </c>
      <c r="D1218" t="str">
        <f>IFERROR(IF(B1218="","",VLOOKUP(B1218,CadProd!$A:$C,3,0)),"")</f>
        <v/>
      </c>
      <c r="G1218" s="1" t="str">
        <f t="shared" ref="G1218:G1281" si="19">IFERROR(IF(B1218="","",F1218*E1218),"")</f>
        <v/>
      </c>
    </row>
    <row r="1219" spans="3:7" x14ac:dyDescent="0.3">
      <c r="C1219" t="str">
        <f>IFERROR(IF(B1219="","",VLOOKUP(B1219,CadProd!$A:$B,2,0)),"")</f>
        <v/>
      </c>
      <c r="D1219" t="str">
        <f>IFERROR(IF(B1219="","",VLOOKUP(B1219,CadProd!$A:$C,3,0)),"")</f>
        <v/>
      </c>
      <c r="G1219" s="1" t="str">
        <f t="shared" si="19"/>
        <v/>
      </c>
    </row>
    <row r="1220" spans="3:7" x14ac:dyDescent="0.3">
      <c r="C1220" t="str">
        <f>IFERROR(IF(B1220="","",VLOOKUP(B1220,CadProd!$A:$B,2,0)),"")</f>
        <v/>
      </c>
      <c r="D1220" t="str">
        <f>IFERROR(IF(B1220="","",VLOOKUP(B1220,CadProd!$A:$C,3,0)),"")</f>
        <v/>
      </c>
      <c r="G1220" s="1" t="str">
        <f t="shared" si="19"/>
        <v/>
      </c>
    </row>
    <row r="1221" spans="3:7" x14ac:dyDescent="0.3">
      <c r="C1221" t="str">
        <f>IFERROR(IF(B1221="","",VLOOKUP(B1221,CadProd!$A:$B,2,0)),"")</f>
        <v/>
      </c>
      <c r="D1221" t="str">
        <f>IFERROR(IF(B1221="","",VLOOKUP(B1221,CadProd!$A:$C,3,0)),"")</f>
        <v/>
      </c>
      <c r="G1221" s="1" t="str">
        <f t="shared" si="19"/>
        <v/>
      </c>
    </row>
    <row r="1222" spans="3:7" x14ac:dyDescent="0.3">
      <c r="C1222" t="str">
        <f>IFERROR(IF(B1222="","",VLOOKUP(B1222,CadProd!$A:$B,2,0)),"")</f>
        <v/>
      </c>
      <c r="D1222" t="str">
        <f>IFERROR(IF(B1222="","",VLOOKUP(B1222,CadProd!$A:$C,3,0)),"")</f>
        <v/>
      </c>
      <c r="G1222" s="1" t="str">
        <f t="shared" si="19"/>
        <v/>
      </c>
    </row>
    <row r="1223" spans="3:7" x14ac:dyDescent="0.3">
      <c r="C1223" t="str">
        <f>IFERROR(IF(B1223="","",VLOOKUP(B1223,CadProd!$A:$B,2,0)),"")</f>
        <v/>
      </c>
      <c r="D1223" t="str">
        <f>IFERROR(IF(B1223="","",VLOOKUP(B1223,CadProd!$A:$C,3,0)),"")</f>
        <v/>
      </c>
      <c r="G1223" s="1" t="str">
        <f t="shared" si="19"/>
        <v/>
      </c>
    </row>
    <row r="1224" spans="3:7" x14ac:dyDescent="0.3">
      <c r="C1224" t="str">
        <f>IFERROR(IF(B1224="","",VLOOKUP(B1224,CadProd!$A:$B,2,0)),"")</f>
        <v/>
      </c>
      <c r="D1224" t="str">
        <f>IFERROR(IF(B1224="","",VLOOKUP(B1224,CadProd!$A:$C,3,0)),"")</f>
        <v/>
      </c>
      <c r="G1224" s="1" t="str">
        <f t="shared" si="19"/>
        <v/>
      </c>
    </row>
    <row r="1225" spans="3:7" x14ac:dyDescent="0.3">
      <c r="C1225" t="str">
        <f>IFERROR(IF(B1225="","",VLOOKUP(B1225,CadProd!$A:$B,2,0)),"")</f>
        <v/>
      </c>
      <c r="D1225" t="str">
        <f>IFERROR(IF(B1225="","",VLOOKUP(B1225,CadProd!$A:$C,3,0)),"")</f>
        <v/>
      </c>
      <c r="G1225" s="1" t="str">
        <f t="shared" si="19"/>
        <v/>
      </c>
    </row>
    <row r="1226" spans="3:7" x14ac:dyDescent="0.3">
      <c r="C1226" t="str">
        <f>IFERROR(IF(B1226="","",VLOOKUP(B1226,CadProd!$A:$B,2,0)),"")</f>
        <v/>
      </c>
      <c r="D1226" t="str">
        <f>IFERROR(IF(B1226="","",VLOOKUP(B1226,CadProd!$A:$C,3,0)),"")</f>
        <v/>
      </c>
      <c r="G1226" s="1" t="str">
        <f t="shared" si="19"/>
        <v/>
      </c>
    </row>
    <row r="1227" spans="3:7" x14ac:dyDescent="0.3">
      <c r="C1227" t="str">
        <f>IFERROR(IF(B1227="","",VLOOKUP(B1227,CadProd!$A:$B,2,0)),"")</f>
        <v/>
      </c>
      <c r="D1227" t="str">
        <f>IFERROR(IF(B1227="","",VLOOKUP(B1227,CadProd!$A:$C,3,0)),"")</f>
        <v/>
      </c>
      <c r="G1227" s="1" t="str">
        <f t="shared" si="19"/>
        <v/>
      </c>
    </row>
    <row r="1228" spans="3:7" x14ac:dyDescent="0.3">
      <c r="C1228" t="str">
        <f>IFERROR(IF(B1228="","",VLOOKUP(B1228,CadProd!$A:$B,2,0)),"")</f>
        <v/>
      </c>
      <c r="D1228" t="str">
        <f>IFERROR(IF(B1228="","",VLOOKUP(B1228,CadProd!$A:$C,3,0)),"")</f>
        <v/>
      </c>
      <c r="G1228" s="1" t="str">
        <f t="shared" si="19"/>
        <v/>
      </c>
    </row>
    <row r="1229" spans="3:7" x14ac:dyDescent="0.3">
      <c r="C1229" t="str">
        <f>IFERROR(IF(B1229="","",VLOOKUP(B1229,CadProd!$A:$B,2,0)),"")</f>
        <v/>
      </c>
      <c r="D1229" t="str">
        <f>IFERROR(IF(B1229="","",VLOOKUP(B1229,CadProd!$A:$C,3,0)),"")</f>
        <v/>
      </c>
      <c r="G1229" s="1" t="str">
        <f t="shared" si="19"/>
        <v/>
      </c>
    </row>
    <row r="1230" spans="3:7" x14ac:dyDescent="0.3">
      <c r="C1230" t="str">
        <f>IFERROR(IF(B1230="","",VLOOKUP(B1230,CadProd!$A:$B,2,0)),"")</f>
        <v/>
      </c>
      <c r="D1230" t="str">
        <f>IFERROR(IF(B1230="","",VLOOKUP(B1230,CadProd!$A:$C,3,0)),"")</f>
        <v/>
      </c>
      <c r="G1230" s="1" t="str">
        <f t="shared" si="19"/>
        <v/>
      </c>
    </row>
    <row r="1231" spans="3:7" x14ac:dyDescent="0.3">
      <c r="C1231" t="str">
        <f>IFERROR(IF(B1231="","",VLOOKUP(B1231,CadProd!$A:$B,2,0)),"")</f>
        <v/>
      </c>
      <c r="D1231" t="str">
        <f>IFERROR(IF(B1231="","",VLOOKUP(B1231,CadProd!$A:$C,3,0)),"")</f>
        <v/>
      </c>
      <c r="G1231" s="1" t="str">
        <f t="shared" si="19"/>
        <v/>
      </c>
    </row>
    <row r="1232" spans="3:7" x14ac:dyDescent="0.3">
      <c r="C1232" t="str">
        <f>IFERROR(IF(B1232="","",VLOOKUP(B1232,CadProd!$A:$B,2,0)),"")</f>
        <v/>
      </c>
      <c r="D1232" t="str">
        <f>IFERROR(IF(B1232="","",VLOOKUP(B1232,CadProd!$A:$C,3,0)),"")</f>
        <v/>
      </c>
      <c r="G1232" s="1" t="str">
        <f t="shared" si="19"/>
        <v/>
      </c>
    </row>
    <row r="1233" spans="3:7" x14ac:dyDescent="0.3">
      <c r="C1233" t="str">
        <f>IFERROR(IF(B1233="","",VLOOKUP(B1233,CadProd!$A:$B,2,0)),"")</f>
        <v/>
      </c>
      <c r="D1233" t="str">
        <f>IFERROR(IF(B1233="","",VLOOKUP(B1233,CadProd!$A:$C,3,0)),"")</f>
        <v/>
      </c>
      <c r="G1233" s="1" t="str">
        <f t="shared" si="19"/>
        <v/>
      </c>
    </row>
    <row r="1234" spans="3:7" x14ac:dyDescent="0.3">
      <c r="C1234" t="str">
        <f>IFERROR(IF(B1234="","",VLOOKUP(B1234,CadProd!$A:$B,2,0)),"")</f>
        <v/>
      </c>
      <c r="D1234" t="str">
        <f>IFERROR(IF(B1234="","",VLOOKUP(B1234,CadProd!$A:$C,3,0)),"")</f>
        <v/>
      </c>
      <c r="G1234" s="1" t="str">
        <f t="shared" si="19"/>
        <v/>
      </c>
    </row>
    <row r="1235" spans="3:7" x14ac:dyDescent="0.3">
      <c r="C1235" t="str">
        <f>IFERROR(IF(B1235="","",VLOOKUP(B1235,CadProd!$A:$B,2,0)),"")</f>
        <v/>
      </c>
      <c r="D1235" t="str">
        <f>IFERROR(IF(B1235="","",VLOOKUP(B1235,CadProd!$A:$C,3,0)),"")</f>
        <v/>
      </c>
      <c r="G1235" s="1" t="str">
        <f t="shared" si="19"/>
        <v/>
      </c>
    </row>
    <row r="1236" spans="3:7" x14ac:dyDescent="0.3">
      <c r="C1236" t="str">
        <f>IFERROR(IF(B1236="","",VLOOKUP(B1236,CadProd!$A:$B,2,0)),"")</f>
        <v/>
      </c>
      <c r="D1236" t="str">
        <f>IFERROR(IF(B1236="","",VLOOKUP(B1236,CadProd!$A:$C,3,0)),"")</f>
        <v/>
      </c>
      <c r="G1236" s="1" t="str">
        <f t="shared" si="19"/>
        <v/>
      </c>
    </row>
    <row r="1237" spans="3:7" x14ac:dyDescent="0.3">
      <c r="C1237" t="str">
        <f>IFERROR(IF(B1237="","",VLOOKUP(B1237,CadProd!$A:$B,2,0)),"")</f>
        <v/>
      </c>
      <c r="D1237" t="str">
        <f>IFERROR(IF(B1237="","",VLOOKUP(B1237,CadProd!$A:$C,3,0)),"")</f>
        <v/>
      </c>
      <c r="G1237" s="1" t="str">
        <f t="shared" si="19"/>
        <v/>
      </c>
    </row>
    <row r="1238" spans="3:7" x14ac:dyDescent="0.3">
      <c r="C1238" t="str">
        <f>IFERROR(IF(B1238="","",VLOOKUP(B1238,CadProd!$A:$B,2,0)),"")</f>
        <v/>
      </c>
      <c r="D1238" t="str">
        <f>IFERROR(IF(B1238="","",VLOOKUP(B1238,CadProd!$A:$C,3,0)),"")</f>
        <v/>
      </c>
      <c r="G1238" s="1" t="str">
        <f t="shared" si="19"/>
        <v/>
      </c>
    </row>
    <row r="1239" spans="3:7" x14ac:dyDescent="0.3">
      <c r="C1239" t="str">
        <f>IFERROR(IF(B1239="","",VLOOKUP(B1239,CadProd!$A:$B,2,0)),"")</f>
        <v/>
      </c>
      <c r="D1239" t="str">
        <f>IFERROR(IF(B1239="","",VLOOKUP(B1239,CadProd!$A:$C,3,0)),"")</f>
        <v/>
      </c>
      <c r="G1239" s="1" t="str">
        <f t="shared" si="19"/>
        <v/>
      </c>
    </row>
    <row r="1240" spans="3:7" x14ac:dyDescent="0.3">
      <c r="C1240" t="str">
        <f>IFERROR(IF(B1240="","",VLOOKUP(B1240,CadProd!$A:$B,2,0)),"")</f>
        <v/>
      </c>
      <c r="D1240" t="str">
        <f>IFERROR(IF(B1240="","",VLOOKUP(B1240,CadProd!$A:$C,3,0)),"")</f>
        <v/>
      </c>
      <c r="G1240" s="1" t="str">
        <f t="shared" si="19"/>
        <v/>
      </c>
    </row>
    <row r="1241" spans="3:7" x14ac:dyDescent="0.3">
      <c r="C1241" t="str">
        <f>IFERROR(IF(B1241="","",VLOOKUP(B1241,CadProd!$A:$B,2,0)),"")</f>
        <v/>
      </c>
      <c r="D1241" t="str">
        <f>IFERROR(IF(B1241="","",VLOOKUP(B1241,CadProd!$A:$C,3,0)),"")</f>
        <v/>
      </c>
      <c r="G1241" s="1" t="str">
        <f t="shared" si="19"/>
        <v/>
      </c>
    </row>
    <row r="1242" spans="3:7" x14ac:dyDescent="0.3">
      <c r="C1242" t="str">
        <f>IFERROR(IF(B1242="","",VLOOKUP(B1242,CadProd!$A:$B,2,0)),"")</f>
        <v/>
      </c>
      <c r="D1242" t="str">
        <f>IFERROR(IF(B1242="","",VLOOKUP(B1242,CadProd!$A:$C,3,0)),"")</f>
        <v/>
      </c>
      <c r="G1242" s="1" t="str">
        <f t="shared" si="19"/>
        <v/>
      </c>
    </row>
    <row r="1243" spans="3:7" x14ac:dyDescent="0.3">
      <c r="C1243" t="str">
        <f>IFERROR(IF(B1243="","",VLOOKUP(B1243,CadProd!$A:$B,2,0)),"")</f>
        <v/>
      </c>
      <c r="D1243" t="str">
        <f>IFERROR(IF(B1243="","",VLOOKUP(B1243,CadProd!$A:$C,3,0)),"")</f>
        <v/>
      </c>
      <c r="G1243" s="1" t="str">
        <f t="shared" si="19"/>
        <v/>
      </c>
    </row>
    <row r="1244" spans="3:7" x14ac:dyDescent="0.3">
      <c r="C1244" t="str">
        <f>IFERROR(IF(B1244="","",VLOOKUP(B1244,CadProd!$A:$B,2,0)),"")</f>
        <v/>
      </c>
      <c r="D1244" t="str">
        <f>IFERROR(IF(B1244="","",VLOOKUP(B1244,CadProd!$A:$C,3,0)),"")</f>
        <v/>
      </c>
      <c r="G1244" s="1" t="str">
        <f t="shared" si="19"/>
        <v/>
      </c>
    </row>
    <row r="1245" spans="3:7" x14ac:dyDescent="0.3">
      <c r="C1245" t="str">
        <f>IFERROR(IF(B1245="","",VLOOKUP(B1245,CadProd!$A:$B,2,0)),"")</f>
        <v/>
      </c>
      <c r="D1245" t="str">
        <f>IFERROR(IF(B1245="","",VLOOKUP(B1245,CadProd!$A:$C,3,0)),"")</f>
        <v/>
      </c>
      <c r="G1245" s="1" t="str">
        <f t="shared" si="19"/>
        <v/>
      </c>
    </row>
    <row r="1246" spans="3:7" x14ac:dyDescent="0.3">
      <c r="C1246" t="str">
        <f>IFERROR(IF(B1246="","",VLOOKUP(B1246,CadProd!$A:$B,2,0)),"")</f>
        <v/>
      </c>
      <c r="D1246" t="str">
        <f>IFERROR(IF(B1246="","",VLOOKUP(B1246,CadProd!$A:$C,3,0)),"")</f>
        <v/>
      </c>
      <c r="G1246" s="1" t="str">
        <f t="shared" si="19"/>
        <v/>
      </c>
    </row>
    <row r="1247" spans="3:7" x14ac:dyDescent="0.3">
      <c r="C1247" t="str">
        <f>IFERROR(IF(B1247="","",VLOOKUP(B1247,CadProd!$A:$B,2,0)),"")</f>
        <v/>
      </c>
      <c r="D1247" t="str">
        <f>IFERROR(IF(B1247="","",VLOOKUP(B1247,CadProd!$A:$C,3,0)),"")</f>
        <v/>
      </c>
      <c r="G1247" s="1" t="str">
        <f t="shared" si="19"/>
        <v/>
      </c>
    </row>
    <row r="1248" spans="3:7" x14ac:dyDescent="0.3">
      <c r="C1248" t="str">
        <f>IFERROR(IF(B1248="","",VLOOKUP(B1248,CadProd!$A:$B,2,0)),"")</f>
        <v/>
      </c>
      <c r="D1248" t="str">
        <f>IFERROR(IF(B1248="","",VLOOKUP(B1248,CadProd!$A:$C,3,0)),"")</f>
        <v/>
      </c>
      <c r="G1248" s="1" t="str">
        <f t="shared" si="19"/>
        <v/>
      </c>
    </row>
    <row r="1249" spans="3:7" x14ac:dyDescent="0.3">
      <c r="C1249" t="str">
        <f>IFERROR(IF(B1249="","",VLOOKUP(B1249,CadProd!$A:$B,2,0)),"")</f>
        <v/>
      </c>
      <c r="D1249" t="str">
        <f>IFERROR(IF(B1249="","",VLOOKUP(B1249,CadProd!$A:$C,3,0)),"")</f>
        <v/>
      </c>
      <c r="G1249" s="1" t="str">
        <f t="shared" si="19"/>
        <v/>
      </c>
    </row>
    <row r="1250" spans="3:7" x14ac:dyDescent="0.3">
      <c r="C1250" t="str">
        <f>IFERROR(IF(B1250="","",VLOOKUP(B1250,CadProd!$A:$B,2,0)),"")</f>
        <v/>
      </c>
      <c r="D1250" t="str">
        <f>IFERROR(IF(B1250="","",VLOOKUP(B1250,CadProd!$A:$C,3,0)),"")</f>
        <v/>
      </c>
      <c r="G1250" s="1" t="str">
        <f t="shared" si="19"/>
        <v/>
      </c>
    </row>
    <row r="1251" spans="3:7" x14ac:dyDescent="0.3">
      <c r="C1251" t="str">
        <f>IFERROR(IF(B1251="","",VLOOKUP(B1251,CadProd!$A:$B,2,0)),"")</f>
        <v/>
      </c>
      <c r="D1251" t="str">
        <f>IFERROR(IF(B1251="","",VLOOKUP(B1251,CadProd!$A:$C,3,0)),"")</f>
        <v/>
      </c>
      <c r="G1251" s="1" t="str">
        <f t="shared" si="19"/>
        <v/>
      </c>
    </row>
    <row r="1252" spans="3:7" x14ac:dyDescent="0.3">
      <c r="C1252" t="str">
        <f>IFERROR(IF(B1252="","",VLOOKUP(B1252,CadProd!$A:$B,2,0)),"")</f>
        <v/>
      </c>
      <c r="D1252" t="str">
        <f>IFERROR(IF(B1252="","",VLOOKUP(B1252,CadProd!$A:$C,3,0)),"")</f>
        <v/>
      </c>
      <c r="G1252" s="1" t="str">
        <f t="shared" si="19"/>
        <v/>
      </c>
    </row>
    <row r="1253" spans="3:7" x14ac:dyDescent="0.3">
      <c r="C1253" t="str">
        <f>IFERROR(IF(B1253="","",VLOOKUP(B1253,CadProd!$A:$B,2,0)),"")</f>
        <v/>
      </c>
      <c r="D1253" t="str">
        <f>IFERROR(IF(B1253="","",VLOOKUP(B1253,CadProd!$A:$C,3,0)),"")</f>
        <v/>
      </c>
      <c r="G1253" s="1" t="str">
        <f t="shared" si="19"/>
        <v/>
      </c>
    </row>
    <row r="1254" spans="3:7" x14ac:dyDescent="0.3">
      <c r="C1254" t="str">
        <f>IFERROR(IF(B1254="","",VLOOKUP(B1254,CadProd!$A:$B,2,0)),"")</f>
        <v/>
      </c>
      <c r="D1254" t="str">
        <f>IFERROR(IF(B1254="","",VLOOKUP(B1254,CadProd!$A:$C,3,0)),"")</f>
        <v/>
      </c>
      <c r="G1254" s="1" t="str">
        <f t="shared" si="19"/>
        <v/>
      </c>
    </row>
    <row r="1255" spans="3:7" x14ac:dyDescent="0.3">
      <c r="C1255" t="str">
        <f>IFERROR(IF(B1255="","",VLOOKUP(B1255,CadProd!$A:$B,2,0)),"")</f>
        <v/>
      </c>
      <c r="D1255" t="str">
        <f>IFERROR(IF(B1255="","",VLOOKUP(B1255,CadProd!$A:$C,3,0)),"")</f>
        <v/>
      </c>
      <c r="G1255" s="1" t="str">
        <f t="shared" si="19"/>
        <v/>
      </c>
    </row>
    <row r="1256" spans="3:7" x14ac:dyDescent="0.3">
      <c r="C1256" t="str">
        <f>IFERROR(IF(B1256="","",VLOOKUP(B1256,CadProd!$A:$B,2,0)),"")</f>
        <v/>
      </c>
      <c r="D1256" t="str">
        <f>IFERROR(IF(B1256="","",VLOOKUP(B1256,CadProd!$A:$C,3,0)),"")</f>
        <v/>
      </c>
      <c r="G1256" s="1" t="str">
        <f t="shared" si="19"/>
        <v/>
      </c>
    </row>
    <row r="1257" spans="3:7" x14ac:dyDescent="0.3">
      <c r="C1257" t="str">
        <f>IFERROR(IF(B1257="","",VLOOKUP(B1257,CadProd!$A:$B,2,0)),"")</f>
        <v/>
      </c>
      <c r="D1257" t="str">
        <f>IFERROR(IF(B1257="","",VLOOKUP(B1257,CadProd!$A:$C,3,0)),"")</f>
        <v/>
      </c>
      <c r="G1257" s="1" t="str">
        <f t="shared" si="19"/>
        <v/>
      </c>
    </row>
    <row r="1258" spans="3:7" x14ac:dyDescent="0.3">
      <c r="C1258" t="str">
        <f>IFERROR(IF(B1258="","",VLOOKUP(B1258,CadProd!$A:$B,2,0)),"")</f>
        <v/>
      </c>
      <c r="D1258" t="str">
        <f>IFERROR(IF(B1258="","",VLOOKUP(B1258,CadProd!$A:$C,3,0)),"")</f>
        <v/>
      </c>
      <c r="G1258" s="1" t="str">
        <f t="shared" si="19"/>
        <v/>
      </c>
    </row>
    <row r="1259" spans="3:7" x14ac:dyDescent="0.3">
      <c r="C1259" t="str">
        <f>IFERROR(IF(B1259="","",VLOOKUP(B1259,CadProd!$A:$B,2,0)),"")</f>
        <v/>
      </c>
      <c r="D1259" t="str">
        <f>IFERROR(IF(B1259="","",VLOOKUP(B1259,CadProd!$A:$C,3,0)),"")</f>
        <v/>
      </c>
      <c r="G1259" s="1" t="str">
        <f t="shared" si="19"/>
        <v/>
      </c>
    </row>
    <row r="1260" spans="3:7" x14ac:dyDescent="0.3">
      <c r="C1260" t="str">
        <f>IFERROR(IF(B1260="","",VLOOKUP(B1260,CadProd!$A:$B,2,0)),"")</f>
        <v/>
      </c>
      <c r="D1260" t="str">
        <f>IFERROR(IF(B1260="","",VLOOKUP(B1260,CadProd!$A:$C,3,0)),"")</f>
        <v/>
      </c>
      <c r="G1260" s="1" t="str">
        <f t="shared" si="19"/>
        <v/>
      </c>
    </row>
    <row r="1261" spans="3:7" x14ac:dyDescent="0.3">
      <c r="C1261" t="str">
        <f>IFERROR(IF(B1261="","",VLOOKUP(B1261,CadProd!$A:$B,2,0)),"")</f>
        <v/>
      </c>
      <c r="D1261" t="str">
        <f>IFERROR(IF(B1261="","",VLOOKUP(B1261,CadProd!$A:$C,3,0)),"")</f>
        <v/>
      </c>
      <c r="G1261" s="1" t="str">
        <f t="shared" si="19"/>
        <v/>
      </c>
    </row>
    <row r="1262" spans="3:7" x14ac:dyDescent="0.3">
      <c r="C1262" t="str">
        <f>IFERROR(IF(B1262="","",VLOOKUP(B1262,CadProd!$A:$B,2,0)),"")</f>
        <v/>
      </c>
      <c r="D1262" t="str">
        <f>IFERROR(IF(B1262="","",VLOOKUP(B1262,CadProd!$A:$C,3,0)),"")</f>
        <v/>
      </c>
      <c r="G1262" s="1" t="str">
        <f t="shared" si="19"/>
        <v/>
      </c>
    </row>
    <row r="1263" spans="3:7" x14ac:dyDescent="0.3">
      <c r="C1263" t="str">
        <f>IFERROR(IF(B1263="","",VLOOKUP(B1263,CadProd!$A:$B,2,0)),"")</f>
        <v/>
      </c>
      <c r="D1263" t="str">
        <f>IFERROR(IF(B1263="","",VLOOKUP(B1263,CadProd!$A:$C,3,0)),"")</f>
        <v/>
      </c>
      <c r="G1263" s="1" t="str">
        <f t="shared" si="19"/>
        <v/>
      </c>
    </row>
    <row r="1264" spans="3:7" x14ac:dyDescent="0.3">
      <c r="C1264" t="str">
        <f>IFERROR(IF(B1264="","",VLOOKUP(B1264,CadProd!$A:$B,2,0)),"")</f>
        <v/>
      </c>
      <c r="D1264" t="str">
        <f>IFERROR(IF(B1264="","",VLOOKUP(B1264,CadProd!$A:$C,3,0)),"")</f>
        <v/>
      </c>
      <c r="G1264" s="1" t="str">
        <f t="shared" si="19"/>
        <v/>
      </c>
    </row>
    <row r="1265" spans="3:7" x14ac:dyDescent="0.3">
      <c r="C1265" t="str">
        <f>IFERROR(IF(B1265="","",VLOOKUP(B1265,CadProd!$A:$B,2,0)),"")</f>
        <v/>
      </c>
      <c r="D1265" t="str">
        <f>IFERROR(IF(B1265="","",VLOOKUP(B1265,CadProd!$A:$C,3,0)),"")</f>
        <v/>
      </c>
      <c r="G1265" s="1" t="str">
        <f t="shared" si="19"/>
        <v/>
      </c>
    </row>
    <row r="1266" spans="3:7" x14ac:dyDescent="0.3">
      <c r="C1266" t="str">
        <f>IFERROR(IF(B1266="","",VLOOKUP(B1266,CadProd!$A:$B,2,0)),"")</f>
        <v/>
      </c>
      <c r="D1266" t="str">
        <f>IFERROR(IF(B1266="","",VLOOKUP(B1266,CadProd!$A:$C,3,0)),"")</f>
        <v/>
      </c>
      <c r="G1266" s="1" t="str">
        <f t="shared" si="19"/>
        <v/>
      </c>
    </row>
    <row r="1267" spans="3:7" x14ac:dyDescent="0.3">
      <c r="C1267" t="str">
        <f>IFERROR(IF(B1267="","",VLOOKUP(B1267,CadProd!$A:$B,2,0)),"")</f>
        <v/>
      </c>
      <c r="D1267" t="str">
        <f>IFERROR(IF(B1267="","",VLOOKUP(B1267,CadProd!$A:$C,3,0)),"")</f>
        <v/>
      </c>
      <c r="G1267" s="1" t="str">
        <f t="shared" si="19"/>
        <v/>
      </c>
    </row>
    <row r="1268" spans="3:7" x14ac:dyDescent="0.3">
      <c r="C1268" t="str">
        <f>IFERROR(IF(B1268="","",VLOOKUP(B1268,CadProd!$A:$B,2,0)),"")</f>
        <v/>
      </c>
      <c r="D1268" t="str">
        <f>IFERROR(IF(B1268="","",VLOOKUP(B1268,CadProd!$A:$C,3,0)),"")</f>
        <v/>
      </c>
      <c r="G1268" s="1" t="str">
        <f t="shared" si="19"/>
        <v/>
      </c>
    </row>
    <row r="1269" spans="3:7" x14ac:dyDescent="0.3">
      <c r="C1269" t="str">
        <f>IFERROR(IF(B1269="","",VLOOKUP(B1269,CadProd!$A:$B,2,0)),"")</f>
        <v/>
      </c>
      <c r="D1269" t="str">
        <f>IFERROR(IF(B1269="","",VLOOKUP(B1269,CadProd!$A:$C,3,0)),"")</f>
        <v/>
      </c>
      <c r="G1269" s="1" t="str">
        <f t="shared" si="19"/>
        <v/>
      </c>
    </row>
    <row r="1270" spans="3:7" x14ac:dyDescent="0.3">
      <c r="C1270" t="str">
        <f>IFERROR(IF(B1270="","",VLOOKUP(B1270,CadProd!$A:$B,2,0)),"")</f>
        <v/>
      </c>
      <c r="D1270" t="str">
        <f>IFERROR(IF(B1270="","",VLOOKUP(B1270,CadProd!$A:$C,3,0)),"")</f>
        <v/>
      </c>
      <c r="G1270" s="1" t="str">
        <f t="shared" si="19"/>
        <v/>
      </c>
    </row>
    <row r="1271" spans="3:7" x14ac:dyDescent="0.3">
      <c r="C1271" t="str">
        <f>IFERROR(IF(B1271="","",VLOOKUP(B1271,CadProd!$A:$B,2,0)),"")</f>
        <v/>
      </c>
      <c r="D1271" t="str">
        <f>IFERROR(IF(B1271="","",VLOOKUP(B1271,CadProd!$A:$C,3,0)),"")</f>
        <v/>
      </c>
      <c r="G1271" s="1" t="str">
        <f t="shared" si="19"/>
        <v/>
      </c>
    </row>
    <row r="1272" spans="3:7" x14ac:dyDescent="0.3">
      <c r="C1272" t="str">
        <f>IFERROR(IF(B1272="","",VLOOKUP(B1272,CadProd!$A:$B,2,0)),"")</f>
        <v/>
      </c>
      <c r="D1272" t="str">
        <f>IFERROR(IF(B1272="","",VLOOKUP(B1272,CadProd!$A:$C,3,0)),"")</f>
        <v/>
      </c>
      <c r="G1272" s="1" t="str">
        <f t="shared" si="19"/>
        <v/>
      </c>
    </row>
    <row r="1273" spans="3:7" x14ac:dyDescent="0.3">
      <c r="C1273" t="str">
        <f>IFERROR(IF(B1273="","",VLOOKUP(B1273,CadProd!$A:$B,2,0)),"")</f>
        <v/>
      </c>
      <c r="D1273" t="str">
        <f>IFERROR(IF(B1273="","",VLOOKUP(B1273,CadProd!$A:$C,3,0)),"")</f>
        <v/>
      </c>
      <c r="G1273" s="1" t="str">
        <f t="shared" si="19"/>
        <v/>
      </c>
    </row>
    <row r="1274" spans="3:7" x14ac:dyDescent="0.3">
      <c r="C1274" t="str">
        <f>IFERROR(IF(B1274="","",VLOOKUP(B1274,CadProd!$A:$B,2,0)),"")</f>
        <v/>
      </c>
      <c r="D1274" t="str">
        <f>IFERROR(IF(B1274="","",VLOOKUP(B1274,CadProd!$A:$C,3,0)),"")</f>
        <v/>
      </c>
      <c r="G1274" s="1" t="str">
        <f t="shared" si="19"/>
        <v/>
      </c>
    </row>
    <row r="1275" spans="3:7" x14ac:dyDescent="0.3">
      <c r="C1275" t="str">
        <f>IFERROR(IF(B1275="","",VLOOKUP(B1275,CadProd!$A:$B,2,0)),"")</f>
        <v/>
      </c>
      <c r="D1275" t="str">
        <f>IFERROR(IF(B1275="","",VLOOKUP(B1275,CadProd!$A:$C,3,0)),"")</f>
        <v/>
      </c>
      <c r="G1275" s="1" t="str">
        <f t="shared" si="19"/>
        <v/>
      </c>
    </row>
    <row r="1276" spans="3:7" x14ac:dyDescent="0.3">
      <c r="C1276" t="str">
        <f>IFERROR(IF(B1276="","",VLOOKUP(B1276,CadProd!$A:$B,2,0)),"")</f>
        <v/>
      </c>
      <c r="D1276" t="str">
        <f>IFERROR(IF(B1276="","",VLOOKUP(B1276,CadProd!$A:$C,3,0)),"")</f>
        <v/>
      </c>
      <c r="G1276" s="1" t="str">
        <f t="shared" si="19"/>
        <v/>
      </c>
    </row>
    <row r="1277" spans="3:7" x14ac:dyDescent="0.3">
      <c r="C1277" t="str">
        <f>IFERROR(IF(B1277="","",VLOOKUP(B1277,CadProd!$A:$B,2,0)),"")</f>
        <v/>
      </c>
      <c r="D1277" t="str">
        <f>IFERROR(IF(B1277="","",VLOOKUP(B1277,CadProd!$A:$C,3,0)),"")</f>
        <v/>
      </c>
      <c r="G1277" s="1" t="str">
        <f t="shared" si="19"/>
        <v/>
      </c>
    </row>
    <row r="1278" spans="3:7" x14ac:dyDescent="0.3">
      <c r="C1278" t="str">
        <f>IFERROR(IF(B1278="","",VLOOKUP(B1278,CadProd!$A:$B,2,0)),"")</f>
        <v/>
      </c>
      <c r="D1278" t="str">
        <f>IFERROR(IF(B1278="","",VLOOKUP(B1278,CadProd!$A:$C,3,0)),"")</f>
        <v/>
      </c>
      <c r="G1278" s="1" t="str">
        <f t="shared" si="19"/>
        <v/>
      </c>
    </row>
    <row r="1279" spans="3:7" x14ac:dyDescent="0.3">
      <c r="C1279" t="str">
        <f>IFERROR(IF(B1279="","",VLOOKUP(B1279,CadProd!$A:$B,2,0)),"")</f>
        <v/>
      </c>
      <c r="D1279" t="str">
        <f>IFERROR(IF(B1279="","",VLOOKUP(B1279,CadProd!$A:$C,3,0)),"")</f>
        <v/>
      </c>
      <c r="G1279" s="1" t="str">
        <f t="shared" si="19"/>
        <v/>
      </c>
    </row>
    <row r="1280" spans="3:7" x14ac:dyDescent="0.3">
      <c r="C1280" t="str">
        <f>IFERROR(IF(B1280="","",VLOOKUP(B1280,CadProd!$A:$B,2,0)),"")</f>
        <v/>
      </c>
      <c r="D1280" t="str">
        <f>IFERROR(IF(B1280="","",VLOOKUP(B1280,CadProd!$A:$C,3,0)),"")</f>
        <v/>
      </c>
      <c r="G1280" s="1" t="str">
        <f t="shared" si="19"/>
        <v/>
      </c>
    </row>
    <row r="1281" spans="3:7" x14ac:dyDescent="0.3">
      <c r="C1281" t="str">
        <f>IFERROR(IF(B1281="","",VLOOKUP(B1281,CadProd!$A:$B,2,0)),"")</f>
        <v/>
      </c>
      <c r="D1281" t="str">
        <f>IFERROR(IF(B1281="","",VLOOKUP(B1281,CadProd!$A:$C,3,0)),"")</f>
        <v/>
      </c>
      <c r="G1281" s="1" t="str">
        <f t="shared" si="19"/>
        <v/>
      </c>
    </row>
    <row r="1282" spans="3:7" x14ac:dyDescent="0.3">
      <c r="C1282" t="str">
        <f>IFERROR(IF(B1282="","",VLOOKUP(B1282,CadProd!$A:$B,2,0)),"")</f>
        <v/>
      </c>
      <c r="D1282" t="str">
        <f>IFERROR(IF(B1282="","",VLOOKUP(B1282,CadProd!$A:$C,3,0)),"")</f>
        <v/>
      </c>
      <c r="G1282" s="1" t="str">
        <f t="shared" ref="G1282:G1345" si="20">IFERROR(IF(B1282="","",F1282*E1282),"")</f>
        <v/>
      </c>
    </row>
    <row r="1283" spans="3:7" x14ac:dyDescent="0.3">
      <c r="C1283" t="str">
        <f>IFERROR(IF(B1283="","",VLOOKUP(B1283,CadProd!$A:$B,2,0)),"")</f>
        <v/>
      </c>
      <c r="D1283" t="str">
        <f>IFERROR(IF(B1283="","",VLOOKUP(B1283,CadProd!$A:$C,3,0)),"")</f>
        <v/>
      </c>
      <c r="G1283" s="1" t="str">
        <f t="shared" si="20"/>
        <v/>
      </c>
    </row>
    <row r="1284" spans="3:7" x14ac:dyDescent="0.3">
      <c r="C1284" t="str">
        <f>IFERROR(IF(B1284="","",VLOOKUP(B1284,CadProd!$A:$B,2,0)),"")</f>
        <v/>
      </c>
      <c r="D1284" t="str">
        <f>IFERROR(IF(B1284="","",VLOOKUP(B1284,CadProd!$A:$C,3,0)),"")</f>
        <v/>
      </c>
      <c r="G1284" s="1" t="str">
        <f t="shared" si="20"/>
        <v/>
      </c>
    </row>
    <row r="1285" spans="3:7" x14ac:dyDescent="0.3">
      <c r="C1285" t="str">
        <f>IFERROR(IF(B1285="","",VLOOKUP(B1285,CadProd!$A:$B,2,0)),"")</f>
        <v/>
      </c>
      <c r="D1285" t="str">
        <f>IFERROR(IF(B1285="","",VLOOKUP(B1285,CadProd!$A:$C,3,0)),"")</f>
        <v/>
      </c>
      <c r="G1285" s="1" t="str">
        <f t="shared" si="20"/>
        <v/>
      </c>
    </row>
    <row r="1286" spans="3:7" x14ac:dyDescent="0.3">
      <c r="C1286" t="str">
        <f>IFERROR(IF(B1286="","",VLOOKUP(B1286,CadProd!$A:$B,2,0)),"")</f>
        <v/>
      </c>
      <c r="D1286" t="str">
        <f>IFERROR(IF(B1286="","",VLOOKUP(B1286,CadProd!$A:$C,3,0)),"")</f>
        <v/>
      </c>
      <c r="G1286" s="1" t="str">
        <f t="shared" si="20"/>
        <v/>
      </c>
    </row>
    <row r="1287" spans="3:7" x14ac:dyDescent="0.3">
      <c r="C1287" t="str">
        <f>IFERROR(IF(B1287="","",VLOOKUP(B1287,CadProd!$A:$B,2,0)),"")</f>
        <v/>
      </c>
      <c r="D1287" t="str">
        <f>IFERROR(IF(B1287="","",VLOOKUP(B1287,CadProd!$A:$C,3,0)),"")</f>
        <v/>
      </c>
      <c r="G1287" s="1" t="str">
        <f t="shared" si="20"/>
        <v/>
      </c>
    </row>
    <row r="1288" spans="3:7" x14ac:dyDescent="0.3">
      <c r="C1288" t="str">
        <f>IFERROR(IF(B1288="","",VLOOKUP(B1288,CadProd!$A:$B,2,0)),"")</f>
        <v/>
      </c>
      <c r="D1288" t="str">
        <f>IFERROR(IF(B1288="","",VLOOKUP(B1288,CadProd!$A:$C,3,0)),"")</f>
        <v/>
      </c>
      <c r="G1288" s="1" t="str">
        <f t="shared" si="20"/>
        <v/>
      </c>
    </row>
    <row r="1289" spans="3:7" x14ac:dyDescent="0.3">
      <c r="C1289" t="str">
        <f>IFERROR(IF(B1289="","",VLOOKUP(B1289,CadProd!$A:$B,2,0)),"")</f>
        <v/>
      </c>
      <c r="D1289" t="str">
        <f>IFERROR(IF(B1289="","",VLOOKUP(B1289,CadProd!$A:$C,3,0)),"")</f>
        <v/>
      </c>
      <c r="G1289" s="1" t="str">
        <f t="shared" si="20"/>
        <v/>
      </c>
    </row>
    <row r="1290" spans="3:7" x14ac:dyDescent="0.3">
      <c r="C1290" t="str">
        <f>IFERROR(IF(B1290="","",VLOOKUP(B1290,CadProd!$A:$B,2,0)),"")</f>
        <v/>
      </c>
      <c r="D1290" t="str">
        <f>IFERROR(IF(B1290="","",VLOOKUP(B1290,CadProd!$A:$C,3,0)),"")</f>
        <v/>
      </c>
      <c r="G1290" s="1" t="str">
        <f t="shared" si="20"/>
        <v/>
      </c>
    </row>
    <row r="1291" spans="3:7" x14ac:dyDescent="0.3">
      <c r="C1291" t="str">
        <f>IFERROR(IF(B1291="","",VLOOKUP(B1291,CadProd!$A:$B,2,0)),"")</f>
        <v/>
      </c>
      <c r="D1291" t="str">
        <f>IFERROR(IF(B1291="","",VLOOKUP(B1291,CadProd!$A:$C,3,0)),"")</f>
        <v/>
      </c>
      <c r="G1291" s="1" t="str">
        <f t="shared" si="20"/>
        <v/>
      </c>
    </row>
    <row r="1292" spans="3:7" x14ac:dyDescent="0.3">
      <c r="C1292" t="str">
        <f>IFERROR(IF(B1292="","",VLOOKUP(B1292,CadProd!$A:$B,2,0)),"")</f>
        <v/>
      </c>
      <c r="D1292" t="str">
        <f>IFERROR(IF(B1292="","",VLOOKUP(B1292,CadProd!$A:$C,3,0)),"")</f>
        <v/>
      </c>
      <c r="G1292" s="1" t="str">
        <f t="shared" si="20"/>
        <v/>
      </c>
    </row>
    <row r="1293" spans="3:7" x14ac:dyDescent="0.3">
      <c r="C1293" t="str">
        <f>IFERROR(IF(B1293="","",VLOOKUP(B1293,CadProd!$A:$B,2,0)),"")</f>
        <v/>
      </c>
      <c r="D1293" t="str">
        <f>IFERROR(IF(B1293="","",VLOOKUP(B1293,CadProd!$A:$C,3,0)),"")</f>
        <v/>
      </c>
      <c r="G1293" s="1" t="str">
        <f t="shared" si="20"/>
        <v/>
      </c>
    </row>
    <row r="1294" spans="3:7" x14ac:dyDescent="0.3">
      <c r="C1294" t="str">
        <f>IFERROR(IF(B1294="","",VLOOKUP(B1294,CadProd!$A:$B,2,0)),"")</f>
        <v/>
      </c>
      <c r="D1294" t="str">
        <f>IFERROR(IF(B1294="","",VLOOKUP(B1294,CadProd!$A:$C,3,0)),"")</f>
        <v/>
      </c>
      <c r="G1294" s="1" t="str">
        <f t="shared" si="20"/>
        <v/>
      </c>
    </row>
    <row r="1295" spans="3:7" x14ac:dyDescent="0.3">
      <c r="C1295" t="str">
        <f>IFERROR(IF(B1295="","",VLOOKUP(B1295,CadProd!$A:$B,2,0)),"")</f>
        <v/>
      </c>
      <c r="D1295" t="str">
        <f>IFERROR(IF(B1295="","",VLOOKUP(B1295,CadProd!$A:$C,3,0)),"")</f>
        <v/>
      </c>
      <c r="G1295" s="1" t="str">
        <f t="shared" si="20"/>
        <v/>
      </c>
    </row>
    <row r="1296" spans="3:7" x14ac:dyDescent="0.3">
      <c r="C1296" t="str">
        <f>IFERROR(IF(B1296="","",VLOOKUP(B1296,CadProd!$A:$B,2,0)),"")</f>
        <v/>
      </c>
      <c r="D1296" t="str">
        <f>IFERROR(IF(B1296="","",VLOOKUP(B1296,CadProd!$A:$C,3,0)),"")</f>
        <v/>
      </c>
      <c r="G1296" s="1" t="str">
        <f t="shared" si="20"/>
        <v/>
      </c>
    </row>
    <row r="1297" spans="3:7" x14ac:dyDescent="0.3">
      <c r="C1297" t="str">
        <f>IFERROR(IF(B1297="","",VLOOKUP(B1297,CadProd!$A:$B,2,0)),"")</f>
        <v/>
      </c>
      <c r="D1297" t="str">
        <f>IFERROR(IF(B1297="","",VLOOKUP(B1297,CadProd!$A:$C,3,0)),"")</f>
        <v/>
      </c>
      <c r="G1297" s="1" t="str">
        <f t="shared" si="20"/>
        <v/>
      </c>
    </row>
    <row r="1298" spans="3:7" x14ac:dyDescent="0.3">
      <c r="C1298" t="str">
        <f>IFERROR(IF(B1298="","",VLOOKUP(B1298,CadProd!$A:$B,2,0)),"")</f>
        <v/>
      </c>
      <c r="D1298" t="str">
        <f>IFERROR(IF(B1298="","",VLOOKUP(B1298,CadProd!$A:$C,3,0)),"")</f>
        <v/>
      </c>
      <c r="G1298" s="1" t="str">
        <f t="shared" si="20"/>
        <v/>
      </c>
    </row>
    <row r="1299" spans="3:7" x14ac:dyDescent="0.3">
      <c r="C1299" t="str">
        <f>IFERROR(IF(B1299="","",VLOOKUP(B1299,CadProd!$A:$B,2,0)),"")</f>
        <v/>
      </c>
      <c r="D1299" t="str">
        <f>IFERROR(IF(B1299="","",VLOOKUP(B1299,CadProd!$A:$C,3,0)),"")</f>
        <v/>
      </c>
      <c r="G1299" s="1" t="str">
        <f t="shared" si="20"/>
        <v/>
      </c>
    </row>
    <row r="1300" spans="3:7" x14ac:dyDescent="0.3">
      <c r="C1300" t="str">
        <f>IFERROR(IF(B1300="","",VLOOKUP(B1300,CadProd!$A:$B,2,0)),"")</f>
        <v/>
      </c>
      <c r="D1300" t="str">
        <f>IFERROR(IF(B1300="","",VLOOKUP(B1300,CadProd!$A:$C,3,0)),"")</f>
        <v/>
      </c>
      <c r="G1300" s="1" t="str">
        <f t="shared" si="20"/>
        <v/>
      </c>
    </row>
    <row r="1301" spans="3:7" x14ac:dyDescent="0.3">
      <c r="C1301" t="str">
        <f>IFERROR(IF(B1301="","",VLOOKUP(B1301,CadProd!$A:$B,2,0)),"")</f>
        <v/>
      </c>
      <c r="D1301" t="str">
        <f>IFERROR(IF(B1301="","",VLOOKUP(B1301,CadProd!$A:$C,3,0)),"")</f>
        <v/>
      </c>
      <c r="G1301" s="1" t="str">
        <f t="shared" si="20"/>
        <v/>
      </c>
    </row>
    <row r="1302" spans="3:7" x14ac:dyDescent="0.3">
      <c r="C1302" t="str">
        <f>IFERROR(IF(B1302="","",VLOOKUP(B1302,CadProd!$A:$B,2,0)),"")</f>
        <v/>
      </c>
      <c r="D1302" t="str">
        <f>IFERROR(IF(B1302="","",VLOOKUP(B1302,CadProd!$A:$C,3,0)),"")</f>
        <v/>
      </c>
      <c r="G1302" s="1" t="str">
        <f t="shared" si="20"/>
        <v/>
      </c>
    </row>
    <row r="1303" spans="3:7" x14ac:dyDescent="0.3">
      <c r="C1303" t="str">
        <f>IFERROR(IF(B1303="","",VLOOKUP(B1303,CadProd!$A:$B,2,0)),"")</f>
        <v/>
      </c>
      <c r="D1303" t="str">
        <f>IFERROR(IF(B1303="","",VLOOKUP(B1303,CadProd!$A:$C,3,0)),"")</f>
        <v/>
      </c>
      <c r="G1303" s="1" t="str">
        <f t="shared" si="20"/>
        <v/>
      </c>
    </row>
    <row r="1304" spans="3:7" x14ac:dyDescent="0.3">
      <c r="C1304" t="str">
        <f>IFERROR(IF(B1304="","",VLOOKUP(B1304,CadProd!$A:$B,2,0)),"")</f>
        <v/>
      </c>
      <c r="D1304" t="str">
        <f>IFERROR(IF(B1304="","",VLOOKUP(B1304,CadProd!$A:$C,3,0)),"")</f>
        <v/>
      </c>
      <c r="G1304" s="1" t="str">
        <f t="shared" si="20"/>
        <v/>
      </c>
    </row>
    <row r="1305" spans="3:7" x14ac:dyDescent="0.3">
      <c r="C1305" t="str">
        <f>IFERROR(IF(B1305="","",VLOOKUP(B1305,CadProd!$A:$B,2,0)),"")</f>
        <v/>
      </c>
      <c r="D1305" t="str">
        <f>IFERROR(IF(B1305="","",VLOOKUP(B1305,CadProd!$A:$C,3,0)),"")</f>
        <v/>
      </c>
      <c r="G1305" s="1" t="str">
        <f t="shared" si="20"/>
        <v/>
      </c>
    </row>
    <row r="1306" spans="3:7" x14ac:dyDescent="0.3">
      <c r="C1306" t="str">
        <f>IFERROR(IF(B1306="","",VLOOKUP(B1306,CadProd!$A:$B,2,0)),"")</f>
        <v/>
      </c>
      <c r="D1306" t="str">
        <f>IFERROR(IF(B1306="","",VLOOKUP(B1306,CadProd!$A:$C,3,0)),"")</f>
        <v/>
      </c>
      <c r="G1306" s="1" t="str">
        <f t="shared" si="20"/>
        <v/>
      </c>
    </row>
    <row r="1307" spans="3:7" x14ac:dyDescent="0.3">
      <c r="C1307" t="str">
        <f>IFERROR(IF(B1307="","",VLOOKUP(B1307,CadProd!$A:$B,2,0)),"")</f>
        <v/>
      </c>
      <c r="D1307" t="str">
        <f>IFERROR(IF(B1307="","",VLOOKUP(B1307,CadProd!$A:$C,3,0)),"")</f>
        <v/>
      </c>
      <c r="G1307" s="1" t="str">
        <f t="shared" si="20"/>
        <v/>
      </c>
    </row>
    <row r="1308" spans="3:7" x14ac:dyDescent="0.3">
      <c r="C1308" t="str">
        <f>IFERROR(IF(B1308="","",VLOOKUP(B1308,CadProd!$A:$B,2,0)),"")</f>
        <v/>
      </c>
      <c r="D1308" t="str">
        <f>IFERROR(IF(B1308="","",VLOOKUP(B1308,CadProd!$A:$C,3,0)),"")</f>
        <v/>
      </c>
      <c r="G1308" s="1" t="str">
        <f t="shared" si="20"/>
        <v/>
      </c>
    </row>
    <row r="1309" spans="3:7" x14ac:dyDescent="0.3">
      <c r="C1309" t="str">
        <f>IFERROR(IF(B1309="","",VLOOKUP(B1309,CadProd!$A:$B,2,0)),"")</f>
        <v/>
      </c>
      <c r="D1309" t="str">
        <f>IFERROR(IF(B1309="","",VLOOKUP(B1309,CadProd!$A:$C,3,0)),"")</f>
        <v/>
      </c>
      <c r="G1309" s="1" t="str">
        <f t="shared" si="20"/>
        <v/>
      </c>
    </row>
    <row r="1310" spans="3:7" x14ac:dyDescent="0.3">
      <c r="C1310" t="str">
        <f>IFERROR(IF(B1310="","",VLOOKUP(B1310,CadProd!$A:$B,2,0)),"")</f>
        <v/>
      </c>
      <c r="D1310" t="str">
        <f>IFERROR(IF(B1310="","",VLOOKUP(B1310,CadProd!$A:$C,3,0)),"")</f>
        <v/>
      </c>
      <c r="G1310" s="1" t="str">
        <f t="shared" si="20"/>
        <v/>
      </c>
    </row>
    <row r="1311" spans="3:7" x14ac:dyDescent="0.3">
      <c r="C1311" t="str">
        <f>IFERROR(IF(B1311="","",VLOOKUP(B1311,CadProd!$A:$B,2,0)),"")</f>
        <v/>
      </c>
      <c r="D1311" t="str">
        <f>IFERROR(IF(B1311="","",VLOOKUP(B1311,CadProd!$A:$C,3,0)),"")</f>
        <v/>
      </c>
      <c r="G1311" s="1" t="str">
        <f t="shared" si="20"/>
        <v/>
      </c>
    </row>
    <row r="1312" spans="3:7" x14ac:dyDescent="0.3">
      <c r="C1312" t="str">
        <f>IFERROR(IF(B1312="","",VLOOKUP(B1312,CadProd!$A:$B,2,0)),"")</f>
        <v/>
      </c>
      <c r="D1312" t="str">
        <f>IFERROR(IF(B1312="","",VLOOKUP(B1312,CadProd!$A:$C,3,0)),"")</f>
        <v/>
      </c>
      <c r="G1312" s="1" t="str">
        <f t="shared" si="20"/>
        <v/>
      </c>
    </row>
    <row r="1313" spans="3:7" x14ac:dyDescent="0.3">
      <c r="C1313" t="str">
        <f>IFERROR(IF(B1313="","",VLOOKUP(B1313,CadProd!$A:$B,2,0)),"")</f>
        <v/>
      </c>
      <c r="D1313" t="str">
        <f>IFERROR(IF(B1313="","",VLOOKUP(B1313,CadProd!$A:$C,3,0)),"")</f>
        <v/>
      </c>
      <c r="G1313" s="1" t="str">
        <f t="shared" si="20"/>
        <v/>
      </c>
    </row>
    <row r="1314" spans="3:7" x14ac:dyDescent="0.3">
      <c r="C1314" t="str">
        <f>IFERROR(IF(B1314="","",VLOOKUP(B1314,CadProd!$A:$B,2,0)),"")</f>
        <v/>
      </c>
      <c r="D1314" t="str">
        <f>IFERROR(IF(B1314="","",VLOOKUP(B1314,CadProd!$A:$C,3,0)),"")</f>
        <v/>
      </c>
      <c r="G1314" s="1" t="str">
        <f t="shared" si="20"/>
        <v/>
      </c>
    </row>
    <row r="1315" spans="3:7" x14ac:dyDescent="0.3">
      <c r="C1315" t="str">
        <f>IFERROR(IF(B1315="","",VLOOKUP(B1315,CadProd!$A:$B,2,0)),"")</f>
        <v/>
      </c>
      <c r="D1315" t="str">
        <f>IFERROR(IF(B1315="","",VLOOKUP(B1315,CadProd!$A:$C,3,0)),"")</f>
        <v/>
      </c>
      <c r="G1315" s="1" t="str">
        <f t="shared" si="20"/>
        <v/>
      </c>
    </row>
    <row r="1316" spans="3:7" x14ac:dyDescent="0.3">
      <c r="C1316" t="str">
        <f>IFERROR(IF(B1316="","",VLOOKUP(B1316,CadProd!$A:$B,2,0)),"")</f>
        <v/>
      </c>
      <c r="D1316" t="str">
        <f>IFERROR(IF(B1316="","",VLOOKUP(B1316,CadProd!$A:$C,3,0)),"")</f>
        <v/>
      </c>
      <c r="G1316" s="1" t="str">
        <f t="shared" si="20"/>
        <v/>
      </c>
    </row>
    <row r="1317" spans="3:7" x14ac:dyDescent="0.3">
      <c r="C1317" t="str">
        <f>IFERROR(IF(B1317="","",VLOOKUP(B1317,CadProd!$A:$B,2,0)),"")</f>
        <v/>
      </c>
      <c r="D1317" t="str">
        <f>IFERROR(IF(B1317="","",VLOOKUP(B1317,CadProd!$A:$C,3,0)),"")</f>
        <v/>
      </c>
      <c r="G1317" s="1" t="str">
        <f t="shared" si="20"/>
        <v/>
      </c>
    </row>
    <row r="1318" spans="3:7" x14ac:dyDescent="0.3">
      <c r="C1318" t="str">
        <f>IFERROR(IF(B1318="","",VLOOKUP(B1318,CadProd!$A:$B,2,0)),"")</f>
        <v/>
      </c>
      <c r="D1318" t="str">
        <f>IFERROR(IF(B1318="","",VLOOKUP(B1318,CadProd!$A:$C,3,0)),"")</f>
        <v/>
      </c>
      <c r="G1318" s="1" t="str">
        <f t="shared" si="20"/>
        <v/>
      </c>
    </row>
    <row r="1319" spans="3:7" x14ac:dyDescent="0.3">
      <c r="C1319" t="str">
        <f>IFERROR(IF(B1319="","",VLOOKUP(B1319,CadProd!$A:$B,2,0)),"")</f>
        <v/>
      </c>
      <c r="D1319" t="str">
        <f>IFERROR(IF(B1319="","",VLOOKUP(B1319,CadProd!$A:$C,3,0)),"")</f>
        <v/>
      </c>
      <c r="G1319" s="1" t="str">
        <f t="shared" si="20"/>
        <v/>
      </c>
    </row>
    <row r="1320" spans="3:7" x14ac:dyDescent="0.3">
      <c r="C1320" t="str">
        <f>IFERROR(IF(B1320="","",VLOOKUP(B1320,CadProd!$A:$B,2,0)),"")</f>
        <v/>
      </c>
      <c r="D1320" t="str">
        <f>IFERROR(IF(B1320="","",VLOOKUP(B1320,CadProd!$A:$C,3,0)),"")</f>
        <v/>
      </c>
      <c r="G1320" s="1" t="str">
        <f t="shared" si="20"/>
        <v/>
      </c>
    </row>
    <row r="1321" spans="3:7" x14ac:dyDescent="0.3">
      <c r="C1321" t="str">
        <f>IFERROR(IF(B1321="","",VLOOKUP(B1321,CadProd!$A:$B,2,0)),"")</f>
        <v/>
      </c>
      <c r="D1321" t="str">
        <f>IFERROR(IF(B1321="","",VLOOKUP(B1321,CadProd!$A:$C,3,0)),"")</f>
        <v/>
      </c>
      <c r="G1321" s="1" t="str">
        <f t="shared" si="20"/>
        <v/>
      </c>
    </row>
    <row r="1322" spans="3:7" x14ac:dyDescent="0.3">
      <c r="C1322" t="str">
        <f>IFERROR(IF(B1322="","",VLOOKUP(B1322,CadProd!$A:$B,2,0)),"")</f>
        <v/>
      </c>
      <c r="D1322" t="str">
        <f>IFERROR(IF(B1322="","",VLOOKUP(B1322,CadProd!$A:$C,3,0)),"")</f>
        <v/>
      </c>
      <c r="G1322" s="1" t="str">
        <f t="shared" si="20"/>
        <v/>
      </c>
    </row>
    <row r="1323" spans="3:7" x14ac:dyDescent="0.3">
      <c r="C1323" t="str">
        <f>IFERROR(IF(B1323="","",VLOOKUP(B1323,CadProd!$A:$B,2,0)),"")</f>
        <v/>
      </c>
      <c r="D1323" t="str">
        <f>IFERROR(IF(B1323="","",VLOOKUP(B1323,CadProd!$A:$C,3,0)),"")</f>
        <v/>
      </c>
      <c r="G1323" s="1" t="str">
        <f t="shared" si="20"/>
        <v/>
      </c>
    </row>
    <row r="1324" spans="3:7" x14ac:dyDescent="0.3">
      <c r="C1324" t="str">
        <f>IFERROR(IF(B1324="","",VLOOKUP(B1324,CadProd!$A:$B,2,0)),"")</f>
        <v/>
      </c>
      <c r="D1324" t="str">
        <f>IFERROR(IF(B1324="","",VLOOKUP(B1324,CadProd!$A:$C,3,0)),"")</f>
        <v/>
      </c>
      <c r="G1324" s="1" t="str">
        <f t="shared" si="20"/>
        <v/>
      </c>
    </row>
    <row r="1325" spans="3:7" x14ac:dyDescent="0.3">
      <c r="C1325" t="str">
        <f>IFERROR(IF(B1325="","",VLOOKUP(B1325,CadProd!$A:$B,2,0)),"")</f>
        <v/>
      </c>
      <c r="D1325" t="str">
        <f>IFERROR(IF(B1325="","",VLOOKUP(B1325,CadProd!$A:$C,3,0)),"")</f>
        <v/>
      </c>
      <c r="G1325" s="1" t="str">
        <f t="shared" si="20"/>
        <v/>
      </c>
    </row>
    <row r="1326" spans="3:7" x14ac:dyDescent="0.3">
      <c r="C1326" t="str">
        <f>IFERROR(IF(B1326="","",VLOOKUP(B1326,CadProd!$A:$B,2,0)),"")</f>
        <v/>
      </c>
      <c r="D1326" t="str">
        <f>IFERROR(IF(B1326="","",VLOOKUP(B1326,CadProd!$A:$C,3,0)),"")</f>
        <v/>
      </c>
      <c r="G1326" s="1" t="str">
        <f t="shared" si="20"/>
        <v/>
      </c>
    </row>
    <row r="1327" spans="3:7" x14ac:dyDescent="0.3">
      <c r="C1327" t="str">
        <f>IFERROR(IF(B1327="","",VLOOKUP(B1327,CadProd!$A:$B,2,0)),"")</f>
        <v/>
      </c>
      <c r="D1327" t="str">
        <f>IFERROR(IF(B1327="","",VLOOKUP(B1327,CadProd!$A:$C,3,0)),"")</f>
        <v/>
      </c>
      <c r="G1327" s="1" t="str">
        <f t="shared" si="20"/>
        <v/>
      </c>
    </row>
    <row r="1328" spans="3:7" x14ac:dyDescent="0.3">
      <c r="C1328" t="str">
        <f>IFERROR(IF(B1328="","",VLOOKUP(B1328,CadProd!$A:$B,2,0)),"")</f>
        <v/>
      </c>
      <c r="D1328" t="str">
        <f>IFERROR(IF(B1328="","",VLOOKUP(B1328,CadProd!$A:$C,3,0)),"")</f>
        <v/>
      </c>
      <c r="G1328" s="1" t="str">
        <f t="shared" si="20"/>
        <v/>
      </c>
    </row>
    <row r="1329" spans="3:7" x14ac:dyDescent="0.3">
      <c r="C1329" t="str">
        <f>IFERROR(IF(B1329="","",VLOOKUP(B1329,CadProd!$A:$B,2,0)),"")</f>
        <v/>
      </c>
      <c r="D1329" t="str">
        <f>IFERROR(IF(B1329="","",VLOOKUP(B1329,CadProd!$A:$C,3,0)),"")</f>
        <v/>
      </c>
      <c r="G1329" s="1" t="str">
        <f t="shared" si="20"/>
        <v/>
      </c>
    </row>
    <row r="1330" spans="3:7" x14ac:dyDescent="0.3">
      <c r="C1330" t="str">
        <f>IFERROR(IF(B1330="","",VLOOKUP(B1330,CadProd!$A:$B,2,0)),"")</f>
        <v/>
      </c>
      <c r="D1330" t="str">
        <f>IFERROR(IF(B1330="","",VLOOKUP(B1330,CadProd!$A:$C,3,0)),"")</f>
        <v/>
      </c>
      <c r="G1330" s="1" t="str">
        <f t="shared" si="20"/>
        <v/>
      </c>
    </row>
    <row r="1331" spans="3:7" x14ac:dyDescent="0.3">
      <c r="C1331" t="str">
        <f>IFERROR(IF(B1331="","",VLOOKUP(B1331,CadProd!$A:$B,2,0)),"")</f>
        <v/>
      </c>
      <c r="D1331" t="str">
        <f>IFERROR(IF(B1331="","",VLOOKUP(B1331,CadProd!$A:$C,3,0)),"")</f>
        <v/>
      </c>
      <c r="G1331" s="1" t="str">
        <f t="shared" si="20"/>
        <v/>
      </c>
    </row>
    <row r="1332" spans="3:7" x14ac:dyDescent="0.3">
      <c r="C1332" t="str">
        <f>IFERROR(IF(B1332="","",VLOOKUP(B1332,CadProd!$A:$B,2,0)),"")</f>
        <v/>
      </c>
      <c r="D1332" t="str">
        <f>IFERROR(IF(B1332="","",VLOOKUP(B1332,CadProd!$A:$C,3,0)),"")</f>
        <v/>
      </c>
      <c r="G1332" s="1" t="str">
        <f t="shared" si="20"/>
        <v/>
      </c>
    </row>
    <row r="1333" spans="3:7" x14ac:dyDescent="0.3">
      <c r="C1333" t="str">
        <f>IFERROR(IF(B1333="","",VLOOKUP(B1333,CadProd!$A:$B,2,0)),"")</f>
        <v/>
      </c>
      <c r="D1333" t="str">
        <f>IFERROR(IF(B1333="","",VLOOKUP(B1333,CadProd!$A:$C,3,0)),"")</f>
        <v/>
      </c>
      <c r="G1333" s="1" t="str">
        <f t="shared" si="20"/>
        <v/>
      </c>
    </row>
    <row r="1334" spans="3:7" x14ac:dyDescent="0.3">
      <c r="C1334" t="str">
        <f>IFERROR(IF(B1334="","",VLOOKUP(B1334,CadProd!$A:$B,2,0)),"")</f>
        <v/>
      </c>
      <c r="D1334" t="str">
        <f>IFERROR(IF(B1334="","",VLOOKUP(B1334,CadProd!$A:$C,3,0)),"")</f>
        <v/>
      </c>
      <c r="G1334" s="1" t="str">
        <f t="shared" si="20"/>
        <v/>
      </c>
    </row>
    <row r="1335" spans="3:7" x14ac:dyDescent="0.3">
      <c r="C1335" t="str">
        <f>IFERROR(IF(B1335="","",VLOOKUP(B1335,CadProd!$A:$B,2,0)),"")</f>
        <v/>
      </c>
      <c r="D1335" t="str">
        <f>IFERROR(IF(B1335="","",VLOOKUP(B1335,CadProd!$A:$C,3,0)),"")</f>
        <v/>
      </c>
      <c r="G1335" s="1" t="str">
        <f t="shared" si="20"/>
        <v/>
      </c>
    </row>
    <row r="1336" spans="3:7" x14ac:dyDescent="0.3">
      <c r="C1336" t="str">
        <f>IFERROR(IF(B1336="","",VLOOKUP(B1336,CadProd!$A:$B,2,0)),"")</f>
        <v/>
      </c>
      <c r="D1336" t="str">
        <f>IFERROR(IF(B1336="","",VLOOKUP(B1336,CadProd!$A:$C,3,0)),"")</f>
        <v/>
      </c>
      <c r="G1336" s="1" t="str">
        <f t="shared" si="20"/>
        <v/>
      </c>
    </row>
    <row r="1337" spans="3:7" x14ac:dyDescent="0.3">
      <c r="C1337" t="str">
        <f>IFERROR(IF(B1337="","",VLOOKUP(B1337,CadProd!$A:$B,2,0)),"")</f>
        <v/>
      </c>
      <c r="D1337" t="str">
        <f>IFERROR(IF(B1337="","",VLOOKUP(B1337,CadProd!$A:$C,3,0)),"")</f>
        <v/>
      </c>
      <c r="G1337" s="1" t="str">
        <f t="shared" si="20"/>
        <v/>
      </c>
    </row>
    <row r="1338" spans="3:7" x14ac:dyDescent="0.3">
      <c r="C1338" t="str">
        <f>IFERROR(IF(B1338="","",VLOOKUP(B1338,CadProd!$A:$B,2,0)),"")</f>
        <v/>
      </c>
      <c r="D1338" t="str">
        <f>IFERROR(IF(B1338="","",VLOOKUP(B1338,CadProd!$A:$C,3,0)),"")</f>
        <v/>
      </c>
      <c r="G1338" s="1" t="str">
        <f t="shared" si="20"/>
        <v/>
      </c>
    </row>
    <row r="1339" spans="3:7" x14ac:dyDescent="0.3">
      <c r="C1339" t="str">
        <f>IFERROR(IF(B1339="","",VLOOKUP(B1339,CadProd!$A:$B,2,0)),"")</f>
        <v/>
      </c>
      <c r="D1339" t="str">
        <f>IFERROR(IF(B1339="","",VLOOKUP(B1339,CadProd!$A:$C,3,0)),"")</f>
        <v/>
      </c>
      <c r="G1339" s="1" t="str">
        <f t="shared" si="20"/>
        <v/>
      </c>
    </row>
    <row r="1340" spans="3:7" x14ac:dyDescent="0.3">
      <c r="C1340" t="str">
        <f>IFERROR(IF(B1340="","",VLOOKUP(B1340,CadProd!$A:$B,2,0)),"")</f>
        <v/>
      </c>
      <c r="D1340" t="str">
        <f>IFERROR(IF(B1340="","",VLOOKUP(B1340,CadProd!$A:$C,3,0)),"")</f>
        <v/>
      </c>
      <c r="G1340" s="1" t="str">
        <f t="shared" si="20"/>
        <v/>
      </c>
    </row>
    <row r="1341" spans="3:7" x14ac:dyDescent="0.3">
      <c r="C1341" t="str">
        <f>IFERROR(IF(B1341="","",VLOOKUP(B1341,CadProd!$A:$B,2,0)),"")</f>
        <v/>
      </c>
      <c r="D1341" t="str">
        <f>IFERROR(IF(B1341="","",VLOOKUP(B1341,CadProd!$A:$C,3,0)),"")</f>
        <v/>
      </c>
      <c r="G1341" s="1" t="str">
        <f t="shared" si="20"/>
        <v/>
      </c>
    </row>
    <row r="1342" spans="3:7" x14ac:dyDescent="0.3">
      <c r="C1342" t="str">
        <f>IFERROR(IF(B1342="","",VLOOKUP(B1342,CadProd!$A:$B,2,0)),"")</f>
        <v/>
      </c>
      <c r="D1342" t="str">
        <f>IFERROR(IF(B1342="","",VLOOKUP(B1342,CadProd!$A:$C,3,0)),"")</f>
        <v/>
      </c>
      <c r="G1342" s="1" t="str">
        <f t="shared" si="20"/>
        <v/>
      </c>
    </row>
    <row r="1343" spans="3:7" x14ac:dyDescent="0.3">
      <c r="C1343" t="str">
        <f>IFERROR(IF(B1343="","",VLOOKUP(B1343,CadProd!$A:$B,2,0)),"")</f>
        <v/>
      </c>
      <c r="D1343" t="str">
        <f>IFERROR(IF(B1343="","",VLOOKUP(B1343,CadProd!$A:$C,3,0)),"")</f>
        <v/>
      </c>
      <c r="G1343" s="1" t="str">
        <f t="shared" si="20"/>
        <v/>
      </c>
    </row>
    <row r="1344" spans="3:7" x14ac:dyDescent="0.3">
      <c r="C1344" t="str">
        <f>IFERROR(IF(B1344="","",VLOOKUP(B1344,CadProd!$A:$B,2,0)),"")</f>
        <v/>
      </c>
      <c r="D1344" t="str">
        <f>IFERROR(IF(B1344="","",VLOOKUP(B1344,CadProd!$A:$C,3,0)),"")</f>
        <v/>
      </c>
      <c r="G1344" s="1" t="str">
        <f t="shared" si="20"/>
        <v/>
      </c>
    </row>
    <row r="1345" spans="3:7" x14ac:dyDescent="0.3">
      <c r="C1345" t="str">
        <f>IFERROR(IF(B1345="","",VLOOKUP(B1345,CadProd!$A:$B,2,0)),"")</f>
        <v/>
      </c>
      <c r="D1345" t="str">
        <f>IFERROR(IF(B1345="","",VLOOKUP(B1345,CadProd!$A:$C,3,0)),"")</f>
        <v/>
      </c>
      <c r="G1345" s="1" t="str">
        <f t="shared" si="20"/>
        <v/>
      </c>
    </row>
    <row r="1346" spans="3:7" x14ac:dyDescent="0.3">
      <c r="C1346" t="str">
        <f>IFERROR(IF(B1346="","",VLOOKUP(B1346,CadProd!$A:$B,2,0)),"")</f>
        <v/>
      </c>
      <c r="D1346" t="str">
        <f>IFERROR(IF(B1346="","",VLOOKUP(B1346,CadProd!$A:$C,3,0)),"")</f>
        <v/>
      </c>
      <c r="G1346" s="1" t="str">
        <f t="shared" ref="G1346:G1409" si="21">IFERROR(IF(B1346="","",F1346*E1346),"")</f>
        <v/>
      </c>
    </row>
    <row r="1347" spans="3:7" x14ac:dyDescent="0.3">
      <c r="C1347" t="str">
        <f>IFERROR(IF(B1347="","",VLOOKUP(B1347,CadProd!$A:$B,2,0)),"")</f>
        <v/>
      </c>
      <c r="D1347" t="str">
        <f>IFERROR(IF(B1347="","",VLOOKUP(B1347,CadProd!$A:$C,3,0)),"")</f>
        <v/>
      </c>
      <c r="G1347" s="1" t="str">
        <f t="shared" si="21"/>
        <v/>
      </c>
    </row>
    <row r="1348" spans="3:7" x14ac:dyDescent="0.3">
      <c r="C1348" t="str">
        <f>IFERROR(IF(B1348="","",VLOOKUP(B1348,CadProd!$A:$B,2,0)),"")</f>
        <v/>
      </c>
      <c r="D1348" t="str">
        <f>IFERROR(IF(B1348="","",VLOOKUP(B1348,CadProd!$A:$C,3,0)),"")</f>
        <v/>
      </c>
      <c r="G1348" s="1" t="str">
        <f t="shared" si="21"/>
        <v/>
      </c>
    </row>
    <row r="1349" spans="3:7" x14ac:dyDescent="0.3">
      <c r="C1349" t="str">
        <f>IFERROR(IF(B1349="","",VLOOKUP(B1349,CadProd!$A:$B,2,0)),"")</f>
        <v/>
      </c>
      <c r="D1349" t="str">
        <f>IFERROR(IF(B1349="","",VLOOKUP(B1349,CadProd!$A:$C,3,0)),"")</f>
        <v/>
      </c>
      <c r="G1349" s="1" t="str">
        <f t="shared" si="21"/>
        <v/>
      </c>
    </row>
    <row r="1350" spans="3:7" x14ac:dyDescent="0.3">
      <c r="C1350" t="str">
        <f>IFERROR(IF(B1350="","",VLOOKUP(B1350,CadProd!$A:$B,2,0)),"")</f>
        <v/>
      </c>
      <c r="D1350" t="str">
        <f>IFERROR(IF(B1350="","",VLOOKUP(B1350,CadProd!$A:$C,3,0)),"")</f>
        <v/>
      </c>
      <c r="G1350" s="1" t="str">
        <f t="shared" si="21"/>
        <v/>
      </c>
    </row>
    <row r="1351" spans="3:7" x14ac:dyDescent="0.3">
      <c r="C1351" t="str">
        <f>IFERROR(IF(B1351="","",VLOOKUP(B1351,CadProd!$A:$B,2,0)),"")</f>
        <v/>
      </c>
      <c r="D1351" t="str">
        <f>IFERROR(IF(B1351="","",VLOOKUP(B1351,CadProd!$A:$C,3,0)),"")</f>
        <v/>
      </c>
      <c r="G1351" s="1" t="str">
        <f t="shared" si="21"/>
        <v/>
      </c>
    </row>
    <row r="1352" spans="3:7" x14ac:dyDescent="0.3">
      <c r="C1352" t="str">
        <f>IFERROR(IF(B1352="","",VLOOKUP(B1352,CadProd!$A:$B,2,0)),"")</f>
        <v/>
      </c>
      <c r="D1352" t="str">
        <f>IFERROR(IF(B1352="","",VLOOKUP(B1352,CadProd!$A:$C,3,0)),"")</f>
        <v/>
      </c>
      <c r="G1352" s="1" t="str">
        <f t="shared" si="21"/>
        <v/>
      </c>
    </row>
    <row r="1353" spans="3:7" x14ac:dyDescent="0.3">
      <c r="C1353" t="str">
        <f>IFERROR(IF(B1353="","",VLOOKUP(B1353,CadProd!$A:$B,2,0)),"")</f>
        <v/>
      </c>
      <c r="D1353" t="str">
        <f>IFERROR(IF(B1353="","",VLOOKUP(B1353,CadProd!$A:$C,3,0)),"")</f>
        <v/>
      </c>
      <c r="G1353" s="1" t="str">
        <f t="shared" si="21"/>
        <v/>
      </c>
    </row>
    <row r="1354" spans="3:7" x14ac:dyDescent="0.3">
      <c r="C1354" t="str">
        <f>IFERROR(IF(B1354="","",VLOOKUP(B1354,CadProd!$A:$B,2,0)),"")</f>
        <v/>
      </c>
      <c r="D1354" t="str">
        <f>IFERROR(IF(B1354="","",VLOOKUP(B1354,CadProd!$A:$C,3,0)),"")</f>
        <v/>
      </c>
      <c r="G1354" s="1" t="str">
        <f t="shared" si="21"/>
        <v/>
      </c>
    </row>
    <row r="1355" spans="3:7" x14ac:dyDescent="0.3">
      <c r="C1355" t="str">
        <f>IFERROR(IF(B1355="","",VLOOKUP(B1355,CadProd!$A:$B,2,0)),"")</f>
        <v/>
      </c>
      <c r="D1355" t="str">
        <f>IFERROR(IF(B1355="","",VLOOKUP(B1355,CadProd!$A:$C,3,0)),"")</f>
        <v/>
      </c>
      <c r="G1355" s="1" t="str">
        <f t="shared" si="21"/>
        <v/>
      </c>
    </row>
    <row r="1356" spans="3:7" x14ac:dyDescent="0.3">
      <c r="C1356" t="str">
        <f>IFERROR(IF(B1356="","",VLOOKUP(B1356,CadProd!$A:$B,2,0)),"")</f>
        <v/>
      </c>
      <c r="D1356" t="str">
        <f>IFERROR(IF(B1356="","",VLOOKUP(B1356,CadProd!$A:$C,3,0)),"")</f>
        <v/>
      </c>
      <c r="G1356" s="1" t="str">
        <f t="shared" si="21"/>
        <v/>
      </c>
    </row>
    <row r="1357" spans="3:7" x14ac:dyDescent="0.3">
      <c r="C1357" t="str">
        <f>IFERROR(IF(B1357="","",VLOOKUP(B1357,CadProd!$A:$B,2,0)),"")</f>
        <v/>
      </c>
      <c r="D1357" t="str">
        <f>IFERROR(IF(B1357="","",VLOOKUP(B1357,CadProd!$A:$C,3,0)),"")</f>
        <v/>
      </c>
      <c r="G1357" s="1" t="str">
        <f t="shared" si="21"/>
        <v/>
      </c>
    </row>
    <row r="1358" spans="3:7" x14ac:dyDescent="0.3">
      <c r="C1358" t="str">
        <f>IFERROR(IF(B1358="","",VLOOKUP(B1358,CadProd!$A:$B,2,0)),"")</f>
        <v/>
      </c>
      <c r="D1358" t="str">
        <f>IFERROR(IF(B1358="","",VLOOKUP(B1358,CadProd!$A:$C,3,0)),"")</f>
        <v/>
      </c>
      <c r="G1358" s="1" t="str">
        <f t="shared" si="21"/>
        <v/>
      </c>
    </row>
    <row r="1359" spans="3:7" x14ac:dyDescent="0.3">
      <c r="C1359" t="str">
        <f>IFERROR(IF(B1359="","",VLOOKUP(B1359,CadProd!$A:$B,2,0)),"")</f>
        <v/>
      </c>
      <c r="D1359" t="str">
        <f>IFERROR(IF(B1359="","",VLOOKUP(B1359,CadProd!$A:$C,3,0)),"")</f>
        <v/>
      </c>
      <c r="G1359" s="1" t="str">
        <f t="shared" si="21"/>
        <v/>
      </c>
    </row>
    <row r="1360" spans="3:7" x14ac:dyDescent="0.3">
      <c r="C1360" t="str">
        <f>IFERROR(IF(B1360="","",VLOOKUP(B1360,CadProd!$A:$B,2,0)),"")</f>
        <v/>
      </c>
      <c r="D1360" t="str">
        <f>IFERROR(IF(B1360="","",VLOOKUP(B1360,CadProd!$A:$C,3,0)),"")</f>
        <v/>
      </c>
      <c r="G1360" s="1" t="str">
        <f t="shared" si="21"/>
        <v/>
      </c>
    </row>
    <row r="1361" spans="3:7" x14ac:dyDescent="0.3">
      <c r="C1361" t="str">
        <f>IFERROR(IF(B1361="","",VLOOKUP(B1361,CadProd!$A:$B,2,0)),"")</f>
        <v/>
      </c>
      <c r="D1361" t="str">
        <f>IFERROR(IF(B1361="","",VLOOKUP(B1361,CadProd!$A:$C,3,0)),"")</f>
        <v/>
      </c>
      <c r="G1361" s="1" t="str">
        <f t="shared" si="21"/>
        <v/>
      </c>
    </row>
    <row r="1362" spans="3:7" x14ac:dyDescent="0.3">
      <c r="C1362" t="str">
        <f>IFERROR(IF(B1362="","",VLOOKUP(B1362,CadProd!$A:$B,2,0)),"")</f>
        <v/>
      </c>
      <c r="D1362" t="str">
        <f>IFERROR(IF(B1362="","",VLOOKUP(B1362,CadProd!$A:$C,3,0)),"")</f>
        <v/>
      </c>
      <c r="G1362" s="1" t="str">
        <f t="shared" si="21"/>
        <v/>
      </c>
    </row>
    <row r="1363" spans="3:7" x14ac:dyDescent="0.3">
      <c r="C1363" t="str">
        <f>IFERROR(IF(B1363="","",VLOOKUP(B1363,CadProd!$A:$B,2,0)),"")</f>
        <v/>
      </c>
      <c r="D1363" t="str">
        <f>IFERROR(IF(B1363="","",VLOOKUP(B1363,CadProd!$A:$C,3,0)),"")</f>
        <v/>
      </c>
      <c r="G1363" s="1" t="str">
        <f t="shared" si="21"/>
        <v/>
      </c>
    </row>
    <row r="1364" spans="3:7" x14ac:dyDescent="0.3">
      <c r="C1364" t="str">
        <f>IFERROR(IF(B1364="","",VLOOKUP(B1364,CadProd!$A:$B,2,0)),"")</f>
        <v/>
      </c>
      <c r="D1364" t="str">
        <f>IFERROR(IF(B1364="","",VLOOKUP(B1364,CadProd!$A:$C,3,0)),"")</f>
        <v/>
      </c>
      <c r="G1364" s="1" t="str">
        <f t="shared" si="21"/>
        <v/>
      </c>
    </row>
    <row r="1365" spans="3:7" x14ac:dyDescent="0.3">
      <c r="C1365" t="str">
        <f>IFERROR(IF(B1365="","",VLOOKUP(B1365,CadProd!$A:$B,2,0)),"")</f>
        <v/>
      </c>
      <c r="D1365" t="str">
        <f>IFERROR(IF(B1365="","",VLOOKUP(B1365,CadProd!$A:$C,3,0)),"")</f>
        <v/>
      </c>
      <c r="G1365" s="1" t="str">
        <f t="shared" si="21"/>
        <v/>
      </c>
    </row>
    <row r="1366" spans="3:7" x14ac:dyDescent="0.3">
      <c r="C1366" t="str">
        <f>IFERROR(IF(B1366="","",VLOOKUP(B1366,CadProd!$A:$B,2,0)),"")</f>
        <v/>
      </c>
      <c r="D1366" t="str">
        <f>IFERROR(IF(B1366="","",VLOOKUP(B1366,CadProd!$A:$C,3,0)),"")</f>
        <v/>
      </c>
      <c r="G1366" s="1" t="str">
        <f t="shared" si="21"/>
        <v/>
      </c>
    </row>
    <row r="1367" spans="3:7" x14ac:dyDescent="0.3">
      <c r="C1367" t="str">
        <f>IFERROR(IF(B1367="","",VLOOKUP(B1367,CadProd!$A:$B,2,0)),"")</f>
        <v/>
      </c>
      <c r="D1367" t="str">
        <f>IFERROR(IF(B1367="","",VLOOKUP(B1367,CadProd!$A:$C,3,0)),"")</f>
        <v/>
      </c>
      <c r="G1367" s="1" t="str">
        <f t="shared" si="21"/>
        <v/>
      </c>
    </row>
    <row r="1368" spans="3:7" x14ac:dyDescent="0.3">
      <c r="C1368" t="str">
        <f>IFERROR(IF(B1368="","",VLOOKUP(B1368,CadProd!$A:$B,2,0)),"")</f>
        <v/>
      </c>
      <c r="D1368" t="str">
        <f>IFERROR(IF(B1368="","",VLOOKUP(B1368,CadProd!$A:$C,3,0)),"")</f>
        <v/>
      </c>
      <c r="G1368" s="1" t="str">
        <f t="shared" si="21"/>
        <v/>
      </c>
    </row>
    <row r="1369" spans="3:7" x14ac:dyDescent="0.3">
      <c r="C1369" t="str">
        <f>IFERROR(IF(B1369="","",VLOOKUP(B1369,CadProd!$A:$B,2,0)),"")</f>
        <v/>
      </c>
      <c r="D1369" t="str">
        <f>IFERROR(IF(B1369="","",VLOOKUP(B1369,CadProd!$A:$C,3,0)),"")</f>
        <v/>
      </c>
      <c r="G1369" s="1" t="str">
        <f t="shared" si="21"/>
        <v/>
      </c>
    </row>
    <row r="1370" spans="3:7" x14ac:dyDescent="0.3">
      <c r="C1370" t="str">
        <f>IFERROR(IF(B1370="","",VLOOKUP(B1370,CadProd!$A:$B,2,0)),"")</f>
        <v/>
      </c>
      <c r="D1370" t="str">
        <f>IFERROR(IF(B1370="","",VLOOKUP(B1370,CadProd!$A:$C,3,0)),"")</f>
        <v/>
      </c>
      <c r="G1370" s="1" t="str">
        <f t="shared" si="21"/>
        <v/>
      </c>
    </row>
    <row r="1371" spans="3:7" x14ac:dyDescent="0.3">
      <c r="C1371" t="str">
        <f>IFERROR(IF(B1371="","",VLOOKUP(B1371,CadProd!$A:$B,2,0)),"")</f>
        <v/>
      </c>
      <c r="D1371" t="str">
        <f>IFERROR(IF(B1371="","",VLOOKUP(B1371,CadProd!$A:$C,3,0)),"")</f>
        <v/>
      </c>
      <c r="G1371" s="1" t="str">
        <f t="shared" si="21"/>
        <v/>
      </c>
    </row>
    <row r="1372" spans="3:7" x14ac:dyDescent="0.3">
      <c r="C1372" t="str">
        <f>IFERROR(IF(B1372="","",VLOOKUP(B1372,CadProd!$A:$B,2,0)),"")</f>
        <v/>
      </c>
      <c r="D1372" t="str">
        <f>IFERROR(IF(B1372="","",VLOOKUP(B1372,CadProd!$A:$C,3,0)),"")</f>
        <v/>
      </c>
      <c r="G1372" s="1" t="str">
        <f t="shared" si="21"/>
        <v/>
      </c>
    </row>
    <row r="1373" spans="3:7" x14ac:dyDescent="0.3">
      <c r="C1373" t="str">
        <f>IFERROR(IF(B1373="","",VLOOKUP(B1373,CadProd!$A:$B,2,0)),"")</f>
        <v/>
      </c>
      <c r="D1373" t="str">
        <f>IFERROR(IF(B1373="","",VLOOKUP(B1373,CadProd!$A:$C,3,0)),"")</f>
        <v/>
      </c>
      <c r="G1373" s="1" t="str">
        <f t="shared" si="21"/>
        <v/>
      </c>
    </row>
    <row r="1374" spans="3:7" x14ac:dyDescent="0.3">
      <c r="C1374" t="str">
        <f>IFERROR(IF(B1374="","",VLOOKUP(B1374,CadProd!$A:$B,2,0)),"")</f>
        <v/>
      </c>
      <c r="D1374" t="str">
        <f>IFERROR(IF(B1374="","",VLOOKUP(B1374,CadProd!$A:$C,3,0)),"")</f>
        <v/>
      </c>
      <c r="G1374" s="1" t="str">
        <f t="shared" si="21"/>
        <v/>
      </c>
    </row>
    <row r="1375" spans="3:7" x14ac:dyDescent="0.3">
      <c r="C1375" t="str">
        <f>IFERROR(IF(B1375="","",VLOOKUP(B1375,CadProd!$A:$B,2,0)),"")</f>
        <v/>
      </c>
      <c r="D1375" t="str">
        <f>IFERROR(IF(B1375="","",VLOOKUP(B1375,CadProd!$A:$C,3,0)),"")</f>
        <v/>
      </c>
      <c r="G1375" s="1" t="str">
        <f t="shared" si="21"/>
        <v/>
      </c>
    </row>
    <row r="1376" spans="3:7" x14ac:dyDescent="0.3">
      <c r="C1376" t="str">
        <f>IFERROR(IF(B1376="","",VLOOKUP(B1376,CadProd!$A:$B,2,0)),"")</f>
        <v/>
      </c>
      <c r="D1376" t="str">
        <f>IFERROR(IF(B1376="","",VLOOKUP(B1376,CadProd!$A:$C,3,0)),"")</f>
        <v/>
      </c>
      <c r="G1376" s="1" t="str">
        <f t="shared" si="21"/>
        <v/>
      </c>
    </row>
    <row r="1377" spans="3:7" x14ac:dyDescent="0.3">
      <c r="C1377" t="str">
        <f>IFERROR(IF(B1377="","",VLOOKUP(B1377,CadProd!$A:$B,2,0)),"")</f>
        <v/>
      </c>
      <c r="D1377" t="str">
        <f>IFERROR(IF(B1377="","",VLOOKUP(B1377,CadProd!$A:$C,3,0)),"")</f>
        <v/>
      </c>
      <c r="G1377" s="1" t="str">
        <f t="shared" si="21"/>
        <v/>
      </c>
    </row>
    <row r="1378" spans="3:7" x14ac:dyDescent="0.3">
      <c r="C1378" t="str">
        <f>IFERROR(IF(B1378="","",VLOOKUP(B1378,CadProd!$A:$B,2,0)),"")</f>
        <v/>
      </c>
      <c r="D1378" t="str">
        <f>IFERROR(IF(B1378="","",VLOOKUP(B1378,CadProd!$A:$C,3,0)),"")</f>
        <v/>
      </c>
      <c r="G1378" s="1" t="str">
        <f t="shared" si="21"/>
        <v/>
      </c>
    </row>
    <row r="1379" spans="3:7" x14ac:dyDescent="0.3">
      <c r="C1379" t="str">
        <f>IFERROR(IF(B1379="","",VLOOKUP(B1379,CadProd!$A:$B,2,0)),"")</f>
        <v/>
      </c>
      <c r="D1379" t="str">
        <f>IFERROR(IF(B1379="","",VLOOKUP(B1379,CadProd!$A:$C,3,0)),"")</f>
        <v/>
      </c>
      <c r="G1379" s="1" t="str">
        <f t="shared" si="21"/>
        <v/>
      </c>
    </row>
    <row r="1380" spans="3:7" x14ac:dyDescent="0.3">
      <c r="C1380" t="str">
        <f>IFERROR(IF(B1380="","",VLOOKUP(B1380,CadProd!$A:$B,2,0)),"")</f>
        <v/>
      </c>
      <c r="D1380" t="str">
        <f>IFERROR(IF(B1380="","",VLOOKUP(B1380,CadProd!$A:$C,3,0)),"")</f>
        <v/>
      </c>
      <c r="G1380" s="1" t="str">
        <f t="shared" si="21"/>
        <v/>
      </c>
    </row>
    <row r="1381" spans="3:7" x14ac:dyDescent="0.3">
      <c r="C1381" t="str">
        <f>IFERROR(IF(B1381="","",VLOOKUP(B1381,CadProd!$A:$B,2,0)),"")</f>
        <v/>
      </c>
      <c r="D1381" t="str">
        <f>IFERROR(IF(B1381="","",VLOOKUP(B1381,CadProd!$A:$C,3,0)),"")</f>
        <v/>
      </c>
      <c r="G1381" s="1" t="str">
        <f t="shared" si="21"/>
        <v/>
      </c>
    </row>
    <row r="1382" spans="3:7" x14ac:dyDescent="0.3">
      <c r="C1382" t="str">
        <f>IFERROR(IF(B1382="","",VLOOKUP(B1382,CadProd!$A:$B,2,0)),"")</f>
        <v/>
      </c>
      <c r="D1382" t="str">
        <f>IFERROR(IF(B1382="","",VLOOKUP(B1382,CadProd!$A:$C,3,0)),"")</f>
        <v/>
      </c>
      <c r="G1382" s="1" t="str">
        <f t="shared" si="21"/>
        <v/>
      </c>
    </row>
    <row r="1383" spans="3:7" x14ac:dyDescent="0.3">
      <c r="C1383" t="str">
        <f>IFERROR(IF(B1383="","",VLOOKUP(B1383,CadProd!$A:$B,2,0)),"")</f>
        <v/>
      </c>
      <c r="D1383" t="str">
        <f>IFERROR(IF(B1383="","",VLOOKUP(B1383,CadProd!$A:$C,3,0)),"")</f>
        <v/>
      </c>
      <c r="G1383" s="1" t="str">
        <f t="shared" si="21"/>
        <v/>
      </c>
    </row>
    <row r="1384" spans="3:7" x14ac:dyDescent="0.3">
      <c r="C1384" t="str">
        <f>IFERROR(IF(B1384="","",VLOOKUP(B1384,CadProd!$A:$B,2,0)),"")</f>
        <v/>
      </c>
      <c r="D1384" t="str">
        <f>IFERROR(IF(B1384="","",VLOOKUP(B1384,CadProd!$A:$C,3,0)),"")</f>
        <v/>
      </c>
      <c r="G1384" s="1" t="str">
        <f t="shared" si="21"/>
        <v/>
      </c>
    </row>
    <row r="1385" spans="3:7" x14ac:dyDescent="0.3">
      <c r="C1385" t="str">
        <f>IFERROR(IF(B1385="","",VLOOKUP(B1385,CadProd!$A:$B,2,0)),"")</f>
        <v/>
      </c>
      <c r="D1385" t="str">
        <f>IFERROR(IF(B1385="","",VLOOKUP(B1385,CadProd!$A:$C,3,0)),"")</f>
        <v/>
      </c>
      <c r="G1385" s="1" t="str">
        <f t="shared" si="21"/>
        <v/>
      </c>
    </row>
    <row r="1386" spans="3:7" x14ac:dyDescent="0.3">
      <c r="C1386" t="str">
        <f>IFERROR(IF(B1386="","",VLOOKUP(B1386,CadProd!$A:$B,2,0)),"")</f>
        <v/>
      </c>
      <c r="D1386" t="str">
        <f>IFERROR(IF(B1386="","",VLOOKUP(B1386,CadProd!$A:$C,3,0)),"")</f>
        <v/>
      </c>
      <c r="G1386" s="1" t="str">
        <f t="shared" si="21"/>
        <v/>
      </c>
    </row>
    <row r="1387" spans="3:7" x14ac:dyDescent="0.3">
      <c r="C1387" t="str">
        <f>IFERROR(IF(B1387="","",VLOOKUP(B1387,CadProd!$A:$B,2,0)),"")</f>
        <v/>
      </c>
      <c r="D1387" t="str">
        <f>IFERROR(IF(B1387="","",VLOOKUP(B1387,CadProd!$A:$C,3,0)),"")</f>
        <v/>
      </c>
      <c r="G1387" s="1" t="str">
        <f t="shared" si="21"/>
        <v/>
      </c>
    </row>
    <row r="1388" spans="3:7" x14ac:dyDescent="0.3">
      <c r="C1388" t="str">
        <f>IFERROR(IF(B1388="","",VLOOKUP(B1388,CadProd!$A:$B,2,0)),"")</f>
        <v/>
      </c>
      <c r="D1388" t="str">
        <f>IFERROR(IF(B1388="","",VLOOKUP(B1388,CadProd!$A:$C,3,0)),"")</f>
        <v/>
      </c>
      <c r="G1388" s="1" t="str">
        <f t="shared" si="21"/>
        <v/>
      </c>
    </row>
    <row r="1389" spans="3:7" x14ac:dyDescent="0.3">
      <c r="C1389" t="str">
        <f>IFERROR(IF(B1389="","",VLOOKUP(B1389,CadProd!$A:$B,2,0)),"")</f>
        <v/>
      </c>
      <c r="D1389" t="str">
        <f>IFERROR(IF(B1389="","",VLOOKUP(B1389,CadProd!$A:$C,3,0)),"")</f>
        <v/>
      </c>
      <c r="G1389" s="1" t="str">
        <f t="shared" si="21"/>
        <v/>
      </c>
    </row>
    <row r="1390" spans="3:7" x14ac:dyDescent="0.3">
      <c r="C1390" t="str">
        <f>IFERROR(IF(B1390="","",VLOOKUP(B1390,CadProd!$A:$B,2,0)),"")</f>
        <v/>
      </c>
      <c r="D1390" t="str">
        <f>IFERROR(IF(B1390="","",VLOOKUP(B1390,CadProd!$A:$C,3,0)),"")</f>
        <v/>
      </c>
      <c r="G1390" s="1" t="str">
        <f t="shared" si="21"/>
        <v/>
      </c>
    </row>
    <row r="1391" spans="3:7" x14ac:dyDescent="0.3">
      <c r="C1391" t="str">
        <f>IFERROR(IF(B1391="","",VLOOKUP(B1391,CadProd!$A:$B,2,0)),"")</f>
        <v/>
      </c>
      <c r="D1391" t="str">
        <f>IFERROR(IF(B1391="","",VLOOKUP(B1391,CadProd!$A:$C,3,0)),"")</f>
        <v/>
      </c>
      <c r="G1391" s="1" t="str">
        <f t="shared" si="21"/>
        <v/>
      </c>
    </row>
    <row r="1392" spans="3:7" x14ac:dyDescent="0.3">
      <c r="C1392" t="str">
        <f>IFERROR(IF(B1392="","",VLOOKUP(B1392,CadProd!$A:$B,2,0)),"")</f>
        <v/>
      </c>
      <c r="D1392" t="str">
        <f>IFERROR(IF(B1392="","",VLOOKUP(B1392,CadProd!$A:$C,3,0)),"")</f>
        <v/>
      </c>
      <c r="G1392" s="1" t="str">
        <f t="shared" si="21"/>
        <v/>
      </c>
    </row>
    <row r="1393" spans="3:7" x14ac:dyDescent="0.3">
      <c r="C1393" t="str">
        <f>IFERROR(IF(B1393="","",VLOOKUP(B1393,CadProd!$A:$B,2,0)),"")</f>
        <v/>
      </c>
      <c r="D1393" t="str">
        <f>IFERROR(IF(B1393="","",VLOOKUP(B1393,CadProd!$A:$C,3,0)),"")</f>
        <v/>
      </c>
      <c r="G1393" s="1" t="str">
        <f t="shared" si="21"/>
        <v/>
      </c>
    </row>
    <row r="1394" spans="3:7" x14ac:dyDescent="0.3">
      <c r="C1394" t="str">
        <f>IFERROR(IF(B1394="","",VLOOKUP(B1394,CadProd!$A:$B,2,0)),"")</f>
        <v/>
      </c>
      <c r="D1394" t="str">
        <f>IFERROR(IF(B1394="","",VLOOKUP(B1394,CadProd!$A:$C,3,0)),"")</f>
        <v/>
      </c>
      <c r="G1394" s="1" t="str">
        <f t="shared" si="21"/>
        <v/>
      </c>
    </row>
    <row r="1395" spans="3:7" x14ac:dyDescent="0.3">
      <c r="C1395" t="str">
        <f>IFERROR(IF(B1395="","",VLOOKUP(B1395,CadProd!$A:$B,2,0)),"")</f>
        <v/>
      </c>
      <c r="D1395" t="str">
        <f>IFERROR(IF(B1395="","",VLOOKUP(B1395,CadProd!$A:$C,3,0)),"")</f>
        <v/>
      </c>
      <c r="G1395" s="1" t="str">
        <f t="shared" si="21"/>
        <v/>
      </c>
    </row>
    <row r="1396" spans="3:7" x14ac:dyDescent="0.3">
      <c r="C1396" t="str">
        <f>IFERROR(IF(B1396="","",VLOOKUP(B1396,CadProd!$A:$B,2,0)),"")</f>
        <v/>
      </c>
      <c r="D1396" t="str">
        <f>IFERROR(IF(B1396="","",VLOOKUP(B1396,CadProd!$A:$C,3,0)),"")</f>
        <v/>
      </c>
      <c r="G1396" s="1" t="str">
        <f t="shared" si="21"/>
        <v/>
      </c>
    </row>
    <row r="1397" spans="3:7" x14ac:dyDescent="0.3">
      <c r="C1397" t="str">
        <f>IFERROR(IF(B1397="","",VLOOKUP(B1397,CadProd!$A:$B,2,0)),"")</f>
        <v/>
      </c>
      <c r="D1397" t="str">
        <f>IFERROR(IF(B1397="","",VLOOKUP(B1397,CadProd!$A:$C,3,0)),"")</f>
        <v/>
      </c>
      <c r="G1397" s="1" t="str">
        <f t="shared" si="21"/>
        <v/>
      </c>
    </row>
    <row r="1398" spans="3:7" x14ac:dyDescent="0.3">
      <c r="C1398" t="str">
        <f>IFERROR(IF(B1398="","",VLOOKUP(B1398,CadProd!$A:$B,2,0)),"")</f>
        <v/>
      </c>
      <c r="D1398" t="str">
        <f>IFERROR(IF(B1398="","",VLOOKUP(B1398,CadProd!$A:$C,3,0)),"")</f>
        <v/>
      </c>
      <c r="G1398" s="1" t="str">
        <f t="shared" si="21"/>
        <v/>
      </c>
    </row>
    <row r="1399" spans="3:7" x14ac:dyDescent="0.3">
      <c r="C1399" t="str">
        <f>IFERROR(IF(B1399="","",VLOOKUP(B1399,CadProd!$A:$B,2,0)),"")</f>
        <v/>
      </c>
      <c r="D1399" t="str">
        <f>IFERROR(IF(B1399="","",VLOOKUP(B1399,CadProd!$A:$C,3,0)),"")</f>
        <v/>
      </c>
      <c r="G1399" s="1" t="str">
        <f t="shared" si="21"/>
        <v/>
      </c>
    </row>
    <row r="1400" spans="3:7" x14ac:dyDescent="0.3">
      <c r="C1400" t="str">
        <f>IFERROR(IF(B1400="","",VLOOKUP(B1400,CadProd!$A:$B,2,0)),"")</f>
        <v/>
      </c>
      <c r="D1400" t="str">
        <f>IFERROR(IF(B1400="","",VLOOKUP(B1400,CadProd!$A:$C,3,0)),"")</f>
        <v/>
      </c>
      <c r="G1400" s="1" t="str">
        <f t="shared" si="21"/>
        <v/>
      </c>
    </row>
    <row r="1401" spans="3:7" x14ac:dyDescent="0.3">
      <c r="C1401" t="str">
        <f>IFERROR(IF(B1401="","",VLOOKUP(B1401,CadProd!$A:$B,2,0)),"")</f>
        <v/>
      </c>
      <c r="D1401" t="str">
        <f>IFERROR(IF(B1401="","",VLOOKUP(B1401,CadProd!$A:$C,3,0)),"")</f>
        <v/>
      </c>
      <c r="G1401" s="1" t="str">
        <f t="shared" si="21"/>
        <v/>
      </c>
    </row>
    <row r="1402" spans="3:7" x14ac:dyDescent="0.3">
      <c r="C1402" t="str">
        <f>IFERROR(IF(B1402="","",VLOOKUP(B1402,CadProd!$A:$B,2,0)),"")</f>
        <v/>
      </c>
      <c r="D1402" t="str">
        <f>IFERROR(IF(B1402="","",VLOOKUP(B1402,CadProd!$A:$C,3,0)),"")</f>
        <v/>
      </c>
      <c r="G1402" s="1" t="str">
        <f t="shared" si="21"/>
        <v/>
      </c>
    </row>
    <row r="1403" spans="3:7" x14ac:dyDescent="0.3">
      <c r="C1403" t="str">
        <f>IFERROR(IF(B1403="","",VLOOKUP(B1403,CadProd!$A:$B,2,0)),"")</f>
        <v/>
      </c>
      <c r="D1403" t="str">
        <f>IFERROR(IF(B1403="","",VLOOKUP(B1403,CadProd!$A:$C,3,0)),"")</f>
        <v/>
      </c>
      <c r="G1403" s="1" t="str">
        <f t="shared" si="21"/>
        <v/>
      </c>
    </row>
    <row r="1404" spans="3:7" x14ac:dyDescent="0.3">
      <c r="C1404" t="str">
        <f>IFERROR(IF(B1404="","",VLOOKUP(B1404,CadProd!$A:$B,2,0)),"")</f>
        <v/>
      </c>
      <c r="D1404" t="str">
        <f>IFERROR(IF(B1404="","",VLOOKUP(B1404,CadProd!$A:$C,3,0)),"")</f>
        <v/>
      </c>
      <c r="G1404" s="1" t="str">
        <f t="shared" si="21"/>
        <v/>
      </c>
    </row>
    <row r="1405" spans="3:7" x14ac:dyDescent="0.3">
      <c r="C1405" t="str">
        <f>IFERROR(IF(B1405="","",VLOOKUP(B1405,CadProd!$A:$B,2,0)),"")</f>
        <v/>
      </c>
      <c r="D1405" t="str">
        <f>IFERROR(IF(B1405="","",VLOOKUP(B1405,CadProd!$A:$C,3,0)),"")</f>
        <v/>
      </c>
      <c r="G1405" s="1" t="str">
        <f t="shared" si="21"/>
        <v/>
      </c>
    </row>
    <row r="1406" spans="3:7" x14ac:dyDescent="0.3">
      <c r="C1406" t="str">
        <f>IFERROR(IF(B1406="","",VLOOKUP(B1406,CadProd!$A:$B,2,0)),"")</f>
        <v/>
      </c>
      <c r="D1406" t="str">
        <f>IFERROR(IF(B1406="","",VLOOKUP(B1406,CadProd!$A:$C,3,0)),"")</f>
        <v/>
      </c>
      <c r="G1406" s="1" t="str">
        <f t="shared" si="21"/>
        <v/>
      </c>
    </row>
    <row r="1407" spans="3:7" x14ac:dyDescent="0.3">
      <c r="C1407" t="str">
        <f>IFERROR(IF(B1407="","",VLOOKUP(B1407,CadProd!$A:$B,2,0)),"")</f>
        <v/>
      </c>
      <c r="D1407" t="str">
        <f>IFERROR(IF(B1407="","",VLOOKUP(B1407,CadProd!$A:$C,3,0)),"")</f>
        <v/>
      </c>
      <c r="G1407" s="1" t="str">
        <f t="shared" si="21"/>
        <v/>
      </c>
    </row>
    <row r="1408" spans="3:7" x14ac:dyDescent="0.3">
      <c r="C1408" t="str">
        <f>IFERROR(IF(B1408="","",VLOOKUP(B1408,CadProd!$A:$B,2,0)),"")</f>
        <v/>
      </c>
      <c r="D1408" t="str">
        <f>IFERROR(IF(B1408="","",VLOOKUP(B1408,CadProd!$A:$C,3,0)),"")</f>
        <v/>
      </c>
      <c r="G1408" s="1" t="str">
        <f t="shared" si="21"/>
        <v/>
      </c>
    </row>
    <row r="1409" spans="3:7" x14ac:dyDescent="0.3">
      <c r="C1409" t="str">
        <f>IFERROR(IF(B1409="","",VLOOKUP(B1409,CadProd!$A:$B,2,0)),"")</f>
        <v/>
      </c>
      <c r="D1409" t="str">
        <f>IFERROR(IF(B1409="","",VLOOKUP(B1409,CadProd!$A:$C,3,0)),"")</f>
        <v/>
      </c>
      <c r="G1409" s="1" t="str">
        <f t="shared" si="21"/>
        <v/>
      </c>
    </row>
    <row r="1410" spans="3:7" x14ac:dyDescent="0.3">
      <c r="C1410" t="str">
        <f>IFERROR(IF(B1410="","",VLOOKUP(B1410,CadProd!$A:$B,2,0)),"")</f>
        <v/>
      </c>
      <c r="D1410" t="str">
        <f>IFERROR(IF(B1410="","",VLOOKUP(B1410,CadProd!$A:$C,3,0)),"")</f>
        <v/>
      </c>
      <c r="G1410" s="1" t="str">
        <f t="shared" ref="G1410:G1473" si="22">IFERROR(IF(B1410="","",F1410*E1410),"")</f>
        <v/>
      </c>
    </row>
    <row r="1411" spans="3:7" x14ac:dyDescent="0.3">
      <c r="C1411" t="str">
        <f>IFERROR(IF(B1411="","",VLOOKUP(B1411,CadProd!$A:$B,2,0)),"")</f>
        <v/>
      </c>
      <c r="D1411" t="str">
        <f>IFERROR(IF(B1411="","",VLOOKUP(B1411,CadProd!$A:$C,3,0)),"")</f>
        <v/>
      </c>
      <c r="G1411" s="1" t="str">
        <f t="shared" si="22"/>
        <v/>
      </c>
    </row>
    <row r="1412" spans="3:7" x14ac:dyDescent="0.3">
      <c r="C1412" t="str">
        <f>IFERROR(IF(B1412="","",VLOOKUP(B1412,CadProd!$A:$B,2,0)),"")</f>
        <v/>
      </c>
      <c r="D1412" t="str">
        <f>IFERROR(IF(B1412="","",VLOOKUP(B1412,CadProd!$A:$C,3,0)),"")</f>
        <v/>
      </c>
      <c r="G1412" s="1" t="str">
        <f t="shared" si="22"/>
        <v/>
      </c>
    </row>
    <row r="1413" spans="3:7" x14ac:dyDescent="0.3">
      <c r="C1413" t="str">
        <f>IFERROR(IF(B1413="","",VLOOKUP(B1413,CadProd!$A:$B,2,0)),"")</f>
        <v/>
      </c>
      <c r="D1413" t="str">
        <f>IFERROR(IF(B1413="","",VLOOKUP(B1413,CadProd!$A:$C,3,0)),"")</f>
        <v/>
      </c>
      <c r="G1413" s="1" t="str">
        <f t="shared" si="22"/>
        <v/>
      </c>
    </row>
    <row r="1414" spans="3:7" x14ac:dyDescent="0.3">
      <c r="C1414" t="str">
        <f>IFERROR(IF(B1414="","",VLOOKUP(B1414,CadProd!$A:$B,2,0)),"")</f>
        <v/>
      </c>
      <c r="D1414" t="str">
        <f>IFERROR(IF(B1414="","",VLOOKUP(B1414,CadProd!$A:$C,3,0)),"")</f>
        <v/>
      </c>
      <c r="G1414" s="1" t="str">
        <f t="shared" si="22"/>
        <v/>
      </c>
    </row>
    <row r="1415" spans="3:7" x14ac:dyDescent="0.3">
      <c r="C1415" t="str">
        <f>IFERROR(IF(B1415="","",VLOOKUP(B1415,CadProd!$A:$B,2,0)),"")</f>
        <v/>
      </c>
      <c r="D1415" t="str">
        <f>IFERROR(IF(B1415="","",VLOOKUP(B1415,CadProd!$A:$C,3,0)),"")</f>
        <v/>
      </c>
      <c r="G1415" s="1" t="str">
        <f t="shared" si="22"/>
        <v/>
      </c>
    </row>
    <row r="1416" spans="3:7" x14ac:dyDescent="0.3">
      <c r="C1416" t="str">
        <f>IFERROR(IF(B1416="","",VLOOKUP(B1416,CadProd!$A:$B,2,0)),"")</f>
        <v/>
      </c>
      <c r="D1416" t="str">
        <f>IFERROR(IF(B1416="","",VLOOKUP(B1416,CadProd!$A:$C,3,0)),"")</f>
        <v/>
      </c>
      <c r="G1416" s="1" t="str">
        <f t="shared" si="22"/>
        <v/>
      </c>
    </row>
    <row r="1417" spans="3:7" x14ac:dyDescent="0.3">
      <c r="C1417" t="str">
        <f>IFERROR(IF(B1417="","",VLOOKUP(B1417,CadProd!$A:$B,2,0)),"")</f>
        <v/>
      </c>
      <c r="D1417" t="str">
        <f>IFERROR(IF(B1417="","",VLOOKUP(B1417,CadProd!$A:$C,3,0)),"")</f>
        <v/>
      </c>
      <c r="G1417" s="1" t="str">
        <f t="shared" si="22"/>
        <v/>
      </c>
    </row>
    <row r="1418" spans="3:7" x14ac:dyDescent="0.3">
      <c r="C1418" t="str">
        <f>IFERROR(IF(B1418="","",VLOOKUP(B1418,CadProd!$A:$B,2,0)),"")</f>
        <v/>
      </c>
      <c r="D1418" t="str">
        <f>IFERROR(IF(B1418="","",VLOOKUP(B1418,CadProd!$A:$C,3,0)),"")</f>
        <v/>
      </c>
      <c r="G1418" s="1" t="str">
        <f t="shared" si="22"/>
        <v/>
      </c>
    </row>
    <row r="1419" spans="3:7" x14ac:dyDescent="0.3">
      <c r="C1419" t="str">
        <f>IFERROR(IF(B1419="","",VLOOKUP(B1419,CadProd!$A:$B,2,0)),"")</f>
        <v/>
      </c>
      <c r="D1419" t="str">
        <f>IFERROR(IF(B1419="","",VLOOKUP(B1419,CadProd!$A:$C,3,0)),"")</f>
        <v/>
      </c>
      <c r="G1419" s="1" t="str">
        <f t="shared" si="22"/>
        <v/>
      </c>
    </row>
    <row r="1420" spans="3:7" x14ac:dyDescent="0.3">
      <c r="C1420" t="str">
        <f>IFERROR(IF(B1420="","",VLOOKUP(B1420,CadProd!$A:$B,2,0)),"")</f>
        <v/>
      </c>
      <c r="D1420" t="str">
        <f>IFERROR(IF(B1420="","",VLOOKUP(B1420,CadProd!$A:$C,3,0)),"")</f>
        <v/>
      </c>
      <c r="G1420" s="1" t="str">
        <f t="shared" si="22"/>
        <v/>
      </c>
    </row>
    <row r="1421" spans="3:7" x14ac:dyDescent="0.3">
      <c r="C1421" t="str">
        <f>IFERROR(IF(B1421="","",VLOOKUP(B1421,CadProd!$A:$B,2,0)),"")</f>
        <v/>
      </c>
      <c r="D1421" t="str">
        <f>IFERROR(IF(B1421="","",VLOOKUP(B1421,CadProd!$A:$C,3,0)),"")</f>
        <v/>
      </c>
      <c r="G1421" s="1" t="str">
        <f t="shared" si="22"/>
        <v/>
      </c>
    </row>
    <row r="1422" spans="3:7" x14ac:dyDescent="0.3">
      <c r="C1422" t="str">
        <f>IFERROR(IF(B1422="","",VLOOKUP(B1422,CadProd!$A:$B,2,0)),"")</f>
        <v/>
      </c>
      <c r="D1422" t="str">
        <f>IFERROR(IF(B1422="","",VLOOKUP(B1422,CadProd!$A:$C,3,0)),"")</f>
        <v/>
      </c>
      <c r="G1422" s="1" t="str">
        <f t="shared" si="22"/>
        <v/>
      </c>
    </row>
    <row r="1423" spans="3:7" x14ac:dyDescent="0.3">
      <c r="C1423" t="str">
        <f>IFERROR(IF(B1423="","",VLOOKUP(B1423,CadProd!$A:$B,2,0)),"")</f>
        <v/>
      </c>
      <c r="D1423" t="str">
        <f>IFERROR(IF(B1423="","",VLOOKUP(B1423,CadProd!$A:$C,3,0)),"")</f>
        <v/>
      </c>
      <c r="G1423" s="1" t="str">
        <f t="shared" si="22"/>
        <v/>
      </c>
    </row>
    <row r="1424" spans="3:7" x14ac:dyDescent="0.3">
      <c r="C1424" t="str">
        <f>IFERROR(IF(B1424="","",VLOOKUP(B1424,CadProd!$A:$B,2,0)),"")</f>
        <v/>
      </c>
      <c r="D1424" t="str">
        <f>IFERROR(IF(B1424="","",VLOOKUP(B1424,CadProd!$A:$C,3,0)),"")</f>
        <v/>
      </c>
      <c r="G1424" s="1" t="str">
        <f t="shared" si="22"/>
        <v/>
      </c>
    </row>
    <row r="1425" spans="3:7" x14ac:dyDescent="0.3">
      <c r="C1425" t="str">
        <f>IFERROR(IF(B1425="","",VLOOKUP(B1425,CadProd!$A:$B,2,0)),"")</f>
        <v/>
      </c>
      <c r="D1425" t="str">
        <f>IFERROR(IF(B1425="","",VLOOKUP(B1425,CadProd!$A:$C,3,0)),"")</f>
        <v/>
      </c>
      <c r="G1425" s="1" t="str">
        <f t="shared" si="22"/>
        <v/>
      </c>
    </row>
    <row r="1426" spans="3:7" x14ac:dyDescent="0.3">
      <c r="C1426" t="str">
        <f>IFERROR(IF(B1426="","",VLOOKUP(B1426,CadProd!$A:$B,2,0)),"")</f>
        <v/>
      </c>
      <c r="D1426" t="str">
        <f>IFERROR(IF(B1426="","",VLOOKUP(B1426,CadProd!$A:$C,3,0)),"")</f>
        <v/>
      </c>
      <c r="G1426" s="1" t="str">
        <f t="shared" si="22"/>
        <v/>
      </c>
    </row>
    <row r="1427" spans="3:7" x14ac:dyDescent="0.3">
      <c r="C1427" t="str">
        <f>IFERROR(IF(B1427="","",VLOOKUP(B1427,CadProd!$A:$B,2,0)),"")</f>
        <v/>
      </c>
      <c r="D1427" t="str">
        <f>IFERROR(IF(B1427="","",VLOOKUP(B1427,CadProd!$A:$C,3,0)),"")</f>
        <v/>
      </c>
      <c r="G1427" s="1" t="str">
        <f t="shared" si="22"/>
        <v/>
      </c>
    </row>
    <row r="1428" spans="3:7" x14ac:dyDescent="0.3">
      <c r="C1428" t="str">
        <f>IFERROR(IF(B1428="","",VLOOKUP(B1428,CadProd!$A:$B,2,0)),"")</f>
        <v/>
      </c>
      <c r="D1428" t="str">
        <f>IFERROR(IF(B1428="","",VLOOKUP(B1428,CadProd!$A:$C,3,0)),"")</f>
        <v/>
      </c>
      <c r="G1428" s="1" t="str">
        <f t="shared" si="22"/>
        <v/>
      </c>
    </row>
    <row r="1429" spans="3:7" x14ac:dyDescent="0.3">
      <c r="C1429" t="str">
        <f>IFERROR(IF(B1429="","",VLOOKUP(B1429,CadProd!$A:$B,2,0)),"")</f>
        <v/>
      </c>
      <c r="D1429" t="str">
        <f>IFERROR(IF(B1429="","",VLOOKUP(B1429,CadProd!$A:$C,3,0)),"")</f>
        <v/>
      </c>
      <c r="G1429" s="1" t="str">
        <f t="shared" si="22"/>
        <v/>
      </c>
    </row>
    <row r="1430" spans="3:7" x14ac:dyDescent="0.3">
      <c r="C1430" t="str">
        <f>IFERROR(IF(B1430="","",VLOOKUP(B1430,CadProd!$A:$B,2,0)),"")</f>
        <v/>
      </c>
      <c r="D1430" t="str">
        <f>IFERROR(IF(B1430="","",VLOOKUP(B1430,CadProd!$A:$C,3,0)),"")</f>
        <v/>
      </c>
      <c r="G1430" s="1" t="str">
        <f t="shared" si="22"/>
        <v/>
      </c>
    </row>
    <row r="1431" spans="3:7" x14ac:dyDescent="0.3">
      <c r="C1431" t="str">
        <f>IFERROR(IF(B1431="","",VLOOKUP(B1431,CadProd!$A:$B,2,0)),"")</f>
        <v/>
      </c>
      <c r="D1431" t="str">
        <f>IFERROR(IF(B1431="","",VLOOKUP(B1431,CadProd!$A:$C,3,0)),"")</f>
        <v/>
      </c>
      <c r="G1431" s="1" t="str">
        <f t="shared" si="22"/>
        <v/>
      </c>
    </row>
    <row r="1432" spans="3:7" x14ac:dyDescent="0.3">
      <c r="C1432" t="str">
        <f>IFERROR(IF(B1432="","",VLOOKUP(B1432,CadProd!$A:$B,2,0)),"")</f>
        <v/>
      </c>
      <c r="D1432" t="str">
        <f>IFERROR(IF(B1432="","",VLOOKUP(B1432,CadProd!$A:$C,3,0)),"")</f>
        <v/>
      </c>
      <c r="G1432" s="1" t="str">
        <f t="shared" si="22"/>
        <v/>
      </c>
    </row>
    <row r="1433" spans="3:7" x14ac:dyDescent="0.3">
      <c r="C1433" t="str">
        <f>IFERROR(IF(B1433="","",VLOOKUP(B1433,CadProd!$A:$B,2,0)),"")</f>
        <v/>
      </c>
      <c r="D1433" t="str">
        <f>IFERROR(IF(B1433="","",VLOOKUP(B1433,CadProd!$A:$C,3,0)),"")</f>
        <v/>
      </c>
      <c r="G1433" s="1" t="str">
        <f t="shared" si="22"/>
        <v/>
      </c>
    </row>
    <row r="1434" spans="3:7" x14ac:dyDescent="0.3">
      <c r="C1434" t="str">
        <f>IFERROR(IF(B1434="","",VLOOKUP(B1434,CadProd!$A:$B,2,0)),"")</f>
        <v/>
      </c>
      <c r="D1434" t="str">
        <f>IFERROR(IF(B1434="","",VLOOKUP(B1434,CadProd!$A:$C,3,0)),"")</f>
        <v/>
      </c>
      <c r="G1434" s="1" t="str">
        <f t="shared" si="22"/>
        <v/>
      </c>
    </row>
    <row r="1435" spans="3:7" x14ac:dyDescent="0.3">
      <c r="C1435" t="str">
        <f>IFERROR(IF(B1435="","",VLOOKUP(B1435,CadProd!$A:$B,2,0)),"")</f>
        <v/>
      </c>
      <c r="D1435" t="str">
        <f>IFERROR(IF(B1435="","",VLOOKUP(B1435,CadProd!$A:$C,3,0)),"")</f>
        <v/>
      </c>
      <c r="G1435" s="1" t="str">
        <f t="shared" si="22"/>
        <v/>
      </c>
    </row>
    <row r="1436" spans="3:7" x14ac:dyDescent="0.3">
      <c r="C1436" t="str">
        <f>IFERROR(IF(B1436="","",VLOOKUP(B1436,CadProd!$A:$B,2,0)),"")</f>
        <v/>
      </c>
      <c r="D1436" t="str">
        <f>IFERROR(IF(B1436="","",VLOOKUP(B1436,CadProd!$A:$C,3,0)),"")</f>
        <v/>
      </c>
      <c r="G1436" s="1" t="str">
        <f t="shared" si="22"/>
        <v/>
      </c>
    </row>
    <row r="1437" spans="3:7" x14ac:dyDescent="0.3">
      <c r="C1437" t="str">
        <f>IFERROR(IF(B1437="","",VLOOKUP(B1437,CadProd!$A:$B,2,0)),"")</f>
        <v/>
      </c>
      <c r="D1437" t="str">
        <f>IFERROR(IF(B1437="","",VLOOKUP(B1437,CadProd!$A:$C,3,0)),"")</f>
        <v/>
      </c>
      <c r="G1437" s="1" t="str">
        <f t="shared" si="22"/>
        <v/>
      </c>
    </row>
    <row r="1438" spans="3:7" x14ac:dyDescent="0.3">
      <c r="C1438" t="str">
        <f>IFERROR(IF(B1438="","",VLOOKUP(B1438,CadProd!$A:$B,2,0)),"")</f>
        <v/>
      </c>
      <c r="D1438" t="str">
        <f>IFERROR(IF(B1438="","",VLOOKUP(B1438,CadProd!$A:$C,3,0)),"")</f>
        <v/>
      </c>
      <c r="G1438" s="1" t="str">
        <f t="shared" si="22"/>
        <v/>
      </c>
    </row>
    <row r="1439" spans="3:7" x14ac:dyDescent="0.3">
      <c r="C1439" t="str">
        <f>IFERROR(IF(B1439="","",VLOOKUP(B1439,CadProd!$A:$B,2,0)),"")</f>
        <v/>
      </c>
      <c r="D1439" t="str">
        <f>IFERROR(IF(B1439="","",VLOOKUP(B1439,CadProd!$A:$C,3,0)),"")</f>
        <v/>
      </c>
      <c r="G1439" s="1" t="str">
        <f t="shared" si="22"/>
        <v/>
      </c>
    </row>
    <row r="1440" spans="3:7" x14ac:dyDescent="0.3">
      <c r="C1440" t="str">
        <f>IFERROR(IF(B1440="","",VLOOKUP(B1440,CadProd!$A:$B,2,0)),"")</f>
        <v/>
      </c>
      <c r="D1440" t="str">
        <f>IFERROR(IF(B1440="","",VLOOKUP(B1440,CadProd!$A:$C,3,0)),"")</f>
        <v/>
      </c>
      <c r="G1440" s="1" t="str">
        <f t="shared" si="22"/>
        <v/>
      </c>
    </row>
    <row r="1441" spans="3:7" x14ac:dyDescent="0.3">
      <c r="C1441" t="str">
        <f>IFERROR(IF(B1441="","",VLOOKUP(B1441,CadProd!$A:$B,2,0)),"")</f>
        <v/>
      </c>
      <c r="D1441" t="str">
        <f>IFERROR(IF(B1441="","",VLOOKUP(B1441,CadProd!$A:$C,3,0)),"")</f>
        <v/>
      </c>
      <c r="G1441" s="1" t="str">
        <f t="shared" si="22"/>
        <v/>
      </c>
    </row>
    <row r="1442" spans="3:7" x14ac:dyDescent="0.3">
      <c r="C1442" t="str">
        <f>IFERROR(IF(B1442="","",VLOOKUP(B1442,CadProd!$A:$B,2,0)),"")</f>
        <v/>
      </c>
      <c r="D1442" t="str">
        <f>IFERROR(IF(B1442="","",VLOOKUP(B1442,CadProd!$A:$C,3,0)),"")</f>
        <v/>
      </c>
      <c r="G1442" s="1" t="str">
        <f t="shared" si="22"/>
        <v/>
      </c>
    </row>
    <row r="1443" spans="3:7" x14ac:dyDescent="0.3">
      <c r="C1443" t="str">
        <f>IFERROR(IF(B1443="","",VLOOKUP(B1443,CadProd!$A:$B,2,0)),"")</f>
        <v/>
      </c>
      <c r="D1443" t="str">
        <f>IFERROR(IF(B1443="","",VLOOKUP(B1443,CadProd!$A:$C,3,0)),"")</f>
        <v/>
      </c>
      <c r="G1443" s="1" t="str">
        <f t="shared" si="22"/>
        <v/>
      </c>
    </row>
    <row r="1444" spans="3:7" x14ac:dyDescent="0.3">
      <c r="C1444" t="str">
        <f>IFERROR(IF(B1444="","",VLOOKUP(B1444,CadProd!$A:$B,2,0)),"")</f>
        <v/>
      </c>
      <c r="D1444" t="str">
        <f>IFERROR(IF(B1444="","",VLOOKUP(B1444,CadProd!$A:$C,3,0)),"")</f>
        <v/>
      </c>
      <c r="G1444" s="1" t="str">
        <f t="shared" si="22"/>
        <v/>
      </c>
    </row>
    <row r="1445" spans="3:7" x14ac:dyDescent="0.3">
      <c r="C1445" t="str">
        <f>IFERROR(IF(B1445="","",VLOOKUP(B1445,CadProd!$A:$B,2,0)),"")</f>
        <v/>
      </c>
      <c r="D1445" t="str">
        <f>IFERROR(IF(B1445="","",VLOOKUP(B1445,CadProd!$A:$C,3,0)),"")</f>
        <v/>
      </c>
      <c r="G1445" s="1" t="str">
        <f t="shared" si="22"/>
        <v/>
      </c>
    </row>
    <row r="1446" spans="3:7" x14ac:dyDescent="0.3">
      <c r="C1446" t="str">
        <f>IFERROR(IF(B1446="","",VLOOKUP(B1446,CadProd!$A:$B,2,0)),"")</f>
        <v/>
      </c>
      <c r="D1446" t="str">
        <f>IFERROR(IF(B1446="","",VLOOKUP(B1446,CadProd!$A:$C,3,0)),"")</f>
        <v/>
      </c>
      <c r="G1446" s="1" t="str">
        <f t="shared" si="22"/>
        <v/>
      </c>
    </row>
    <row r="1447" spans="3:7" x14ac:dyDescent="0.3">
      <c r="C1447" t="str">
        <f>IFERROR(IF(B1447="","",VLOOKUP(B1447,CadProd!$A:$B,2,0)),"")</f>
        <v/>
      </c>
      <c r="D1447" t="str">
        <f>IFERROR(IF(B1447="","",VLOOKUP(B1447,CadProd!$A:$C,3,0)),"")</f>
        <v/>
      </c>
      <c r="G1447" s="1" t="str">
        <f t="shared" si="22"/>
        <v/>
      </c>
    </row>
    <row r="1448" spans="3:7" x14ac:dyDescent="0.3">
      <c r="C1448" t="str">
        <f>IFERROR(IF(B1448="","",VLOOKUP(B1448,CadProd!$A:$B,2,0)),"")</f>
        <v/>
      </c>
      <c r="D1448" t="str">
        <f>IFERROR(IF(B1448="","",VLOOKUP(B1448,CadProd!$A:$C,3,0)),"")</f>
        <v/>
      </c>
      <c r="G1448" s="1" t="str">
        <f t="shared" si="22"/>
        <v/>
      </c>
    </row>
    <row r="1449" spans="3:7" x14ac:dyDescent="0.3">
      <c r="C1449" t="str">
        <f>IFERROR(IF(B1449="","",VLOOKUP(B1449,CadProd!$A:$B,2,0)),"")</f>
        <v/>
      </c>
      <c r="D1449" t="str">
        <f>IFERROR(IF(B1449="","",VLOOKUP(B1449,CadProd!$A:$C,3,0)),"")</f>
        <v/>
      </c>
      <c r="G1449" s="1" t="str">
        <f t="shared" si="22"/>
        <v/>
      </c>
    </row>
    <row r="1450" spans="3:7" x14ac:dyDescent="0.3">
      <c r="C1450" t="str">
        <f>IFERROR(IF(B1450="","",VLOOKUP(B1450,CadProd!$A:$B,2,0)),"")</f>
        <v/>
      </c>
      <c r="D1450" t="str">
        <f>IFERROR(IF(B1450="","",VLOOKUP(B1450,CadProd!$A:$C,3,0)),"")</f>
        <v/>
      </c>
      <c r="G1450" s="1" t="str">
        <f t="shared" si="22"/>
        <v/>
      </c>
    </row>
    <row r="1451" spans="3:7" x14ac:dyDescent="0.3">
      <c r="C1451" t="str">
        <f>IFERROR(IF(B1451="","",VLOOKUP(B1451,CadProd!$A:$B,2,0)),"")</f>
        <v/>
      </c>
      <c r="D1451" t="str">
        <f>IFERROR(IF(B1451="","",VLOOKUP(B1451,CadProd!$A:$C,3,0)),"")</f>
        <v/>
      </c>
      <c r="G1451" s="1" t="str">
        <f t="shared" si="22"/>
        <v/>
      </c>
    </row>
    <row r="1452" spans="3:7" x14ac:dyDescent="0.3">
      <c r="C1452" t="str">
        <f>IFERROR(IF(B1452="","",VLOOKUP(B1452,CadProd!$A:$B,2,0)),"")</f>
        <v/>
      </c>
      <c r="D1452" t="str">
        <f>IFERROR(IF(B1452="","",VLOOKUP(B1452,CadProd!$A:$C,3,0)),"")</f>
        <v/>
      </c>
      <c r="G1452" s="1" t="str">
        <f t="shared" si="22"/>
        <v/>
      </c>
    </row>
    <row r="1453" spans="3:7" x14ac:dyDescent="0.3">
      <c r="C1453" t="str">
        <f>IFERROR(IF(B1453="","",VLOOKUP(B1453,CadProd!$A:$B,2,0)),"")</f>
        <v/>
      </c>
      <c r="D1453" t="str">
        <f>IFERROR(IF(B1453="","",VLOOKUP(B1453,CadProd!$A:$C,3,0)),"")</f>
        <v/>
      </c>
      <c r="G1453" s="1" t="str">
        <f t="shared" si="22"/>
        <v/>
      </c>
    </row>
    <row r="1454" spans="3:7" x14ac:dyDescent="0.3">
      <c r="C1454" t="str">
        <f>IFERROR(IF(B1454="","",VLOOKUP(B1454,CadProd!$A:$B,2,0)),"")</f>
        <v/>
      </c>
      <c r="D1454" t="str">
        <f>IFERROR(IF(B1454="","",VLOOKUP(B1454,CadProd!$A:$C,3,0)),"")</f>
        <v/>
      </c>
      <c r="G1454" s="1" t="str">
        <f t="shared" si="22"/>
        <v/>
      </c>
    </row>
    <row r="1455" spans="3:7" x14ac:dyDescent="0.3">
      <c r="C1455" t="str">
        <f>IFERROR(IF(B1455="","",VLOOKUP(B1455,CadProd!$A:$B,2,0)),"")</f>
        <v/>
      </c>
      <c r="D1455" t="str">
        <f>IFERROR(IF(B1455="","",VLOOKUP(B1455,CadProd!$A:$C,3,0)),"")</f>
        <v/>
      </c>
      <c r="G1455" s="1" t="str">
        <f t="shared" si="22"/>
        <v/>
      </c>
    </row>
    <row r="1456" spans="3:7" x14ac:dyDescent="0.3">
      <c r="C1456" t="str">
        <f>IFERROR(IF(B1456="","",VLOOKUP(B1456,CadProd!$A:$B,2,0)),"")</f>
        <v/>
      </c>
      <c r="D1456" t="str">
        <f>IFERROR(IF(B1456="","",VLOOKUP(B1456,CadProd!$A:$C,3,0)),"")</f>
        <v/>
      </c>
      <c r="G1456" s="1" t="str">
        <f t="shared" si="22"/>
        <v/>
      </c>
    </row>
    <row r="1457" spans="3:7" x14ac:dyDescent="0.3">
      <c r="C1457" t="str">
        <f>IFERROR(IF(B1457="","",VLOOKUP(B1457,CadProd!$A:$B,2,0)),"")</f>
        <v/>
      </c>
      <c r="D1457" t="str">
        <f>IFERROR(IF(B1457="","",VLOOKUP(B1457,CadProd!$A:$C,3,0)),"")</f>
        <v/>
      </c>
      <c r="G1457" s="1" t="str">
        <f t="shared" si="22"/>
        <v/>
      </c>
    </row>
    <row r="1458" spans="3:7" x14ac:dyDescent="0.3">
      <c r="C1458" t="str">
        <f>IFERROR(IF(B1458="","",VLOOKUP(B1458,CadProd!$A:$B,2,0)),"")</f>
        <v/>
      </c>
      <c r="D1458" t="str">
        <f>IFERROR(IF(B1458="","",VLOOKUP(B1458,CadProd!$A:$C,3,0)),"")</f>
        <v/>
      </c>
      <c r="G1458" s="1" t="str">
        <f t="shared" si="22"/>
        <v/>
      </c>
    </row>
    <row r="1459" spans="3:7" x14ac:dyDescent="0.3">
      <c r="C1459" t="str">
        <f>IFERROR(IF(B1459="","",VLOOKUP(B1459,CadProd!$A:$B,2,0)),"")</f>
        <v/>
      </c>
      <c r="D1459" t="str">
        <f>IFERROR(IF(B1459="","",VLOOKUP(B1459,CadProd!$A:$C,3,0)),"")</f>
        <v/>
      </c>
      <c r="G1459" s="1" t="str">
        <f t="shared" si="22"/>
        <v/>
      </c>
    </row>
    <row r="1460" spans="3:7" x14ac:dyDescent="0.3">
      <c r="C1460" t="str">
        <f>IFERROR(IF(B1460="","",VLOOKUP(B1460,CadProd!$A:$B,2,0)),"")</f>
        <v/>
      </c>
      <c r="D1460" t="str">
        <f>IFERROR(IF(B1460="","",VLOOKUP(B1460,CadProd!$A:$C,3,0)),"")</f>
        <v/>
      </c>
      <c r="G1460" s="1" t="str">
        <f t="shared" si="22"/>
        <v/>
      </c>
    </row>
    <row r="1461" spans="3:7" x14ac:dyDescent="0.3">
      <c r="C1461" t="str">
        <f>IFERROR(IF(B1461="","",VLOOKUP(B1461,CadProd!$A:$B,2,0)),"")</f>
        <v/>
      </c>
      <c r="D1461" t="str">
        <f>IFERROR(IF(B1461="","",VLOOKUP(B1461,CadProd!$A:$C,3,0)),"")</f>
        <v/>
      </c>
      <c r="G1461" s="1" t="str">
        <f t="shared" si="22"/>
        <v/>
      </c>
    </row>
    <row r="1462" spans="3:7" x14ac:dyDescent="0.3">
      <c r="C1462" t="str">
        <f>IFERROR(IF(B1462="","",VLOOKUP(B1462,CadProd!$A:$B,2,0)),"")</f>
        <v/>
      </c>
      <c r="D1462" t="str">
        <f>IFERROR(IF(B1462="","",VLOOKUP(B1462,CadProd!$A:$C,3,0)),"")</f>
        <v/>
      </c>
      <c r="G1462" s="1" t="str">
        <f t="shared" si="22"/>
        <v/>
      </c>
    </row>
    <row r="1463" spans="3:7" x14ac:dyDescent="0.3">
      <c r="C1463" t="str">
        <f>IFERROR(IF(B1463="","",VLOOKUP(B1463,CadProd!$A:$B,2,0)),"")</f>
        <v/>
      </c>
      <c r="D1463" t="str">
        <f>IFERROR(IF(B1463="","",VLOOKUP(B1463,CadProd!$A:$C,3,0)),"")</f>
        <v/>
      </c>
      <c r="G1463" s="1" t="str">
        <f t="shared" si="22"/>
        <v/>
      </c>
    </row>
    <row r="1464" spans="3:7" x14ac:dyDescent="0.3">
      <c r="C1464" t="str">
        <f>IFERROR(IF(B1464="","",VLOOKUP(B1464,CadProd!$A:$B,2,0)),"")</f>
        <v/>
      </c>
      <c r="D1464" t="str">
        <f>IFERROR(IF(B1464="","",VLOOKUP(B1464,CadProd!$A:$C,3,0)),"")</f>
        <v/>
      </c>
      <c r="G1464" s="1" t="str">
        <f t="shared" si="22"/>
        <v/>
      </c>
    </row>
    <row r="1465" spans="3:7" x14ac:dyDescent="0.3">
      <c r="C1465" t="str">
        <f>IFERROR(IF(B1465="","",VLOOKUP(B1465,CadProd!$A:$B,2,0)),"")</f>
        <v/>
      </c>
      <c r="D1465" t="str">
        <f>IFERROR(IF(B1465="","",VLOOKUP(B1465,CadProd!$A:$C,3,0)),"")</f>
        <v/>
      </c>
      <c r="G1465" s="1" t="str">
        <f t="shared" si="22"/>
        <v/>
      </c>
    </row>
    <row r="1466" spans="3:7" x14ac:dyDescent="0.3">
      <c r="C1466" t="str">
        <f>IFERROR(IF(B1466="","",VLOOKUP(B1466,CadProd!$A:$B,2,0)),"")</f>
        <v/>
      </c>
      <c r="D1466" t="str">
        <f>IFERROR(IF(B1466="","",VLOOKUP(B1466,CadProd!$A:$C,3,0)),"")</f>
        <v/>
      </c>
      <c r="G1466" s="1" t="str">
        <f t="shared" si="22"/>
        <v/>
      </c>
    </row>
    <row r="1467" spans="3:7" x14ac:dyDescent="0.3">
      <c r="C1467" t="str">
        <f>IFERROR(IF(B1467="","",VLOOKUP(B1467,CadProd!$A:$B,2,0)),"")</f>
        <v/>
      </c>
      <c r="D1467" t="str">
        <f>IFERROR(IF(B1467="","",VLOOKUP(B1467,CadProd!$A:$C,3,0)),"")</f>
        <v/>
      </c>
      <c r="G1467" s="1" t="str">
        <f t="shared" si="22"/>
        <v/>
      </c>
    </row>
    <row r="1468" spans="3:7" x14ac:dyDescent="0.3">
      <c r="C1468" t="str">
        <f>IFERROR(IF(B1468="","",VLOOKUP(B1468,CadProd!$A:$B,2,0)),"")</f>
        <v/>
      </c>
      <c r="D1468" t="str">
        <f>IFERROR(IF(B1468="","",VLOOKUP(B1468,CadProd!$A:$C,3,0)),"")</f>
        <v/>
      </c>
      <c r="G1468" s="1" t="str">
        <f t="shared" si="22"/>
        <v/>
      </c>
    </row>
    <row r="1469" spans="3:7" x14ac:dyDescent="0.3">
      <c r="C1469" t="str">
        <f>IFERROR(IF(B1469="","",VLOOKUP(B1469,CadProd!$A:$B,2,0)),"")</f>
        <v/>
      </c>
      <c r="D1469" t="str">
        <f>IFERROR(IF(B1469="","",VLOOKUP(B1469,CadProd!$A:$C,3,0)),"")</f>
        <v/>
      </c>
      <c r="G1469" s="1" t="str">
        <f t="shared" si="22"/>
        <v/>
      </c>
    </row>
    <row r="1470" spans="3:7" x14ac:dyDescent="0.3">
      <c r="C1470" t="str">
        <f>IFERROR(IF(B1470="","",VLOOKUP(B1470,CadProd!$A:$B,2,0)),"")</f>
        <v/>
      </c>
      <c r="D1470" t="str">
        <f>IFERROR(IF(B1470="","",VLOOKUP(B1470,CadProd!$A:$C,3,0)),"")</f>
        <v/>
      </c>
      <c r="G1470" s="1" t="str">
        <f t="shared" si="22"/>
        <v/>
      </c>
    </row>
    <row r="1471" spans="3:7" x14ac:dyDescent="0.3">
      <c r="C1471" t="str">
        <f>IFERROR(IF(B1471="","",VLOOKUP(B1471,CadProd!$A:$B,2,0)),"")</f>
        <v/>
      </c>
      <c r="D1471" t="str">
        <f>IFERROR(IF(B1471="","",VLOOKUP(B1471,CadProd!$A:$C,3,0)),"")</f>
        <v/>
      </c>
      <c r="G1471" s="1" t="str">
        <f t="shared" si="22"/>
        <v/>
      </c>
    </row>
    <row r="1472" spans="3:7" x14ac:dyDescent="0.3">
      <c r="C1472" t="str">
        <f>IFERROR(IF(B1472="","",VLOOKUP(B1472,CadProd!$A:$B,2,0)),"")</f>
        <v/>
      </c>
      <c r="D1472" t="str">
        <f>IFERROR(IF(B1472="","",VLOOKUP(B1472,CadProd!$A:$C,3,0)),"")</f>
        <v/>
      </c>
      <c r="G1472" s="1" t="str">
        <f t="shared" si="22"/>
        <v/>
      </c>
    </row>
    <row r="1473" spans="3:7" x14ac:dyDescent="0.3">
      <c r="C1473" t="str">
        <f>IFERROR(IF(B1473="","",VLOOKUP(B1473,CadProd!$A:$B,2,0)),"")</f>
        <v/>
      </c>
      <c r="D1473" t="str">
        <f>IFERROR(IF(B1473="","",VLOOKUP(B1473,CadProd!$A:$C,3,0)),"")</f>
        <v/>
      </c>
      <c r="G1473" s="1" t="str">
        <f t="shared" si="22"/>
        <v/>
      </c>
    </row>
    <row r="1474" spans="3:7" x14ac:dyDescent="0.3">
      <c r="C1474" t="str">
        <f>IFERROR(IF(B1474="","",VLOOKUP(B1474,CadProd!$A:$B,2,0)),"")</f>
        <v/>
      </c>
      <c r="D1474" t="str">
        <f>IFERROR(IF(B1474="","",VLOOKUP(B1474,CadProd!$A:$C,3,0)),"")</f>
        <v/>
      </c>
      <c r="G1474" s="1" t="str">
        <f t="shared" ref="G1474:G1537" si="23">IFERROR(IF(B1474="","",F1474*E1474),"")</f>
        <v/>
      </c>
    </row>
    <row r="1475" spans="3:7" x14ac:dyDescent="0.3">
      <c r="C1475" t="str">
        <f>IFERROR(IF(B1475="","",VLOOKUP(B1475,CadProd!$A:$B,2,0)),"")</f>
        <v/>
      </c>
      <c r="D1475" t="str">
        <f>IFERROR(IF(B1475="","",VLOOKUP(B1475,CadProd!$A:$C,3,0)),"")</f>
        <v/>
      </c>
      <c r="G1475" s="1" t="str">
        <f t="shared" si="23"/>
        <v/>
      </c>
    </row>
    <row r="1476" spans="3:7" x14ac:dyDescent="0.3">
      <c r="C1476" t="str">
        <f>IFERROR(IF(B1476="","",VLOOKUP(B1476,CadProd!$A:$B,2,0)),"")</f>
        <v/>
      </c>
      <c r="D1476" t="str">
        <f>IFERROR(IF(B1476="","",VLOOKUP(B1476,CadProd!$A:$C,3,0)),"")</f>
        <v/>
      </c>
      <c r="G1476" s="1" t="str">
        <f t="shared" si="23"/>
        <v/>
      </c>
    </row>
    <row r="1477" spans="3:7" x14ac:dyDescent="0.3">
      <c r="C1477" t="str">
        <f>IFERROR(IF(B1477="","",VLOOKUP(B1477,CadProd!$A:$B,2,0)),"")</f>
        <v/>
      </c>
      <c r="D1477" t="str">
        <f>IFERROR(IF(B1477="","",VLOOKUP(B1477,CadProd!$A:$C,3,0)),"")</f>
        <v/>
      </c>
      <c r="G1477" s="1" t="str">
        <f t="shared" si="23"/>
        <v/>
      </c>
    </row>
    <row r="1478" spans="3:7" x14ac:dyDescent="0.3">
      <c r="C1478" t="str">
        <f>IFERROR(IF(B1478="","",VLOOKUP(B1478,CadProd!$A:$B,2,0)),"")</f>
        <v/>
      </c>
      <c r="D1478" t="str">
        <f>IFERROR(IF(B1478="","",VLOOKUP(B1478,CadProd!$A:$C,3,0)),"")</f>
        <v/>
      </c>
      <c r="G1478" s="1" t="str">
        <f t="shared" si="23"/>
        <v/>
      </c>
    </row>
    <row r="1479" spans="3:7" x14ac:dyDescent="0.3">
      <c r="C1479" t="str">
        <f>IFERROR(IF(B1479="","",VLOOKUP(B1479,CadProd!$A:$B,2,0)),"")</f>
        <v/>
      </c>
      <c r="D1479" t="str">
        <f>IFERROR(IF(B1479="","",VLOOKUP(B1479,CadProd!$A:$C,3,0)),"")</f>
        <v/>
      </c>
      <c r="G1479" s="1" t="str">
        <f t="shared" si="23"/>
        <v/>
      </c>
    </row>
    <row r="1480" spans="3:7" x14ac:dyDescent="0.3">
      <c r="C1480" t="str">
        <f>IFERROR(IF(B1480="","",VLOOKUP(B1480,CadProd!$A:$B,2,0)),"")</f>
        <v/>
      </c>
      <c r="D1480" t="str">
        <f>IFERROR(IF(B1480="","",VLOOKUP(B1480,CadProd!$A:$C,3,0)),"")</f>
        <v/>
      </c>
      <c r="G1480" s="1" t="str">
        <f t="shared" si="23"/>
        <v/>
      </c>
    </row>
    <row r="1481" spans="3:7" x14ac:dyDescent="0.3">
      <c r="C1481" t="str">
        <f>IFERROR(IF(B1481="","",VLOOKUP(B1481,CadProd!$A:$B,2,0)),"")</f>
        <v/>
      </c>
      <c r="D1481" t="str">
        <f>IFERROR(IF(B1481="","",VLOOKUP(B1481,CadProd!$A:$C,3,0)),"")</f>
        <v/>
      </c>
      <c r="G1481" s="1" t="str">
        <f t="shared" si="23"/>
        <v/>
      </c>
    </row>
    <row r="1482" spans="3:7" x14ac:dyDescent="0.3">
      <c r="C1482" t="str">
        <f>IFERROR(IF(B1482="","",VLOOKUP(B1482,CadProd!$A:$B,2,0)),"")</f>
        <v/>
      </c>
      <c r="D1482" t="str">
        <f>IFERROR(IF(B1482="","",VLOOKUP(B1482,CadProd!$A:$C,3,0)),"")</f>
        <v/>
      </c>
      <c r="G1482" s="1" t="str">
        <f t="shared" si="23"/>
        <v/>
      </c>
    </row>
    <row r="1483" spans="3:7" x14ac:dyDescent="0.3">
      <c r="C1483" t="str">
        <f>IFERROR(IF(B1483="","",VLOOKUP(B1483,CadProd!$A:$B,2,0)),"")</f>
        <v/>
      </c>
      <c r="D1483" t="str">
        <f>IFERROR(IF(B1483="","",VLOOKUP(B1483,CadProd!$A:$C,3,0)),"")</f>
        <v/>
      </c>
      <c r="G1483" s="1" t="str">
        <f t="shared" si="23"/>
        <v/>
      </c>
    </row>
    <row r="1484" spans="3:7" x14ac:dyDescent="0.3">
      <c r="C1484" t="str">
        <f>IFERROR(IF(B1484="","",VLOOKUP(B1484,CadProd!$A:$B,2,0)),"")</f>
        <v/>
      </c>
      <c r="D1484" t="str">
        <f>IFERROR(IF(B1484="","",VLOOKUP(B1484,CadProd!$A:$C,3,0)),"")</f>
        <v/>
      </c>
      <c r="G1484" s="1" t="str">
        <f t="shared" si="23"/>
        <v/>
      </c>
    </row>
    <row r="1485" spans="3:7" x14ac:dyDescent="0.3">
      <c r="C1485" t="str">
        <f>IFERROR(IF(B1485="","",VLOOKUP(B1485,CadProd!$A:$B,2,0)),"")</f>
        <v/>
      </c>
      <c r="D1485" t="str">
        <f>IFERROR(IF(B1485="","",VLOOKUP(B1485,CadProd!$A:$C,3,0)),"")</f>
        <v/>
      </c>
      <c r="G1485" s="1" t="str">
        <f t="shared" si="23"/>
        <v/>
      </c>
    </row>
    <row r="1486" spans="3:7" x14ac:dyDescent="0.3">
      <c r="C1486" t="str">
        <f>IFERROR(IF(B1486="","",VLOOKUP(B1486,CadProd!$A:$B,2,0)),"")</f>
        <v/>
      </c>
      <c r="D1486" t="str">
        <f>IFERROR(IF(B1486="","",VLOOKUP(B1486,CadProd!$A:$C,3,0)),"")</f>
        <v/>
      </c>
      <c r="G1486" s="1" t="str">
        <f t="shared" si="23"/>
        <v/>
      </c>
    </row>
    <row r="1487" spans="3:7" x14ac:dyDescent="0.3">
      <c r="C1487" t="str">
        <f>IFERROR(IF(B1487="","",VLOOKUP(B1487,CadProd!$A:$B,2,0)),"")</f>
        <v/>
      </c>
      <c r="D1487" t="str">
        <f>IFERROR(IF(B1487="","",VLOOKUP(B1487,CadProd!$A:$C,3,0)),"")</f>
        <v/>
      </c>
      <c r="G1487" s="1" t="str">
        <f t="shared" si="23"/>
        <v/>
      </c>
    </row>
    <row r="1488" spans="3:7" x14ac:dyDescent="0.3">
      <c r="C1488" t="str">
        <f>IFERROR(IF(B1488="","",VLOOKUP(B1488,CadProd!$A:$B,2,0)),"")</f>
        <v/>
      </c>
      <c r="D1488" t="str">
        <f>IFERROR(IF(B1488="","",VLOOKUP(B1488,CadProd!$A:$C,3,0)),"")</f>
        <v/>
      </c>
      <c r="G1488" s="1" t="str">
        <f t="shared" si="23"/>
        <v/>
      </c>
    </row>
    <row r="1489" spans="3:7" x14ac:dyDescent="0.3">
      <c r="C1489" t="str">
        <f>IFERROR(IF(B1489="","",VLOOKUP(B1489,CadProd!$A:$B,2,0)),"")</f>
        <v/>
      </c>
      <c r="D1489" t="str">
        <f>IFERROR(IF(B1489="","",VLOOKUP(B1489,CadProd!$A:$C,3,0)),"")</f>
        <v/>
      </c>
      <c r="G1489" s="1" t="str">
        <f t="shared" si="23"/>
        <v/>
      </c>
    </row>
    <row r="1490" spans="3:7" x14ac:dyDescent="0.3">
      <c r="C1490" t="str">
        <f>IFERROR(IF(B1490="","",VLOOKUP(B1490,CadProd!$A:$B,2,0)),"")</f>
        <v/>
      </c>
      <c r="D1490" t="str">
        <f>IFERROR(IF(B1490="","",VLOOKUP(B1490,CadProd!$A:$C,3,0)),"")</f>
        <v/>
      </c>
      <c r="G1490" s="1" t="str">
        <f t="shared" si="23"/>
        <v/>
      </c>
    </row>
    <row r="1491" spans="3:7" x14ac:dyDescent="0.3">
      <c r="C1491" t="str">
        <f>IFERROR(IF(B1491="","",VLOOKUP(B1491,CadProd!$A:$B,2,0)),"")</f>
        <v/>
      </c>
      <c r="D1491" t="str">
        <f>IFERROR(IF(B1491="","",VLOOKUP(B1491,CadProd!$A:$C,3,0)),"")</f>
        <v/>
      </c>
      <c r="G1491" s="1" t="str">
        <f t="shared" si="23"/>
        <v/>
      </c>
    </row>
    <row r="1492" spans="3:7" x14ac:dyDescent="0.3">
      <c r="C1492" t="str">
        <f>IFERROR(IF(B1492="","",VLOOKUP(B1492,CadProd!$A:$B,2,0)),"")</f>
        <v/>
      </c>
      <c r="D1492" t="str">
        <f>IFERROR(IF(B1492="","",VLOOKUP(B1492,CadProd!$A:$C,3,0)),"")</f>
        <v/>
      </c>
      <c r="G1492" s="1" t="str">
        <f t="shared" si="23"/>
        <v/>
      </c>
    </row>
    <row r="1493" spans="3:7" x14ac:dyDescent="0.3">
      <c r="C1493" t="str">
        <f>IFERROR(IF(B1493="","",VLOOKUP(B1493,CadProd!$A:$B,2,0)),"")</f>
        <v/>
      </c>
      <c r="D1493" t="str">
        <f>IFERROR(IF(B1493="","",VLOOKUP(B1493,CadProd!$A:$C,3,0)),"")</f>
        <v/>
      </c>
      <c r="G1493" s="1" t="str">
        <f t="shared" si="23"/>
        <v/>
      </c>
    </row>
    <row r="1494" spans="3:7" x14ac:dyDescent="0.3">
      <c r="C1494" t="str">
        <f>IFERROR(IF(B1494="","",VLOOKUP(B1494,CadProd!$A:$B,2,0)),"")</f>
        <v/>
      </c>
      <c r="D1494" t="str">
        <f>IFERROR(IF(B1494="","",VLOOKUP(B1494,CadProd!$A:$C,3,0)),"")</f>
        <v/>
      </c>
      <c r="G1494" s="1" t="str">
        <f t="shared" si="23"/>
        <v/>
      </c>
    </row>
    <row r="1495" spans="3:7" x14ac:dyDescent="0.3">
      <c r="C1495" t="str">
        <f>IFERROR(IF(B1495="","",VLOOKUP(B1495,CadProd!$A:$B,2,0)),"")</f>
        <v/>
      </c>
      <c r="D1495" t="str">
        <f>IFERROR(IF(B1495="","",VLOOKUP(B1495,CadProd!$A:$C,3,0)),"")</f>
        <v/>
      </c>
      <c r="G1495" s="1" t="str">
        <f t="shared" si="23"/>
        <v/>
      </c>
    </row>
    <row r="1496" spans="3:7" x14ac:dyDescent="0.3">
      <c r="C1496" t="str">
        <f>IFERROR(IF(B1496="","",VLOOKUP(B1496,CadProd!$A:$B,2,0)),"")</f>
        <v/>
      </c>
      <c r="D1496" t="str">
        <f>IFERROR(IF(B1496="","",VLOOKUP(B1496,CadProd!$A:$C,3,0)),"")</f>
        <v/>
      </c>
      <c r="G1496" s="1" t="str">
        <f t="shared" si="23"/>
        <v/>
      </c>
    </row>
    <row r="1497" spans="3:7" x14ac:dyDescent="0.3">
      <c r="C1497" t="str">
        <f>IFERROR(IF(B1497="","",VLOOKUP(B1497,CadProd!$A:$B,2,0)),"")</f>
        <v/>
      </c>
      <c r="D1497" t="str">
        <f>IFERROR(IF(B1497="","",VLOOKUP(B1497,CadProd!$A:$C,3,0)),"")</f>
        <v/>
      </c>
      <c r="G1497" s="1" t="str">
        <f t="shared" si="23"/>
        <v/>
      </c>
    </row>
    <row r="1498" spans="3:7" x14ac:dyDescent="0.3">
      <c r="C1498" t="str">
        <f>IFERROR(IF(B1498="","",VLOOKUP(B1498,CadProd!$A:$B,2,0)),"")</f>
        <v/>
      </c>
      <c r="D1498" t="str">
        <f>IFERROR(IF(B1498="","",VLOOKUP(B1498,CadProd!$A:$C,3,0)),"")</f>
        <v/>
      </c>
      <c r="G1498" s="1" t="str">
        <f t="shared" si="23"/>
        <v/>
      </c>
    </row>
    <row r="1499" spans="3:7" x14ac:dyDescent="0.3">
      <c r="C1499" t="str">
        <f>IFERROR(IF(B1499="","",VLOOKUP(B1499,CadProd!$A:$B,2,0)),"")</f>
        <v/>
      </c>
      <c r="D1499" t="str">
        <f>IFERROR(IF(B1499="","",VLOOKUP(B1499,CadProd!$A:$C,3,0)),"")</f>
        <v/>
      </c>
      <c r="G1499" s="1" t="str">
        <f t="shared" si="23"/>
        <v/>
      </c>
    </row>
    <row r="1500" spans="3:7" x14ac:dyDescent="0.3">
      <c r="C1500" t="str">
        <f>IFERROR(IF(B1500="","",VLOOKUP(B1500,CadProd!$A:$B,2,0)),"")</f>
        <v/>
      </c>
      <c r="D1500" t="str">
        <f>IFERROR(IF(B1500="","",VLOOKUP(B1500,CadProd!$A:$C,3,0)),"")</f>
        <v/>
      </c>
      <c r="G1500" s="1" t="str">
        <f t="shared" si="23"/>
        <v/>
      </c>
    </row>
    <row r="1501" spans="3:7" x14ac:dyDescent="0.3">
      <c r="C1501" t="str">
        <f>IFERROR(IF(B1501="","",VLOOKUP(B1501,CadProd!$A:$B,2,0)),"")</f>
        <v/>
      </c>
      <c r="D1501" t="str">
        <f>IFERROR(IF(B1501="","",VLOOKUP(B1501,CadProd!$A:$C,3,0)),"")</f>
        <v/>
      </c>
      <c r="G1501" s="1" t="str">
        <f t="shared" si="23"/>
        <v/>
      </c>
    </row>
    <row r="1502" spans="3:7" x14ac:dyDescent="0.3">
      <c r="C1502" t="str">
        <f>IFERROR(IF(B1502="","",VLOOKUP(B1502,CadProd!$A:$B,2,0)),"")</f>
        <v/>
      </c>
      <c r="D1502" t="str">
        <f>IFERROR(IF(B1502="","",VLOOKUP(B1502,CadProd!$A:$C,3,0)),"")</f>
        <v/>
      </c>
      <c r="G1502" s="1" t="str">
        <f t="shared" si="23"/>
        <v/>
      </c>
    </row>
    <row r="1503" spans="3:7" x14ac:dyDescent="0.3">
      <c r="C1503" t="str">
        <f>IFERROR(IF(B1503="","",VLOOKUP(B1503,CadProd!$A:$B,2,0)),"")</f>
        <v/>
      </c>
      <c r="D1503" t="str">
        <f>IFERROR(IF(B1503="","",VLOOKUP(B1503,CadProd!$A:$C,3,0)),"")</f>
        <v/>
      </c>
      <c r="G1503" s="1" t="str">
        <f t="shared" si="23"/>
        <v/>
      </c>
    </row>
    <row r="1504" spans="3:7" x14ac:dyDescent="0.3">
      <c r="C1504" t="str">
        <f>IFERROR(IF(B1504="","",VLOOKUP(B1504,CadProd!$A:$B,2,0)),"")</f>
        <v/>
      </c>
      <c r="D1504" t="str">
        <f>IFERROR(IF(B1504="","",VLOOKUP(B1504,CadProd!$A:$C,3,0)),"")</f>
        <v/>
      </c>
      <c r="G1504" s="1" t="str">
        <f t="shared" si="23"/>
        <v/>
      </c>
    </row>
    <row r="1505" spans="3:7" x14ac:dyDescent="0.3">
      <c r="C1505" t="str">
        <f>IFERROR(IF(B1505="","",VLOOKUP(B1505,CadProd!$A:$B,2,0)),"")</f>
        <v/>
      </c>
      <c r="D1505" t="str">
        <f>IFERROR(IF(B1505="","",VLOOKUP(B1505,CadProd!$A:$C,3,0)),"")</f>
        <v/>
      </c>
      <c r="G1505" s="1" t="str">
        <f t="shared" si="23"/>
        <v/>
      </c>
    </row>
    <row r="1506" spans="3:7" x14ac:dyDescent="0.3">
      <c r="C1506" t="str">
        <f>IFERROR(IF(B1506="","",VLOOKUP(B1506,CadProd!$A:$B,2,0)),"")</f>
        <v/>
      </c>
      <c r="D1506" t="str">
        <f>IFERROR(IF(B1506="","",VLOOKUP(B1506,CadProd!$A:$C,3,0)),"")</f>
        <v/>
      </c>
      <c r="G1506" s="1" t="str">
        <f t="shared" si="23"/>
        <v/>
      </c>
    </row>
    <row r="1507" spans="3:7" x14ac:dyDescent="0.3">
      <c r="C1507" t="str">
        <f>IFERROR(IF(B1507="","",VLOOKUP(B1507,CadProd!$A:$B,2,0)),"")</f>
        <v/>
      </c>
      <c r="D1507" t="str">
        <f>IFERROR(IF(B1507="","",VLOOKUP(B1507,CadProd!$A:$C,3,0)),"")</f>
        <v/>
      </c>
      <c r="G1507" s="1" t="str">
        <f t="shared" si="23"/>
        <v/>
      </c>
    </row>
    <row r="1508" spans="3:7" x14ac:dyDescent="0.3">
      <c r="C1508" t="str">
        <f>IFERROR(IF(B1508="","",VLOOKUP(B1508,CadProd!$A:$B,2,0)),"")</f>
        <v/>
      </c>
      <c r="D1508" t="str">
        <f>IFERROR(IF(B1508="","",VLOOKUP(B1508,CadProd!$A:$C,3,0)),"")</f>
        <v/>
      </c>
      <c r="G1508" s="1" t="str">
        <f t="shared" si="23"/>
        <v/>
      </c>
    </row>
    <row r="1509" spans="3:7" x14ac:dyDescent="0.3">
      <c r="C1509" t="str">
        <f>IFERROR(IF(B1509="","",VLOOKUP(B1509,CadProd!$A:$B,2,0)),"")</f>
        <v/>
      </c>
      <c r="D1509" t="str">
        <f>IFERROR(IF(B1509="","",VLOOKUP(B1509,CadProd!$A:$C,3,0)),"")</f>
        <v/>
      </c>
      <c r="G1509" s="1" t="str">
        <f t="shared" si="23"/>
        <v/>
      </c>
    </row>
    <row r="1510" spans="3:7" x14ac:dyDescent="0.3">
      <c r="C1510" t="str">
        <f>IFERROR(IF(B1510="","",VLOOKUP(B1510,CadProd!$A:$B,2,0)),"")</f>
        <v/>
      </c>
      <c r="D1510" t="str">
        <f>IFERROR(IF(B1510="","",VLOOKUP(B1510,CadProd!$A:$C,3,0)),"")</f>
        <v/>
      </c>
      <c r="G1510" s="1" t="str">
        <f t="shared" si="23"/>
        <v/>
      </c>
    </row>
    <row r="1511" spans="3:7" x14ac:dyDescent="0.3">
      <c r="C1511" t="str">
        <f>IFERROR(IF(B1511="","",VLOOKUP(B1511,CadProd!$A:$B,2,0)),"")</f>
        <v/>
      </c>
      <c r="D1511" t="str">
        <f>IFERROR(IF(B1511="","",VLOOKUP(B1511,CadProd!$A:$C,3,0)),"")</f>
        <v/>
      </c>
      <c r="G1511" s="1" t="str">
        <f t="shared" si="23"/>
        <v/>
      </c>
    </row>
    <row r="1512" spans="3:7" x14ac:dyDescent="0.3">
      <c r="C1512" t="str">
        <f>IFERROR(IF(B1512="","",VLOOKUP(B1512,CadProd!$A:$B,2,0)),"")</f>
        <v/>
      </c>
      <c r="D1512" t="str">
        <f>IFERROR(IF(B1512="","",VLOOKUP(B1512,CadProd!$A:$C,3,0)),"")</f>
        <v/>
      </c>
      <c r="G1512" s="1" t="str">
        <f t="shared" si="23"/>
        <v/>
      </c>
    </row>
    <row r="1513" spans="3:7" x14ac:dyDescent="0.3">
      <c r="C1513" t="str">
        <f>IFERROR(IF(B1513="","",VLOOKUP(B1513,CadProd!$A:$B,2,0)),"")</f>
        <v/>
      </c>
      <c r="D1513" t="str">
        <f>IFERROR(IF(B1513="","",VLOOKUP(B1513,CadProd!$A:$C,3,0)),"")</f>
        <v/>
      </c>
      <c r="G1513" s="1" t="str">
        <f t="shared" si="23"/>
        <v/>
      </c>
    </row>
    <row r="1514" spans="3:7" x14ac:dyDescent="0.3">
      <c r="C1514" t="str">
        <f>IFERROR(IF(B1514="","",VLOOKUP(B1514,CadProd!$A:$B,2,0)),"")</f>
        <v/>
      </c>
      <c r="D1514" t="str">
        <f>IFERROR(IF(B1514="","",VLOOKUP(B1514,CadProd!$A:$C,3,0)),"")</f>
        <v/>
      </c>
      <c r="G1514" s="1" t="str">
        <f t="shared" si="23"/>
        <v/>
      </c>
    </row>
    <row r="1515" spans="3:7" x14ac:dyDescent="0.3">
      <c r="C1515" t="str">
        <f>IFERROR(IF(B1515="","",VLOOKUP(B1515,CadProd!$A:$B,2,0)),"")</f>
        <v/>
      </c>
      <c r="D1515" t="str">
        <f>IFERROR(IF(B1515="","",VLOOKUP(B1515,CadProd!$A:$C,3,0)),"")</f>
        <v/>
      </c>
      <c r="G1515" s="1" t="str">
        <f t="shared" si="23"/>
        <v/>
      </c>
    </row>
    <row r="1516" spans="3:7" x14ac:dyDescent="0.3">
      <c r="C1516" t="str">
        <f>IFERROR(IF(B1516="","",VLOOKUP(B1516,CadProd!$A:$B,2,0)),"")</f>
        <v/>
      </c>
      <c r="D1516" t="str">
        <f>IFERROR(IF(B1516="","",VLOOKUP(B1516,CadProd!$A:$C,3,0)),"")</f>
        <v/>
      </c>
      <c r="G1516" s="1" t="str">
        <f t="shared" si="23"/>
        <v/>
      </c>
    </row>
    <row r="1517" spans="3:7" x14ac:dyDescent="0.3">
      <c r="C1517" t="str">
        <f>IFERROR(IF(B1517="","",VLOOKUP(B1517,CadProd!$A:$B,2,0)),"")</f>
        <v/>
      </c>
      <c r="D1517" t="str">
        <f>IFERROR(IF(B1517="","",VLOOKUP(B1517,CadProd!$A:$C,3,0)),"")</f>
        <v/>
      </c>
      <c r="G1517" s="1" t="str">
        <f t="shared" si="23"/>
        <v/>
      </c>
    </row>
    <row r="1518" spans="3:7" x14ac:dyDescent="0.3">
      <c r="C1518" t="str">
        <f>IFERROR(IF(B1518="","",VLOOKUP(B1518,CadProd!$A:$B,2,0)),"")</f>
        <v/>
      </c>
      <c r="D1518" t="str">
        <f>IFERROR(IF(B1518="","",VLOOKUP(B1518,CadProd!$A:$C,3,0)),"")</f>
        <v/>
      </c>
      <c r="G1518" s="1" t="str">
        <f t="shared" si="23"/>
        <v/>
      </c>
    </row>
    <row r="1519" spans="3:7" x14ac:dyDescent="0.3">
      <c r="C1519" t="str">
        <f>IFERROR(IF(B1519="","",VLOOKUP(B1519,CadProd!$A:$B,2,0)),"")</f>
        <v/>
      </c>
      <c r="D1519" t="str">
        <f>IFERROR(IF(B1519="","",VLOOKUP(B1519,CadProd!$A:$C,3,0)),"")</f>
        <v/>
      </c>
      <c r="G1519" s="1" t="str">
        <f t="shared" si="23"/>
        <v/>
      </c>
    </row>
    <row r="1520" spans="3:7" x14ac:dyDescent="0.3">
      <c r="C1520" t="str">
        <f>IFERROR(IF(B1520="","",VLOOKUP(B1520,CadProd!$A:$B,2,0)),"")</f>
        <v/>
      </c>
      <c r="D1520" t="str">
        <f>IFERROR(IF(B1520="","",VLOOKUP(B1520,CadProd!$A:$C,3,0)),"")</f>
        <v/>
      </c>
      <c r="G1520" s="1" t="str">
        <f t="shared" si="23"/>
        <v/>
      </c>
    </row>
    <row r="1521" spans="3:7" x14ac:dyDescent="0.3">
      <c r="C1521" t="str">
        <f>IFERROR(IF(B1521="","",VLOOKUP(B1521,CadProd!$A:$B,2,0)),"")</f>
        <v/>
      </c>
      <c r="D1521" t="str">
        <f>IFERROR(IF(B1521="","",VLOOKUP(B1521,CadProd!$A:$C,3,0)),"")</f>
        <v/>
      </c>
      <c r="G1521" s="1" t="str">
        <f t="shared" si="23"/>
        <v/>
      </c>
    </row>
    <row r="1522" spans="3:7" x14ac:dyDescent="0.3">
      <c r="C1522" t="str">
        <f>IFERROR(IF(B1522="","",VLOOKUP(B1522,CadProd!$A:$B,2,0)),"")</f>
        <v/>
      </c>
      <c r="D1522" t="str">
        <f>IFERROR(IF(B1522="","",VLOOKUP(B1522,CadProd!$A:$C,3,0)),"")</f>
        <v/>
      </c>
      <c r="G1522" s="1" t="str">
        <f t="shared" si="23"/>
        <v/>
      </c>
    </row>
    <row r="1523" spans="3:7" x14ac:dyDescent="0.3">
      <c r="C1523" t="str">
        <f>IFERROR(IF(B1523="","",VLOOKUP(B1523,CadProd!$A:$B,2,0)),"")</f>
        <v/>
      </c>
      <c r="D1523" t="str">
        <f>IFERROR(IF(B1523="","",VLOOKUP(B1523,CadProd!$A:$C,3,0)),"")</f>
        <v/>
      </c>
      <c r="G1523" s="1" t="str">
        <f t="shared" si="23"/>
        <v/>
      </c>
    </row>
    <row r="1524" spans="3:7" x14ac:dyDescent="0.3">
      <c r="C1524" t="str">
        <f>IFERROR(IF(B1524="","",VLOOKUP(B1524,CadProd!$A:$B,2,0)),"")</f>
        <v/>
      </c>
      <c r="D1524" t="str">
        <f>IFERROR(IF(B1524="","",VLOOKUP(B1524,CadProd!$A:$C,3,0)),"")</f>
        <v/>
      </c>
      <c r="G1524" s="1" t="str">
        <f t="shared" si="23"/>
        <v/>
      </c>
    </row>
    <row r="1525" spans="3:7" x14ac:dyDescent="0.3">
      <c r="C1525" t="str">
        <f>IFERROR(IF(B1525="","",VLOOKUP(B1525,CadProd!$A:$B,2,0)),"")</f>
        <v/>
      </c>
      <c r="D1525" t="str">
        <f>IFERROR(IF(B1525="","",VLOOKUP(B1525,CadProd!$A:$C,3,0)),"")</f>
        <v/>
      </c>
      <c r="G1525" s="1" t="str">
        <f t="shared" si="23"/>
        <v/>
      </c>
    </row>
    <row r="1526" spans="3:7" x14ac:dyDescent="0.3">
      <c r="C1526" t="str">
        <f>IFERROR(IF(B1526="","",VLOOKUP(B1526,CadProd!$A:$B,2,0)),"")</f>
        <v/>
      </c>
      <c r="D1526" t="str">
        <f>IFERROR(IF(B1526="","",VLOOKUP(B1526,CadProd!$A:$C,3,0)),"")</f>
        <v/>
      </c>
      <c r="G1526" s="1" t="str">
        <f t="shared" si="23"/>
        <v/>
      </c>
    </row>
    <row r="1527" spans="3:7" x14ac:dyDescent="0.3">
      <c r="C1527" t="str">
        <f>IFERROR(IF(B1527="","",VLOOKUP(B1527,CadProd!$A:$B,2,0)),"")</f>
        <v/>
      </c>
      <c r="D1527" t="str">
        <f>IFERROR(IF(B1527="","",VLOOKUP(B1527,CadProd!$A:$C,3,0)),"")</f>
        <v/>
      </c>
      <c r="G1527" s="1" t="str">
        <f t="shared" si="23"/>
        <v/>
      </c>
    </row>
    <row r="1528" spans="3:7" x14ac:dyDescent="0.3">
      <c r="C1528" t="str">
        <f>IFERROR(IF(B1528="","",VLOOKUP(B1528,CadProd!$A:$B,2,0)),"")</f>
        <v/>
      </c>
      <c r="D1528" t="str">
        <f>IFERROR(IF(B1528="","",VLOOKUP(B1528,CadProd!$A:$C,3,0)),"")</f>
        <v/>
      </c>
      <c r="G1528" s="1" t="str">
        <f t="shared" si="23"/>
        <v/>
      </c>
    </row>
    <row r="1529" spans="3:7" x14ac:dyDescent="0.3">
      <c r="C1529" t="str">
        <f>IFERROR(IF(B1529="","",VLOOKUP(B1529,CadProd!$A:$B,2,0)),"")</f>
        <v/>
      </c>
      <c r="D1529" t="str">
        <f>IFERROR(IF(B1529="","",VLOOKUP(B1529,CadProd!$A:$C,3,0)),"")</f>
        <v/>
      </c>
      <c r="G1529" s="1" t="str">
        <f t="shared" si="23"/>
        <v/>
      </c>
    </row>
    <row r="1530" spans="3:7" x14ac:dyDescent="0.3">
      <c r="C1530" t="str">
        <f>IFERROR(IF(B1530="","",VLOOKUP(B1530,CadProd!$A:$B,2,0)),"")</f>
        <v/>
      </c>
      <c r="D1530" t="str">
        <f>IFERROR(IF(B1530="","",VLOOKUP(B1530,CadProd!$A:$C,3,0)),"")</f>
        <v/>
      </c>
      <c r="G1530" s="1" t="str">
        <f t="shared" si="23"/>
        <v/>
      </c>
    </row>
    <row r="1531" spans="3:7" x14ac:dyDescent="0.3">
      <c r="C1531" t="str">
        <f>IFERROR(IF(B1531="","",VLOOKUP(B1531,CadProd!$A:$B,2,0)),"")</f>
        <v/>
      </c>
      <c r="D1531" t="str">
        <f>IFERROR(IF(B1531="","",VLOOKUP(B1531,CadProd!$A:$C,3,0)),"")</f>
        <v/>
      </c>
      <c r="G1531" s="1" t="str">
        <f t="shared" si="23"/>
        <v/>
      </c>
    </row>
    <row r="1532" spans="3:7" x14ac:dyDescent="0.3">
      <c r="C1532" t="str">
        <f>IFERROR(IF(B1532="","",VLOOKUP(B1532,CadProd!$A:$B,2,0)),"")</f>
        <v/>
      </c>
      <c r="D1532" t="str">
        <f>IFERROR(IF(B1532="","",VLOOKUP(B1532,CadProd!$A:$C,3,0)),"")</f>
        <v/>
      </c>
      <c r="G1532" s="1" t="str">
        <f t="shared" si="23"/>
        <v/>
      </c>
    </row>
    <row r="1533" spans="3:7" x14ac:dyDescent="0.3">
      <c r="C1533" t="str">
        <f>IFERROR(IF(B1533="","",VLOOKUP(B1533,CadProd!$A:$B,2,0)),"")</f>
        <v/>
      </c>
      <c r="D1533" t="str">
        <f>IFERROR(IF(B1533="","",VLOOKUP(B1533,CadProd!$A:$C,3,0)),"")</f>
        <v/>
      </c>
      <c r="G1533" s="1" t="str">
        <f t="shared" si="23"/>
        <v/>
      </c>
    </row>
    <row r="1534" spans="3:7" x14ac:dyDescent="0.3">
      <c r="C1534" t="str">
        <f>IFERROR(IF(B1534="","",VLOOKUP(B1534,CadProd!$A:$B,2,0)),"")</f>
        <v/>
      </c>
      <c r="D1534" t="str">
        <f>IFERROR(IF(B1534="","",VLOOKUP(B1534,CadProd!$A:$C,3,0)),"")</f>
        <v/>
      </c>
      <c r="G1534" s="1" t="str">
        <f t="shared" si="23"/>
        <v/>
      </c>
    </row>
    <row r="1535" spans="3:7" x14ac:dyDescent="0.3">
      <c r="C1535" t="str">
        <f>IFERROR(IF(B1535="","",VLOOKUP(B1535,CadProd!$A:$B,2,0)),"")</f>
        <v/>
      </c>
      <c r="D1535" t="str">
        <f>IFERROR(IF(B1535="","",VLOOKUP(B1535,CadProd!$A:$C,3,0)),"")</f>
        <v/>
      </c>
      <c r="G1535" s="1" t="str">
        <f t="shared" si="23"/>
        <v/>
      </c>
    </row>
    <row r="1536" spans="3:7" x14ac:dyDescent="0.3">
      <c r="C1536" t="str">
        <f>IFERROR(IF(B1536="","",VLOOKUP(B1536,CadProd!$A:$B,2,0)),"")</f>
        <v/>
      </c>
      <c r="D1536" t="str">
        <f>IFERROR(IF(B1536="","",VLOOKUP(B1536,CadProd!$A:$C,3,0)),"")</f>
        <v/>
      </c>
      <c r="G1536" s="1" t="str">
        <f t="shared" si="23"/>
        <v/>
      </c>
    </row>
    <row r="1537" spans="3:7" x14ac:dyDescent="0.3">
      <c r="C1537" t="str">
        <f>IFERROR(IF(B1537="","",VLOOKUP(B1537,CadProd!$A:$B,2,0)),"")</f>
        <v/>
      </c>
      <c r="D1537" t="str">
        <f>IFERROR(IF(B1537="","",VLOOKUP(B1537,CadProd!$A:$C,3,0)),"")</f>
        <v/>
      </c>
      <c r="G1537" s="1" t="str">
        <f t="shared" si="23"/>
        <v/>
      </c>
    </row>
    <row r="1538" spans="3:7" x14ac:dyDescent="0.3">
      <c r="C1538" t="str">
        <f>IFERROR(IF(B1538="","",VLOOKUP(B1538,CadProd!$A:$B,2,0)),"")</f>
        <v/>
      </c>
      <c r="D1538" t="str">
        <f>IFERROR(IF(B1538="","",VLOOKUP(B1538,CadProd!$A:$C,3,0)),"")</f>
        <v/>
      </c>
      <c r="G1538" s="1" t="str">
        <f t="shared" ref="G1538:G1601" si="24">IFERROR(IF(B1538="","",F1538*E1538),"")</f>
        <v/>
      </c>
    </row>
    <row r="1539" spans="3:7" x14ac:dyDescent="0.3">
      <c r="C1539" t="str">
        <f>IFERROR(IF(B1539="","",VLOOKUP(B1539,CadProd!$A:$B,2,0)),"")</f>
        <v/>
      </c>
      <c r="D1539" t="str">
        <f>IFERROR(IF(B1539="","",VLOOKUP(B1539,CadProd!$A:$C,3,0)),"")</f>
        <v/>
      </c>
      <c r="G1539" s="1" t="str">
        <f t="shared" si="24"/>
        <v/>
      </c>
    </row>
    <row r="1540" spans="3:7" x14ac:dyDescent="0.3">
      <c r="C1540" t="str">
        <f>IFERROR(IF(B1540="","",VLOOKUP(B1540,CadProd!$A:$B,2,0)),"")</f>
        <v/>
      </c>
      <c r="D1540" t="str">
        <f>IFERROR(IF(B1540="","",VLOOKUP(B1540,CadProd!$A:$C,3,0)),"")</f>
        <v/>
      </c>
      <c r="G1540" s="1" t="str">
        <f t="shared" si="24"/>
        <v/>
      </c>
    </row>
    <row r="1541" spans="3:7" x14ac:dyDescent="0.3">
      <c r="C1541" t="str">
        <f>IFERROR(IF(B1541="","",VLOOKUP(B1541,CadProd!$A:$B,2,0)),"")</f>
        <v/>
      </c>
      <c r="D1541" t="str">
        <f>IFERROR(IF(B1541="","",VLOOKUP(B1541,CadProd!$A:$C,3,0)),"")</f>
        <v/>
      </c>
      <c r="G1541" s="1" t="str">
        <f t="shared" si="24"/>
        <v/>
      </c>
    </row>
    <row r="1542" spans="3:7" x14ac:dyDescent="0.3">
      <c r="C1542" t="str">
        <f>IFERROR(IF(B1542="","",VLOOKUP(B1542,CadProd!$A:$B,2,0)),"")</f>
        <v/>
      </c>
      <c r="D1542" t="str">
        <f>IFERROR(IF(B1542="","",VLOOKUP(B1542,CadProd!$A:$C,3,0)),"")</f>
        <v/>
      </c>
      <c r="G1542" s="1" t="str">
        <f t="shared" si="24"/>
        <v/>
      </c>
    </row>
    <row r="1543" spans="3:7" x14ac:dyDescent="0.3">
      <c r="C1543" t="str">
        <f>IFERROR(IF(B1543="","",VLOOKUP(B1543,CadProd!$A:$B,2,0)),"")</f>
        <v/>
      </c>
      <c r="D1543" t="str">
        <f>IFERROR(IF(B1543="","",VLOOKUP(B1543,CadProd!$A:$C,3,0)),"")</f>
        <v/>
      </c>
      <c r="G1543" s="1" t="str">
        <f t="shared" si="24"/>
        <v/>
      </c>
    </row>
    <row r="1544" spans="3:7" x14ac:dyDescent="0.3">
      <c r="C1544" t="str">
        <f>IFERROR(IF(B1544="","",VLOOKUP(B1544,CadProd!$A:$B,2,0)),"")</f>
        <v/>
      </c>
      <c r="D1544" t="str">
        <f>IFERROR(IF(B1544="","",VLOOKUP(B1544,CadProd!$A:$C,3,0)),"")</f>
        <v/>
      </c>
      <c r="G1544" s="1" t="str">
        <f t="shared" si="24"/>
        <v/>
      </c>
    </row>
    <row r="1545" spans="3:7" x14ac:dyDescent="0.3">
      <c r="C1545" t="str">
        <f>IFERROR(IF(B1545="","",VLOOKUP(B1545,CadProd!$A:$B,2,0)),"")</f>
        <v/>
      </c>
      <c r="D1545" t="str">
        <f>IFERROR(IF(B1545="","",VLOOKUP(B1545,CadProd!$A:$C,3,0)),"")</f>
        <v/>
      </c>
      <c r="G1545" s="1" t="str">
        <f t="shared" si="24"/>
        <v/>
      </c>
    </row>
    <row r="1546" spans="3:7" x14ac:dyDescent="0.3">
      <c r="C1546" t="str">
        <f>IFERROR(IF(B1546="","",VLOOKUP(B1546,CadProd!$A:$B,2,0)),"")</f>
        <v/>
      </c>
      <c r="D1546" t="str">
        <f>IFERROR(IF(B1546="","",VLOOKUP(B1546,CadProd!$A:$C,3,0)),"")</f>
        <v/>
      </c>
      <c r="G1546" s="1" t="str">
        <f t="shared" si="24"/>
        <v/>
      </c>
    </row>
    <row r="1547" spans="3:7" x14ac:dyDescent="0.3">
      <c r="C1547" t="str">
        <f>IFERROR(IF(B1547="","",VLOOKUP(B1547,CadProd!$A:$B,2,0)),"")</f>
        <v/>
      </c>
      <c r="D1547" t="str">
        <f>IFERROR(IF(B1547="","",VLOOKUP(B1547,CadProd!$A:$C,3,0)),"")</f>
        <v/>
      </c>
      <c r="G1547" s="1" t="str">
        <f t="shared" si="24"/>
        <v/>
      </c>
    </row>
    <row r="1548" spans="3:7" x14ac:dyDescent="0.3">
      <c r="C1548" t="str">
        <f>IFERROR(IF(B1548="","",VLOOKUP(B1548,CadProd!$A:$B,2,0)),"")</f>
        <v/>
      </c>
      <c r="D1548" t="str">
        <f>IFERROR(IF(B1548="","",VLOOKUP(B1548,CadProd!$A:$C,3,0)),"")</f>
        <v/>
      </c>
      <c r="G1548" s="1" t="str">
        <f t="shared" si="24"/>
        <v/>
      </c>
    </row>
    <row r="1549" spans="3:7" x14ac:dyDescent="0.3">
      <c r="C1549" t="str">
        <f>IFERROR(IF(B1549="","",VLOOKUP(B1549,CadProd!$A:$B,2,0)),"")</f>
        <v/>
      </c>
      <c r="D1549" t="str">
        <f>IFERROR(IF(B1549="","",VLOOKUP(B1549,CadProd!$A:$C,3,0)),"")</f>
        <v/>
      </c>
      <c r="G1549" s="1" t="str">
        <f t="shared" si="24"/>
        <v/>
      </c>
    </row>
    <row r="1550" spans="3:7" x14ac:dyDescent="0.3">
      <c r="C1550" t="str">
        <f>IFERROR(IF(B1550="","",VLOOKUP(B1550,CadProd!$A:$B,2,0)),"")</f>
        <v/>
      </c>
      <c r="D1550" t="str">
        <f>IFERROR(IF(B1550="","",VLOOKUP(B1550,CadProd!$A:$C,3,0)),"")</f>
        <v/>
      </c>
      <c r="G1550" s="1" t="str">
        <f t="shared" si="24"/>
        <v/>
      </c>
    </row>
    <row r="1551" spans="3:7" x14ac:dyDescent="0.3">
      <c r="C1551" t="str">
        <f>IFERROR(IF(B1551="","",VLOOKUP(B1551,CadProd!$A:$B,2,0)),"")</f>
        <v/>
      </c>
      <c r="D1551" t="str">
        <f>IFERROR(IF(B1551="","",VLOOKUP(B1551,CadProd!$A:$C,3,0)),"")</f>
        <v/>
      </c>
      <c r="G1551" s="1" t="str">
        <f t="shared" si="24"/>
        <v/>
      </c>
    </row>
    <row r="1552" spans="3:7" x14ac:dyDescent="0.3">
      <c r="C1552" t="str">
        <f>IFERROR(IF(B1552="","",VLOOKUP(B1552,CadProd!$A:$B,2,0)),"")</f>
        <v/>
      </c>
      <c r="D1552" t="str">
        <f>IFERROR(IF(B1552="","",VLOOKUP(B1552,CadProd!$A:$C,3,0)),"")</f>
        <v/>
      </c>
      <c r="G1552" s="1" t="str">
        <f t="shared" si="24"/>
        <v/>
      </c>
    </row>
    <row r="1553" spans="3:7" x14ac:dyDescent="0.3">
      <c r="C1553" t="str">
        <f>IFERROR(IF(B1553="","",VLOOKUP(B1553,CadProd!$A:$B,2,0)),"")</f>
        <v/>
      </c>
      <c r="D1553" t="str">
        <f>IFERROR(IF(B1553="","",VLOOKUP(B1553,CadProd!$A:$C,3,0)),"")</f>
        <v/>
      </c>
      <c r="G1553" s="1" t="str">
        <f t="shared" si="24"/>
        <v/>
      </c>
    </row>
    <row r="1554" spans="3:7" x14ac:dyDescent="0.3">
      <c r="C1554" t="str">
        <f>IFERROR(IF(B1554="","",VLOOKUP(B1554,CadProd!$A:$B,2,0)),"")</f>
        <v/>
      </c>
      <c r="D1554" t="str">
        <f>IFERROR(IF(B1554="","",VLOOKUP(B1554,CadProd!$A:$C,3,0)),"")</f>
        <v/>
      </c>
      <c r="G1554" s="1" t="str">
        <f t="shared" si="24"/>
        <v/>
      </c>
    </row>
    <row r="1555" spans="3:7" x14ac:dyDescent="0.3">
      <c r="C1555" t="str">
        <f>IFERROR(IF(B1555="","",VLOOKUP(B1555,CadProd!$A:$B,2,0)),"")</f>
        <v/>
      </c>
      <c r="D1555" t="str">
        <f>IFERROR(IF(B1555="","",VLOOKUP(B1555,CadProd!$A:$C,3,0)),"")</f>
        <v/>
      </c>
      <c r="G1555" s="1" t="str">
        <f t="shared" si="24"/>
        <v/>
      </c>
    </row>
    <row r="1556" spans="3:7" x14ac:dyDescent="0.3">
      <c r="C1556" t="str">
        <f>IFERROR(IF(B1556="","",VLOOKUP(B1556,CadProd!$A:$B,2,0)),"")</f>
        <v/>
      </c>
      <c r="D1556" t="str">
        <f>IFERROR(IF(B1556="","",VLOOKUP(B1556,CadProd!$A:$C,3,0)),"")</f>
        <v/>
      </c>
      <c r="G1556" s="1" t="str">
        <f t="shared" si="24"/>
        <v/>
      </c>
    </row>
    <row r="1557" spans="3:7" x14ac:dyDescent="0.3">
      <c r="C1557" t="str">
        <f>IFERROR(IF(B1557="","",VLOOKUP(B1557,CadProd!$A:$B,2,0)),"")</f>
        <v/>
      </c>
      <c r="D1557" t="str">
        <f>IFERROR(IF(B1557="","",VLOOKUP(B1557,CadProd!$A:$C,3,0)),"")</f>
        <v/>
      </c>
      <c r="G1557" s="1" t="str">
        <f t="shared" si="24"/>
        <v/>
      </c>
    </row>
    <row r="1558" spans="3:7" x14ac:dyDescent="0.3">
      <c r="C1558" t="str">
        <f>IFERROR(IF(B1558="","",VLOOKUP(B1558,CadProd!$A:$B,2,0)),"")</f>
        <v/>
      </c>
      <c r="D1558" t="str">
        <f>IFERROR(IF(B1558="","",VLOOKUP(B1558,CadProd!$A:$C,3,0)),"")</f>
        <v/>
      </c>
      <c r="G1558" s="1" t="str">
        <f t="shared" si="24"/>
        <v/>
      </c>
    </row>
    <row r="1559" spans="3:7" x14ac:dyDescent="0.3">
      <c r="C1559" t="str">
        <f>IFERROR(IF(B1559="","",VLOOKUP(B1559,CadProd!$A:$B,2,0)),"")</f>
        <v/>
      </c>
      <c r="D1559" t="str">
        <f>IFERROR(IF(B1559="","",VLOOKUP(B1559,CadProd!$A:$C,3,0)),"")</f>
        <v/>
      </c>
      <c r="G1559" s="1" t="str">
        <f t="shared" si="24"/>
        <v/>
      </c>
    </row>
    <row r="1560" spans="3:7" x14ac:dyDescent="0.3">
      <c r="C1560" t="str">
        <f>IFERROR(IF(B1560="","",VLOOKUP(B1560,CadProd!$A:$B,2,0)),"")</f>
        <v/>
      </c>
      <c r="D1560" t="str">
        <f>IFERROR(IF(B1560="","",VLOOKUP(B1560,CadProd!$A:$C,3,0)),"")</f>
        <v/>
      </c>
      <c r="G1560" s="1" t="str">
        <f t="shared" si="24"/>
        <v/>
      </c>
    </row>
    <row r="1561" spans="3:7" x14ac:dyDescent="0.3">
      <c r="C1561" t="str">
        <f>IFERROR(IF(B1561="","",VLOOKUP(B1561,CadProd!$A:$B,2,0)),"")</f>
        <v/>
      </c>
      <c r="D1561" t="str">
        <f>IFERROR(IF(B1561="","",VLOOKUP(B1561,CadProd!$A:$C,3,0)),"")</f>
        <v/>
      </c>
      <c r="G1561" s="1" t="str">
        <f t="shared" si="24"/>
        <v/>
      </c>
    </row>
    <row r="1562" spans="3:7" x14ac:dyDescent="0.3">
      <c r="C1562" t="str">
        <f>IFERROR(IF(B1562="","",VLOOKUP(B1562,CadProd!$A:$B,2,0)),"")</f>
        <v/>
      </c>
      <c r="D1562" t="str">
        <f>IFERROR(IF(B1562="","",VLOOKUP(B1562,CadProd!$A:$C,3,0)),"")</f>
        <v/>
      </c>
      <c r="G1562" s="1" t="str">
        <f t="shared" si="24"/>
        <v/>
      </c>
    </row>
    <row r="1563" spans="3:7" x14ac:dyDescent="0.3">
      <c r="C1563" t="str">
        <f>IFERROR(IF(B1563="","",VLOOKUP(B1563,CadProd!$A:$B,2,0)),"")</f>
        <v/>
      </c>
      <c r="D1563" t="str">
        <f>IFERROR(IF(B1563="","",VLOOKUP(B1563,CadProd!$A:$C,3,0)),"")</f>
        <v/>
      </c>
      <c r="G1563" s="1" t="str">
        <f t="shared" si="24"/>
        <v/>
      </c>
    </row>
    <row r="1564" spans="3:7" x14ac:dyDescent="0.3">
      <c r="C1564" t="str">
        <f>IFERROR(IF(B1564="","",VLOOKUP(B1564,CadProd!$A:$B,2,0)),"")</f>
        <v/>
      </c>
      <c r="D1564" t="str">
        <f>IFERROR(IF(B1564="","",VLOOKUP(B1564,CadProd!$A:$C,3,0)),"")</f>
        <v/>
      </c>
      <c r="G1564" s="1" t="str">
        <f t="shared" si="24"/>
        <v/>
      </c>
    </row>
    <row r="1565" spans="3:7" x14ac:dyDescent="0.3">
      <c r="C1565" t="str">
        <f>IFERROR(IF(B1565="","",VLOOKUP(B1565,CadProd!$A:$B,2,0)),"")</f>
        <v/>
      </c>
      <c r="D1565" t="str">
        <f>IFERROR(IF(B1565="","",VLOOKUP(B1565,CadProd!$A:$C,3,0)),"")</f>
        <v/>
      </c>
      <c r="G1565" s="1" t="str">
        <f t="shared" si="24"/>
        <v/>
      </c>
    </row>
    <row r="1566" spans="3:7" x14ac:dyDescent="0.3">
      <c r="C1566" t="str">
        <f>IFERROR(IF(B1566="","",VLOOKUP(B1566,CadProd!$A:$B,2,0)),"")</f>
        <v/>
      </c>
      <c r="D1566" t="str">
        <f>IFERROR(IF(B1566="","",VLOOKUP(B1566,CadProd!$A:$C,3,0)),"")</f>
        <v/>
      </c>
      <c r="G1566" s="1" t="str">
        <f t="shared" si="24"/>
        <v/>
      </c>
    </row>
    <row r="1567" spans="3:7" x14ac:dyDescent="0.3">
      <c r="C1567" t="str">
        <f>IFERROR(IF(B1567="","",VLOOKUP(B1567,CadProd!$A:$B,2,0)),"")</f>
        <v/>
      </c>
      <c r="D1567" t="str">
        <f>IFERROR(IF(B1567="","",VLOOKUP(B1567,CadProd!$A:$C,3,0)),"")</f>
        <v/>
      </c>
      <c r="G1567" s="1" t="str">
        <f t="shared" si="24"/>
        <v/>
      </c>
    </row>
    <row r="1568" spans="3:7" x14ac:dyDescent="0.3">
      <c r="C1568" t="str">
        <f>IFERROR(IF(B1568="","",VLOOKUP(B1568,CadProd!$A:$B,2,0)),"")</f>
        <v/>
      </c>
      <c r="D1568" t="str">
        <f>IFERROR(IF(B1568="","",VLOOKUP(B1568,CadProd!$A:$C,3,0)),"")</f>
        <v/>
      </c>
      <c r="G1568" s="1" t="str">
        <f t="shared" si="24"/>
        <v/>
      </c>
    </row>
    <row r="1569" spans="3:7" x14ac:dyDescent="0.3">
      <c r="C1569" t="str">
        <f>IFERROR(IF(B1569="","",VLOOKUP(B1569,CadProd!$A:$B,2,0)),"")</f>
        <v/>
      </c>
      <c r="D1569" t="str">
        <f>IFERROR(IF(B1569="","",VLOOKUP(B1569,CadProd!$A:$C,3,0)),"")</f>
        <v/>
      </c>
      <c r="G1569" s="1" t="str">
        <f t="shared" si="24"/>
        <v/>
      </c>
    </row>
    <row r="1570" spans="3:7" x14ac:dyDescent="0.3">
      <c r="C1570" t="str">
        <f>IFERROR(IF(B1570="","",VLOOKUP(B1570,CadProd!$A:$B,2,0)),"")</f>
        <v/>
      </c>
      <c r="D1570" t="str">
        <f>IFERROR(IF(B1570="","",VLOOKUP(B1570,CadProd!$A:$C,3,0)),"")</f>
        <v/>
      </c>
      <c r="G1570" s="1" t="str">
        <f t="shared" si="24"/>
        <v/>
      </c>
    </row>
    <row r="1571" spans="3:7" x14ac:dyDescent="0.3">
      <c r="C1571" t="str">
        <f>IFERROR(IF(B1571="","",VLOOKUP(B1571,CadProd!$A:$B,2,0)),"")</f>
        <v/>
      </c>
      <c r="D1571" t="str">
        <f>IFERROR(IF(B1571="","",VLOOKUP(B1571,CadProd!$A:$C,3,0)),"")</f>
        <v/>
      </c>
      <c r="G1571" s="1" t="str">
        <f t="shared" si="24"/>
        <v/>
      </c>
    </row>
    <row r="1572" spans="3:7" x14ac:dyDescent="0.3">
      <c r="C1572" t="str">
        <f>IFERROR(IF(B1572="","",VLOOKUP(B1572,CadProd!$A:$B,2,0)),"")</f>
        <v/>
      </c>
      <c r="D1572" t="str">
        <f>IFERROR(IF(B1572="","",VLOOKUP(B1572,CadProd!$A:$C,3,0)),"")</f>
        <v/>
      </c>
      <c r="G1572" s="1" t="str">
        <f t="shared" si="24"/>
        <v/>
      </c>
    </row>
    <row r="1573" spans="3:7" x14ac:dyDescent="0.3">
      <c r="C1573" t="str">
        <f>IFERROR(IF(B1573="","",VLOOKUP(B1573,CadProd!$A:$B,2,0)),"")</f>
        <v/>
      </c>
      <c r="D1573" t="str">
        <f>IFERROR(IF(B1573="","",VLOOKUP(B1573,CadProd!$A:$C,3,0)),"")</f>
        <v/>
      </c>
      <c r="G1573" s="1" t="str">
        <f t="shared" si="24"/>
        <v/>
      </c>
    </row>
    <row r="1574" spans="3:7" x14ac:dyDescent="0.3">
      <c r="C1574" t="str">
        <f>IFERROR(IF(B1574="","",VLOOKUP(B1574,CadProd!$A:$B,2,0)),"")</f>
        <v/>
      </c>
      <c r="D1574" t="str">
        <f>IFERROR(IF(B1574="","",VLOOKUP(B1574,CadProd!$A:$C,3,0)),"")</f>
        <v/>
      </c>
      <c r="G1574" s="1" t="str">
        <f t="shared" si="24"/>
        <v/>
      </c>
    </row>
    <row r="1575" spans="3:7" x14ac:dyDescent="0.3">
      <c r="C1575" t="str">
        <f>IFERROR(IF(B1575="","",VLOOKUP(B1575,CadProd!$A:$B,2,0)),"")</f>
        <v/>
      </c>
      <c r="D1575" t="str">
        <f>IFERROR(IF(B1575="","",VLOOKUP(B1575,CadProd!$A:$C,3,0)),"")</f>
        <v/>
      </c>
      <c r="G1575" s="1" t="str">
        <f t="shared" si="24"/>
        <v/>
      </c>
    </row>
    <row r="1576" spans="3:7" x14ac:dyDescent="0.3">
      <c r="C1576" t="str">
        <f>IFERROR(IF(B1576="","",VLOOKUP(B1576,CadProd!$A:$B,2,0)),"")</f>
        <v/>
      </c>
      <c r="D1576" t="str">
        <f>IFERROR(IF(B1576="","",VLOOKUP(B1576,CadProd!$A:$C,3,0)),"")</f>
        <v/>
      </c>
      <c r="G1576" s="1" t="str">
        <f t="shared" si="24"/>
        <v/>
      </c>
    </row>
    <row r="1577" spans="3:7" x14ac:dyDescent="0.3">
      <c r="C1577" t="str">
        <f>IFERROR(IF(B1577="","",VLOOKUP(B1577,CadProd!$A:$B,2,0)),"")</f>
        <v/>
      </c>
      <c r="D1577" t="str">
        <f>IFERROR(IF(B1577="","",VLOOKUP(B1577,CadProd!$A:$C,3,0)),"")</f>
        <v/>
      </c>
      <c r="G1577" s="1" t="str">
        <f t="shared" si="24"/>
        <v/>
      </c>
    </row>
    <row r="1578" spans="3:7" x14ac:dyDescent="0.3">
      <c r="C1578" t="str">
        <f>IFERROR(IF(B1578="","",VLOOKUP(B1578,CadProd!$A:$B,2,0)),"")</f>
        <v/>
      </c>
      <c r="D1578" t="str">
        <f>IFERROR(IF(B1578="","",VLOOKUP(B1578,CadProd!$A:$C,3,0)),"")</f>
        <v/>
      </c>
      <c r="G1578" s="1" t="str">
        <f t="shared" si="24"/>
        <v/>
      </c>
    </row>
    <row r="1579" spans="3:7" x14ac:dyDescent="0.3">
      <c r="C1579" t="str">
        <f>IFERROR(IF(B1579="","",VLOOKUP(B1579,CadProd!$A:$B,2,0)),"")</f>
        <v/>
      </c>
      <c r="D1579" t="str">
        <f>IFERROR(IF(B1579="","",VLOOKUP(B1579,CadProd!$A:$C,3,0)),"")</f>
        <v/>
      </c>
      <c r="G1579" s="1" t="str">
        <f t="shared" si="24"/>
        <v/>
      </c>
    </row>
    <row r="1580" spans="3:7" x14ac:dyDescent="0.3">
      <c r="C1580" t="str">
        <f>IFERROR(IF(B1580="","",VLOOKUP(B1580,CadProd!$A:$B,2,0)),"")</f>
        <v/>
      </c>
      <c r="D1580" t="str">
        <f>IFERROR(IF(B1580="","",VLOOKUP(B1580,CadProd!$A:$C,3,0)),"")</f>
        <v/>
      </c>
      <c r="G1580" s="1" t="str">
        <f t="shared" si="24"/>
        <v/>
      </c>
    </row>
    <row r="1581" spans="3:7" x14ac:dyDescent="0.3">
      <c r="C1581" t="str">
        <f>IFERROR(IF(B1581="","",VLOOKUP(B1581,CadProd!$A:$B,2,0)),"")</f>
        <v/>
      </c>
      <c r="D1581" t="str">
        <f>IFERROR(IF(B1581="","",VLOOKUP(B1581,CadProd!$A:$C,3,0)),"")</f>
        <v/>
      </c>
      <c r="G1581" s="1" t="str">
        <f t="shared" si="24"/>
        <v/>
      </c>
    </row>
    <row r="1582" spans="3:7" x14ac:dyDescent="0.3">
      <c r="C1582" t="str">
        <f>IFERROR(IF(B1582="","",VLOOKUP(B1582,CadProd!$A:$B,2,0)),"")</f>
        <v/>
      </c>
      <c r="D1582" t="str">
        <f>IFERROR(IF(B1582="","",VLOOKUP(B1582,CadProd!$A:$C,3,0)),"")</f>
        <v/>
      </c>
      <c r="G1582" s="1" t="str">
        <f t="shared" si="24"/>
        <v/>
      </c>
    </row>
    <row r="1583" spans="3:7" x14ac:dyDescent="0.3">
      <c r="C1583" t="str">
        <f>IFERROR(IF(B1583="","",VLOOKUP(B1583,CadProd!$A:$B,2,0)),"")</f>
        <v/>
      </c>
      <c r="D1583" t="str">
        <f>IFERROR(IF(B1583="","",VLOOKUP(B1583,CadProd!$A:$C,3,0)),"")</f>
        <v/>
      </c>
      <c r="G1583" s="1" t="str">
        <f t="shared" si="24"/>
        <v/>
      </c>
    </row>
    <row r="1584" spans="3:7" x14ac:dyDescent="0.3">
      <c r="C1584" t="str">
        <f>IFERROR(IF(B1584="","",VLOOKUP(B1584,CadProd!$A:$B,2,0)),"")</f>
        <v/>
      </c>
      <c r="D1584" t="str">
        <f>IFERROR(IF(B1584="","",VLOOKUP(B1584,CadProd!$A:$C,3,0)),"")</f>
        <v/>
      </c>
      <c r="G1584" s="1" t="str">
        <f t="shared" si="24"/>
        <v/>
      </c>
    </row>
    <row r="1585" spans="3:7" x14ac:dyDescent="0.3">
      <c r="C1585" t="str">
        <f>IFERROR(IF(B1585="","",VLOOKUP(B1585,CadProd!$A:$B,2,0)),"")</f>
        <v/>
      </c>
      <c r="D1585" t="str">
        <f>IFERROR(IF(B1585="","",VLOOKUP(B1585,CadProd!$A:$C,3,0)),"")</f>
        <v/>
      </c>
      <c r="G1585" s="1" t="str">
        <f t="shared" si="24"/>
        <v/>
      </c>
    </row>
    <row r="1586" spans="3:7" x14ac:dyDescent="0.3">
      <c r="C1586" t="str">
        <f>IFERROR(IF(B1586="","",VLOOKUP(B1586,CadProd!$A:$B,2,0)),"")</f>
        <v/>
      </c>
      <c r="D1586" t="str">
        <f>IFERROR(IF(B1586="","",VLOOKUP(B1586,CadProd!$A:$C,3,0)),"")</f>
        <v/>
      </c>
      <c r="G1586" s="1" t="str">
        <f t="shared" si="24"/>
        <v/>
      </c>
    </row>
    <row r="1587" spans="3:7" x14ac:dyDescent="0.3">
      <c r="C1587" t="str">
        <f>IFERROR(IF(B1587="","",VLOOKUP(B1587,CadProd!$A:$B,2,0)),"")</f>
        <v/>
      </c>
      <c r="D1587" t="str">
        <f>IFERROR(IF(B1587="","",VLOOKUP(B1587,CadProd!$A:$C,3,0)),"")</f>
        <v/>
      </c>
      <c r="G1587" s="1" t="str">
        <f t="shared" si="24"/>
        <v/>
      </c>
    </row>
    <row r="1588" spans="3:7" x14ac:dyDescent="0.3">
      <c r="C1588" t="str">
        <f>IFERROR(IF(B1588="","",VLOOKUP(B1588,CadProd!$A:$B,2,0)),"")</f>
        <v/>
      </c>
      <c r="D1588" t="str">
        <f>IFERROR(IF(B1588="","",VLOOKUP(B1588,CadProd!$A:$C,3,0)),"")</f>
        <v/>
      </c>
      <c r="G1588" s="1" t="str">
        <f t="shared" si="24"/>
        <v/>
      </c>
    </row>
    <row r="1589" spans="3:7" x14ac:dyDescent="0.3">
      <c r="C1589" t="str">
        <f>IFERROR(IF(B1589="","",VLOOKUP(B1589,CadProd!$A:$B,2,0)),"")</f>
        <v/>
      </c>
      <c r="D1589" t="str">
        <f>IFERROR(IF(B1589="","",VLOOKUP(B1589,CadProd!$A:$C,3,0)),"")</f>
        <v/>
      </c>
      <c r="G1589" s="1" t="str">
        <f t="shared" si="24"/>
        <v/>
      </c>
    </row>
    <row r="1590" spans="3:7" x14ac:dyDescent="0.3">
      <c r="C1590" t="str">
        <f>IFERROR(IF(B1590="","",VLOOKUP(B1590,CadProd!$A:$B,2,0)),"")</f>
        <v/>
      </c>
      <c r="D1590" t="str">
        <f>IFERROR(IF(B1590="","",VLOOKUP(B1590,CadProd!$A:$C,3,0)),"")</f>
        <v/>
      </c>
      <c r="G1590" s="1" t="str">
        <f t="shared" si="24"/>
        <v/>
      </c>
    </row>
    <row r="1591" spans="3:7" x14ac:dyDescent="0.3">
      <c r="C1591" t="str">
        <f>IFERROR(IF(B1591="","",VLOOKUP(B1591,CadProd!$A:$B,2,0)),"")</f>
        <v/>
      </c>
      <c r="D1591" t="str">
        <f>IFERROR(IF(B1591="","",VLOOKUP(B1591,CadProd!$A:$C,3,0)),"")</f>
        <v/>
      </c>
      <c r="G1591" s="1" t="str">
        <f t="shared" si="24"/>
        <v/>
      </c>
    </row>
    <row r="1592" spans="3:7" x14ac:dyDescent="0.3">
      <c r="C1592" t="str">
        <f>IFERROR(IF(B1592="","",VLOOKUP(B1592,CadProd!$A:$B,2,0)),"")</f>
        <v/>
      </c>
      <c r="D1592" t="str">
        <f>IFERROR(IF(B1592="","",VLOOKUP(B1592,CadProd!$A:$C,3,0)),"")</f>
        <v/>
      </c>
      <c r="G1592" s="1" t="str">
        <f t="shared" si="24"/>
        <v/>
      </c>
    </row>
    <row r="1593" spans="3:7" x14ac:dyDescent="0.3">
      <c r="C1593" t="str">
        <f>IFERROR(IF(B1593="","",VLOOKUP(B1593,CadProd!$A:$B,2,0)),"")</f>
        <v/>
      </c>
      <c r="D1593" t="str">
        <f>IFERROR(IF(B1593="","",VLOOKUP(B1593,CadProd!$A:$C,3,0)),"")</f>
        <v/>
      </c>
      <c r="G1593" s="1" t="str">
        <f t="shared" si="24"/>
        <v/>
      </c>
    </row>
    <row r="1594" spans="3:7" x14ac:dyDescent="0.3">
      <c r="C1594" t="str">
        <f>IFERROR(IF(B1594="","",VLOOKUP(B1594,CadProd!$A:$B,2,0)),"")</f>
        <v/>
      </c>
      <c r="D1594" t="str">
        <f>IFERROR(IF(B1594="","",VLOOKUP(B1594,CadProd!$A:$C,3,0)),"")</f>
        <v/>
      </c>
      <c r="G1594" s="1" t="str">
        <f t="shared" si="24"/>
        <v/>
      </c>
    </row>
    <row r="1595" spans="3:7" x14ac:dyDescent="0.3">
      <c r="C1595" t="str">
        <f>IFERROR(IF(B1595="","",VLOOKUP(B1595,CadProd!$A:$B,2,0)),"")</f>
        <v/>
      </c>
      <c r="D1595" t="str">
        <f>IFERROR(IF(B1595="","",VLOOKUP(B1595,CadProd!$A:$C,3,0)),"")</f>
        <v/>
      </c>
      <c r="G1595" s="1" t="str">
        <f t="shared" si="24"/>
        <v/>
      </c>
    </row>
    <row r="1596" spans="3:7" x14ac:dyDescent="0.3">
      <c r="C1596" t="str">
        <f>IFERROR(IF(B1596="","",VLOOKUP(B1596,CadProd!$A:$B,2,0)),"")</f>
        <v/>
      </c>
      <c r="D1596" t="str">
        <f>IFERROR(IF(B1596="","",VLOOKUP(B1596,CadProd!$A:$C,3,0)),"")</f>
        <v/>
      </c>
      <c r="G1596" s="1" t="str">
        <f t="shared" si="24"/>
        <v/>
      </c>
    </row>
    <row r="1597" spans="3:7" x14ac:dyDescent="0.3">
      <c r="C1597" t="str">
        <f>IFERROR(IF(B1597="","",VLOOKUP(B1597,CadProd!$A:$B,2,0)),"")</f>
        <v/>
      </c>
      <c r="D1597" t="str">
        <f>IFERROR(IF(B1597="","",VLOOKUP(B1597,CadProd!$A:$C,3,0)),"")</f>
        <v/>
      </c>
      <c r="G1597" s="1" t="str">
        <f t="shared" si="24"/>
        <v/>
      </c>
    </row>
    <row r="1598" spans="3:7" x14ac:dyDescent="0.3">
      <c r="C1598" t="str">
        <f>IFERROR(IF(B1598="","",VLOOKUP(B1598,CadProd!$A:$B,2,0)),"")</f>
        <v/>
      </c>
      <c r="D1598" t="str">
        <f>IFERROR(IF(B1598="","",VLOOKUP(B1598,CadProd!$A:$C,3,0)),"")</f>
        <v/>
      </c>
      <c r="G1598" s="1" t="str">
        <f t="shared" si="24"/>
        <v/>
      </c>
    </row>
    <row r="1599" spans="3:7" x14ac:dyDescent="0.3">
      <c r="C1599" t="str">
        <f>IFERROR(IF(B1599="","",VLOOKUP(B1599,CadProd!$A:$B,2,0)),"")</f>
        <v/>
      </c>
      <c r="D1599" t="str">
        <f>IFERROR(IF(B1599="","",VLOOKUP(B1599,CadProd!$A:$C,3,0)),"")</f>
        <v/>
      </c>
      <c r="G1599" s="1" t="str">
        <f t="shared" si="24"/>
        <v/>
      </c>
    </row>
    <row r="1600" spans="3:7" x14ac:dyDescent="0.3">
      <c r="C1600" t="str">
        <f>IFERROR(IF(B1600="","",VLOOKUP(B1600,CadProd!$A:$B,2,0)),"")</f>
        <v/>
      </c>
      <c r="D1600" t="str">
        <f>IFERROR(IF(B1600="","",VLOOKUP(B1600,CadProd!$A:$C,3,0)),"")</f>
        <v/>
      </c>
      <c r="G1600" s="1" t="str">
        <f t="shared" si="24"/>
        <v/>
      </c>
    </row>
    <row r="1601" spans="3:7" x14ac:dyDescent="0.3">
      <c r="C1601" t="str">
        <f>IFERROR(IF(B1601="","",VLOOKUP(B1601,CadProd!$A:$B,2,0)),"")</f>
        <v/>
      </c>
      <c r="D1601" t="str">
        <f>IFERROR(IF(B1601="","",VLOOKUP(B1601,CadProd!$A:$C,3,0)),"")</f>
        <v/>
      </c>
      <c r="G1601" s="1" t="str">
        <f t="shared" si="24"/>
        <v/>
      </c>
    </row>
    <row r="1602" spans="3:7" x14ac:dyDescent="0.3">
      <c r="C1602" t="str">
        <f>IFERROR(IF(B1602="","",VLOOKUP(B1602,CadProd!$A:$B,2,0)),"")</f>
        <v/>
      </c>
      <c r="D1602" t="str">
        <f>IFERROR(IF(B1602="","",VLOOKUP(B1602,CadProd!$A:$C,3,0)),"")</f>
        <v/>
      </c>
      <c r="G1602" s="1" t="str">
        <f t="shared" ref="G1602:G1665" si="25">IFERROR(IF(B1602="","",F1602*E1602),"")</f>
        <v/>
      </c>
    </row>
    <row r="1603" spans="3:7" x14ac:dyDescent="0.3">
      <c r="C1603" t="str">
        <f>IFERROR(IF(B1603="","",VLOOKUP(B1603,CadProd!$A:$B,2,0)),"")</f>
        <v/>
      </c>
      <c r="D1603" t="str">
        <f>IFERROR(IF(B1603="","",VLOOKUP(B1603,CadProd!$A:$C,3,0)),"")</f>
        <v/>
      </c>
      <c r="G1603" s="1" t="str">
        <f t="shared" si="25"/>
        <v/>
      </c>
    </row>
    <row r="1604" spans="3:7" x14ac:dyDescent="0.3">
      <c r="C1604" t="str">
        <f>IFERROR(IF(B1604="","",VLOOKUP(B1604,CadProd!$A:$B,2,0)),"")</f>
        <v/>
      </c>
      <c r="D1604" t="str">
        <f>IFERROR(IF(B1604="","",VLOOKUP(B1604,CadProd!$A:$C,3,0)),"")</f>
        <v/>
      </c>
      <c r="G1604" s="1" t="str">
        <f t="shared" si="25"/>
        <v/>
      </c>
    </row>
    <row r="1605" spans="3:7" x14ac:dyDescent="0.3">
      <c r="C1605" t="str">
        <f>IFERROR(IF(B1605="","",VLOOKUP(B1605,CadProd!$A:$B,2,0)),"")</f>
        <v/>
      </c>
      <c r="D1605" t="str">
        <f>IFERROR(IF(B1605="","",VLOOKUP(B1605,CadProd!$A:$C,3,0)),"")</f>
        <v/>
      </c>
      <c r="G1605" s="1" t="str">
        <f t="shared" si="25"/>
        <v/>
      </c>
    </row>
    <row r="1606" spans="3:7" x14ac:dyDescent="0.3">
      <c r="C1606" t="str">
        <f>IFERROR(IF(B1606="","",VLOOKUP(B1606,CadProd!$A:$B,2,0)),"")</f>
        <v/>
      </c>
      <c r="D1606" t="str">
        <f>IFERROR(IF(B1606="","",VLOOKUP(B1606,CadProd!$A:$C,3,0)),"")</f>
        <v/>
      </c>
      <c r="G1606" s="1" t="str">
        <f t="shared" si="25"/>
        <v/>
      </c>
    </row>
    <row r="1607" spans="3:7" x14ac:dyDescent="0.3">
      <c r="C1607" t="str">
        <f>IFERROR(IF(B1607="","",VLOOKUP(B1607,CadProd!$A:$B,2,0)),"")</f>
        <v/>
      </c>
      <c r="D1607" t="str">
        <f>IFERROR(IF(B1607="","",VLOOKUP(B1607,CadProd!$A:$C,3,0)),"")</f>
        <v/>
      </c>
      <c r="G1607" s="1" t="str">
        <f t="shared" si="25"/>
        <v/>
      </c>
    </row>
    <row r="1608" spans="3:7" x14ac:dyDescent="0.3">
      <c r="C1608" t="str">
        <f>IFERROR(IF(B1608="","",VLOOKUP(B1608,CadProd!$A:$B,2,0)),"")</f>
        <v/>
      </c>
      <c r="D1608" t="str">
        <f>IFERROR(IF(B1608="","",VLOOKUP(B1608,CadProd!$A:$C,3,0)),"")</f>
        <v/>
      </c>
      <c r="G1608" s="1" t="str">
        <f t="shared" si="25"/>
        <v/>
      </c>
    </row>
    <row r="1609" spans="3:7" x14ac:dyDescent="0.3">
      <c r="C1609" t="str">
        <f>IFERROR(IF(B1609="","",VLOOKUP(B1609,CadProd!$A:$B,2,0)),"")</f>
        <v/>
      </c>
      <c r="D1609" t="str">
        <f>IFERROR(IF(B1609="","",VLOOKUP(B1609,CadProd!$A:$C,3,0)),"")</f>
        <v/>
      </c>
      <c r="G1609" s="1" t="str">
        <f t="shared" si="25"/>
        <v/>
      </c>
    </row>
    <row r="1610" spans="3:7" x14ac:dyDescent="0.3">
      <c r="C1610" t="str">
        <f>IFERROR(IF(B1610="","",VLOOKUP(B1610,CadProd!$A:$B,2,0)),"")</f>
        <v/>
      </c>
      <c r="D1610" t="str">
        <f>IFERROR(IF(B1610="","",VLOOKUP(B1610,CadProd!$A:$C,3,0)),"")</f>
        <v/>
      </c>
      <c r="G1610" s="1" t="str">
        <f t="shared" si="25"/>
        <v/>
      </c>
    </row>
    <row r="1611" spans="3:7" x14ac:dyDescent="0.3">
      <c r="C1611" t="str">
        <f>IFERROR(IF(B1611="","",VLOOKUP(B1611,CadProd!$A:$B,2,0)),"")</f>
        <v/>
      </c>
      <c r="D1611" t="str">
        <f>IFERROR(IF(B1611="","",VLOOKUP(B1611,CadProd!$A:$C,3,0)),"")</f>
        <v/>
      </c>
      <c r="G1611" s="1" t="str">
        <f t="shared" si="25"/>
        <v/>
      </c>
    </row>
    <row r="1612" spans="3:7" x14ac:dyDescent="0.3">
      <c r="C1612" t="str">
        <f>IFERROR(IF(B1612="","",VLOOKUP(B1612,CadProd!$A:$B,2,0)),"")</f>
        <v/>
      </c>
      <c r="D1612" t="str">
        <f>IFERROR(IF(B1612="","",VLOOKUP(B1612,CadProd!$A:$C,3,0)),"")</f>
        <v/>
      </c>
      <c r="G1612" s="1" t="str">
        <f t="shared" si="25"/>
        <v/>
      </c>
    </row>
    <row r="1613" spans="3:7" x14ac:dyDescent="0.3">
      <c r="C1613" t="str">
        <f>IFERROR(IF(B1613="","",VLOOKUP(B1613,CadProd!$A:$B,2,0)),"")</f>
        <v/>
      </c>
      <c r="D1613" t="str">
        <f>IFERROR(IF(B1613="","",VLOOKUP(B1613,CadProd!$A:$C,3,0)),"")</f>
        <v/>
      </c>
      <c r="G1613" s="1" t="str">
        <f t="shared" si="25"/>
        <v/>
      </c>
    </row>
    <row r="1614" spans="3:7" x14ac:dyDescent="0.3">
      <c r="C1614" t="str">
        <f>IFERROR(IF(B1614="","",VLOOKUP(B1614,CadProd!$A:$B,2,0)),"")</f>
        <v/>
      </c>
      <c r="D1614" t="str">
        <f>IFERROR(IF(B1614="","",VLOOKUP(B1614,CadProd!$A:$C,3,0)),"")</f>
        <v/>
      </c>
      <c r="G1614" s="1" t="str">
        <f t="shared" si="25"/>
        <v/>
      </c>
    </row>
    <row r="1615" spans="3:7" x14ac:dyDescent="0.3">
      <c r="C1615" t="str">
        <f>IFERROR(IF(B1615="","",VLOOKUP(B1615,CadProd!$A:$B,2,0)),"")</f>
        <v/>
      </c>
      <c r="D1615" t="str">
        <f>IFERROR(IF(B1615="","",VLOOKUP(B1615,CadProd!$A:$C,3,0)),"")</f>
        <v/>
      </c>
      <c r="G1615" s="1" t="str">
        <f t="shared" si="25"/>
        <v/>
      </c>
    </row>
    <row r="1616" spans="3:7" x14ac:dyDescent="0.3">
      <c r="C1616" t="str">
        <f>IFERROR(IF(B1616="","",VLOOKUP(B1616,CadProd!$A:$B,2,0)),"")</f>
        <v/>
      </c>
      <c r="D1616" t="str">
        <f>IFERROR(IF(B1616="","",VLOOKUP(B1616,CadProd!$A:$C,3,0)),"")</f>
        <v/>
      </c>
      <c r="G1616" s="1" t="str">
        <f t="shared" si="25"/>
        <v/>
      </c>
    </row>
    <row r="1617" spans="3:7" x14ac:dyDescent="0.3">
      <c r="C1617" t="str">
        <f>IFERROR(IF(B1617="","",VLOOKUP(B1617,CadProd!$A:$B,2,0)),"")</f>
        <v/>
      </c>
      <c r="D1617" t="str">
        <f>IFERROR(IF(B1617="","",VLOOKUP(B1617,CadProd!$A:$C,3,0)),"")</f>
        <v/>
      </c>
      <c r="G1617" s="1" t="str">
        <f t="shared" si="25"/>
        <v/>
      </c>
    </row>
    <row r="1618" spans="3:7" x14ac:dyDescent="0.3">
      <c r="C1618" t="str">
        <f>IFERROR(IF(B1618="","",VLOOKUP(B1618,CadProd!$A:$B,2,0)),"")</f>
        <v/>
      </c>
      <c r="D1618" t="str">
        <f>IFERROR(IF(B1618="","",VLOOKUP(B1618,CadProd!$A:$C,3,0)),"")</f>
        <v/>
      </c>
      <c r="G1618" s="1" t="str">
        <f t="shared" si="25"/>
        <v/>
      </c>
    </row>
    <row r="1619" spans="3:7" x14ac:dyDescent="0.3">
      <c r="C1619" t="str">
        <f>IFERROR(IF(B1619="","",VLOOKUP(B1619,CadProd!$A:$B,2,0)),"")</f>
        <v/>
      </c>
      <c r="D1619" t="str">
        <f>IFERROR(IF(B1619="","",VLOOKUP(B1619,CadProd!$A:$C,3,0)),"")</f>
        <v/>
      </c>
      <c r="G1619" s="1" t="str">
        <f t="shared" si="25"/>
        <v/>
      </c>
    </row>
    <row r="1620" spans="3:7" x14ac:dyDescent="0.3">
      <c r="C1620" t="str">
        <f>IFERROR(IF(B1620="","",VLOOKUP(B1620,CadProd!$A:$B,2,0)),"")</f>
        <v/>
      </c>
      <c r="D1620" t="str">
        <f>IFERROR(IF(B1620="","",VLOOKUP(B1620,CadProd!$A:$C,3,0)),"")</f>
        <v/>
      </c>
      <c r="G1620" s="1" t="str">
        <f t="shared" si="25"/>
        <v/>
      </c>
    </row>
    <row r="1621" spans="3:7" x14ac:dyDescent="0.3">
      <c r="C1621" t="str">
        <f>IFERROR(IF(B1621="","",VLOOKUP(B1621,CadProd!$A:$B,2,0)),"")</f>
        <v/>
      </c>
      <c r="D1621" t="str">
        <f>IFERROR(IF(B1621="","",VLOOKUP(B1621,CadProd!$A:$C,3,0)),"")</f>
        <v/>
      </c>
      <c r="G1621" s="1" t="str">
        <f t="shared" si="25"/>
        <v/>
      </c>
    </row>
    <row r="1622" spans="3:7" x14ac:dyDescent="0.3">
      <c r="C1622" t="str">
        <f>IFERROR(IF(B1622="","",VLOOKUP(B1622,CadProd!$A:$B,2,0)),"")</f>
        <v/>
      </c>
      <c r="D1622" t="str">
        <f>IFERROR(IF(B1622="","",VLOOKUP(B1622,CadProd!$A:$C,3,0)),"")</f>
        <v/>
      </c>
      <c r="G1622" s="1" t="str">
        <f t="shared" si="25"/>
        <v/>
      </c>
    </row>
    <row r="1623" spans="3:7" x14ac:dyDescent="0.3">
      <c r="C1623" t="str">
        <f>IFERROR(IF(B1623="","",VLOOKUP(B1623,CadProd!$A:$B,2,0)),"")</f>
        <v/>
      </c>
      <c r="D1623" t="str">
        <f>IFERROR(IF(B1623="","",VLOOKUP(B1623,CadProd!$A:$C,3,0)),"")</f>
        <v/>
      </c>
      <c r="G1623" s="1" t="str">
        <f t="shared" si="25"/>
        <v/>
      </c>
    </row>
    <row r="1624" spans="3:7" x14ac:dyDescent="0.3">
      <c r="C1624" t="str">
        <f>IFERROR(IF(B1624="","",VLOOKUP(B1624,CadProd!$A:$B,2,0)),"")</f>
        <v/>
      </c>
      <c r="D1624" t="str">
        <f>IFERROR(IF(B1624="","",VLOOKUP(B1624,CadProd!$A:$C,3,0)),"")</f>
        <v/>
      </c>
      <c r="G1624" s="1" t="str">
        <f t="shared" si="25"/>
        <v/>
      </c>
    </row>
    <row r="1625" spans="3:7" x14ac:dyDescent="0.3">
      <c r="C1625" t="str">
        <f>IFERROR(IF(B1625="","",VLOOKUP(B1625,CadProd!$A:$B,2,0)),"")</f>
        <v/>
      </c>
      <c r="D1625" t="str">
        <f>IFERROR(IF(B1625="","",VLOOKUP(B1625,CadProd!$A:$C,3,0)),"")</f>
        <v/>
      </c>
      <c r="G1625" s="1" t="str">
        <f t="shared" si="25"/>
        <v/>
      </c>
    </row>
    <row r="1626" spans="3:7" x14ac:dyDescent="0.3">
      <c r="C1626" t="str">
        <f>IFERROR(IF(B1626="","",VLOOKUP(B1626,CadProd!$A:$B,2,0)),"")</f>
        <v/>
      </c>
      <c r="D1626" t="str">
        <f>IFERROR(IF(B1626="","",VLOOKUP(B1626,CadProd!$A:$C,3,0)),"")</f>
        <v/>
      </c>
      <c r="G1626" s="1" t="str">
        <f t="shared" si="25"/>
        <v/>
      </c>
    </row>
    <row r="1627" spans="3:7" x14ac:dyDescent="0.3">
      <c r="C1627" t="str">
        <f>IFERROR(IF(B1627="","",VLOOKUP(B1627,CadProd!$A:$B,2,0)),"")</f>
        <v/>
      </c>
      <c r="D1627" t="str">
        <f>IFERROR(IF(B1627="","",VLOOKUP(B1627,CadProd!$A:$C,3,0)),"")</f>
        <v/>
      </c>
      <c r="G1627" s="1" t="str">
        <f t="shared" si="25"/>
        <v/>
      </c>
    </row>
    <row r="1628" spans="3:7" x14ac:dyDescent="0.3">
      <c r="C1628" t="str">
        <f>IFERROR(IF(B1628="","",VLOOKUP(B1628,CadProd!$A:$B,2,0)),"")</f>
        <v/>
      </c>
      <c r="D1628" t="str">
        <f>IFERROR(IF(B1628="","",VLOOKUP(B1628,CadProd!$A:$C,3,0)),"")</f>
        <v/>
      </c>
      <c r="G1628" s="1" t="str">
        <f t="shared" si="25"/>
        <v/>
      </c>
    </row>
    <row r="1629" spans="3:7" x14ac:dyDescent="0.3">
      <c r="C1629" t="str">
        <f>IFERROR(IF(B1629="","",VLOOKUP(B1629,CadProd!$A:$B,2,0)),"")</f>
        <v/>
      </c>
      <c r="D1629" t="str">
        <f>IFERROR(IF(B1629="","",VLOOKUP(B1629,CadProd!$A:$C,3,0)),"")</f>
        <v/>
      </c>
      <c r="G1629" s="1" t="str">
        <f t="shared" si="25"/>
        <v/>
      </c>
    </row>
    <row r="1630" spans="3:7" x14ac:dyDescent="0.3">
      <c r="C1630" t="str">
        <f>IFERROR(IF(B1630="","",VLOOKUP(B1630,CadProd!$A:$B,2,0)),"")</f>
        <v/>
      </c>
      <c r="D1630" t="str">
        <f>IFERROR(IF(B1630="","",VLOOKUP(B1630,CadProd!$A:$C,3,0)),"")</f>
        <v/>
      </c>
      <c r="G1630" s="1" t="str">
        <f t="shared" si="25"/>
        <v/>
      </c>
    </row>
    <row r="1631" spans="3:7" x14ac:dyDescent="0.3">
      <c r="C1631" t="str">
        <f>IFERROR(IF(B1631="","",VLOOKUP(B1631,CadProd!$A:$B,2,0)),"")</f>
        <v/>
      </c>
      <c r="D1631" t="str">
        <f>IFERROR(IF(B1631="","",VLOOKUP(B1631,CadProd!$A:$C,3,0)),"")</f>
        <v/>
      </c>
      <c r="G1631" s="1" t="str">
        <f t="shared" si="25"/>
        <v/>
      </c>
    </row>
    <row r="1632" spans="3:7" x14ac:dyDescent="0.3">
      <c r="C1632" t="str">
        <f>IFERROR(IF(B1632="","",VLOOKUP(B1632,CadProd!$A:$B,2,0)),"")</f>
        <v/>
      </c>
      <c r="D1632" t="str">
        <f>IFERROR(IF(B1632="","",VLOOKUP(B1632,CadProd!$A:$C,3,0)),"")</f>
        <v/>
      </c>
      <c r="G1632" s="1" t="str">
        <f t="shared" si="25"/>
        <v/>
      </c>
    </row>
    <row r="1633" spans="3:7" x14ac:dyDescent="0.3">
      <c r="C1633" t="str">
        <f>IFERROR(IF(B1633="","",VLOOKUP(B1633,CadProd!$A:$B,2,0)),"")</f>
        <v/>
      </c>
      <c r="D1633" t="str">
        <f>IFERROR(IF(B1633="","",VLOOKUP(B1633,CadProd!$A:$C,3,0)),"")</f>
        <v/>
      </c>
      <c r="G1633" s="1" t="str">
        <f t="shared" si="25"/>
        <v/>
      </c>
    </row>
    <row r="1634" spans="3:7" x14ac:dyDescent="0.3">
      <c r="C1634" t="str">
        <f>IFERROR(IF(B1634="","",VLOOKUP(B1634,CadProd!$A:$B,2,0)),"")</f>
        <v/>
      </c>
      <c r="D1634" t="str">
        <f>IFERROR(IF(B1634="","",VLOOKUP(B1634,CadProd!$A:$C,3,0)),"")</f>
        <v/>
      </c>
      <c r="G1634" s="1" t="str">
        <f t="shared" si="25"/>
        <v/>
      </c>
    </row>
    <row r="1635" spans="3:7" x14ac:dyDescent="0.3">
      <c r="C1635" t="str">
        <f>IFERROR(IF(B1635="","",VLOOKUP(B1635,CadProd!$A:$B,2,0)),"")</f>
        <v/>
      </c>
      <c r="D1635" t="str">
        <f>IFERROR(IF(B1635="","",VLOOKUP(B1635,CadProd!$A:$C,3,0)),"")</f>
        <v/>
      </c>
      <c r="G1635" s="1" t="str">
        <f t="shared" si="25"/>
        <v/>
      </c>
    </row>
    <row r="1636" spans="3:7" x14ac:dyDescent="0.3">
      <c r="C1636" t="str">
        <f>IFERROR(IF(B1636="","",VLOOKUP(B1636,CadProd!$A:$B,2,0)),"")</f>
        <v/>
      </c>
      <c r="D1636" t="str">
        <f>IFERROR(IF(B1636="","",VLOOKUP(B1636,CadProd!$A:$C,3,0)),"")</f>
        <v/>
      </c>
      <c r="G1636" s="1" t="str">
        <f t="shared" si="25"/>
        <v/>
      </c>
    </row>
    <row r="1637" spans="3:7" x14ac:dyDescent="0.3">
      <c r="C1637" t="str">
        <f>IFERROR(IF(B1637="","",VLOOKUP(B1637,CadProd!$A:$B,2,0)),"")</f>
        <v/>
      </c>
      <c r="D1637" t="str">
        <f>IFERROR(IF(B1637="","",VLOOKUP(B1637,CadProd!$A:$C,3,0)),"")</f>
        <v/>
      </c>
      <c r="G1637" s="1" t="str">
        <f t="shared" si="25"/>
        <v/>
      </c>
    </row>
    <row r="1638" spans="3:7" x14ac:dyDescent="0.3">
      <c r="C1638" t="str">
        <f>IFERROR(IF(B1638="","",VLOOKUP(B1638,CadProd!$A:$B,2,0)),"")</f>
        <v/>
      </c>
      <c r="D1638" t="str">
        <f>IFERROR(IF(B1638="","",VLOOKUP(B1638,CadProd!$A:$C,3,0)),"")</f>
        <v/>
      </c>
      <c r="G1638" s="1" t="str">
        <f t="shared" si="25"/>
        <v/>
      </c>
    </row>
    <row r="1639" spans="3:7" x14ac:dyDescent="0.3">
      <c r="C1639" t="str">
        <f>IFERROR(IF(B1639="","",VLOOKUP(B1639,CadProd!$A:$B,2,0)),"")</f>
        <v/>
      </c>
      <c r="D1639" t="str">
        <f>IFERROR(IF(B1639="","",VLOOKUP(B1639,CadProd!$A:$C,3,0)),"")</f>
        <v/>
      </c>
      <c r="G1639" s="1" t="str">
        <f t="shared" si="25"/>
        <v/>
      </c>
    </row>
    <row r="1640" spans="3:7" x14ac:dyDescent="0.3">
      <c r="C1640" t="str">
        <f>IFERROR(IF(B1640="","",VLOOKUP(B1640,CadProd!$A:$B,2,0)),"")</f>
        <v/>
      </c>
      <c r="D1640" t="str">
        <f>IFERROR(IF(B1640="","",VLOOKUP(B1640,CadProd!$A:$C,3,0)),"")</f>
        <v/>
      </c>
      <c r="G1640" s="1" t="str">
        <f t="shared" si="25"/>
        <v/>
      </c>
    </row>
    <row r="1641" spans="3:7" x14ac:dyDescent="0.3">
      <c r="C1641" t="str">
        <f>IFERROR(IF(B1641="","",VLOOKUP(B1641,CadProd!$A:$B,2,0)),"")</f>
        <v/>
      </c>
      <c r="D1641" t="str">
        <f>IFERROR(IF(B1641="","",VLOOKUP(B1641,CadProd!$A:$C,3,0)),"")</f>
        <v/>
      </c>
      <c r="G1641" s="1" t="str">
        <f t="shared" si="25"/>
        <v/>
      </c>
    </row>
    <row r="1642" spans="3:7" x14ac:dyDescent="0.3">
      <c r="C1642" t="str">
        <f>IFERROR(IF(B1642="","",VLOOKUP(B1642,CadProd!$A:$B,2,0)),"")</f>
        <v/>
      </c>
      <c r="D1642" t="str">
        <f>IFERROR(IF(B1642="","",VLOOKUP(B1642,CadProd!$A:$C,3,0)),"")</f>
        <v/>
      </c>
      <c r="G1642" s="1" t="str">
        <f t="shared" si="25"/>
        <v/>
      </c>
    </row>
    <row r="1643" spans="3:7" x14ac:dyDescent="0.3">
      <c r="C1643" t="str">
        <f>IFERROR(IF(B1643="","",VLOOKUP(B1643,CadProd!$A:$B,2,0)),"")</f>
        <v/>
      </c>
      <c r="D1643" t="str">
        <f>IFERROR(IF(B1643="","",VLOOKUP(B1643,CadProd!$A:$C,3,0)),"")</f>
        <v/>
      </c>
      <c r="G1643" s="1" t="str">
        <f t="shared" si="25"/>
        <v/>
      </c>
    </row>
    <row r="1644" spans="3:7" x14ac:dyDescent="0.3">
      <c r="C1644" t="str">
        <f>IFERROR(IF(B1644="","",VLOOKUP(B1644,CadProd!$A:$B,2,0)),"")</f>
        <v/>
      </c>
      <c r="D1644" t="str">
        <f>IFERROR(IF(B1644="","",VLOOKUP(B1644,CadProd!$A:$C,3,0)),"")</f>
        <v/>
      </c>
      <c r="G1644" s="1" t="str">
        <f t="shared" si="25"/>
        <v/>
      </c>
    </row>
    <row r="1645" spans="3:7" x14ac:dyDescent="0.3">
      <c r="C1645" t="str">
        <f>IFERROR(IF(B1645="","",VLOOKUP(B1645,CadProd!$A:$B,2,0)),"")</f>
        <v/>
      </c>
      <c r="D1645" t="str">
        <f>IFERROR(IF(B1645="","",VLOOKUP(B1645,CadProd!$A:$C,3,0)),"")</f>
        <v/>
      </c>
      <c r="G1645" s="1" t="str">
        <f t="shared" si="25"/>
        <v/>
      </c>
    </row>
    <row r="1646" spans="3:7" x14ac:dyDescent="0.3">
      <c r="C1646" t="str">
        <f>IFERROR(IF(B1646="","",VLOOKUP(B1646,CadProd!$A:$B,2,0)),"")</f>
        <v/>
      </c>
      <c r="D1646" t="str">
        <f>IFERROR(IF(B1646="","",VLOOKUP(B1646,CadProd!$A:$C,3,0)),"")</f>
        <v/>
      </c>
      <c r="G1646" s="1" t="str">
        <f t="shared" si="25"/>
        <v/>
      </c>
    </row>
    <row r="1647" spans="3:7" x14ac:dyDescent="0.3">
      <c r="C1647" t="str">
        <f>IFERROR(IF(B1647="","",VLOOKUP(B1647,CadProd!$A:$B,2,0)),"")</f>
        <v/>
      </c>
      <c r="D1647" t="str">
        <f>IFERROR(IF(B1647="","",VLOOKUP(B1647,CadProd!$A:$C,3,0)),"")</f>
        <v/>
      </c>
      <c r="G1647" s="1" t="str">
        <f t="shared" si="25"/>
        <v/>
      </c>
    </row>
    <row r="1648" spans="3:7" x14ac:dyDescent="0.3">
      <c r="C1648" t="str">
        <f>IFERROR(IF(B1648="","",VLOOKUP(B1648,CadProd!$A:$B,2,0)),"")</f>
        <v/>
      </c>
      <c r="D1648" t="str">
        <f>IFERROR(IF(B1648="","",VLOOKUP(B1648,CadProd!$A:$C,3,0)),"")</f>
        <v/>
      </c>
      <c r="G1648" s="1" t="str">
        <f t="shared" si="25"/>
        <v/>
      </c>
    </row>
    <row r="1649" spans="3:7" x14ac:dyDescent="0.3">
      <c r="C1649" t="str">
        <f>IFERROR(IF(B1649="","",VLOOKUP(B1649,CadProd!$A:$B,2,0)),"")</f>
        <v/>
      </c>
      <c r="D1649" t="str">
        <f>IFERROR(IF(B1649="","",VLOOKUP(B1649,CadProd!$A:$C,3,0)),"")</f>
        <v/>
      </c>
      <c r="G1649" s="1" t="str">
        <f t="shared" si="25"/>
        <v/>
      </c>
    </row>
    <row r="1650" spans="3:7" x14ac:dyDescent="0.3">
      <c r="C1650" t="str">
        <f>IFERROR(IF(B1650="","",VLOOKUP(B1650,CadProd!$A:$B,2,0)),"")</f>
        <v/>
      </c>
      <c r="D1650" t="str">
        <f>IFERROR(IF(B1650="","",VLOOKUP(B1650,CadProd!$A:$C,3,0)),"")</f>
        <v/>
      </c>
      <c r="G1650" s="1" t="str">
        <f t="shared" si="25"/>
        <v/>
      </c>
    </row>
    <row r="1651" spans="3:7" x14ac:dyDescent="0.3">
      <c r="C1651" t="str">
        <f>IFERROR(IF(B1651="","",VLOOKUP(B1651,CadProd!$A:$B,2,0)),"")</f>
        <v/>
      </c>
      <c r="D1651" t="str">
        <f>IFERROR(IF(B1651="","",VLOOKUP(B1651,CadProd!$A:$C,3,0)),"")</f>
        <v/>
      </c>
      <c r="G1651" s="1" t="str">
        <f t="shared" si="25"/>
        <v/>
      </c>
    </row>
    <row r="1652" spans="3:7" x14ac:dyDescent="0.3">
      <c r="C1652" t="str">
        <f>IFERROR(IF(B1652="","",VLOOKUP(B1652,CadProd!$A:$B,2,0)),"")</f>
        <v/>
      </c>
      <c r="D1652" t="str">
        <f>IFERROR(IF(B1652="","",VLOOKUP(B1652,CadProd!$A:$C,3,0)),"")</f>
        <v/>
      </c>
      <c r="G1652" s="1" t="str">
        <f t="shared" si="25"/>
        <v/>
      </c>
    </row>
    <row r="1653" spans="3:7" x14ac:dyDescent="0.3">
      <c r="C1653" t="str">
        <f>IFERROR(IF(B1653="","",VLOOKUP(B1653,CadProd!$A:$B,2,0)),"")</f>
        <v/>
      </c>
      <c r="D1653" t="str">
        <f>IFERROR(IF(B1653="","",VLOOKUP(B1653,CadProd!$A:$C,3,0)),"")</f>
        <v/>
      </c>
      <c r="G1653" s="1" t="str">
        <f t="shared" si="25"/>
        <v/>
      </c>
    </row>
    <row r="1654" spans="3:7" x14ac:dyDescent="0.3">
      <c r="C1654" t="str">
        <f>IFERROR(IF(B1654="","",VLOOKUP(B1654,CadProd!$A:$B,2,0)),"")</f>
        <v/>
      </c>
      <c r="D1654" t="str">
        <f>IFERROR(IF(B1654="","",VLOOKUP(B1654,CadProd!$A:$C,3,0)),"")</f>
        <v/>
      </c>
      <c r="G1654" s="1" t="str">
        <f t="shared" si="25"/>
        <v/>
      </c>
    </row>
    <row r="1655" spans="3:7" x14ac:dyDescent="0.3">
      <c r="C1655" t="str">
        <f>IFERROR(IF(B1655="","",VLOOKUP(B1655,CadProd!$A:$B,2,0)),"")</f>
        <v/>
      </c>
      <c r="D1655" t="str">
        <f>IFERROR(IF(B1655="","",VLOOKUP(B1655,CadProd!$A:$C,3,0)),"")</f>
        <v/>
      </c>
      <c r="G1655" s="1" t="str">
        <f t="shared" si="25"/>
        <v/>
      </c>
    </row>
    <row r="1656" spans="3:7" x14ac:dyDescent="0.3">
      <c r="C1656" t="str">
        <f>IFERROR(IF(B1656="","",VLOOKUP(B1656,CadProd!$A:$B,2,0)),"")</f>
        <v/>
      </c>
      <c r="D1656" t="str">
        <f>IFERROR(IF(B1656="","",VLOOKUP(B1656,CadProd!$A:$C,3,0)),"")</f>
        <v/>
      </c>
      <c r="G1656" s="1" t="str">
        <f t="shared" si="25"/>
        <v/>
      </c>
    </row>
    <row r="1657" spans="3:7" x14ac:dyDescent="0.3">
      <c r="C1657" t="str">
        <f>IFERROR(IF(B1657="","",VLOOKUP(B1657,CadProd!$A:$B,2,0)),"")</f>
        <v/>
      </c>
      <c r="D1657" t="str">
        <f>IFERROR(IF(B1657="","",VLOOKUP(B1657,CadProd!$A:$C,3,0)),"")</f>
        <v/>
      </c>
      <c r="G1657" s="1" t="str">
        <f t="shared" si="25"/>
        <v/>
      </c>
    </row>
    <row r="1658" spans="3:7" x14ac:dyDescent="0.3">
      <c r="C1658" t="str">
        <f>IFERROR(IF(B1658="","",VLOOKUP(B1658,CadProd!$A:$B,2,0)),"")</f>
        <v/>
      </c>
      <c r="D1658" t="str">
        <f>IFERROR(IF(B1658="","",VLOOKUP(B1658,CadProd!$A:$C,3,0)),"")</f>
        <v/>
      </c>
      <c r="G1658" s="1" t="str">
        <f t="shared" si="25"/>
        <v/>
      </c>
    </row>
    <row r="1659" spans="3:7" x14ac:dyDescent="0.3">
      <c r="C1659" t="str">
        <f>IFERROR(IF(B1659="","",VLOOKUP(B1659,CadProd!$A:$B,2,0)),"")</f>
        <v/>
      </c>
      <c r="D1659" t="str">
        <f>IFERROR(IF(B1659="","",VLOOKUP(B1659,CadProd!$A:$C,3,0)),"")</f>
        <v/>
      </c>
      <c r="G1659" s="1" t="str">
        <f t="shared" si="25"/>
        <v/>
      </c>
    </row>
    <row r="1660" spans="3:7" x14ac:dyDescent="0.3">
      <c r="C1660" t="str">
        <f>IFERROR(IF(B1660="","",VLOOKUP(B1660,CadProd!$A:$B,2,0)),"")</f>
        <v/>
      </c>
      <c r="D1660" t="str">
        <f>IFERROR(IF(B1660="","",VLOOKUP(B1660,CadProd!$A:$C,3,0)),"")</f>
        <v/>
      </c>
      <c r="G1660" s="1" t="str">
        <f t="shared" si="25"/>
        <v/>
      </c>
    </row>
    <row r="1661" spans="3:7" x14ac:dyDescent="0.3">
      <c r="C1661" t="str">
        <f>IFERROR(IF(B1661="","",VLOOKUP(B1661,CadProd!$A:$B,2,0)),"")</f>
        <v/>
      </c>
      <c r="D1661" t="str">
        <f>IFERROR(IF(B1661="","",VLOOKUP(B1661,CadProd!$A:$C,3,0)),"")</f>
        <v/>
      </c>
      <c r="G1661" s="1" t="str">
        <f t="shared" si="25"/>
        <v/>
      </c>
    </row>
    <row r="1662" spans="3:7" x14ac:dyDescent="0.3">
      <c r="C1662" t="str">
        <f>IFERROR(IF(B1662="","",VLOOKUP(B1662,CadProd!$A:$B,2,0)),"")</f>
        <v/>
      </c>
      <c r="D1662" t="str">
        <f>IFERROR(IF(B1662="","",VLOOKUP(B1662,CadProd!$A:$C,3,0)),"")</f>
        <v/>
      </c>
      <c r="G1662" s="1" t="str">
        <f t="shared" si="25"/>
        <v/>
      </c>
    </row>
    <row r="1663" spans="3:7" x14ac:dyDescent="0.3">
      <c r="C1663" t="str">
        <f>IFERROR(IF(B1663="","",VLOOKUP(B1663,CadProd!$A:$B,2,0)),"")</f>
        <v/>
      </c>
      <c r="D1663" t="str">
        <f>IFERROR(IF(B1663="","",VLOOKUP(B1663,CadProd!$A:$C,3,0)),"")</f>
        <v/>
      </c>
      <c r="G1663" s="1" t="str">
        <f t="shared" si="25"/>
        <v/>
      </c>
    </row>
    <row r="1664" spans="3:7" x14ac:dyDescent="0.3">
      <c r="C1664" t="str">
        <f>IFERROR(IF(B1664="","",VLOOKUP(B1664,CadProd!$A:$B,2,0)),"")</f>
        <v/>
      </c>
      <c r="D1664" t="str">
        <f>IFERROR(IF(B1664="","",VLOOKUP(B1664,CadProd!$A:$C,3,0)),"")</f>
        <v/>
      </c>
      <c r="G1664" s="1" t="str">
        <f t="shared" si="25"/>
        <v/>
      </c>
    </row>
    <row r="1665" spans="3:7" x14ac:dyDescent="0.3">
      <c r="C1665" t="str">
        <f>IFERROR(IF(B1665="","",VLOOKUP(B1665,CadProd!$A:$B,2,0)),"")</f>
        <v/>
      </c>
      <c r="D1665" t="str">
        <f>IFERROR(IF(B1665="","",VLOOKUP(B1665,CadProd!$A:$C,3,0)),"")</f>
        <v/>
      </c>
      <c r="G1665" s="1" t="str">
        <f t="shared" si="25"/>
        <v/>
      </c>
    </row>
    <row r="1666" spans="3:7" x14ac:dyDescent="0.3">
      <c r="C1666" t="str">
        <f>IFERROR(IF(B1666="","",VLOOKUP(B1666,CadProd!$A:$B,2,0)),"")</f>
        <v/>
      </c>
      <c r="D1666" t="str">
        <f>IFERROR(IF(B1666="","",VLOOKUP(B1666,CadProd!$A:$C,3,0)),"")</f>
        <v/>
      </c>
      <c r="G1666" s="1" t="str">
        <f t="shared" ref="G1666:G1729" si="26">IFERROR(IF(B1666="","",F1666*E1666),"")</f>
        <v/>
      </c>
    </row>
    <row r="1667" spans="3:7" x14ac:dyDescent="0.3">
      <c r="C1667" t="str">
        <f>IFERROR(IF(B1667="","",VLOOKUP(B1667,CadProd!$A:$B,2,0)),"")</f>
        <v/>
      </c>
      <c r="D1667" t="str">
        <f>IFERROR(IF(B1667="","",VLOOKUP(B1667,CadProd!$A:$C,3,0)),"")</f>
        <v/>
      </c>
      <c r="G1667" s="1" t="str">
        <f t="shared" si="26"/>
        <v/>
      </c>
    </row>
    <row r="1668" spans="3:7" x14ac:dyDescent="0.3">
      <c r="C1668" t="str">
        <f>IFERROR(IF(B1668="","",VLOOKUP(B1668,CadProd!$A:$B,2,0)),"")</f>
        <v/>
      </c>
      <c r="D1668" t="str">
        <f>IFERROR(IF(B1668="","",VLOOKUP(B1668,CadProd!$A:$C,3,0)),"")</f>
        <v/>
      </c>
      <c r="G1668" s="1" t="str">
        <f t="shared" si="26"/>
        <v/>
      </c>
    </row>
    <row r="1669" spans="3:7" x14ac:dyDescent="0.3">
      <c r="C1669" t="str">
        <f>IFERROR(IF(B1669="","",VLOOKUP(B1669,CadProd!$A:$B,2,0)),"")</f>
        <v/>
      </c>
      <c r="D1669" t="str">
        <f>IFERROR(IF(B1669="","",VLOOKUP(B1669,CadProd!$A:$C,3,0)),"")</f>
        <v/>
      </c>
      <c r="G1669" s="1" t="str">
        <f t="shared" si="26"/>
        <v/>
      </c>
    </row>
    <row r="1670" spans="3:7" x14ac:dyDescent="0.3">
      <c r="C1670" t="str">
        <f>IFERROR(IF(B1670="","",VLOOKUP(B1670,CadProd!$A:$B,2,0)),"")</f>
        <v/>
      </c>
      <c r="D1670" t="str">
        <f>IFERROR(IF(B1670="","",VLOOKUP(B1670,CadProd!$A:$C,3,0)),"")</f>
        <v/>
      </c>
      <c r="G1670" s="1" t="str">
        <f t="shared" si="26"/>
        <v/>
      </c>
    </row>
    <row r="1671" spans="3:7" x14ac:dyDescent="0.3">
      <c r="C1671" t="str">
        <f>IFERROR(IF(B1671="","",VLOOKUP(B1671,CadProd!$A:$B,2,0)),"")</f>
        <v/>
      </c>
      <c r="D1671" t="str">
        <f>IFERROR(IF(B1671="","",VLOOKUP(B1671,CadProd!$A:$C,3,0)),"")</f>
        <v/>
      </c>
      <c r="G1671" s="1" t="str">
        <f t="shared" si="26"/>
        <v/>
      </c>
    </row>
    <row r="1672" spans="3:7" x14ac:dyDescent="0.3">
      <c r="C1672" t="str">
        <f>IFERROR(IF(B1672="","",VLOOKUP(B1672,CadProd!$A:$B,2,0)),"")</f>
        <v/>
      </c>
      <c r="D1672" t="str">
        <f>IFERROR(IF(B1672="","",VLOOKUP(B1672,CadProd!$A:$C,3,0)),"")</f>
        <v/>
      </c>
      <c r="G1672" s="1" t="str">
        <f t="shared" si="26"/>
        <v/>
      </c>
    </row>
    <row r="1673" spans="3:7" x14ac:dyDescent="0.3">
      <c r="C1673" t="str">
        <f>IFERROR(IF(B1673="","",VLOOKUP(B1673,CadProd!$A:$B,2,0)),"")</f>
        <v/>
      </c>
      <c r="D1673" t="str">
        <f>IFERROR(IF(B1673="","",VLOOKUP(B1673,CadProd!$A:$C,3,0)),"")</f>
        <v/>
      </c>
      <c r="G1673" s="1" t="str">
        <f t="shared" si="26"/>
        <v/>
      </c>
    </row>
    <row r="1674" spans="3:7" x14ac:dyDescent="0.3">
      <c r="C1674" t="str">
        <f>IFERROR(IF(B1674="","",VLOOKUP(B1674,CadProd!$A:$B,2,0)),"")</f>
        <v/>
      </c>
      <c r="D1674" t="str">
        <f>IFERROR(IF(B1674="","",VLOOKUP(B1674,CadProd!$A:$C,3,0)),"")</f>
        <v/>
      </c>
      <c r="G1674" s="1" t="str">
        <f t="shared" si="26"/>
        <v/>
      </c>
    </row>
    <row r="1675" spans="3:7" x14ac:dyDescent="0.3">
      <c r="C1675" t="str">
        <f>IFERROR(IF(B1675="","",VLOOKUP(B1675,CadProd!$A:$B,2,0)),"")</f>
        <v/>
      </c>
      <c r="D1675" t="str">
        <f>IFERROR(IF(B1675="","",VLOOKUP(B1675,CadProd!$A:$C,3,0)),"")</f>
        <v/>
      </c>
      <c r="G1675" s="1" t="str">
        <f t="shared" si="26"/>
        <v/>
      </c>
    </row>
    <row r="1676" spans="3:7" x14ac:dyDescent="0.3">
      <c r="C1676" t="str">
        <f>IFERROR(IF(B1676="","",VLOOKUP(B1676,CadProd!$A:$B,2,0)),"")</f>
        <v/>
      </c>
      <c r="D1676" t="str">
        <f>IFERROR(IF(B1676="","",VLOOKUP(B1676,CadProd!$A:$C,3,0)),"")</f>
        <v/>
      </c>
      <c r="G1676" s="1" t="str">
        <f t="shared" si="26"/>
        <v/>
      </c>
    </row>
    <row r="1677" spans="3:7" x14ac:dyDescent="0.3">
      <c r="C1677" t="str">
        <f>IFERROR(IF(B1677="","",VLOOKUP(B1677,CadProd!$A:$B,2,0)),"")</f>
        <v/>
      </c>
      <c r="D1677" t="str">
        <f>IFERROR(IF(B1677="","",VLOOKUP(B1677,CadProd!$A:$C,3,0)),"")</f>
        <v/>
      </c>
      <c r="G1677" s="1" t="str">
        <f t="shared" si="26"/>
        <v/>
      </c>
    </row>
    <row r="1678" spans="3:7" x14ac:dyDescent="0.3">
      <c r="C1678" t="str">
        <f>IFERROR(IF(B1678="","",VLOOKUP(B1678,CadProd!$A:$B,2,0)),"")</f>
        <v/>
      </c>
      <c r="D1678" t="str">
        <f>IFERROR(IF(B1678="","",VLOOKUP(B1678,CadProd!$A:$C,3,0)),"")</f>
        <v/>
      </c>
      <c r="G1678" s="1" t="str">
        <f t="shared" si="26"/>
        <v/>
      </c>
    </row>
    <row r="1679" spans="3:7" x14ac:dyDescent="0.3">
      <c r="C1679" t="str">
        <f>IFERROR(IF(B1679="","",VLOOKUP(B1679,CadProd!$A:$B,2,0)),"")</f>
        <v/>
      </c>
      <c r="D1679" t="str">
        <f>IFERROR(IF(B1679="","",VLOOKUP(B1679,CadProd!$A:$C,3,0)),"")</f>
        <v/>
      </c>
      <c r="G1679" s="1" t="str">
        <f t="shared" si="26"/>
        <v/>
      </c>
    </row>
    <row r="1680" spans="3:7" x14ac:dyDescent="0.3">
      <c r="C1680" t="str">
        <f>IFERROR(IF(B1680="","",VLOOKUP(B1680,CadProd!$A:$B,2,0)),"")</f>
        <v/>
      </c>
      <c r="D1680" t="str">
        <f>IFERROR(IF(B1680="","",VLOOKUP(B1680,CadProd!$A:$C,3,0)),"")</f>
        <v/>
      </c>
      <c r="G1680" s="1" t="str">
        <f t="shared" si="26"/>
        <v/>
      </c>
    </row>
    <row r="1681" spans="3:7" x14ac:dyDescent="0.3">
      <c r="C1681" t="str">
        <f>IFERROR(IF(B1681="","",VLOOKUP(B1681,CadProd!$A:$B,2,0)),"")</f>
        <v/>
      </c>
      <c r="D1681" t="str">
        <f>IFERROR(IF(B1681="","",VLOOKUP(B1681,CadProd!$A:$C,3,0)),"")</f>
        <v/>
      </c>
      <c r="G1681" s="1" t="str">
        <f t="shared" si="26"/>
        <v/>
      </c>
    </row>
    <row r="1682" spans="3:7" x14ac:dyDescent="0.3">
      <c r="C1682" t="str">
        <f>IFERROR(IF(B1682="","",VLOOKUP(B1682,CadProd!$A:$B,2,0)),"")</f>
        <v/>
      </c>
      <c r="D1682" t="str">
        <f>IFERROR(IF(B1682="","",VLOOKUP(B1682,CadProd!$A:$C,3,0)),"")</f>
        <v/>
      </c>
      <c r="G1682" s="1" t="str">
        <f t="shared" si="26"/>
        <v/>
      </c>
    </row>
    <row r="1683" spans="3:7" x14ac:dyDescent="0.3">
      <c r="C1683" t="str">
        <f>IFERROR(IF(B1683="","",VLOOKUP(B1683,CadProd!$A:$B,2,0)),"")</f>
        <v/>
      </c>
      <c r="D1683" t="str">
        <f>IFERROR(IF(B1683="","",VLOOKUP(B1683,CadProd!$A:$C,3,0)),"")</f>
        <v/>
      </c>
      <c r="G1683" s="1" t="str">
        <f t="shared" si="26"/>
        <v/>
      </c>
    </row>
    <row r="1684" spans="3:7" x14ac:dyDescent="0.3">
      <c r="C1684" t="str">
        <f>IFERROR(IF(B1684="","",VLOOKUP(B1684,CadProd!$A:$B,2,0)),"")</f>
        <v/>
      </c>
      <c r="D1684" t="str">
        <f>IFERROR(IF(B1684="","",VLOOKUP(B1684,CadProd!$A:$C,3,0)),"")</f>
        <v/>
      </c>
      <c r="G1684" s="1" t="str">
        <f t="shared" si="26"/>
        <v/>
      </c>
    </row>
    <row r="1685" spans="3:7" x14ac:dyDescent="0.3">
      <c r="C1685" t="str">
        <f>IFERROR(IF(B1685="","",VLOOKUP(B1685,CadProd!$A:$B,2,0)),"")</f>
        <v/>
      </c>
      <c r="D1685" t="str">
        <f>IFERROR(IF(B1685="","",VLOOKUP(B1685,CadProd!$A:$C,3,0)),"")</f>
        <v/>
      </c>
      <c r="G1685" s="1" t="str">
        <f t="shared" si="26"/>
        <v/>
      </c>
    </row>
    <row r="1686" spans="3:7" x14ac:dyDescent="0.3">
      <c r="C1686" t="str">
        <f>IFERROR(IF(B1686="","",VLOOKUP(B1686,CadProd!$A:$B,2,0)),"")</f>
        <v/>
      </c>
      <c r="D1686" t="str">
        <f>IFERROR(IF(B1686="","",VLOOKUP(B1686,CadProd!$A:$C,3,0)),"")</f>
        <v/>
      </c>
      <c r="G1686" s="1" t="str">
        <f t="shared" si="26"/>
        <v/>
      </c>
    </row>
    <row r="1687" spans="3:7" x14ac:dyDescent="0.3">
      <c r="C1687" t="str">
        <f>IFERROR(IF(B1687="","",VLOOKUP(B1687,CadProd!$A:$B,2,0)),"")</f>
        <v/>
      </c>
      <c r="D1687" t="str">
        <f>IFERROR(IF(B1687="","",VLOOKUP(B1687,CadProd!$A:$C,3,0)),"")</f>
        <v/>
      </c>
      <c r="G1687" s="1" t="str">
        <f t="shared" si="26"/>
        <v/>
      </c>
    </row>
    <row r="1688" spans="3:7" x14ac:dyDescent="0.3">
      <c r="C1688" t="str">
        <f>IFERROR(IF(B1688="","",VLOOKUP(B1688,CadProd!$A:$B,2,0)),"")</f>
        <v/>
      </c>
      <c r="D1688" t="str">
        <f>IFERROR(IF(B1688="","",VLOOKUP(B1688,CadProd!$A:$C,3,0)),"")</f>
        <v/>
      </c>
      <c r="G1688" s="1" t="str">
        <f t="shared" si="26"/>
        <v/>
      </c>
    </row>
    <row r="1689" spans="3:7" x14ac:dyDescent="0.3">
      <c r="C1689" t="str">
        <f>IFERROR(IF(B1689="","",VLOOKUP(B1689,CadProd!$A:$B,2,0)),"")</f>
        <v/>
      </c>
      <c r="D1689" t="str">
        <f>IFERROR(IF(B1689="","",VLOOKUP(B1689,CadProd!$A:$C,3,0)),"")</f>
        <v/>
      </c>
      <c r="G1689" s="1" t="str">
        <f t="shared" si="26"/>
        <v/>
      </c>
    </row>
    <row r="1690" spans="3:7" x14ac:dyDescent="0.3">
      <c r="C1690" t="str">
        <f>IFERROR(IF(B1690="","",VLOOKUP(B1690,CadProd!$A:$B,2,0)),"")</f>
        <v/>
      </c>
      <c r="D1690" t="str">
        <f>IFERROR(IF(B1690="","",VLOOKUP(B1690,CadProd!$A:$C,3,0)),"")</f>
        <v/>
      </c>
      <c r="G1690" s="1" t="str">
        <f t="shared" si="26"/>
        <v/>
      </c>
    </row>
    <row r="1691" spans="3:7" x14ac:dyDescent="0.3">
      <c r="C1691" t="str">
        <f>IFERROR(IF(B1691="","",VLOOKUP(B1691,CadProd!$A:$B,2,0)),"")</f>
        <v/>
      </c>
      <c r="D1691" t="str">
        <f>IFERROR(IF(B1691="","",VLOOKUP(B1691,CadProd!$A:$C,3,0)),"")</f>
        <v/>
      </c>
      <c r="G1691" s="1" t="str">
        <f t="shared" si="26"/>
        <v/>
      </c>
    </row>
    <row r="1692" spans="3:7" x14ac:dyDescent="0.3">
      <c r="C1692" t="str">
        <f>IFERROR(IF(B1692="","",VLOOKUP(B1692,CadProd!$A:$B,2,0)),"")</f>
        <v/>
      </c>
      <c r="D1692" t="str">
        <f>IFERROR(IF(B1692="","",VLOOKUP(B1692,CadProd!$A:$C,3,0)),"")</f>
        <v/>
      </c>
      <c r="G1692" s="1" t="str">
        <f t="shared" si="26"/>
        <v/>
      </c>
    </row>
    <row r="1693" spans="3:7" x14ac:dyDescent="0.3">
      <c r="C1693" t="str">
        <f>IFERROR(IF(B1693="","",VLOOKUP(B1693,CadProd!$A:$B,2,0)),"")</f>
        <v/>
      </c>
      <c r="D1693" t="str">
        <f>IFERROR(IF(B1693="","",VLOOKUP(B1693,CadProd!$A:$C,3,0)),"")</f>
        <v/>
      </c>
      <c r="G1693" s="1" t="str">
        <f t="shared" si="26"/>
        <v/>
      </c>
    </row>
    <row r="1694" spans="3:7" x14ac:dyDescent="0.3">
      <c r="C1694" t="str">
        <f>IFERROR(IF(B1694="","",VLOOKUP(B1694,CadProd!$A:$B,2,0)),"")</f>
        <v/>
      </c>
      <c r="D1694" t="str">
        <f>IFERROR(IF(B1694="","",VLOOKUP(B1694,CadProd!$A:$C,3,0)),"")</f>
        <v/>
      </c>
      <c r="G1694" s="1" t="str">
        <f t="shared" si="26"/>
        <v/>
      </c>
    </row>
    <row r="1695" spans="3:7" x14ac:dyDescent="0.3">
      <c r="C1695" t="str">
        <f>IFERROR(IF(B1695="","",VLOOKUP(B1695,CadProd!$A:$B,2,0)),"")</f>
        <v/>
      </c>
      <c r="D1695" t="str">
        <f>IFERROR(IF(B1695="","",VLOOKUP(B1695,CadProd!$A:$C,3,0)),"")</f>
        <v/>
      </c>
      <c r="G1695" s="1" t="str">
        <f t="shared" si="26"/>
        <v/>
      </c>
    </row>
    <row r="1696" spans="3:7" x14ac:dyDescent="0.3">
      <c r="C1696" t="str">
        <f>IFERROR(IF(B1696="","",VLOOKUP(B1696,CadProd!$A:$B,2,0)),"")</f>
        <v/>
      </c>
      <c r="D1696" t="str">
        <f>IFERROR(IF(B1696="","",VLOOKUP(B1696,CadProd!$A:$C,3,0)),"")</f>
        <v/>
      </c>
      <c r="G1696" s="1" t="str">
        <f t="shared" si="26"/>
        <v/>
      </c>
    </row>
    <row r="1697" spans="3:7" x14ac:dyDescent="0.3">
      <c r="C1697" t="str">
        <f>IFERROR(IF(B1697="","",VLOOKUP(B1697,CadProd!$A:$B,2,0)),"")</f>
        <v/>
      </c>
      <c r="D1697" t="str">
        <f>IFERROR(IF(B1697="","",VLOOKUP(B1697,CadProd!$A:$C,3,0)),"")</f>
        <v/>
      </c>
      <c r="G1697" s="1" t="str">
        <f t="shared" si="26"/>
        <v/>
      </c>
    </row>
    <row r="1698" spans="3:7" x14ac:dyDescent="0.3">
      <c r="C1698" t="str">
        <f>IFERROR(IF(B1698="","",VLOOKUP(B1698,CadProd!$A:$B,2,0)),"")</f>
        <v/>
      </c>
      <c r="D1698" t="str">
        <f>IFERROR(IF(B1698="","",VLOOKUP(B1698,CadProd!$A:$C,3,0)),"")</f>
        <v/>
      </c>
      <c r="G1698" s="1" t="str">
        <f t="shared" si="26"/>
        <v/>
      </c>
    </row>
    <row r="1699" spans="3:7" x14ac:dyDescent="0.3">
      <c r="C1699" t="str">
        <f>IFERROR(IF(B1699="","",VLOOKUP(B1699,CadProd!$A:$B,2,0)),"")</f>
        <v/>
      </c>
      <c r="D1699" t="str">
        <f>IFERROR(IF(B1699="","",VLOOKUP(B1699,CadProd!$A:$C,3,0)),"")</f>
        <v/>
      </c>
      <c r="G1699" s="1" t="str">
        <f t="shared" si="26"/>
        <v/>
      </c>
    </row>
    <row r="1700" spans="3:7" x14ac:dyDescent="0.3">
      <c r="C1700" t="str">
        <f>IFERROR(IF(B1700="","",VLOOKUP(B1700,CadProd!$A:$B,2,0)),"")</f>
        <v/>
      </c>
      <c r="D1700" t="str">
        <f>IFERROR(IF(B1700="","",VLOOKUP(B1700,CadProd!$A:$C,3,0)),"")</f>
        <v/>
      </c>
      <c r="G1700" s="1" t="str">
        <f t="shared" si="26"/>
        <v/>
      </c>
    </row>
    <row r="1701" spans="3:7" x14ac:dyDescent="0.3">
      <c r="C1701" t="str">
        <f>IFERROR(IF(B1701="","",VLOOKUP(B1701,CadProd!$A:$B,2,0)),"")</f>
        <v/>
      </c>
      <c r="D1701" t="str">
        <f>IFERROR(IF(B1701="","",VLOOKUP(B1701,CadProd!$A:$C,3,0)),"")</f>
        <v/>
      </c>
      <c r="G1701" s="1" t="str">
        <f t="shared" si="26"/>
        <v/>
      </c>
    </row>
    <row r="1702" spans="3:7" x14ac:dyDescent="0.3">
      <c r="C1702" t="str">
        <f>IFERROR(IF(B1702="","",VLOOKUP(B1702,CadProd!$A:$B,2,0)),"")</f>
        <v/>
      </c>
      <c r="D1702" t="str">
        <f>IFERROR(IF(B1702="","",VLOOKUP(B1702,CadProd!$A:$C,3,0)),"")</f>
        <v/>
      </c>
      <c r="G1702" s="1" t="str">
        <f t="shared" si="26"/>
        <v/>
      </c>
    </row>
    <row r="1703" spans="3:7" x14ac:dyDescent="0.3">
      <c r="C1703" t="str">
        <f>IFERROR(IF(B1703="","",VLOOKUP(B1703,CadProd!$A:$B,2,0)),"")</f>
        <v/>
      </c>
      <c r="D1703" t="str">
        <f>IFERROR(IF(B1703="","",VLOOKUP(B1703,CadProd!$A:$C,3,0)),"")</f>
        <v/>
      </c>
      <c r="G1703" s="1" t="str">
        <f t="shared" si="26"/>
        <v/>
      </c>
    </row>
    <row r="1704" spans="3:7" x14ac:dyDescent="0.3">
      <c r="C1704" t="str">
        <f>IFERROR(IF(B1704="","",VLOOKUP(B1704,CadProd!$A:$B,2,0)),"")</f>
        <v/>
      </c>
      <c r="D1704" t="str">
        <f>IFERROR(IF(B1704="","",VLOOKUP(B1704,CadProd!$A:$C,3,0)),"")</f>
        <v/>
      </c>
      <c r="G1704" s="1" t="str">
        <f t="shared" si="26"/>
        <v/>
      </c>
    </row>
    <row r="1705" spans="3:7" x14ac:dyDescent="0.3">
      <c r="C1705" t="str">
        <f>IFERROR(IF(B1705="","",VLOOKUP(B1705,CadProd!$A:$B,2,0)),"")</f>
        <v/>
      </c>
      <c r="D1705" t="str">
        <f>IFERROR(IF(B1705="","",VLOOKUP(B1705,CadProd!$A:$C,3,0)),"")</f>
        <v/>
      </c>
      <c r="G1705" s="1" t="str">
        <f t="shared" si="26"/>
        <v/>
      </c>
    </row>
    <row r="1706" spans="3:7" x14ac:dyDescent="0.3">
      <c r="C1706" t="str">
        <f>IFERROR(IF(B1706="","",VLOOKUP(B1706,CadProd!$A:$B,2,0)),"")</f>
        <v/>
      </c>
      <c r="D1706" t="str">
        <f>IFERROR(IF(B1706="","",VLOOKUP(B1706,CadProd!$A:$C,3,0)),"")</f>
        <v/>
      </c>
      <c r="G1706" s="1" t="str">
        <f t="shared" si="26"/>
        <v/>
      </c>
    </row>
    <row r="1707" spans="3:7" x14ac:dyDescent="0.3">
      <c r="C1707" t="str">
        <f>IFERROR(IF(B1707="","",VLOOKUP(B1707,CadProd!$A:$B,2,0)),"")</f>
        <v/>
      </c>
      <c r="D1707" t="str">
        <f>IFERROR(IF(B1707="","",VLOOKUP(B1707,CadProd!$A:$C,3,0)),"")</f>
        <v/>
      </c>
      <c r="G1707" s="1" t="str">
        <f t="shared" si="26"/>
        <v/>
      </c>
    </row>
    <row r="1708" spans="3:7" x14ac:dyDescent="0.3">
      <c r="C1708" t="str">
        <f>IFERROR(IF(B1708="","",VLOOKUP(B1708,CadProd!$A:$B,2,0)),"")</f>
        <v/>
      </c>
      <c r="D1708" t="str">
        <f>IFERROR(IF(B1708="","",VLOOKUP(B1708,CadProd!$A:$C,3,0)),"")</f>
        <v/>
      </c>
      <c r="G1708" s="1" t="str">
        <f t="shared" si="26"/>
        <v/>
      </c>
    </row>
    <row r="1709" spans="3:7" x14ac:dyDescent="0.3">
      <c r="C1709" t="str">
        <f>IFERROR(IF(B1709="","",VLOOKUP(B1709,CadProd!$A:$B,2,0)),"")</f>
        <v/>
      </c>
      <c r="D1709" t="str">
        <f>IFERROR(IF(B1709="","",VLOOKUP(B1709,CadProd!$A:$C,3,0)),"")</f>
        <v/>
      </c>
      <c r="G1709" s="1" t="str">
        <f t="shared" si="26"/>
        <v/>
      </c>
    </row>
    <row r="1710" spans="3:7" x14ac:dyDescent="0.3">
      <c r="C1710" t="str">
        <f>IFERROR(IF(B1710="","",VLOOKUP(B1710,CadProd!$A:$B,2,0)),"")</f>
        <v/>
      </c>
      <c r="D1710" t="str">
        <f>IFERROR(IF(B1710="","",VLOOKUP(B1710,CadProd!$A:$C,3,0)),"")</f>
        <v/>
      </c>
      <c r="G1710" s="1" t="str">
        <f t="shared" si="26"/>
        <v/>
      </c>
    </row>
    <row r="1711" spans="3:7" x14ac:dyDescent="0.3">
      <c r="C1711" t="str">
        <f>IFERROR(IF(B1711="","",VLOOKUP(B1711,CadProd!$A:$B,2,0)),"")</f>
        <v/>
      </c>
      <c r="D1711" t="str">
        <f>IFERROR(IF(B1711="","",VLOOKUP(B1711,CadProd!$A:$C,3,0)),"")</f>
        <v/>
      </c>
      <c r="G1711" s="1" t="str">
        <f t="shared" si="26"/>
        <v/>
      </c>
    </row>
    <row r="1712" spans="3:7" x14ac:dyDescent="0.3">
      <c r="C1712" t="str">
        <f>IFERROR(IF(B1712="","",VLOOKUP(B1712,CadProd!$A:$B,2,0)),"")</f>
        <v/>
      </c>
      <c r="D1712" t="str">
        <f>IFERROR(IF(B1712="","",VLOOKUP(B1712,CadProd!$A:$C,3,0)),"")</f>
        <v/>
      </c>
      <c r="G1712" s="1" t="str">
        <f t="shared" si="26"/>
        <v/>
      </c>
    </row>
    <row r="1713" spans="3:7" x14ac:dyDescent="0.3">
      <c r="C1713" t="str">
        <f>IFERROR(IF(B1713="","",VLOOKUP(B1713,CadProd!$A:$B,2,0)),"")</f>
        <v/>
      </c>
      <c r="D1713" t="str">
        <f>IFERROR(IF(B1713="","",VLOOKUP(B1713,CadProd!$A:$C,3,0)),"")</f>
        <v/>
      </c>
      <c r="G1713" s="1" t="str">
        <f t="shared" si="26"/>
        <v/>
      </c>
    </row>
    <row r="1714" spans="3:7" x14ac:dyDescent="0.3">
      <c r="C1714" t="str">
        <f>IFERROR(IF(B1714="","",VLOOKUP(B1714,CadProd!$A:$B,2,0)),"")</f>
        <v/>
      </c>
      <c r="D1714" t="str">
        <f>IFERROR(IF(B1714="","",VLOOKUP(B1714,CadProd!$A:$C,3,0)),"")</f>
        <v/>
      </c>
      <c r="G1714" s="1" t="str">
        <f t="shared" si="26"/>
        <v/>
      </c>
    </row>
    <row r="1715" spans="3:7" x14ac:dyDescent="0.3">
      <c r="C1715" t="str">
        <f>IFERROR(IF(B1715="","",VLOOKUP(B1715,CadProd!$A:$B,2,0)),"")</f>
        <v/>
      </c>
      <c r="D1715" t="str">
        <f>IFERROR(IF(B1715="","",VLOOKUP(B1715,CadProd!$A:$C,3,0)),"")</f>
        <v/>
      </c>
      <c r="G1715" s="1" t="str">
        <f t="shared" si="26"/>
        <v/>
      </c>
    </row>
    <row r="1716" spans="3:7" x14ac:dyDescent="0.3">
      <c r="C1716" t="str">
        <f>IFERROR(IF(B1716="","",VLOOKUP(B1716,CadProd!$A:$B,2,0)),"")</f>
        <v/>
      </c>
      <c r="D1716" t="str">
        <f>IFERROR(IF(B1716="","",VLOOKUP(B1716,CadProd!$A:$C,3,0)),"")</f>
        <v/>
      </c>
      <c r="G1716" s="1" t="str">
        <f t="shared" si="26"/>
        <v/>
      </c>
    </row>
    <row r="1717" spans="3:7" x14ac:dyDescent="0.3">
      <c r="C1717" t="str">
        <f>IFERROR(IF(B1717="","",VLOOKUP(B1717,CadProd!$A:$B,2,0)),"")</f>
        <v/>
      </c>
      <c r="D1717" t="str">
        <f>IFERROR(IF(B1717="","",VLOOKUP(B1717,CadProd!$A:$C,3,0)),"")</f>
        <v/>
      </c>
      <c r="G1717" s="1" t="str">
        <f t="shared" si="26"/>
        <v/>
      </c>
    </row>
    <row r="1718" spans="3:7" x14ac:dyDescent="0.3">
      <c r="C1718" t="str">
        <f>IFERROR(IF(B1718="","",VLOOKUP(B1718,CadProd!$A:$B,2,0)),"")</f>
        <v/>
      </c>
      <c r="D1718" t="str">
        <f>IFERROR(IF(B1718="","",VLOOKUP(B1718,CadProd!$A:$C,3,0)),"")</f>
        <v/>
      </c>
      <c r="G1718" s="1" t="str">
        <f t="shared" si="26"/>
        <v/>
      </c>
    </row>
    <row r="1719" spans="3:7" x14ac:dyDescent="0.3">
      <c r="C1719" t="str">
        <f>IFERROR(IF(B1719="","",VLOOKUP(B1719,CadProd!$A:$B,2,0)),"")</f>
        <v/>
      </c>
      <c r="D1719" t="str">
        <f>IFERROR(IF(B1719="","",VLOOKUP(B1719,CadProd!$A:$C,3,0)),"")</f>
        <v/>
      </c>
      <c r="G1719" s="1" t="str">
        <f t="shared" si="26"/>
        <v/>
      </c>
    </row>
    <row r="1720" spans="3:7" x14ac:dyDescent="0.3">
      <c r="C1720" t="str">
        <f>IFERROR(IF(B1720="","",VLOOKUP(B1720,CadProd!$A:$B,2,0)),"")</f>
        <v/>
      </c>
      <c r="D1720" t="str">
        <f>IFERROR(IF(B1720="","",VLOOKUP(B1720,CadProd!$A:$C,3,0)),"")</f>
        <v/>
      </c>
      <c r="G1720" s="1" t="str">
        <f t="shared" si="26"/>
        <v/>
      </c>
    </row>
    <row r="1721" spans="3:7" x14ac:dyDescent="0.3">
      <c r="C1721" t="str">
        <f>IFERROR(IF(B1721="","",VLOOKUP(B1721,CadProd!$A:$B,2,0)),"")</f>
        <v/>
      </c>
      <c r="D1721" t="str">
        <f>IFERROR(IF(B1721="","",VLOOKUP(B1721,CadProd!$A:$C,3,0)),"")</f>
        <v/>
      </c>
      <c r="G1721" s="1" t="str">
        <f t="shared" si="26"/>
        <v/>
      </c>
    </row>
    <row r="1722" spans="3:7" x14ac:dyDescent="0.3">
      <c r="C1722" t="str">
        <f>IFERROR(IF(B1722="","",VLOOKUP(B1722,CadProd!$A:$B,2,0)),"")</f>
        <v/>
      </c>
      <c r="D1722" t="str">
        <f>IFERROR(IF(B1722="","",VLOOKUP(B1722,CadProd!$A:$C,3,0)),"")</f>
        <v/>
      </c>
      <c r="G1722" s="1" t="str">
        <f t="shared" si="26"/>
        <v/>
      </c>
    </row>
    <row r="1723" spans="3:7" x14ac:dyDescent="0.3">
      <c r="C1723" t="str">
        <f>IFERROR(IF(B1723="","",VLOOKUP(B1723,CadProd!$A:$B,2,0)),"")</f>
        <v/>
      </c>
      <c r="D1723" t="str">
        <f>IFERROR(IF(B1723="","",VLOOKUP(B1723,CadProd!$A:$C,3,0)),"")</f>
        <v/>
      </c>
      <c r="G1723" s="1" t="str">
        <f t="shared" si="26"/>
        <v/>
      </c>
    </row>
    <row r="1724" spans="3:7" x14ac:dyDescent="0.3">
      <c r="C1724" t="str">
        <f>IFERROR(IF(B1724="","",VLOOKUP(B1724,CadProd!$A:$B,2,0)),"")</f>
        <v/>
      </c>
      <c r="D1724" t="str">
        <f>IFERROR(IF(B1724="","",VLOOKUP(B1724,CadProd!$A:$C,3,0)),"")</f>
        <v/>
      </c>
      <c r="G1724" s="1" t="str">
        <f t="shared" si="26"/>
        <v/>
      </c>
    </row>
    <row r="1725" spans="3:7" x14ac:dyDescent="0.3">
      <c r="C1725" t="str">
        <f>IFERROR(IF(B1725="","",VLOOKUP(B1725,CadProd!$A:$B,2,0)),"")</f>
        <v/>
      </c>
      <c r="D1725" t="str">
        <f>IFERROR(IF(B1725="","",VLOOKUP(B1725,CadProd!$A:$C,3,0)),"")</f>
        <v/>
      </c>
      <c r="G1725" s="1" t="str">
        <f t="shared" si="26"/>
        <v/>
      </c>
    </row>
    <row r="1726" spans="3:7" x14ac:dyDescent="0.3">
      <c r="C1726" t="str">
        <f>IFERROR(IF(B1726="","",VLOOKUP(B1726,CadProd!$A:$B,2,0)),"")</f>
        <v/>
      </c>
      <c r="D1726" t="str">
        <f>IFERROR(IF(B1726="","",VLOOKUP(B1726,CadProd!$A:$C,3,0)),"")</f>
        <v/>
      </c>
      <c r="G1726" s="1" t="str">
        <f t="shared" si="26"/>
        <v/>
      </c>
    </row>
    <row r="1727" spans="3:7" x14ac:dyDescent="0.3">
      <c r="C1727" t="str">
        <f>IFERROR(IF(B1727="","",VLOOKUP(B1727,CadProd!$A:$B,2,0)),"")</f>
        <v/>
      </c>
      <c r="D1727" t="str">
        <f>IFERROR(IF(B1727="","",VLOOKUP(B1727,CadProd!$A:$C,3,0)),"")</f>
        <v/>
      </c>
      <c r="G1727" s="1" t="str">
        <f t="shared" si="26"/>
        <v/>
      </c>
    </row>
    <row r="1728" spans="3:7" x14ac:dyDescent="0.3">
      <c r="C1728" t="str">
        <f>IFERROR(IF(B1728="","",VLOOKUP(B1728,CadProd!$A:$B,2,0)),"")</f>
        <v/>
      </c>
      <c r="D1728" t="str">
        <f>IFERROR(IF(B1728="","",VLOOKUP(B1728,CadProd!$A:$C,3,0)),"")</f>
        <v/>
      </c>
      <c r="G1728" s="1" t="str">
        <f t="shared" si="26"/>
        <v/>
      </c>
    </row>
    <row r="1729" spans="3:7" x14ac:dyDescent="0.3">
      <c r="C1729" t="str">
        <f>IFERROR(IF(B1729="","",VLOOKUP(B1729,CadProd!$A:$B,2,0)),"")</f>
        <v/>
      </c>
      <c r="D1729" t="str">
        <f>IFERROR(IF(B1729="","",VLOOKUP(B1729,CadProd!$A:$C,3,0)),"")</f>
        <v/>
      </c>
      <c r="G1729" s="1" t="str">
        <f t="shared" si="26"/>
        <v/>
      </c>
    </row>
    <row r="1730" spans="3:7" x14ac:dyDescent="0.3">
      <c r="C1730" t="str">
        <f>IFERROR(IF(B1730="","",VLOOKUP(B1730,CadProd!$A:$B,2,0)),"")</f>
        <v/>
      </c>
      <c r="D1730" t="str">
        <f>IFERROR(IF(B1730="","",VLOOKUP(B1730,CadProd!$A:$C,3,0)),"")</f>
        <v/>
      </c>
      <c r="G1730" s="1" t="str">
        <f t="shared" ref="G1730:G1793" si="27">IFERROR(IF(B1730="","",F1730*E1730),"")</f>
        <v/>
      </c>
    </row>
    <row r="1731" spans="3:7" x14ac:dyDescent="0.3">
      <c r="C1731" t="str">
        <f>IFERROR(IF(B1731="","",VLOOKUP(B1731,CadProd!$A:$B,2,0)),"")</f>
        <v/>
      </c>
      <c r="D1731" t="str">
        <f>IFERROR(IF(B1731="","",VLOOKUP(B1731,CadProd!$A:$C,3,0)),"")</f>
        <v/>
      </c>
      <c r="G1731" s="1" t="str">
        <f t="shared" si="27"/>
        <v/>
      </c>
    </row>
    <row r="1732" spans="3:7" x14ac:dyDescent="0.3">
      <c r="C1732" t="str">
        <f>IFERROR(IF(B1732="","",VLOOKUP(B1732,CadProd!$A:$B,2,0)),"")</f>
        <v/>
      </c>
      <c r="D1732" t="str">
        <f>IFERROR(IF(B1732="","",VLOOKUP(B1732,CadProd!$A:$C,3,0)),"")</f>
        <v/>
      </c>
      <c r="G1732" s="1" t="str">
        <f t="shared" si="27"/>
        <v/>
      </c>
    </row>
    <row r="1733" spans="3:7" x14ac:dyDescent="0.3">
      <c r="C1733" t="str">
        <f>IFERROR(IF(B1733="","",VLOOKUP(B1733,CadProd!$A:$B,2,0)),"")</f>
        <v/>
      </c>
      <c r="D1733" t="str">
        <f>IFERROR(IF(B1733="","",VLOOKUP(B1733,CadProd!$A:$C,3,0)),"")</f>
        <v/>
      </c>
      <c r="G1733" s="1" t="str">
        <f t="shared" si="27"/>
        <v/>
      </c>
    </row>
    <row r="1734" spans="3:7" x14ac:dyDescent="0.3">
      <c r="C1734" t="str">
        <f>IFERROR(IF(B1734="","",VLOOKUP(B1734,CadProd!$A:$B,2,0)),"")</f>
        <v/>
      </c>
      <c r="D1734" t="str">
        <f>IFERROR(IF(B1734="","",VLOOKUP(B1734,CadProd!$A:$C,3,0)),"")</f>
        <v/>
      </c>
      <c r="G1734" s="1" t="str">
        <f t="shared" si="27"/>
        <v/>
      </c>
    </row>
    <row r="1735" spans="3:7" x14ac:dyDescent="0.3">
      <c r="C1735" t="str">
        <f>IFERROR(IF(B1735="","",VLOOKUP(B1735,CadProd!$A:$B,2,0)),"")</f>
        <v/>
      </c>
      <c r="D1735" t="str">
        <f>IFERROR(IF(B1735="","",VLOOKUP(B1735,CadProd!$A:$C,3,0)),"")</f>
        <v/>
      </c>
      <c r="G1735" s="1" t="str">
        <f t="shared" si="27"/>
        <v/>
      </c>
    </row>
    <row r="1736" spans="3:7" x14ac:dyDescent="0.3">
      <c r="C1736" t="str">
        <f>IFERROR(IF(B1736="","",VLOOKUP(B1736,CadProd!$A:$B,2,0)),"")</f>
        <v/>
      </c>
      <c r="D1736" t="str">
        <f>IFERROR(IF(B1736="","",VLOOKUP(B1736,CadProd!$A:$C,3,0)),"")</f>
        <v/>
      </c>
      <c r="G1736" s="1" t="str">
        <f t="shared" si="27"/>
        <v/>
      </c>
    </row>
    <row r="1737" spans="3:7" x14ac:dyDescent="0.3">
      <c r="C1737" t="str">
        <f>IFERROR(IF(B1737="","",VLOOKUP(B1737,CadProd!$A:$B,2,0)),"")</f>
        <v/>
      </c>
      <c r="D1737" t="str">
        <f>IFERROR(IF(B1737="","",VLOOKUP(B1737,CadProd!$A:$C,3,0)),"")</f>
        <v/>
      </c>
      <c r="G1737" s="1" t="str">
        <f t="shared" si="27"/>
        <v/>
      </c>
    </row>
    <row r="1738" spans="3:7" x14ac:dyDescent="0.3">
      <c r="C1738" t="str">
        <f>IFERROR(IF(B1738="","",VLOOKUP(B1738,CadProd!$A:$B,2,0)),"")</f>
        <v/>
      </c>
      <c r="D1738" t="str">
        <f>IFERROR(IF(B1738="","",VLOOKUP(B1738,CadProd!$A:$C,3,0)),"")</f>
        <v/>
      </c>
      <c r="G1738" s="1" t="str">
        <f t="shared" si="27"/>
        <v/>
      </c>
    </row>
    <row r="1739" spans="3:7" x14ac:dyDescent="0.3">
      <c r="C1739" t="str">
        <f>IFERROR(IF(B1739="","",VLOOKUP(B1739,CadProd!$A:$B,2,0)),"")</f>
        <v/>
      </c>
      <c r="D1739" t="str">
        <f>IFERROR(IF(B1739="","",VLOOKUP(B1739,CadProd!$A:$C,3,0)),"")</f>
        <v/>
      </c>
      <c r="G1739" s="1" t="str">
        <f t="shared" si="27"/>
        <v/>
      </c>
    </row>
    <row r="1740" spans="3:7" x14ac:dyDescent="0.3">
      <c r="C1740" t="str">
        <f>IFERROR(IF(B1740="","",VLOOKUP(B1740,CadProd!$A:$B,2,0)),"")</f>
        <v/>
      </c>
      <c r="D1740" t="str">
        <f>IFERROR(IF(B1740="","",VLOOKUP(B1740,CadProd!$A:$C,3,0)),"")</f>
        <v/>
      </c>
      <c r="G1740" s="1" t="str">
        <f t="shared" si="27"/>
        <v/>
      </c>
    </row>
    <row r="1741" spans="3:7" x14ac:dyDescent="0.3">
      <c r="C1741" t="str">
        <f>IFERROR(IF(B1741="","",VLOOKUP(B1741,CadProd!$A:$B,2,0)),"")</f>
        <v/>
      </c>
      <c r="D1741" t="str">
        <f>IFERROR(IF(B1741="","",VLOOKUP(B1741,CadProd!$A:$C,3,0)),"")</f>
        <v/>
      </c>
      <c r="G1741" s="1" t="str">
        <f t="shared" si="27"/>
        <v/>
      </c>
    </row>
    <row r="1742" spans="3:7" x14ac:dyDescent="0.3">
      <c r="C1742" t="str">
        <f>IFERROR(IF(B1742="","",VLOOKUP(B1742,CadProd!$A:$B,2,0)),"")</f>
        <v/>
      </c>
      <c r="D1742" t="str">
        <f>IFERROR(IF(B1742="","",VLOOKUP(B1742,CadProd!$A:$C,3,0)),"")</f>
        <v/>
      </c>
      <c r="G1742" s="1" t="str">
        <f t="shared" si="27"/>
        <v/>
      </c>
    </row>
    <row r="1743" spans="3:7" x14ac:dyDescent="0.3">
      <c r="C1743" t="str">
        <f>IFERROR(IF(B1743="","",VLOOKUP(B1743,CadProd!$A:$B,2,0)),"")</f>
        <v/>
      </c>
      <c r="D1743" t="str">
        <f>IFERROR(IF(B1743="","",VLOOKUP(B1743,CadProd!$A:$C,3,0)),"")</f>
        <v/>
      </c>
      <c r="G1743" s="1" t="str">
        <f t="shared" si="27"/>
        <v/>
      </c>
    </row>
    <row r="1744" spans="3:7" x14ac:dyDescent="0.3">
      <c r="C1744" t="str">
        <f>IFERROR(IF(B1744="","",VLOOKUP(B1744,CadProd!$A:$B,2,0)),"")</f>
        <v/>
      </c>
      <c r="D1744" t="str">
        <f>IFERROR(IF(B1744="","",VLOOKUP(B1744,CadProd!$A:$C,3,0)),"")</f>
        <v/>
      </c>
      <c r="G1744" s="1" t="str">
        <f t="shared" si="27"/>
        <v/>
      </c>
    </row>
    <row r="1745" spans="3:7" x14ac:dyDescent="0.3">
      <c r="C1745" t="str">
        <f>IFERROR(IF(B1745="","",VLOOKUP(B1745,CadProd!$A:$B,2,0)),"")</f>
        <v/>
      </c>
      <c r="D1745" t="str">
        <f>IFERROR(IF(B1745="","",VLOOKUP(B1745,CadProd!$A:$C,3,0)),"")</f>
        <v/>
      </c>
      <c r="G1745" s="1" t="str">
        <f t="shared" si="27"/>
        <v/>
      </c>
    </row>
    <row r="1746" spans="3:7" x14ac:dyDescent="0.3">
      <c r="C1746" t="str">
        <f>IFERROR(IF(B1746="","",VLOOKUP(B1746,CadProd!$A:$B,2,0)),"")</f>
        <v/>
      </c>
      <c r="D1746" t="str">
        <f>IFERROR(IF(B1746="","",VLOOKUP(B1746,CadProd!$A:$C,3,0)),"")</f>
        <v/>
      </c>
      <c r="G1746" s="1" t="str">
        <f t="shared" si="27"/>
        <v/>
      </c>
    </row>
    <row r="1747" spans="3:7" x14ac:dyDescent="0.3">
      <c r="C1747" t="str">
        <f>IFERROR(IF(B1747="","",VLOOKUP(B1747,CadProd!$A:$B,2,0)),"")</f>
        <v/>
      </c>
      <c r="D1747" t="str">
        <f>IFERROR(IF(B1747="","",VLOOKUP(B1747,CadProd!$A:$C,3,0)),"")</f>
        <v/>
      </c>
      <c r="G1747" s="1" t="str">
        <f t="shared" si="27"/>
        <v/>
      </c>
    </row>
    <row r="1748" spans="3:7" x14ac:dyDescent="0.3">
      <c r="C1748" t="str">
        <f>IFERROR(IF(B1748="","",VLOOKUP(B1748,CadProd!$A:$B,2,0)),"")</f>
        <v/>
      </c>
      <c r="D1748" t="str">
        <f>IFERROR(IF(B1748="","",VLOOKUP(B1748,CadProd!$A:$C,3,0)),"")</f>
        <v/>
      </c>
      <c r="G1748" s="1" t="str">
        <f t="shared" si="27"/>
        <v/>
      </c>
    </row>
    <row r="1749" spans="3:7" x14ac:dyDescent="0.3">
      <c r="C1749" t="str">
        <f>IFERROR(IF(B1749="","",VLOOKUP(B1749,CadProd!$A:$B,2,0)),"")</f>
        <v/>
      </c>
      <c r="D1749" t="str">
        <f>IFERROR(IF(B1749="","",VLOOKUP(B1749,CadProd!$A:$C,3,0)),"")</f>
        <v/>
      </c>
      <c r="G1749" s="1" t="str">
        <f t="shared" si="27"/>
        <v/>
      </c>
    </row>
    <row r="1750" spans="3:7" x14ac:dyDescent="0.3">
      <c r="C1750" t="str">
        <f>IFERROR(IF(B1750="","",VLOOKUP(B1750,CadProd!$A:$B,2,0)),"")</f>
        <v/>
      </c>
      <c r="D1750" t="str">
        <f>IFERROR(IF(B1750="","",VLOOKUP(B1750,CadProd!$A:$C,3,0)),"")</f>
        <v/>
      </c>
      <c r="G1750" s="1" t="str">
        <f t="shared" si="27"/>
        <v/>
      </c>
    </row>
    <row r="1751" spans="3:7" x14ac:dyDescent="0.3">
      <c r="C1751" t="str">
        <f>IFERROR(IF(B1751="","",VLOOKUP(B1751,CadProd!$A:$B,2,0)),"")</f>
        <v/>
      </c>
      <c r="D1751" t="str">
        <f>IFERROR(IF(B1751="","",VLOOKUP(B1751,CadProd!$A:$C,3,0)),"")</f>
        <v/>
      </c>
      <c r="G1751" s="1" t="str">
        <f t="shared" si="27"/>
        <v/>
      </c>
    </row>
    <row r="1752" spans="3:7" x14ac:dyDescent="0.3">
      <c r="C1752" t="str">
        <f>IFERROR(IF(B1752="","",VLOOKUP(B1752,CadProd!$A:$B,2,0)),"")</f>
        <v/>
      </c>
      <c r="D1752" t="str">
        <f>IFERROR(IF(B1752="","",VLOOKUP(B1752,CadProd!$A:$C,3,0)),"")</f>
        <v/>
      </c>
      <c r="G1752" s="1" t="str">
        <f t="shared" si="27"/>
        <v/>
      </c>
    </row>
    <row r="1753" spans="3:7" x14ac:dyDescent="0.3">
      <c r="C1753" t="str">
        <f>IFERROR(IF(B1753="","",VLOOKUP(B1753,CadProd!$A:$B,2,0)),"")</f>
        <v/>
      </c>
      <c r="D1753" t="str">
        <f>IFERROR(IF(B1753="","",VLOOKUP(B1753,CadProd!$A:$C,3,0)),"")</f>
        <v/>
      </c>
      <c r="G1753" s="1" t="str">
        <f t="shared" si="27"/>
        <v/>
      </c>
    </row>
    <row r="1754" spans="3:7" x14ac:dyDescent="0.3">
      <c r="C1754" t="str">
        <f>IFERROR(IF(B1754="","",VLOOKUP(B1754,CadProd!$A:$B,2,0)),"")</f>
        <v/>
      </c>
      <c r="D1754" t="str">
        <f>IFERROR(IF(B1754="","",VLOOKUP(B1754,CadProd!$A:$C,3,0)),"")</f>
        <v/>
      </c>
      <c r="G1754" s="1" t="str">
        <f t="shared" si="27"/>
        <v/>
      </c>
    </row>
    <row r="1755" spans="3:7" x14ac:dyDescent="0.3">
      <c r="C1755" t="str">
        <f>IFERROR(IF(B1755="","",VLOOKUP(B1755,CadProd!$A:$B,2,0)),"")</f>
        <v/>
      </c>
      <c r="D1755" t="str">
        <f>IFERROR(IF(B1755="","",VLOOKUP(B1755,CadProd!$A:$C,3,0)),"")</f>
        <v/>
      </c>
      <c r="G1755" s="1" t="str">
        <f t="shared" si="27"/>
        <v/>
      </c>
    </row>
    <row r="1756" spans="3:7" x14ac:dyDescent="0.3">
      <c r="C1756" t="str">
        <f>IFERROR(IF(B1756="","",VLOOKUP(B1756,CadProd!$A:$B,2,0)),"")</f>
        <v/>
      </c>
      <c r="D1756" t="str">
        <f>IFERROR(IF(B1756="","",VLOOKUP(B1756,CadProd!$A:$C,3,0)),"")</f>
        <v/>
      </c>
      <c r="G1756" s="1" t="str">
        <f t="shared" si="27"/>
        <v/>
      </c>
    </row>
    <row r="1757" spans="3:7" x14ac:dyDescent="0.3">
      <c r="C1757" t="str">
        <f>IFERROR(IF(B1757="","",VLOOKUP(B1757,CadProd!$A:$B,2,0)),"")</f>
        <v/>
      </c>
      <c r="D1757" t="str">
        <f>IFERROR(IF(B1757="","",VLOOKUP(B1757,CadProd!$A:$C,3,0)),"")</f>
        <v/>
      </c>
      <c r="G1757" s="1" t="str">
        <f t="shared" si="27"/>
        <v/>
      </c>
    </row>
    <row r="1758" spans="3:7" x14ac:dyDescent="0.3">
      <c r="C1758" t="str">
        <f>IFERROR(IF(B1758="","",VLOOKUP(B1758,CadProd!$A:$B,2,0)),"")</f>
        <v/>
      </c>
      <c r="D1758" t="str">
        <f>IFERROR(IF(B1758="","",VLOOKUP(B1758,CadProd!$A:$C,3,0)),"")</f>
        <v/>
      </c>
      <c r="G1758" s="1" t="str">
        <f t="shared" si="27"/>
        <v/>
      </c>
    </row>
    <row r="1759" spans="3:7" x14ac:dyDescent="0.3">
      <c r="C1759" t="str">
        <f>IFERROR(IF(B1759="","",VLOOKUP(B1759,CadProd!$A:$B,2,0)),"")</f>
        <v/>
      </c>
      <c r="D1759" t="str">
        <f>IFERROR(IF(B1759="","",VLOOKUP(B1759,CadProd!$A:$C,3,0)),"")</f>
        <v/>
      </c>
      <c r="G1759" s="1" t="str">
        <f t="shared" si="27"/>
        <v/>
      </c>
    </row>
    <row r="1760" spans="3:7" x14ac:dyDescent="0.3">
      <c r="C1760" t="str">
        <f>IFERROR(IF(B1760="","",VLOOKUP(B1760,CadProd!$A:$B,2,0)),"")</f>
        <v/>
      </c>
      <c r="D1760" t="str">
        <f>IFERROR(IF(B1760="","",VLOOKUP(B1760,CadProd!$A:$C,3,0)),"")</f>
        <v/>
      </c>
      <c r="G1760" s="1" t="str">
        <f t="shared" si="27"/>
        <v/>
      </c>
    </row>
    <row r="1761" spans="3:7" x14ac:dyDescent="0.3">
      <c r="C1761" t="str">
        <f>IFERROR(IF(B1761="","",VLOOKUP(B1761,CadProd!$A:$B,2,0)),"")</f>
        <v/>
      </c>
      <c r="D1761" t="str">
        <f>IFERROR(IF(B1761="","",VLOOKUP(B1761,CadProd!$A:$C,3,0)),"")</f>
        <v/>
      </c>
      <c r="G1761" s="1" t="str">
        <f t="shared" si="27"/>
        <v/>
      </c>
    </row>
    <row r="1762" spans="3:7" x14ac:dyDescent="0.3">
      <c r="C1762" t="str">
        <f>IFERROR(IF(B1762="","",VLOOKUP(B1762,CadProd!$A:$B,2,0)),"")</f>
        <v/>
      </c>
      <c r="D1762" t="str">
        <f>IFERROR(IF(B1762="","",VLOOKUP(B1762,CadProd!$A:$C,3,0)),"")</f>
        <v/>
      </c>
      <c r="G1762" s="1" t="str">
        <f t="shared" si="27"/>
        <v/>
      </c>
    </row>
    <row r="1763" spans="3:7" x14ac:dyDescent="0.3">
      <c r="C1763" t="str">
        <f>IFERROR(IF(B1763="","",VLOOKUP(B1763,CadProd!$A:$B,2,0)),"")</f>
        <v/>
      </c>
      <c r="D1763" t="str">
        <f>IFERROR(IF(B1763="","",VLOOKUP(B1763,CadProd!$A:$C,3,0)),"")</f>
        <v/>
      </c>
      <c r="G1763" s="1" t="str">
        <f t="shared" si="27"/>
        <v/>
      </c>
    </row>
    <row r="1764" spans="3:7" x14ac:dyDescent="0.3">
      <c r="C1764" t="str">
        <f>IFERROR(IF(B1764="","",VLOOKUP(B1764,CadProd!$A:$B,2,0)),"")</f>
        <v/>
      </c>
      <c r="D1764" t="str">
        <f>IFERROR(IF(B1764="","",VLOOKUP(B1764,CadProd!$A:$C,3,0)),"")</f>
        <v/>
      </c>
      <c r="G1764" s="1" t="str">
        <f t="shared" si="27"/>
        <v/>
      </c>
    </row>
    <row r="1765" spans="3:7" x14ac:dyDescent="0.3">
      <c r="C1765" t="str">
        <f>IFERROR(IF(B1765="","",VLOOKUP(B1765,CadProd!$A:$B,2,0)),"")</f>
        <v/>
      </c>
      <c r="D1765" t="str">
        <f>IFERROR(IF(B1765="","",VLOOKUP(B1765,CadProd!$A:$C,3,0)),"")</f>
        <v/>
      </c>
      <c r="G1765" s="1" t="str">
        <f t="shared" si="27"/>
        <v/>
      </c>
    </row>
    <row r="1766" spans="3:7" x14ac:dyDescent="0.3">
      <c r="C1766" t="str">
        <f>IFERROR(IF(B1766="","",VLOOKUP(B1766,CadProd!$A:$B,2,0)),"")</f>
        <v/>
      </c>
      <c r="D1766" t="str">
        <f>IFERROR(IF(B1766="","",VLOOKUP(B1766,CadProd!$A:$C,3,0)),"")</f>
        <v/>
      </c>
      <c r="G1766" s="1" t="str">
        <f t="shared" si="27"/>
        <v/>
      </c>
    </row>
    <row r="1767" spans="3:7" x14ac:dyDescent="0.3">
      <c r="C1767" t="str">
        <f>IFERROR(IF(B1767="","",VLOOKUP(B1767,CadProd!$A:$B,2,0)),"")</f>
        <v/>
      </c>
      <c r="D1767" t="str">
        <f>IFERROR(IF(B1767="","",VLOOKUP(B1767,CadProd!$A:$C,3,0)),"")</f>
        <v/>
      </c>
      <c r="G1767" s="1" t="str">
        <f t="shared" si="27"/>
        <v/>
      </c>
    </row>
    <row r="1768" spans="3:7" x14ac:dyDescent="0.3">
      <c r="C1768" t="str">
        <f>IFERROR(IF(B1768="","",VLOOKUP(B1768,CadProd!$A:$B,2,0)),"")</f>
        <v/>
      </c>
      <c r="D1768" t="str">
        <f>IFERROR(IF(B1768="","",VLOOKUP(B1768,CadProd!$A:$C,3,0)),"")</f>
        <v/>
      </c>
      <c r="G1768" s="1" t="str">
        <f t="shared" si="27"/>
        <v/>
      </c>
    </row>
    <row r="1769" spans="3:7" x14ac:dyDescent="0.3">
      <c r="C1769" t="str">
        <f>IFERROR(IF(B1769="","",VLOOKUP(B1769,CadProd!$A:$B,2,0)),"")</f>
        <v/>
      </c>
      <c r="D1769" t="str">
        <f>IFERROR(IF(B1769="","",VLOOKUP(B1769,CadProd!$A:$C,3,0)),"")</f>
        <v/>
      </c>
      <c r="G1769" s="1" t="str">
        <f t="shared" si="27"/>
        <v/>
      </c>
    </row>
    <row r="1770" spans="3:7" x14ac:dyDescent="0.3">
      <c r="C1770" t="str">
        <f>IFERROR(IF(B1770="","",VLOOKUP(B1770,CadProd!$A:$B,2,0)),"")</f>
        <v/>
      </c>
      <c r="D1770" t="str">
        <f>IFERROR(IF(B1770="","",VLOOKUP(B1770,CadProd!$A:$C,3,0)),"")</f>
        <v/>
      </c>
      <c r="G1770" s="1" t="str">
        <f t="shared" si="27"/>
        <v/>
      </c>
    </row>
    <row r="1771" spans="3:7" x14ac:dyDescent="0.3">
      <c r="C1771" t="str">
        <f>IFERROR(IF(B1771="","",VLOOKUP(B1771,CadProd!$A:$B,2,0)),"")</f>
        <v/>
      </c>
      <c r="D1771" t="str">
        <f>IFERROR(IF(B1771="","",VLOOKUP(B1771,CadProd!$A:$C,3,0)),"")</f>
        <v/>
      </c>
      <c r="G1771" s="1" t="str">
        <f t="shared" si="27"/>
        <v/>
      </c>
    </row>
    <row r="1772" spans="3:7" x14ac:dyDescent="0.3">
      <c r="C1772" t="str">
        <f>IFERROR(IF(B1772="","",VLOOKUP(B1772,CadProd!$A:$B,2,0)),"")</f>
        <v/>
      </c>
      <c r="D1772" t="str">
        <f>IFERROR(IF(B1772="","",VLOOKUP(B1772,CadProd!$A:$C,3,0)),"")</f>
        <v/>
      </c>
      <c r="G1772" s="1" t="str">
        <f t="shared" si="27"/>
        <v/>
      </c>
    </row>
    <row r="1773" spans="3:7" x14ac:dyDescent="0.3">
      <c r="C1773" t="str">
        <f>IFERROR(IF(B1773="","",VLOOKUP(B1773,CadProd!$A:$B,2,0)),"")</f>
        <v/>
      </c>
      <c r="D1773" t="str">
        <f>IFERROR(IF(B1773="","",VLOOKUP(B1773,CadProd!$A:$C,3,0)),"")</f>
        <v/>
      </c>
      <c r="G1773" s="1" t="str">
        <f t="shared" si="27"/>
        <v/>
      </c>
    </row>
    <row r="1774" spans="3:7" x14ac:dyDescent="0.3">
      <c r="C1774" t="str">
        <f>IFERROR(IF(B1774="","",VLOOKUP(B1774,CadProd!$A:$B,2,0)),"")</f>
        <v/>
      </c>
      <c r="D1774" t="str">
        <f>IFERROR(IF(B1774="","",VLOOKUP(B1774,CadProd!$A:$C,3,0)),"")</f>
        <v/>
      </c>
      <c r="G1774" s="1" t="str">
        <f t="shared" si="27"/>
        <v/>
      </c>
    </row>
    <row r="1775" spans="3:7" x14ac:dyDescent="0.3">
      <c r="C1775" t="str">
        <f>IFERROR(IF(B1775="","",VLOOKUP(B1775,CadProd!$A:$B,2,0)),"")</f>
        <v/>
      </c>
      <c r="D1775" t="str">
        <f>IFERROR(IF(B1775="","",VLOOKUP(B1775,CadProd!$A:$C,3,0)),"")</f>
        <v/>
      </c>
      <c r="G1775" s="1" t="str">
        <f t="shared" si="27"/>
        <v/>
      </c>
    </row>
    <row r="1776" spans="3:7" x14ac:dyDescent="0.3">
      <c r="C1776" t="str">
        <f>IFERROR(IF(B1776="","",VLOOKUP(B1776,CadProd!$A:$B,2,0)),"")</f>
        <v/>
      </c>
      <c r="D1776" t="str">
        <f>IFERROR(IF(B1776="","",VLOOKUP(B1776,CadProd!$A:$C,3,0)),"")</f>
        <v/>
      </c>
      <c r="G1776" s="1" t="str">
        <f t="shared" si="27"/>
        <v/>
      </c>
    </row>
    <row r="1777" spans="3:7" x14ac:dyDescent="0.3">
      <c r="C1777" t="str">
        <f>IFERROR(IF(B1777="","",VLOOKUP(B1777,CadProd!$A:$B,2,0)),"")</f>
        <v/>
      </c>
      <c r="D1777" t="str">
        <f>IFERROR(IF(B1777="","",VLOOKUP(B1777,CadProd!$A:$C,3,0)),"")</f>
        <v/>
      </c>
      <c r="G1777" s="1" t="str">
        <f t="shared" si="27"/>
        <v/>
      </c>
    </row>
    <row r="1778" spans="3:7" x14ac:dyDescent="0.3">
      <c r="C1778" t="str">
        <f>IFERROR(IF(B1778="","",VLOOKUP(B1778,CadProd!$A:$B,2,0)),"")</f>
        <v/>
      </c>
      <c r="D1778" t="str">
        <f>IFERROR(IF(B1778="","",VLOOKUP(B1778,CadProd!$A:$C,3,0)),"")</f>
        <v/>
      </c>
      <c r="G1778" s="1" t="str">
        <f t="shared" si="27"/>
        <v/>
      </c>
    </row>
    <row r="1779" spans="3:7" x14ac:dyDescent="0.3">
      <c r="C1779" t="str">
        <f>IFERROR(IF(B1779="","",VLOOKUP(B1779,CadProd!$A:$B,2,0)),"")</f>
        <v/>
      </c>
      <c r="D1779" t="str">
        <f>IFERROR(IF(B1779="","",VLOOKUP(B1779,CadProd!$A:$C,3,0)),"")</f>
        <v/>
      </c>
      <c r="G1779" s="1" t="str">
        <f t="shared" si="27"/>
        <v/>
      </c>
    </row>
    <row r="1780" spans="3:7" x14ac:dyDescent="0.3">
      <c r="C1780" t="str">
        <f>IFERROR(IF(B1780="","",VLOOKUP(B1780,CadProd!$A:$B,2,0)),"")</f>
        <v/>
      </c>
      <c r="D1780" t="str">
        <f>IFERROR(IF(B1780="","",VLOOKUP(B1780,CadProd!$A:$C,3,0)),"")</f>
        <v/>
      </c>
      <c r="G1780" s="1" t="str">
        <f t="shared" si="27"/>
        <v/>
      </c>
    </row>
    <row r="1781" spans="3:7" x14ac:dyDescent="0.3">
      <c r="C1781" t="str">
        <f>IFERROR(IF(B1781="","",VLOOKUP(B1781,CadProd!$A:$B,2,0)),"")</f>
        <v/>
      </c>
      <c r="D1781" t="str">
        <f>IFERROR(IF(B1781="","",VLOOKUP(B1781,CadProd!$A:$C,3,0)),"")</f>
        <v/>
      </c>
      <c r="G1781" s="1" t="str">
        <f t="shared" si="27"/>
        <v/>
      </c>
    </row>
    <row r="1782" spans="3:7" x14ac:dyDescent="0.3">
      <c r="C1782" t="str">
        <f>IFERROR(IF(B1782="","",VLOOKUP(B1782,CadProd!$A:$B,2,0)),"")</f>
        <v/>
      </c>
      <c r="D1782" t="str">
        <f>IFERROR(IF(B1782="","",VLOOKUP(B1782,CadProd!$A:$C,3,0)),"")</f>
        <v/>
      </c>
      <c r="G1782" s="1" t="str">
        <f t="shared" si="27"/>
        <v/>
      </c>
    </row>
    <row r="1783" spans="3:7" x14ac:dyDescent="0.3">
      <c r="C1783" t="str">
        <f>IFERROR(IF(B1783="","",VLOOKUP(B1783,CadProd!$A:$B,2,0)),"")</f>
        <v/>
      </c>
      <c r="D1783" t="str">
        <f>IFERROR(IF(B1783="","",VLOOKUP(B1783,CadProd!$A:$C,3,0)),"")</f>
        <v/>
      </c>
      <c r="G1783" s="1" t="str">
        <f t="shared" si="27"/>
        <v/>
      </c>
    </row>
    <row r="1784" spans="3:7" x14ac:dyDescent="0.3">
      <c r="C1784" t="str">
        <f>IFERROR(IF(B1784="","",VLOOKUP(B1784,CadProd!$A:$B,2,0)),"")</f>
        <v/>
      </c>
      <c r="D1784" t="str">
        <f>IFERROR(IF(B1784="","",VLOOKUP(B1784,CadProd!$A:$C,3,0)),"")</f>
        <v/>
      </c>
      <c r="G1784" s="1" t="str">
        <f t="shared" si="27"/>
        <v/>
      </c>
    </row>
    <row r="1785" spans="3:7" x14ac:dyDescent="0.3">
      <c r="C1785" t="str">
        <f>IFERROR(IF(B1785="","",VLOOKUP(B1785,CadProd!$A:$B,2,0)),"")</f>
        <v/>
      </c>
      <c r="D1785" t="str">
        <f>IFERROR(IF(B1785="","",VLOOKUP(B1785,CadProd!$A:$C,3,0)),"")</f>
        <v/>
      </c>
      <c r="G1785" s="1" t="str">
        <f t="shared" si="27"/>
        <v/>
      </c>
    </row>
    <row r="1786" spans="3:7" x14ac:dyDescent="0.3">
      <c r="C1786" t="str">
        <f>IFERROR(IF(B1786="","",VLOOKUP(B1786,CadProd!$A:$B,2,0)),"")</f>
        <v/>
      </c>
      <c r="D1786" t="str">
        <f>IFERROR(IF(B1786="","",VLOOKUP(B1786,CadProd!$A:$C,3,0)),"")</f>
        <v/>
      </c>
      <c r="G1786" s="1" t="str">
        <f t="shared" si="27"/>
        <v/>
      </c>
    </row>
    <row r="1787" spans="3:7" x14ac:dyDescent="0.3">
      <c r="C1787" t="str">
        <f>IFERROR(IF(B1787="","",VLOOKUP(B1787,CadProd!$A:$B,2,0)),"")</f>
        <v/>
      </c>
      <c r="D1787" t="str">
        <f>IFERROR(IF(B1787="","",VLOOKUP(B1787,CadProd!$A:$C,3,0)),"")</f>
        <v/>
      </c>
      <c r="G1787" s="1" t="str">
        <f t="shared" si="27"/>
        <v/>
      </c>
    </row>
    <row r="1788" spans="3:7" x14ac:dyDescent="0.3">
      <c r="C1788" t="str">
        <f>IFERROR(IF(B1788="","",VLOOKUP(B1788,CadProd!$A:$B,2,0)),"")</f>
        <v/>
      </c>
      <c r="D1788" t="str">
        <f>IFERROR(IF(B1788="","",VLOOKUP(B1788,CadProd!$A:$C,3,0)),"")</f>
        <v/>
      </c>
      <c r="G1788" s="1" t="str">
        <f t="shared" si="27"/>
        <v/>
      </c>
    </row>
    <row r="1789" spans="3:7" x14ac:dyDescent="0.3">
      <c r="C1789" t="str">
        <f>IFERROR(IF(B1789="","",VLOOKUP(B1789,CadProd!$A:$B,2,0)),"")</f>
        <v/>
      </c>
      <c r="D1789" t="str">
        <f>IFERROR(IF(B1789="","",VLOOKUP(B1789,CadProd!$A:$C,3,0)),"")</f>
        <v/>
      </c>
      <c r="G1789" s="1" t="str">
        <f t="shared" si="27"/>
        <v/>
      </c>
    </row>
    <row r="1790" spans="3:7" x14ac:dyDescent="0.3">
      <c r="C1790" t="str">
        <f>IFERROR(IF(B1790="","",VLOOKUP(B1790,CadProd!$A:$B,2,0)),"")</f>
        <v/>
      </c>
      <c r="D1790" t="str">
        <f>IFERROR(IF(B1790="","",VLOOKUP(B1790,CadProd!$A:$C,3,0)),"")</f>
        <v/>
      </c>
      <c r="G1790" s="1" t="str">
        <f t="shared" si="27"/>
        <v/>
      </c>
    </row>
    <row r="1791" spans="3:7" x14ac:dyDescent="0.3">
      <c r="C1791" t="str">
        <f>IFERROR(IF(B1791="","",VLOOKUP(B1791,CadProd!$A:$B,2,0)),"")</f>
        <v/>
      </c>
      <c r="D1791" t="str">
        <f>IFERROR(IF(B1791="","",VLOOKUP(B1791,CadProd!$A:$C,3,0)),"")</f>
        <v/>
      </c>
      <c r="G1791" s="1" t="str">
        <f t="shared" si="27"/>
        <v/>
      </c>
    </row>
    <row r="1792" spans="3:7" x14ac:dyDescent="0.3">
      <c r="C1792" t="str">
        <f>IFERROR(IF(B1792="","",VLOOKUP(B1792,CadProd!$A:$B,2,0)),"")</f>
        <v/>
      </c>
      <c r="D1792" t="str">
        <f>IFERROR(IF(B1792="","",VLOOKUP(B1792,CadProd!$A:$C,3,0)),"")</f>
        <v/>
      </c>
      <c r="G1792" s="1" t="str">
        <f t="shared" si="27"/>
        <v/>
      </c>
    </row>
    <row r="1793" spans="3:7" x14ac:dyDescent="0.3">
      <c r="C1793" t="str">
        <f>IFERROR(IF(B1793="","",VLOOKUP(B1793,CadProd!$A:$B,2,0)),"")</f>
        <v/>
      </c>
      <c r="D1793" t="str">
        <f>IFERROR(IF(B1793="","",VLOOKUP(B1793,CadProd!$A:$C,3,0)),"")</f>
        <v/>
      </c>
      <c r="G1793" s="1" t="str">
        <f t="shared" si="27"/>
        <v/>
      </c>
    </row>
    <row r="1794" spans="3:7" x14ac:dyDescent="0.3">
      <c r="C1794" t="str">
        <f>IFERROR(IF(B1794="","",VLOOKUP(B1794,CadProd!$A:$B,2,0)),"")</f>
        <v/>
      </c>
      <c r="D1794" t="str">
        <f>IFERROR(IF(B1794="","",VLOOKUP(B1794,CadProd!$A:$C,3,0)),"")</f>
        <v/>
      </c>
      <c r="G1794" s="1" t="str">
        <f t="shared" ref="G1794:G1857" si="28">IFERROR(IF(B1794="","",F1794*E1794),"")</f>
        <v/>
      </c>
    </row>
    <row r="1795" spans="3:7" x14ac:dyDescent="0.3">
      <c r="C1795" t="str">
        <f>IFERROR(IF(B1795="","",VLOOKUP(B1795,CadProd!$A:$B,2,0)),"")</f>
        <v/>
      </c>
      <c r="D1795" t="str">
        <f>IFERROR(IF(B1795="","",VLOOKUP(B1795,CadProd!$A:$C,3,0)),"")</f>
        <v/>
      </c>
      <c r="G1795" s="1" t="str">
        <f t="shared" si="28"/>
        <v/>
      </c>
    </row>
    <row r="1796" spans="3:7" x14ac:dyDescent="0.3">
      <c r="C1796" t="str">
        <f>IFERROR(IF(B1796="","",VLOOKUP(B1796,CadProd!$A:$B,2,0)),"")</f>
        <v/>
      </c>
      <c r="D1796" t="str">
        <f>IFERROR(IF(B1796="","",VLOOKUP(B1796,CadProd!$A:$C,3,0)),"")</f>
        <v/>
      </c>
      <c r="G1796" s="1" t="str">
        <f t="shared" si="28"/>
        <v/>
      </c>
    </row>
    <row r="1797" spans="3:7" x14ac:dyDescent="0.3">
      <c r="C1797" t="str">
        <f>IFERROR(IF(B1797="","",VLOOKUP(B1797,CadProd!$A:$B,2,0)),"")</f>
        <v/>
      </c>
      <c r="D1797" t="str">
        <f>IFERROR(IF(B1797="","",VLOOKUP(B1797,CadProd!$A:$C,3,0)),"")</f>
        <v/>
      </c>
      <c r="G1797" s="1" t="str">
        <f t="shared" si="28"/>
        <v/>
      </c>
    </row>
    <row r="1798" spans="3:7" x14ac:dyDescent="0.3">
      <c r="C1798" t="str">
        <f>IFERROR(IF(B1798="","",VLOOKUP(B1798,CadProd!$A:$B,2,0)),"")</f>
        <v/>
      </c>
      <c r="D1798" t="str">
        <f>IFERROR(IF(B1798="","",VLOOKUP(B1798,CadProd!$A:$C,3,0)),"")</f>
        <v/>
      </c>
      <c r="G1798" s="1" t="str">
        <f t="shared" si="28"/>
        <v/>
      </c>
    </row>
    <row r="1799" spans="3:7" x14ac:dyDescent="0.3">
      <c r="C1799" t="str">
        <f>IFERROR(IF(B1799="","",VLOOKUP(B1799,CadProd!$A:$B,2,0)),"")</f>
        <v/>
      </c>
      <c r="D1799" t="str">
        <f>IFERROR(IF(B1799="","",VLOOKUP(B1799,CadProd!$A:$C,3,0)),"")</f>
        <v/>
      </c>
      <c r="G1799" s="1" t="str">
        <f t="shared" si="28"/>
        <v/>
      </c>
    </row>
    <row r="1800" spans="3:7" x14ac:dyDescent="0.3">
      <c r="C1800" t="str">
        <f>IFERROR(IF(B1800="","",VLOOKUP(B1800,CadProd!$A:$B,2,0)),"")</f>
        <v/>
      </c>
      <c r="D1800" t="str">
        <f>IFERROR(IF(B1800="","",VLOOKUP(B1800,CadProd!$A:$C,3,0)),"")</f>
        <v/>
      </c>
      <c r="G1800" s="1" t="str">
        <f t="shared" si="28"/>
        <v/>
      </c>
    </row>
    <row r="1801" spans="3:7" x14ac:dyDescent="0.3">
      <c r="C1801" t="str">
        <f>IFERROR(IF(B1801="","",VLOOKUP(B1801,CadProd!$A:$B,2,0)),"")</f>
        <v/>
      </c>
      <c r="D1801" t="str">
        <f>IFERROR(IF(B1801="","",VLOOKUP(B1801,CadProd!$A:$C,3,0)),"")</f>
        <v/>
      </c>
      <c r="G1801" s="1" t="str">
        <f t="shared" si="28"/>
        <v/>
      </c>
    </row>
    <row r="1802" spans="3:7" x14ac:dyDescent="0.3">
      <c r="C1802" t="str">
        <f>IFERROR(IF(B1802="","",VLOOKUP(B1802,CadProd!$A:$B,2,0)),"")</f>
        <v/>
      </c>
      <c r="D1802" t="str">
        <f>IFERROR(IF(B1802="","",VLOOKUP(B1802,CadProd!$A:$C,3,0)),"")</f>
        <v/>
      </c>
      <c r="G1802" s="1" t="str">
        <f t="shared" si="28"/>
        <v/>
      </c>
    </row>
    <row r="1803" spans="3:7" x14ac:dyDescent="0.3">
      <c r="C1803" t="str">
        <f>IFERROR(IF(B1803="","",VLOOKUP(B1803,CadProd!$A:$B,2,0)),"")</f>
        <v/>
      </c>
      <c r="D1803" t="str">
        <f>IFERROR(IF(B1803="","",VLOOKUP(B1803,CadProd!$A:$C,3,0)),"")</f>
        <v/>
      </c>
      <c r="G1803" s="1" t="str">
        <f t="shared" si="28"/>
        <v/>
      </c>
    </row>
    <row r="1804" spans="3:7" x14ac:dyDescent="0.3">
      <c r="C1804" t="str">
        <f>IFERROR(IF(B1804="","",VLOOKUP(B1804,CadProd!$A:$B,2,0)),"")</f>
        <v/>
      </c>
      <c r="D1804" t="str">
        <f>IFERROR(IF(B1804="","",VLOOKUP(B1804,CadProd!$A:$C,3,0)),"")</f>
        <v/>
      </c>
      <c r="G1804" s="1" t="str">
        <f t="shared" si="28"/>
        <v/>
      </c>
    </row>
    <row r="1805" spans="3:7" x14ac:dyDescent="0.3">
      <c r="C1805" t="str">
        <f>IFERROR(IF(B1805="","",VLOOKUP(B1805,CadProd!$A:$B,2,0)),"")</f>
        <v/>
      </c>
      <c r="D1805" t="str">
        <f>IFERROR(IF(B1805="","",VLOOKUP(B1805,CadProd!$A:$C,3,0)),"")</f>
        <v/>
      </c>
      <c r="G1805" s="1" t="str">
        <f t="shared" si="28"/>
        <v/>
      </c>
    </row>
    <row r="1806" spans="3:7" x14ac:dyDescent="0.3">
      <c r="C1806" t="str">
        <f>IFERROR(IF(B1806="","",VLOOKUP(B1806,CadProd!$A:$B,2,0)),"")</f>
        <v/>
      </c>
      <c r="D1806" t="str">
        <f>IFERROR(IF(B1806="","",VLOOKUP(B1806,CadProd!$A:$C,3,0)),"")</f>
        <v/>
      </c>
      <c r="G1806" s="1" t="str">
        <f t="shared" si="28"/>
        <v/>
      </c>
    </row>
    <row r="1807" spans="3:7" x14ac:dyDescent="0.3">
      <c r="C1807" t="str">
        <f>IFERROR(IF(B1807="","",VLOOKUP(B1807,CadProd!$A:$B,2,0)),"")</f>
        <v/>
      </c>
      <c r="D1807" t="str">
        <f>IFERROR(IF(B1807="","",VLOOKUP(B1807,CadProd!$A:$C,3,0)),"")</f>
        <v/>
      </c>
      <c r="G1807" s="1" t="str">
        <f t="shared" si="28"/>
        <v/>
      </c>
    </row>
    <row r="1808" spans="3:7" x14ac:dyDescent="0.3">
      <c r="C1808" t="str">
        <f>IFERROR(IF(B1808="","",VLOOKUP(B1808,CadProd!$A:$B,2,0)),"")</f>
        <v/>
      </c>
      <c r="D1808" t="str">
        <f>IFERROR(IF(B1808="","",VLOOKUP(B1808,CadProd!$A:$C,3,0)),"")</f>
        <v/>
      </c>
      <c r="G1808" s="1" t="str">
        <f t="shared" si="28"/>
        <v/>
      </c>
    </row>
    <row r="1809" spans="3:7" x14ac:dyDescent="0.3">
      <c r="C1809" t="str">
        <f>IFERROR(IF(B1809="","",VLOOKUP(B1809,CadProd!$A:$B,2,0)),"")</f>
        <v/>
      </c>
      <c r="D1809" t="str">
        <f>IFERROR(IF(B1809="","",VLOOKUP(B1809,CadProd!$A:$C,3,0)),"")</f>
        <v/>
      </c>
      <c r="G1809" s="1" t="str">
        <f t="shared" si="28"/>
        <v/>
      </c>
    </row>
    <row r="1810" spans="3:7" x14ac:dyDescent="0.3">
      <c r="C1810" t="str">
        <f>IFERROR(IF(B1810="","",VLOOKUP(B1810,CadProd!$A:$B,2,0)),"")</f>
        <v/>
      </c>
      <c r="D1810" t="str">
        <f>IFERROR(IF(B1810="","",VLOOKUP(B1810,CadProd!$A:$C,3,0)),"")</f>
        <v/>
      </c>
      <c r="G1810" s="1" t="str">
        <f t="shared" si="28"/>
        <v/>
      </c>
    </row>
    <row r="1811" spans="3:7" x14ac:dyDescent="0.3">
      <c r="C1811" t="str">
        <f>IFERROR(IF(B1811="","",VLOOKUP(B1811,CadProd!$A:$B,2,0)),"")</f>
        <v/>
      </c>
      <c r="D1811" t="str">
        <f>IFERROR(IF(B1811="","",VLOOKUP(B1811,CadProd!$A:$C,3,0)),"")</f>
        <v/>
      </c>
      <c r="G1811" s="1" t="str">
        <f t="shared" si="28"/>
        <v/>
      </c>
    </row>
    <row r="1812" spans="3:7" x14ac:dyDescent="0.3">
      <c r="C1812" t="str">
        <f>IFERROR(IF(B1812="","",VLOOKUP(B1812,CadProd!$A:$B,2,0)),"")</f>
        <v/>
      </c>
      <c r="D1812" t="str">
        <f>IFERROR(IF(B1812="","",VLOOKUP(B1812,CadProd!$A:$C,3,0)),"")</f>
        <v/>
      </c>
      <c r="G1812" s="1" t="str">
        <f t="shared" si="28"/>
        <v/>
      </c>
    </row>
    <row r="1813" spans="3:7" x14ac:dyDescent="0.3">
      <c r="C1813" t="str">
        <f>IFERROR(IF(B1813="","",VLOOKUP(B1813,CadProd!$A:$B,2,0)),"")</f>
        <v/>
      </c>
      <c r="D1813" t="str">
        <f>IFERROR(IF(B1813="","",VLOOKUP(B1813,CadProd!$A:$C,3,0)),"")</f>
        <v/>
      </c>
      <c r="G1813" s="1" t="str">
        <f t="shared" si="28"/>
        <v/>
      </c>
    </row>
    <row r="1814" spans="3:7" x14ac:dyDescent="0.3">
      <c r="C1814" t="str">
        <f>IFERROR(IF(B1814="","",VLOOKUP(B1814,CadProd!$A:$B,2,0)),"")</f>
        <v/>
      </c>
      <c r="D1814" t="str">
        <f>IFERROR(IF(B1814="","",VLOOKUP(B1814,CadProd!$A:$C,3,0)),"")</f>
        <v/>
      </c>
      <c r="G1814" s="1" t="str">
        <f t="shared" si="28"/>
        <v/>
      </c>
    </row>
    <row r="1815" spans="3:7" x14ac:dyDescent="0.3">
      <c r="C1815" t="str">
        <f>IFERROR(IF(B1815="","",VLOOKUP(B1815,CadProd!$A:$B,2,0)),"")</f>
        <v/>
      </c>
      <c r="D1815" t="str">
        <f>IFERROR(IF(B1815="","",VLOOKUP(B1815,CadProd!$A:$C,3,0)),"")</f>
        <v/>
      </c>
      <c r="G1815" s="1" t="str">
        <f t="shared" si="28"/>
        <v/>
      </c>
    </row>
    <row r="1816" spans="3:7" x14ac:dyDescent="0.3">
      <c r="C1816" t="str">
        <f>IFERROR(IF(B1816="","",VLOOKUP(B1816,CadProd!$A:$B,2,0)),"")</f>
        <v/>
      </c>
      <c r="D1816" t="str">
        <f>IFERROR(IF(B1816="","",VLOOKUP(B1816,CadProd!$A:$C,3,0)),"")</f>
        <v/>
      </c>
      <c r="G1816" s="1" t="str">
        <f t="shared" si="28"/>
        <v/>
      </c>
    </row>
    <row r="1817" spans="3:7" x14ac:dyDescent="0.3">
      <c r="C1817" t="str">
        <f>IFERROR(IF(B1817="","",VLOOKUP(B1817,CadProd!$A:$B,2,0)),"")</f>
        <v/>
      </c>
      <c r="D1817" t="str">
        <f>IFERROR(IF(B1817="","",VLOOKUP(B1817,CadProd!$A:$C,3,0)),"")</f>
        <v/>
      </c>
      <c r="G1817" s="1" t="str">
        <f t="shared" si="28"/>
        <v/>
      </c>
    </row>
    <row r="1818" spans="3:7" x14ac:dyDescent="0.3">
      <c r="C1818" t="str">
        <f>IFERROR(IF(B1818="","",VLOOKUP(B1818,CadProd!$A:$B,2,0)),"")</f>
        <v/>
      </c>
      <c r="D1818" t="str">
        <f>IFERROR(IF(B1818="","",VLOOKUP(B1818,CadProd!$A:$C,3,0)),"")</f>
        <v/>
      </c>
      <c r="G1818" s="1" t="str">
        <f t="shared" si="28"/>
        <v/>
      </c>
    </row>
    <row r="1819" spans="3:7" x14ac:dyDescent="0.3">
      <c r="C1819" t="str">
        <f>IFERROR(IF(B1819="","",VLOOKUP(B1819,CadProd!$A:$B,2,0)),"")</f>
        <v/>
      </c>
      <c r="D1819" t="str">
        <f>IFERROR(IF(B1819="","",VLOOKUP(B1819,CadProd!$A:$C,3,0)),"")</f>
        <v/>
      </c>
      <c r="G1819" s="1" t="str">
        <f t="shared" si="28"/>
        <v/>
      </c>
    </row>
    <row r="1820" spans="3:7" x14ac:dyDescent="0.3">
      <c r="C1820" t="str">
        <f>IFERROR(IF(B1820="","",VLOOKUP(B1820,CadProd!$A:$B,2,0)),"")</f>
        <v/>
      </c>
      <c r="D1820" t="str">
        <f>IFERROR(IF(B1820="","",VLOOKUP(B1820,CadProd!$A:$C,3,0)),"")</f>
        <v/>
      </c>
      <c r="G1820" s="1" t="str">
        <f t="shared" si="28"/>
        <v/>
      </c>
    </row>
    <row r="1821" spans="3:7" x14ac:dyDescent="0.3">
      <c r="C1821" t="str">
        <f>IFERROR(IF(B1821="","",VLOOKUP(B1821,CadProd!$A:$B,2,0)),"")</f>
        <v/>
      </c>
      <c r="D1821" t="str">
        <f>IFERROR(IF(B1821="","",VLOOKUP(B1821,CadProd!$A:$C,3,0)),"")</f>
        <v/>
      </c>
      <c r="G1821" s="1" t="str">
        <f t="shared" si="28"/>
        <v/>
      </c>
    </row>
    <row r="1822" spans="3:7" x14ac:dyDescent="0.3">
      <c r="C1822" t="str">
        <f>IFERROR(IF(B1822="","",VLOOKUP(B1822,CadProd!$A:$B,2,0)),"")</f>
        <v/>
      </c>
      <c r="D1822" t="str">
        <f>IFERROR(IF(B1822="","",VLOOKUP(B1822,CadProd!$A:$C,3,0)),"")</f>
        <v/>
      </c>
      <c r="G1822" s="1" t="str">
        <f t="shared" si="28"/>
        <v/>
      </c>
    </row>
    <row r="1823" spans="3:7" x14ac:dyDescent="0.3">
      <c r="C1823" t="str">
        <f>IFERROR(IF(B1823="","",VLOOKUP(B1823,CadProd!$A:$B,2,0)),"")</f>
        <v/>
      </c>
      <c r="D1823" t="str">
        <f>IFERROR(IF(B1823="","",VLOOKUP(B1823,CadProd!$A:$C,3,0)),"")</f>
        <v/>
      </c>
      <c r="G1823" s="1" t="str">
        <f t="shared" si="28"/>
        <v/>
      </c>
    </row>
    <row r="1824" spans="3:7" x14ac:dyDescent="0.3">
      <c r="C1824" t="str">
        <f>IFERROR(IF(B1824="","",VLOOKUP(B1824,CadProd!$A:$B,2,0)),"")</f>
        <v/>
      </c>
      <c r="D1824" t="str">
        <f>IFERROR(IF(B1824="","",VLOOKUP(B1824,CadProd!$A:$C,3,0)),"")</f>
        <v/>
      </c>
      <c r="G1824" s="1" t="str">
        <f t="shared" si="28"/>
        <v/>
      </c>
    </row>
    <row r="1825" spans="3:7" x14ac:dyDescent="0.3">
      <c r="C1825" t="str">
        <f>IFERROR(IF(B1825="","",VLOOKUP(B1825,CadProd!$A:$B,2,0)),"")</f>
        <v/>
      </c>
      <c r="D1825" t="str">
        <f>IFERROR(IF(B1825="","",VLOOKUP(B1825,CadProd!$A:$C,3,0)),"")</f>
        <v/>
      </c>
      <c r="G1825" s="1" t="str">
        <f t="shared" si="28"/>
        <v/>
      </c>
    </row>
    <row r="1826" spans="3:7" x14ac:dyDescent="0.3">
      <c r="C1826" t="str">
        <f>IFERROR(IF(B1826="","",VLOOKUP(B1826,CadProd!$A:$B,2,0)),"")</f>
        <v/>
      </c>
      <c r="D1826" t="str">
        <f>IFERROR(IF(B1826="","",VLOOKUP(B1826,CadProd!$A:$C,3,0)),"")</f>
        <v/>
      </c>
      <c r="G1826" s="1" t="str">
        <f t="shared" si="28"/>
        <v/>
      </c>
    </row>
    <row r="1827" spans="3:7" x14ac:dyDescent="0.3">
      <c r="C1827" t="str">
        <f>IFERROR(IF(B1827="","",VLOOKUP(B1827,CadProd!$A:$B,2,0)),"")</f>
        <v/>
      </c>
      <c r="D1827" t="str">
        <f>IFERROR(IF(B1827="","",VLOOKUP(B1827,CadProd!$A:$C,3,0)),"")</f>
        <v/>
      </c>
      <c r="G1827" s="1" t="str">
        <f t="shared" si="28"/>
        <v/>
      </c>
    </row>
    <row r="1828" spans="3:7" x14ac:dyDescent="0.3">
      <c r="C1828" t="str">
        <f>IFERROR(IF(B1828="","",VLOOKUP(B1828,CadProd!$A:$B,2,0)),"")</f>
        <v/>
      </c>
      <c r="D1828" t="str">
        <f>IFERROR(IF(B1828="","",VLOOKUP(B1828,CadProd!$A:$C,3,0)),"")</f>
        <v/>
      </c>
      <c r="G1828" s="1" t="str">
        <f t="shared" si="28"/>
        <v/>
      </c>
    </row>
    <row r="1829" spans="3:7" x14ac:dyDescent="0.3">
      <c r="C1829" t="str">
        <f>IFERROR(IF(B1829="","",VLOOKUP(B1829,CadProd!$A:$B,2,0)),"")</f>
        <v/>
      </c>
      <c r="D1829" t="str">
        <f>IFERROR(IF(B1829="","",VLOOKUP(B1829,CadProd!$A:$C,3,0)),"")</f>
        <v/>
      </c>
      <c r="G1829" s="1" t="str">
        <f t="shared" si="28"/>
        <v/>
      </c>
    </row>
    <row r="1830" spans="3:7" x14ac:dyDescent="0.3">
      <c r="C1830" t="str">
        <f>IFERROR(IF(B1830="","",VLOOKUP(B1830,CadProd!$A:$B,2,0)),"")</f>
        <v/>
      </c>
      <c r="D1830" t="str">
        <f>IFERROR(IF(B1830="","",VLOOKUP(B1830,CadProd!$A:$C,3,0)),"")</f>
        <v/>
      </c>
      <c r="G1830" s="1" t="str">
        <f t="shared" si="28"/>
        <v/>
      </c>
    </row>
    <row r="1831" spans="3:7" x14ac:dyDescent="0.3">
      <c r="C1831" t="str">
        <f>IFERROR(IF(B1831="","",VLOOKUP(B1831,CadProd!$A:$B,2,0)),"")</f>
        <v/>
      </c>
      <c r="D1831" t="str">
        <f>IFERROR(IF(B1831="","",VLOOKUP(B1831,CadProd!$A:$C,3,0)),"")</f>
        <v/>
      </c>
      <c r="G1831" s="1" t="str">
        <f t="shared" si="28"/>
        <v/>
      </c>
    </row>
    <row r="1832" spans="3:7" x14ac:dyDescent="0.3">
      <c r="C1832" t="str">
        <f>IFERROR(IF(B1832="","",VLOOKUP(B1832,CadProd!$A:$B,2,0)),"")</f>
        <v/>
      </c>
      <c r="D1832" t="str">
        <f>IFERROR(IF(B1832="","",VLOOKUP(B1832,CadProd!$A:$C,3,0)),"")</f>
        <v/>
      </c>
      <c r="G1832" s="1" t="str">
        <f t="shared" si="28"/>
        <v/>
      </c>
    </row>
    <row r="1833" spans="3:7" x14ac:dyDescent="0.3">
      <c r="C1833" t="str">
        <f>IFERROR(IF(B1833="","",VLOOKUP(B1833,CadProd!$A:$B,2,0)),"")</f>
        <v/>
      </c>
      <c r="D1833" t="str">
        <f>IFERROR(IF(B1833="","",VLOOKUP(B1833,CadProd!$A:$C,3,0)),"")</f>
        <v/>
      </c>
      <c r="G1833" s="1" t="str">
        <f t="shared" si="28"/>
        <v/>
      </c>
    </row>
    <row r="1834" spans="3:7" x14ac:dyDescent="0.3">
      <c r="C1834" t="str">
        <f>IFERROR(IF(B1834="","",VLOOKUP(B1834,CadProd!$A:$B,2,0)),"")</f>
        <v/>
      </c>
      <c r="D1834" t="str">
        <f>IFERROR(IF(B1834="","",VLOOKUP(B1834,CadProd!$A:$C,3,0)),"")</f>
        <v/>
      </c>
      <c r="G1834" s="1" t="str">
        <f t="shared" si="28"/>
        <v/>
      </c>
    </row>
    <row r="1835" spans="3:7" x14ac:dyDescent="0.3">
      <c r="C1835" t="str">
        <f>IFERROR(IF(B1835="","",VLOOKUP(B1835,CadProd!$A:$B,2,0)),"")</f>
        <v/>
      </c>
      <c r="D1835" t="str">
        <f>IFERROR(IF(B1835="","",VLOOKUP(B1835,CadProd!$A:$C,3,0)),"")</f>
        <v/>
      </c>
      <c r="G1835" s="1" t="str">
        <f t="shared" si="28"/>
        <v/>
      </c>
    </row>
    <row r="1836" spans="3:7" x14ac:dyDescent="0.3">
      <c r="C1836" t="str">
        <f>IFERROR(IF(B1836="","",VLOOKUP(B1836,CadProd!$A:$B,2,0)),"")</f>
        <v/>
      </c>
      <c r="D1836" t="str">
        <f>IFERROR(IF(B1836="","",VLOOKUP(B1836,CadProd!$A:$C,3,0)),"")</f>
        <v/>
      </c>
      <c r="G1836" s="1" t="str">
        <f t="shared" si="28"/>
        <v/>
      </c>
    </row>
    <row r="1837" spans="3:7" x14ac:dyDescent="0.3">
      <c r="C1837" t="str">
        <f>IFERROR(IF(B1837="","",VLOOKUP(B1837,CadProd!$A:$B,2,0)),"")</f>
        <v/>
      </c>
      <c r="D1837" t="str">
        <f>IFERROR(IF(B1837="","",VLOOKUP(B1837,CadProd!$A:$C,3,0)),"")</f>
        <v/>
      </c>
      <c r="G1837" s="1" t="str">
        <f t="shared" si="28"/>
        <v/>
      </c>
    </row>
    <row r="1838" spans="3:7" x14ac:dyDescent="0.3">
      <c r="C1838" t="str">
        <f>IFERROR(IF(B1838="","",VLOOKUP(B1838,CadProd!$A:$B,2,0)),"")</f>
        <v/>
      </c>
      <c r="D1838" t="str">
        <f>IFERROR(IF(B1838="","",VLOOKUP(B1838,CadProd!$A:$C,3,0)),"")</f>
        <v/>
      </c>
      <c r="G1838" s="1" t="str">
        <f t="shared" si="28"/>
        <v/>
      </c>
    </row>
    <row r="1839" spans="3:7" x14ac:dyDescent="0.3">
      <c r="C1839" t="str">
        <f>IFERROR(IF(B1839="","",VLOOKUP(B1839,CadProd!$A:$B,2,0)),"")</f>
        <v/>
      </c>
      <c r="D1839" t="str">
        <f>IFERROR(IF(B1839="","",VLOOKUP(B1839,CadProd!$A:$C,3,0)),"")</f>
        <v/>
      </c>
      <c r="G1839" s="1" t="str">
        <f t="shared" si="28"/>
        <v/>
      </c>
    </row>
    <row r="1840" spans="3:7" x14ac:dyDescent="0.3">
      <c r="C1840" t="str">
        <f>IFERROR(IF(B1840="","",VLOOKUP(B1840,CadProd!$A:$B,2,0)),"")</f>
        <v/>
      </c>
      <c r="D1840" t="str">
        <f>IFERROR(IF(B1840="","",VLOOKUP(B1840,CadProd!$A:$C,3,0)),"")</f>
        <v/>
      </c>
      <c r="G1840" s="1" t="str">
        <f t="shared" si="28"/>
        <v/>
      </c>
    </row>
    <row r="1841" spans="3:7" x14ac:dyDescent="0.3">
      <c r="C1841" t="str">
        <f>IFERROR(IF(B1841="","",VLOOKUP(B1841,CadProd!$A:$B,2,0)),"")</f>
        <v/>
      </c>
      <c r="D1841" t="str">
        <f>IFERROR(IF(B1841="","",VLOOKUP(B1841,CadProd!$A:$C,3,0)),"")</f>
        <v/>
      </c>
      <c r="G1841" s="1" t="str">
        <f t="shared" si="28"/>
        <v/>
      </c>
    </row>
    <row r="1842" spans="3:7" x14ac:dyDescent="0.3">
      <c r="C1842" t="str">
        <f>IFERROR(IF(B1842="","",VLOOKUP(B1842,CadProd!$A:$B,2,0)),"")</f>
        <v/>
      </c>
      <c r="D1842" t="str">
        <f>IFERROR(IF(B1842="","",VLOOKUP(B1842,CadProd!$A:$C,3,0)),"")</f>
        <v/>
      </c>
      <c r="G1842" s="1" t="str">
        <f t="shared" si="28"/>
        <v/>
      </c>
    </row>
    <row r="1843" spans="3:7" x14ac:dyDescent="0.3">
      <c r="C1843" t="str">
        <f>IFERROR(IF(B1843="","",VLOOKUP(B1843,CadProd!$A:$B,2,0)),"")</f>
        <v/>
      </c>
      <c r="D1843" t="str">
        <f>IFERROR(IF(B1843="","",VLOOKUP(B1843,CadProd!$A:$C,3,0)),"")</f>
        <v/>
      </c>
      <c r="G1843" s="1" t="str">
        <f t="shared" si="28"/>
        <v/>
      </c>
    </row>
    <row r="1844" spans="3:7" x14ac:dyDescent="0.3">
      <c r="C1844" t="str">
        <f>IFERROR(IF(B1844="","",VLOOKUP(B1844,CadProd!$A:$B,2,0)),"")</f>
        <v/>
      </c>
      <c r="D1844" t="str">
        <f>IFERROR(IF(B1844="","",VLOOKUP(B1844,CadProd!$A:$C,3,0)),"")</f>
        <v/>
      </c>
      <c r="G1844" s="1" t="str">
        <f t="shared" si="28"/>
        <v/>
      </c>
    </row>
    <row r="1845" spans="3:7" x14ac:dyDescent="0.3">
      <c r="C1845" t="str">
        <f>IFERROR(IF(B1845="","",VLOOKUP(B1845,CadProd!$A:$B,2,0)),"")</f>
        <v/>
      </c>
      <c r="D1845" t="str">
        <f>IFERROR(IF(B1845="","",VLOOKUP(B1845,CadProd!$A:$C,3,0)),"")</f>
        <v/>
      </c>
      <c r="G1845" s="1" t="str">
        <f t="shared" si="28"/>
        <v/>
      </c>
    </row>
    <row r="1846" spans="3:7" x14ac:dyDescent="0.3">
      <c r="C1846" t="str">
        <f>IFERROR(IF(B1846="","",VLOOKUP(B1846,CadProd!$A:$B,2,0)),"")</f>
        <v/>
      </c>
      <c r="D1846" t="str">
        <f>IFERROR(IF(B1846="","",VLOOKUP(B1846,CadProd!$A:$C,3,0)),"")</f>
        <v/>
      </c>
      <c r="G1846" s="1" t="str">
        <f t="shared" si="28"/>
        <v/>
      </c>
    </row>
    <row r="1847" spans="3:7" x14ac:dyDescent="0.3">
      <c r="C1847" t="str">
        <f>IFERROR(IF(B1847="","",VLOOKUP(B1847,CadProd!$A:$B,2,0)),"")</f>
        <v/>
      </c>
      <c r="D1847" t="str">
        <f>IFERROR(IF(B1847="","",VLOOKUP(B1847,CadProd!$A:$C,3,0)),"")</f>
        <v/>
      </c>
      <c r="G1847" s="1" t="str">
        <f t="shared" si="28"/>
        <v/>
      </c>
    </row>
    <row r="1848" spans="3:7" x14ac:dyDescent="0.3">
      <c r="C1848" t="str">
        <f>IFERROR(IF(B1848="","",VLOOKUP(B1848,CadProd!$A:$B,2,0)),"")</f>
        <v/>
      </c>
      <c r="D1848" t="str">
        <f>IFERROR(IF(B1848="","",VLOOKUP(B1848,CadProd!$A:$C,3,0)),"")</f>
        <v/>
      </c>
      <c r="G1848" s="1" t="str">
        <f t="shared" si="28"/>
        <v/>
      </c>
    </row>
    <row r="1849" spans="3:7" x14ac:dyDescent="0.3">
      <c r="C1849" t="str">
        <f>IFERROR(IF(B1849="","",VLOOKUP(B1849,CadProd!$A:$B,2,0)),"")</f>
        <v/>
      </c>
      <c r="D1849" t="str">
        <f>IFERROR(IF(B1849="","",VLOOKUP(B1849,CadProd!$A:$C,3,0)),"")</f>
        <v/>
      </c>
      <c r="G1849" s="1" t="str">
        <f t="shared" si="28"/>
        <v/>
      </c>
    </row>
    <row r="1850" spans="3:7" x14ac:dyDescent="0.3">
      <c r="C1850" t="str">
        <f>IFERROR(IF(B1850="","",VLOOKUP(B1850,CadProd!$A:$B,2,0)),"")</f>
        <v/>
      </c>
      <c r="D1850" t="str">
        <f>IFERROR(IF(B1850="","",VLOOKUP(B1850,CadProd!$A:$C,3,0)),"")</f>
        <v/>
      </c>
      <c r="G1850" s="1" t="str">
        <f t="shared" si="28"/>
        <v/>
      </c>
    </row>
    <row r="1851" spans="3:7" x14ac:dyDescent="0.3">
      <c r="C1851" t="str">
        <f>IFERROR(IF(B1851="","",VLOOKUP(B1851,CadProd!$A:$B,2,0)),"")</f>
        <v/>
      </c>
      <c r="D1851" t="str">
        <f>IFERROR(IF(B1851="","",VLOOKUP(B1851,CadProd!$A:$C,3,0)),"")</f>
        <v/>
      </c>
      <c r="G1851" s="1" t="str">
        <f t="shared" si="28"/>
        <v/>
      </c>
    </row>
    <row r="1852" spans="3:7" x14ac:dyDescent="0.3">
      <c r="C1852" t="str">
        <f>IFERROR(IF(B1852="","",VLOOKUP(B1852,CadProd!$A:$B,2,0)),"")</f>
        <v/>
      </c>
      <c r="D1852" t="str">
        <f>IFERROR(IF(B1852="","",VLOOKUP(B1852,CadProd!$A:$C,3,0)),"")</f>
        <v/>
      </c>
      <c r="G1852" s="1" t="str">
        <f t="shared" si="28"/>
        <v/>
      </c>
    </row>
    <row r="1853" spans="3:7" x14ac:dyDescent="0.3">
      <c r="C1853" t="str">
        <f>IFERROR(IF(B1853="","",VLOOKUP(B1853,CadProd!$A:$B,2,0)),"")</f>
        <v/>
      </c>
      <c r="D1853" t="str">
        <f>IFERROR(IF(B1853="","",VLOOKUP(B1853,CadProd!$A:$C,3,0)),"")</f>
        <v/>
      </c>
      <c r="G1853" s="1" t="str">
        <f t="shared" si="28"/>
        <v/>
      </c>
    </row>
    <row r="1854" spans="3:7" x14ac:dyDescent="0.3">
      <c r="C1854" t="str">
        <f>IFERROR(IF(B1854="","",VLOOKUP(B1854,CadProd!$A:$B,2,0)),"")</f>
        <v/>
      </c>
      <c r="D1854" t="str">
        <f>IFERROR(IF(B1854="","",VLOOKUP(B1854,CadProd!$A:$C,3,0)),"")</f>
        <v/>
      </c>
      <c r="G1854" s="1" t="str">
        <f t="shared" si="28"/>
        <v/>
      </c>
    </row>
    <row r="1855" spans="3:7" x14ac:dyDescent="0.3">
      <c r="C1855" t="str">
        <f>IFERROR(IF(B1855="","",VLOOKUP(B1855,CadProd!$A:$B,2,0)),"")</f>
        <v/>
      </c>
      <c r="D1855" t="str">
        <f>IFERROR(IF(B1855="","",VLOOKUP(B1855,CadProd!$A:$C,3,0)),"")</f>
        <v/>
      </c>
      <c r="G1855" s="1" t="str">
        <f t="shared" si="28"/>
        <v/>
      </c>
    </row>
    <row r="1856" spans="3:7" x14ac:dyDescent="0.3">
      <c r="C1856" t="str">
        <f>IFERROR(IF(B1856="","",VLOOKUP(B1856,CadProd!$A:$B,2,0)),"")</f>
        <v/>
      </c>
      <c r="D1856" t="str">
        <f>IFERROR(IF(B1856="","",VLOOKUP(B1856,CadProd!$A:$C,3,0)),"")</f>
        <v/>
      </c>
      <c r="G1856" s="1" t="str">
        <f t="shared" si="28"/>
        <v/>
      </c>
    </row>
    <row r="1857" spans="3:7" x14ac:dyDescent="0.3">
      <c r="C1857" t="str">
        <f>IFERROR(IF(B1857="","",VLOOKUP(B1857,CadProd!$A:$B,2,0)),"")</f>
        <v/>
      </c>
      <c r="D1857" t="str">
        <f>IFERROR(IF(B1857="","",VLOOKUP(B1857,CadProd!$A:$C,3,0)),"")</f>
        <v/>
      </c>
      <c r="G1857" s="1" t="str">
        <f t="shared" si="28"/>
        <v/>
      </c>
    </row>
    <row r="1858" spans="3:7" x14ac:dyDescent="0.3">
      <c r="C1858" t="str">
        <f>IFERROR(IF(B1858="","",VLOOKUP(B1858,CadProd!$A:$B,2,0)),"")</f>
        <v/>
      </c>
      <c r="D1858" t="str">
        <f>IFERROR(IF(B1858="","",VLOOKUP(B1858,CadProd!$A:$C,3,0)),"")</f>
        <v/>
      </c>
      <c r="G1858" s="1" t="str">
        <f t="shared" ref="G1858:G1921" si="29">IFERROR(IF(B1858="","",F1858*E1858),"")</f>
        <v/>
      </c>
    </row>
    <row r="1859" spans="3:7" x14ac:dyDescent="0.3">
      <c r="C1859" t="str">
        <f>IFERROR(IF(B1859="","",VLOOKUP(B1859,CadProd!$A:$B,2,0)),"")</f>
        <v/>
      </c>
      <c r="D1859" t="str">
        <f>IFERROR(IF(B1859="","",VLOOKUP(B1859,CadProd!$A:$C,3,0)),"")</f>
        <v/>
      </c>
      <c r="G1859" s="1" t="str">
        <f t="shared" si="29"/>
        <v/>
      </c>
    </row>
    <row r="1860" spans="3:7" x14ac:dyDescent="0.3">
      <c r="C1860" t="str">
        <f>IFERROR(IF(B1860="","",VLOOKUP(B1860,CadProd!$A:$B,2,0)),"")</f>
        <v/>
      </c>
      <c r="D1860" t="str">
        <f>IFERROR(IF(B1860="","",VLOOKUP(B1860,CadProd!$A:$C,3,0)),"")</f>
        <v/>
      </c>
      <c r="G1860" s="1" t="str">
        <f t="shared" si="29"/>
        <v/>
      </c>
    </row>
    <row r="1861" spans="3:7" x14ac:dyDescent="0.3">
      <c r="C1861" t="str">
        <f>IFERROR(IF(B1861="","",VLOOKUP(B1861,CadProd!$A:$B,2,0)),"")</f>
        <v/>
      </c>
      <c r="D1861" t="str">
        <f>IFERROR(IF(B1861="","",VLOOKUP(B1861,CadProd!$A:$C,3,0)),"")</f>
        <v/>
      </c>
      <c r="G1861" s="1" t="str">
        <f t="shared" si="29"/>
        <v/>
      </c>
    </row>
    <row r="1862" spans="3:7" x14ac:dyDescent="0.3">
      <c r="C1862" t="str">
        <f>IFERROR(IF(B1862="","",VLOOKUP(B1862,CadProd!$A:$B,2,0)),"")</f>
        <v/>
      </c>
      <c r="D1862" t="str">
        <f>IFERROR(IF(B1862="","",VLOOKUP(B1862,CadProd!$A:$C,3,0)),"")</f>
        <v/>
      </c>
      <c r="G1862" s="1" t="str">
        <f t="shared" si="29"/>
        <v/>
      </c>
    </row>
    <row r="1863" spans="3:7" x14ac:dyDescent="0.3">
      <c r="C1863" t="str">
        <f>IFERROR(IF(B1863="","",VLOOKUP(B1863,CadProd!$A:$B,2,0)),"")</f>
        <v/>
      </c>
      <c r="D1863" t="str">
        <f>IFERROR(IF(B1863="","",VLOOKUP(B1863,CadProd!$A:$C,3,0)),"")</f>
        <v/>
      </c>
      <c r="G1863" s="1" t="str">
        <f t="shared" si="29"/>
        <v/>
      </c>
    </row>
    <row r="1864" spans="3:7" x14ac:dyDescent="0.3">
      <c r="C1864" t="str">
        <f>IFERROR(IF(B1864="","",VLOOKUP(B1864,CadProd!$A:$B,2,0)),"")</f>
        <v/>
      </c>
      <c r="D1864" t="str">
        <f>IFERROR(IF(B1864="","",VLOOKUP(B1864,CadProd!$A:$C,3,0)),"")</f>
        <v/>
      </c>
      <c r="G1864" s="1" t="str">
        <f t="shared" si="29"/>
        <v/>
      </c>
    </row>
    <row r="1865" spans="3:7" x14ac:dyDescent="0.3">
      <c r="C1865" t="str">
        <f>IFERROR(IF(B1865="","",VLOOKUP(B1865,CadProd!$A:$B,2,0)),"")</f>
        <v/>
      </c>
      <c r="D1865" t="str">
        <f>IFERROR(IF(B1865="","",VLOOKUP(B1865,CadProd!$A:$C,3,0)),"")</f>
        <v/>
      </c>
      <c r="G1865" s="1" t="str">
        <f t="shared" si="29"/>
        <v/>
      </c>
    </row>
    <row r="1866" spans="3:7" x14ac:dyDescent="0.3">
      <c r="C1866" t="str">
        <f>IFERROR(IF(B1866="","",VLOOKUP(B1866,CadProd!$A:$B,2,0)),"")</f>
        <v/>
      </c>
      <c r="D1866" t="str">
        <f>IFERROR(IF(B1866="","",VLOOKUP(B1866,CadProd!$A:$C,3,0)),"")</f>
        <v/>
      </c>
      <c r="G1866" s="1" t="str">
        <f t="shared" si="29"/>
        <v/>
      </c>
    </row>
    <row r="1867" spans="3:7" x14ac:dyDescent="0.3">
      <c r="C1867" t="str">
        <f>IFERROR(IF(B1867="","",VLOOKUP(B1867,CadProd!$A:$B,2,0)),"")</f>
        <v/>
      </c>
      <c r="D1867" t="str">
        <f>IFERROR(IF(B1867="","",VLOOKUP(B1867,CadProd!$A:$C,3,0)),"")</f>
        <v/>
      </c>
      <c r="G1867" s="1" t="str">
        <f t="shared" si="29"/>
        <v/>
      </c>
    </row>
    <row r="1868" spans="3:7" x14ac:dyDescent="0.3">
      <c r="C1868" t="str">
        <f>IFERROR(IF(B1868="","",VLOOKUP(B1868,CadProd!$A:$B,2,0)),"")</f>
        <v/>
      </c>
      <c r="D1868" t="str">
        <f>IFERROR(IF(B1868="","",VLOOKUP(B1868,CadProd!$A:$C,3,0)),"")</f>
        <v/>
      </c>
      <c r="G1868" s="1" t="str">
        <f t="shared" si="29"/>
        <v/>
      </c>
    </row>
    <row r="1869" spans="3:7" x14ac:dyDescent="0.3">
      <c r="C1869" t="str">
        <f>IFERROR(IF(B1869="","",VLOOKUP(B1869,CadProd!$A:$B,2,0)),"")</f>
        <v/>
      </c>
      <c r="D1869" t="str">
        <f>IFERROR(IF(B1869="","",VLOOKUP(B1869,CadProd!$A:$C,3,0)),"")</f>
        <v/>
      </c>
      <c r="G1869" s="1" t="str">
        <f t="shared" si="29"/>
        <v/>
      </c>
    </row>
    <row r="1870" spans="3:7" x14ac:dyDescent="0.3">
      <c r="C1870" t="str">
        <f>IFERROR(IF(B1870="","",VLOOKUP(B1870,CadProd!$A:$B,2,0)),"")</f>
        <v/>
      </c>
      <c r="D1870" t="str">
        <f>IFERROR(IF(B1870="","",VLOOKUP(B1870,CadProd!$A:$C,3,0)),"")</f>
        <v/>
      </c>
      <c r="G1870" s="1" t="str">
        <f t="shared" si="29"/>
        <v/>
      </c>
    </row>
    <row r="1871" spans="3:7" x14ac:dyDescent="0.3">
      <c r="C1871" t="str">
        <f>IFERROR(IF(B1871="","",VLOOKUP(B1871,CadProd!$A:$B,2,0)),"")</f>
        <v/>
      </c>
      <c r="D1871" t="str">
        <f>IFERROR(IF(B1871="","",VLOOKUP(B1871,CadProd!$A:$C,3,0)),"")</f>
        <v/>
      </c>
      <c r="G1871" s="1" t="str">
        <f t="shared" si="29"/>
        <v/>
      </c>
    </row>
    <row r="1872" spans="3:7" x14ac:dyDescent="0.3">
      <c r="C1872" t="str">
        <f>IFERROR(IF(B1872="","",VLOOKUP(B1872,CadProd!$A:$B,2,0)),"")</f>
        <v/>
      </c>
      <c r="D1872" t="str">
        <f>IFERROR(IF(B1872="","",VLOOKUP(B1872,CadProd!$A:$C,3,0)),"")</f>
        <v/>
      </c>
      <c r="G1872" s="1" t="str">
        <f t="shared" si="29"/>
        <v/>
      </c>
    </row>
    <row r="1873" spans="3:7" x14ac:dyDescent="0.3">
      <c r="C1873" t="str">
        <f>IFERROR(IF(B1873="","",VLOOKUP(B1873,CadProd!$A:$B,2,0)),"")</f>
        <v/>
      </c>
      <c r="D1873" t="str">
        <f>IFERROR(IF(B1873="","",VLOOKUP(B1873,CadProd!$A:$C,3,0)),"")</f>
        <v/>
      </c>
      <c r="G1873" s="1" t="str">
        <f t="shared" si="29"/>
        <v/>
      </c>
    </row>
    <row r="1874" spans="3:7" x14ac:dyDescent="0.3">
      <c r="C1874" t="str">
        <f>IFERROR(IF(B1874="","",VLOOKUP(B1874,CadProd!$A:$B,2,0)),"")</f>
        <v/>
      </c>
      <c r="D1874" t="str">
        <f>IFERROR(IF(B1874="","",VLOOKUP(B1874,CadProd!$A:$C,3,0)),"")</f>
        <v/>
      </c>
      <c r="G1874" s="1" t="str">
        <f t="shared" si="29"/>
        <v/>
      </c>
    </row>
    <row r="1875" spans="3:7" x14ac:dyDescent="0.3">
      <c r="C1875" t="str">
        <f>IFERROR(IF(B1875="","",VLOOKUP(B1875,CadProd!$A:$B,2,0)),"")</f>
        <v/>
      </c>
      <c r="D1875" t="str">
        <f>IFERROR(IF(B1875="","",VLOOKUP(B1875,CadProd!$A:$C,3,0)),"")</f>
        <v/>
      </c>
      <c r="G1875" s="1" t="str">
        <f t="shared" si="29"/>
        <v/>
      </c>
    </row>
    <row r="1876" spans="3:7" x14ac:dyDescent="0.3">
      <c r="C1876" t="str">
        <f>IFERROR(IF(B1876="","",VLOOKUP(B1876,CadProd!$A:$B,2,0)),"")</f>
        <v/>
      </c>
      <c r="D1876" t="str">
        <f>IFERROR(IF(B1876="","",VLOOKUP(B1876,CadProd!$A:$C,3,0)),"")</f>
        <v/>
      </c>
      <c r="G1876" s="1" t="str">
        <f t="shared" si="29"/>
        <v/>
      </c>
    </row>
    <row r="1877" spans="3:7" x14ac:dyDescent="0.3">
      <c r="C1877" t="str">
        <f>IFERROR(IF(B1877="","",VLOOKUP(B1877,CadProd!$A:$B,2,0)),"")</f>
        <v/>
      </c>
      <c r="D1877" t="str">
        <f>IFERROR(IF(B1877="","",VLOOKUP(B1877,CadProd!$A:$C,3,0)),"")</f>
        <v/>
      </c>
      <c r="G1877" s="1" t="str">
        <f t="shared" si="29"/>
        <v/>
      </c>
    </row>
    <row r="1878" spans="3:7" x14ac:dyDescent="0.3">
      <c r="C1878" t="str">
        <f>IFERROR(IF(B1878="","",VLOOKUP(B1878,CadProd!$A:$B,2,0)),"")</f>
        <v/>
      </c>
      <c r="D1878" t="str">
        <f>IFERROR(IF(B1878="","",VLOOKUP(B1878,CadProd!$A:$C,3,0)),"")</f>
        <v/>
      </c>
      <c r="G1878" s="1" t="str">
        <f t="shared" si="29"/>
        <v/>
      </c>
    </row>
    <row r="1879" spans="3:7" x14ac:dyDescent="0.3">
      <c r="C1879" t="str">
        <f>IFERROR(IF(B1879="","",VLOOKUP(B1879,CadProd!$A:$B,2,0)),"")</f>
        <v/>
      </c>
      <c r="D1879" t="str">
        <f>IFERROR(IF(B1879="","",VLOOKUP(B1879,CadProd!$A:$C,3,0)),"")</f>
        <v/>
      </c>
      <c r="G1879" s="1" t="str">
        <f t="shared" si="29"/>
        <v/>
      </c>
    </row>
    <row r="1880" spans="3:7" x14ac:dyDescent="0.3">
      <c r="C1880" t="str">
        <f>IFERROR(IF(B1880="","",VLOOKUP(B1880,CadProd!$A:$B,2,0)),"")</f>
        <v/>
      </c>
      <c r="D1880" t="str">
        <f>IFERROR(IF(B1880="","",VLOOKUP(B1880,CadProd!$A:$C,3,0)),"")</f>
        <v/>
      </c>
      <c r="G1880" s="1" t="str">
        <f t="shared" si="29"/>
        <v/>
      </c>
    </row>
    <row r="1881" spans="3:7" x14ac:dyDescent="0.3">
      <c r="C1881" t="str">
        <f>IFERROR(IF(B1881="","",VLOOKUP(B1881,CadProd!$A:$B,2,0)),"")</f>
        <v/>
      </c>
      <c r="D1881" t="str">
        <f>IFERROR(IF(B1881="","",VLOOKUP(B1881,CadProd!$A:$C,3,0)),"")</f>
        <v/>
      </c>
      <c r="G1881" s="1" t="str">
        <f t="shared" si="29"/>
        <v/>
      </c>
    </row>
    <row r="1882" spans="3:7" x14ac:dyDescent="0.3">
      <c r="C1882" t="str">
        <f>IFERROR(IF(B1882="","",VLOOKUP(B1882,CadProd!$A:$B,2,0)),"")</f>
        <v/>
      </c>
      <c r="D1882" t="str">
        <f>IFERROR(IF(B1882="","",VLOOKUP(B1882,CadProd!$A:$C,3,0)),"")</f>
        <v/>
      </c>
      <c r="G1882" s="1" t="str">
        <f t="shared" si="29"/>
        <v/>
      </c>
    </row>
    <row r="1883" spans="3:7" x14ac:dyDescent="0.3">
      <c r="C1883" t="str">
        <f>IFERROR(IF(B1883="","",VLOOKUP(B1883,CadProd!$A:$B,2,0)),"")</f>
        <v/>
      </c>
      <c r="D1883" t="str">
        <f>IFERROR(IF(B1883="","",VLOOKUP(B1883,CadProd!$A:$C,3,0)),"")</f>
        <v/>
      </c>
      <c r="G1883" s="1" t="str">
        <f t="shared" si="29"/>
        <v/>
      </c>
    </row>
    <row r="1884" spans="3:7" x14ac:dyDescent="0.3">
      <c r="C1884" t="str">
        <f>IFERROR(IF(B1884="","",VLOOKUP(B1884,CadProd!$A:$B,2,0)),"")</f>
        <v/>
      </c>
      <c r="D1884" t="str">
        <f>IFERROR(IF(B1884="","",VLOOKUP(B1884,CadProd!$A:$C,3,0)),"")</f>
        <v/>
      </c>
      <c r="G1884" s="1" t="str">
        <f t="shared" si="29"/>
        <v/>
      </c>
    </row>
    <row r="1885" spans="3:7" x14ac:dyDescent="0.3">
      <c r="C1885" t="str">
        <f>IFERROR(IF(B1885="","",VLOOKUP(B1885,CadProd!$A:$B,2,0)),"")</f>
        <v/>
      </c>
      <c r="D1885" t="str">
        <f>IFERROR(IF(B1885="","",VLOOKUP(B1885,CadProd!$A:$C,3,0)),"")</f>
        <v/>
      </c>
      <c r="G1885" s="1" t="str">
        <f t="shared" si="29"/>
        <v/>
      </c>
    </row>
    <row r="1886" spans="3:7" x14ac:dyDescent="0.3">
      <c r="C1886" t="str">
        <f>IFERROR(IF(B1886="","",VLOOKUP(B1886,CadProd!$A:$B,2,0)),"")</f>
        <v/>
      </c>
      <c r="D1886" t="str">
        <f>IFERROR(IF(B1886="","",VLOOKUP(B1886,CadProd!$A:$C,3,0)),"")</f>
        <v/>
      </c>
      <c r="G1886" s="1" t="str">
        <f t="shared" si="29"/>
        <v/>
      </c>
    </row>
    <row r="1887" spans="3:7" x14ac:dyDescent="0.3">
      <c r="C1887" t="str">
        <f>IFERROR(IF(B1887="","",VLOOKUP(B1887,CadProd!$A:$B,2,0)),"")</f>
        <v/>
      </c>
      <c r="D1887" t="str">
        <f>IFERROR(IF(B1887="","",VLOOKUP(B1887,CadProd!$A:$C,3,0)),"")</f>
        <v/>
      </c>
      <c r="G1887" s="1" t="str">
        <f t="shared" si="29"/>
        <v/>
      </c>
    </row>
    <row r="1888" spans="3:7" x14ac:dyDescent="0.3">
      <c r="C1888" t="str">
        <f>IFERROR(IF(B1888="","",VLOOKUP(B1888,CadProd!$A:$B,2,0)),"")</f>
        <v/>
      </c>
      <c r="D1888" t="str">
        <f>IFERROR(IF(B1888="","",VLOOKUP(B1888,CadProd!$A:$C,3,0)),"")</f>
        <v/>
      </c>
      <c r="G1888" s="1" t="str">
        <f t="shared" si="29"/>
        <v/>
      </c>
    </row>
    <row r="1889" spans="3:7" x14ac:dyDescent="0.3">
      <c r="C1889" t="str">
        <f>IFERROR(IF(B1889="","",VLOOKUP(B1889,CadProd!$A:$B,2,0)),"")</f>
        <v/>
      </c>
      <c r="D1889" t="str">
        <f>IFERROR(IF(B1889="","",VLOOKUP(B1889,CadProd!$A:$C,3,0)),"")</f>
        <v/>
      </c>
      <c r="G1889" s="1" t="str">
        <f t="shared" si="29"/>
        <v/>
      </c>
    </row>
    <row r="1890" spans="3:7" x14ac:dyDescent="0.3">
      <c r="C1890" t="str">
        <f>IFERROR(IF(B1890="","",VLOOKUP(B1890,CadProd!$A:$B,2,0)),"")</f>
        <v/>
      </c>
      <c r="D1890" t="str">
        <f>IFERROR(IF(B1890="","",VLOOKUP(B1890,CadProd!$A:$C,3,0)),"")</f>
        <v/>
      </c>
      <c r="G1890" s="1" t="str">
        <f t="shared" si="29"/>
        <v/>
      </c>
    </row>
    <row r="1891" spans="3:7" x14ac:dyDescent="0.3">
      <c r="C1891" t="str">
        <f>IFERROR(IF(B1891="","",VLOOKUP(B1891,CadProd!$A:$B,2,0)),"")</f>
        <v/>
      </c>
      <c r="D1891" t="str">
        <f>IFERROR(IF(B1891="","",VLOOKUP(B1891,CadProd!$A:$C,3,0)),"")</f>
        <v/>
      </c>
      <c r="G1891" s="1" t="str">
        <f t="shared" si="29"/>
        <v/>
      </c>
    </row>
    <row r="1892" spans="3:7" x14ac:dyDescent="0.3">
      <c r="C1892" t="str">
        <f>IFERROR(IF(B1892="","",VLOOKUP(B1892,CadProd!$A:$B,2,0)),"")</f>
        <v/>
      </c>
      <c r="D1892" t="str">
        <f>IFERROR(IF(B1892="","",VLOOKUP(B1892,CadProd!$A:$C,3,0)),"")</f>
        <v/>
      </c>
      <c r="G1892" s="1" t="str">
        <f t="shared" si="29"/>
        <v/>
      </c>
    </row>
    <row r="1893" spans="3:7" x14ac:dyDescent="0.3">
      <c r="C1893" t="str">
        <f>IFERROR(IF(B1893="","",VLOOKUP(B1893,CadProd!$A:$B,2,0)),"")</f>
        <v/>
      </c>
      <c r="D1893" t="str">
        <f>IFERROR(IF(B1893="","",VLOOKUP(B1893,CadProd!$A:$C,3,0)),"")</f>
        <v/>
      </c>
      <c r="G1893" s="1" t="str">
        <f t="shared" si="29"/>
        <v/>
      </c>
    </row>
    <row r="1894" spans="3:7" x14ac:dyDescent="0.3">
      <c r="C1894" t="str">
        <f>IFERROR(IF(B1894="","",VLOOKUP(B1894,CadProd!$A:$B,2,0)),"")</f>
        <v/>
      </c>
      <c r="D1894" t="str">
        <f>IFERROR(IF(B1894="","",VLOOKUP(B1894,CadProd!$A:$C,3,0)),"")</f>
        <v/>
      </c>
      <c r="G1894" s="1" t="str">
        <f t="shared" si="29"/>
        <v/>
      </c>
    </row>
    <row r="1895" spans="3:7" x14ac:dyDescent="0.3">
      <c r="C1895" t="str">
        <f>IFERROR(IF(B1895="","",VLOOKUP(B1895,CadProd!$A:$B,2,0)),"")</f>
        <v/>
      </c>
      <c r="D1895" t="str">
        <f>IFERROR(IF(B1895="","",VLOOKUP(B1895,CadProd!$A:$C,3,0)),"")</f>
        <v/>
      </c>
      <c r="G1895" s="1" t="str">
        <f t="shared" si="29"/>
        <v/>
      </c>
    </row>
    <row r="1896" spans="3:7" x14ac:dyDescent="0.3">
      <c r="C1896" t="str">
        <f>IFERROR(IF(B1896="","",VLOOKUP(B1896,CadProd!$A:$B,2,0)),"")</f>
        <v/>
      </c>
      <c r="D1896" t="str">
        <f>IFERROR(IF(B1896="","",VLOOKUP(B1896,CadProd!$A:$C,3,0)),"")</f>
        <v/>
      </c>
      <c r="G1896" s="1" t="str">
        <f t="shared" si="29"/>
        <v/>
      </c>
    </row>
    <row r="1897" spans="3:7" x14ac:dyDescent="0.3">
      <c r="C1897" t="str">
        <f>IFERROR(IF(B1897="","",VLOOKUP(B1897,CadProd!$A:$B,2,0)),"")</f>
        <v/>
      </c>
      <c r="D1897" t="str">
        <f>IFERROR(IF(B1897="","",VLOOKUP(B1897,CadProd!$A:$C,3,0)),"")</f>
        <v/>
      </c>
      <c r="G1897" s="1" t="str">
        <f t="shared" si="29"/>
        <v/>
      </c>
    </row>
    <row r="1898" spans="3:7" x14ac:dyDescent="0.3">
      <c r="C1898" t="str">
        <f>IFERROR(IF(B1898="","",VLOOKUP(B1898,CadProd!$A:$B,2,0)),"")</f>
        <v/>
      </c>
      <c r="D1898" t="str">
        <f>IFERROR(IF(B1898="","",VLOOKUP(B1898,CadProd!$A:$C,3,0)),"")</f>
        <v/>
      </c>
      <c r="G1898" s="1" t="str">
        <f t="shared" si="29"/>
        <v/>
      </c>
    </row>
    <row r="1899" spans="3:7" x14ac:dyDescent="0.3">
      <c r="C1899" t="str">
        <f>IFERROR(IF(B1899="","",VLOOKUP(B1899,CadProd!$A:$B,2,0)),"")</f>
        <v/>
      </c>
      <c r="D1899" t="str">
        <f>IFERROR(IF(B1899="","",VLOOKUP(B1899,CadProd!$A:$C,3,0)),"")</f>
        <v/>
      </c>
      <c r="G1899" s="1" t="str">
        <f t="shared" si="29"/>
        <v/>
      </c>
    </row>
    <row r="1900" spans="3:7" x14ac:dyDescent="0.3">
      <c r="C1900" t="str">
        <f>IFERROR(IF(B1900="","",VLOOKUP(B1900,CadProd!$A:$B,2,0)),"")</f>
        <v/>
      </c>
      <c r="D1900" t="str">
        <f>IFERROR(IF(B1900="","",VLOOKUP(B1900,CadProd!$A:$C,3,0)),"")</f>
        <v/>
      </c>
      <c r="G1900" s="1" t="str">
        <f t="shared" si="29"/>
        <v/>
      </c>
    </row>
    <row r="1901" spans="3:7" x14ac:dyDescent="0.3">
      <c r="C1901" t="str">
        <f>IFERROR(IF(B1901="","",VLOOKUP(B1901,CadProd!$A:$B,2,0)),"")</f>
        <v/>
      </c>
      <c r="D1901" t="str">
        <f>IFERROR(IF(B1901="","",VLOOKUP(B1901,CadProd!$A:$C,3,0)),"")</f>
        <v/>
      </c>
      <c r="G1901" s="1" t="str">
        <f t="shared" si="29"/>
        <v/>
      </c>
    </row>
    <row r="1902" spans="3:7" x14ac:dyDescent="0.3">
      <c r="C1902" t="str">
        <f>IFERROR(IF(B1902="","",VLOOKUP(B1902,CadProd!$A:$B,2,0)),"")</f>
        <v/>
      </c>
      <c r="D1902" t="str">
        <f>IFERROR(IF(B1902="","",VLOOKUP(B1902,CadProd!$A:$C,3,0)),"")</f>
        <v/>
      </c>
      <c r="G1902" s="1" t="str">
        <f t="shared" si="29"/>
        <v/>
      </c>
    </row>
    <row r="1903" spans="3:7" x14ac:dyDescent="0.3">
      <c r="C1903" t="str">
        <f>IFERROR(IF(B1903="","",VLOOKUP(B1903,CadProd!$A:$B,2,0)),"")</f>
        <v/>
      </c>
      <c r="D1903" t="str">
        <f>IFERROR(IF(B1903="","",VLOOKUP(B1903,CadProd!$A:$C,3,0)),"")</f>
        <v/>
      </c>
      <c r="G1903" s="1" t="str">
        <f t="shared" si="29"/>
        <v/>
      </c>
    </row>
    <row r="1904" spans="3:7" x14ac:dyDescent="0.3">
      <c r="C1904" t="str">
        <f>IFERROR(IF(B1904="","",VLOOKUP(B1904,CadProd!$A:$B,2,0)),"")</f>
        <v/>
      </c>
      <c r="D1904" t="str">
        <f>IFERROR(IF(B1904="","",VLOOKUP(B1904,CadProd!$A:$C,3,0)),"")</f>
        <v/>
      </c>
      <c r="G1904" s="1" t="str">
        <f t="shared" si="29"/>
        <v/>
      </c>
    </row>
    <row r="1905" spans="3:7" x14ac:dyDescent="0.3">
      <c r="C1905" t="str">
        <f>IFERROR(IF(B1905="","",VLOOKUP(B1905,CadProd!$A:$B,2,0)),"")</f>
        <v/>
      </c>
      <c r="D1905" t="str">
        <f>IFERROR(IF(B1905="","",VLOOKUP(B1905,CadProd!$A:$C,3,0)),"")</f>
        <v/>
      </c>
      <c r="G1905" s="1" t="str">
        <f t="shared" si="29"/>
        <v/>
      </c>
    </row>
    <row r="1906" spans="3:7" x14ac:dyDescent="0.3">
      <c r="C1906" t="str">
        <f>IFERROR(IF(B1906="","",VLOOKUP(B1906,CadProd!$A:$B,2,0)),"")</f>
        <v/>
      </c>
      <c r="D1906" t="str">
        <f>IFERROR(IF(B1906="","",VLOOKUP(B1906,CadProd!$A:$C,3,0)),"")</f>
        <v/>
      </c>
      <c r="G1906" s="1" t="str">
        <f t="shared" si="29"/>
        <v/>
      </c>
    </row>
    <row r="1907" spans="3:7" x14ac:dyDescent="0.3">
      <c r="C1907" t="str">
        <f>IFERROR(IF(B1907="","",VLOOKUP(B1907,CadProd!$A:$B,2,0)),"")</f>
        <v/>
      </c>
      <c r="D1907" t="str">
        <f>IFERROR(IF(B1907="","",VLOOKUP(B1907,CadProd!$A:$C,3,0)),"")</f>
        <v/>
      </c>
      <c r="G1907" s="1" t="str">
        <f t="shared" si="29"/>
        <v/>
      </c>
    </row>
    <row r="1908" spans="3:7" x14ac:dyDescent="0.3">
      <c r="C1908" t="str">
        <f>IFERROR(IF(B1908="","",VLOOKUP(B1908,CadProd!$A:$B,2,0)),"")</f>
        <v/>
      </c>
      <c r="D1908" t="str">
        <f>IFERROR(IF(B1908="","",VLOOKUP(B1908,CadProd!$A:$C,3,0)),"")</f>
        <v/>
      </c>
      <c r="G1908" s="1" t="str">
        <f t="shared" si="29"/>
        <v/>
      </c>
    </row>
    <row r="1909" spans="3:7" x14ac:dyDescent="0.3">
      <c r="C1909" t="str">
        <f>IFERROR(IF(B1909="","",VLOOKUP(B1909,CadProd!$A:$B,2,0)),"")</f>
        <v/>
      </c>
      <c r="D1909" t="str">
        <f>IFERROR(IF(B1909="","",VLOOKUP(B1909,CadProd!$A:$C,3,0)),"")</f>
        <v/>
      </c>
      <c r="G1909" s="1" t="str">
        <f t="shared" si="29"/>
        <v/>
      </c>
    </row>
    <row r="1910" spans="3:7" x14ac:dyDescent="0.3">
      <c r="C1910" t="str">
        <f>IFERROR(IF(B1910="","",VLOOKUP(B1910,CadProd!$A:$B,2,0)),"")</f>
        <v/>
      </c>
      <c r="D1910" t="str">
        <f>IFERROR(IF(B1910="","",VLOOKUP(B1910,CadProd!$A:$C,3,0)),"")</f>
        <v/>
      </c>
      <c r="G1910" s="1" t="str">
        <f t="shared" si="29"/>
        <v/>
      </c>
    </row>
    <row r="1911" spans="3:7" x14ac:dyDescent="0.3">
      <c r="C1911" t="str">
        <f>IFERROR(IF(B1911="","",VLOOKUP(B1911,CadProd!$A:$B,2,0)),"")</f>
        <v/>
      </c>
      <c r="D1911" t="str">
        <f>IFERROR(IF(B1911="","",VLOOKUP(B1911,CadProd!$A:$C,3,0)),"")</f>
        <v/>
      </c>
      <c r="G1911" s="1" t="str">
        <f t="shared" si="29"/>
        <v/>
      </c>
    </row>
    <row r="1912" spans="3:7" x14ac:dyDescent="0.3">
      <c r="C1912" t="str">
        <f>IFERROR(IF(B1912="","",VLOOKUP(B1912,CadProd!$A:$B,2,0)),"")</f>
        <v/>
      </c>
      <c r="D1912" t="str">
        <f>IFERROR(IF(B1912="","",VLOOKUP(B1912,CadProd!$A:$C,3,0)),"")</f>
        <v/>
      </c>
      <c r="G1912" s="1" t="str">
        <f t="shared" si="29"/>
        <v/>
      </c>
    </row>
    <row r="1913" spans="3:7" x14ac:dyDescent="0.3">
      <c r="C1913" t="str">
        <f>IFERROR(IF(B1913="","",VLOOKUP(B1913,CadProd!$A:$B,2,0)),"")</f>
        <v/>
      </c>
      <c r="D1913" t="str">
        <f>IFERROR(IF(B1913="","",VLOOKUP(B1913,CadProd!$A:$C,3,0)),"")</f>
        <v/>
      </c>
      <c r="G1913" s="1" t="str">
        <f t="shared" si="29"/>
        <v/>
      </c>
    </row>
    <row r="1914" spans="3:7" x14ac:dyDescent="0.3">
      <c r="C1914" t="str">
        <f>IFERROR(IF(B1914="","",VLOOKUP(B1914,CadProd!$A:$B,2,0)),"")</f>
        <v/>
      </c>
      <c r="D1914" t="str">
        <f>IFERROR(IF(B1914="","",VLOOKUP(B1914,CadProd!$A:$C,3,0)),"")</f>
        <v/>
      </c>
      <c r="G1914" s="1" t="str">
        <f t="shared" si="29"/>
        <v/>
      </c>
    </row>
    <row r="1915" spans="3:7" x14ac:dyDescent="0.3">
      <c r="C1915" t="str">
        <f>IFERROR(IF(B1915="","",VLOOKUP(B1915,CadProd!$A:$B,2,0)),"")</f>
        <v/>
      </c>
      <c r="D1915" t="str">
        <f>IFERROR(IF(B1915="","",VLOOKUP(B1915,CadProd!$A:$C,3,0)),"")</f>
        <v/>
      </c>
      <c r="G1915" s="1" t="str">
        <f t="shared" si="29"/>
        <v/>
      </c>
    </row>
    <row r="1916" spans="3:7" x14ac:dyDescent="0.3">
      <c r="C1916" t="str">
        <f>IFERROR(IF(B1916="","",VLOOKUP(B1916,CadProd!$A:$B,2,0)),"")</f>
        <v/>
      </c>
      <c r="D1916" t="str">
        <f>IFERROR(IF(B1916="","",VLOOKUP(B1916,CadProd!$A:$C,3,0)),"")</f>
        <v/>
      </c>
      <c r="G1916" s="1" t="str">
        <f t="shared" si="29"/>
        <v/>
      </c>
    </row>
    <row r="1917" spans="3:7" x14ac:dyDescent="0.3">
      <c r="C1917" t="str">
        <f>IFERROR(IF(B1917="","",VLOOKUP(B1917,CadProd!$A:$B,2,0)),"")</f>
        <v/>
      </c>
      <c r="D1917" t="str">
        <f>IFERROR(IF(B1917="","",VLOOKUP(B1917,CadProd!$A:$C,3,0)),"")</f>
        <v/>
      </c>
      <c r="G1917" s="1" t="str">
        <f t="shared" si="29"/>
        <v/>
      </c>
    </row>
    <row r="1918" spans="3:7" x14ac:dyDescent="0.3">
      <c r="C1918" t="str">
        <f>IFERROR(IF(B1918="","",VLOOKUP(B1918,CadProd!$A:$B,2,0)),"")</f>
        <v/>
      </c>
      <c r="D1918" t="str">
        <f>IFERROR(IF(B1918="","",VLOOKUP(B1918,CadProd!$A:$C,3,0)),"")</f>
        <v/>
      </c>
      <c r="G1918" s="1" t="str">
        <f t="shared" si="29"/>
        <v/>
      </c>
    </row>
    <row r="1919" spans="3:7" x14ac:dyDescent="0.3">
      <c r="C1919" t="str">
        <f>IFERROR(IF(B1919="","",VLOOKUP(B1919,CadProd!$A:$B,2,0)),"")</f>
        <v/>
      </c>
      <c r="D1919" t="str">
        <f>IFERROR(IF(B1919="","",VLOOKUP(B1919,CadProd!$A:$C,3,0)),"")</f>
        <v/>
      </c>
      <c r="G1919" s="1" t="str">
        <f t="shared" si="29"/>
        <v/>
      </c>
    </row>
    <row r="1920" spans="3:7" x14ac:dyDescent="0.3">
      <c r="C1920" t="str">
        <f>IFERROR(IF(B1920="","",VLOOKUP(B1920,CadProd!$A:$B,2,0)),"")</f>
        <v/>
      </c>
      <c r="D1920" t="str">
        <f>IFERROR(IF(B1920="","",VLOOKUP(B1920,CadProd!$A:$C,3,0)),"")</f>
        <v/>
      </c>
      <c r="G1920" s="1" t="str">
        <f t="shared" si="29"/>
        <v/>
      </c>
    </row>
    <row r="1921" spans="3:7" x14ac:dyDescent="0.3">
      <c r="C1921" t="str">
        <f>IFERROR(IF(B1921="","",VLOOKUP(B1921,CadProd!$A:$B,2,0)),"")</f>
        <v/>
      </c>
      <c r="D1921" t="str">
        <f>IFERROR(IF(B1921="","",VLOOKUP(B1921,CadProd!$A:$C,3,0)),"")</f>
        <v/>
      </c>
      <c r="G1921" s="1" t="str">
        <f t="shared" si="29"/>
        <v/>
      </c>
    </row>
    <row r="1922" spans="3:7" x14ac:dyDescent="0.3">
      <c r="C1922" t="str">
        <f>IFERROR(IF(B1922="","",VLOOKUP(B1922,CadProd!$A:$B,2,0)),"")</f>
        <v/>
      </c>
      <c r="D1922" t="str">
        <f>IFERROR(IF(B1922="","",VLOOKUP(B1922,CadProd!$A:$C,3,0)),"")</f>
        <v/>
      </c>
      <c r="G1922" s="1" t="str">
        <f t="shared" ref="G1922:G1985" si="30">IFERROR(IF(B1922="","",F1922*E1922),"")</f>
        <v/>
      </c>
    </row>
    <row r="1923" spans="3:7" x14ac:dyDescent="0.3">
      <c r="C1923" t="str">
        <f>IFERROR(IF(B1923="","",VLOOKUP(B1923,CadProd!$A:$B,2,0)),"")</f>
        <v/>
      </c>
      <c r="D1923" t="str">
        <f>IFERROR(IF(B1923="","",VLOOKUP(B1923,CadProd!$A:$C,3,0)),"")</f>
        <v/>
      </c>
      <c r="G1923" s="1" t="str">
        <f t="shared" si="30"/>
        <v/>
      </c>
    </row>
    <row r="1924" spans="3:7" x14ac:dyDescent="0.3">
      <c r="C1924" t="str">
        <f>IFERROR(IF(B1924="","",VLOOKUP(B1924,CadProd!$A:$B,2,0)),"")</f>
        <v/>
      </c>
      <c r="D1924" t="str">
        <f>IFERROR(IF(B1924="","",VLOOKUP(B1924,CadProd!$A:$C,3,0)),"")</f>
        <v/>
      </c>
      <c r="G1924" s="1" t="str">
        <f t="shared" si="30"/>
        <v/>
      </c>
    </row>
    <row r="1925" spans="3:7" x14ac:dyDescent="0.3">
      <c r="C1925" t="str">
        <f>IFERROR(IF(B1925="","",VLOOKUP(B1925,CadProd!$A:$B,2,0)),"")</f>
        <v/>
      </c>
      <c r="D1925" t="str">
        <f>IFERROR(IF(B1925="","",VLOOKUP(B1925,CadProd!$A:$C,3,0)),"")</f>
        <v/>
      </c>
      <c r="G1925" s="1" t="str">
        <f t="shared" si="30"/>
        <v/>
      </c>
    </row>
    <row r="1926" spans="3:7" x14ac:dyDescent="0.3">
      <c r="C1926" t="str">
        <f>IFERROR(IF(B1926="","",VLOOKUP(B1926,CadProd!$A:$B,2,0)),"")</f>
        <v/>
      </c>
      <c r="D1926" t="str">
        <f>IFERROR(IF(B1926="","",VLOOKUP(B1926,CadProd!$A:$C,3,0)),"")</f>
        <v/>
      </c>
      <c r="G1926" s="1" t="str">
        <f t="shared" si="30"/>
        <v/>
      </c>
    </row>
    <row r="1927" spans="3:7" x14ac:dyDescent="0.3">
      <c r="C1927" t="str">
        <f>IFERROR(IF(B1927="","",VLOOKUP(B1927,CadProd!$A:$B,2,0)),"")</f>
        <v/>
      </c>
      <c r="D1927" t="str">
        <f>IFERROR(IF(B1927="","",VLOOKUP(B1927,CadProd!$A:$C,3,0)),"")</f>
        <v/>
      </c>
      <c r="G1927" s="1" t="str">
        <f t="shared" si="30"/>
        <v/>
      </c>
    </row>
    <row r="1928" spans="3:7" x14ac:dyDescent="0.3">
      <c r="C1928" t="str">
        <f>IFERROR(IF(B1928="","",VLOOKUP(B1928,CadProd!$A:$B,2,0)),"")</f>
        <v/>
      </c>
      <c r="D1928" t="str">
        <f>IFERROR(IF(B1928="","",VLOOKUP(B1928,CadProd!$A:$C,3,0)),"")</f>
        <v/>
      </c>
      <c r="G1928" s="1" t="str">
        <f t="shared" si="30"/>
        <v/>
      </c>
    </row>
    <row r="1929" spans="3:7" x14ac:dyDescent="0.3">
      <c r="C1929" t="str">
        <f>IFERROR(IF(B1929="","",VLOOKUP(B1929,CadProd!$A:$B,2,0)),"")</f>
        <v/>
      </c>
      <c r="D1929" t="str">
        <f>IFERROR(IF(B1929="","",VLOOKUP(B1929,CadProd!$A:$C,3,0)),"")</f>
        <v/>
      </c>
      <c r="G1929" s="1" t="str">
        <f t="shared" si="30"/>
        <v/>
      </c>
    </row>
    <row r="1930" spans="3:7" x14ac:dyDescent="0.3">
      <c r="C1930" t="str">
        <f>IFERROR(IF(B1930="","",VLOOKUP(B1930,CadProd!$A:$B,2,0)),"")</f>
        <v/>
      </c>
      <c r="D1930" t="str">
        <f>IFERROR(IF(B1930="","",VLOOKUP(B1930,CadProd!$A:$C,3,0)),"")</f>
        <v/>
      </c>
      <c r="G1930" s="1" t="str">
        <f t="shared" si="30"/>
        <v/>
      </c>
    </row>
    <row r="1931" spans="3:7" x14ac:dyDescent="0.3">
      <c r="C1931" t="str">
        <f>IFERROR(IF(B1931="","",VLOOKUP(B1931,CadProd!$A:$B,2,0)),"")</f>
        <v/>
      </c>
      <c r="D1931" t="str">
        <f>IFERROR(IF(B1931="","",VLOOKUP(B1931,CadProd!$A:$C,3,0)),"")</f>
        <v/>
      </c>
      <c r="G1931" s="1" t="str">
        <f t="shared" si="30"/>
        <v/>
      </c>
    </row>
    <row r="1932" spans="3:7" x14ac:dyDescent="0.3">
      <c r="C1932" t="str">
        <f>IFERROR(IF(B1932="","",VLOOKUP(B1932,CadProd!$A:$B,2,0)),"")</f>
        <v/>
      </c>
      <c r="D1932" t="str">
        <f>IFERROR(IF(B1932="","",VLOOKUP(B1932,CadProd!$A:$C,3,0)),"")</f>
        <v/>
      </c>
      <c r="G1932" s="1" t="str">
        <f t="shared" si="30"/>
        <v/>
      </c>
    </row>
    <row r="1933" spans="3:7" x14ac:dyDescent="0.3">
      <c r="C1933" t="str">
        <f>IFERROR(IF(B1933="","",VLOOKUP(B1933,CadProd!$A:$B,2,0)),"")</f>
        <v/>
      </c>
      <c r="D1933" t="str">
        <f>IFERROR(IF(B1933="","",VLOOKUP(B1933,CadProd!$A:$C,3,0)),"")</f>
        <v/>
      </c>
      <c r="G1933" s="1" t="str">
        <f t="shared" si="30"/>
        <v/>
      </c>
    </row>
    <row r="1934" spans="3:7" x14ac:dyDescent="0.3">
      <c r="C1934" t="str">
        <f>IFERROR(IF(B1934="","",VLOOKUP(B1934,CadProd!$A:$B,2,0)),"")</f>
        <v/>
      </c>
      <c r="D1934" t="str">
        <f>IFERROR(IF(B1934="","",VLOOKUP(B1934,CadProd!$A:$C,3,0)),"")</f>
        <v/>
      </c>
      <c r="G1934" s="1" t="str">
        <f t="shared" si="30"/>
        <v/>
      </c>
    </row>
    <row r="1935" spans="3:7" x14ac:dyDescent="0.3">
      <c r="C1935" t="str">
        <f>IFERROR(IF(B1935="","",VLOOKUP(B1935,CadProd!$A:$B,2,0)),"")</f>
        <v/>
      </c>
      <c r="D1935" t="str">
        <f>IFERROR(IF(B1935="","",VLOOKUP(B1935,CadProd!$A:$C,3,0)),"")</f>
        <v/>
      </c>
      <c r="G1935" s="1" t="str">
        <f t="shared" si="30"/>
        <v/>
      </c>
    </row>
    <row r="1936" spans="3:7" x14ac:dyDescent="0.3">
      <c r="C1936" t="str">
        <f>IFERROR(IF(B1936="","",VLOOKUP(B1936,CadProd!$A:$B,2,0)),"")</f>
        <v/>
      </c>
      <c r="D1936" t="str">
        <f>IFERROR(IF(B1936="","",VLOOKUP(B1936,CadProd!$A:$C,3,0)),"")</f>
        <v/>
      </c>
      <c r="G1936" s="1" t="str">
        <f t="shared" si="30"/>
        <v/>
      </c>
    </row>
    <row r="1937" spans="3:7" x14ac:dyDescent="0.3">
      <c r="C1937" t="str">
        <f>IFERROR(IF(B1937="","",VLOOKUP(B1937,CadProd!$A:$B,2,0)),"")</f>
        <v/>
      </c>
      <c r="D1937" t="str">
        <f>IFERROR(IF(B1937="","",VLOOKUP(B1937,CadProd!$A:$C,3,0)),"")</f>
        <v/>
      </c>
      <c r="G1937" s="1" t="str">
        <f t="shared" si="30"/>
        <v/>
      </c>
    </row>
    <row r="1938" spans="3:7" x14ac:dyDescent="0.3">
      <c r="C1938" t="str">
        <f>IFERROR(IF(B1938="","",VLOOKUP(B1938,CadProd!$A:$B,2,0)),"")</f>
        <v/>
      </c>
      <c r="D1938" t="str">
        <f>IFERROR(IF(B1938="","",VLOOKUP(B1938,CadProd!$A:$C,3,0)),"")</f>
        <v/>
      </c>
      <c r="G1938" s="1" t="str">
        <f t="shared" si="30"/>
        <v/>
      </c>
    </row>
    <row r="1939" spans="3:7" x14ac:dyDescent="0.3">
      <c r="C1939" t="str">
        <f>IFERROR(IF(B1939="","",VLOOKUP(B1939,CadProd!$A:$B,2,0)),"")</f>
        <v/>
      </c>
      <c r="D1939" t="str">
        <f>IFERROR(IF(B1939="","",VLOOKUP(B1939,CadProd!$A:$C,3,0)),"")</f>
        <v/>
      </c>
      <c r="G1939" s="1" t="str">
        <f t="shared" si="30"/>
        <v/>
      </c>
    </row>
    <row r="1940" spans="3:7" x14ac:dyDescent="0.3">
      <c r="C1940" t="str">
        <f>IFERROR(IF(B1940="","",VLOOKUP(B1940,CadProd!$A:$B,2,0)),"")</f>
        <v/>
      </c>
      <c r="D1940" t="str">
        <f>IFERROR(IF(B1940="","",VLOOKUP(B1940,CadProd!$A:$C,3,0)),"")</f>
        <v/>
      </c>
      <c r="G1940" s="1" t="str">
        <f t="shared" si="30"/>
        <v/>
      </c>
    </row>
    <row r="1941" spans="3:7" x14ac:dyDescent="0.3">
      <c r="C1941" t="str">
        <f>IFERROR(IF(B1941="","",VLOOKUP(B1941,CadProd!$A:$B,2,0)),"")</f>
        <v/>
      </c>
      <c r="D1941" t="str">
        <f>IFERROR(IF(B1941="","",VLOOKUP(B1941,CadProd!$A:$C,3,0)),"")</f>
        <v/>
      </c>
      <c r="G1941" s="1" t="str">
        <f t="shared" si="30"/>
        <v/>
      </c>
    </row>
    <row r="1942" spans="3:7" x14ac:dyDescent="0.3">
      <c r="C1942" t="str">
        <f>IFERROR(IF(B1942="","",VLOOKUP(B1942,CadProd!$A:$B,2,0)),"")</f>
        <v/>
      </c>
      <c r="D1942" t="str">
        <f>IFERROR(IF(B1942="","",VLOOKUP(B1942,CadProd!$A:$C,3,0)),"")</f>
        <v/>
      </c>
      <c r="G1942" s="1" t="str">
        <f t="shared" si="30"/>
        <v/>
      </c>
    </row>
    <row r="1943" spans="3:7" x14ac:dyDescent="0.3">
      <c r="C1943" t="str">
        <f>IFERROR(IF(B1943="","",VLOOKUP(B1943,CadProd!$A:$B,2,0)),"")</f>
        <v/>
      </c>
      <c r="D1943" t="str">
        <f>IFERROR(IF(B1943="","",VLOOKUP(B1943,CadProd!$A:$C,3,0)),"")</f>
        <v/>
      </c>
      <c r="G1943" s="1" t="str">
        <f t="shared" si="30"/>
        <v/>
      </c>
    </row>
    <row r="1944" spans="3:7" x14ac:dyDescent="0.3">
      <c r="C1944" t="str">
        <f>IFERROR(IF(B1944="","",VLOOKUP(B1944,CadProd!$A:$B,2,0)),"")</f>
        <v/>
      </c>
      <c r="D1944" t="str">
        <f>IFERROR(IF(B1944="","",VLOOKUP(B1944,CadProd!$A:$C,3,0)),"")</f>
        <v/>
      </c>
      <c r="G1944" s="1" t="str">
        <f t="shared" si="30"/>
        <v/>
      </c>
    </row>
    <row r="1945" spans="3:7" x14ac:dyDescent="0.3">
      <c r="C1945" t="str">
        <f>IFERROR(IF(B1945="","",VLOOKUP(B1945,CadProd!$A:$B,2,0)),"")</f>
        <v/>
      </c>
      <c r="D1945" t="str">
        <f>IFERROR(IF(B1945="","",VLOOKUP(B1945,CadProd!$A:$C,3,0)),"")</f>
        <v/>
      </c>
      <c r="G1945" s="1" t="str">
        <f t="shared" si="30"/>
        <v/>
      </c>
    </row>
    <row r="1946" spans="3:7" x14ac:dyDescent="0.3">
      <c r="C1946" t="str">
        <f>IFERROR(IF(B1946="","",VLOOKUP(B1946,CadProd!$A:$B,2,0)),"")</f>
        <v/>
      </c>
      <c r="D1946" t="str">
        <f>IFERROR(IF(B1946="","",VLOOKUP(B1946,CadProd!$A:$C,3,0)),"")</f>
        <v/>
      </c>
      <c r="G1946" s="1" t="str">
        <f t="shared" si="30"/>
        <v/>
      </c>
    </row>
    <row r="1947" spans="3:7" x14ac:dyDescent="0.3">
      <c r="C1947" t="str">
        <f>IFERROR(IF(B1947="","",VLOOKUP(B1947,CadProd!$A:$B,2,0)),"")</f>
        <v/>
      </c>
      <c r="D1947" t="str">
        <f>IFERROR(IF(B1947="","",VLOOKUP(B1947,CadProd!$A:$C,3,0)),"")</f>
        <v/>
      </c>
      <c r="G1947" s="1" t="str">
        <f t="shared" si="30"/>
        <v/>
      </c>
    </row>
    <row r="1948" spans="3:7" x14ac:dyDescent="0.3">
      <c r="C1948" t="str">
        <f>IFERROR(IF(B1948="","",VLOOKUP(B1948,CadProd!$A:$B,2,0)),"")</f>
        <v/>
      </c>
      <c r="D1948" t="str">
        <f>IFERROR(IF(B1948="","",VLOOKUP(B1948,CadProd!$A:$C,3,0)),"")</f>
        <v/>
      </c>
      <c r="G1948" s="1" t="str">
        <f t="shared" si="30"/>
        <v/>
      </c>
    </row>
    <row r="1949" spans="3:7" x14ac:dyDescent="0.3">
      <c r="C1949" t="str">
        <f>IFERROR(IF(B1949="","",VLOOKUP(B1949,CadProd!$A:$B,2,0)),"")</f>
        <v/>
      </c>
      <c r="D1949" t="str">
        <f>IFERROR(IF(B1949="","",VLOOKUP(B1949,CadProd!$A:$C,3,0)),"")</f>
        <v/>
      </c>
      <c r="G1949" s="1" t="str">
        <f t="shared" si="30"/>
        <v/>
      </c>
    </row>
    <row r="1950" spans="3:7" x14ac:dyDescent="0.3">
      <c r="C1950" t="str">
        <f>IFERROR(IF(B1950="","",VLOOKUP(B1950,CadProd!$A:$B,2,0)),"")</f>
        <v/>
      </c>
      <c r="D1950" t="str">
        <f>IFERROR(IF(B1950="","",VLOOKUP(B1950,CadProd!$A:$C,3,0)),"")</f>
        <v/>
      </c>
      <c r="G1950" s="1" t="str">
        <f t="shared" si="30"/>
        <v/>
      </c>
    </row>
    <row r="1951" spans="3:7" x14ac:dyDescent="0.3">
      <c r="C1951" t="str">
        <f>IFERROR(IF(B1951="","",VLOOKUP(B1951,CadProd!$A:$B,2,0)),"")</f>
        <v/>
      </c>
      <c r="D1951" t="str">
        <f>IFERROR(IF(B1951="","",VLOOKUP(B1951,CadProd!$A:$C,3,0)),"")</f>
        <v/>
      </c>
      <c r="G1951" s="1" t="str">
        <f t="shared" si="30"/>
        <v/>
      </c>
    </row>
    <row r="1952" spans="3:7" x14ac:dyDescent="0.3">
      <c r="C1952" t="str">
        <f>IFERROR(IF(B1952="","",VLOOKUP(B1952,CadProd!$A:$B,2,0)),"")</f>
        <v/>
      </c>
      <c r="D1952" t="str">
        <f>IFERROR(IF(B1952="","",VLOOKUP(B1952,CadProd!$A:$C,3,0)),"")</f>
        <v/>
      </c>
      <c r="G1952" s="1" t="str">
        <f t="shared" si="30"/>
        <v/>
      </c>
    </row>
    <row r="1953" spans="3:7" x14ac:dyDescent="0.3">
      <c r="C1953" t="str">
        <f>IFERROR(IF(B1953="","",VLOOKUP(B1953,CadProd!$A:$B,2,0)),"")</f>
        <v/>
      </c>
      <c r="D1953" t="str">
        <f>IFERROR(IF(B1953="","",VLOOKUP(B1953,CadProd!$A:$C,3,0)),"")</f>
        <v/>
      </c>
      <c r="G1953" s="1" t="str">
        <f t="shared" si="30"/>
        <v/>
      </c>
    </row>
    <row r="1954" spans="3:7" x14ac:dyDescent="0.3">
      <c r="C1954" t="str">
        <f>IFERROR(IF(B1954="","",VLOOKUP(B1954,CadProd!$A:$B,2,0)),"")</f>
        <v/>
      </c>
      <c r="D1954" t="str">
        <f>IFERROR(IF(B1954="","",VLOOKUP(B1954,CadProd!$A:$C,3,0)),"")</f>
        <v/>
      </c>
      <c r="G1954" s="1" t="str">
        <f t="shared" si="30"/>
        <v/>
      </c>
    </row>
    <row r="1955" spans="3:7" x14ac:dyDescent="0.3">
      <c r="C1955" t="str">
        <f>IFERROR(IF(B1955="","",VLOOKUP(B1955,CadProd!$A:$B,2,0)),"")</f>
        <v/>
      </c>
      <c r="D1955" t="str">
        <f>IFERROR(IF(B1955="","",VLOOKUP(B1955,CadProd!$A:$C,3,0)),"")</f>
        <v/>
      </c>
      <c r="G1955" s="1" t="str">
        <f t="shared" si="30"/>
        <v/>
      </c>
    </row>
    <row r="1956" spans="3:7" x14ac:dyDescent="0.3">
      <c r="C1956" t="str">
        <f>IFERROR(IF(B1956="","",VLOOKUP(B1956,CadProd!$A:$B,2,0)),"")</f>
        <v/>
      </c>
      <c r="D1956" t="str">
        <f>IFERROR(IF(B1956="","",VLOOKUP(B1956,CadProd!$A:$C,3,0)),"")</f>
        <v/>
      </c>
      <c r="G1956" s="1" t="str">
        <f t="shared" si="30"/>
        <v/>
      </c>
    </row>
    <row r="1957" spans="3:7" x14ac:dyDescent="0.3">
      <c r="C1957" t="str">
        <f>IFERROR(IF(B1957="","",VLOOKUP(B1957,CadProd!$A:$B,2,0)),"")</f>
        <v/>
      </c>
      <c r="D1957" t="str">
        <f>IFERROR(IF(B1957="","",VLOOKUP(B1957,CadProd!$A:$C,3,0)),"")</f>
        <v/>
      </c>
      <c r="G1957" s="1" t="str">
        <f t="shared" si="30"/>
        <v/>
      </c>
    </row>
    <row r="1958" spans="3:7" x14ac:dyDescent="0.3">
      <c r="C1958" t="str">
        <f>IFERROR(IF(B1958="","",VLOOKUP(B1958,CadProd!$A:$B,2,0)),"")</f>
        <v/>
      </c>
      <c r="D1958" t="str">
        <f>IFERROR(IF(B1958="","",VLOOKUP(B1958,CadProd!$A:$C,3,0)),"")</f>
        <v/>
      </c>
      <c r="G1958" s="1" t="str">
        <f t="shared" si="30"/>
        <v/>
      </c>
    </row>
    <row r="1959" spans="3:7" x14ac:dyDescent="0.3">
      <c r="C1959" t="str">
        <f>IFERROR(IF(B1959="","",VLOOKUP(B1959,CadProd!$A:$B,2,0)),"")</f>
        <v/>
      </c>
      <c r="D1959" t="str">
        <f>IFERROR(IF(B1959="","",VLOOKUP(B1959,CadProd!$A:$C,3,0)),"")</f>
        <v/>
      </c>
      <c r="G1959" s="1" t="str">
        <f t="shared" si="30"/>
        <v/>
      </c>
    </row>
    <row r="1960" spans="3:7" x14ac:dyDescent="0.3">
      <c r="C1960" t="str">
        <f>IFERROR(IF(B1960="","",VLOOKUP(B1960,CadProd!$A:$B,2,0)),"")</f>
        <v/>
      </c>
      <c r="D1960" t="str">
        <f>IFERROR(IF(B1960="","",VLOOKUP(B1960,CadProd!$A:$C,3,0)),"")</f>
        <v/>
      </c>
      <c r="G1960" s="1" t="str">
        <f t="shared" si="30"/>
        <v/>
      </c>
    </row>
    <row r="1961" spans="3:7" x14ac:dyDescent="0.3">
      <c r="C1961" t="str">
        <f>IFERROR(IF(B1961="","",VLOOKUP(B1961,CadProd!$A:$B,2,0)),"")</f>
        <v/>
      </c>
      <c r="D1961" t="str">
        <f>IFERROR(IF(B1961="","",VLOOKUP(B1961,CadProd!$A:$C,3,0)),"")</f>
        <v/>
      </c>
      <c r="G1961" s="1" t="str">
        <f t="shared" si="30"/>
        <v/>
      </c>
    </row>
    <row r="1962" spans="3:7" x14ac:dyDescent="0.3">
      <c r="C1962" t="str">
        <f>IFERROR(IF(B1962="","",VLOOKUP(B1962,CadProd!$A:$B,2,0)),"")</f>
        <v/>
      </c>
      <c r="D1962" t="str">
        <f>IFERROR(IF(B1962="","",VLOOKUP(B1962,CadProd!$A:$C,3,0)),"")</f>
        <v/>
      </c>
      <c r="G1962" s="1" t="str">
        <f t="shared" si="30"/>
        <v/>
      </c>
    </row>
    <row r="1963" spans="3:7" x14ac:dyDescent="0.3">
      <c r="C1963" t="str">
        <f>IFERROR(IF(B1963="","",VLOOKUP(B1963,CadProd!$A:$B,2,0)),"")</f>
        <v/>
      </c>
      <c r="D1963" t="str">
        <f>IFERROR(IF(B1963="","",VLOOKUP(B1963,CadProd!$A:$C,3,0)),"")</f>
        <v/>
      </c>
      <c r="G1963" s="1" t="str">
        <f t="shared" si="30"/>
        <v/>
      </c>
    </row>
    <row r="1964" spans="3:7" x14ac:dyDescent="0.3">
      <c r="C1964" t="str">
        <f>IFERROR(IF(B1964="","",VLOOKUP(B1964,CadProd!$A:$B,2,0)),"")</f>
        <v/>
      </c>
      <c r="D1964" t="str">
        <f>IFERROR(IF(B1964="","",VLOOKUP(B1964,CadProd!$A:$C,3,0)),"")</f>
        <v/>
      </c>
      <c r="G1964" s="1" t="str">
        <f t="shared" si="30"/>
        <v/>
      </c>
    </row>
    <row r="1965" spans="3:7" x14ac:dyDescent="0.3">
      <c r="C1965" t="str">
        <f>IFERROR(IF(B1965="","",VLOOKUP(B1965,CadProd!$A:$B,2,0)),"")</f>
        <v/>
      </c>
      <c r="D1965" t="str">
        <f>IFERROR(IF(B1965="","",VLOOKUP(B1965,CadProd!$A:$C,3,0)),"")</f>
        <v/>
      </c>
      <c r="G1965" s="1" t="str">
        <f t="shared" si="30"/>
        <v/>
      </c>
    </row>
    <row r="1966" spans="3:7" x14ac:dyDescent="0.3">
      <c r="C1966" t="str">
        <f>IFERROR(IF(B1966="","",VLOOKUP(B1966,CadProd!$A:$B,2,0)),"")</f>
        <v/>
      </c>
      <c r="D1966" t="str">
        <f>IFERROR(IF(B1966="","",VLOOKUP(B1966,CadProd!$A:$C,3,0)),"")</f>
        <v/>
      </c>
      <c r="G1966" s="1" t="str">
        <f t="shared" si="30"/>
        <v/>
      </c>
    </row>
    <row r="1967" spans="3:7" x14ac:dyDescent="0.3">
      <c r="C1967" t="str">
        <f>IFERROR(IF(B1967="","",VLOOKUP(B1967,CadProd!$A:$B,2,0)),"")</f>
        <v/>
      </c>
      <c r="D1967" t="str">
        <f>IFERROR(IF(B1967="","",VLOOKUP(B1967,CadProd!$A:$C,3,0)),"")</f>
        <v/>
      </c>
      <c r="G1967" s="1" t="str">
        <f t="shared" si="30"/>
        <v/>
      </c>
    </row>
    <row r="1968" spans="3:7" x14ac:dyDescent="0.3">
      <c r="C1968" t="str">
        <f>IFERROR(IF(B1968="","",VLOOKUP(B1968,CadProd!$A:$B,2,0)),"")</f>
        <v/>
      </c>
      <c r="D1968" t="str">
        <f>IFERROR(IF(B1968="","",VLOOKUP(B1968,CadProd!$A:$C,3,0)),"")</f>
        <v/>
      </c>
      <c r="G1968" s="1" t="str">
        <f t="shared" si="30"/>
        <v/>
      </c>
    </row>
    <row r="1969" spans="3:7" x14ac:dyDescent="0.3">
      <c r="C1969" t="str">
        <f>IFERROR(IF(B1969="","",VLOOKUP(B1969,CadProd!$A:$B,2,0)),"")</f>
        <v/>
      </c>
      <c r="D1969" t="str">
        <f>IFERROR(IF(B1969="","",VLOOKUP(B1969,CadProd!$A:$C,3,0)),"")</f>
        <v/>
      </c>
      <c r="G1969" s="1" t="str">
        <f t="shared" si="30"/>
        <v/>
      </c>
    </row>
    <row r="1970" spans="3:7" x14ac:dyDescent="0.3">
      <c r="C1970" t="str">
        <f>IFERROR(IF(B1970="","",VLOOKUP(B1970,CadProd!$A:$B,2,0)),"")</f>
        <v/>
      </c>
      <c r="D1970" t="str">
        <f>IFERROR(IF(B1970="","",VLOOKUP(B1970,CadProd!$A:$C,3,0)),"")</f>
        <v/>
      </c>
      <c r="G1970" s="1" t="str">
        <f t="shared" si="30"/>
        <v/>
      </c>
    </row>
    <row r="1971" spans="3:7" x14ac:dyDescent="0.3">
      <c r="C1971" t="str">
        <f>IFERROR(IF(B1971="","",VLOOKUP(B1971,CadProd!$A:$B,2,0)),"")</f>
        <v/>
      </c>
      <c r="D1971" t="str">
        <f>IFERROR(IF(B1971="","",VLOOKUP(B1971,CadProd!$A:$C,3,0)),"")</f>
        <v/>
      </c>
      <c r="G1971" s="1" t="str">
        <f t="shared" si="30"/>
        <v/>
      </c>
    </row>
    <row r="1972" spans="3:7" x14ac:dyDescent="0.3">
      <c r="C1972" t="str">
        <f>IFERROR(IF(B1972="","",VLOOKUP(B1972,CadProd!$A:$B,2,0)),"")</f>
        <v/>
      </c>
      <c r="D1972" t="str">
        <f>IFERROR(IF(B1972="","",VLOOKUP(B1972,CadProd!$A:$C,3,0)),"")</f>
        <v/>
      </c>
      <c r="G1972" s="1" t="str">
        <f t="shared" si="30"/>
        <v/>
      </c>
    </row>
    <row r="1973" spans="3:7" x14ac:dyDescent="0.3">
      <c r="C1973" t="str">
        <f>IFERROR(IF(B1973="","",VLOOKUP(B1973,CadProd!$A:$B,2,0)),"")</f>
        <v/>
      </c>
      <c r="D1973" t="str">
        <f>IFERROR(IF(B1973="","",VLOOKUP(B1973,CadProd!$A:$C,3,0)),"")</f>
        <v/>
      </c>
      <c r="G1973" s="1" t="str">
        <f t="shared" si="30"/>
        <v/>
      </c>
    </row>
    <row r="1974" spans="3:7" x14ac:dyDescent="0.3">
      <c r="C1974" t="str">
        <f>IFERROR(IF(B1974="","",VLOOKUP(B1974,CadProd!$A:$B,2,0)),"")</f>
        <v/>
      </c>
      <c r="D1974" t="str">
        <f>IFERROR(IF(B1974="","",VLOOKUP(B1974,CadProd!$A:$C,3,0)),"")</f>
        <v/>
      </c>
      <c r="G1974" s="1" t="str">
        <f t="shared" si="30"/>
        <v/>
      </c>
    </row>
    <row r="1975" spans="3:7" x14ac:dyDescent="0.3">
      <c r="C1975" t="str">
        <f>IFERROR(IF(B1975="","",VLOOKUP(B1975,CadProd!$A:$B,2,0)),"")</f>
        <v/>
      </c>
      <c r="D1975" t="str">
        <f>IFERROR(IF(B1975="","",VLOOKUP(B1975,CadProd!$A:$C,3,0)),"")</f>
        <v/>
      </c>
      <c r="G1975" s="1" t="str">
        <f t="shared" si="30"/>
        <v/>
      </c>
    </row>
    <row r="1976" spans="3:7" x14ac:dyDescent="0.3">
      <c r="C1976" t="str">
        <f>IFERROR(IF(B1976="","",VLOOKUP(B1976,CadProd!$A:$B,2,0)),"")</f>
        <v/>
      </c>
      <c r="D1976" t="str">
        <f>IFERROR(IF(B1976="","",VLOOKUP(B1976,CadProd!$A:$C,3,0)),"")</f>
        <v/>
      </c>
      <c r="G1976" s="1" t="str">
        <f t="shared" si="30"/>
        <v/>
      </c>
    </row>
    <row r="1977" spans="3:7" x14ac:dyDescent="0.3">
      <c r="C1977" t="str">
        <f>IFERROR(IF(B1977="","",VLOOKUP(B1977,CadProd!$A:$B,2,0)),"")</f>
        <v/>
      </c>
      <c r="D1977" t="str">
        <f>IFERROR(IF(B1977="","",VLOOKUP(B1977,CadProd!$A:$C,3,0)),"")</f>
        <v/>
      </c>
      <c r="G1977" s="1" t="str">
        <f t="shared" si="30"/>
        <v/>
      </c>
    </row>
    <row r="1978" spans="3:7" x14ac:dyDescent="0.3">
      <c r="C1978" t="str">
        <f>IFERROR(IF(B1978="","",VLOOKUP(B1978,CadProd!$A:$B,2,0)),"")</f>
        <v/>
      </c>
      <c r="D1978" t="str">
        <f>IFERROR(IF(B1978="","",VLOOKUP(B1978,CadProd!$A:$C,3,0)),"")</f>
        <v/>
      </c>
      <c r="G1978" s="1" t="str">
        <f t="shared" si="30"/>
        <v/>
      </c>
    </row>
    <row r="1979" spans="3:7" x14ac:dyDescent="0.3">
      <c r="C1979" t="str">
        <f>IFERROR(IF(B1979="","",VLOOKUP(B1979,CadProd!$A:$B,2,0)),"")</f>
        <v/>
      </c>
      <c r="D1979" t="str">
        <f>IFERROR(IF(B1979="","",VLOOKUP(B1979,CadProd!$A:$C,3,0)),"")</f>
        <v/>
      </c>
      <c r="G1979" s="1" t="str">
        <f t="shared" si="30"/>
        <v/>
      </c>
    </row>
    <row r="1980" spans="3:7" x14ac:dyDescent="0.3">
      <c r="C1980" t="str">
        <f>IFERROR(IF(B1980="","",VLOOKUP(B1980,CadProd!$A:$B,2,0)),"")</f>
        <v/>
      </c>
      <c r="D1980" t="str">
        <f>IFERROR(IF(B1980="","",VLOOKUP(B1980,CadProd!$A:$C,3,0)),"")</f>
        <v/>
      </c>
      <c r="G1980" s="1" t="str">
        <f t="shared" si="30"/>
        <v/>
      </c>
    </row>
    <row r="1981" spans="3:7" x14ac:dyDescent="0.3">
      <c r="C1981" t="str">
        <f>IFERROR(IF(B1981="","",VLOOKUP(B1981,CadProd!$A:$B,2,0)),"")</f>
        <v/>
      </c>
      <c r="D1981" t="str">
        <f>IFERROR(IF(B1981="","",VLOOKUP(B1981,CadProd!$A:$C,3,0)),"")</f>
        <v/>
      </c>
      <c r="G1981" s="1" t="str">
        <f t="shared" si="30"/>
        <v/>
      </c>
    </row>
    <row r="1982" spans="3:7" x14ac:dyDescent="0.3">
      <c r="C1982" t="str">
        <f>IFERROR(IF(B1982="","",VLOOKUP(B1982,CadProd!$A:$B,2,0)),"")</f>
        <v/>
      </c>
      <c r="D1982" t="str">
        <f>IFERROR(IF(B1982="","",VLOOKUP(B1982,CadProd!$A:$C,3,0)),"")</f>
        <v/>
      </c>
      <c r="G1982" s="1" t="str">
        <f t="shared" si="30"/>
        <v/>
      </c>
    </row>
    <row r="1983" spans="3:7" x14ac:dyDescent="0.3">
      <c r="C1983" t="str">
        <f>IFERROR(IF(B1983="","",VLOOKUP(B1983,CadProd!$A:$B,2,0)),"")</f>
        <v/>
      </c>
      <c r="D1983" t="str">
        <f>IFERROR(IF(B1983="","",VLOOKUP(B1983,CadProd!$A:$C,3,0)),"")</f>
        <v/>
      </c>
      <c r="G1983" s="1" t="str">
        <f t="shared" si="30"/>
        <v/>
      </c>
    </row>
    <row r="1984" spans="3:7" x14ac:dyDescent="0.3">
      <c r="C1984" t="str">
        <f>IFERROR(IF(B1984="","",VLOOKUP(B1984,CadProd!$A:$B,2,0)),"")</f>
        <v/>
      </c>
      <c r="D1984" t="str">
        <f>IFERROR(IF(B1984="","",VLOOKUP(B1984,CadProd!$A:$C,3,0)),"")</f>
        <v/>
      </c>
      <c r="G1984" s="1" t="str">
        <f t="shared" si="30"/>
        <v/>
      </c>
    </row>
    <row r="1985" spans="3:7" x14ac:dyDescent="0.3">
      <c r="C1985" t="str">
        <f>IFERROR(IF(B1985="","",VLOOKUP(B1985,CadProd!$A:$B,2,0)),"")</f>
        <v/>
      </c>
      <c r="D1985" t="str">
        <f>IFERROR(IF(B1985="","",VLOOKUP(B1985,CadProd!$A:$C,3,0)),"")</f>
        <v/>
      </c>
      <c r="G1985" s="1" t="str">
        <f t="shared" si="30"/>
        <v/>
      </c>
    </row>
    <row r="1986" spans="3:7" x14ac:dyDescent="0.3">
      <c r="C1986" t="str">
        <f>IFERROR(IF(B1986="","",VLOOKUP(B1986,CadProd!$A:$B,2,0)),"")</f>
        <v/>
      </c>
      <c r="D1986" t="str">
        <f>IFERROR(IF(B1986="","",VLOOKUP(B1986,CadProd!$A:$C,3,0)),"")</f>
        <v/>
      </c>
      <c r="G1986" s="1" t="str">
        <f t="shared" ref="G1986:G2049" si="31">IFERROR(IF(B1986="","",F1986*E1986),"")</f>
        <v/>
      </c>
    </row>
    <row r="1987" spans="3:7" x14ac:dyDescent="0.3">
      <c r="C1987" t="str">
        <f>IFERROR(IF(B1987="","",VLOOKUP(B1987,CadProd!$A:$B,2,0)),"")</f>
        <v/>
      </c>
      <c r="D1987" t="str">
        <f>IFERROR(IF(B1987="","",VLOOKUP(B1987,CadProd!$A:$C,3,0)),"")</f>
        <v/>
      </c>
      <c r="G1987" s="1" t="str">
        <f t="shared" si="31"/>
        <v/>
      </c>
    </row>
    <row r="1988" spans="3:7" x14ac:dyDescent="0.3">
      <c r="C1988" t="str">
        <f>IFERROR(IF(B1988="","",VLOOKUP(B1988,CadProd!$A:$B,2,0)),"")</f>
        <v/>
      </c>
      <c r="D1988" t="str">
        <f>IFERROR(IF(B1988="","",VLOOKUP(B1988,CadProd!$A:$C,3,0)),"")</f>
        <v/>
      </c>
      <c r="G1988" s="1" t="str">
        <f t="shared" si="31"/>
        <v/>
      </c>
    </row>
    <row r="1989" spans="3:7" x14ac:dyDescent="0.3">
      <c r="C1989" t="str">
        <f>IFERROR(IF(B1989="","",VLOOKUP(B1989,CadProd!$A:$B,2,0)),"")</f>
        <v/>
      </c>
      <c r="D1989" t="str">
        <f>IFERROR(IF(B1989="","",VLOOKUP(B1989,CadProd!$A:$C,3,0)),"")</f>
        <v/>
      </c>
      <c r="G1989" s="1" t="str">
        <f t="shared" si="31"/>
        <v/>
      </c>
    </row>
    <row r="1990" spans="3:7" x14ac:dyDescent="0.3">
      <c r="C1990" t="str">
        <f>IFERROR(IF(B1990="","",VLOOKUP(B1990,CadProd!$A:$B,2,0)),"")</f>
        <v/>
      </c>
      <c r="D1990" t="str">
        <f>IFERROR(IF(B1990="","",VLOOKUP(B1990,CadProd!$A:$C,3,0)),"")</f>
        <v/>
      </c>
      <c r="G1990" s="1" t="str">
        <f t="shared" si="31"/>
        <v/>
      </c>
    </row>
    <row r="1991" spans="3:7" x14ac:dyDescent="0.3">
      <c r="C1991" t="str">
        <f>IFERROR(IF(B1991="","",VLOOKUP(B1991,CadProd!$A:$B,2,0)),"")</f>
        <v/>
      </c>
      <c r="D1991" t="str">
        <f>IFERROR(IF(B1991="","",VLOOKUP(B1991,CadProd!$A:$C,3,0)),"")</f>
        <v/>
      </c>
      <c r="G1991" s="1" t="str">
        <f t="shared" si="31"/>
        <v/>
      </c>
    </row>
    <row r="1992" spans="3:7" x14ac:dyDescent="0.3">
      <c r="C1992" t="str">
        <f>IFERROR(IF(B1992="","",VLOOKUP(B1992,CadProd!$A:$B,2,0)),"")</f>
        <v/>
      </c>
      <c r="D1992" t="str">
        <f>IFERROR(IF(B1992="","",VLOOKUP(B1992,CadProd!$A:$C,3,0)),"")</f>
        <v/>
      </c>
      <c r="G1992" s="1" t="str">
        <f t="shared" si="31"/>
        <v/>
      </c>
    </row>
    <row r="1993" spans="3:7" x14ac:dyDescent="0.3">
      <c r="C1993" t="str">
        <f>IFERROR(IF(B1993="","",VLOOKUP(B1993,CadProd!$A:$B,2,0)),"")</f>
        <v/>
      </c>
      <c r="D1993" t="str">
        <f>IFERROR(IF(B1993="","",VLOOKUP(B1993,CadProd!$A:$C,3,0)),"")</f>
        <v/>
      </c>
      <c r="G1993" s="1" t="str">
        <f t="shared" si="31"/>
        <v/>
      </c>
    </row>
    <row r="1994" spans="3:7" x14ac:dyDescent="0.3">
      <c r="C1994" t="str">
        <f>IFERROR(IF(B1994="","",VLOOKUP(B1994,CadProd!$A:$B,2,0)),"")</f>
        <v/>
      </c>
      <c r="D1994" t="str">
        <f>IFERROR(IF(B1994="","",VLOOKUP(B1994,CadProd!$A:$C,3,0)),"")</f>
        <v/>
      </c>
      <c r="G1994" s="1" t="str">
        <f t="shared" si="31"/>
        <v/>
      </c>
    </row>
    <row r="1995" spans="3:7" x14ac:dyDescent="0.3">
      <c r="C1995" t="str">
        <f>IFERROR(IF(B1995="","",VLOOKUP(B1995,CadProd!$A:$B,2,0)),"")</f>
        <v/>
      </c>
      <c r="D1995" t="str">
        <f>IFERROR(IF(B1995="","",VLOOKUP(B1995,CadProd!$A:$C,3,0)),"")</f>
        <v/>
      </c>
      <c r="G1995" s="1" t="str">
        <f t="shared" si="31"/>
        <v/>
      </c>
    </row>
    <row r="1996" spans="3:7" x14ac:dyDescent="0.3">
      <c r="C1996" t="str">
        <f>IFERROR(IF(B1996="","",VLOOKUP(B1996,CadProd!$A:$B,2,0)),"")</f>
        <v/>
      </c>
      <c r="D1996" t="str">
        <f>IFERROR(IF(B1996="","",VLOOKUP(B1996,CadProd!$A:$C,3,0)),"")</f>
        <v/>
      </c>
      <c r="G1996" s="1" t="str">
        <f t="shared" si="31"/>
        <v/>
      </c>
    </row>
    <row r="1997" spans="3:7" x14ac:dyDescent="0.3">
      <c r="C1997" t="str">
        <f>IFERROR(IF(B1997="","",VLOOKUP(B1997,CadProd!$A:$B,2,0)),"")</f>
        <v/>
      </c>
      <c r="D1997" t="str">
        <f>IFERROR(IF(B1997="","",VLOOKUP(B1997,CadProd!$A:$C,3,0)),"")</f>
        <v/>
      </c>
      <c r="G1997" s="1" t="str">
        <f t="shared" si="31"/>
        <v/>
      </c>
    </row>
    <row r="1998" spans="3:7" x14ac:dyDescent="0.3">
      <c r="C1998" t="str">
        <f>IFERROR(IF(B1998="","",VLOOKUP(B1998,CadProd!$A:$B,2,0)),"")</f>
        <v/>
      </c>
      <c r="D1998" t="str">
        <f>IFERROR(IF(B1998="","",VLOOKUP(B1998,CadProd!$A:$C,3,0)),"")</f>
        <v/>
      </c>
      <c r="G1998" s="1" t="str">
        <f t="shared" si="31"/>
        <v/>
      </c>
    </row>
    <row r="1999" spans="3:7" x14ac:dyDescent="0.3">
      <c r="C1999" t="str">
        <f>IFERROR(IF(B1999="","",VLOOKUP(B1999,CadProd!$A:$B,2,0)),"")</f>
        <v/>
      </c>
      <c r="D1999" t="str">
        <f>IFERROR(IF(B1999="","",VLOOKUP(B1999,CadProd!$A:$C,3,0)),"")</f>
        <v/>
      </c>
      <c r="G1999" s="1" t="str">
        <f t="shared" si="31"/>
        <v/>
      </c>
    </row>
    <row r="2000" spans="3:7" x14ac:dyDescent="0.3">
      <c r="C2000" t="str">
        <f>IFERROR(IF(B2000="","",VLOOKUP(B2000,CadProd!$A:$B,2,0)),"")</f>
        <v/>
      </c>
      <c r="D2000" t="str">
        <f>IFERROR(IF(B2000="","",VLOOKUP(B2000,CadProd!$A:$C,3,0)),"")</f>
        <v/>
      </c>
      <c r="G2000" s="1" t="str">
        <f t="shared" si="31"/>
        <v/>
      </c>
    </row>
    <row r="2001" spans="3:7" x14ac:dyDescent="0.3">
      <c r="C2001" t="str">
        <f>IFERROR(IF(B2001="","",VLOOKUP(B2001,CadProd!$A:$B,2,0)),"")</f>
        <v/>
      </c>
      <c r="D2001" t="str">
        <f>IFERROR(IF(B2001="","",VLOOKUP(B2001,CadProd!$A:$C,3,0)),"")</f>
        <v/>
      </c>
      <c r="G2001" s="1" t="str">
        <f t="shared" si="31"/>
        <v/>
      </c>
    </row>
    <row r="2002" spans="3:7" x14ac:dyDescent="0.3">
      <c r="C2002" t="str">
        <f>IFERROR(IF(B2002="","",VLOOKUP(B2002,CadProd!$A:$B,2,0)),"")</f>
        <v/>
      </c>
      <c r="D2002" t="str">
        <f>IFERROR(IF(B2002="","",VLOOKUP(B2002,CadProd!$A:$C,3,0)),"")</f>
        <v/>
      </c>
      <c r="G2002" s="1" t="str">
        <f t="shared" si="31"/>
        <v/>
      </c>
    </row>
    <row r="2003" spans="3:7" x14ac:dyDescent="0.3">
      <c r="C2003" t="str">
        <f>IFERROR(IF(B2003="","",VLOOKUP(B2003,CadProd!$A:$B,2,0)),"")</f>
        <v/>
      </c>
      <c r="D2003" t="str">
        <f>IFERROR(IF(B2003="","",VLOOKUP(B2003,CadProd!$A:$C,3,0)),"")</f>
        <v/>
      </c>
      <c r="G2003" s="1" t="str">
        <f t="shared" si="31"/>
        <v/>
      </c>
    </row>
    <row r="2004" spans="3:7" x14ac:dyDescent="0.3">
      <c r="C2004" t="str">
        <f>IFERROR(IF(B2004="","",VLOOKUP(B2004,CadProd!$A:$B,2,0)),"")</f>
        <v/>
      </c>
      <c r="D2004" t="str">
        <f>IFERROR(IF(B2004="","",VLOOKUP(B2004,CadProd!$A:$C,3,0)),"")</f>
        <v/>
      </c>
      <c r="G2004" s="1" t="str">
        <f t="shared" si="31"/>
        <v/>
      </c>
    </row>
    <row r="2005" spans="3:7" x14ac:dyDescent="0.3">
      <c r="C2005" t="str">
        <f>IFERROR(IF(B2005="","",VLOOKUP(B2005,CadProd!$A:$B,2,0)),"")</f>
        <v/>
      </c>
      <c r="D2005" t="str">
        <f>IFERROR(IF(B2005="","",VLOOKUP(B2005,CadProd!$A:$C,3,0)),"")</f>
        <v/>
      </c>
      <c r="G2005" s="1" t="str">
        <f t="shared" si="31"/>
        <v/>
      </c>
    </row>
    <row r="2006" spans="3:7" x14ac:dyDescent="0.3">
      <c r="C2006" t="str">
        <f>IFERROR(IF(B2006="","",VLOOKUP(B2006,CadProd!$A:$B,2,0)),"")</f>
        <v/>
      </c>
      <c r="D2006" t="str">
        <f>IFERROR(IF(B2006="","",VLOOKUP(B2006,CadProd!$A:$C,3,0)),"")</f>
        <v/>
      </c>
      <c r="G2006" s="1" t="str">
        <f t="shared" si="31"/>
        <v/>
      </c>
    </row>
    <row r="2007" spans="3:7" x14ac:dyDescent="0.3">
      <c r="C2007" t="str">
        <f>IFERROR(IF(B2007="","",VLOOKUP(B2007,CadProd!$A:$B,2,0)),"")</f>
        <v/>
      </c>
      <c r="D2007" t="str">
        <f>IFERROR(IF(B2007="","",VLOOKUP(B2007,CadProd!$A:$C,3,0)),"")</f>
        <v/>
      </c>
      <c r="G2007" s="1" t="str">
        <f t="shared" si="31"/>
        <v/>
      </c>
    </row>
    <row r="2008" spans="3:7" x14ac:dyDescent="0.3">
      <c r="C2008" t="str">
        <f>IFERROR(IF(B2008="","",VLOOKUP(B2008,CadProd!$A:$B,2,0)),"")</f>
        <v/>
      </c>
      <c r="D2008" t="str">
        <f>IFERROR(IF(B2008="","",VLOOKUP(B2008,CadProd!$A:$C,3,0)),"")</f>
        <v/>
      </c>
      <c r="G2008" s="1" t="str">
        <f t="shared" si="31"/>
        <v/>
      </c>
    </row>
    <row r="2009" spans="3:7" x14ac:dyDescent="0.3">
      <c r="C2009" t="str">
        <f>IFERROR(IF(B2009="","",VLOOKUP(B2009,CadProd!$A:$B,2,0)),"")</f>
        <v/>
      </c>
      <c r="D2009" t="str">
        <f>IFERROR(IF(B2009="","",VLOOKUP(B2009,CadProd!$A:$C,3,0)),"")</f>
        <v/>
      </c>
      <c r="G2009" s="1" t="str">
        <f t="shared" si="31"/>
        <v/>
      </c>
    </row>
    <row r="2010" spans="3:7" x14ac:dyDescent="0.3">
      <c r="C2010" t="str">
        <f>IFERROR(IF(B2010="","",VLOOKUP(B2010,CadProd!$A:$B,2,0)),"")</f>
        <v/>
      </c>
      <c r="D2010" t="str">
        <f>IFERROR(IF(B2010="","",VLOOKUP(B2010,CadProd!$A:$C,3,0)),"")</f>
        <v/>
      </c>
      <c r="G2010" s="1" t="str">
        <f t="shared" si="31"/>
        <v/>
      </c>
    </row>
    <row r="2011" spans="3:7" x14ac:dyDescent="0.3">
      <c r="C2011" t="str">
        <f>IFERROR(IF(B2011="","",VLOOKUP(B2011,CadProd!$A:$B,2,0)),"")</f>
        <v/>
      </c>
      <c r="D2011" t="str">
        <f>IFERROR(IF(B2011="","",VLOOKUP(B2011,CadProd!$A:$C,3,0)),"")</f>
        <v/>
      </c>
      <c r="G2011" s="1" t="str">
        <f t="shared" si="31"/>
        <v/>
      </c>
    </row>
    <row r="2012" spans="3:7" x14ac:dyDescent="0.3">
      <c r="C2012" t="str">
        <f>IFERROR(IF(B2012="","",VLOOKUP(B2012,CadProd!$A:$B,2,0)),"")</f>
        <v/>
      </c>
      <c r="D2012" t="str">
        <f>IFERROR(IF(B2012="","",VLOOKUP(B2012,CadProd!$A:$C,3,0)),"")</f>
        <v/>
      </c>
      <c r="G2012" s="1" t="str">
        <f t="shared" si="31"/>
        <v/>
      </c>
    </row>
    <row r="2013" spans="3:7" x14ac:dyDescent="0.3">
      <c r="C2013" t="str">
        <f>IFERROR(IF(B2013="","",VLOOKUP(B2013,CadProd!$A:$B,2,0)),"")</f>
        <v/>
      </c>
      <c r="D2013" t="str">
        <f>IFERROR(IF(B2013="","",VLOOKUP(B2013,CadProd!$A:$C,3,0)),"")</f>
        <v/>
      </c>
      <c r="G2013" s="1" t="str">
        <f t="shared" si="31"/>
        <v/>
      </c>
    </row>
    <row r="2014" spans="3:7" x14ac:dyDescent="0.3">
      <c r="C2014" t="str">
        <f>IFERROR(IF(B2014="","",VLOOKUP(B2014,CadProd!$A:$B,2,0)),"")</f>
        <v/>
      </c>
      <c r="D2014" t="str">
        <f>IFERROR(IF(B2014="","",VLOOKUP(B2014,CadProd!$A:$C,3,0)),"")</f>
        <v/>
      </c>
      <c r="G2014" s="1" t="str">
        <f t="shared" si="31"/>
        <v/>
      </c>
    </row>
    <row r="2015" spans="3:7" x14ac:dyDescent="0.3">
      <c r="C2015" t="str">
        <f>IFERROR(IF(B2015="","",VLOOKUP(B2015,CadProd!$A:$B,2,0)),"")</f>
        <v/>
      </c>
      <c r="D2015" t="str">
        <f>IFERROR(IF(B2015="","",VLOOKUP(B2015,CadProd!$A:$C,3,0)),"")</f>
        <v/>
      </c>
      <c r="G2015" s="1" t="str">
        <f t="shared" si="31"/>
        <v/>
      </c>
    </row>
    <row r="2016" spans="3:7" x14ac:dyDescent="0.3">
      <c r="C2016" t="str">
        <f>IFERROR(IF(B2016="","",VLOOKUP(B2016,CadProd!$A:$B,2,0)),"")</f>
        <v/>
      </c>
      <c r="D2016" t="str">
        <f>IFERROR(IF(B2016="","",VLOOKUP(B2016,CadProd!$A:$C,3,0)),"")</f>
        <v/>
      </c>
      <c r="G2016" s="1" t="str">
        <f t="shared" si="31"/>
        <v/>
      </c>
    </row>
    <row r="2017" spans="3:7" x14ac:dyDescent="0.3">
      <c r="C2017" t="str">
        <f>IFERROR(IF(B2017="","",VLOOKUP(B2017,CadProd!$A:$B,2,0)),"")</f>
        <v/>
      </c>
      <c r="D2017" t="str">
        <f>IFERROR(IF(B2017="","",VLOOKUP(B2017,CadProd!$A:$C,3,0)),"")</f>
        <v/>
      </c>
      <c r="G2017" s="1" t="str">
        <f t="shared" si="31"/>
        <v/>
      </c>
    </row>
    <row r="2018" spans="3:7" x14ac:dyDescent="0.3">
      <c r="C2018" t="str">
        <f>IFERROR(IF(B2018="","",VLOOKUP(B2018,CadProd!$A:$B,2,0)),"")</f>
        <v/>
      </c>
      <c r="D2018" t="str">
        <f>IFERROR(IF(B2018="","",VLOOKUP(B2018,CadProd!$A:$C,3,0)),"")</f>
        <v/>
      </c>
      <c r="G2018" s="1" t="str">
        <f t="shared" si="31"/>
        <v/>
      </c>
    </row>
    <row r="2019" spans="3:7" x14ac:dyDescent="0.3">
      <c r="C2019" t="str">
        <f>IFERROR(IF(B2019="","",VLOOKUP(B2019,CadProd!$A:$B,2,0)),"")</f>
        <v/>
      </c>
      <c r="D2019" t="str">
        <f>IFERROR(IF(B2019="","",VLOOKUP(B2019,CadProd!$A:$C,3,0)),"")</f>
        <v/>
      </c>
      <c r="G2019" s="1" t="str">
        <f t="shared" si="31"/>
        <v/>
      </c>
    </row>
    <row r="2020" spans="3:7" x14ac:dyDescent="0.3">
      <c r="C2020" t="str">
        <f>IFERROR(IF(B2020="","",VLOOKUP(B2020,CadProd!$A:$B,2,0)),"")</f>
        <v/>
      </c>
      <c r="D2020" t="str">
        <f>IFERROR(IF(B2020="","",VLOOKUP(B2020,CadProd!$A:$C,3,0)),"")</f>
        <v/>
      </c>
      <c r="G2020" s="1" t="str">
        <f t="shared" si="31"/>
        <v/>
      </c>
    </row>
    <row r="2021" spans="3:7" x14ac:dyDescent="0.3">
      <c r="C2021" t="str">
        <f>IFERROR(IF(B2021="","",VLOOKUP(B2021,CadProd!$A:$B,2,0)),"")</f>
        <v/>
      </c>
      <c r="D2021" t="str">
        <f>IFERROR(IF(B2021="","",VLOOKUP(B2021,CadProd!$A:$C,3,0)),"")</f>
        <v/>
      </c>
      <c r="G2021" s="1" t="str">
        <f t="shared" si="31"/>
        <v/>
      </c>
    </row>
    <row r="2022" spans="3:7" x14ac:dyDescent="0.3">
      <c r="C2022" t="str">
        <f>IFERROR(IF(B2022="","",VLOOKUP(B2022,CadProd!$A:$B,2,0)),"")</f>
        <v/>
      </c>
      <c r="D2022" t="str">
        <f>IFERROR(IF(B2022="","",VLOOKUP(B2022,CadProd!$A:$C,3,0)),"")</f>
        <v/>
      </c>
      <c r="G2022" s="1" t="str">
        <f t="shared" si="31"/>
        <v/>
      </c>
    </row>
    <row r="2023" spans="3:7" x14ac:dyDescent="0.3">
      <c r="C2023" t="str">
        <f>IFERROR(IF(B2023="","",VLOOKUP(B2023,CadProd!$A:$B,2,0)),"")</f>
        <v/>
      </c>
      <c r="D2023" t="str">
        <f>IFERROR(IF(B2023="","",VLOOKUP(B2023,CadProd!$A:$C,3,0)),"")</f>
        <v/>
      </c>
      <c r="G2023" s="1" t="str">
        <f t="shared" si="31"/>
        <v/>
      </c>
    </row>
    <row r="2024" spans="3:7" x14ac:dyDescent="0.3">
      <c r="C2024" t="str">
        <f>IFERROR(IF(B2024="","",VLOOKUP(B2024,CadProd!$A:$B,2,0)),"")</f>
        <v/>
      </c>
      <c r="D2024" t="str">
        <f>IFERROR(IF(B2024="","",VLOOKUP(B2024,CadProd!$A:$C,3,0)),"")</f>
        <v/>
      </c>
      <c r="G2024" s="1" t="str">
        <f t="shared" si="31"/>
        <v/>
      </c>
    </row>
    <row r="2025" spans="3:7" x14ac:dyDescent="0.3">
      <c r="C2025" t="str">
        <f>IFERROR(IF(B2025="","",VLOOKUP(B2025,CadProd!$A:$B,2,0)),"")</f>
        <v/>
      </c>
      <c r="D2025" t="str">
        <f>IFERROR(IF(B2025="","",VLOOKUP(B2025,CadProd!$A:$C,3,0)),"")</f>
        <v/>
      </c>
      <c r="G2025" s="1" t="str">
        <f t="shared" si="31"/>
        <v/>
      </c>
    </row>
    <row r="2026" spans="3:7" x14ac:dyDescent="0.3">
      <c r="C2026" t="str">
        <f>IFERROR(IF(B2026="","",VLOOKUP(B2026,CadProd!$A:$B,2,0)),"")</f>
        <v/>
      </c>
      <c r="D2026" t="str">
        <f>IFERROR(IF(B2026="","",VLOOKUP(B2026,CadProd!$A:$C,3,0)),"")</f>
        <v/>
      </c>
      <c r="G2026" s="1" t="str">
        <f t="shared" si="31"/>
        <v/>
      </c>
    </row>
    <row r="2027" spans="3:7" x14ac:dyDescent="0.3">
      <c r="C2027" t="str">
        <f>IFERROR(IF(B2027="","",VLOOKUP(B2027,CadProd!$A:$B,2,0)),"")</f>
        <v/>
      </c>
      <c r="D2027" t="str">
        <f>IFERROR(IF(B2027="","",VLOOKUP(B2027,CadProd!$A:$C,3,0)),"")</f>
        <v/>
      </c>
      <c r="G2027" s="1" t="str">
        <f t="shared" si="31"/>
        <v/>
      </c>
    </row>
    <row r="2028" spans="3:7" x14ac:dyDescent="0.3">
      <c r="C2028" t="str">
        <f>IFERROR(IF(B2028="","",VLOOKUP(B2028,CadProd!$A:$B,2,0)),"")</f>
        <v/>
      </c>
      <c r="D2028" t="str">
        <f>IFERROR(IF(B2028="","",VLOOKUP(B2028,CadProd!$A:$C,3,0)),"")</f>
        <v/>
      </c>
      <c r="G2028" s="1" t="str">
        <f t="shared" si="31"/>
        <v/>
      </c>
    </row>
    <row r="2029" spans="3:7" x14ac:dyDescent="0.3">
      <c r="C2029" t="str">
        <f>IFERROR(IF(B2029="","",VLOOKUP(B2029,CadProd!$A:$B,2,0)),"")</f>
        <v/>
      </c>
      <c r="D2029" t="str">
        <f>IFERROR(IF(B2029="","",VLOOKUP(B2029,CadProd!$A:$C,3,0)),"")</f>
        <v/>
      </c>
      <c r="G2029" s="1" t="str">
        <f t="shared" si="31"/>
        <v/>
      </c>
    </row>
    <row r="2030" spans="3:7" x14ac:dyDescent="0.3">
      <c r="C2030" t="str">
        <f>IFERROR(IF(B2030="","",VLOOKUP(B2030,CadProd!$A:$B,2,0)),"")</f>
        <v/>
      </c>
      <c r="D2030" t="str">
        <f>IFERROR(IF(B2030="","",VLOOKUP(B2030,CadProd!$A:$C,3,0)),"")</f>
        <v/>
      </c>
      <c r="G2030" s="1" t="str">
        <f t="shared" si="31"/>
        <v/>
      </c>
    </row>
    <row r="2031" spans="3:7" x14ac:dyDescent="0.3">
      <c r="C2031" t="str">
        <f>IFERROR(IF(B2031="","",VLOOKUP(B2031,CadProd!$A:$B,2,0)),"")</f>
        <v/>
      </c>
      <c r="D2031" t="str">
        <f>IFERROR(IF(B2031="","",VLOOKUP(B2031,CadProd!$A:$C,3,0)),"")</f>
        <v/>
      </c>
      <c r="G2031" s="1" t="str">
        <f t="shared" si="31"/>
        <v/>
      </c>
    </row>
    <row r="2032" spans="3:7" x14ac:dyDescent="0.3">
      <c r="C2032" t="str">
        <f>IFERROR(IF(B2032="","",VLOOKUP(B2032,CadProd!$A:$B,2,0)),"")</f>
        <v/>
      </c>
      <c r="D2032" t="str">
        <f>IFERROR(IF(B2032="","",VLOOKUP(B2032,CadProd!$A:$C,3,0)),"")</f>
        <v/>
      </c>
      <c r="G2032" s="1" t="str">
        <f t="shared" si="31"/>
        <v/>
      </c>
    </row>
    <row r="2033" spans="3:7" x14ac:dyDescent="0.3">
      <c r="C2033" t="str">
        <f>IFERROR(IF(B2033="","",VLOOKUP(B2033,CadProd!$A:$B,2,0)),"")</f>
        <v/>
      </c>
      <c r="D2033" t="str">
        <f>IFERROR(IF(B2033="","",VLOOKUP(B2033,CadProd!$A:$C,3,0)),"")</f>
        <v/>
      </c>
      <c r="G2033" s="1" t="str">
        <f t="shared" si="31"/>
        <v/>
      </c>
    </row>
    <row r="2034" spans="3:7" x14ac:dyDescent="0.3">
      <c r="C2034" t="str">
        <f>IFERROR(IF(B2034="","",VLOOKUP(B2034,CadProd!$A:$B,2,0)),"")</f>
        <v/>
      </c>
      <c r="D2034" t="str">
        <f>IFERROR(IF(B2034="","",VLOOKUP(B2034,CadProd!$A:$C,3,0)),"")</f>
        <v/>
      </c>
      <c r="G2034" s="1" t="str">
        <f t="shared" si="31"/>
        <v/>
      </c>
    </row>
    <row r="2035" spans="3:7" x14ac:dyDescent="0.3">
      <c r="C2035" t="str">
        <f>IFERROR(IF(B2035="","",VLOOKUP(B2035,CadProd!$A:$B,2,0)),"")</f>
        <v/>
      </c>
      <c r="D2035" t="str">
        <f>IFERROR(IF(B2035="","",VLOOKUP(B2035,CadProd!$A:$C,3,0)),"")</f>
        <v/>
      </c>
      <c r="G2035" s="1" t="str">
        <f t="shared" si="31"/>
        <v/>
      </c>
    </row>
    <row r="2036" spans="3:7" x14ac:dyDescent="0.3">
      <c r="C2036" t="str">
        <f>IFERROR(IF(B2036="","",VLOOKUP(B2036,CadProd!$A:$B,2,0)),"")</f>
        <v/>
      </c>
      <c r="D2036" t="str">
        <f>IFERROR(IF(B2036="","",VLOOKUP(B2036,CadProd!$A:$C,3,0)),"")</f>
        <v/>
      </c>
      <c r="G2036" s="1" t="str">
        <f t="shared" si="31"/>
        <v/>
      </c>
    </row>
    <row r="2037" spans="3:7" x14ac:dyDescent="0.3">
      <c r="C2037" t="str">
        <f>IFERROR(IF(B2037="","",VLOOKUP(B2037,CadProd!$A:$B,2,0)),"")</f>
        <v/>
      </c>
      <c r="D2037" t="str">
        <f>IFERROR(IF(B2037="","",VLOOKUP(B2037,CadProd!$A:$C,3,0)),"")</f>
        <v/>
      </c>
      <c r="G2037" s="1" t="str">
        <f t="shared" si="31"/>
        <v/>
      </c>
    </row>
    <row r="2038" spans="3:7" x14ac:dyDescent="0.3">
      <c r="C2038" t="str">
        <f>IFERROR(IF(B2038="","",VLOOKUP(B2038,CadProd!$A:$B,2,0)),"")</f>
        <v/>
      </c>
      <c r="D2038" t="str">
        <f>IFERROR(IF(B2038="","",VLOOKUP(B2038,CadProd!$A:$C,3,0)),"")</f>
        <v/>
      </c>
      <c r="G2038" s="1" t="str">
        <f t="shared" si="31"/>
        <v/>
      </c>
    </row>
    <row r="2039" spans="3:7" x14ac:dyDescent="0.3">
      <c r="C2039" t="str">
        <f>IFERROR(IF(B2039="","",VLOOKUP(B2039,CadProd!$A:$B,2,0)),"")</f>
        <v/>
      </c>
      <c r="D2039" t="str">
        <f>IFERROR(IF(B2039="","",VLOOKUP(B2039,CadProd!$A:$C,3,0)),"")</f>
        <v/>
      </c>
      <c r="G2039" s="1" t="str">
        <f t="shared" si="31"/>
        <v/>
      </c>
    </row>
    <row r="2040" spans="3:7" x14ac:dyDescent="0.3">
      <c r="C2040" t="str">
        <f>IFERROR(IF(B2040="","",VLOOKUP(B2040,CadProd!$A:$B,2,0)),"")</f>
        <v/>
      </c>
      <c r="D2040" t="str">
        <f>IFERROR(IF(B2040="","",VLOOKUP(B2040,CadProd!$A:$C,3,0)),"")</f>
        <v/>
      </c>
      <c r="G2040" s="1" t="str">
        <f t="shared" si="31"/>
        <v/>
      </c>
    </row>
    <row r="2041" spans="3:7" x14ac:dyDescent="0.3">
      <c r="C2041" t="str">
        <f>IFERROR(IF(B2041="","",VLOOKUP(B2041,CadProd!$A:$B,2,0)),"")</f>
        <v/>
      </c>
      <c r="D2041" t="str">
        <f>IFERROR(IF(B2041="","",VLOOKUP(B2041,CadProd!$A:$C,3,0)),"")</f>
        <v/>
      </c>
      <c r="G2041" s="1" t="str">
        <f t="shared" si="31"/>
        <v/>
      </c>
    </row>
    <row r="2042" spans="3:7" x14ac:dyDescent="0.3">
      <c r="C2042" t="str">
        <f>IFERROR(IF(B2042="","",VLOOKUP(B2042,CadProd!$A:$B,2,0)),"")</f>
        <v/>
      </c>
      <c r="D2042" t="str">
        <f>IFERROR(IF(B2042="","",VLOOKUP(B2042,CadProd!$A:$C,3,0)),"")</f>
        <v/>
      </c>
      <c r="G2042" s="1" t="str">
        <f t="shared" si="31"/>
        <v/>
      </c>
    </row>
    <row r="2043" spans="3:7" x14ac:dyDescent="0.3">
      <c r="C2043" t="str">
        <f>IFERROR(IF(B2043="","",VLOOKUP(B2043,CadProd!$A:$B,2,0)),"")</f>
        <v/>
      </c>
      <c r="D2043" t="str">
        <f>IFERROR(IF(B2043="","",VLOOKUP(B2043,CadProd!$A:$C,3,0)),"")</f>
        <v/>
      </c>
      <c r="G2043" s="1" t="str">
        <f t="shared" si="31"/>
        <v/>
      </c>
    </row>
    <row r="2044" spans="3:7" x14ac:dyDescent="0.3">
      <c r="C2044" t="str">
        <f>IFERROR(IF(B2044="","",VLOOKUP(B2044,CadProd!$A:$B,2,0)),"")</f>
        <v/>
      </c>
      <c r="D2044" t="str">
        <f>IFERROR(IF(B2044="","",VLOOKUP(B2044,CadProd!$A:$C,3,0)),"")</f>
        <v/>
      </c>
      <c r="G2044" s="1" t="str">
        <f t="shared" si="31"/>
        <v/>
      </c>
    </row>
    <row r="2045" spans="3:7" x14ac:dyDescent="0.3">
      <c r="C2045" t="str">
        <f>IFERROR(IF(B2045="","",VLOOKUP(B2045,CadProd!$A:$B,2,0)),"")</f>
        <v/>
      </c>
      <c r="D2045" t="str">
        <f>IFERROR(IF(B2045="","",VLOOKUP(B2045,CadProd!$A:$C,3,0)),"")</f>
        <v/>
      </c>
      <c r="G2045" s="1" t="str">
        <f t="shared" si="31"/>
        <v/>
      </c>
    </row>
    <row r="2046" spans="3:7" x14ac:dyDescent="0.3">
      <c r="C2046" t="str">
        <f>IFERROR(IF(B2046="","",VLOOKUP(B2046,CadProd!$A:$B,2,0)),"")</f>
        <v/>
      </c>
      <c r="D2046" t="str">
        <f>IFERROR(IF(B2046="","",VLOOKUP(B2046,CadProd!$A:$C,3,0)),"")</f>
        <v/>
      </c>
      <c r="G2046" s="1" t="str">
        <f t="shared" si="31"/>
        <v/>
      </c>
    </row>
    <row r="2047" spans="3:7" x14ac:dyDescent="0.3">
      <c r="C2047" t="str">
        <f>IFERROR(IF(B2047="","",VLOOKUP(B2047,CadProd!$A:$B,2,0)),"")</f>
        <v/>
      </c>
      <c r="D2047" t="str">
        <f>IFERROR(IF(B2047="","",VLOOKUP(B2047,CadProd!$A:$C,3,0)),"")</f>
        <v/>
      </c>
      <c r="G2047" s="1" t="str">
        <f t="shared" si="31"/>
        <v/>
      </c>
    </row>
    <row r="2048" spans="3:7" x14ac:dyDescent="0.3">
      <c r="C2048" t="str">
        <f>IFERROR(IF(B2048="","",VLOOKUP(B2048,CadProd!$A:$B,2,0)),"")</f>
        <v/>
      </c>
      <c r="D2048" t="str">
        <f>IFERROR(IF(B2048="","",VLOOKUP(B2048,CadProd!$A:$C,3,0)),"")</f>
        <v/>
      </c>
      <c r="G2048" s="1" t="str">
        <f t="shared" si="31"/>
        <v/>
      </c>
    </row>
    <row r="2049" spans="3:7" x14ac:dyDescent="0.3">
      <c r="C2049" t="str">
        <f>IFERROR(IF(B2049="","",VLOOKUP(B2049,CadProd!$A:$B,2,0)),"")</f>
        <v/>
      </c>
      <c r="D2049" t="str">
        <f>IFERROR(IF(B2049="","",VLOOKUP(B2049,CadProd!$A:$C,3,0)),"")</f>
        <v/>
      </c>
      <c r="G2049" s="1" t="str">
        <f t="shared" si="31"/>
        <v/>
      </c>
    </row>
    <row r="2050" spans="3:7" x14ac:dyDescent="0.3">
      <c r="C2050" t="str">
        <f>IFERROR(IF(B2050="","",VLOOKUP(B2050,CadProd!$A:$B,2,0)),"")</f>
        <v/>
      </c>
      <c r="D2050" t="str">
        <f>IFERROR(IF(B2050="","",VLOOKUP(B2050,CadProd!$A:$C,3,0)),"")</f>
        <v/>
      </c>
      <c r="G2050" s="1" t="str">
        <f t="shared" ref="G2050:G2113" si="32">IFERROR(IF(B2050="","",F2050*E2050),"")</f>
        <v/>
      </c>
    </row>
    <row r="2051" spans="3:7" x14ac:dyDescent="0.3">
      <c r="C2051" t="str">
        <f>IFERROR(IF(B2051="","",VLOOKUP(B2051,CadProd!$A:$B,2,0)),"")</f>
        <v/>
      </c>
      <c r="D2051" t="str">
        <f>IFERROR(IF(B2051="","",VLOOKUP(B2051,CadProd!$A:$C,3,0)),"")</f>
        <v/>
      </c>
      <c r="G2051" s="1" t="str">
        <f t="shared" si="32"/>
        <v/>
      </c>
    </row>
    <row r="2052" spans="3:7" x14ac:dyDescent="0.3">
      <c r="C2052" t="str">
        <f>IFERROR(IF(B2052="","",VLOOKUP(B2052,CadProd!$A:$B,2,0)),"")</f>
        <v/>
      </c>
      <c r="D2052" t="str">
        <f>IFERROR(IF(B2052="","",VLOOKUP(B2052,CadProd!$A:$C,3,0)),"")</f>
        <v/>
      </c>
      <c r="G2052" s="1" t="str">
        <f t="shared" si="32"/>
        <v/>
      </c>
    </row>
    <row r="2053" spans="3:7" x14ac:dyDescent="0.3">
      <c r="C2053" t="str">
        <f>IFERROR(IF(B2053="","",VLOOKUP(B2053,CadProd!$A:$B,2,0)),"")</f>
        <v/>
      </c>
      <c r="D2053" t="str">
        <f>IFERROR(IF(B2053="","",VLOOKUP(B2053,CadProd!$A:$C,3,0)),"")</f>
        <v/>
      </c>
      <c r="G2053" s="1" t="str">
        <f t="shared" si="32"/>
        <v/>
      </c>
    </row>
    <row r="2054" spans="3:7" x14ac:dyDescent="0.3">
      <c r="C2054" t="str">
        <f>IFERROR(IF(B2054="","",VLOOKUP(B2054,CadProd!$A:$B,2,0)),"")</f>
        <v/>
      </c>
      <c r="D2054" t="str">
        <f>IFERROR(IF(B2054="","",VLOOKUP(B2054,CadProd!$A:$C,3,0)),"")</f>
        <v/>
      </c>
      <c r="G2054" s="1" t="str">
        <f t="shared" si="32"/>
        <v/>
      </c>
    </row>
    <row r="2055" spans="3:7" x14ac:dyDescent="0.3">
      <c r="C2055" t="str">
        <f>IFERROR(IF(B2055="","",VLOOKUP(B2055,CadProd!$A:$B,2,0)),"")</f>
        <v/>
      </c>
      <c r="D2055" t="str">
        <f>IFERROR(IF(B2055="","",VLOOKUP(B2055,CadProd!$A:$C,3,0)),"")</f>
        <v/>
      </c>
      <c r="G2055" s="1" t="str">
        <f t="shared" si="32"/>
        <v/>
      </c>
    </row>
    <row r="2056" spans="3:7" x14ac:dyDescent="0.3">
      <c r="C2056" t="str">
        <f>IFERROR(IF(B2056="","",VLOOKUP(B2056,CadProd!$A:$B,2,0)),"")</f>
        <v/>
      </c>
      <c r="D2056" t="str">
        <f>IFERROR(IF(B2056="","",VLOOKUP(B2056,CadProd!$A:$C,3,0)),"")</f>
        <v/>
      </c>
      <c r="G2056" s="1" t="str">
        <f t="shared" si="32"/>
        <v/>
      </c>
    </row>
    <row r="2057" spans="3:7" x14ac:dyDescent="0.3">
      <c r="C2057" t="str">
        <f>IFERROR(IF(B2057="","",VLOOKUP(B2057,CadProd!$A:$B,2,0)),"")</f>
        <v/>
      </c>
      <c r="D2057" t="str">
        <f>IFERROR(IF(B2057="","",VLOOKUP(B2057,CadProd!$A:$C,3,0)),"")</f>
        <v/>
      </c>
      <c r="G2057" s="1" t="str">
        <f t="shared" si="32"/>
        <v/>
      </c>
    </row>
    <row r="2058" spans="3:7" x14ac:dyDescent="0.3">
      <c r="C2058" t="str">
        <f>IFERROR(IF(B2058="","",VLOOKUP(B2058,CadProd!$A:$B,2,0)),"")</f>
        <v/>
      </c>
      <c r="D2058" t="str">
        <f>IFERROR(IF(B2058="","",VLOOKUP(B2058,CadProd!$A:$C,3,0)),"")</f>
        <v/>
      </c>
      <c r="G2058" s="1" t="str">
        <f t="shared" si="32"/>
        <v/>
      </c>
    </row>
    <row r="2059" spans="3:7" x14ac:dyDescent="0.3">
      <c r="C2059" t="str">
        <f>IFERROR(IF(B2059="","",VLOOKUP(B2059,CadProd!$A:$B,2,0)),"")</f>
        <v/>
      </c>
      <c r="D2059" t="str">
        <f>IFERROR(IF(B2059="","",VLOOKUP(B2059,CadProd!$A:$C,3,0)),"")</f>
        <v/>
      </c>
      <c r="G2059" s="1" t="str">
        <f t="shared" si="32"/>
        <v/>
      </c>
    </row>
    <row r="2060" spans="3:7" x14ac:dyDescent="0.3">
      <c r="C2060" t="str">
        <f>IFERROR(IF(B2060="","",VLOOKUP(B2060,CadProd!$A:$B,2,0)),"")</f>
        <v/>
      </c>
      <c r="D2060" t="str">
        <f>IFERROR(IF(B2060="","",VLOOKUP(B2060,CadProd!$A:$C,3,0)),"")</f>
        <v/>
      </c>
      <c r="G2060" s="1" t="str">
        <f t="shared" si="32"/>
        <v/>
      </c>
    </row>
    <row r="2061" spans="3:7" x14ac:dyDescent="0.3">
      <c r="C2061" t="str">
        <f>IFERROR(IF(B2061="","",VLOOKUP(B2061,CadProd!$A:$B,2,0)),"")</f>
        <v/>
      </c>
      <c r="D2061" t="str">
        <f>IFERROR(IF(B2061="","",VLOOKUP(B2061,CadProd!$A:$C,3,0)),"")</f>
        <v/>
      </c>
      <c r="G2061" s="1" t="str">
        <f t="shared" si="32"/>
        <v/>
      </c>
    </row>
    <row r="2062" spans="3:7" x14ac:dyDescent="0.3">
      <c r="C2062" t="str">
        <f>IFERROR(IF(B2062="","",VLOOKUP(B2062,CadProd!$A:$B,2,0)),"")</f>
        <v/>
      </c>
      <c r="D2062" t="str">
        <f>IFERROR(IF(B2062="","",VLOOKUP(B2062,CadProd!$A:$C,3,0)),"")</f>
        <v/>
      </c>
      <c r="G2062" s="1" t="str">
        <f t="shared" si="32"/>
        <v/>
      </c>
    </row>
    <row r="2063" spans="3:7" x14ac:dyDescent="0.3">
      <c r="C2063" t="str">
        <f>IFERROR(IF(B2063="","",VLOOKUP(B2063,CadProd!$A:$B,2,0)),"")</f>
        <v/>
      </c>
      <c r="D2063" t="str">
        <f>IFERROR(IF(B2063="","",VLOOKUP(B2063,CadProd!$A:$C,3,0)),"")</f>
        <v/>
      </c>
      <c r="G2063" s="1" t="str">
        <f t="shared" si="32"/>
        <v/>
      </c>
    </row>
    <row r="2064" spans="3:7" x14ac:dyDescent="0.3">
      <c r="C2064" t="str">
        <f>IFERROR(IF(B2064="","",VLOOKUP(B2064,CadProd!$A:$B,2,0)),"")</f>
        <v/>
      </c>
      <c r="D2064" t="str">
        <f>IFERROR(IF(B2064="","",VLOOKUP(B2064,CadProd!$A:$C,3,0)),"")</f>
        <v/>
      </c>
      <c r="G2064" s="1" t="str">
        <f t="shared" si="32"/>
        <v/>
      </c>
    </row>
    <row r="2065" spans="3:7" x14ac:dyDescent="0.3">
      <c r="C2065" t="str">
        <f>IFERROR(IF(B2065="","",VLOOKUP(B2065,CadProd!$A:$B,2,0)),"")</f>
        <v/>
      </c>
      <c r="D2065" t="str">
        <f>IFERROR(IF(B2065="","",VLOOKUP(B2065,CadProd!$A:$C,3,0)),"")</f>
        <v/>
      </c>
      <c r="G2065" s="1" t="str">
        <f t="shared" si="32"/>
        <v/>
      </c>
    </row>
    <row r="2066" spans="3:7" x14ac:dyDescent="0.3">
      <c r="C2066" t="str">
        <f>IFERROR(IF(B2066="","",VLOOKUP(B2066,CadProd!$A:$B,2,0)),"")</f>
        <v/>
      </c>
      <c r="D2066" t="str">
        <f>IFERROR(IF(B2066="","",VLOOKUP(B2066,CadProd!$A:$C,3,0)),"")</f>
        <v/>
      </c>
      <c r="G2066" s="1" t="str">
        <f t="shared" si="32"/>
        <v/>
      </c>
    </row>
    <row r="2067" spans="3:7" x14ac:dyDescent="0.3">
      <c r="C2067" t="str">
        <f>IFERROR(IF(B2067="","",VLOOKUP(B2067,CadProd!$A:$B,2,0)),"")</f>
        <v/>
      </c>
      <c r="D2067" t="str">
        <f>IFERROR(IF(B2067="","",VLOOKUP(B2067,CadProd!$A:$C,3,0)),"")</f>
        <v/>
      </c>
      <c r="G2067" s="1" t="str">
        <f t="shared" si="32"/>
        <v/>
      </c>
    </row>
    <row r="2068" spans="3:7" x14ac:dyDescent="0.3">
      <c r="C2068" t="str">
        <f>IFERROR(IF(B2068="","",VLOOKUP(B2068,CadProd!$A:$B,2,0)),"")</f>
        <v/>
      </c>
      <c r="D2068" t="str">
        <f>IFERROR(IF(B2068="","",VLOOKUP(B2068,CadProd!$A:$C,3,0)),"")</f>
        <v/>
      </c>
      <c r="G2068" s="1" t="str">
        <f t="shared" si="32"/>
        <v/>
      </c>
    </row>
    <row r="2069" spans="3:7" x14ac:dyDescent="0.3">
      <c r="C2069" t="str">
        <f>IFERROR(IF(B2069="","",VLOOKUP(B2069,CadProd!$A:$B,2,0)),"")</f>
        <v/>
      </c>
      <c r="D2069" t="str">
        <f>IFERROR(IF(B2069="","",VLOOKUP(B2069,CadProd!$A:$C,3,0)),"")</f>
        <v/>
      </c>
      <c r="G2069" s="1" t="str">
        <f t="shared" si="32"/>
        <v/>
      </c>
    </row>
    <row r="2070" spans="3:7" x14ac:dyDescent="0.3">
      <c r="C2070" t="str">
        <f>IFERROR(IF(B2070="","",VLOOKUP(B2070,CadProd!$A:$B,2,0)),"")</f>
        <v/>
      </c>
      <c r="D2070" t="str">
        <f>IFERROR(IF(B2070="","",VLOOKUP(B2070,CadProd!$A:$C,3,0)),"")</f>
        <v/>
      </c>
      <c r="G2070" s="1" t="str">
        <f t="shared" si="32"/>
        <v/>
      </c>
    </row>
    <row r="2071" spans="3:7" x14ac:dyDescent="0.3">
      <c r="C2071" t="str">
        <f>IFERROR(IF(B2071="","",VLOOKUP(B2071,CadProd!$A:$B,2,0)),"")</f>
        <v/>
      </c>
      <c r="D2071" t="str">
        <f>IFERROR(IF(B2071="","",VLOOKUP(B2071,CadProd!$A:$C,3,0)),"")</f>
        <v/>
      </c>
      <c r="G2071" s="1" t="str">
        <f t="shared" si="32"/>
        <v/>
      </c>
    </row>
    <row r="2072" spans="3:7" x14ac:dyDescent="0.3">
      <c r="C2072" t="str">
        <f>IFERROR(IF(B2072="","",VLOOKUP(B2072,CadProd!$A:$B,2,0)),"")</f>
        <v/>
      </c>
      <c r="D2072" t="str">
        <f>IFERROR(IF(B2072="","",VLOOKUP(B2072,CadProd!$A:$C,3,0)),"")</f>
        <v/>
      </c>
      <c r="G2072" s="1" t="str">
        <f t="shared" si="32"/>
        <v/>
      </c>
    </row>
    <row r="2073" spans="3:7" x14ac:dyDescent="0.3">
      <c r="C2073" t="str">
        <f>IFERROR(IF(B2073="","",VLOOKUP(B2073,CadProd!$A:$B,2,0)),"")</f>
        <v/>
      </c>
      <c r="D2073" t="str">
        <f>IFERROR(IF(B2073="","",VLOOKUP(B2073,CadProd!$A:$C,3,0)),"")</f>
        <v/>
      </c>
      <c r="G2073" s="1" t="str">
        <f t="shared" si="32"/>
        <v/>
      </c>
    </row>
    <row r="2074" spans="3:7" x14ac:dyDescent="0.3">
      <c r="C2074" t="str">
        <f>IFERROR(IF(B2074="","",VLOOKUP(B2074,CadProd!$A:$B,2,0)),"")</f>
        <v/>
      </c>
      <c r="D2074" t="str">
        <f>IFERROR(IF(B2074="","",VLOOKUP(B2074,CadProd!$A:$C,3,0)),"")</f>
        <v/>
      </c>
      <c r="G2074" s="1" t="str">
        <f t="shared" si="32"/>
        <v/>
      </c>
    </row>
    <row r="2075" spans="3:7" x14ac:dyDescent="0.3">
      <c r="C2075" t="str">
        <f>IFERROR(IF(B2075="","",VLOOKUP(B2075,CadProd!$A:$B,2,0)),"")</f>
        <v/>
      </c>
      <c r="D2075" t="str">
        <f>IFERROR(IF(B2075="","",VLOOKUP(B2075,CadProd!$A:$C,3,0)),"")</f>
        <v/>
      </c>
      <c r="G2075" s="1" t="str">
        <f t="shared" si="32"/>
        <v/>
      </c>
    </row>
    <row r="2076" spans="3:7" x14ac:dyDescent="0.3">
      <c r="C2076" t="str">
        <f>IFERROR(IF(B2076="","",VLOOKUP(B2076,CadProd!$A:$B,2,0)),"")</f>
        <v/>
      </c>
      <c r="D2076" t="str">
        <f>IFERROR(IF(B2076="","",VLOOKUP(B2076,CadProd!$A:$C,3,0)),"")</f>
        <v/>
      </c>
      <c r="G2076" s="1" t="str">
        <f t="shared" si="32"/>
        <v/>
      </c>
    </row>
    <row r="2077" spans="3:7" x14ac:dyDescent="0.3">
      <c r="C2077" t="str">
        <f>IFERROR(IF(B2077="","",VLOOKUP(B2077,CadProd!$A:$B,2,0)),"")</f>
        <v/>
      </c>
      <c r="D2077" t="str">
        <f>IFERROR(IF(B2077="","",VLOOKUP(B2077,CadProd!$A:$C,3,0)),"")</f>
        <v/>
      </c>
      <c r="G2077" s="1" t="str">
        <f t="shared" si="32"/>
        <v/>
      </c>
    </row>
    <row r="2078" spans="3:7" x14ac:dyDescent="0.3">
      <c r="C2078" t="str">
        <f>IFERROR(IF(B2078="","",VLOOKUP(B2078,CadProd!$A:$B,2,0)),"")</f>
        <v/>
      </c>
      <c r="D2078" t="str">
        <f>IFERROR(IF(B2078="","",VLOOKUP(B2078,CadProd!$A:$C,3,0)),"")</f>
        <v/>
      </c>
      <c r="G2078" s="1" t="str">
        <f t="shared" si="32"/>
        <v/>
      </c>
    </row>
    <row r="2079" spans="3:7" x14ac:dyDescent="0.3">
      <c r="C2079" t="str">
        <f>IFERROR(IF(B2079="","",VLOOKUP(B2079,CadProd!$A:$B,2,0)),"")</f>
        <v/>
      </c>
      <c r="D2079" t="str">
        <f>IFERROR(IF(B2079="","",VLOOKUP(B2079,CadProd!$A:$C,3,0)),"")</f>
        <v/>
      </c>
      <c r="G2079" s="1" t="str">
        <f t="shared" si="32"/>
        <v/>
      </c>
    </row>
    <row r="2080" spans="3:7" x14ac:dyDescent="0.3">
      <c r="C2080" t="str">
        <f>IFERROR(IF(B2080="","",VLOOKUP(B2080,CadProd!$A:$B,2,0)),"")</f>
        <v/>
      </c>
      <c r="D2080" t="str">
        <f>IFERROR(IF(B2080="","",VLOOKUP(B2080,CadProd!$A:$C,3,0)),"")</f>
        <v/>
      </c>
      <c r="G2080" s="1" t="str">
        <f t="shared" si="32"/>
        <v/>
      </c>
    </row>
    <row r="2081" spans="3:7" x14ac:dyDescent="0.3">
      <c r="C2081" t="str">
        <f>IFERROR(IF(B2081="","",VLOOKUP(B2081,CadProd!$A:$B,2,0)),"")</f>
        <v/>
      </c>
      <c r="D2081" t="str">
        <f>IFERROR(IF(B2081="","",VLOOKUP(B2081,CadProd!$A:$C,3,0)),"")</f>
        <v/>
      </c>
      <c r="G2081" s="1" t="str">
        <f t="shared" si="32"/>
        <v/>
      </c>
    </row>
    <row r="2082" spans="3:7" x14ac:dyDescent="0.3">
      <c r="C2082" t="str">
        <f>IFERROR(IF(B2082="","",VLOOKUP(B2082,CadProd!$A:$B,2,0)),"")</f>
        <v/>
      </c>
      <c r="D2082" t="str">
        <f>IFERROR(IF(B2082="","",VLOOKUP(B2082,CadProd!$A:$C,3,0)),"")</f>
        <v/>
      </c>
      <c r="G2082" s="1" t="str">
        <f t="shared" si="32"/>
        <v/>
      </c>
    </row>
    <row r="2083" spans="3:7" x14ac:dyDescent="0.3">
      <c r="C2083" t="str">
        <f>IFERROR(IF(B2083="","",VLOOKUP(B2083,CadProd!$A:$B,2,0)),"")</f>
        <v/>
      </c>
      <c r="D2083" t="str">
        <f>IFERROR(IF(B2083="","",VLOOKUP(B2083,CadProd!$A:$C,3,0)),"")</f>
        <v/>
      </c>
      <c r="G2083" s="1" t="str">
        <f t="shared" si="32"/>
        <v/>
      </c>
    </row>
    <row r="2084" spans="3:7" x14ac:dyDescent="0.3">
      <c r="C2084" t="str">
        <f>IFERROR(IF(B2084="","",VLOOKUP(B2084,CadProd!$A:$B,2,0)),"")</f>
        <v/>
      </c>
      <c r="D2084" t="str">
        <f>IFERROR(IF(B2084="","",VLOOKUP(B2084,CadProd!$A:$C,3,0)),"")</f>
        <v/>
      </c>
      <c r="G2084" s="1" t="str">
        <f t="shared" si="32"/>
        <v/>
      </c>
    </row>
    <row r="2085" spans="3:7" x14ac:dyDescent="0.3">
      <c r="C2085" t="str">
        <f>IFERROR(IF(B2085="","",VLOOKUP(B2085,CadProd!$A:$B,2,0)),"")</f>
        <v/>
      </c>
      <c r="D2085" t="str">
        <f>IFERROR(IF(B2085="","",VLOOKUP(B2085,CadProd!$A:$C,3,0)),"")</f>
        <v/>
      </c>
      <c r="G2085" s="1" t="str">
        <f t="shared" si="32"/>
        <v/>
      </c>
    </row>
    <row r="2086" spans="3:7" x14ac:dyDescent="0.3">
      <c r="C2086" t="str">
        <f>IFERROR(IF(B2086="","",VLOOKUP(B2086,CadProd!$A:$B,2,0)),"")</f>
        <v/>
      </c>
      <c r="D2086" t="str">
        <f>IFERROR(IF(B2086="","",VLOOKUP(B2086,CadProd!$A:$C,3,0)),"")</f>
        <v/>
      </c>
      <c r="G2086" s="1" t="str">
        <f t="shared" si="32"/>
        <v/>
      </c>
    </row>
    <row r="2087" spans="3:7" x14ac:dyDescent="0.3">
      <c r="C2087" t="str">
        <f>IFERROR(IF(B2087="","",VLOOKUP(B2087,CadProd!$A:$B,2,0)),"")</f>
        <v/>
      </c>
      <c r="D2087" t="str">
        <f>IFERROR(IF(B2087="","",VLOOKUP(B2087,CadProd!$A:$C,3,0)),"")</f>
        <v/>
      </c>
      <c r="G2087" s="1" t="str">
        <f t="shared" si="32"/>
        <v/>
      </c>
    </row>
    <row r="2088" spans="3:7" x14ac:dyDescent="0.3">
      <c r="C2088" t="str">
        <f>IFERROR(IF(B2088="","",VLOOKUP(B2088,CadProd!$A:$B,2,0)),"")</f>
        <v/>
      </c>
      <c r="D2088" t="str">
        <f>IFERROR(IF(B2088="","",VLOOKUP(B2088,CadProd!$A:$C,3,0)),"")</f>
        <v/>
      </c>
      <c r="G2088" s="1" t="str">
        <f t="shared" si="32"/>
        <v/>
      </c>
    </row>
    <row r="2089" spans="3:7" x14ac:dyDescent="0.3">
      <c r="C2089" t="str">
        <f>IFERROR(IF(B2089="","",VLOOKUP(B2089,CadProd!$A:$B,2,0)),"")</f>
        <v/>
      </c>
      <c r="D2089" t="str">
        <f>IFERROR(IF(B2089="","",VLOOKUP(B2089,CadProd!$A:$C,3,0)),"")</f>
        <v/>
      </c>
      <c r="G2089" s="1" t="str">
        <f t="shared" si="32"/>
        <v/>
      </c>
    </row>
    <row r="2090" spans="3:7" x14ac:dyDescent="0.3">
      <c r="C2090" t="str">
        <f>IFERROR(IF(B2090="","",VLOOKUP(B2090,CadProd!$A:$B,2,0)),"")</f>
        <v/>
      </c>
      <c r="D2090" t="str">
        <f>IFERROR(IF(B2090="","",VLOOKUP(B2090,CadProd!$A:$C,3,0)),"")</f>
        <v/>
      </c>
      <c r="G2090" s="1" t="str">
        <f t="shared" si="32"/>
        <v/>
      </c>
    </row>
    <row r="2091" spans="3:7" x14ac:dyDescent="0.3">
      <c r="C2091" t="str">
        <f>IFERROR(IF(B2091="","",VLOOKUP(B2091,CadProd!$A:$B,2,0)),"")</f>
        <v/>
      </c>
      <c r="D2091" t="str">
        <f>IFERROR(IF(B2091="","",VLOOKUP(B2091,CadProd!$A:$C,3,0)),"")</f>
        <v/>
      </c>
      <c r="G2091" s="1" t="str">
        <f t="shared" si="32"/>
        <v/>
      </c>
    </row>
    <row r="2092" spans="3:7" x14ac:dyDescent="0.3">
      <c r="C2092" t="str">
        <f>IFERROR(IF(B2092="","",VLOOKUP(B2092,CadProd!$A:$B,2,0)),"")</f>
        <v/>
      </c>
      <c r="D2092" t="str">
        <f>IFERROR(IF(B2092="","",VLOOKUP(B2092,CadProd!$A:$C,3,0)),"")</f>
        <v/>
      </c>
      <c r="G2092" s="1" t="str">
        <f t="shared" si="32"/>
        <v/>
      </c>
    </row>
    <row r="2093" spans="3:7" x14ac:dyDescent="0.3">
      <c r="C2093" t="str">
        <f>IFERROR(IF(B2093="","",VLOOKUP(B2093,CadProd!$A:$B,2,0)),"")</f>
        <v/>
      </c>
      <c r="D2093" t="str">
        <f>IFERROR(IF(B2093="","",VLOOKUP(B2093,CadProd!$A:$C,3,0)),"")</f>
        <v/>
      </c>
      <c r="G2093" s="1" t="str">
        <f t="shared" si="32"/>
        <v/>
      </c>
    </row>
    <row r="2094" spans="3:7" x14ac:dyDescent="0.3">
      <c r="C2094" t="str">
        <f>IFERROR(IF(B2094="","",VLOOKUP(B2094,CadProd!$A:$B,2,0)),"")</f>
        <v/>
      </c>
      <c r="D2094" t="str">
        <f>IFERROR(IF(B2094="","",VLOOKUP(B2094,CadProd!$A:$C,3,0)),"")</f>
        <v/>
      </c>
      <c r="G2094" s="1" t="str">
        <f t="shared" si="32"/>
        <v/>
      </c>
    </row>
    <row r="2095" spans="3:7" x14ac:dyDescent="0.3">
      <c r="C2095" t="str">
        <f>IFERROR(IF(B2095="","",VLOOKUP(B2095,CadProd!$A:$B,2,0)),"")</f>
        <v/>
      </c>
      <c r="D2095" t="str">
        <f>IFERROR(IF(B2095="","",VLOOKUP(B2095,CadProd!$A:$C,3,0)),"")</f>
        <v/>
      </c>
      <c r="G2095" s="1" t="str">
        <f t="shared" si="32"/>
        <v/>
      </c>
    </row>
    <row r="2096" spans="3:7" x14ac:dyDescent="0.3">
      <c r="C2096" t="str">
        <f>IFERROR(IF(B2096="","",VLOOKUP(B2096,CadProd!$A:$B,2,0)),"")</f>
        <v/>
      </c>
      <c r="D2096" t="str">
        <f>IFERROR(IF(B2096="","",VLOOKUP(B2096,CadProd!$A:$C,3,0)),"")</f>
        <v/>
      </c>
      <c r="G2096" s="1" t="str">
        <f t="shared" si="32"/>
        <v/>
      </c>
    </row>
    <row r="2097" spans="3:7" x14ac:dyDescent="0.3">
      <c r="C2097" t="str">
        <f>IFERROR(IF(B2097="","",VLOOKUP(B2097,CadProd!$A:$B,2,0)),"")</f>
        <v/>
      </c>
      <c r="D2097" t="str">
        <f>IFERROR(IF(B2097="","",VLOOKUP(B2097,CadProd!$A:$C,3,0)),"")</f>
        <v/>
      </c>
      <c r="G2097" s="1" t="str">
        <f t="shared" si="32"/>
        <v/>
      </c>
    </row>
    <row r="2098" spans="3:7" x14ac:dyDescent="0.3">
      <c r="C2098" t="str">
        <f>IFERROR(IF(B2098="","",VLOOKUP(B2098,CadProd!$A:$B,2,0)),"")</f>
        <v/>
      </c>
      <c r="D2098" t="str">
        <f>IFERROR(IF(B2098="","",VLOOKUP(B2098,CadProd!$A:$C,3,0)),"")</f>
        <v/>
      </c>
      <c r="G2098" s="1" t="str">
        <f t="shared" si="32"/>
        <v/>
      </c>
    </row>
    <row r="2099" spans="3:7" x14ac:dyDescent="0.3">
      <c r="C2099" t="str">
        <f>IFERROR(IF(B2099="","",VLOOKUP(B2099,CadProd!$A:$B,2,0)),"")</f>
        <v/>
      </c>
      <c r="D2099" t="str">
        <f>IFERROR(IF(B2099="","",VLOOKUP(B2099,CadProd!$A:$C,3,0)),"")</f>
        <v/>
      </c>
      <c r="G2099" s="1" t="str">
        <f t="shared" si="32"/>
        <v/>
      </c>
    </row>
    <row r="2100" spans="3:7" x14ac:dyDescent="0.3">
      <c r="C2100" t="str">
        <f>IFERROR(IF(B2100="","",VLOOKUP(B2100,CadProd!$A:$B,2,0)),"")</f>
        <v/>
      </c>
      <c r="D2100" t="str">
        <f>IFERROR(IF(B2100="","",VLOOKUP(B2100,CadProd!$A:$C,3,0)),"")</f>
        <v/>
      </c>
      <c r="G2100" s="1" t="str">
        <f t="shared" si="32"/>
        <v/>
      </c>
    </row>
    <row r="2101" spans="3:7" x14ac:dyDescent="0.3">
      <c r="C2101" t="str">
        <f>IFERROR(IF(B2101="","",VLOOKUP(B2101,CadProd!$A:$B,2,0)),"")</f>
        <v/>
      </c>
      <c r="D2101" t="str">
        <f>IFERROR(IF(B2101="","",VLOOKUP(B2101,CadProd!$A:$C,3,0)),"")</f>
        <v/>
      </c>
      <c r="G2101" s="1" t="str">
        <f t="shared" si="32"/>
        <v/>
      </c>
    </row>
    <row r="2102" spans="3:7" x14ac:dyDescent="0.3">
      <c r="C2102" t="str">
        <f>IFERROR(IF(B2102="","",VLOOKUP(B2102,CadProd!$A:$B,2,0)),"")</f>
        <v/>
      </c>
      <c r="D2102" t="str">
        <f>IFERROR(IF(B2102="","",VLOOKUP(B2102,CadProd!$A:$C,3,0)),"")</f>
        <v/>
      </c>
      <c r="G2102" s="1" t="str">
        <f t="shared" si="32"/>
        <v/>
      </c>
    </row>
    <row r="2103" spans="3:7" x14ac:dyDescent="0.3">
      <c r="C2103" t="str">
        <f>IFERROR(IF(B2103="","",VLOOKUP(B2103,CadProd!$A:$B,2,0)),"")</f>
        <v/>
      </c>
      <c r="D2103" t="str">
        <f>IFERROR(IF(B2103="","",VLOOKUP(B2103,CadProd!$A:$C,3,0)),"")</f>
        <v/>
      </c>
      <c r="G2103" s="1" t="str">
        <f t="shared" si="32"/>
        <v/>
      </c>
    </row>
    <row r="2104" spans="3:7" x14ac:dyDescent="0.3">
      <c r="C2104" t="str">
        <f>IFERROR(IF(B2104="","",VLOOKUP(B2104,CadProd!$A:$B,2,0)),"")</f>
        <v/>
      </c>
      <c r="D2104" t="str">
        <f>IFERROR(IF(B2104="","",VLOOKUP(B2104,CadProd!$A:$C,3,0)),"")</f>
        <v/>
      </c>
      <c r="G2104" s="1" t="str">
        <f t="shared" si="32"/>
        <v/>
      </c>
    </row>
    <row r="2105" spans="3:7" x14ac:dyDescent="0.3">
      <c r="C2105" t="str">
        <f>IFERROR(IF(B2105="","",VLOOKUP(B2105,CadProd!$A:$B,2,0)),"")</f>
        <v/>
      </c>
      <c r="D2105" t="str">
        <f>IFERROR(IF(B2105="","",VLOOKUP(B2105,CadProd!$A:$C,3,0)),"")</f>
        <v/>
      </c>
      <c r="G2105" s="1" t="str">
        <f t="shared" si="32"/>
        <v/>
      </c>
    </row>
    <row r="2106" spans="3:7" x14ac:dyDescent="0.3">
      <c r="C2106" t="str">
        <f>IFERROR(IF(B2106="","",VLOOKUP(B2106,CadProd!$A:$B,2,0)),"")</f>
        <v/>
      </c>
      <c r="D2106" t="str">
        <f>IFERROR(IF(B2106="","",VLOOKUP(B2106,CadProd!$A:$C,3,0)),"")</f>
        <v/>
      </c>
      <c r="G2106" s="1" t="str">
        <f t="shared" si="32"/>
        <v/>
      </c>
    </row>
    <row r="2107" spans="3:7" x14ac:dyDescent="0.3">
      <c r="C2107" t="str">
        <f>IFERROR(IF(B2107="","",VLOOKUP(B2107,CadProd!$A:$B,2,0)),"")</f>
        <v/>
      </c>
      <c r="D2107" t="str">
        <f>IFERROR(IF(B2107="","",VLOOKUP(B2107,CadProd!$A:$C,3,0)),"")</f>
        <v/>
      </c>
      <c r="G2107" s="1" t="str">
        <f t="shared" si="32"/>
        <v/>
      </c>
    </row>
    <row r="2108" spans="3:7" x14ac:dyDescent="0.3">
      <c r="C2108" t="str">
        <f>IFERROR(IF(B2108="","",VLOOKUP(B2108,CadProd!$A:$B,2,0)),"")</f>
        <v/>
      </c>
      <c r="D2108" t="str">
        <f>IFERROR(IF(B2108="","",VLOOKUP(B2108,CadProd!$A:$C,3,0)),"")</f>
        <v/>
      </c>
      <c r="G2108" s="1" t="str">
        <f t="shared" si="32"/>
        <v/>
      </c>
    </row>
    <row r="2109" spans="3:7" x14ac:dyDescent="0.3">
      <c r="C2109" t="str">
        <f>IFERROR(IF(B2109="","",VLOOKUP(B2109,CadProd!$A:$B,2,0)),"")</f>
        <v/>
      </c>
      <c r="D2109" t="str">
        <f>IFERROR(IF(B2109="","",VLOOKUP(B2109,CadProd!$A:$C,3,0)),"")</f>
        <v/>
      </c>
      <c r="G2109" s="1" t="str">
        <f t="shared" si="32"/>
        <v/>
      </c>
    </row>
    <row r="2110" spans="3:7" x14ac:dyDescent="0.3">
      <c r="C2110" t="str">
        <f>IFERROR(IF(B2110="","",VLOOKUP(B2110,CadProd!$A:$B,2,0)),"")</f>
        <v/>
      </c>
      <c r="D2110" t="str">
        <f>IFERROR(IF(B2110="","",VLOOKUP(B2110,CadProd!$A:$C,3,0)),"")</f>
        <v/>
      </c>
      <c r="G2110" s="1" t="str">
        <f t="shared" si="32"/>
        <v/>
      </c>
    </row>
    <row r="2111" spans="3:7" x14ac:dyDescent="0.3">
      <c r="C2111" t="str">
        <f>IFERROR(IF(B2111="","",VLOOKUP(B2111,CadProd!$A:$B,2,0)),"")</f>
        <v/>
      </c>
      <c r="D2111" t="str">
        <f>IFERROR(IF(B2111="","",VLOOKUP(B2111,CadProd!$A:$C,3,0)),"")</f>
        <v/>
      </c>
      <c r="G2111" s="1" t="str">
        <f t="shared" si="32"/>
        <v/>
      </c>
    </row>
    <row r="2112" spans="3:7" x14ac:dyDescent="0.3">
      <c r="C2112" t="str">
        <f>IFERROR(IF(B2112="","",VLOOKUP(B2112,CadProd!$A:$B,2,0)),"")</f>
        <v/>
      </c>
      <c r="D2112" t="str">
        <f>IFERROR(IF(B2112="","",VLOOKUP(B2112,CadProd!$A:$C,3,0)),"")</f>
        <v/>
      </c>
      <c r="G2112" s="1" t="str">
        <f t="shared" si="32"/>
        <v/>
      </c>
    </row>
    <row r="2113" spans="3:7" x14ac:dyDescent="0.3">
      <c r="C2113" t="str">
        <f>IFERROR(IF(B2113="","",VLOOKUP(B2113,CadProd!$A:$B,2,0)),"")</f>
        <v/>
      </c>
      <c r="D2113" t="str">
        <f>IFERROR(IF(B2113="","",VLOOKUP(B2113,CadProd!$A:$C,3,0)),"")</f>
        <v/>
      </c>
      <c r="G2113" s="1" t="str">
        <f t="shared" si="32"/>
        <v/>
      </c>
    </row>
    <row r="2114" spans="3:7" x14ac:dyDescent="0.3">
      <c r="C2114" t="str">
        <f>IFERROR(IF(B2114="","",VLOOKUP(B2114,CadProd!$A:$B,2,0)),"")</f>
        <v/>
      </c>
      <c r="D2114" t="str">
        <f>IFERROR(IF(B2114="","",VLOOKUP(B2114,CadProd!$A:$C,3,0)),"")</f>
        <v/>
      </c>
      <c r="G2114" s="1" t="str">
        <f t="shared" ref="G2114:G2177" si="33">IFERROR(IF(B2114="","",F2114*E2114),"")</f>
        <v/>
      </c>
    </row>
    <row r="2115" spans="3:7" x14ac:dyDescent="0.3">
      <c r="C2115" t="str">
        <f>IFERROR(IF(B2115="","",VLOOKUP(B2115,CadProd!$A:$B,2,0)),"")</f>
        <v/>
      </c>
      <c r="D2115" t="str">
        <f>IFERROR(IF(B2115="","",VLOOKUP(B2115,CadProd!$A:$C,3,0)),"")</f>
        <v/>
      </c>
      <c r="G2115" s="1" t="str">
        <f t="shared" si="33"/>
        <v/>
      </c>
    </row>
    <row r="2116" spans="3:7" x14ac:dyDescent="0.3">
      <c r="C2116" t="str">
        <f>IFERROR(IF(B2116="","",VLOOKUP(B2116,CadProd!$A:$B,2,0)),"")</f>
        <v/>
      </c>
      <c r="D2116" t="str">
        <f>IFERROR(IF(B2116="","",VLOOKUP(B2116,CadProd!$A:$C,3,0)),"")</f>
        <v/>
      </c>
      <c r="G2116" s="1" t="str">
        <f t="shared" si="33"/>
        <v/>
      </c>
    </row>
    <row r="2117" spans="3:7" x14ac:dyDescent="0.3">
      <c r="C2117" t="str">
        <f>IFERROR(IF(B2117="","",VLOOKUP(B2117,CadProd!$A:$B,2,0)),"")</f>
        <v/>
      </c>
      <c r="D2117" t="str">
        <f>IFERROR(IF(B2117="","",VLOOKUP(B2117,CadProd!$A:$C,3,0)),"")</f>
        <v/>
      </c>
      <c r="G2117" s="1" t="str">
        <f t="shared" si="33"/>
        <v/>
      </c>
    </row>
    <row r="2118" spans="3:7" x14ac:dyDescent="0.3">
      <c r="C2118" t="str">
        <f>IFERROR(IF(B2118="","",VLOOKUP(B2118,CadProd!$A:$B,2,0)),"")</f>
        <v/>
      </c>
      <c r="D2118" t="str">
        <f>IFERROR(IF(B2118="","",VLOOKUP(B2118,CadProd!$A:$C,3,0)),"")</f>
        <v/>
      </c>
      <c r="G2118" s="1" t="str">
        <f t="shared" si="33"/>
        <v/>
      </c>
    </row>
    <row r="2119" spans="3:7" x14ac:dyDescent="0.3">
      <c r="C2119" t="str">
        <f>IFERROR(IF(B2119="","",VLOOKUP(B2119,CadProd!$A:$B,2,0)),"")</f>
        <v/>
      </c>
      <c r="D2119" t="str">
        <f>IFERROR(IF(B2119="","",VLOOKUP(B2119,CadProd!$A:$C,3,0)),"")</f>
        <v/>
      </c>
      <c r="G2119" s="1" t="str">
        <f t="shared" si="33"/>
        <v/>
      </c>
    </row>
    <row r="2120" spans="3:7" x14ac:dyDescent="0.3">
      <c r="C2120" t="str">
        <f>IFERROR(IF(B2120="","",VLOOKUP(B2120,CadProd!$A:$B,2,0)),"")</f>
        <v/>
      </c>
      <c r="D2120" t="str">
        <f>IFERROR(IF(B2120="","",VLOOKUP(B2120,CadProd!$A:$C,3,0)),"")</f>
        <v/>
      </c>
      <c r="G2120" s="1" t="str">
        <f t="shared" si="33"/>
        <v/>
      </c>
    </row>
    <row r="2121" spans="3:7" x14ac:dyDescent="0.3">
      <c r="C2121" t="str">
        <f>IFERROR(IF(B2121="","",VLOOKUP(B2121,CadProd!$A:$B,2,0)),"")</f>
        <v/>
      </c>
      <c r="D2121" t="str">
        <f>IFERROR(IF(B2121="","",VLOOKUP(B2121,CadProd!$A:$C,3,0)),"")</f>
        <v/>
      </c>
      <c r="G2121" s="1" t="str">
        <f t="shared" si="33"/>
        <v/>
      </c>
    </row>
    <row r="2122" spans="3:7" x14ac:dyDescent="0.3">
      <c r="C2122" t="str">
        <f>IFERROR(IF(B2122="","",VLOOKUP(B2122,CadProd!$A:$B,2,0)),"")</f>
        <v/>
      </c>
      <c r="D2122" t="str">
        <f>IFERROR(IF(B2122="","",VLOOKUP(B2122,CadProd!$A:$C,3,0)),"")</f>
        <v/>
      </c>
      <c r="G2122" s="1" t="str">
        <f t="shared" si="33"/>
        <v/>
      </c>
    </row>
    <row r="2123" spans="3:7" x14ac:dyDescent="0.3">
      <c r="C2123" t="str">
        <f>IFERROR(IF(B2123="","",VLOOKUP(B2123,CadProd!$A:$B,2,0)),"")</f>
        <v/>
      </c>
      <c r="D2123" t="str">
        <f>IFERROR(IF(B2123="","",VLOOKUP(B2123,CadProd!$A:$C,3,0)),"")</f>
        <v/>
      </c>
      <c r="G2123" s="1" t="str">
        <f t="shared" si="33"/>
        <v/>
      </c>
    </row>
    <row r="2124" spans="3:7" x14ac:dyDescent="0.3">
      <c r="C2124" t="str">
        <f>IFERROR(IF(B2124="","",VLOOKUP(B2124,CadProd!$A:$B,2,0)),"")</f>
        <v/>
      </c>
      <c r="D2124" t="str">
        <f>IFERROR(IF(B2124="","",VLOOKUP(B2124,CadProd!$A:$C,3,0)),"")</f>
        <v/>
      </c>
      <c r="G2124" s="1" t="str">
        <f t="shared" si="33"/>
        <v/>
      </c>
    </row>
    <row r="2125" spans="3:7" x14ac:dyDescent="0.3">
      <c r="C2125" t="str">
        <f>IFERROR(IF(B2125="","",VLOOKUP(B2125,CadProd!$A:$B,2,0)),"")</f>
        <v/>
      </c>
      <c r="D2125" t="str">
        <f>IFERROR(IF(B2125="","",VLOOKUP(B2125,CadProd!$A:$C,3,0)),"")</f>
        <v/>
      </c>
      <c r="G2125" s="1" t="str">
        <f t="shared" si="33"/>
        <v/>
      </c>
    </row>
    <row r="2126" spans="3:7" x14ac:dyDescent="0.3">
      <c r="C2126" t="str">
        <f>IFERROR(IF(B2126="","",VLOOKUP(B2126,CadProd!$A:$B,2,0)),"")</f>
        <v/>
      </c>
      <c r="D2126" t="str">
        <f>IFERROR(IF(B2126="","",VLOOKUP(B2126,CadProd!$A:$C,3,0)),"")</f>
        <v/>
      </c>
      <c r="G2126" s="1" t="str">
        <f t="shared" si="33"/>
        <v/>
      </c>
    </row>
    <row r="2127" spans="3:7" x14ac:dyDescent="0.3">
      <c r="C2127" t="str">
        <f>IFERROR(IF(B2127="","",VLOOKUP(B2127,CadProd!$A:$B,2,0)),"")</f>
        <v/>
      </c>
      <c r="D2127" t="str">
        <f>IFERROR(IF(B2127="","",VLOOKUP(B2127,CadProd!$A:$C,3,0)),"")</f>
        <v/>
      </c>
      <c r="G2127" s="1" t="str">
        <f t="shared" si="33"/>
        <v/>
      </c>
    </row>
    <row r="2128" spans="3:7" x14ac:dyDescent="0.3">
      <c r="C2128" t="str">
        <f>IFERROR(IF(B2128="","",VLOOKUP(B2128,CadProd!$A:$B,2,0)),"")</f>
        <v/>
      </c>
      <c r="D2128" t="str">
        <f>IFERROR(IF(B2128="","",VLOOKUP(B2128,CadProd!$A:$C,3,0)),"")</f>
        <v/>
      </c>
      <c r="G2128" s="1" t="str">
        <f t="shared" si="33"/>
        <v/>
      </c>
    </row>
    <row r="2129" spans="3:7" x14ac:dyDescent="0.3">
      <c r="C2129" t="str">
        <f>IFERROR(IF(B2129="","",VLOOKUP(B2129,CadProd!$A:$B,2,0)),"")</f>
        <v/>
      </c>
      <c r="D2129" t="str">
        <f>IFERROR(IF(B2129="","",VLOOKUP(B2129,CadProd!$A:$C,3,0)),"")</f>
        <v/>
      </c>
      <c r="G2129" s="1" t="str">
        <f t="shared" si="33"/>
        <v/>
      </c>
    </row>
    <row r="2130" spans="3:7" x14ac:dyDescent="0.3">
      <c r="C2130" t="str">
        <f>IFERROR(IF(B2130="","",VLOOKUP(B2130,CadProd!$A:$B,2,0)),"")</f>
        <v/>
      </c>
      <c r="D2130" t="str">
        <f>IFERROR(IF(B2130="","",VLOOKUP(B2130,CadProd!$A:$C,3,0)),"")</f>
        <v/>
      </c>
      <c r="G2130" s="1" t="str">
        <f t="shared" si="33"/>
        <v/>
      </c>
    </row>
    <row r="2131" spans="3:7" x14ac:dyDescent="0.3">
      <c r="C2131" t="str">
        <f>IFERROR(IF(B2131="","",VLOOKUP(B2131,CadProd!$A:$B,2,0)),"")</f>
        <v/>
      </c>
      <c r="D2131" t="str">
        <f>IFERROR(IF(B2131="","",VLOOKUP(B2131,CadProd!$A:$C,3,0)),"")</f>
        <v/>
      </c>
      <c r="G2131" s="1" t="str">
        <f t="shared" si="33"/>
        <v/>
      </c>
    </row>
    <row r="2132" spans="3:7" x14ac:dyDescent="0.3">
      <c r="C2132" t="str">
        <f>IFERROR(IF(B2132="","",VLOOKUP(B2132,CadProd!$A:$B,2,0)),"")</f>
        <v/>
      </c>
      <c r="D2132" t="str">
        <f>IFERROR(IF(B2132="","",VLOOKUP(B2132,CadProd!$A:$C,3,0)),"")</f>
        <v/>
      </c>
      <c r="G2132" s="1" t="str">
        <f t="shared" si="33"/>
        <v/>
      </c>
    </row>
    <row r="2133" spans="3:7" x14ac:dyDescent="0.3">
      <c r="C2133" t="str">
        <f>IFERROR(IF(B2133="","",VLOOKUP(B2133,CadProd!$A:$B,2,0)),"")</f>
        <v/>
      </c>
      <c r="D2133" t="str">
        <f>IFERROR(IF(B2133="","",VLOOKUP(B2133,CadProd!$A:$C,3,0)),"")</f>
        <v/>
      </c>
      <c r="G2133" s="1" t="str">
        <f t="shared" si="33"/>
        <v/>
      </c>
    </row>
    <row r="2134" spans="3:7" x14ac:dyDescent="0.3">
      <c r="C2134" t="str">
        <f>IFERROR(IF(B2134="","",VLOOKUP(B2134,CadProd!$A:$B,2,0)),"")</f>
        <v/>
      </c>
      <c r="D2134" t="str">
        <f>IFERROR(IF(B2134="","",VLOOKUP(B2134,CadProd!$A:$C,3,0)),"")</f>
        <v/>
      </c>
      <c r="G2134" s="1" t="str">
        <f t="shared" si="33"/>
        <v/>
      </c>
    </row>
    <row r="2135" spans="3:7" x14ac:dyDescent="0.3">
      <c r="C2135" t="str">
        <f>IFERROR(IF(B2135="","",VLOOKUP(B2135,CadProd!$A:$B,2,0)),"")</f>
        <v/>
      </c>
      <c r="D2135" t="str">
        <f>IFERROR(IF(B2135="","",VLOOKUP(B2135,CadProd!$A:$C,3,0)),"")</f>
        <v/>
      </c>
      <c r="G2135" s="1" t="str">
        <f t="shared" si="33"/>
        <v/>
      </c>
    </row>
    <row r="2136" spans="3:7" x14ac:dyDescent="0.3">
      <c r="C2136" t="str">
        <f>IFERROR(IF(B2136="","",VLOOKUP(B2136,CadProd!$A:$B,2,0)),"")</f>
        <v/>
      </c>
      <c r="D2136" t="str">
        <f>IFERROR(IF(B2136="","",VLOOKUP(B2136,CadProd!$A:$C,3,0)),"")</f>
        <v/>
      </c>
      <c r="G2136" s="1" t="str">
        <f t="shared" si="33"/>
        <v/>
      </c>
    </row>
    <row r="2137" spans="3:7" x14ac:dyDescent="0.3">
      <c r="C2137" t="str">
        <f>IFERROR(IF(B2137="","",VLOOKUP(B2137,CadProd!$A:$B,2,0)),"")</f>
        <v/>
      </c>
      <c r="D2137" t="str">
        <f>IFERROR(IF(B2137="","",VLOOKUP(B2137,CadProd!$A:$C,3,0)),"")</f>
        <v/>
      </c>
      <c r="G2137" s="1" t="str">
        <f t="shared" si="33"/>
        <v/>
      </c>
    </row>
    <row r="2138" spans="3:7" x14ac:dyDescent="0.3">
      <c r="C2138" t="str">
        <f>IFERROR(IF(B2138="","",VLOOKUP(B2138,CadProd!$A:$B,2,0)),"")</f>
        <v/>
      </c>
      <c r="D2138" t="str">
        <f>IFERROR(IF(B2138="","",VLOOKUP(B2138,CadProd!$A:$C,3,0)),"")</f>
        <v/>
      </c>
      <c r="G2138" s="1" t="str">
        <f t="shared" si="33"/>
        <v/>
      </c>
    </row>
    <row r="2139" spans="3:7" x14ac:dyDescent="0.3">
      <c r="C2139" t="str">
        <f>IFERROR(IF(B2139="","",VLOOKUP(B2139,CadProd!$A:$B,2,0)),"")</f>
        <v/>
      </c>
      <c r="D2139" t="str">
        <f>IFERROR(IF(B2139="","",VLOOKUP(B2139,CadProd!$A:$C,3,0)),"")</f>
        <v/>
      </c>
      <c r="G2139" s="1" t="str">
        <f t="shared" si="33"/>
        <v/>
      </c>
    </row>
    <row r="2140" spans="3:7" x14ac:dyDescent="0.3">
      <c r="C2140" t="str">
        <f>IFERROR(IF(B2140="","",VLOOKUP(B2140,CadProd!$A:$B,2,0)),"")</f>
        <v/>
      </c>
      <c r="D2140" t="str">
        <f>IFERROR(IF(B2140="","",VLOOKUP(B2140,CadProd!$A:$C,3,0)),"")</f>
        <v/>
      </c>
      <c r="G2140" s="1" t="str">
        <f t="shared" si="33"/>
        <v/>
      </c>
    </row>
    <row r="2141" spans="3:7" x14ac:dyDescent="0.3">
      <c r="C2141" t="str">
        <f>IFERROR(IF(B2141="","",VLOOKUP(B2141,CadProd!$A:$B,2,0)),"")</f>
        <v/>
      </c>
      <c r="D2141" t="str">
        <f>IFERROR(IF(B2141="","",VLOOKUP(B2141,CadProd!$A:$C,3,0)),"")</f>
        <v/>
      </c>
      <c r="G2141" s="1" t="str">
        <f t="shared" si="33"/>
        <v/>
      </c>
    </row>
    <row r="2142" spans="3:7" x14ac:dyDescent="0.3">
      <c r="C2142" t="str">
        <f>IFERROR(IF(B2142="","",VLOOKUP(B2142,CadProd!$A:$B,2,0)),"")</f>
        <v/>
      </c>
      <c r="D2142" t="str">
        <f>IFERROR(IF(B2142="","",VLOOKUP(B2142,CadProd!$A:$C,3,0)),"")</f>
        <v/>
      </c>
      <c r="G2142" s="1" t="str">
        <f t="shared" si="33"/>
        <v/>
      </c>
    </row>
    <row r="2143" spans="3:7" x14ac:dyDescent="0.3">
      <c r="C2143" t="str">
        <f>IFERROR(IF(B2143="","",VLOOKUP(B2143,CadProd!$A:$B,2,0)),"")</f>
        <v/>
      </c>
      <c r="D2143" t="str">
        <f>IFERROR(IF(B2143="","",VLOOKUP(B2143,CadProd!$A:$C,3,0)),"")</f>
        <v/>
      </c>
      <c r="G2143" s="1" t="str">
        <f t="shared" si="33"/>
        <v/>
      </c>
    </row>
    <row r="2144" spans="3:7" x14ac:dyDescent="0.3">
      <c r="C2144" t="str">
        <f>IFERROR(IF(B2144="","",VLOOKUP(B2144,CadProd!$A:$B,2,0)),"")</f>
        <v/>
      </c>
      <c r="D2144" t="str">
        <f>IFERROR(IF(B2144="","",VLOOKUP(B2144,CadProd!$A:$C,3,0)),"")</f>
        <v/>
      </c>
      <c r="G2144" s="1" t="str">
        <f t="shared" si="33"/>
        <v/>
      </c>
    </row>
    <row r="2145" spans="3:7" x14ac:dyDescent="0.3">
      <c r="C2145" t="str">
        <f>IFERROR(IF(B2145="","",VLOOKUP(B2145,CadProd!$A:$B,2,0)),"")</f>
        <v/>
      </c>
      <c r="D2145" t="str">
        <f>IFERROR(IF(B2145="","",VLOOKUP(B2145,CadProd!$A:$C,3,0)),"")</f>
        <v/>
      </c>
      <c r="G2145" s="1" t="str">
        <f t="shared" si="33"/>
        <v/>
      </c>
    </row>
    <row r="2146" spans="3:7" x14ac:dyDescent="0.3">
      <c r="C2146" t="str">
        <f>IFERROR(IF(B2146="","",VLOOKUP(B2146,CadProd!$A:$B,2,0)),"")</f>
        <v/>
      </c>
      <c r="D2146" t="str">
        <f>IFERROR(IF(B2146="","",VLOOKUP(B2146,CadProd!$A:$C,3,0)),"")</f>
        <v/>
      </c>
      <c r="G2146" s="1" t="str">
        <f t="shared" si="33"/>
        <v/>
      </c>
    </row>
    <row r="2147" spans="3:7" x14ac:dyDescent="0.3">
      <c r="C2147" t="str">
        <f>IFERROR(IF(B2147="","",VLOOKUP(B2147,CadProd!$A:$B,2,0)),"")</f>
        <v/>
      </c>
      <c r="D2147" t="str">
        <f>IFERROR(IF(B2147="","",VLOOKUP(B2147,CadProd!$A:$C,3,0)),"")</f>
        <v/>
      </c>
      <c r="G2147" s="1" t="str">
        <f t="shared" si="33"/>
        <v/>
      </c>
    </row>
    <row r="2148" spans="3:7" x14ac:dyDescent="0.3">
      <c r="C2148" t="str">
        <f>IFERROR(IF(B2148="","",VLOOKUP(B2148,CadProd!$A:$B,2,0)),"")</f>
        <v/>
      </c>
      <c r="D2148" t="str">
        <f>IFERROR(IF(B2148="","",VLOOKUP(B2148,CadProd!$A:$C,3,0)),"")</f>
        <v/>
      </c>
      <c r="G2148" s="1" t="str">
        <f t="shared" si="33"/>
        <v/>
      </c>
    </row>
    <row r="2149" spans="3:7" x14ac:dyDescent="0.3">
      <c r="C2149" t="str">
        <f>IFERROR(IF(B2149="","",VLOOKUP(B2149,CadProd!$A:$B,2,0)),"")</f>
        <v/>
      </c>
      <c r="D2149" t="str">
        <f>IFERROR(IF(B2149="","",VLOOKUP(B2149,CadProd!$A:$C,3,0)),"")</f>
        <v/>
      </c>
      <c r="G2149" s="1" t="str">
        <f t="shared" si="33"/>
        <v/>
      </c>
    </row>
    <row r="2150" spans="3:7" x14ac:dyDescent="0.3">
      <c r="C2150" t="str">
        <f>IFERROR(IF(B2150="","",VLOOKUP(B2150,CadProd!$A:$B,2,0)),"")</f>
        <v/>
      </c>
      <c r="D2150" t="str">
        <f>IFERROR(IF(B2150="","",VLOOKUP(B2150,CadProd!$A:$C,3,0)),"")</f>
        <v/>
      </c>
      <c r="G2150" s="1" t="str">
        <f t="shared" si="33"/>
        <v/>
      </c>
    </row>
    <row r="2151" spans="3:7" x14ac:dyDescent="0.3">
      <c r="C2151" t="str">
        <f>IFERROR(IF(B2151="","",VLOOKUP(B2151,CadProd!$A:$B,2,0)),"")</f>
        <v/>
      </c>
      <c r="D2151" t="str">
        <f>IFERROR(IF(B2151="","",VLOOKUP(B2151,CadProd!$A:$C,3,0)),"")</f>
        <v/>
      </c>
      <c r="G2151" s="1" t="str">
        <f t="shared" si="33"/>
        <v/>
      </c>
    </row>
    <row r="2152" spans="3:7" x14ac:dyDescent="0.3">
      <c r="C2152" t="str">
        <f>IFERROR(IF(B2152="","",VLOOKUP(B2152,CadProd!$A:$B,2,0)),"")</f>
        <v/>
      </c>
      <c r="D2152" t="str">
        <f>IFERROR(IF(B2152="","",VLOOKUP(B2152,CadProd!$A:$C,3,0)),"")</f>
        <v/>
      </c>
      <c r="G2152" s="1" t="str">
        <f t="shared" si="33"/>
        <v/>
      </c>
    </row>
    <row r="2153" spans="3:7" x14ac:dyDescent="0.3">
      <c r="C2153" t="str">
        <f>IFERROR(IF(B2153="","",VLOOKUP(B2153,CadProd!$A:$B,2,0)),"")</f>
        <v/>
      </c>
      <c r="D2153" t="str">
        <f>IFERROR(IF(B2153="","",VLOOKUP(B2153,CadProd!$A:$C,3,0)),"")</f>
        <v/>
      </c>
      <c r="G2153" s="1" t="str">
        <f t="shared" si="33"/>
        <v/>
      </c>
    </row>
    <row r="2154" spans="3:7" x14ac:dyDescent="0.3">
      <c r="C2154" t="str">
        <f>IFERROR(IF(B2154="","",VLOOKUP(B2154,CadProd!$A:$B,2,0)),"")</f>
        <v/>
      </c>
      <c r="D2154" t="str">
        <f>IFERROR(IF(B2154="","",VLOOKUP(B2154,CadProd!$A:$C,3,0)),"")</f>
        <v/>
      </c>
      <c r="G2154" s="1" t="str">
        <f t="shared" si="33"/>
        <v/>
      </c>
    </row>
    <row r="2155" spans="3:7" x14ac:dyDescent="0.3">
      <c r="C2155" t="str">
        <f>IFERROR(IF(B2155="","",VLOOKUP(B2155,CadProd!$A:$B,2,0)),"")</f>
        <v/>
      </c>
      <c r="D2155" t="str">
        <f>IFERROR(IF(B2155="","",VLOOKUP(B2155,CadProd!$A:$C,3,0)),"")</f>
        <v/>
      </c>
      <c r="G2155" s="1" t="str">
        <f t="shared" si="33"/>
        <v/>
      </c>
    </row>
    <row r="2156" spans="3:7" x14ac:dyDescent="0.3">
      <c r="C2156" t="str">
        <f>IFERROR(IF(B2156="","",VLOOKUP(B2156,CadProd!$A:$B,2,0)),"")</f>
        <v/>
      </c>
      <c r="D2156" t="str">
        <f>IFERROR(IF(B2156="","",VLOOKUP(B2156,CadProd!$A:$C,3,0)),"")</f>
        <v/>
      </c>
      <c r="G2156" s="1" t="str">
        <f t="shared" si="33"/>
        <v/>
      </c>
    </row>
    <row r="2157" spans="3:7" x14ac:dyDescent="0.3">
      <c r="C2157" t="str">
        <f>IFERROR(IF(B2157="","",VLOOKUP(B2157,CadProd!$A:$B,2,0)),"")</f>
        <v/>
      </c>
      <c r="D2157" t="str">
        <f>IFERROR(IF(B2157="","",VLOOKUP(B2157,CadProd!$A:$C,3,0)),"")</f>
        <v/>
      </c>
      <c r="G2157" s="1" t="str">
        <f t="shared" si="33"/>
        <v/>
      </c>
    </row>
    <row r="2158" spans="3:7" x14ac:dyDescent="0.3">
      <c r="C2158" t="str">
        <f>IFERROR(IF(B2158="","",VLOOKUP(B2158,CadProd!$A:$B,2,0)),"")</f>
        <v/>
      </c>
      <c r="D2158" t="str">
        <f>IFERROR(IF(B2158="","",VLOOKUP(B2158,CadProd!$A:$C,3,0)),"")</f>
        <v/>
      </c>
      <c r="G2158" s="1" t="str">
        <f t="shared" si="33"/>
        <v/>
      </c>
    </row>
    <row r="2159" spans="3:7" x14ac:dyDescent="0.3">
      <c r="C2159" t="str">
        <f>IFERROR(IF(B2159="","",VLOOKUP(B2159,CadProd!$A:$B,2,0)),"")</f>
        <v/>
      </c>
      <c r="D2159" t="str">
        <f>IFERROR(IF(B2159="","",VLOOKUP(B2159,CadProd!$A:$C,3,0)),"")</f>
        <v/>
      </c>
      <c r="G2159" s="1" t="str">
        <f t="shared" si="33"/>
        <v/>
      </c>
    </row>
    <row r="2160" spans="3:7" x14ac:dyDescent="0.3">
      <c r="C2160" t="str">
        <f>IFERROR(IF(B2160="","",VLOOKUP(B2160,CadProd!$A:$B,2,0)),"")</f>
        <v/>
      </c>
      <c r="D2160" t="str">
        <f>IFERROR(IF(B2160="","",VLOOKUP(B2160,CadProd!$A:$C,3,0)),"")</f>
        <v/>
      </c>
      <c r="G2160" s="1" t="str">
        <f t="shared" si="33"/>
        <v/>
      </c>
    </row>
    <row r="2161" spans="3:7" x14ac:dyDescent="0.3">
      <c r="C2161" t="str">
        <f>IFERROR(IF(B2161="","",VLOOKUP(B2161,CadProd!$A:$B,2,0)),"")</f>
        <v/>
      </c>
      <c r="D2161" t="str">
        <f>IFERROR(IF(B2161="","",VLOOKUP(B2161,CadProd!$A:$C,3,0)),"")</f>
        <v/>
      </c>
      <c r="G2161" s="1" t="str">
        <f t="shared" si="33"/>
        <v/>
      </c>
    </row>
    <row r="2162" spans="3:7" x14ac:dyDescent="0.3">
      <c r="C2162" t="str">
        <f>IFERROR(IF(B2162="","",VLOOKUP(B2162,CadProd!$A:$B,2,0)),"")</f>
        <v/>
      </c>
      <c r="D2162" t="str">
        <f>IFERROR(IF(B2162="","",VLOOKUP(B2162,CadProd!$A:$C,3,0)),"")</f>
        <v/>
      </c>
      <c r="G2162" s="1" t="str">
        <f t="shared" si="33"/>
        <v/>
      </c>
    </row>
    <row r="2163" spans="3:7" x14ac:dyDescent="0.3">
      <c r="C2163" t="str">
        <f>IFERROR(IF(B2163="","",VLOOKUP(B2163,CadProd!$A:$B,2,0)),"")</f>
        <v/>
      </c>
      <c r="D2163" t="str">
        <f>IFERROR(IF(B2163="","",VLOOKUP(B2163,CadProd!$A:$C,3,0)),"")</f>
        <v/>
      </c>
      <c r="G2163" s="1" t="str">
        <f t="shared" si="33"/>
        <v/>
      </c>
    </row>
    <row r="2164" spans="3:7" x14ac:dyDescent="0.3">
      <c r="C2164" t="str">
        <f>IFERROR(IF(B2164="","",VLOOKUP(B2164,CadProd!$A:$B,2,0)),"")</f>
        <v/>
      </c>
      <c r="D2164" t="str">
        <f>IFERROR(IF(B2164="","",VLOOKUP(B2164,CadProd!$A:$C,3,0)),"")</f>
        <v/>
      </c>
      <c r="G2164" s="1" t="str">
        <f t="shared" si="33"/>
        <v/>
      </c>
    </row>
    <row r="2165" spans="3:7" x14ac:dyDescent="0.3">
      <c r="C2165" t="str">
        <f>IFERROR(IF(B2165="","",VLOOKUP(B2165,CadProd!$A:$B,2,0)),"")</f>
        <v/>
      </c>
      <c r="D2165" t="str">
        <f>IFERROR(IF(B2165="","",VLOOKUP(B2165,CadProd!$A:$C,3,0)),"")</f>
        <v/>
      </c>
      <c r="G2165" s="1" t="str">
        <f t="shared" si="33"/>
        <v/>
      </c>
    </row>
    <row r="2166" spans="3:7" x14ac:dyDescent="0.3">
      <c r="C2166" t="str">
        <f>IFERROR(IF(B2166="","",VLOOKUP(B2166,CadProd!$A:$B,2,0)),"")</f>
        <v/>
      </c>
      <c r="D2166" t="str">
        <f>IFERROR(IF(B2166="","",VLOOKUP(B2166,CadProd!$A:$C,3,0)),"")</f>
        <v/>
      </c>
      <c r="G2166" s="1" t="str">
        <f t="shared" si="33"/>
        <v/>
      </c>
    </row>
    <row r="2167" spans="3:7" x14ac:dyDescent="0.3">
      <c r="C2167" t="str">
        <f>IFERROR(IF(B2167="","",VLOOKUP(B2167,CadProd!$A:$B,2,0)),"")</f>
        <v/>
      </c>
      <c r="D2167" t="str">
        <f>IFERROR(IF(B2167="","",VLOOKUP(B2167,CadProd!$A:$C,3,0)),"")</f>
        <v/>
      </c>
      <c r="G2167" s="1" t="str">
        <f t="shared" si="33"/>
        <v/>
      </c>
    </row>
    <row r="2168" spans="3:7" x14ac:dyDescent="0.3">
      <c r="C2168" t="str">
        <f>IFERROR(IF(B2168="","",VLOOKUP(B2168,CadProd!$A:$B,2,0)),"")</f>
        <v/>
      </c>
      <c r="D2168" t="str">
        <f>IFERROR(IF(B2168="","",VLOOKUP(B2168,CadProd!$A:$C,3,0)),"")</f>
        <v/>
      </c>
      <c r="G2168" s="1" t="str">
        <f t="shared" si="33"/>
        <v/>
      </c>
    </row>
    <row r="2169" spans="3:7" x14ac:dyDescent="0.3">
      <c r="C2169" t="str">
        <f>IFERROR(IF(B2169="","",VLOOKUP(B2169,CadProd!$A:$B,2,0)),"")</f>
        <v/>
      </c>
      <c r="D2169" t="str">
        <f>IFERROR(IF(B2169="","",VLOOKUP(B2169,CadProd!$A:$C,3,0)),"")</f>
        <v/>
      </c>
      <c r="G2169" s="1" t="str">
        <f t="shared" si="33"/>
        <v/>
      </c>
    </row>
    <row r="2170" spans="3:7" x14ac:dyDescent="0.3">
      <c r="C2170" t="str">
        <f>IFERROR(IF(B2170="","",VLOOKUP(B2170,CadProd!$A:$B,2,0)),"")</f>
        <v/>
      </c>
      <c r="D2170" t="str">
        <f>IFERROR(IF(B2170="","",VLOOKUP(B2170,CadProd!$A:$C,3,0)),"")</f>
        <v/>
      </c>
      <c r="G2170" s="1" t="str">
        <f t="shared" si="33"/>
        <v/>
      </c>
    </row>
    <row r="2171" spans="3:7" x14ac:dyDescent="0.3">
      <c r="C2171" t="str">
        <f>IFERROR(IF(B2171="","",VLOOKUP(B2171,CadProd!$A:$B,2,0)),"")</f>
        <v/>
      </c>
      <c r="D2171" t="str">
        <f>IFERROR(IF(B2171="","",VLOOKUP(B2171,CadProd!$A:$C,3,0)),"")</f>
        <v/>
      </c>
      <c r="G2171" s="1" t="str">
        <f t="shared" si="33"/>
        <v/>
      </c>
    </row>
    <row r="2172" spans="3:7" x14ac:dyDescent="0.3">
      <c r="C2172" t="str">
        <f>IFERROR(IF(B2172="","",VLOOKUP(B2172,CadProd!$A:$B,2,0)),"")</f>
        <v/>
      </c>
      <c r="D2172" t="str">
        <f>IFERROR(IF(B2172="","",VLOOKUP(B2172,CadProd!$A:$C,3,0)),"")</f>
        <v/>
      </c>
      <c r="G2172" s="1" t="str">
        <f t="shared" si="33"/>
        <v/>
      </c>
    </row>
    <row r="2173" spans="3:7" x14ac:dyDescent="0.3">
      <c r="C2173" t="str">
        <f>IFERROR(IF(B2173="","",VLOOKUP(B2173,CadProd!$A:$B,2,0)),"")</f>
        <v/>
      </c>
      <c r="D2173" t="str">
        <f>IFERROR(IF(B2173="","",VLOOKUP(B2173,CadProd!$A:$C,3,0)),"")</f>
        <v/>
      </c>
      <c r="G2173" s="1" t="str">
        <f t="shared" si="33"/>
        <v/>
      </c>
    </row>
    <row r="2174" spans="3:7" x14ac:dyDescent="0.3">
      <c r="C2174" t="str">
        <f>IFERROR(IF(B2174="","",VLOOKUP(B2174,CadProd!$A:$B,2,0)),"")</f>
        <v/>
      </c>
      <c r="D2174" t="str">
        <f>IFERROR(IF(B2174="","",VLOOKUP(B2174,CadProd!$A:$C,3,0)),"")</f>
        <v/>
      </c>
      <c r="G2174" s="1" t="str">
        <f t="shared" si="33"/>
        <v/>
      </c>
    </row>
    <row r="2175" spans="3:7" x14ac:dyDescent="0.3">
      <c r="C2175" t="str">
        <f>IFERROR(IF(B2175="","",VLOOKUP(B2175,CadProd!$A:$B,2,0)),"")</f>
        <v/>
      </c>
      <c r="D2175" t="str">
        <f>IFERROR(IF(B2175="","",VLOOKUP(B2175,CadProd!$A:$C,3,0)),"")</f>
        <v/>
      </c>
      <c r="G2175" s="1" t="str">
        <f t="shared" si="33"/>
        <v/>
      </c>
    </row>
    <row r="2176" spans="3:7" x14ac:dyDescent="0.3">
      <c r="C2176" t="str">
        <f>IFERROR(IF(B2176="","",VLOOKUP(B2176,CadProd!$A:$B,2,0)),"")</f>
        <v/>
      </c>
      <c r="D2176" t="str">
        <f>IFERROR(IF(B2176="","",VLOOKUP(B2176,CadProd!$A:$C,3,0)),"")</f>
        <v/>
      </c>
      <c r="G2176" s="1" t="str">
        <f t="shared" si="33"/>
        <v/>
      </c>
    </row>
    <row r="2177" spans="3:7" x14ac:dyDescent="0.3">
      <c r="C2177" t="str">
        <f>IFERROR(IF(B2177="","",VLOOKUP(B2177,CadProd!$A:$B,2,0)),"")</f>
        <v/>
      </c>
      <c r="D2177" t="str">
        <f>IFERROR(IF(B2177="","",VLOOKUP(B2177,CadProd!$A:$C,3,0)),"")</f>
        <v/>
      </c>
      <c r="G2177" s="1" t="str">
        <f t="shared" si="33"/>
        <v/>
      </c>
    </row>
    <row r="2178" spans="3:7" x14ac:dyDescent="0.3">
      <c r="C2178" t="str">
        <f>IFERROR(IF(B2178="","",VLOOKUP(B2178,CadProd!$A:$B,2,0)),"")</f>
        <v/>
      </c>
      <c r="D2178" t="str">
        <f>IFERROR(IF(B2178="","",VLOOKUP(B2178,CadProd!$A:$C,3,0)),"")</f>
        <v/>
      </c>
      <c r="G2178" s="1" t="str">
        <f t="shared" ref="G2178:G2241" si="34">IFERROR(IF(B2178="","",F2178*E2178),"")</f>
        <v/>
      </c>
    </row>
    <row r="2179" spans="3:7" x14ac:dyDescent="0.3">
      <c r="C2179" t="str">
        <f>IFERROR(IF(B2179="","",VLOOKUP(B2179,CadProd!$A:$B,2,0)),"")</f>
        <v/>
      </c>
      <c r="D2179" t="str">
        <f>IFERROR(IF(B2179="","",VLOOKUP(B2179,CadProd!$A:$C,3,0)),"")</f>
        <v/>
      </c>
      <c r="G2179" s="1" t="str">
        <f t="shared" si="34"/>
        <v/>
      </c>
    </row>
    <row r="2180" spans="3:7" x14ac:dyDescent="0.3">
      <c r="C2180" t="str">
        <f>IFERROR(IF(B2180="","",VLOOKUP(B2180,CadProd!$A:$B,2,0)),"")</f>
        <v/>
      </c>
      <c r="D2180" t="str">
        <f>IFERROR(IF(B2180="","",VLOOKUP(B2180,CadProd!$A:$C,3,0)),"")</f>
        <v/>
      </c>
      <c r="G2180" s="1" t="str">
        <f t="shared" si="34"/>
        <v/>
      </c>
    </row>
    <row r="2181" spans="3:7" x14ac:dyDescent="0.3">
      <c r="C2181" t="str">
        <f>IFERROR(IF(B2181="","",VLOOKUP(B2181,CadProd!$A:$B,2,0)),"")</f>
        <v/>
      </c>
      <c r="D2181" t="str">
        <f>IFERROR(IF(B2181="","",VLOOKUP(B2181,CadProd!$A:$C,3,0)),"")</f>
        <v/>
      </c>
      <c r="G2181" s="1" t="str">
        <f t="shared" si="34"/>
        <v/>
      </c>
    </row>
    <row r="2182" spans="3:7" x14ac:dyDescent="0.3">
      <c r="C2182" t="str">
        <f>IFERROR(IF(B2182="","",VLOOKUP(B2182,CadProd!$A:$B,2,0)),"")</f>
        <v/>
      </c>
      <c r="D2182" t="str">
        <f>IFERROR(IF(B2182="","",VLOOKUP(B2182,CadProd!$A:$C,3,0)),"")</f>
        <v/>
      </c>
      <c r="G2182" s="1" t="str">
        <f t="shared" si="34"/>
        <v/>
      </c>
    </row>
    <row r="2183" spans="3:7" x14ac:dyDescent="0.3">
      <c r="C2183" t="str">
        <f>IFERROR(IF(B2183="","",VLOOKUP(B2183,CadProd!$A:$B,2,0)),"")</f>
        <v/>
      </c>
      <c r="D2183" t="str">
        <f>IFERROR(IF(B2183="","",VLOOKUP(B2183,CadProd!$A:$C,3,0)),"")</f>
        <v/>
      </c>
      <c r="G2183" s="1" t="str">
        <f t="shared" si="34"/>
        <v/>
      </c>
    </row>
    <row r="2184" spans="3:7" x14ac:dyDescent="0.3">
      <c r="C2184" t="str">
        <f>IFERROR(IF(B2184="","",VLOOKUP(B2184,CadProd!$A:$B,2,0)),"")</f>
        <v/>
      </c>
      <c r="D2184" t="str">
        <f>IFERROR(IF(B2184="","",VLOOKUP(B2184,CadProd!$A:$C,3,0)),"")</f>
        <v/>
      </c>
      <c r="G2184" s="1" t="str">
        <f t="shared" si="34"/>
        <v/>
      </c>
    </row>
    <row r="2185" spans="3:7" x14ac:dyDescent="0.3">
      <c r="C2185" t="str">
        <f>IFERROR(IF(B2185="","",VLOOKUP(B2185,CadProd!$A:$B,2,0)),"")</f>
        <v/>
      </c>
      <c r="D2185" t="str">
        <f>IFERROR(IF(B2185="","",VLOOKUP(B2185,CadProd!$A:$C,3,0)),"")</f>
        <v/>
      </c>
      <c r="G2185" s="1" t="str">
        <f t="shared" si="34"/>
        <v/>
      </c>
    </row>
    <row r="2186" spans="3:7" x14ac:dyDescent="0.3">
      <c r="C2186" t="str">
        <f>IFERROR(IF(B2186="","",VLOOKUP(B2186,CadProd!$A:$B,2,0)),"")</f>
        <v/>
      </c>
      <c r="D2186" t="str">
        <f>IFERROR(IF(B2186="","",VLOOKUP(B2186,CadProd!$A:$C,3,0)),"")</f>
        <v/>
      </c>
      <c r="G2186" s="1" t="str">
        <f t="shared" si="34"/>
        <v/>
      </c>
    </row>
    <row r="2187" spans="3:7" x14ac:dyDescent="0.3">
      <c r="C2187" t="str">
        <f>IFERROR(IF(B2187="","",VLOOKUP(B2187,CadProd!$A:$B,2,0)),"")</f>
        <v/>
      </c>
      <c r="D2187" t="str">
        <f>IFERROR(IF(B2187="","",VLOOKUP(B2187,CadProd!$A:$C,3,0)),"")</f>
        <v/>
      </c>
      <c r="G2187" s="1" t="str">
        <f t="shared" si="34"/>
        <v/>
      </c>
    </row>
    <row r="2188" spans="3:7" x14ac:dyDescent="0.3">
      <c r="C2188" t="str">
        <f>IFERROR(IF(B2188="","",VLOOKUP(B2188,CadProd!$A:$B,2,0)),"")</f>
        <v/>
      </c>
      <c r="D2188" t="str">
        <f>IFERROR(IF(B2188="","",VLOOKUP(B2188,CadProd!$A:$C,3,0)),"")</f>
        <v/>
      </c>
      <c r="G2188" s="1" t="str">
        <f t="shared" si="34"/>
        <v/>
      </c>
    </row>
    <row r="2189" spans="3:7" x14ac:dyDescent="0.3">
      <c r="C2189" t="str">
        <f>IFERROR(IF(B2189="","",VLOOKUP(B2189,CadProd!$A:$B,2,0)),"")</f>
        <v/>
      </c>
      <c r="D2189" t="str">
        <f>IFERROR(IF(B2189="","",VLOOKUP(B2189,CadProd!$A:$C,3,0)),"")</f>
        <v/>
      </c>
      <c r="G2189" s="1" t="str">
        <f t="shared" si="34"/>
        <v/>
      </c>
    </row>
    <row r="2190" spans="3:7" x14ac:dyDescent="0.3">
      <c r="C2190" t="str">
        <f>IFERROR(IF(B2190="","",VLOOKUP(B2190,CadProd!$A:$B,2,0)),"")</f>
        <v/>
      </c>
      <c r="D2190" t="str">
        <f>IFERROR(IF(B2190="","",VLOOKUP(B2190,CadProd!$A:$C,3,0)),"")</f>
        <v/>
      </c>
      <c r="G2190" s="1" t="str">
        <f t="shared" si="34"/>
        <v/>
      </c>
    </row>
    <row r="2191" spans="3:7" x14ac:dyDescent="0.3">
      <c r="C2191" t="str">
        <f>IFERROR(IF(B2191="","",VLOOKUP(B2191,CadProd!$A:$B,2,0)),"")</f>
        <v/>
      </c>
      <c r="D2191" t="str">
        <f>IFERROR(IF(B2191="","",VLOOKUP(B2191,CadProd!$A:$C,3,0)),"")</f>
        <v/>
      </c>
      <c r="G2191" s="1" t="str">
        <f t="shared" si="34"/>
        <v/>
      </c>
    </row>
    <row r="2192" spans="3:7" x14ac:dyDescent="0.3">
      <c r="C2192" t="str">
        <f>IFERROR(IF(B2192="","",VLOOKUP(B2192,CadProd!$A:$B,2,0)),"")</f>
        <v/>
      </c>
      <c r="D2192" t="str">
        <f>IFERROR(IF(B2192="","",VLOOKUP(B2192,CadProd!$A:$C,3,0)),"")</f>
        <v/>
      </c>
      <c r="G2192" s="1" t="str">
        <f t="shared" si="34"/>
        <v/>
      </c>
    </row>
    <row r="2193" spans="3:7" x14ac:dyDescent="0.3">
      <c r="C2193" t="str">
        <f>IFERROR(IF(B2193="","",VLOOKUP(B2193,CadProd!$A:$B,2,0)),"")</f>
        <v/>
      </c>
      <c r="D2193" t="str">
        <f>IFERROR(IF(B2193="","",VLOOKUP(B2193,CadProd!$A:$C,3,0)),"")</f>
        <v/>
      </c>
      <c r="G2193" s="1" t="str">
        <f t="shared" si="34"/>
        <v/>
      </c>
    </row>
    <row r="2194" spans="3:7" x14ac:dyDescent="0.3">
      <c r="C2194" t="str">
        <f>IFERROR(IF(B2194="","",VLOOKUP(B2194,CadProd!$A:$B,2,0)),"")</f>
        <v/>
      </c>
      <c r="D2194" t="str">
        <f>IFERROR(IF(B2194="","",VLOOKUP(B2194,CadProd!$A:$C,3,0)),"")</f>
        <v/>
      </c>
      <c r="G2194" s="1" t="str">
        <f t="shared" si="34"/>
        <v/>
      </c>
    </row>
    <row r="2195" spans="3:7" x14ac:dyDescent="0.3">
      <c r="C2195" t="str">
        <f>IFERROR(IF(B2195="","",VLOOKUP(B2195,CadProd!$A:$B,2,0)),"")</f>
        <v/>
      </c>
      <c r="D2195" t="str">
        <f>IFERROR(IF(B2195="","",VLOOKUP(B2195,CadProd!$A:$C,3,0)),"")</f>
        <v/>
      </c>
      <c r="G2195" s="1" t="str">
        <f t="shared" si="34"/>
        <v/>
      </c>
    </row>
    <row r="2196" spans="3:7" x14ac:dyDescent="0.3">
      <c r="C2196" t="str">
        <f>IFERROR(IF(B2196="","",VLOOKUP(B2196,CadProd!$A:$B,2,0)),"")</f>
        <v/>
      </c>
      <c r="D2196" t="str">
        <f>IFERROR(IF(B2196="","",VLOOKUP(B2196,CadProd!$A:$C,3,0)),"")</f>
        <v/>
      </c>
      <c r="G2196" s="1" t="str">
        <f t="shared" si="34"/>
        <v/>
      </c>
    </row>
    <row r="2197" spans="3:7" x14ac:dyDescent="0.3">
      <c r="C2197" t="str">
        <f>IFERROR(IF(B2197="","",VLOOKUP(B2197,CadProd!$A:$B,2,0)),"")</f>
        <v/>
      </c>
      <c r="D2197" t="str">
        <f>IFERROR(IF(B2197="","",VLOOKUP(B2197,CadProd!$A:$C,3,0)),"")</f>
        <v/>
      </c>
      <c r="G2197" s="1" t="str">
        <f t="shared" si="34"/>
        <v/>
      </c>
    </row>
    <row r="2198" spans="3:7" x14ac:dyDescent="0.3">
      <c r="C2198" t="str">
        <f>IFERROR(IF(B2198="","",VLOOKUP(B2198,CadProd!$A:$B,2,0)),"")</f>
        <v/>
      </c>
      <c r="D2198" t="str">
        <f>IFERROR(IF(B2198="","",VLOOKUP(B2198,CadProd!$A:$C,3,0)),"")</f>
        <v/>
      </c>
      <c r="G2198" s="1" t="str">
        <f t="shared" si="34"/>
        <v/>
      </c>
    </row>
    <row r="2199" spans="3:7" x14ac:dyDescent="0.3">
      <c r="C2199" t="str">
        <f>IFERROR(IF(B2199="","",VLOOKUP(B2199,CadProd!$A:$B,2,0)),"")</f>
        <v/>
      </c>
      <c r="D2199" t="str">
        <f>IFERROR(IF(B2199="","",VLOOKUP(B2199,CadProd!$A:$C,3,0)),"")</f>
        <v/>
      </c>
      <c r="G2199" s="1" t="str">
        <f t="shared" si="34"/>
        <v/>
      </c>
    </row>
    <row r="2200" spans="3:7" x14ac:dyDescent="0.3">
      <c r="C2200" t="str">
        <f>IFERROR(IF(B2200="","",VLOOKUP(B2200,CadProd!$A:$B,2,0)),"")</f>
        <v/>
      </c>
      <c r="D2200" t="str">
        <f>IFERROR(IF(B2200="","",VLOOKUP(B2200,CadProd!$A:$C,3,0)),"")</f>
        <v/>
      </c>
      <c r="G2200" s="1" t="str">
        <f t="shared" si="34"/>
        <v/>
      </c>
    </row>
    <row r="2201" spans="3:7" x14ac:dyDescent="0.3">
      <c r="C2201" t="str">
        <f>IFERROR(IF(B2201="","",VLOOKUP(B2201,CadProd!$A:$B,2,0)),"")</f>
        <v/>
      </c>
      <c r="D2201" t="str">
        <f>IFERROR(IF(B2201="","",VLOOKUP(B2201,CadProd!$A:$C,3,0)),"")</f>
        <v/>
      </c>
      <c r="G2201" s="1" t="str">
        <f t="shared" si="34"/>
        <v/>
      </c>
    </row>
    <row r="2202" spans="3:7" x14ac:dyDescent="0.3">
      <c r="C2202" t="str">
        <f>IFERROR(IF(B2202="","",VLOOKUP(B2202,CadProd!$A:$B,2,0)),"")</f>
        <v/>
      </c>
      <c r="D2202" t="str">
        <f>IFERROR(IF(B2202="","",VLOOKUP(B2202,CadProd!$A:$C,3,0)),"")</f>
        <v/>
      </c>
      <c r="G2202" s="1" t="str">
        <f t="shared" si="34"/>
        <v/>
      </c>
    </row>
    <row r="2203" spans="3:7" x14ac:dyDescent="0.3">
      <c r="C2203" t="str">
        <f>IFERROR(IF(B2203="","",VLOOKUP(B2203,CadProd!$A:$B,2,0)),"")</f>
        <v/>
      </c>
      <c r="D2203" t="str">
        <f>IFERROR(IF(B2203="","",VLOOKUP(B2203,CadProd!$A:$C,3,0)),"")</f>
        <v/>
      </c>
      <c r="G2203" s="1" t="str">
        <f t="shared" si="34"/>
        <v/>
      </c>
    </row>
    <row r="2204" spans="3:7" x14ac:dyDescent="0.3">
      <c r="C2204" t="str">
        <f>IFERROR(IF(B2204="","",VLOOKUP(B2204,CadProd!$A:$B,2,0)),"")</f>
        <v/>
      </c>
      <c r="D2204" t="str">
        <f>IFERROR(IF(B2204="","",VLOOKUP(B2204,CadProd!$A:$C,3,0)),"")</f>
        <v/>
      </c>
      <c r="G2204" s="1" t="str">
        <f t="shared" si="34"/>
        <v/>
      </c>
    </row>
    <row r="2205" spans="3:7" x14ac:dyDescent="0.3">
      <c r="C2205" t="str">
        <f>IFERROR(IF(B2205="","",VLOOKUP(B2205,CadProd!$A:$B,2,0)),"")</f>
        <v/>
      </c>
      <c r="D2205" t="str">
        <f>IFERROR(IF(B2205="","",VLOOKUP(B2205,CadProd!$A:$C,3,0)),"")</f>
        <v/>
      </c>
      <c r="G2205" s="1" t="str">
        <f t="shared" si="34"/>
        <v/>
      </c>
    </row>
    <row r="2206" spans="3:7" x14ac:dyDescent="0.3">
      <c r="C2206" t="str">
        <f>IFERROR(IF(B2206="","",VLOOKUP(B2206,CadProd!$A:$B,2,0)),"")</f>
        <v/>
      </c>
      <c r="D2206" t="str">
        <f>IFERROR(IF(B2206="","",VLOOKUP(B2206,CadProd!$A:$C,3,0)),"")</f>
        <v/>
      </c>
      <c r="G2206" s="1" t="str">
        <f t="shared" si="34"/>
        <v/>
      </c>
    </row>
    <row r="2207" spans="3:7" x14ac:dyDescent="0.3">
      <c r="C2207" t="str">
        <f>IFERROR(IF(B2207="","",VLOOKUP(B2207,CadProd!$A:$B,2,0)),"")</f>
        <v/>
      </c>
      <c r="D2207" t="str">
        <f>IFERROR(IF(B2207="","",VLOOKUP(B2207,CadProd!$A:$C,3,0)),"")</f>
        <v/>
      </c>
      <c r="G2207" s="1" t="str">
        <f t="shared" si="34"/>
        <v/>
      </c>
    </row>
    <row r="2208" spans="3:7" x14ac:dyDescent="0.3">
      <c r="C2208" t="str">
        <f>IFERROR(IF(B2208="","",VLOOKUP(B2208,CadProd!$A:$B,2,0)),"")</f>
        <v/>
      </c>
      <c r="D2208" t="str">
        <f>IFERROR(IF(B2208="","",VLOOKUP(B2208,CadProd!$A:$C,3,0)),"")</f>
        <v/>
      </c>
      <c r="G2208" s="1" t="str">
        <f t="shared" si="34"/>
        <v/>
      </c>
    </row>
    <row r="2209" spans="3:7" x14ac:dyDescent="0.3">
      <c r="C2209" t="str">
        <f>IFERROR(IF(B2209="","",VLOOKUP(B2209,CadProd!$A:$B,2,0)),"")</f>
        <v/>
      </c>
      <c r="D2209" t="str">
        <f>IFERROR(IF(B2209="","",VLOOKUP(B2209,CadProd!$A:$C,3,0)),"")</f>
        <v/>
      </c>
      <c r="G2209" s="1" t="str">
        <f t="shared" si="34"/>
        <v/>
      </c>
    </row>
    <row r="2210" spans="3:7" x14ac:dyDescent="0.3">
      <c r="C2210" t="str">
        <f>IFERROR(IF(B2210="","",VLOOKUP(B2210,CadProd!$A:$B,2,0)),"")</f>
        <v/>
      </c>
      <c r="D2210" t="str">
        <f>IFERROR(IF(B2210="","",VLOOKUP(B2210,CadProd!$A:$C,3,0)),"")</f>
        <v/>
      </c>
      <c r="G2210" s="1" t="str">
        <f t="shared" si="34"/>
        <v/>
      </c>
    </row>
    <row r="2211" spans="3:7" x14ac:dyDescent="0.3">
      <c r="C2211" t="str">
        <f>IFERROR(IF(B2211="","",VLOOKUP(B2211,CadProd!$A:$B,2,0)),"")</f>
        <v/>
      </c>
      <c r="D2211" t="str">
        <f>IFERROR(IF(B2211="","",VLOOKUP(B2211,CadProd!$A:$C,3,0)),"")</f>
        <v/>
      </c>
      <c r="G2211" s="1" t="str">
        <f t="shared" si="34"/>
        <v/>
      </c>
    </row>
    <row r="2212" spans="3:7" x14ac:dyDescent="0.3">
      <c r="C2212" t="str">
        <f>IFERROR(IF(B2212="","",VLOOKUP(B2212,CadProd!$A:$B,2,0)),"")</f>
        <v/>
      </c>
      <c r="D2212" t="str">
        <f>IFERROR(IF(B2212="","",VLOOKUP(B2212,CadProd!$A:$C,3,0)),"")</f>
        <v/>
      </c>
      <c r="G2212" s="1" t="str">
        <f t="shared" si="34"/>
        <v/>
      </c>
    </row>
    <row r="2213" spans="3:7" x14ac:dyDescent="0.3">
      <c r="C2213" t="str">
        <f>IFERROR(IF(B2213="","",VLOOKUP(B2213,CadProd!$A:$B,2,0)),"")</f>
        <v/>
      </c>
      <c r="D2213" t="str">
        <f>IFERROR(IF(B2213="","",VLOOKUP(B2213,CadProd!$A:$C,3,0)),"")</f>
        <v/>
      </c>
      <c r="G2213" s="1" t="str">
        <f t="shared" si="34"/>
        <v/>
      </c>
    </row>
    <row r="2214" spans="3:7" x14ac:dyDescent="0.3">
      <c r="C2214" t="str">
        <f>IFERROR(IF(B2214="","",VLOOKUP(B2214,CadProd!$A:$B,2,0)),"")</f>
        <v/>
      </c>
      <c r="D2214" t="str">
        <f>IFERROR(IF(B2214="","",VLOOKUP(B2214,CadProd!$A:$C,3,0)),"")</f>
        <v/>
      </c>
      <c r="G2214" s="1" t="str">
        <f t="shared" si="34"/>
        <v/>
      </c>
    </row>
    <row r="2215" spans="3:7" x14ac:dyDescent="0.3">
      <c r="C2215" t="str">
        <f>IFERROR(IF(B2215="","",VLOOKUP(B2215,CadProd!$A:$B,2,0)),"")</f>
        <v/>
      </c>
      <c r="D2215" t="str">
        <f>IFERROR(IF(B2215="","",VLOOKUP(B2215,CadProd!$A:$C,3,0)),"")</f>
        <v/>
      </c>
      <c r="G2215" s="1" t="str">
        <f t="shared" si="34"/>
        <v/>
      </c>
    </row>
    <row r="2216" spans="3:7" x14ac:dyDescent="0.3">
      <c r="C2216" t="str">
        <f>IFERROR(IF(B2216="","",VLOOKUP(B2216,CadProd!$A:$B,2,0)),"")</f>
        <v/>
      </c>
      <c r="D2216" t="str">
        <f>IFERROR(IF(B2216="","",VLOOKUP(B2216,CadProd!$A:$C,3,0)),"")</f>
        <v/>
      </c>
      <c r="G2216" s="1" t="str">
        <f t="shared" si="34"/>
        <v/>
      </c>
    </row>
    <row r="2217" spans="3:7" x14ac:dyDescent="0.3">
      <c r="C2217" t="str">
        <f>IFERROR(IF(B2217="","",VLOOKUP(B2217,CadProd!$A:$B,2,0)),"")</f>
        <v/>
      </c>
      <c r="D2217" t="str">
        <f>IFERROR(IF(B2217="","",VLOOKUP(B2217,CadProd!$A:$C,3,0)),"")</f>
        <v/>
      </c>
      <c r="G2217" s="1" t="str">
        <f t="shared" si="34"/>
        <v/>
      </c>
    </row>
    <row r="2218" spans="3:7" x14ac:dyDescent="0.3">
      <c r="C2218" t="str">
        <f>IFERROR(IF(B2218="","",VLOOKUP(B2218,CadProd!$A:$B,2,0)),"")</f>
        <v/>
      </c>
      <c r="D2218" t="str">
        <f>IFERROR(IF(B2218="","",VLOOKUP(B2218,CadProd!$A:$C,3,0)),"")</f>
        <v/>
      </c>
      <c r="G2218" s="1" t="str">
        <f t="shared" si="34"/>
        <v/>
      </c>
    </row>
    <row r="2219" spans="3:7" x14ac:dyDescent="0.3">
      <c r="C2219" t="str">
        <f>IFERROR(IF(B2219="","",VLOOKUP(B2219,CadProd!$A:$B,2,0)),"")</f>
        <v/>
      </c>
      <c r="D2219" t="str">
        <f>IFERROR(IF(B2219="","",VLOOKUP(B2219,CadProd!$A:$C,3,0)),"")</f>
        <v/>
      </c>
      <c r="G2219" s="1" t="str">
        <f t="shared" si="34"/>
        <v/>
      </c>
    </row>
    <row r="2220" spans="3:7" x14ac:dyDescent="0.3">
      <c r="C2220" t="str">
        <f>IFERROR(IF(B2220="","",VLOOKUP(B2220,CadProd!$A:$B,2,0)),"")</f>
        <v/>
      </c>
      <c r="D2220" t="str">
        <f>IFERROR(IF(B2220="","",VLOOKUP(B2220,CadProd!$A:$C,3,0)),"")</f>
        <v/>
      </c>
      <c r="G2220" s="1" t="str">
        <f t="shared" si="34"/>
        <v/>
      </c>
    </row>
    <row r="2221" spans="3:7" x14ac:dyDescent="0.3">
      <c r="C2221" t="str">
        <f>IFERROR(IF(B2221="","",VLOOKUP(B2221,CadProd!$A:$B,2,0)),"")</f>
        <v/>
      </c>
      <c r="D2221" t="str">
        <f>IFERROR(IF(B2221="","",VLOOKUP(B2221,CadProd!$A:$C,3,0)),"")</f>
        <v/>
      </c>
      <c r="G2221" s="1" t="str">
        <f t="shared" si="34"/>
        <v/>
      </c>
    </row>
    <row r="2222" spans="3:7" x14ac:dyDescent="0.3">
      <c r="C2222" t="str">
        <f>IFERROR(IF(B2222="","",VLOOKUP(B2222,CadProd!$A:$B,2,0)),"")</f>
        <v/>
      </c>
      <c r="D2222" t="str">
        <f>IFERROR(IF(B2222="","",VLOOKUP(B2222,CadProd!$A:$C,3,0)),"")</f>
        <v/>
      </c>
      <c r="G2222" s="1" t="str">
        <f t="shared" si="34"/>
        <v/>
      </c>
    </row>
    <row r="2223" spans="3:7" x14ac:dyDescent="0.3">
      <c r="C2223" t="str">
        <f>IFERROR(IF(B2223="","",VLOOKUP(B2223,CadProd!$A:$B,2,0)),"")</f>
        <v/>
      </c>
      <c r="D2223" t="str">
        <f>IFERROR(IF(B2223="","",VLOOKUP(B2223,CadProd!$A:$C,3,0)),"")</f>
        <v/>
      </c>
      <c r="G2223" s="1" t="str">
        <f t="shared" si="34"/>
        <v/>
      </c>
    </row>
    <row r="2224" spans="3:7" x14ac:dyDescent="0.3">
      <c r="C2224" t="str">
        <f>IFERROR(IF(B2224="","",VLOOKUP(B2224,CadProd!$A:$B,2,0)),"")</f>
        <v/>
      </c>
      <c r="D2224" t="str">
        <f>IFERROR(IF(B2224="","",VLOOKUP(B2224,CadProd!$A:$C,3,0)),"")</f>
        <v/>
      </c>
      <c r="G2224" s="1" t="str">
        <f t="shared" si="34"/>
        <v/>
      </c>
    </row>
    <row r="2225" spans="3:7" x14ac:dyDescent="0.3">
      <c r="C2225" t="str">
        <f>IFERROR(IF(B2225="","",VLOOKUP(B2225,CadProd!$A:$B,2,0)),"")</f>
        <v/>
      </c>
      <c r="D2225" t="str">
        <f>IFERROR(IF(B2225="","",VLOOKUP(B2225,CadProd!$A:$C,3,0)),"")</f>
        <v/>
      </c>
      <c r="G2225" s="1" t="str">
        <f t="shared" si="34"/>
        <v/>
      </c>
    </row>
    <row r="2226" spans="3:7" x14ac:dyDescent="0.3">
      <c r="C2226" t="str">
        <f>IFERROR(IF(B2226="","",VLOOKUP(B2226,CadProd!$A:$B,2,0)),"")</f>
        <v/>
      </c>
      <c r="D2226" t="str">
        <f>IFERROR(IF(B2226="","",VLOOKUP(B2226,CadProd!$A:$C,3,0)),"")</f>
        <v/>
      </c>
      <c r="G2226" s="1" t="str">
        <f t="shared" si="34"/>
        <v/>
      </c>
    </row>
    <row r="2227" spans="3:7" x14ac:dyDescent="0.3">
      <c r="C2227" t="str">
        <f>IFERROR(IF(B2227="","",VLOOKUP(B2227,CadProd!$A:$B,2,0)),"")</f>
        <v/>
      </c>
      <c r="D2227" t="str">
        <f>IFERROR(IF(B2227="","",VLOOKUP(B2227,CadProd!$A:$C,3,0)),"")</f>
        <v/>
      </c>
      <c r="G2227" s="1" t="str">
        <f t="shared" si="34"/>
        <v/>
      </c>
    </row>
    <row r="2228" spans="3:7" x14ac:dyDescent="0.3">
      <c r="C2228" t="str">
        <f>IFERROR(IF(B2228="","",VLOOKUP(B2228,CadProd!$A:$B,2,0)),"")</f>
        <v/>
      </c>
      <c r="D2228" t="str">
        <f>IFERROR(IF(B2228="","",VLOOKUP(B2228,CadProd!$A:$C,3,0)),"")</f>
        <v/>
      </c>
      <c r="G2228" s="1" t="str">
        <f t="shared" si="34"/>
        <v/>
      </c>
    </row>
    <row r="2229" spans="3:7" x14ac:dyDescent="0.3">
      <c r="C2229" t="str">
        <f>IFERROR(IF(B2229="","",VLOOKUP(B2229,CadProd!$A:$B,2,0)),"")</f>
        <v/>
      </c>
      <c r="D2229" t="str">
        <f>IFERROR(IF(B2229="","",VLOOKUP(B2229,CadProd!$A:$C,3,0)),"")</f>
        <v/>
      </c>
      <c r="G2229" s="1" t="str">
        <f t="shared" si="34"/>
        <v/>
      </c>
    </row>
    <row r="2230" spans="3:7" x14ac:dyDescent="0.3">
      <c r="C2230" t="str">
        <f>IFERROR(IF(B2230="","",VLOOKUP(B2230,CadProd!$A:$B,2,0)),"")</f>
        <v/>
      </c>
      <c r="D2230" t="str">
        <f>IFERROR(IF(B2230="","",VLOOKUP(B2230,CadProd!$A:$C,3,0)),"")</f>
        <v/>
      </c>
      <c r="G2230" s="1" t="str">
        <f t="shared" si="34"/>
        <v/>
      </c>
    </row>
    <row r="2231" spans="3:7" x14ac:dyDescent="0.3">
      <c r="C2231" t="str">
        <f>IFERROR(IF(B2231="","",VLOOKUP(B2231,CadProd!$A:$B,2,0)),"")</f>
        <v/>
      </c>
      <c r="D2231" t="str">
        <f>IFERROR(IF(B2231="","",VLOOKUP(B2231,CadProd!$A:$C,3,0)),"")</f>
        <v/>
      </c>
      <c r="G2231" s="1" t="str">
        <f t="shared" si="34"/>
        <v/>
      </c>
    </row>
    <row r="2232" spans="3:7" x14ac:dyDescent="0.3">
      <c r="C2232" t="str">
        <f>IFERROR(IF(B2232="","",VLOOKUP(B2232,CadProd!$A:$B,2,0)),"")</f>
        <v/>
      </c>
      <c r="D2232" t="str">
        <f>IFERROR(IF(B2232="","",VLOOKUP(B2232,CadProd!$A:$C,3,0)),"")</f>
        <v/>
      </c>
      <c r="G2232" s="1" t="str">
        <f t="shared" si="34"/>
        <v/>
      </c>
    </row>
    <row r="2233" spans="3:7" x14ac:dyDescent="0.3">
      <c r="C2233" t="str">
        <f>IFERROR(IF(B2233="","",VLOOKUP(B2233,CadProd!$A:$B,2,0)),"")</f>
        <v/>
      </c>
      <c r="D2233" t="str">
        <f>IFERROR(IF(B2233="","",VLOOKUP(B2233,CadProd!$A:$C,3,0)),"")</f>
        <v/>
      </c>
      <c r="G2233" s="1" t="str">
        <f t="shared" si="34"/>
        <v/>
      </c>
    </row>
    <row r="2234" spans="3:7" x14ac:dyDescent="0.3">
      <c r="C2234" t="str">
        <f>IFERROR(IF(B2234="","",VLOOKUP(B2234,CadProd!$A:$B,2,0)),"")</f>
        <v/>
      </c>
      <c r="D2234" t="str">
        <f>IFERROR(IF(B2234="","",VLOOKUP(B2234,CadProd!$A:$C,3,0)),"")</f>
        <v/>
      </c>
      <c r="G2234" s="1" t="str">
        <f t="shared" si="34"/>
        <v/>
      </c>
    </row>
    <row r="2235" spans="3:7" x14ac:dyDescent="0.3">
      <c r="C2235" t="str">
        <f>IFERROR(IF(B2235="","",VLOOKUP(B2235,CadProd!$A:$B,2,0)),"")</f>
        <v/>
      </c>
      <c r="D2235" t="str">
        <f>IFERROR(IF(B2235="","",VLOOKUP(B2235,CadProd!$A:$C,3,0)),"")</f>
        <v/>
      </c>
      <c r="G2235" s="1" t="str">
        <f t="shared" si="34"/>
        <v/>
      </c>
    </row>
    <row r="2236" spans="3:7" x14ac:dyDescent="0.3">
      <c r="C2236" t="str">
        <f>IFERROR(IF(B2236="","",VLOOKUP(B2236,CadProd!$A:$B,2,0)),"")</f>
        <v/>
      </c>
      <c r="D2236" t="str">
        <f>IFERROR(IF(B2236="","",VLOOKUP(B2236,CadProd!$A:$C,3,0)),"")</f>
        <v/>
      </c>
      <c r="G2236" s="1" t="str">
        <f t="shared" si="34"/>
        <v/>
      </c>
    </row>
    <row r="2237" spans="3:7" x14ac:dyDescent="0.3">
      <c r="C2237" t="str">
        <f>IFERROR(IF(B2237="","",VLOOKUP(B2237,CadProd!$A:$B,2,0)),"")</f>
        <v/>
      </c>
      <c r="D2237" t="str">
        <f>IFERROR(IF(B2237="","",VLOOKUP(B2237,CadProd!$A:$C,3,0)),"")</f>
        <v/>
      </c>
      <c r="G2237" s="1" t="str">
        <f t="shared" si="34"/>
        <v/>
      </c>
    </row>
    <row r="2238" spans="3:7" x14ac:dyDescent="0.3">
      <c r="C2238" t="str">
        <f>IFERROR(IF(B2238="","",VLOOKUP(B2238,CadProd!$A:$B,2,0)),"")</f>
        <v/>
      </c>
      <c r="D2238" t="str">
        <f>IFERROR(IF(B2238="","",VLOOKUP(B2238,CadProd!$A:$C,3,0)),"")</f>
        <v/>
      </c>
      <c r="G2238" s="1" t="str">
        <f t="shared" si="34"/>
        <v/>
      </c>
    </row>
    <row r="2239" spans="3:7" x14ac:dyDescent="0.3">
      <c r="C2239" t="str">
        <f>IFERROR(IF(B2239="","",VLOOKUP(B2239,CadProd!$A:$B,2,0)),"")</f>
        <v/>
      </c>
      <c r="D2239" t="str">
        <f>IFERROR(IF(B2239="","",VLOOKUP(B2239,CadProd!$A:$C,3,0)),"")</f>
        <v/>
      </c>
      <c r="G2239" s="1" t="str">
        <f t="shared" si="34"/>
        <v/>
      </c>
    </row>
    <row r="2240" spans="3:7" x14ac:dyDescent="0.3">
      <c r="C2240" t="str">
        <f>IFERROR(IF(B2240="","",VLOOKUP(B2240,CadProd!$A:$B,2,0)),"")</f>
        <v/>
      </c>
      <c r="D2240" t="str">
        <f>IFERROR(IF(B2240="","",VLOOKUP(B2240,CadProd!$A:$C,3,0)),"")</f>
        <v/>
      </c>
      <c r="G2240" s="1" t="str">
        <f t="shared" si="34"/>
        <v/>
      </c>
    </row>
    <row r="2241" spans="3:7" x14ac:dyDescent="0.3">
      <c r="C2241" t="str">
        <f>IFERROR(IF(B2241="","",VLOOKUP(B2241,CadProd!$A:$B,2,0)),"")</f>
        <v/>
      </c>
      <c r="D2241" t="str">
        <f>IFERROR(IF(B2241="","",VLOOKUP(B2241,CadProd!$A:$C,3,0)),"")</f>
        <v/>
      </c>
      <c r="G2241" s="1" t="str">
        <f t="shared" si="34"/>
        <v/>
      </c>
    </row>
    <row r="2242" spans="3:7" x14ac:dyDescent="0.3">
      <c r="C2242" t="str">
        <f>IFERROR(IF(B2242="","",VLOOKUP(B2242,CadProd!$A:$B,2,0)),"")</f>
        <v/>
      </c>
      <c r="D2242" t="str">
        <f>IFERROR(IF(B2242="","",VLOOKUP(B2242,CadProd!$A:$C,3,0)),"")</f>
        <v/>
      </c>
      <c r="G2242" s="1" t="str">
        <f t="shared" ref="G2242:G2305" si="35">IFERROR(IF(B2242="","",F2242*E2242),"")</f>
        <v/>
      </c>
    </row>
    <row r="2243" spans="3:7" x14ac:dyDescent="0.3">
      <c r="C2243" t="str">
        <f>IFERROR(IF(B2243="","",VLOOKUP(B2243,CadProd!$A:$B,2,0)),"")</f>
        <v/>
      </c>
      <c r="D2243" t="str">
        <f>IFERROR(IF(B2243="","",VLOOKUP(B2243,CadProd!$A:$C,3,0)),"")</f>
        <v/>
      </c>
      <c r="G2243" s="1" t="str">
        <f t="shared" si="35"/>
        <v/>
      </c>
    </row>
    <row r="2244" spans="3:7" x14ac:dyDescent="0.3">
      <c r="C2244" t="str">
        <f>IFERROR(IF(B2244="","",VLOOKUP(B2244,CadProd!$A:$B,2,0)),"")</f>
        <v/>
      </c>
      <c r="D2244" t="str">
        <f>IFERROR(IF(B2244="","",VLOOKUP(B2244,CadProd!$A:$C,3,0)),"")</f>
        <v/>
      </c>
      <c r="G2244" s="1" t="str">
        <f t="shared" si="35"/>
        <v/>
      </c>
    </row>
    <row r="2245" spans="3:7" x14ac:dyDescent="0.3">
      <c r="C2245" t="str">
        <f>IFERROR(IF(B2245="","",VLOOKUP(B2245,CadProd!$A:$B,2,0)),"")</f>
        <v/>
      </c>
      <c r="D2245" t="str">
        <f>IFERROR(IF(B2245="","",VLOOKUP(B2245,CadProd!$A:$C,3,0)),"")</f>
        <v/>
      </c>
      <c r="G2245" s="1" t="str">
        <f t="shared" si="35"/>
        <v/>
      </c>
    </row>
    <row r="2246" spans="3:7" x14ac:dyDescent="0.3">
      <c r="C2246" t="str">
        <f>IFERROR(IF(B2246="","",VLOOKUP(B2246,CadProd!$A:$B,2,0)),"")</f>
        <v/>
      </c>
      <c r="D2246" t="str">
        <f>IFERROR(IF(B2246="","",VLOOKUP(B2246,CadProd!$A:$C,3,0)),"")</f>
        <v/>
      </c>
      <c r="G2246" s="1" t="str">
        <f t="shared" si="35"/>
        <v/>
      </c>
    </row>
    <row r="2247" spans="3:7" x14ac:dyDescent="0.3">
      <c r="C2247" t="str">
        <f>IFERROR(IF(B2247="","",VLOOKUP(B2247,CadProd!$A:$B,2,0)),"")</f>
        <v/>
      </c>
      <c r="D2247" t="str">
        <f>IFERROR(IF(B2247="","",VLOOKUP(B2247,CadProd!$A:$C,3,0)),"")</f>
        <v/>
      </c>
      <c r="G2247" s="1" t="str">
        <f t="shared" si="35"/>
        <v/>
      </c>
    </row>
    <row r="2248" spans="3:7" x14ac:dyDescent="0.3">
      <c r="C2248" t="str">
        <f>IFERROR(IF(B2248="","",VLOOKUP(B2248,CadProd!$A:$B,2,0)),"")</f>
        <v/>
      </c>
      <c r="D2248" t="str">
        <f>IFERROR(IF(B2248="","",VLOOKUP(B2248,CadProd!$A:$C,3,0)),"")</f>
        <v/>
      </c>
      <c r="G2248" s="1" t="str">
        <f t="shared" si="35"/>
        <v/>
      </c>
    </row>
    <row r="2249" spans="3:7" x14ac:dyDescent="0.3">
      <c r="C2249" t="str">
        <f>IFERROR(IF(B2249="","",VLOOKUP(B2249,CadProd!$A:$B,2,0)),"")</f>
        <v/>
      </c>
      <c r="D2249" t="str">
        <f>IFERROR(IF(B2249="","",VLOOKUP(B2249,CadProd!$A:$C,3,0)),"")</f>
        <v/>
      </c>
      <c r="G2249" s="1" t="str">
        <f t="shared" si="35"/>
        <v/>
      </c>
    </row>
    <row r="2250" spans="3:7" x14ac:dyDescent="0.3">
      <c r="C2250" t="str">
        <f>IFERROR(IF(B2250="","",VLOOKUP(B2250,CadProd!$A:$B,2,0)),"")</f>
        <v/>
      </c>
      <c r="D2250" t="str">
        <f>IFERROR(IF(B2250="","",VLOOKUP(B2250,CadProd!$A:$C,3,0)),"")</f>
        <v/>
      </c>
      <c r="G2250" s="1" t="str">
        <f t="shared" si="35"/>
        <v/>
      </c>
    </row>
    <row r="2251" spans="3:7" x14ac:dyDescent="0.3">
      <c r="C2251" t="str">
        <f>IFERROR(IF(B2251="","",VLOOKUP(B2251,CadProd!$A:$B,2,0)),"")</f>
        <v/>
      </c>
      <c r="D2251" t="str">
        <f>IFERROR(IF(B2251="","",VLOOKUP(B2251,CadProd!$A:$C,3,0)),"")</f>
        <v/>
      </c>
      <c r="G2251" s="1" t="str">
        <f t="shared" si="35"/>
        <v/>
      </c>
    </row>
    <row r="2252" spans="3:7" x14ac:dyDescent="0.3">
      <c r="C2252" t="str">
        <f>IFERROR(IF(B2252="","",VLOOKUP(B2252,CadProd!$A:$B,2,0)),"")</f>
        <v/>
      </c>
      <c r="D2252" t="str">
        <f>IFERROR(IF(B2252="","",VLOOKUP(B2252,CadProd!$A:$C,3,0)),"")</f>
        <v/>
      </c>
      <c r="G2252" s="1" t="str">
        <f t="shared" si="35"/>
        <v/>
      </c>
    </row>
    <row r="2253" spans="3:7" x14ac:dyDescent="0.3">
      <c r="C2253" t="str">
        <f>IFERROR(IF(B2253="","",VLOOKUP(B2253,CadProd!$A:$B,2,0)),"")</f>
        <v/>
      </c>
      <c r="D2253" t="str">
        <f>IFERROR(IF(B2253="","",VLOOKUP(B2253,CadProd!$A:$C,3,0)),"")</f>
        <v/>
      </c>
      <c r="G2253" s="1" t="str">
        <f t="shared" si="35"/>
        <v/>
      </c>
    </row>
    <row r="2254" spans="3:7" x14ac:dyDescent="0.3">
      <c r="C2254" t="str">
        <f>IFERROR(IF(B2254="","",VLOOKUP(B2254,CadProd!$A:$B,2,0)),"")</f>
        <v/>
      </c>
      <c r="D2254" t="str">
        <f>IFERROR(IF(B2254="","",VLOOKUP(B2254,CadProd!$A:$C,3,0)),"")</f>
        <v/>
      </c>
      <c r="G2254" s="1" t="str">
        <f t="shared" si="35"/>
        <v/>
      </c>
    </row>
    <row r="2255" spans="3:7" x14ac:dyDescent="0.3">
      <c r="C2255" t="str">
        <f>IFERROR(IF(B2255="","",VLOOKUP(B2255,CadProd!$A:$B,2,0)),"")</f>
        <v/>
      </c>
      <c r="D2255" t="str">
        <f>IFERROR(IF(B2255="","",VLOOKUP(B2255,CadProd!$A:$C,3,0)),"")</f>
        <v/>
      </c>
      <c r="G2255" s="1" t="str">
        <f t="shared" si="35"/>
        <v/>
      </c>
    </row>
    <row r="2256" spans="3:7" x14ac:dyDescent="0.3">
      <c r="C2256" t="str">
        <f>IFERROR(IF(B2256="","",VLOOKUP(B2256,CadProd!$A:$B,2,0)),"")</f>
        <v/>
      </c>
      <c r="D2256" t="str">
        <f>IFERROR(IF(B2256="","",VLOOKUP(B2256,CadProd!$A:$C,3,0)),"")</f>
        <v/>
      </c>
      <c r="G2256" s="1" t="str">
        <f t="shared" si="35"/>
        <v/>
      </c>
    </row>
    <row r="2257" spans="3:7" x14ac:dyDescent="0.3">
      <c r="C2257" t="str">
        <f>IFERROR(IF(B2257="","",VLOOKUP(B2257,CadProd!$A:$B,2,0)),"")</f>
        <v/>
      </c>
      <c r="D2257" t="str">
        <f>IFERROR(IF(B2257="","",VLOOKUP(B2257,CadProd!$A:$C,3,0)),"")</f>
        <v/>
      </c>
      <c r="G2257" s="1" t="str">
        <f t="shared" si="35"/>
        <v/>
      </c>
    </row>
    <row r="2258" spans="3:7" x14ac:dyDescent="0.3">
      <c r="C2258" t="str">
        <f>IFERROR(IF(B2258="","",VLOOKUP(B2258,CadProd!$A:$B,2,0)),"")</f>
        <v/>
      </c>
      <c r="D2258" t="str">
        <f>IFERROR(IF(B2258="","",VLOOKUP(B2258,CadProd!$A:$C,3,0)),"")</f>
        <v/>
      </c>
      <c r="G2258" s="1" t="str">
        <f t="shared" si="35"/>
        <v/>
      </c>
    </row>
    <row r="2259" spans="3:7" x14ac:dyDescent="0.3">
      <c r="C2259" t="str">
        <f>IFERROR(IF(B2259="","",VLOOKUP(B2259,CadProd!$A:$B,2,0)),"")</f>
        <v/>
      </c>
      <c r="D2259" t="str">
        <f>IFERROR(IF(B2259="","",VLOOKUP(B2259,CadProd!$A:$C,3,0)),"")</f>
        <v/>
      </c>
      <c r="G2259" s="1" t="str">
        <f t="shared" si="35"/>
        <v/>
      </c>
    </row>
    <row r="2260" spans="3:7" x14ac:dyDescent="0.3">
      <c r="C2260" t="str">
        <f>IFERROR(IF(B2260="","",VLOOKUP(B2260,CadProd!$A:$B,2,0)),"")</f>
        <v/>
      </c>
      <c r="D2260" t="str">
        <f>IFERROR(IF(B2260="","",VLOOKUP(B2260,CadProd!$A:$C,3,0)),"")</f>
        <v/>
      </c>
      <c r="G2260" s="1" t="str">
        <f t="shared" si="35"/>
        <v/>
      </c>
    </row>
    <row r="2261" spans="3:7" x14ac:dyDescent="0.3">
      <c r="C2261" t="str">
        <f>IFERROR(IF(B2261="","",VLOOKUP(B2261,CadProd!$A:$B,2,0)),"")</f>
        <v/>
      </c>
      <c r="D2261" t="str">
        <f>IFERROR(IF(B2261="","",VLOOKUP(B2261,CadProd!$A:$C,3,0)),"")</f>
        <v/>
      </c>
      <c r="G2261" s="1" t="str">
        <f t="shared" si="35"/>
        <v/>
      </c>
    </row>
    <row r="2262" spans="3:7" x14ac:dyDescent="0.3">
      <c r="C2262" t="str">
        <f>IFERROR(IF(B2262="","",VLOOKUP(B2262,CadProd!$A:$B,2,0)),"")</f>
        <v/>
      </c>
      <c r="D2262" t="str">
        <f>IFERROR(IF(B2262="","",VLOOKUP(B2262,CadProd!$A:$C,3,0)),"")</f>
        <v/>
      </c>
      <c r="G2262" s="1" t="str">
        <f t="shared" si="35"/>
        <v/>
      </c>
    </row>
    <row r="2263" spans="3:7" x14ac:dyDescent="0.3">
      <c r="C2263" t="str">
        <f>IFERROR(IF(B2263="","",VLOOKUP(B2263,CadProd!$A:$B,2,0)),"")</f>
        <v/>
      </c>
      <c r="D2263" t="str">
        <f>IFERROR(IF(B2263="","",VLOOKUP(B2263,CadProd!$A:$C,3,0)),"")</f>
        <v/>
      </c>
      <c r="G2263" s="1" t="str">
        <f t="shared" si="35"/>
        <v/>
      </c>
    </row>
    <row r="2264" spans="3:7" x14ac:dyDescent="0.3">
      <c r="C2264" t="str">
        <f>IFERROR(IF(B2264="","",VLOOKUP(B2264,CadProd!$A:$B,2,0)),"")</f>
        <v/>
      </c>
      <c r="D2264" t="str">
        <f>IFERROR(IF(B2264="","",VLOOKUP(B2264,CadProd!$A:$C,3,0)),"")</f>
        <v/>
      </c>
      <c r="G2264" s="1" t="str">
        <f t="shared" si="35"/>
        <v/>
      </c>
    </row>
    <row r="2265" spans="3:7" x14ac:dyDescent="0.3">
      <c r="C2265" t="str">
        <f>IFERROR(IF(B2265="","",VLOOKUP(B2265,CadProd!$A:$B,2,0)),"")</f>
        <v/>
      </c>
      <c r="D2265" t="str">
        <f>IFERROR(IF(B2265="","",VLOOKUP(B2265,CadProd!$A:$C,3,0)),"")</f>
        <v/>
      </c>
      <c r="G2265" s="1" t="str">
        <f t="shared" si="35"/>
        <v/>
      </c>
    </row>
    <row r="2266" spans="3:7" x14ac:dyDescent="0.3">
      <c r="C2266" t="str">
        <f>IFERROR(IF(B2266="","",VLOOKUP(B2266,CadProd!$A:$B,2,0)),"")</f>
        <v/>
      </c>
      <c r="D2266" t="str">
        <f>IFERROR(IF(B2266="","",VLOOKUP(B2266,CadProd!$A:$C,3,0)),"")</f>
        <v/>
      </c>
      <c r="G2266" s="1" t="str">
        <f t="shared" si="35"/>
        <v/>
      </c>
    </row>
    <row r="2267" spans="3:7" x14ac:dyDescent="0.3">
      <c r="C2267" t="str">
        <f>IFERROR(IF(B2267="","",VLOOKUP(B2267,CadProd!$A:$B,2,0)),"")</f>
        <v/>
      </c>
      <c r="D2267" t="str">
        <f>IFERROR(IF(B2267="","",VLOOKUP(B2267,CadProd!$A:$C,3,0)),"")</f>
        <v/>
      </c>
      <c r="G2267" s="1" t="str">
        <f t="shared" si="35"/>
        <v/>
      </c>
    </row>
    <row r="2268" spans="3:7" x14ac:dyDescent="0.3">
      <c r="C2268" t="str">
        <f>IFERROR(IF(B2268="","",VLOOKUP(B2268,CadProd!$A:$B,2,0)),"")</f>
        <v/>
      </c>
      <c r="D2268" t="str">
        <f>IFERROR(IF(B2268="","",VLOOKUP(B2268,CadProd!$A:$C,3,0)),"")</f>
        <v/>
      </c>
      <c r="G2268" s="1" t="str">
        <f t="shared" si="35"/>
        <v/>
      </c>
    </row>
    <row r="2269" spans="3:7" x14ac:dyDescent="0.3">
      <c r="C2269" t="str">
        <f>IFERROR(IF(B2269="","",VLOOKUP(B2269,CadProd!$A:$B,2,0)),"")</f>
        <v/>
      </c>
      <c r="D2269" t="str">
        <f>IFERROR(IF(B2269="","",VLOOKUP(B2269,CadProd!$A:$C,3,0)),"")</f>
        <v/>
      </c>
      <c r="G2269" s="1" t="str">
        <f t="shared" si="35"/>
        <v/>
      </c>
    </row>
    <row r="2270" spans="3:7" x14ac:dyDescent="0.3">
      <c r="C2270" t="str">
        <f>IFERROR(IF(B2270="","",VLOOKUP(B2270,CadProd!$A:$B,2,0)),"")</f>
        <v/>
      </c>
      <c r="D2270" t="str">
        <f>IFERROR(IF(B2270="","",VLOOKUP(B2270,CadProd!$A:$C,3,0)),"")</f>
        <v/>
      </c>
      <c r="G2270" s="1" t="str">
        <f t="shared" si="35"/>
        <v/>
      </c>
    </row>
    <row r="2271" spans="3:7" x14ac:dyDescent="0.3">
      <c r="C2271" t="str">
        <f>IFERROR(IF(B2271="","",VLOOKUP(B2271,CadProd!$A:$B,2,0)),"")</f>
        <v/>
      </c>
      <c r="D2271" t="str">
        <f>IFERROR(IF(B2271="","",VLOOKUP(B2271,CadProd!$A:$C,3,0)),"")</f>
        <v/>
      </c>
      <c r="G2271" s="1" t="str">
        <f t="shared" si="35"/>
        <v/>
      </c>
    </row>
    <row r="2272" spans="3:7" x14ac:dyDescent="0.3">
      <c r="C2272" t="str">
        <f>IFERROR(IF(B2272="","",VLOOKUP(B2272,CadProd!$A:$B,2,0)),"")</f>
        <v/>
      </c>
      <c r="D2272" t="str">
        <f>IFERROR(IF(B2272="","",VLOOKUP(B2272,CadProd!$A:$C,3,0)),"")</f>
        <v/>
      </c>
      <c r="G2272" s="1" t="str">
        <f t="shared" si="35"/>
        <v/>
      </c>
    </row>
    <row r="2273" spans="3:7" x14ac:dyDescent="0.3">
      <c r="C2273" t="str">
        <f>IFERROR(IF(B2273="","",VLOOKUP(B2273,CadProd!$A:$B,2,0)),"")</f>
        <v/>
      </c>
      <c r="D2273" t="str">
        <f>IFERROR(IF(B2273="","",VLOOKUP(B2273,CadProd!$A:$C,3,0)),"")</f>
        <v/>
      </c>
      <c r="G2273" s="1" t="str">
        <f t="shared" si="35"/>
        <v/>
      </c>
    </row>
    <row r="2274" spans="3:7" x14ac:dyDescent="0.3">
      <c r="C2274" t="str">
        <f>IFERROR(IF(B2274="","",VLOOKUP(B2274,CadProd!$A:$B,2,0)),"")</f>
        <v/>
      </c>
      <c r="D2274" t="str">
        <f>IFERROR(IF(B2274="","",VLOOKUP(B2274,CadProd!$A:$C,3,0)),"")</f>
        <v/>
      </c>
      <c r="G2274" s="1" t="str">
        <f t="shared" si="35"/>
        <v/>
      </c>
    </row>
    <row r="2275" spans="3:7" x14ac:dyDescent="0.3">
      <c r="C2275" t="str">
        <f>IFERROR(IF(B2275="","",VLOOKUP(B2275,CadProd!$A:$B,2,0)),"")</f>
        <v/>
      </c>
      <c r="D2275" t="str">
        <f>IFERROR(IF(B2275="","",VLOOKUP(B2275,CadProd!$A:$C,3,0)),"")</f>
        <v/>
      </c>
      <c r="G2275" s="1" t="str">
        <f t="shared" si="35"/>
        <v/>
      </c>
    </row>
    <row r="2276" spans="3:7" x14ac:dyDescent="0.3">
      <c r="C2276" t="str">
        <f>IFERROR(IF(B2276="","",VLOOKUP(B2276,CadProd!$A:$B,2,0)),"")</f>
        <v/>
      </c>
      <c r="D2276" t="str">
        <f>IFERROR(IF(B2276="","",VLOOKUP(B2276,CadProd!$A:$C,3,0)),"")</f>
        <v/>
      </c>
      <c r="G2276" s="1" t="str">
        <f t="shared" si="35"/>
        <v/>
      </c>
    </row>
    <row r="2277" spans="3:7" x14ac:dyDescent="0.3">
      <c r="C2277" t="str">
        <f>IFERROR(IF(B2277="","",VLOOKUP(B2277,CadProd!$A:$B,2,0)),"")</f>
        <v/>
      </c>
      <c r="D2277" t="str">
        <f>IFERROR(IF(B2277="","",VLOOKUP(B2277,CadProd!$A:$C,3,0)),"")</f>
        <v/>
      </c>
      <c r="G2277" s="1" t="str">
        <f t="shared" si="35"/>
        <v/>
      </c>
    </row>
    <row r="2278" spans="3:7" x14ac:dyDescent="0.3">
      <c r="C2278" t="str">
        <f>IFERROR(IF(B2278="","",VLOOKUP(B2278,CadProd!$A:$B,2,0)),"")</f>
        <v/>
      </c>
      <c r="D2278" t="str">
        <f>IFERROR(IF(B2278="","",VLOOKUP(B2278,CadProd!$A:$C,3,0)),"")</f>
        <v/>
      </c>
      <c r="G2278" s="1" t="str">
        <f t="shared" si="35"/>
        <v/>
      </c>
    </row>
    <row r="2279" spans="3:7" x14ac:dyDescent="0.3">
      <c r="C2279" t="str">
        <f>IFERROR(IF(B2279="","",VLOOKUP(B2279,CadProd!$A:$B,2,0)),"")</f>
        <v/>
      </c>
      <c r="D2279" t="str">
        <f>IFERROR(IF(B2279="","",VLOOKUP(B2279,CadProd!$A:$C,3,0)),"")</f>
        <v/>
      </c>
      <c r="G2279" s="1" t="str">
        <f t="shared" si="35"/>
        <v/>
      </c>
    </row>
    <row r="2280" spans="3:7" x14ac:dyDescent="0.3">
      <c r="C2280" t="str">
        <f>IFERROR(IF(B2280="","",VLOOKUP(B2280,CadProd!$A:$B,2,0)),"")</f>
        <v/>
      </c>
      <c r="D2280" t="str">
        <f>IFERROR(IF(B2280="","",VLOOKUP(B2280,CadProd!$A:$C,3,0)),"")</f>
        <v/>
      </c>
      <c r="G2280" s="1" t="str">
        <f t="shared" si="35"/>
        <v/>
      </c>
    </row>
    <row r="2281" spans="3:7" x14ac:dyDescent="0.3">
      <c r="C2281" t="str">
        <f>IFERROR(IF(B2281="","",VLOOKUP(B2281,CadProd!$A:$B,2,0)),"")</f>
        <v/>
      </c>
      <c r="D2281" t="str">
        <f>IFERROR(IF(B2281="","",VLOOKUP(B2281,CadProd!$A:$C,3,0)),"")</f>
        <v/>
      </c>
      <c r="G2281" s="1" t="str">
        <f t="shared" si="35"/>
        <v/>
      </c>
    </row>
    <row r="2282" spans="3:7" x14ac:dyDescent="0.3">
      <c r="C2282" t="str">
        <f>IFERROR(IF(B2282="","",VLOOKUP(B2282,CadProd!$A:$B,2,0)),"")</f>
        <v/>
      </c>
      <c r="D2282" t="str">
        <f>IFERROR(IF(B2282="","",VLOOKUP(B2282,CadProd!$A:$C,3,0)),"")</f>
        <v/>
      </c>
      <c r="G2282" s="1" t="str">
        <f t="shared" si="35"/>
        <v/>
      </c>
    </row>
    <row r="2283" spans="3:7" x14ac:dyDescent="0.3">
      <c r="C2283" t="str">
        <f>IFERROR(IF(B2283="","",VLOOKUP(B2283,CadProd!$A:$B,2,0)),"")</f>
        <v/>
      </c>
      <c r="D2283" t="str">
        <f>IFERROR(IF(B2283="","",VLOOKUP(B2283,CadProd!$A:$C,3,0)),"")</f>
        <v/>
      </c>
      <c r="G2283" s="1" t="str">
        <f t="shared" si="35"/>
        <v/>
      </c>
    </row>
    <row r="2284" spans="3:7" x14ac:dyDescent="0.3">
      <c r="C2284" t="str">
        <f>IFERROR(IF(B2284="","",VLOOKUP(B2284,CadProd!$A:$B,2,0)),"")</f>
        <v/>
      </c>
      <c r="D2284" t="str">
        <f>IFERROR(IF(B2284="","",VLOOKUP(B2284,CadProd!$A:$C,3,0)),"")</f>
        <v/>
      </c>
      <c r="G2284" s="1" t="str">
        <f t="shared" si="35"/>
        <v/>
      </c>
    </row>
    <row r="2285" spans="3:7" x14ac:dyDescent="0.3">
      <c r="C2285" t="str">
        <f>IFERROR(IF(B2285="","",VLOOKUP(B2285,CadProd!$A:$B,2,0)),"")</f>
        <v/>
      </c>
      <c r="D2285" t="str">
        <f>IFERROR(IF(B2285="","",VLOOKUP(B2285,CadProd!$A:$C,3,0)),"")</f>
        <v/>
      </c>
      <c r="G2285" s="1" t="str">
        <f t="shared" si="35"/>
        <v/>
      </c>
    </row>
    <row r="2286" spans="3:7" x14ac:dyDescent="0.3">
      <c r="C2286" t="str">
        <f>IFERROR(IF(B2286="","",VLOOKUP(B2286,CadProd!$A:$B,2,0)),"")</f>
        <v/>
      </c>
      <c r="D2286" t="str">
        <f>IFERROR(IF(B2286="","",VLOOKUP(B2286,CadProd!$A:$C,3,0)),"")</f>
        <v/>
      </c>
      <c r="G2286" s="1" t="str">
        <f t="shared" si="35"/>
        <v/>
      </c>
    </row>
    <row r="2287" spans="3:7" x14ac:dyDescent="0.3">
      <c r="C2287" t="str">
        <f>IFERROR(IF(B2287="","",VLOOKUP(B2287,CadProd!$A:$B,2,0)),"")</f>
        <v/>
      </c>
      <c r="D2287" t="str">
        <f>IFERROR(IF(B2287="","",VLOOKUP(B2287,CadProd!$A:$C,3,0)),"")</f>
        <v/>
      </c>
      <c r="G2287" s="1" t="str">
        <f t="shared" si="35"/>
        <v/>
      </c>
    </row>
    <row r="2288" spans="3:7" x14ac:dyDescent="0.3">
      <c r="C2288" t="str">
        <f>IFERROR(IF(B2288="","",VLOOKUP(B2288,CadProd!$A:$B,2,0)),"")</f>
        <v/>
      </c>
      <c r="D2288" t="str">
        <f>IFERROR(IF(B2288="","",VLOOKUP(B2288,CadProd!$A:$C,3,0)),"")</f>
        <v/>
      </c>
      <c r="G2288" s="1" t="str">
        <f t="shared" si="35"/>
        <v/>
      </c>
    </row>
    <row r="2289" spans="3:7" x14ac:dyDescent="0.3">
      <c r="C2289" t="str">
        <f>IFERROR(IF(B2289="","",VLOOKUP(B2289,CadProd!$A:$B,2,0)),"")</f>
        <v/>
      </c>
      <c r="D2289" t="str">
        <f>IFERROR(IF(B2289="","",VLOOKUP(B2289,CadProd!$A:$C,3,0)),"")</f>
        <v/>
      </c>
      <c r="G2289" s="1" t="str">
        <f t="shared" si="35"/>
        <v/>
      </c>
    </row>
    <row r="2290" spans="3:7" x14ac:dyDescent="0.3">
      <c r="C2290" t="str">
        <f>IFERROR(IF(B2290="","",VLOOKUP(B2290,CadProd!$A:$B,2,0)),"")</f>
        <v/>
      </c>
      <c r="D2290" t="str">
        <f>IFERROR(IF(B2290="","",VLOOKUP(B2290,CadProd!$A:$C,3,0)),"")</f>
        <v/>
      </c>
      <c r="G2290" s="1" t="str">
        <f t="shared" si="35"/>
        <v/>
      </c>
    </row>
    <row r="2291" spans="3:7" x14ac:dyDescent="0.3">
      <c r="C2291" t="str">
        <f>IFERROR(IF(B2291="","",VLOOKUP(B2291,CadProd!$A:$B,2,0)),"")</f>
        <v/>
      </c>
      <c r="D2291" t="str">
        <f>IFERROR(IF(B2291="","",VLOOKUP(B2291,CadProd!$A:$C,3,0)),"")</f>
        <v/>
      </c>
      <c r="G2291" s="1" t="str">
        <f t="shared" si="35"/>
        <v/>
      </c>
    </row>
    <row r="2292" spans="3:7" x14ac:dyDescent="0.3">
      <c r="C2292" t="str">
        <f>IFERROR(IF(B2292="","",VLOOKUP(B2292,CadProd!$A:$B,2,0)),"")</f>
        <v/>
      </c>
      <c r="D2292" t="str">
        <f>IFERROR(IF(B2292="","",VLOOKUP(B2292,CadProd!$A:$C,3,0)),"")</f>
        <v/>
      </c>
      <c r="G2292" s="1" t="str">
        <f t="shared" si="35"/>
        <v/>
      </c>
    </row>
    <row r="2293" spans="3:7" x14ac:dyDescent="0.3">
      <c r="C2293" t="str">
        <f>IFERROR(IF(B2293="","",VLOOKUP(B2293,CadProd!$A:$B,2,0)),"")</f>
        <v/>
      </c>
      <c r="D2293" t="str">
        <f>IFERROR(IF(B2293="","",VLOOKUP(B2293,CadProd!$A:$C,3,0)),"")</f>
        <v/>
      </c>
      <c r="G2293" s="1" t="str">
        <f t="shared" si="35"/>
        <v/>
      </c>
    </row>
    <row r="2294" spans="3:7" x14ac:dyDescent="0.3">
      <c r="C2294" t="str">
        <f>IFERROR(IF(B2294="","",VLOOKUP(B2294,CadProd!$A:$B,2,0)),"")</f>
        <v/>
      </c>
      <c r="D2294" t="str">
        <f>IFERROR(IF(B2294="","",VLOOKUP(B2294,CadProd!$A:$C,3,0)),"")</f>
        <v/>
      </c>
      <c r="G2294" s="1" t="str">
        <f t="shared" si="35"/>
        <v/>
      </c>
    </row>
    <row r="2295" spans="3:7" x14ac:dyDescent="0.3">
      <c r="C2295" t="str">
        <f>IFERROR(IF(B2295="","",VLOOKUP(B2295,CadProd!$A:$B,2,0)),"")</f>
        <v/>
      </c>
      <c r="D2295" t="str">
        <f>IFERROR(IF(B2295="","",VLOOKUP(B2295,CadProd!$A:$C,3,0)),"")</f>
        <v/>
      </c>
      <c r="G2295" s="1" t="str">
        <f t="shared" si="35"/>
        <v/>
      </c>
    </row>
    <row r="2296" spans="3:7" x14ac:dyDescent="0.3">
      <c r="C2296" t="str">
        <f>IFERROR(IF(B2296="","",VLOOKUP(B2296,CadProd!$A:$B,2,0)),"")</f>
        <v/>
      </c>
      <c r="D2296" t="str">
        <f>IFERROR(IF(B2296="","",VLOOKUP(B2296,CadProd!$A:$C,3,0)),"")</f>
        <v/>
      </c>
      <c r="G2296" s="1" t="str">
        <f t="shared" si="35"/>
        <v/>
      </c>
    </row>
    <row r="2297" spans="3:7" x14ac:dyDescent="0.3">
      <c r="C2297" t="str">
        <f>IFERROR(IF(B2297="","",VLOOKUP(B2297,CadProd!$A:$B,2,0)),"")</f>
        <v/>
      </c>
      <c r="D2297" t="str">
        <f>IFERROR(IF(B2297="","",VLOOKUP(B2297,CadProd!$A:$C,3,0)),"")</f>
        <v/>
      </c>
      <c r="G2297" s="1" t="str">
        <f t="shared" si="35"/>
        <v/>
      </c>
    </row>
    <row r="2298" spans="3:7" x14ac:dyDescent="0.3">
      <c r="C2298" t="str">
        <f>IFERROR(IF(B2298="","",VLOOKUP(B2298,CadProd!$A:$B,2,0)),"")</f>
        <v/>
      </c>
      <c r="D2298" t="str">
        <f>IFERROR(IF(B2298="","",VLOOKUP(B2298,CadProd!$A:$C,3,0)),"")</f>
        <v/>
      </c>
      <c r="G2298" s="1" t="str">
        <f t="shared" si="35"/>
        <v/>
      </c>
    </row>
    <row r="2299" spans="3:7" x14ac:dyDescent="0.3">
      <c r="C2299" t="str">
        <f>IFERROR(IF(B2299="","",VLOOKUP(B2299,CadProd!$A:$B,2,0)),"")</f>
        <v/>
      </c>
      <c r="D2299" t="str">
        <f>IFERROR(IF(B2299="","",VLOOKUP(B2299,CadProd!$A:$C,3,0)),"")</f>
        <v/>
      </c>
      <c r="G2299" s="1" t="str">
        <f t="shared" si="35"/>
        <v/>
      </c>
    </row>
    <row r="2300" spans="3:7" x14ac:dyDescent="0.3">
      <c r="C2300" t="str">
        <f>IFERROR(IF(B2300="","",VLOOKUP(B2300,CadProd!$A:$B,2,0)),"")</f>
        <v/>
      </c>
      <c r="D2300" t="str">
        <f>IFERROR(IF(B2300="","",VLOOKUP(B2300,CadProd!$A:$C,3,0)),"")</f>
        <v/>
      </c>
      <c r="G2300" s="1" t="str">
        <f t="shared" si="35"/>
        <v/>
      </c>
    </row>
    <row r="2301" spans="3:7" x14ac:dyDescent="0.3">
      <c r="C2301" t="str">
        <f>IFERROR(IF(B2301="","",VLOOKUP(B2301,CadProd!$A:$B,2,0)),"")</f>
        <v/>
      </c>
      <c r="D2301" t="str">
        <f>IFERROR(IF(B2301="","",VLOOKUP(B2301,CadProd!$A:$C,3,0)),"")</f>
        <v/>
      </c>
      <c r="G2301" s="1" t="str">
        <f t="shared" si="35"/>
        <v/>
      </c>
    </row>
    <row r="2302" spans="3:7" x14ac:dyDescent="0.3">
      <c r="C2302" t="str">
        <f>IFERROR(IF(B2302="","",VLOOKUP(B2302,CadProd!$A:$B,2,0)),"")</f>
        <v/>
      </c>
      <c r="D2302" t="str">
        <f>IFERROR(IF(B2302="","",VLOOKUP(B2302,CadProd!$A:$C,3,0)),"")</f>
        <v/>
      </c>
      <c r="G2302" s="1" t="str">
        <f t="shared" si="35"/>
        <v/>
      </c>
    </row>
    <row r="2303" spans="3:7" x14ac:dyDescent="0.3">
      <c r="C2303" t="str">
        <f>IFERROR(IF(B2303="","",VLOOKUP(B2303,CadProd!$A:$B,2,0)),"")</f>
        <v/>
      </c>
      <c r="D2303" t="str">
        <f>IFERROR(IF(B2303="","",VLOOKUP(B2303,CadProd!$A:$C,3,0)),"")</f>
        <v/>
      </c>
      <c r="G2303" s="1" t="str">
        <f t="shared" si="35"/>
        <v/>
      </c>
    </row>
    <row r="2304" spans="3:7" x14ac:dyDescent="0.3">
      <c r="C2304" t="str">
        <f>IFERROR(IF(B2304="","",VLOOKUP(B2304,CadProd!$A:$B,2,0)),"")</f>
        <v/>
      </c>
      <c r="D2304" t="str">
        <f>IFERROR(IF(B2304="","",VLOOKUP(B2304,CadProd!$A:$C,3,0)),"")</f>
        <v/>
      </c>
      <c r="G2304" s="1" t="str">
        <f t="shared" si="35"/>
        <v/>
      </c>
    </row>
    <row r="2305" spans="3:7" x14ac:dyDescent="0.3">
      <c r="C2305" t="str">
        <f>IFERROR(IF(B2305="","",VLOOKUP(B2305,CadProd!$A:$B,2,0)),"")</f>
        <v/>
      </c>
      <c r="D2305" t="str">
        <f>IFERROR(IF(B2305="","",VLOOKUP(B2305,CadProd!$A:$C,3,0)),"")</f>
        <v/>
      </c>
      <c r="G2305" s="1" t="str">
        <f t="shared" si="35"/>
        <v/>
      </c>
    </row>
    <row r="2306" spans="3:7" x14ac:dyDescent="0.3">
      <c r="C2306" t="str">
        <f>IFERROR(IF(B2306="","",VLOOKUP(B2306,CadProd!$A:$B,2,0)),"")</f>
        <v/>
      </c>
      <c r="D2306" t="str">
        <f>IFERROR(IF(B2306="","",VLOOKUP(B2306,CadProd!$A:$C,3,0)),"")</f>
        <v/>
      </c>
      <c r="G2306" s="1" t="str">
        <f t="shared" ref="G2306:G2369" si="36">IFERROR(IF(B2306="","",F2306*E2306),"")</f>
        <v/>
      </c>
    </row>
    <row r="2307" spans="3:7" x14ac:dyDescent="0.3">
      <c r="C2307" t="str">
        <f>IFERROR(IF(B2307="","",VLOOKUP(B2307,CadProd!$A:$B,2,0)),"")</f>
        <v/>
      </c>
      <c r="D2307" t="str">
        <f>IFERROR(IF(B2307="","",VLOOKUP(B2307,CadProd!$A:$C,3,0)),"")</f>
        <v/>
      </c>
      <c r="G2307" s="1" t="str">
        <f t="shared" si="36"/>
        <v/>
      </c>
    </row>
    <row r="2308" spans="3:7" x14ac:dyDescent="0.3">
      <c r="C2308" t="str">
        <f>IFERROR(IF(B2308="","",VLOOKUP(B2308,CadProd!$A:$B,2,0)),"")</f>
        <v/>
      </c>
      <c r="D2308" t="str">
        <f>IFERROR(IF(B2308="","",VLOOKUP(B2308,CadProd!$A:$C,3,0)),"")</f>
        <v/>
      </c>
      <c r="G2308" s="1" t="str">
        <f t="shared" si="36"/>
        <v/>
      </c>
    </row>
    <row r="2309" spans="3:7" x14ac:dyDescent="0.3">
      <c r="C2309" t="str">
        <f>IFERROR(IF(B2309="","",VLOOKUP(B2309,CadProd!$A:$B,2,0)),"")</f>
        <v/>
      </c>
      <c r="D2309" t="str">
        <f>IFERROR(IF(B2309="","",VLOOKUP(B2309,CadProd!$A:$C,3,0)),"")</f>
        <v/>
      </c>
      <c r="G2309" s="1" t="str">
        <f t="shared" si="36"/>
        <v/>
      </c>
    </row>
    <row r="2310" spans="3:7" x14ac:dyDescent="0.3">
      <c r="C2310" t="str">
        <f>IFERROR(IF(B2310="","",VLOOKUP(B2310,CadProd!$A:$B,2,0)),"")</f>
        <v/>
      </c>
      <c r="D2310" t="str">
        <f>IFERROR(IF(B2310="","",VLOOKUP(B2310,CadProd!$A:$C,3,0)),"")</f>
        <v/>
      </c>
      <c r="G2310" s="1" t="str">
        <f t="shared" si="36"/>
        <v/>
      </c>
    </row>
    <row r="2311" spans="3:7" x14ac:dyDescent="0.3">
      <c r="C2311" t="str">
        <f>IFERROR(IF(B2311="","",VLOOKUP(B2311,CadProd!$A:$B,2,0)),"")</f>
        <v/>
      </c>
      <c r="D2311" t="str">
        <f>IFERROR(IF(B2311="","",VLOOKUP(B2311,CadProd!$A:$C,3,0)),"")</f>
        <v/>
      </c>
      <c r="G2311" s="1" t="str">
        <f t="shared" si="36"/>
        <v/>
      </c>
    </row>
    <row r="2312" spans="3:7" x14ac:dyDescent="0.3">
      <c r="C2312" t="str">
        <f>IFERROR(IF(B2312="","",VLOOKUP(B2312,CadProd!$A:$B,2,0)),"")</f>
        <v/>
      </c>
      <c r="D2312" t="str">
        <f>IFERROR(IF(B2312="","",VLOOKUP(B2312,CadProd!$A:$C,3,0)),"")</f>
        <v/>
      </c>
      <c r="G2312" s="1" t="str">
        <f t="shared" si="36"/>
        <v/>
      </c>
    </row>
    <row r="2313" spans="3:7" x14ac:dyDescent="0.3">
      <c r="C2313" t="str">
        <f>IFERROR(IF(B2313="","",VLOOKUP(B2313,CadProd!$A:$B,2,0)),"")</f>
        <v/>
      </c>
      <c r="D2313" t="str">
        <f>IFERROR(IF(B2313="","",VLOOKUP(B2313,CadProd!$A:$C,3,0)),"")</f>
        <v/>
      </c>
      <c r="G2313" s="1" t="str">
        <f t="shared" si="36"/>
        <v/>
      </c>
    </row>
    <row r="2314" spans="3:7" x14ac:dyDescent="0.3">
      <c r="C2314" t="str">
        <f>IFERROR(IF(B2314="","",VLOOKUP(B2314,CadProd!$A:$B,2,0)),"")</f>
        <v/>
      </c>
      <c r="D2314" t="str">
        <f>IFERROR(IF(B2314="","",VLOOKUP(B2314,CadProd!$A:$C,3,0)),"")</f>
        <v/>
      </c>
      <c r="G2314" s="1" t="str">
        <f t="shared" si="36"/>
        <v/>
      </c>
    </row>
    <row r="2315" spans="3:7" x14ac:dyDescent="0.3">
      <c r="C2315" t="str">
        <f>IFERROR(IF(B2315="","",VLOOKUP(B2315,CadProd!$A:$B,2,0)),"")</f>
        <v/>
      </c>
      <c r="D2315" t="str">
        <f>IFERROR(IF(B2315="","",VLOOKUP(B2315,CadProd!$A:$C,3,0)),"")</f>
        <v/>
      </c>
      <c r="G2315" s="1" t="str">
        <f t="shared" si="36"/>
        <v/>
      </c>
    </row>
    <row r="2316" spans="3:7" x14ac:dyDescent="0.3">
      <c r="C2316" t="str">
        <f>IFERROR(IF(B2316="","",VLOOKUP(B2316,CadProd!$A:$B,2,0)),"")</f>
        <v/>
      </c>
      <c r="D2316" t="str">
        <f>IFERROR(IF(B2316="","",VLOOKUP(B2316,CadProd!$A:$C,3,0)),"")</f>
        <v/>
      </c>
      <c r="G2316" s="1" t="str">
        <f t="shared" si="36"/>
        <v/>
      </c>
    </row>
    <row r="2317" spans="3:7" x14ac:dyDescent="0.3">
      <c r="C2317" t="str">
        <f>IFERROR(IF(B2317="","",VLOOKUP(B2317,CadProd!$A:$B,2,0)),"")</f>
        <v/>
      </c>
      <c r="D2317" t="str">
        <f>IFERROR(IF(B2317="","",VLOOKUP(B2317,CadProd!$A:$C,3,0)),"")</f>
        <v/>
      </c>
      <c r="G2317" s="1" t="str">
        <f t="shared" si="36"/>
        <v/>
      </c>
    </row>
    <row r="2318" spans="3:7" x14ac:dyDescent="0.3">
      <c r="C2318" t="str">
        <f>IFERROR(IF(B2318="","",VLOOKUP(B2318,CadProd!$A:$B,2,0)),"")</f>
        <v/>
      </c>
      <c r="D2318" t="str">
        <f>IFERROR(IF(B2318="","",VLOOKUP(B2318,CadProd!$A:$C,3,0)),"")</f>
        <v/>
      </c>
      <c r="G2318" s="1" t="str">
        <f t="shared" si="36"/>
        <v/>
      </c>
    </row>
    <row r="2319" spans="3:7" x14ac:dyDescent="0.3">
      <c r="C2319" t="str">
        <f>IFERROR(IF(B2319="","",VLOOKUP(B2319,CadProd!$A:$B,2,0)),"")</f>
        <v/>
      </c>
      <c r="D2319" t="str">
        <f>IFERROR(IF(B2319="","",VLOOKUP(B2319,CadProd!$A:$C,3,0)),"")</f>
        <v/>
      </c>
      <c r="G2319" s="1" t="str">
        <f t="shared" si="36"/>
        <v/>
      </c>
    </row>
    <row r="2320" spans="3:7" x14ac:dyDescent="0.3">
      <c r="C2320" t="str">
        <f>IFERROR(IF(B2320="","",VLOOKUP(B2320,CadProd!$A:$B,2,0)),"")</f>
        <v/>
      </c>
      <c r="D2320" t="str">
        <f>IFERROR(IF(B2320="","",VLOOKUP(B2320,CadProd!$A:$C,3,0)),"")</f>
        <v/>
      </c>
      <c r="G2320" s="1" t="str">
        <f t="shared" si="36"/>
        <v/>
      </c>
    </row>
    <row r="2321" spans="3:7" x14ac:dyDescent="0.3">
      <c r="C2321" t="str">
        <f>IFERROR(IF(B2321="","",VLOOKUP(B2321,CadProd!$A:$B,2,0)),"")</f>
        <v/>
      </c>
      <c r="D2321" t="str">
        <f>IFERROR(IF(B2321="","",VLOOKUP(B2321,CadProd!$A:$C,3,0)),"")</f>
        <v/>
      </c>
      <c r="G2321" s="1" t="str">
        <f t="shared" si="36"/>
        <v/>
      </c>
    </row>
    <row r="2322" spans="3:7" x14ac:dyDescent="0.3">
      <c r="C2322" t="str">
        <f>IFERROR(IF(B2322="","",VLOOKUP(B2322,CadProd!$A:$B,2,0)),"")</f>
        <v/>
      </c>
      <c r="D2322" t="str">
        <f>IFERROR(IF(B2322="","",VLOOKUP(B2322,CadProd!$A:$C,3,0)),"")</f>
        <v/>
      </c>
      <c r="G2322" s="1" t="str">
        <f t="shared" si="36"/>
        <v/>
      </c>
    </row>
    <row r="2323" spans="3:7" x14ac:dyDescent="0.3">
      <c r="C2323" t="str">
        <f>IFERROR(IF(B2323="","",VLOOKUP(B2323,CadProd!$A:$B,2,0)),"")</f>
        <v/>
      </c>
      <c r="D2323" t="str">
        <f>IFERROR(IF(B2323="","",VLOOKUP(B2323,CadProd!$A:$C,3,0)),"")</f>
        <v/>
      </c>
      <c r="G2323" s="1" t="str">
        <f t="shared" si="36"/>
        <v/>
      </c>
    </row>
    <row r="2324" spans="3:7" x14ac:dyDescent="0.3">
      <c r="C2324" t="str">
        <f>IFERROR(IF(B2324="","",VLOOKUP(B2324,CadProd!$A:$B,2,0)),"")</f>
        <v/>
      </c>
      <c r="D2324" t="str">
        <f>IFERROR(IF(B2324="","",VLOOKUP(B2324,CadProd!$A:$C,3,0)),"")</f>
        <v/>
      </c>
      <c r="G2324" s="1" t="str">
        <f t="shared" si="36"/>
        <v/>
      </c>
    </row>
    <row r="2325" spans="3:7" x14ac:dyDescent="0.3">
      <c r="C2325" t="str">
        <f>IFERROR(IF(B2325="","",VLOOKUP(B2325,CadProd!$A:$B,2,0)),"")</f>
        <v/>
      </c>
      <c r="D2325" t="str">
        <f>IFERROR(IF(B2325="","",VLOOKUP(B2325,CadProd!$A:$C,3,0)),"")</f>
        <v/>
      </c>
      <c r="G2325" s="1" t="str">
        <f t="shared" si="36"/>
        <v/>
      </c>
    </row>
    <row r="2326" spans="3:7" x14ac:dyDescent="0.3">
      <c r="C2326" t="str">
        <f>IFERROR(IF(B2326="","",VLOOKUP(B2326,CadProd!$A:$B,2,0)),"")</f>
        <v/>
      </c>
      <c r="D2326" t="str">
        <f>IFERROR(IF(B2326="","",VLOOKUP(B2326,CadProd!$A:$C,3,0)),"")</f>
        <v/>
      </c>
      <c r="G2326" s="1" t="str">
        <f t="shared" si="36"/>
        <v/>
      </c>
    </row>
    <row r="2327" spans="3:7" x14ac:dyDescent="0.3">
      <c r="C2327" t="str">
        <f>IFERROR(IF(B2327="","",VLOOKUP(B2327,CadProd!$A:$B,2,0)),"")</f>
        <v/>
      </c>
      <c r="D2327" t="str">
        <f>IFERROR(IF(B2327="","",VLOOKUP(B2327,CadProd!$A:$C,3,0)),"")</f>
        <v/>
      </c>
      <c r="G2327" s="1" t="str">
        <f t="shared" si="36"/>
        <v/>
      </c>
    </row>
    <row r="2328" spans="3:7" x14ac:dyDescent="0.3">
      <c r="C2328" t="str">
        <f>IFERROR(IF(B2328="","",VLOOKUP(B2328,CadProd!$A:$B,2,0)),"")</f>
        <v/>
      </c>
      <c r="D2328" t="str">
        <f>IFERROR(IF(B2328="","",VLOOKUP(B2328,CadProd!$A:$C,3,0)),"")</f>
        <v/>
      </c>
      <c r="G2328" s="1" t="str">
        <f t="shared" si="36"/>
        <v/>
      </c>
    </row>
    <row r="2329" spans="3:7" x14ac:dyDescent="0.3">
      <c r="C2329" t="str">
        <f>IFERROR(IF(B2329="","",VLOOKUP(B2329,CadProd!$A:$B,2,0)),"")</f>
        <v/>
      </c>
      <c r="D2329" t="str">
        <f>IFERROR(IF(B2329="","",VLOOKUP(B2329,CadProd!$A:$C,3,0)),"")</f>
        <v/>
      </c>
      <c r="G2329" s="1" t="str">
        <f t="shared" si="36"/>
        <v/>
      </c>
    </row>
    <row r="2330" spans="3:7" x14ac:dyDescent="0.3">
      <c r="C2330" t="str">
        <f>IFERROR(IF(B2330="","",VLOOKUP(B2330,CadProd!$A:$B,2,0)),"")</f>
        <v/>
      </c>
      <c r="D2330" t="str">
        <f>IFERROR(IF(B2330="","",VLOOKUP(B2330,CadProd!$A:$C,3,0)),"")</f>
        <v/>
      </c>
      <c r="G2330" s="1" t="str">
        <f t="shared" si="36"/>
        <v/>
      </c>
    </row>
    <row r="2331" spans="3:7" x14ac:dyDescent="0.3">
      <c r="C2331" t="str">
        <f>IFERROR(IF(B2331="","",VLOOKUP(B2331,CadProd!$A:$B,2,0)),"")</f>
        <v/>
      </c>
      <c r="D2331" t="str">
        <f>IFERROR(IF(B2331="","",VLOOKUP(B2331,CadProd!$A:$C,3,0)),"")</f>
        <v/>
      </c>
      <c r="G2331" s="1" t="str">
        <f t="shared" si="36"/>
        <v/>
      </c>
    </row>
    <row r="2332" spans="3:7" x14ac:dyDescent="0.3">
      <c r="C2332" t="str">
        <f>IFERROR(IF(B2332="","",VLOOKUP(B2332,CadProd!$A:$B,2,0)),"")</f>
        <v/>
      </c>
      <c r="D2332" t="str">
        <f>IFERROR(IF(B2332="","",VLOOKUP(B2332,CadProd!$A:$C,3,0)),"")</f>
        <v/>
      </c>
      <c r="G2332" s="1" t="str">
        <f t="shared" si="36"/>
        <v/>
      </c>
    </row>
    <row r="2333" spans="3:7" x14ac:dyDescent="0.3">
      <c r="C2333" t="str">
        <f>IFERROR(IF(B2333="","",VLOOKUP(B2333,CadProd!$A:$B,2,0)),"")</f>
        <v/>
      </c>
      <c r="D2333" t="str">
        <f>IFERROR(IF(B2333="","",VLOOKUP(B2333,CadProd!$A:$C,3,0)),"")</f>
        <v/>
      </c>
      <c r="G2333" s="1" t="str">
        <f t="shared" si="36"/>
        <v/>
      </c>
    </row>
    <row r="2334" spans="3:7" x14ac:dyDescent="0.3">
      <c r="C2334" t="str">
        <f>IFERROR(IF(B2334="","",VLOOKUP(B2334,CadProd!$A:$B,2,0)),"")</f>
        <v/>
      </c>
      <c r="D2334" t="str">
        <f>IFERROR(IF(B2334="","",VLOOKUP(B2334,CadProd!$A:$C,3,0)),"")</f>
        <v/>
      </c>
      <c r="G2334" s="1" t="str">
        <f t="shared" si="36"/>
        <v/>
      </c>
    </row>
    <row r="2335" spans="3:7" x14ac:dyDescent="0.3">
      <c r="C2335" t="str">
        <f>IFERROR(IF(B2335="","",VLOOKUP(B2335,CadProd!$A:$B,2,0)),"")</f>
        <v/>
      </c>
      <c r="D2335" t="str">
        <f>IFERROR(IF(B2335="","",VLOOKUP(B2335,CadProd!$A:$C,3,0)),"")</f>
        <v/>
      </c>
      <c r="G2335" s="1" t="str">
        <f t="shared" si="36"/>
        <v/>
      </c>
    </row>
    <row r="2336" spans="3:7" x14ac:dyDescent="0.3">
      <c r="C2336" t="str">
        <f>IFERROR(IF(B2336="","",VLOOKUP(B2336,CadProd!$A:$B,2,0)),"")</f>
        <v/>
      </c>
      <c r="D2336" t="str">
        <f>IFERROR(IF(B2336="","",VLOOKUP(B2336,CadProd!$A:$C,3,0)),"")</f>
        <v/>
      </c>
      <c r="G2336" s="1" t="str">
        <f t="shared" si="36"/>
        <v/>
      </c>
    </row>
    <row r="2337" spans="3:7" x14ac:dyDescent="0.3">
      <c r="C2337" t="str">
        <f>IFERROR(IF(B2337="","",VLOOKUP(B2337,CadProd!$A:$B,2,0)),"")</f>
        <v/>
      </c>
      <c r="D2337" t="str">
        <f>IFERROR(IF(B2337="","",VLOOKUP(B2337,CadProd!$A:$C,3,0)),"")</f>
        <v/>
      </c>
      <c r="G2337" s="1" t="str">
        <f t="shared" si="36"/>
        <v/>
      </c>
    </row>
    <row r="2338" spans="3:7" x14ac:dyDescent="0.3">
      <c r="C2338" t="str">
        <f>IFERROR(IF(B2338="","",VLOOKUP(B2338,CadProd!$A:$B,2,0)),"")</f>
        <v/>
      </c>
      <c r="D2338" t="str">
        <f>IFERROR(IF(B2338="","",VLOOKUP(B2338,CadProd!$A:$C,3,0)),"")</f>
        <v/>
      </c>
      <c r="G2338" s="1" t="str">
        <f t="shared" si="36"/>
        <v/>
      </c>
    </row>
    <row r="2339" spans="3:7" x14ac:dyDescent="0.3">
      <c r="C2339" t="str">
        <f>IFERROR(IF(B2339="","",VLOOKUP(B2339,CadProd!$A:$B,2,0)),"")</f>
        <v/>
      </c>
      <c r="D2339" t="str">
        <f>IFERROR(IF(B2339="","",VLOOKUP(B2339,CadProd!$A:$C,3,0)),"")</f>
        <v/>
      </c>
      <c r="G2339" s="1" t="str">
        <f t="shared" si="36"/>
        <v/>
      </c>
    </row>
    <row r="2340" spans="3:7" x14ac:dyDescent="0.3">
      <c r="C2340" t="str">
        <f>IFERROR(IF(B2340="","",VLOOKUP(B2340,CadProd!$A:$B,2,0)),"")</f>
        <v/>
      </c>
      <c r="D2340" t="str">
        <f>IFERROR(IF(B2340="","",VLOOKUP(B2340,CadProd!$A:$C,3,0)),"")</f>
        <v/>
      </c>
      <c r="G2340" s="1" t="str">
        <f t="shared" si="36"/>
        <v/>
      </c>
    </row>
    <row r="2341" spans="3:7" x14ac:dyDescent="0.3">
      <c r="C2341" t="str">
        <f>IFERROR(IF(B2341="","",VLOOKUP(B2341,CadProd!$A:$B,2,0)),"")</f>
        <v/>
      </c>
      <c r="D2341" t="str">
        <f>IFERROR(IF(B2341="","",VLOOKUP(B2341,CadProd!$A:$C,3,0)),"")</f>
        <v/>
      </c>
      <c r="G2341" s="1" t="str">
        <f t="shared" si="36"/>
        <v/>
      </c>
    </row>
    <row r="2342" spans="3:7" x14ac:dyDescent="0.3">
      <c r="C2342" t="str">
        <f>IFERROR(IF(B2342="","",VLOOKUP(B2342,CadProd!$A:$B,2,0)),"")</f>
        <v/>
      </c>
      <c r="D2342" t="str">
        <f>IFERROR(IF(B2342="","",VLOOKUP(B2342,CadProd!$A:$C,3,0)),"")</f>
        <v/>
      </c>
      <c r="G2342" s="1" t="str">
        <f t="shared" si="36"/>
        <v/>
      </c>
    </row>
    <row r="2343" spans="3:7" x14ac:dyDescent="0.3">
      <c r="C2343" t="str">
        <f>IFERROR(IF(B2343="","",VLOOKUP(B2343,CadProd!$A:$B,2,0)),"")</f>
        <v/>
      </c>
      <c r="D2343" t="str">
        <f>IFERROR(IF(B2343="","",VLOOKUP(B2343,CadProd!$A:$C,3,0)),"")</f>
        <v/>
      </c>
      <c r="G2343" s="1" t="str">
        <f t="shared" si="36"/>
        <v/>
      </c>
    </row>
    <row r="2344" spans="3:7" x14ac:dyDescent="0.3">
      <c r="C2344" t="str">
        <f>IFERROR(IF(B2344="","",VLOOKUP(B2344,CadProd!$A:$B,2,0)),"")</f>
        <v/>
      </c>
      <c r="D2344" t="str">
        <f>IFERROR(IF(B2344="","",VLOOKUP(B2344,CadProd!$A:$C,3,0)),"")</f>
        <v/>
      </c>
      <c r="G2344" s="1" t="str">
        <f t="shared" si="36"/>
        <v/>
      </c>
    </row>
    <row r="2345" spans="3:7" x14ac:dyDescent="0.3">
      <c r="C2345" t="str">
        <f>IFERROR(IF(B2345="","",VLOOKUP(B2345,CadProd!$A:$B,2,0)),"")</f>
        <v/>
      </c>
      <c r="D2345" t="str">
        <f>IFERROR(IF(B2345="","",VLOOKUP(B2345,CadProd!$A:$C,3,0)),"")</f>
        <v/>
      </c>
      <c r="G2345" s="1" t="str">
        <f t="shared" si="36"/>
        <v/>
      </c>
    </row>
    <row r="2346" spans="3:7" x14ac:dyDescent="0.3">
      <c r="C2346" t="str">
        <f>IFERROR(IF(B2346="","",VLOOKUP(B2346,CadProd!$A:$B,2,0)),"")</f>
        <v/>
      </c>
      <c r="D2346" t="str">
        <f>IFERROR(IF(B2346="","",VLOOKUP(B2346,CadProd!$A:$C,3,0)),"")</f>
        <v/>
      </c>
      <c r="G2346" s="1" t="str">
        <f t="shared" si="36"/>
        <v/>
      </c>
    </row>
    <row r="2347" spans="3:7" x14ac:dyDescent="0.3">
      <c r="C2347" t="str">
        <f>IFERROR(IF(B2347="","",VLOOKUP(B2347,CadProd!$A:$B,2,0)),"")</f>
        <v/>
      </c>
      <c r="D2347" t="str">
        <f>IFERROR(IF(B2347="","",VLOOKUP(B2347,CadProd!$A:$C,3,0)),"")</f>
        <v/>
      </c>
      <c r="G2347" s="1" t="str">
        <f t="shared" si="36"/>
        <v/>
      </c>
    </row>
    <row r="2348" spans="3:7" x14ac:dyDescent="0.3">
      <c r="C2348" t="str">
        <f>IFERROR(IF(B2348="","",VLOOKUP(B2348,CadProd!$A:$B,2,0)),"")</f>
        <v/>
      </c>
      <c r="D2348" t="str">
        <f>IFERROR(IF(B2348="","",VLOOKUP(B2348,CadProd!$A:$C,3,0)),"")</f>
        <v/>
      </c>
      <c r="G2348" s="1" t="str">
        <f t="shared" si="36"/>
        <v/>
      </c>
    </row>
    <row r="2349" spans="3:7" x14ac:dyDescent="0.3">
      <c r="C2349" t="str">
        <f>IFERROR(IF(B2349="","",VLOOKUP(B2349,CadProd!$A:$B,2,0)),"")</f>
        <v/>
      </c>
      <c r="D2349" t="str">
        <f>IFERROR(IF(B2349="","",VLOOKUP(B2349,CadProd!$A:$C,3,0)),"")</f>
        <v/>
      </c>
      <c r="G2349" s="1" t="str">
        <f t="shared" si="36"/>
        <v/>
      </c>
    </row>
    <row r="2350" spans="3:7" x14ac:dyDescent="0.3">
      <c r="C2350" t="str">
        <f>IFERROR(IF(B2350="","",VLOOKUP(B2350,CadProd!$A:$B,2,0)),"")</f>
        <v/>
      </c>
      <c r="D2350" t="str">
        <f>IFERROR(IF(B2350="","",VLOOKUP(B2350,CadProd!$A:$C,3,0)),"")</f>
        <v/>
      </c>
      <c r="G2350" s="1" t="str">
        <f t="shared" si="36"/>
        <v/>
      </c>
    </row>
    <row r="2351" spans="3:7" x14ac:dyDescent="0.3">
      <c r="C2351" t="str">
        <f>IFERROR(IF(B2351="","",VLOOKUP(B2351,CadProd!$A:$B,2,0)),"")</f>
        <v/>
      </c>
      <c r="D2351" t="str">
        <f>IFERROR(IF(B2351="","",VLOOKUP(B2351,CadProd!$A:$C,3,0)),"")</f>
        <v/>
      </c>
      <c r="G2351" s="1" t="str">
        <f t="shared" si="36"/>
        <v/>
      </c>
    </row>
    <row r="2352" spans="3:7" x14ac:dyDescent="0.3">
      <c r="C2352" t="str">
        <f>IFERROR(IF(B2352="","",VLOOKUP(B2352,CadProd!$A:$B,2,0)),"")</f>
        <v/>
      </c>
      <c r="D2352" t="str">
        <f>IFERROR(IF(B2352="","",VLOOKUP(B2352,CadProd!$A:$C,3,0)),"")</f>
        <v/>
      </c>
      <c r="G2352" s="1" t="str">
        <f t="shared" si="36"/>
        <v/>
      </c>
    </row>
    <row r="2353" spans="3:7" x14ac:dyDescent="0.3">
      <c r="C2353" t="str">
        <f>IFERROR(IF(B2353="","",VLOOKUP(B2353,CadProd!$A:$B,2,0)),"")</f>
        <v/>
      </c>
      <c r="D2353" t="str">
        <f>IFERROR(IF(B2353="","",VLOOKUP(B2353,CadProd!$A:$C,3,0)),"")</f>
        <v/>
      </c>
      <c r="G2353" s="1" t="str">
        <f t="shared" si="36"/>
        <v/>
      </c>
    </row>
    <row r="2354" spans="3:7" x14ac:dyDescent="0.3">
      <c r="C2354" t="str">
        <f>IFERROR(IF(B2354="","",VLOOKUP(B2354,CadProd!$A:$B,2,0)),"")</f>
        <v/>
      </c>
      <c r="D2354" t="str">
        <f>IFERROR(IF(B2354="","",VLOOKUP(B2354,CadProd!$A:$C,3,0)),"")</f>
        <v/>
      </c>
      <c r="G2354" s="1" t="str">
        <f t="shared" si="36"/>
        <v/>
      </c>
    </row>
    <row r="2355" spans="3:7" x14ac:dyDescent="0.3">
      <c r="C2355" t="str">
        <f>IFERROR(IF(B2355="","",VLOOKUP(B2355,CadProd!$A:$B,2,0)),"")</f>
        <v/>
      </c>
      <c r="D2355" t="str">
        <f>IFERROR(IF(B2355="","",VLOOKUP(B2355,CadProd!$A:$C,3,0)),"")</f>
        <v/>
      </c>
      <c r="G2355" s="1" t="str">
        <f t="shared" si="36"/>
        <v/>
      </c>
    </row>
    <row r="2356" spans="3:7" x14ac:dyDescent="0.3">
      <c r="C2356" t="str">
        <f>IFERROR(IF(B2356="","",VLOOKUP(B2356,CadProd!$A:$B,2,0)),"")</f>
        <v/>
      </c>
      <c r="D2356" t="str">
        <f>IFERROR(IF(B2356="","",VLOOKUP(B2356,CadProd!$A:$C,3,0)),"")</f>
        <v/>
      </c>
      <c r="G2356" s="1" t="str">
        <f t="shared" si="36"/>
        <v/>
      </c>
    </row>
    <row r="2357" spans="3:7" x14ac:dyDescent="0.3">
      <c r="C2357" t="str">
        <f>IFERROR(IF(B2357="","",VLOOKUP(B2357,CadProd!$A:$B,2,0)),"")</f>
        <v/>
      </c>
      <c r="D2357" t="str">
        <f>IFERROR(IF(B2357="","",VLOOKUP(B2357,CadProd!$A:$C,3,0)),"")</f>
        <v/>
      </c>
      <c r="G2357" s="1" t="str">
        <f t="shared" si="36"/>
        <v/>
      </c>
    </row>
    <row r="2358" spans="3:7" x14ac:dyDescent="0.3">
      <c r="C2358" t="str">
        <f>IFERROR(IF(B2358="","",VLOOKUP(B2358,CadProd!$A:$B,2,0)),"")</f>
        <v/>
      </c>
      <c r="D2358" t="str">
        <f>IFERROR(IF(B2358="","",VLOOKUP(B2358,CadProd!$A:$C,3,0)),"")</f>
        <v/>
      </c>
      <c r="G2358" s="1" t="str">
        <f t="shared" si="36"/>
        <v/>
      </c>
    </row>
    <row r="2359" spans="3:7" x14ac:dyDescent="0.3">
      <c r="C2359" t="str">
        <f>IFERROR(IF(B2359="","",VLOOKUP(B2359,CadProd!$A:$B,2,0)),"")</f>
        <v/>
      </c>
      <c r="D2359" t="str">
        <f>IFERROR(IF(B2359="","",VLOOKUP(B2359,CadProd!$A:$C,3,0)),"")</f>
        <v/>
      </c>
      <c r="G2359" s="1" t="str">
        <f t="shared" si="36"/>
        <v/>
      </c>
    </row>
    <row r="2360" spans="3:7" x14ac:dyDescent="0.3">
      <c r="C2360" t="str">
        <f>IFERROR(IF(B2360="","",VLOOKUP(B2360,CadProd!$A:$B,2,0)),"")</f>
        <v/>
      </c>
      <c r="D2360" t="str">
        <f>IFERROR(IF(B2360="","",VLOOKUP(B2360,CadProd!$A:$C,3,0)),"")</f>
        <v/>
      </c>
      <c r="G2360" s="1" t="str">
        <f t="shared" si="36"/>
        <v/>
      </c>
    </row>
    <row r="2361" spans="3:7" x14ac:dyDescent="0.3">
      <c r="C2361" t="str">
        <f>IFERROR(IF(B2361="","",VLOOKUP(B2361,CadProd!$A:$B,2,0)),"")</f>
        <v/>
      </c>
      <c r="D2361" t="str">
        <f>IFERROR(IF(B2361="","",VLOOKUP(B2361,CadProd!$A:$C,3,0)),"")</f>
        <v/>
      </c>
      <c r="G2361" s="1" t="str">
        <f t="shared" si="36"/>
        <v/>
      </c>
    </row>
    <row r="2362" spans="3:7" x14ac:dyDescent="0.3">
      <c r="C2362" t="str">
        <f>IFERROR(IF(B2362="","",VLOOKUP(B2362,CadProd!$A:$B,2,0)),"")</f>
        <v/>
      </c>
      <c r="D2362" t="str">
        <f>IFERROR(IF(B2362="","",VLOOKUP(B2362,CadProd!$A:$C,3,0)),"")</f>
        <v/>
      </c>
      <c r="G2362" s="1" t="str">
        <f t="shared" si="36"/>
        <v/>
      </c>
    </row>
    <row r="2363" spans="3:7" x14ac:dyDescent="0.3">
      <c r="C2363" t="str">
        <f>IFERROR(IF(B2363="","",VLOOKUP(B2363,CadProd!$A:$B,2,0)),"")</f>
        <v/>
      </c>
      <c r="D2363" t="str">
        <f>IFERROR(IF(B2363="","",VLOOKUP(B2363,CadProd!$A:$C,3,0)),"")</f>
        <v/>
      </c>
      <c r="G2363" s="1" t="str">
        <f t="shared" si="36"/>
        <v/>
      </c>
    </row>
    <row r="2364" spans="3:7" x14ac:dyDescent="0.3">
      <c r="C2364" t="str">
        <f>IFERROR(IF(B2364="","",VLOOKUP(B2364,CadProd!$A:$B,2,0)),"")</f>
        <v/>
      </c>
      <c r="D2364" t="str">
        <f>IFERROR(IF(B2364="","",VLOOKUP(B2364,CadProd!$A:$C,3,0)),"")</f>
        <v/>
      </c>
      <c r="G2364" s="1" t="str">
        <f t="shared" si="36"/>
        <v/>
      </c>
    </row>
    <row r="2365" spans="3:7" x14ac:dyDescent="0.3">
      <c r="C2365" t="str">
        <f>IFERROR(IF(B2365="","",VLOOKUP(B2365,CadProd!$A:$B,2,0)),"")</f>
        <v/>
      </c>
      <c r="D2365" t="str">
        <f>IFERROR(IF(B2365="","",VLOOKUP(B2365,CadProd!$A:$C,3,0)),"")</f>
        <v/>
      </c>
      <c r="G2365" s="1" t="str">
        <f t="shared" si="36"/>
        <v/>
      </c>
    </row>
    <row r="2366" spans="3:7" x14ac:dyDescent="0.3">
      <c r="C2366" t="str">
        <f>IFERROR(IF(B2366="","",VLOOKUP(B2366,CadProd!$A:$B,2,0)),"")</f>
        <v/>
      </c>
      <c r="D2366" t="str">
        <f>IFERROR(IF(B2366="","",VLOOKUP(B2366,CadProd!$A:$C,3,0)),"")</f>
        <v/>
      </c>
      <c r="G2366" s="1" t="str">
        <f t="shared" si="36"/>
        <v/>
      </c>
    </row>
    <row r="2367" spans="3:7" x14ac:dyDescent="0.3">
      <c r="C2367" t="str">
        <f>IFERROR(IF(B2367="","",VLOOKUP(B2367,CadProd!$A:$B,2,0)),"")</f>
        <v/>
      </c>
      <c r="D2367" t="str">
        <f>IFERROR(IF(B2367="","",VLOOKUP(B2367,CadProd!$A:$C,3,0)),"")</f>
        <v/>
      </c>
      <c r="G2367" s="1" t="str">
        <f t="shared" si="36"/>
        <v/>
      </c>
    </row>
    <row r="2368" spans="3:7" x14ac:dyDescent="0.3">
      <c r="C2368" t="str">
        <f>IFERROR(IF(B2368="","",VLOOKUP(B2368,CadProd!$A:$B,2,0)),"")</f>
        <v/>
      </c>
      <c r="D2368" t="str">
        <f>IFERROR(IF(B2368="","",VLOOKUP(B2368,CadProd!$A:$C,3,0)),"")</f>
        <v/>
      </c>
      <c r="G2368" s="1" t="str">
        <f t="shared" si="36"/>
        <v/>
      </c>
    </row>
    <row r="2369" spans="3:7" x14ac:dyDescent="0.3">
      <c r="C2369" t="str">
        <f>IFERROR(IF(B2369="","",VLOOKUP(B2369,CadProd!$A:$B,2,0)),"")</f>
        <v/>
      </c>
      <c r="D2369" t="str">
        <f>IFERROR(IF(B2369="","",VLOOKUP(B2369,CadProd!$A:$C,3,0)),"")</f>
        <v/>
      </c>
      <c r="G2369" s="1" t="str">
        <f t="shared" si="36"/>
        <v/>
      </c>
    </row>
    <row r="2370" spans="3:7" x14ac:dyDescent="0.3">
      <c r="C2370" t="str">
        <f>IFERROR(IF(B2370="","",VLOOKUP(B2370,CadProd!$A:$B,2,0)),"")</f>
        <v/>
      </c>
      <c r="D2370" t="str">
        <f>IFERROR(IF(B2370="","",VLOOKUP(B2370,CadProd!$A:$C,3,0)),"")</f>
        <v/>
      </c>
      <c r="G2370" s="1" t="str">
        <f t="shared" ref="G2370:G2433" si="37">IFERROR(IF(B2370="","",F2370*E2370),"")</f>
        <v/>
      </c>
    </row>
    <row r="2371" spans="3:7" x14ac:dyDescent="0.3">
      <c r="C2371" t="str">
        <f>IFERROR(IF(B2371="","",VLOOKUP(B2371,CadProd!$A:$B,2,0)),"")</f>
        <v/>
      </c>
      <c r="D2371" t="str">
        <f>IFERROR(IF(B2371="","",VLOOKUP(B2371,CadProd!$A:$C,3,0)),"")</f>
        <v/>
      </c>
      <c r="G2371" s="1" t="str">
        <f t="shared" si="37"/>
        <v/>
      </c>
    </row>
    <row r="2372" spans="3:7" x14ac:dyDescent="0.3">
      <c r="C2372" t="str">
        <f>IFERROR(IF(B2372="","",VLOOKUP(B2372,CadProd!$A:$B,2,0)),"")</f>
        <v/>
      </c>
      <c r="D2372" t="str">
        <f>IFERROR(IF(B2372="","",VLOOKUP(B2372,CadProd!$A:$C,3,0)),"")</f>
        <v/>
      </c>
      <c r="G2372" s="1" t="str">
        <f t="shared" si="37"/>
        <v/>
      </c>
    </row>
    <row r="2373" spans="3:7" x14ac:dyDescent="0.3">
      <c r="C2373" t="str">
        <f>IFERROR(IF(B2373="","",VLOOKUP(B2373,CadProd!$A:$B,2,0)),"")</f>
        <v/>
      </c>
      <c r="D2373" t="str">
        <f>IFERROR(IF(B2373="","",VLOOKUP(B2373,CadProd!$A:$C,3,0)),"")</f>
        <v/>
      </c>
      <c r="G2373" s="1" t="str">
        <f t="shared" si="37"/>
        <v/>
      </c>
    </row>
    <row r="2374" spans="3:7" x14ac:dyDescent="0.3">
      <c r="C2374" t="str">
        <f>IFERROR(IF(B2374="","",VLOOKUP(B2374,CadProd!$A:$B,2,0)),"")</f>
        <v/>
      </c>
      <c r="D2374" t="str">
        <f>IFERROR(IF(B2374="","",VLOOKUP(B2374,CadProd!$A:$C,3,0)),"")</f>
        <v/>
      </c>
      <c r="G2374" s="1" t="str">
        <f t="shared" si="37"/>
        <v/>
      </c>
    </row>
    <row r="2375" spans="3:7" x14ac:dyDescent="0.3">
      <c r="C2375" t="str">
        <f>IFERROR(IF(B2375="","",VLOOKUP(B2375,CadProd!$A:$B,2,0)),"")</f>
        <v/>
      </c>
      <c r="D2375" t="str">
        <f>IFERROR(IF(B2375="","",VLOOKUP(B2375,CadProd!$A:$C,3,0)),"")</f>
        <v/>
      </c>
      <c r="G2375" s="1" t="str">
        <f t="shared" si="37"/>
        <v/>
      </c>
    </row>
    <row r="2376" spans="3:7" x14ac:dyDescent="0.3">
      <c r="C2376" t="str">
        <f>IFERROR(IF(B2376="","",VLOOKUP(B2376,CadProd!$A:$B,2,0)),"")</f>
        <v/>
      </c>
      <c r="D2376" t="str">
        <f>IFERROR(IF(B2376="","",VLOOKUP(B2376,CadProd!$A:$C,3,0)),"")</f>
        <v/>
      </c>
      <c r="G2376" s="1" t="str">
        <f t="shared" si="37"/>
        <v/>
      </c>
    </row>
    <row r="2377" spans="3:7" x14ac:dyDescent="0.3">
      <c r="C2377" t="str">
        <f>IFERROR(IF(B2377="","",VLOOKUP(B2377,CadProd!$A:$B,2,0)),"")</f>
        <v/>
      </c>
      <c r="D2377" t="str">
        <f>IFERROR(IF(B2377="","",VLOOKUP(B2377,CadProd!$A:$C,3,0)),"")</f>
        <v/>
      </c>
      <c r="G2377" s="1" t="str">
        <f t="shared" si="37"/>
        <v/>
      </c>
    </row>
    <row r="2378" spans="3:7" x14ac:dyDescent="0.3">
      <c r="C2378" t="str">
        <f>IFERROR(IF(B2378="","",VLOOKUP(B2378,CadProd!$A:$B,2,0)),"")</f>
        <v/>
      </c>
      <c r="D2378" t="str">
        <f>IFERROR(IF(B2378="","",VLOOKUP(B2378,CadProd!$A:$C,3,0)),"")</f>
        <v/>
      </c>
      <c r="G2378" s="1" t="str">
        <f t="shared" si="37"/>
        <v/>
      </c>
    </row>
    <row r="2379" spans="3:7" x14ac:dyDescent="0.3">
      <c r="C2379" t="str">
        <f>IFERROR(IF(B2379="","",VLOOKUP(B2379,CadProd!$A:$B,2,0)),"")</f>
        <v/>
      </c>
      <c r="D2379" t="str">
        <f>IFERROR(IF(B2379="","",VLOOKUP(B2379,CadProd!$A:$C,3,0)),"")</f>
        <v/>
      </c>
      <c r="G2379" s="1" t="str">
        <f t="shared" si="37"/>
        <v/>
      </c>
    </row>
    <row r="2380" spans="3:7" x14ac:dyDescent="0.3">
      <c r="C2380" t="str">
        <f>IFERROR(IF(B2380="","",VLOOKUP(B2380,CadProd!$A:$B,2,0)),"")</f>
        <v/>
      </c>
      <c r="D2380" t="str">
        <f>IFERROR(IF(B2380="","",VLOOKUP(B2380,CadProd!$A:$C,3,0)),"")</f>
        <v/>
      </c>
      <c r="G2380" s="1" t="str">
        <f t="shared" si="37"/>
        <v/>
      </c>
    </row>
    <row r="2381" spans="3:7" x14ac:dyDescent="0.3">
      <c r="C2381" t="str">
        <f>IFERROR(IF(B2381="","",VLOOKUP(B2381,CadProd!$A:$B,2,0)),"")</f>
        <v/>
      </c>
      <c r="D2381" t="str">
        <f>IFERROR(IF(B2381="","",VLOOKUP(B2381,CadProd!$A:$C,3,0)),"")</f>
        <v/>
      </c>
      <c r="G2381" s="1" t="str">
        <f t="shared" si="37"/>
        <v/>
      </c>
    </row>
    <row r="2382" spans="3:7" x14ac:dyDescent="0.3">
      <c r="C2382" t="str">
        <f>IFERROR(IF(B2382="","",VLOOKUP(B2382,CadProd!$A:$B,2,0)),"")</f>
        <v/>
      </c>
      <c r="D2382" t="str">
        <f>IFERROR(IF(B2382="","",VLOOKUP(B2382,CadProd!$A:$C,3,0)),"")</f>
        <v/>
      </c>
      <c r="G2382" s="1" t="str">
        <f t="shared" si="37"/>
        <v/>
      </c>
    </row>
    <row r="2383" spans="3:7" x14ac:dyDescent="0.3">
      <c r="C2383" t="str">
        <f>IFERROR(IF(B2383="","",VLOOKUP(B2383,CadProd!$A:$B,2,0)),"")</f>
        <v/>
      </c>
      <c r="D2383" t="str">
        <f>IFERROR(IF(B2383="","",VLOOKUP(B2383,CadProd!$A:$C,3,0)),"")</f>
        <v/>
      </c>
      <c r="G2383" s="1" t="str">
        <f t="shared" si="37"/>
        <v/>
      </c>
    </row>
    <row r="2384" spans="3:7" x14ac:dyDescent="0.3">
      <c r="C2384" t="str">
        <f>IFERROR(IF(B2384="","",VLOOKUP(B2384,CadProd!$A:$B,2,0)),"")</f>
        <v/>
      </c>
      <c r="D2384" t="str">
        <f>IFERROR(IF(B2384="","",VLOOKUP(B2384,CadProd!$A:$C,3,0)),"")</f>
        <v/>
      </c>
      <c r="G2384" s="1" t="str">
        <f t="shared" si="37"/>
        <v/>
      </c>
    </row>
    <row r="2385" spans="3:7" x14ac:dyDescent="0.3">
      <c r="C2385" t="str">
        <f>IFERROR(IF(B2385="","",VLOOKUP(B2385,CadProd!$A:$B,2,0)),"")</f>
        <v/>
      </c>
      <c r="D2385" t="str">
        <f>IFERROR(IF(B2385="","",VLOOKUP(B2385,CadProd!$A:$C,3,0)),"")</f>
        <v/>
      </c>
      <c r="G2385" s="1" t="str">
        <f t="shared" si="37"/>
        <v/>
      </c>
    </row>
    <row r="2386" spans="3:7" x14ac:dyDescent="0.3">
      <c r="C2386" t="str">
        <f>IFERROR(IF(B2386="","",VLOOKUP(B2386,CadProd!$A:$B,2,0)),"")</f>
        <v/>
      </c>
      <c r="D2386" t="str">
        <f>IFERROR(IF(B2386="","",VLOOKUP(B2386,CadProd!$A:$C,3,0)),"")</f>
        <v/>
      </c>
      <c r="G2386" s="1" t="str">
        <f t="shared" si="37"/>
        <v/>
      </c>
    </row>
    <row r="2387" spans="3:7" x14ac:dyDescent="0.3">
      <c r="C2387" t="str">
        <f>IFERROR(IF(B2387="","",VLOOKUP(B2387,CadProd!$A:$B,2,0)),"")</f>
        <v/>
      </c>
      <c r="D2387" t="str">
        <f>IFERROR(IF(B2387="","",VLOOKUP(B2387,CadProd!$A:$C,3,0)),"")</f>
        <v/>
      </c>
      <c r="G2387" s="1" t="str">
        <f t="shared" si="37"/>
        <v/>
      </c>
    </row>
    <row r="2388" spans="3:7" x14ac:dyDescent="0.3">
      <c r="C2388" t="str">
        <f>IFERROR(IF(B2388="","",VLOOKUP(B2388,CadProd!$A:$B,2,0)),"")</f>
        <v/>
      </c>
      <c r="D2388" t="str">
        <f>IFERROR(IF(B2388="","",VLOOKUP(B2388,CadProd!$A:$C,3,0)),"")</f>
        <v/>
      </c>
      <c r="G2388" s="1" t="str">
        <f t="shared" si="37"/>
        <v/>
      </c>
    </row>
    <row r="2389" spans="3:7" x14ac:dyDescent="0.3">
      <c r="C2389" t="str">
        <f>IFERROR(IF(B2389="","",VLOOKUP(B2389,CadProd!$A:$B,2,0)),"")</f>
        <v/>
      </c>
      <c r="D2389" t="str">
        <f>IFERROR(IF(B2389="","",VLOOKUP(B2389,CadProd!$A:$C,3,0)),"")</f>
        <v/>
      </c>
      <c r="G2389" s="1" t="str">
        <f t="shared" si="37"/>
        <v/>
      </c>
    </row>
    <row r="2390" spans="3:7" x14ac:dyDescent="0.3">
      <c r="C2390" t="str">
        <f>IFERROR(IF(B2390="","",VLOOKUP(B2390,CadProd!$A:$B,2,0)),"")</f>
        <v/>
      </c>
      <c r="D2390" t="str">
        <f>IFERROR(IF(B2390="","",VLOOKUP(B2390,CadProd!$A:$C,3,0)),"")</f>
        <v/>
      </c>
      <c r="G2390" s="1" t="str">
        <f t="shared" si="37"/>
        <v/>
      </c>
    </row>
    <row r="2391" spans="3:7" x14ac:dyDescent="0.3">
      <c r="C2391" t="str">
        <f>IFERROR(IF(B2391="","",VLOOKUP(B2391,CadProd!$A:$B,2,0)),"")</f>
        <v/>
      </c>
      <c r="D2391" t="str">
        <f>IFERROR(IF(B2391="","",VLOOKUP(B2391,CadProd!$A:$C,3,0)),"")</f>
        <v/>
      </c>
      <c r="G2391" s="1" t="str">
        <f t="shared" si="37"/>
        <v/>
      </c>
    </row>
    <row r="2392" spans="3:7" x14ac:dyDescent="0.3">
      <c r="C2392" t="str">
        <f>IFERROR(IF(B2392="","",VLOOKUP(B2392,CadProd!$A:$B,2,0)),"")</f>
        <v/>
      </c>
      <c r="D2392" t="str">
        <f>IFERROR(IF(B2392="","",VLOOKUP(B2392,CadProd!$A:$C,3,0)),"")</f>
        <v/>
      </c>
      <c r="G2392" s="1" t="str">
        <f t="shared" si="37"/>
        <v/>
      </c>
    </row>
    <row r="2393" spans="3:7" x14ac:dyDescent="0.3">
      <c r="C2393" t="str">
        <f>IFERROR(IF(B2393="","",VLOOKUP(B2393,CadProd!$A:$B,2,0)),"")</f>
        <v/>
      </c>
      <c r="D2393" t="str">
        <f>IFERROR(IF(B2393="","",VLOOKUP(B2393,CadProd!$A:$C,3,0)),"")</f>
        <v/>
      </c>
      <c r="G2393" s="1" t="str">
        <f t="shared" si="37"/>
        <v/>
      </c>
    </row>
    <row r="2394" spans="3:7" x14ac:dyDescent="0.3">
      <c r="C2394" t="str">
        <f>IFERROR(IF(B2394="","",VLOOKUP(B2394,CadProd!$A:$B,2,0)),"")</f>
        <v/>
      </c>
      <c r="D2394" t="str">
        <f>IFERROR(IF(B2394="","",VLOOKUP(B2394,CadProd!$A:$C,3,0)),"")</f>
        <v/>
      </c>
      <c r="G2394" s="1" t="str">
        <f t="shared" si="37"/>
        <v/>
      </c>
    </row>
    <row r="2395" spans="3:7" x14ac:dyDescent="0.3">
      <c r="C2395" t="str">
        <f>IFERROR(IF(B2395="","",VLOOKUP(B2395,CadProd!$A:$B,2,0)),"")</f>
        <v/>
      </c>
      <c r="D2395" t="str">
        <f>IFERROR(IF(B2395="","",VLOOKUP(B2395,CadProd!$A:$C,3,0)),"")</f>
        <v/>
      </c>
      <c r="G2395" s="1" t="str">
        <f t="shared" si="37"/>
        <v/>
      </c>
    </row>
    <row r="2396" spans="3:7" x14ac:dyDescent="0.3">
      <c r="C2396" t="str">
        <f>IFERROR(IF(B2396="","",VLOOKUP(B2396,CadProd!$A:$B,2,0)),"")</f>
        <v/>
      </c>
      <c r="D2396" t="str">
        <f>IFERROR(IF(B2396="","",VLOOKUP(B2396,CadProd!$A:$C,3,0)),"")</f>
        <v/>
      </c>
      <c r="G2396" s="1" t="str">
        <f t="shared" si="37"/>
        <v/>
      </c>
    </row>
    <row r="2397" spans="3:7" x14ac:dyDescent="0.3">
      <c r="C2397" t="str">
        <f>IFERROR(IF(B2397="","",VLOOKUP(B2397,CadProd!$A:$B,2,0)),"")</f>
        <v/>
      </c>
      <c r="D2397" t="str">
        <f>IFERROR(IF(B2397="","",VLOOKUP(B2397,CadProd!$A:$C,3,0)),"")</f>
        <v/>
      </c>
      <c r="G2397" s="1" t="str">
        <f t="shared" si="37"/>
        <v/>
      </c>
    </row>
    <row r="2398" spans="3:7" x14ac:dyDescent="0.3">
      <c r="C2398" t="str">
        <f>IFERROR(IF(B2398="","",VLOOKUP(B2398,CadProd!$A:$B,2,0)),"")</f>
        <v/>
      </c>
      <c r="D2398" t="str">
        <f>IFERROR(IF(B2398="","",VLOOKUP(B2398,CadProd!$A:$C,3,0)),"")</f>
        <v/>
      </c>
      <c r="G2398" s="1" t="str">
        <f t="shared" si="37"/>
        <v/>
      </c>
    </row>
    <row r="2399" spans="3:7" x14ac:dyDescent="0.3">
      <c r="C2399" t="str">
        <f>IFERROR(IF(B2399="","",VLOOKUP(B2399,CadProd!$A:$B,2,0)),"")</f>
        <v/>
      </c>
      <c r="D2399" t="str">
        <f>IFERROR(IF(B2399="","",VLOOKUP(B2399,CadProd!$A:$C,3,0)),"")</f>
        <v/>
      </c>
      <c r="G2399" s="1" t="str">
        <f t="shared" si="37"/>
        <v/>
      </c>
    </row>
    <row r="2400" spans="3:7" x14ac:dyDescent="0.3">
      <c r="C2400" t="str">
        <f>IFERROR(IF(B2400="","",VLOOKUP(B2400,CadProd!$A:$B,2,0)),"")</f>
        <v/>
      </c>
      <c r="D2400" t="str">
        <f>IFERROR(IF(B2400="","",VLOOKUP(B2400,CadProd!$A:$C,3,0)),"")</f>
        <v/>
      </c>
      <c r="G2400" s="1" t="str">
        <f t="shared" si="37"/>
        <v/>
      </c>
    </row>
    <row r="2401" spans="3:7" x14ac:dyDescent="0.3">
      <c r="C2401" t="str">
        <f>IFERROR(IF(B2401="","",VLOOKUP(B2401,CadProd!$A:$B,2,0)),"")</f>
        <v/>
      </c>
      <c r="D2401" t="str">
        <f>IFERROR(IF(B2401="","",VLOOKUP(B2401,CadProd!$A:$C,3,0)),"")</f>
        <v/>
      </c>
      <c r="G2401" s="1" t="str">
        <f t="shared" si="37"/>
        <v/>
      </c>
    </row>
    <row r="2402" spans="3:7" x14ac:dyDescent="0.3">
      <c r="C2402" t="str">
        <f>IFERROR(IF(B2402="","",VLOOKUP(B2402,CadProd!$A:$B,2,0)),"")</f>
        <v/>
      </c>
      <c r="D2402" t="str">
        <f>IFERROR(IF(B2402="","",VLOOKUP(B2402,CadProd!$A:$C,3,0)),"")</f>
        <v/>
      </c>
      <c r="G2402" s="1" t="str">
        <f t="shared" si="37"/>
        <v/>
      </c>
    </row>
    <row r="2403" spans="3:7" x14ac:dyDescent="0.3">
      <c r="C2403" t="str">
        <f>IFERROR(IF(B2403="","",VLOOKUP(B2403,CadProd!$A:$B,2,0)),"")</f>
        <v/>
      </c>
      <c r="D2403" t="str">
        <f>IFERROR(IF(B2403="","",VLOOKUP(B2403,CadProd!$A:$C,3,0)),"")</f>
        <v/>
      </c>
      <c r="G2403" s="1" t="str">
        <f t="shared" si="37"/>
        <v/>
      </c>
    </row>
    <row r="2404" spans="3:7" x14ac:dyDescent="0.3">
      <c r="C2404" t="str">
        <f>IFERROR(IF(B2404="","",VLOOKUP(B2404,CadProd!$A:$B,2,0)),"")</f>
        <v/>
      </c>
      <c r="D2404" t="str">
        <f>IFERROR(IF(B2404="","",VLOOKUP(B2404,CadProd!$A:$C,3,0)),"")</f>
        <v/>
      </c>
      <c r="G2404" s="1" t="str">
        <f t="shared" si="37"/>
        <v/>
      </c>
    </row>
    <row r="2405" spans="3:7" x14ac:dyDescent="0.3">
      <c r="C2405" t="str">
        <f>IFERROR(IF(B2405="","",VLOOKUP(B2405,CadProd!$A:$B,2,0)),"")</f>
        <v/>
      </c>
      <c r="D2405" t="str">
        <f>IFERROR(IF(B2405="","",VLOOKUP(B2405,CadProd!$A:$C,3,0)),"")</f>
        <v/>
      </c>
      <c r="G2405" s="1" t="str">
        <f t="shared" si="37"/>
        <v/>
      </c>
    </row>
    <row r="2406" spans="3:7" x14ac:dyDescent="0.3">
      <c r="C2406" t="str">
        <f>IFERROR(IF(B2406="","",VLOOKUP(B2406,CadProd!$A:$B,2,0)),"")</f>
        <v/>
      </c>
      <c r="D2406" t="str">
        <f>IFERROR(IF(B2406="","",VLOOKUP(B2406,CadProd!$A:$C,3,0)),"")</f>
        <v/>
      </c>
      <c r="G2406" s="1" t="str">
        <f t="shared" si="37"/>
        <v/>
      </c>
    </row>
    <row r="2407" spans="3:7" x14ac:dyDescent="0.3">
      <c r="C2407" t="str">
        <f>IFERROR(IF(B2407="","",VLOOKUP(B2407,CadProd!$A:$B,2,0)),"")</f>
        <v/>
      </c>
      <c r="D2407" t="str">
        <f>IFERROR(IF(B2407="","",VLOOKUP(B2407,CadProd!$A:$C,3,0)),"")</f>
        <v/>
      </c>
      <c r="G2407" s="1" t="str">
        <f t="shared" si="37"/>
        <v/>
      </c>
    </row>
    <row r="2408" spans="3:7" x14ac:dyDescent="0.3">
      <c r="C2408" t="str">
        <f>IFERROR(IF(B2408="","",VLOOKUP(B2408,CadProd!$A:$B,2,0)),"")</f>
        <v/>
      </c>
      <c r="D2408" t="str">
        <f>IFERROR(IF(B2408="","",VLOOKUP(B2408,CadProd!$A:$C,3,0)),"")</f>
        <v/>
      </c>
      <c r="G2408" s="1" t="str">
        <f t="shared" si="37"/>
        <v/>
      </c>
    </row>
    <row r="2409" spans="3:7" x14ac:dyDescent="0.3">
      <c r="C2409" t="str">
        <f>IFERROR(IF(B2409="","",VLOOKUP(B2409,CadProd!$A:$B,2,0)),"")</f>
        <v/>
      </c>
      <c r="D2409" t="str">
        <f>IFERROR(IF(B2409="","",VLOOKUP(B2409,CadProd!$A:$C,3,0)),"")</f>
        <v/>
      </c>
      <c r="G2409" s="1" t="str">
        <f t="shared" si="37"/>
        <v/>
      </c>
    </row>
    <row r="2410" spans="3:7" x14ac:dyDescent="0.3">
      <c r="C2410" t="str">
        <f>IFERROR(IF(B2410="","",VLOOKUP(B2410,CadProd!$A:$B,2,0)),"")</f>
        <v/>
      </c>
      <c r="D2410" t="str">
        <f>IFERROR(IF(B2410="","",VLOOKUP(B2410,CadProd!$A:$C,3,0)),"")</f>
        <v/>
      </c>
      <c r="G2410" s="1" t="str">
        <f t="shared" si="37"/>
        <v/>
      </c>
    </row>
    <row r="2411" spans="3:7" x14ac:dyDescent="0.3">
      <c r="C2411" t="str">
        <f>IFERROR(IF(B2411="","",VLOOKUP(B2411,CadProd!$A:$B,2,0)),"")</f>
        <v/>
      </c>
      <c r="D2411" t="str">
        <f>IFERROR(IF(B2411="","",VLOOKUP(B2411,CadProd!$A:$C,3,0)),"")</f>
        <v/>
      </c>
      <c r="G2411" s="1" t="str">
        <f t="shared" si="37"/>
        <v/>
      </c>
    </row>
    <row r="2412" spans="3:7" x14ac:dyDescent="0.3">
      <c r="C2412" t="str">
        <f>IFERROR(IF(B2412="","",VLOOKUP(B2412,CadProd!$A:$B,2,0)),"")</f>
        <v/>
      </c>
      <c r="D2412" t="str">
        <f>IFERROR(IF(B2412="","",VLOOKUP(B2412,CadProd!$A:$C,3,0)),"")</f>
        <v/>
      </c>
      <c r="G2412" s="1" t="str">
        <f t="shared" si="37"/>
        <v/>
      </c>
    </row>
    <row r="2413" spans="3:7" x14ac:dyDescent="0.3">
      <c r="C2413" t="str">
        <f>IFERROR(IF(B2413="","",VLOOKUP(B2413,CadProd!$A:$B,2,0)),"")</f>
        <v/>
      </c>
      <c r="D2413" t="str">
        <f>IFERROR(IF(B2413="","",VLOOKUP(B2413,CadProd!$A:$C,3,0)),"")</f>
        <v/>
      </c>
      <c r="G2413" s="1" t="str">
        <f t="shared" si="37"/>
        <v/>
      </c>
    </row>
    <row r="2414" spans="3:7" x14ac:dyDescent="0.3">
      <c r="C2414" t="str">
        <f>IFERROR(IF(B2414="","",VLOOKUP(B2414,CadProd!$A:$B,2,0)),"")</f>
        <v/>
      </c>
      <c r="D2414" t="str">
        <f>IFERROR(IF(B2414="","",VLOOKUP(B2414,CadProd!$A:$C,3,0)),"")</f>
        <v/>
      </c>
      <c r="G2414" s="1" t="str">
        <f t="shared" si="37"/>
        <v/>
      </c>
    </row>
    <row r="2415" spans="3:7" x14ac:dyDescent="0.3">
      <c r="C2415" t="str">
        <f>IFERROR(IF(B2415="","",VLOOKUP(B2415,CadProd!$A:$B,2,0)),"")</f>
        <v/>
      </c>
      <c r="D2415" t="str">
        <f>IFERROR(IF(B2415="","",VLOOKUP(B2415,CadProd!$A:$C,3,0)),"")</f>
        <v/>
      </c>
      <c r="G2415" s="1" t="str">
        <f t="shared" si="37"/>
        <v/>
      </c>
    </row>
    <row r="2416" spans="3:7" x14ac:dyDescent="0.3">
      <c r="C2416" t="str">
        <f>IFERROR(IF(B2416="","",VLOOKUP(B2416,CadProd!$A:$B,2,0)),"")</f>
        <v/>
      </c>
      <c r="D2416" t="str">
        <f>IFERROR(IF(B2416="","",VLOOKUP(B2416,CadProd!$A:$C,3,0)),"")</f>
        <v/>
      </c>
      <c r="G2416" s="1" t="str">
        <f t="shared" si="37"/>
        <v/>
      </c>
    </row>
    <row r="2417" spans="3:7" x14ac:dyDescent="0.3">
      <c r="C2417" t="str">
        <f>IFERROR(IF(B2417="","",VLOOKUP(B2417,CadProd!$A:$B,2,0)),"")</f>
        <v/>
      </c>
      <c r="D2417" t="str">
        <f>IFERROR(IF(B2417="","",VLOOKUP(B2417,CadProd!$A:$C,3,0)),"")</f>
        <v/>
      </c>
      <c r="G2417" s="1" t="str">
        <f t="shared" si="37"/>
        <v/>
      </c>
    </row>
    <row r="2418" spans="3:7" x14ac:dyDescent="0.3">
      <c r="C2418" t="str">
        <f>IFERROR(IF(B2418="","",VLOOKUP(B2418,CadProd!$A:$B,2,0)),"")</f>
        <v/>
      </c>
      <c r="D2418" t="str">
        <f>IFERROR(IF(B2418="","",VLOOKUP(B2418,CadProd!$A:$C,3,0)),"")</f>
        <v/>
      </c>
      <c r="G2418" s="1" t="str">
        <f t="shared" si="37"/>
        <v/>
      </c>
    </row>
    <row r="2419" spans="3:7" x14ac:dyDescent="0.3">
      <c r="C2419" t="str">
        <f>IFERROR(IF(B2419="","",VLOOKUP(B2419,CadProd!$A:$B,2,0)),"")</f>
        <v/>
      </c>
      <c r="D2419" t="str">
        <f>IFERROR(IF(B2419="","",VLOOKUP(B2419,CadProd!$A:$C,3,0)),"")</f>
        <v/>
      </c>
      <c r="G2419" s="1" t="str">
        <f t="shared" si="37"/>
        <v/>
      </c>
    </row>
    <row r="2420" spans="3:7" x14ac:dyDescent="0.3">
      <c r="C2420" t="str">
        <f>IFERROR(IF(B2420="","",VLOOKUP(B2420,CadProd!$A:$B,2,0)),"")</f>
        <v/>
      </c>
      <c r="D2420" t="str">
        <f>IFERROR(IF(B2420="","",VLOOKUP(B2420,CadProd!$A:$C,3,0)),"")</f>
        <v/>
      </c>
      <c r="G2420" s="1" t="str">
        <f t="shared" si="37"/>
        <v/>
      </c>
    </row>
    <row r="2421" spans="3:7" x14ac:dyDescent="0.3">
      <c r="C2421" t="str">
        <f>IFERROR(IF(B2421="","",VLOOKUP(B2421,CadProd!$A:$B,2,0)),"")</f>
        <v/>
      </c>
      <c r="D2421" t="str">
        <f>IFERROR(IF(B2421="","",VLOOKUP(B2421,CadProd!$A:$C,3,0)),"")</f>
        <v/>
      </c>
      <c r="G2421" s="1" t="str">
        <f t="shared" si="37"/>
        <v/>
      </c>
    </row>
    <row r="2422" spans="3:7" x14ac:dyDescent="0.3">
      <c r="C2422" t="str">
        <f>IFERROR(IF(B2422="","",VLOOKUP(B2422,CadProd!$A:$B,2,0)),"")</f>
        <v/>
      </c>
      <c r="D2422" t="str">
        <f>IFERROR(IF(B2422="","",VLOOKUP(B2422,CadProd!$A:$C,3,0)),"")</f>
        <v/>
      </c>
      <c r="G2422" s="1" t="str">
        <f t="shared" si="37"/>
        <v/>
      </c>
    </row>
    <row r="2423" spans="3:7" x14ac:dyDescent="0.3">
      <c r="C2423" t="str">
        <f>IFERROR(IF(B2423="","",VLOOKUP(B2423,CadProd!$A:$B,2,0)),"")</f>
        <v/>
      </c>
      <c r="D2423" t="str">
        <f>IFERROR(IF(B2423="","",VLOOKUP(B2423,CadProd!$A:$C,3,0)),"")</f>
        <v/>
      </c>
      <c r="G2423" s="1" t="str">
        <f t="shared" si="37"/>
        <v/>
      </c>
    </row>
    <row r="2424" spans="3:7" x14ac:dyDescent="0.3">
      <c r="C2424" t="str">
        <f>IFERROR(IF(B2424="","",VLOOKUP(B2424,CadProd!$A:$B,2,0)),"")</f>
        <v/>
      </c>
      <c r="D2424" t="str">
        <f>IFERROR(IF(B2424="","",VLOOKUP(B2424,CadProd!$A:$C,3,0)),"")</f>
        <v/>
      </c>
      <c r="G2424" s="1" t="str">
        <f t="shared" si="37"/>
        <v/>
      </c>
    </row>
    <row r="2425" spans="3:7" x14ac:dyDescent="0.3">
      <c r="C2425" t="str">
        <f>IFERROR(IF(B2425="","",VLOOKUP(B2425,CadProd!$A:$B,2,0)),"")</f>
        <v/>
      </c>
      <c r="D2425" t="str">
        <f>IFERROR(IF(B2425="","",VLOOKUP(B2425,CadProd!$A:$C,3,0)),"")</f>
        <v/>
      </c>
      <c r="G2425" s="1" t="str">
        <f t="shared" si="37"/>
        <v/>
      </c>
    </row>
    <row r="2426" spans="3:7" x14ac:dyDescent="0.3">
      <c r="C2426" t="str">
        <f>IFERROR(IF(B2426="","",VLOOKUP(B2426,CadProd!$A:$B,2,0)),"")</f>
        <v/>
      </c>
      <c r="D2426" t="str">
        <f>IFERROR(IF(B2426="","",VLOOKUP(B2426,CadProd!$A:$C,3,0)),"")</f>
        <v/>
      </c>
      <c r="G2426" s="1" t="str">
        <f t="shared" si="37"/>
        <v/>
      </c>
    </row>
    <row r="2427" spans="3:7" x14ac:dyDescent="0.3">
      <c r="C2427" t="str">
        <f>IFERROR(IF(B2427="","",VLOOKUP(B2427,CadProd!$A:$B,2,0)),"")</f>
        <v/>
      </c>
      <c r="D2427" t="str">
        <f>IFERROR(IF(B2427="","",VLOOKUP(B2427,CadProd!$A:$C,3,0)),"")</f>
        <v/>
      </c>
      <c r="G2427" s="1" t="str">
        <f t="shared" si="37"/>
        <v/>
      </c>
    </row>
    <row r="2428" spans="3:7" x14ac:dyDescent="0.3">
      <c r="C2428" t="str">
        <f>IFERROR(IF(B2428="","",VLOOKUP(B2428,CadProd!$A:$B,2,0)),"")</f>
        <v/>
      </c>
      <c r="D2428" t="str">
        <f>IFERROR(IF(B2428="","",VLOOKUP(B2428,CadProd!$A:$C,3,0)),"")</f>
        <v/>
      </c>
      <c r="G2428" s="1" t="str">
        <f t="shared" si="37"/>
        <v/>
      </c>
    </row>
    <row r="2429" spans="3:7" x14ac:dyDescent="0.3">
      <c r="C2429" t="str">
        <f>IFERROR(IF(B2429="","",VLOOKUP(B2429,CadProd!$A:$B,2,0)),"")</f>
        <v/>
      </c>
      <c r="D2429" t="str">
        <f>IFERROR(IF(B2429="","",VLOOKUP(B2429,CadProd!$A:$C,3,0)),"")</f>
        <v/>
      </c>
      <c r="G2429" s="1" t="str">
        <f t="shared" si="37"/>
        <v/>
      </c>
    </row>
    <row r="2430" spans="3:7" x14ac:dyDescent="0.3">
      <c r="C2430" t="str">
        <f>IFERROR(IF(B2430="","",VLOOKUP(B2430,CadProd!$A:$B,2,0)),"")</f>
        <v/>
      </c>
      <c r="D2430" t="str">
        <f>IFERROR(IF(B2430="","",VLOOKUP(B2430,CadProd!$A:$C,3,0)),"")</f>
        <v/>
      </c>
      <c r="G2430" s="1" t="str">
        <f t="shared" si="37"/>
        <v/>
      </c>
    </row>
    <row r="2431" spans="3:7" x14ac:dyDescent="0.3">
      <c r="C2431" t="str">
        <f>IFERROR(IF(B2431="","",VLOOKUP(B2431,CadProd!$A:$B,2,0)),"")</f>
        <v/>
      </c>
      <c r="D2431" t="str">
        <f>IFERROR(IF(B2431="","",VLOOKUP(B2431,CadProd!$A:$C,3,0)),"")</f>
        <v/>
      </c>
      <c r="G2431" s="1" t="str">
        <f t="shared" si="37"/>
        <v/>
      </c>
    </row>
    <row r="2432" spans="3:7" x14ac:dyDescent="0.3">
      <c r="C2432" t="str">
        <f>IFERROR(IF(B2432="","",VLOOKUP(B2432,CadProd!$A:$B,2,0)),"")</f>
        <v/>
      </c>
      <c r="D2432" t="str">
        <f>IFERROR(IF(B2432="","",VLOOKUP(B2432,CadProd!$A:$C,3,0)),"")</f>
        <v/>
      </c>
      <c r="G2432" s="1" t="str">
        <f t="shared" si="37"/>
        <v/>
      </c>
    </row>
    <row r="2433" spans="3:7" x14ac:dyDescent="0.3">
      <c r="C2433" t="str">
        <f>IFERROR(IF(B2433="","",VLOOKUP(B2433,CadProd!$A:$B,2,0)),"")</f>
        <v/>
      </c>
      <c r="D2433" t="str">
        <f>IFERROR(IF(B2433="","",VLOOKUP(B2433,CadProd!$A:$C,3,0)),"")</f>
        <v/>
      </c>
      <c r="G2433" s="1" t="str">
        <f t="shared" si="37"/>
        <v/>
      </c>
    </row>
    <row r="2434" spans="3:7" x14ac:dyDescent="0.3">
      <c r="C2434" t="str">
        <f>IFERROR(IF(B2434="","",VLOOKUP(B2434,CadProd!$A:$B,2,0)),"")</f>
        <v/>
      </c>
      <c r="D2434" t="str">
        <f>IFERROR(IF(B2434="","",VLOOKUP(B2434,CadProd!$A:$C,3,0)),"")</f>
        <v/>
      </c>
      <c r="G2434" s="1" t="str">
        <f t="shared" ref="G2434:G2497" si="38">IFERROR(IF(B2434="","",F2434*E2434),"")</f>
        <v/>
      </c>
    </row>
    <row r="2435" spans="3:7" x14ac:dyDescent="0.3">
      <c r="C2435" t="str">
        <f>IFERROR(IF(B2435="","",VLOOKUP(B2435,CadProd!$A:$B,2,0)),"")</f>
        <v/>
      </c>
      <c r="D2435" t="str">
        <f>IFERROR(IF(B2435="","",VLOOKUP(B2435,CadProd!$A:$C,3,0)),"")</f>
        <v/>
      </c>
      <c r="G2435" s="1" t="str">
        <f t="shared" si="38"/>
        <v/>
      </c>
    </row>
    <row r="2436" spans="3:7" x14ac:dyDescent="0.3">
      <c r="C2436" t="str">
        <f>IFERROR(IF(B2436="","",VLOOKUP(B2436,CadProd!$A:$B,2,0)),"")</f>
        <v/>
      </c>
      <c r="D2436" t="str">
        <f>IFERROR(IF(B2436="","",VLOOKUP(B2436,CadProd!$A:$C,3,0)),"")</f>
        <v/>
      </c>
      <c r="G2436" s="1" t="str">
        <f t="shared" si="38"/>
        <v/>
      </c>
    </row>
    <row r="2437" spans="3:7" x14ac:dyDescent="0.3">
      <c r="C2437" t="str">
        <f>IFERROR(IF(B2437="","",VLOOKUP(B2437,CadProd!$A:$B,2,0)),"")</f>
        <v/>
      </c>
      <c r="D2437" t="str">
        <f>IFERROR(IF(B2437="","",VLOOKUP(B2437,CadProd!$A:$C,3,0)),"")</f>
        <v/>
      </c>
      <c r="G2437" s="1" t="str">
        <f t="shared" si="38"/>
        <v/>
      </c>
    </row>
    <row r="2438" spans="3:7" x14ac:dyDescent="0.3">
      <c r="C2438" t="str">
        <f>IFERROR(IF(B2438="","",VLOOKUP(B2438,CadProd!$A:$B,2,0)),"")</f>
        <v/>
      </c>
      <c r="D2438" t="str">
        <f>IFERROR(IF(B2438="","",VLOOKUP(B2438,CadProd!$A:$C,3,0)),"")</f>
        <v/>
      </c>
      <c r="G2438" s="1" t="str">
        <f t="shared" si="38"/>
        <v/>
      </c>
    </row>
    <row r="2439" spans="3:7" x14ac:dyDescent="0.3">
      <c r="C2439" t="str">
        <f>IFERROR(IF(B2439="","",VLOOKUP(B2439,CadProd!$A:$B,2,0)),"")</f>
        <v/>
      </c>
      <c r="D2439" t="str">
        <f>IFERROR(IF(B2439="","",VLOOKUP(B2439,CadProd!$A:$C,3,0)),"")</f>
        <v/>
      </c>
      <c r="G2439" s="1" t="str">
        <f t="shared" si="38"/>
        <v/>
      </c>
    </row>
    <row r="2440" spans="3:7" x14ac:dyDescent="0.3">
      <c r="C2440" t="str">
        <f>IFERROR(IF(B2440="","",VLOOKUP(B2440,CadProd!$A:$B,2,0)),"")</f>
        <v/>
      </c>
      <c r="D2440" t="str">
        <f>IFERROR(IF(B2440="","",VLOOKUP(B2440,CadProd!$A:$C,3,0)),"")</f>
        <v/>
      </c>
      <c r="G2440" s="1" t="str">
        <f t="shared" si="38"/>
        <v/>
      </c>
    </row>
    <row r="2441" spans="3:7" x14ac:dyDescent="0.3">
      <c r="C2441" t="str">
        <f>IFERROR(IF(B2441="","",VLOOKUP(B2441,CadProd!$A:$B,2,0)),"")</f>
        <v/>
      </c>
      <c r="D2441" t="str">
        <f>IFERROR(IF(B2441="","",VLOOKUP(B2441,CadProd!$A:$C,3,0)),"")</f>
        <v/>
      </c>
      <c r="G2441" s="1" t="str">
        <f t="shared" si="38"/>
        <v/>
      </c>
    </row>
    <row r="2442" spans="3:7" x14ac:dyDescent="0.3">
      <c r="C2442" t="str">
        <f>IFERROR(IF(B2442="","",VLOOKUP(B2442,CadProd!$A:$B,2,0)),"")</f>
        <v/>
      </c>
      <c r="D2442" t="str">
        <f>IFERROR(IF(B2442="","",VLOOKUP(B2442,CadProd!$A:$C,3,0)),"")</f>
        <v/>
      </c>
      <c r="G2442" s="1" t="str">
        <f t="shared" si="38"/>
        <v/>
      </c>
    </row>
    <row r="2443" spans="3:7" x14ac:dyDescent="0.3">
      <c r="C2443" t="str">
        <f>IFERROR(IF(B2443="","",VLOOKUP(B2443,CadProd!$A:$B,2,0)),"")</f>
        <v/>
      </c>
      <c r="D2443" t="str">
        <f>IFERROR(IF(B2443="","",VLOOKUP(B2443,CadProd!$A:$C,3,0)),"")</f>
        <v/>
      </c>
      <c r="G2443" s="1" t="str">
        <f t="shared" si="38"/>
        <v/>
      </c>
    </row>
    <row r="2444" spans="3:7" x14ac:dyDescent="0.3">
      <c r="C2444" t="str">
        <f>IFERROR(IF(B2444="","",VLOOKUP(B2444,CadProd!$A:$B,2,0)),"")</f>
        <v/>
      </c>
      <c r="D2444" t="str">
        <f>IFERROR(IF(B2444="","",VLOOKUP(B2444,CadProd!$A:$C,3,0)),"")</f>
        <v/>
      </c>
      <c r="G2444" s="1" t="str">
        <f t="shared" si="38"/>
        <v/>
      </c>
    </row>
    <row r="2445" spans="3:7" x14ac:dyDescent="0.3">
      <c r="C2445" t="str">
        <f>IFERROR(IF(B2445="","",VLOOKUP(B2445,CadProd!$A:$B,2,0)),"")</f>
        <v/>
      </c>
      <c r="D2445" t="str">
        <f>IFERROR(IF(B2445="","",VLOOKUP(B2445,CadProd!$A:$C,3,0)),"")</f>
        <v/>
      </c>
      <c r="G2445" s="1" t="str">
        <f t="shared" si="38"/>
        <v/>
      </c>
    </row>
    <row r="2446" spans="3:7" x14ac:dyDescent="0.3">
      <c r="C2446" t="str">
        <f>IFERROR(IF(B2446="","",VLOOKUP(B2446,CadProd!$A:$B,2,0)),"")</f>
        <v/>
      </c>
      <c r="D2446" t="str">
        <f>IFERROR(IF(B2446="","",VLOOKUP(B2446,CadProd!$A:$C,3,0)),"")</f>
        <v/>
      </c>
      <c r="G2446" s="1" t="str">
        <f t="shared" si="38"/>
        <v/>
      </c>
    </row>
    <row r="2447" spans="3:7" x14ac:dyDescent="0.3">
      <c r="C2447" t="str">
        <f>IFERROR(IF(B2447="","",VLOOKUP(B2447,CadProd!$A:$B,2,0)),"")</f>
        <v/>
      </c>
      <c r="D2447" t="str">
        <f>IFERROR(IF(B2447="","",VLOOKUP(B2447,CadProd!$A:$C,3,0)),"")</f>
        <v/>
      </c>
      <c r="G2447" s="1" t="str">
        <f t="shared" si="38"/>
        <v/>
      </c>
    </row>
    <row r="2448" spans="3:7" x14ac:dyDescent="0.3">
      <c r="C2448" t="str">
        <f>IFERROR(IF(B2448="","",VLOOKUP(B2448,CadProd!$A:$B,2,0)),"")</f>
        <v/>
      </c>
      <c r="D2448" t="str">
        <f>IFERROR(IF(B2448="","",VLOOKUP(B2448,CadProd!$A:$C,3,0)),"")</f>
        <v/>
      </c>
      <c r="G2448" s="1" t="str">
        <f t="shared" si="38"/>
        <v/>
      </c>
    </row>
    <row r="2449" spans="3:7" x14ac:dyDescent="0.3">
      <c r="C2449" t="str">
        <f>IFERROR(IF(B2449="","",VLOOKUP(B2449,CadProd!$A:$B,2,0)),"")</f>
        <v/>
      </c>
      <c r="D2449" t="str">
        <f>IFERROR(IF(B2449="","",VLOOKUP(B2449,CadProd!$A:$C,3,0)),"")</f>
        <v/>
      </c>
      <c r="G2449" s="1" t="str">
        <f t="shared" si="38"/>
        <v/>
      </c>
    </row>
    <row r="2450" spans="3:7" x14ac:dyDescent="0.3">
      <c r="C2450" t="str">
        <f>IFERROR(IF(B2450="","",VLOOKUP(B2450,CadProd!$A:$B,2,0)),"")</f>
        <v/>
      </c>
      <c r="D2450" t="str">
        <f>IFERROR(IF(B2450="","",VLOOKUP(B2450,CadProd!$A:$C,3,0)),"")</f>
        <v/>
      </c>
      <c r="G2450" s="1" t="str">
        <f t="shared" si="38"/>
        <v/>
      </c>
    </row>
    <row r="2451" spans="3:7" x14ac:dyDescent="0.3">
      <c r="C2451" t="str">
        <f>IFERROR(IF(B2451="","",VLOOKUP(B2451,CadProd!$A:$B,2,0)),"")</f>
        <v/>
      </c>
      <c r="D2451" t="str">
        <f>IFERROR(IF(B2451="","",VLOOKUP(B2451,CadProd!$A:$C,3,0)),"")</f>
        <v/>
      </c>
      <c r="G2451" s="1" t="str">
        <f t="shared" si="38"/>
        <v/>
      </c>
    </row>
    <row r="2452" spans="3:7" x14ac:dyDescent="0.3">
      <c r="C2452" t="str">
        <f>IFERROR(IF(B2452="","",VLOOKUP(B2452,CadProd!$A:$B,2,0)),"")</f>
        <v/>
      </c>
      <c r="D2452" t="str">
        <f>IFERROR(IF(B2452="","",VLOOKUP(B2452,CadProd!$A:$C,3,0)),"")</f>
        <v/>
      </c>
      <c r="G2452" s="1" t="str">
        <f t="shared" si="38"/>
        <v/>
      </c>
    </row>
    <row r="2453" spans="3:7" x14ac:dyDescent="0.3">
      <c r="C2453" t="str">
        <f>IFERROR(IF(B2453="","",VLOOKUP(B2453,CadProd!$A:$B,2,0)),"")</f>
        <v/>
      </c>
      <c r="D2453" t="str">
        <f>IFERROR(IF(B2453="","",VLOOKUP(B2453,CadProd!$A:$C,3,0)),"")</f>
        <v/>
      </c>
      <c r="G2453" s="1" t="str">
        <f t="shared" si="38"/>
        <v/>
      </c>
    </row>
    <row r="2454" spans="3:7" x14ac:dyDescent="0.3">
      <c r="C2454" t="str">
        <f>IFERROR(IF(B2454="","",VLOOKUP(B2454,CadProd!$A:$B,2,0)),"")</f>
        <v/>
      </c>
      <c r="D2454" t="str">
        <f>IFERROR(IF(B2454="","",VLOOKUP(B2454,CadProd!$A:$C,3,0)),"")</f>
        <v/>
      </c>
      <c r="G2454" s="1" t="str">
        <f t="shared" si="38"/>
        <v/>
      </c>
    </row>
    <row r="2455" spans="3:7" x14ac:dyDescent="0.3">
      <c r="C2455" t="str">
        <f>IFERROR(IF(B2455="","",VLOOKUP(B2455,CadProd!$A:$B,2,0)),"")</f>
        <v/>
      </c>
      <c r="D2455" t="str">
        <f>IFERROR(IF(B2455="","",VLOOKUP(B2455,CadProd!$A:$C,3,0)),"")</f>
        <v/>
      </c>
      <c r="G2455" s="1" t="str">
        <f t="shared" si="38"/>
        <v/>
      </c>
    </row>
    <row r="2456" spans="3:7" x14ac:dyDescent="0.3">
      <c r="C2456" t="str">
        <f>IFERROR(IF(B2456="","",VLOOKUP(B2456,CadProd!$A:$B,2,0)),"")</f>
        <v/>
      </c>
      <c r="D2456" t="str">
        <f>IFERROR(IF(B2456="","",VLOOKUP(B2456,CadProd!$A:$C,3,0)),"")</f>
        <v/>
      </c>
      <c r="G2456" s="1" t="str">
        <f t="shared" si="38"/>
        <v/>
      </c>
    </row>
    <row r="2457" spans="3:7" x14ac:dyDescent="0.3">
      <c r="C2457" t="str">
        <f>IFERROR(IF(B2457="","",VLOOKUP(B2457,CadProd!$A:$B,2,0)),"")</f>
        <v/>
      </c>
      <c r="D2457" t="str">
        <f>IFERROR(IF(B2457="","",VLOOKUP(B2457,CadProd!$A:$C,3,0)),"")</f>
        <v/>
      </c>
      <c r="G2457" s="1" t="str">
        <f t="shared" si="38"/>
        <v/>
      </c>
    </row>
    <row r="2458" spans="3:7" x14ac:dyDescent="0.3">
      <c r="C2458" t="str">
        <f>IFERROR(IF(B2458="","",VLOOKUP(B2458,CadProd!$A:$B,2,0)),"")</f>
        <v/>
      </c>
      <c r="D2458" t="str">
        <f>IFERROR(IF(B2458="","",VLOOKUP(B2458,CadProd!$A:$C,3,0)),"")</f>
        <v/>
      </c>
      <c r="G2458" s="1" t="str">
        <f t="shared" si="38"/>
        <v/>
      </c>
    </row>
    <row r="2459" spans="3:7" x14ac:dyDescent="0.3">
      <c r="C2459" t="str">
        <f>IFERROR(IF(B2459="","",VLOOKUP(B2459,CadProd!$A:$B,2,0)),"")</f>
        <v/>
      </c>
      <c r="D2459" t="str">
        <f>IFERROR(IF(B2459="","",VLOOKUP(B2459,CadProd!$A:$C,3,0)),"")</f>
        <v/>
      </c>
      <c r="G2459" s="1" t="str">
        <f t="shared" si="38"/>
        <v/>
      </c>
    </row>
    <row r="2460" spans="3:7" x14ac:dyDescent="0.3">
      <c r="C2460" t="str">
        <f>IFERROR(IF(B2460="","",VLOOKUP(B2460,CadProd!$A:$B,2,0)),"")</f>
        <v/>
      </c>
      <c r="D2460" t="str">
        <f>IFERROR(IF(B2460="","",VLOOKUP(B2460,CadProd!$A:$C,3,0)),"")</f>
        <v/>
      </c>
      <c r="G2460" s="1" t="str">
        <f t="shared" si="38"/>
        <v/>
      </c>
    </row>
    <row r="2461" spans="3:7" x14ac:dyDescent="0.3">
      <c r="C2461" t="str">
        <f>IFERROR(IF(B2461="","",VLOOKUP(B2461,CadProd!$A:$B,2,0)),"")</f>
        <v/>
      </c>
      <c r="D2461" t="str">
        <f>IFERROR(IF(B2461="","",VLOOKUP(B2461,CadProd!$A:$C,3,0)),"")</f>
        <v/>
      </c>
      <c r="G2461" s="1" t="str">
        <f t="shared" si="38"/>
        <v/>
      </c>
    </row>
    <row r="2462" spans="3:7" x14ac:dyDescent="0.3">
      <c r="C2462" t="str">
        <f>IFERROR(IF(B2462="","",VLOOKUP(B2462,CadProd!$A:$B,2,0)),"")</f>
        <v/>
      </c>
      <c r="D2462" t="str">
        <f>IFERROR(IF(B2462="","",VLOOKUP(B2462,CadProd!$A:$C,3,0)),"")</f>
        <v/>
      </c>
      <c r="G2462" s="1" t="str">
        <f t="shared" si="38"/>
        <v/>
      </c>
    </row>
    <row r="2463" spans="3:7" x14ac:dyDescent="0.3">
      <c r="C2463" t="str">
        <f>IFERROR(IF(B2463="","",VLOOKUP(B2463,CadProd!$A:$B,2,0)),"")</f>
        <v/>
      </c>
      <c r="D2463" t="str">
        <f>IFERROR(IF(B2463="","",VLOOKUP(B2463,CadProd!$A:$C,3,0)),"")</f>
        <v/>
      </c>
      <c r="G2463" s="1" t="str">
        <f t="shared" si="38"/>
        <v/>
      </c>
    </row>
    <row r="2464" spans="3:7" x14ac:dyDescent="0.3">
      <c r="C2464" t="str">
        <f>IFERROR(IF(B2464="","",VLOOKUP(B2464,CadProd!$A:$B,2,0)),"")</f>
        <v/>
      </c>
      <c r="D2464" t="str">
        <f>IFERROR(IF(B2464="","",VLOOKUP(B2464,CadProd!$A:$C,3,0)),"")</f>
        <v/>
      </c>
      <c r="G2464" s="1" t="str">
        <f t="shared" si="38"/>
        <v/>
      </c>
    </row>
    <row r="2465" spans="3:7" x14ac:dyDescent="0.3">
      <c r="C2465" t="str">
        <f>IFERROR(IF(B2465="","",VLOOKUP(B2465,CadProd!$A:$B,2,0)),"")</f>
        <v/>
      </c>
      <c r="D2465" t="str">
        <f>IFERROR(IF(B2465="","",VLOOKUP(B2465,CadProd!$A:$C,3,0)),"")</f>
        <v/>
      </c>
      <c r="G2465" s="1" t="str">
        <f t="shared" si="38"/>
        <v/>
      </c>
    </row>
    <row r="2466" spans="3:7" x14ac:dyDescent="0.3">
      <c r="C2466" t="str">
        <f>IFERROR(IF(B2466="","",VLOOKUP(B2466,CadProd!$A:$B,2,0)),"")</f>
        <v/>
      </c>
      <c r="D2466" t="str">
        <f>IFERROR(IF(B2466="","",VLOOKUP(B2466,CadProd!$A:$C,3,0)),"")</f>
        <v/>
      </c>
      <c r="G2466" s="1" t="str">
        <f t="shared" si="38"/>
        <v/>
      </c>
    </row>
    <row r="2467" spans="3:7" x14ac:dyDescent="0.3">
      <c r="C2467" t="str">
        <f>IFERROR(IF(B2467="","",VLOOKUP(B2467,CadProd!$A:$B,2,0)),"")</f>
        <v/>
      </c>
      <c r="D2467" t="str">
        <f>IFERROR(IF(B2467="","",VLOOKUP(B2467,CadProd!$A:$C,3,0)),"")</f>
        <v/>
      </c>
      <c r="G2467" s="1" t="str">
        <f t="shared" si="38"/>
        <v/>
      </c>
    </row>
    <row r="2468" spans="3:7" x14ac:dyDescent="0.3">
      <c r="C2468" t="str">
        <f>IFERROR(IF(B2468="","",VLOOKUP(B2468,CadProd!$A:$B,2,0)),"")</f>
        <v/>
      </c>
      <c r="D2468" t="str">
        <f>IFERROR(IF(B2468="","",VLOOKUP(B2468,CadProd!$A:$C,3,0)),"")</f>
        <v/>
      </c>
      <c r="G2468" s="1" t="str">
        <f t="shared" si="38"/>
        <v/>
      </c>
    </row>
    <row r="2469" spans="3:7" x14ac:dyDescent="0.3">
      <c r="C2469" t="str">
        <f>IFERROR(IF(B2469="","",VLOOKUP(B2469,CadProd!$A:$B,2,0)),"")</f>
        <v/>
      </c>
      <c r="D2469" t="str">
        <f>IFERROR(IF(B2469="","",VLOOKUP(B2469,CadProd!$A:$C,3,0)),"")</f>
        <v/>
      </c>
      <c r="G2469" s="1" t="str">
        <f t="shared" si="38"/>
        <v/>
      </c>
    </row>
    <row r="2470" spans="3:7" x14ac:dyDescent="0.3">
      <c r="C2470" t="str">
        <f>IFERROR(IF(B2470="","",VLOOKUP(B2470,CadProd!$A:$B,2,0)),"")</f>
        <v/>
      </c>
      <c r="D2470" t="str">
        <f>IFERROR(IF(B2470="","",VLOOKUP(B2470,CadProd!$A:$C,3,0)),"")</f>
        <v/>
      </c>
      <c r="G2470" s="1" t="str">
        <f t="shared" si="38"/>
        <v/>
      </c>
    </row>
    <row r="2471" spans="3:7" x14ac:dyDescent="0.3">
      <c r="C2471" t="str">
        <f>IFERROR(IF(B2471="","",VLOOKUP(B2471,CadProd!$A:$B,2,0)),"")</f>
        <v/>
      </c>
      <c r="D2471" t="str">
        <f>IFERROR(IF(B2471="","",VLOOKUP(B2471,CadProd!$A:$C,3,0)),"")</f>
        <v/>
      </c>
      <c r="G2471" s="1" t="str">
        <f t="shared" si="38"/>
        <v/>
      </c>
    </row>
    <row r="2472" spans="3:7" x14ac:dyDescent="0.3">
      <c r="C2472" t="str">
        <f>IFERROR(IF(B2472="","",VLOOKUP(B2472,CadProd!$A:$B,2,0)),"")</f>
        <v/>
      </c>
      <c r="D2472" t="str">
        <f>IFERROR(IF(B2472="","",VLOOKUP(B2472,CadProd!$A:$C,3,0)),"")</f>
        <v/>
      </c>
      <c r="G2472" s="1" t="str">
        <f t="shared" si="38"/>
        <v/>
      </c>
    </row>
    <row r="2473" spans="3:7" x14ac:dyDescent="0.3">
      <c r="C2473" t="str">
        <f>IFERROR(IF(B2473="","",VLOOKUP(B2473,CadProd!$A:$B,2,0)),"")</f>
        <v/>
      </c>
      <c r="D2473" t="str">
        <f>IFERROR(IF(B2473="","",VLOOKUP(B2473,CadProd!$A:$C,3,0)),"")</f>
        <v/>
      </c>
      <c r="G2473" s="1" t="str">
        <f t="shared" si="38"/>
        <v/>
      </c>
    </row>
    <row r="2474" spans="3:7" x14ac:dyDescent="0.3">
      <c r="C2474" t="str">
        <f>IFERROR(IF(B2474="","",VLOOKUP(B2474,CadProd!$A:$B,2,0)),"")</f>
        <v/>
      </c>
      <c r="D2474" t="str">
        <f>IFERROR(IF(B2474="","",VLOOKUP(B2474,CadProd!$A:$C,3,0)),"")</f>
        <v/>
      </c>
      <c r="G2474" s="1" t="str">
        <f t="shared" si="38"/>
        <v/>
      </c>
    </row>
    <row r="2475" spans="3:7" x14ac:dyDescent="0.3">
      <c r="C2475" t="str">
        <f>IFERROR(IF(B2475="","",VLOOKUP(B2475,CadProd!$A:$B,2,0)),"")</f>
        <v/>
      </c>
      <c r="D2475" t="str">
        <f>IFERROR(IF(B2475="","",VLOOKUP(B2475,CadProd!$A:$C,3,0)),"")</f>
        <v/>
      </c>
      <c r="G2475" s="1" t="str">
        <f t="shared" si="38"/>
        <v/>
      </c>
    </row>
    <row r="2476" spans="3:7" x14ac:dyDescent="0.3">
      <c r="C2476" t="str">
        <f>IFERROR(IF(B2476="","",VLOOKUP(B2476,CadProd!$A:$B,2,0)),"")</f>
        <v/>
      </c>
      <c r="D2476" t="str">
        <f>IFERROR(IF(B2476="","",VLOOKUP(B2476,CadProd!$A:$C,3,0)),"")</f>
        <v/>
      </c>
      <c r="G2476" s="1" t="str">
        <f t="shared" si="38"/>
        <v/>
      </c>
    </row>
    <row r="2477" spans="3:7" x14ac:dyDescent="0.3">
      <c r="C2477" t="str">
        <f>IFERROR(IF(B2477="","",VLOOKUP(B2477,CadProd!$A:$B,2,0)),"")</f>
        <v/>
      </c>
      <c r="D2477" t="str">
        <f>IFERROR(IF(B2477="","",VLOOKUP(B2477,CadProd!$A:$C,3,0)),"")</f>
        <v/>
      </c>
      <c r="G2477" s="1" t="str">
        <f t="shared" si="38"/>
        <v/>
      </c>
    </row>
    <row r="2478" spans="3:7" x14ac:dyDescent="0.3">
      <c r="C2478" t="str">
        <f>IFERROR(IF(B2478="","",VLOOKUP(B2478,CadProd!$A:$B,2,0)),"")</f>
        <v/>
      </c>
      <c r="D2478" t="str">
        <f>IFERROR(IF(B2478="","",VLOOKUP(B2478,CadProd!$A:$C,3,0)),"")</f>
        <v/>
      </c>
      <c r="G2478" s="1" t="str">
        <f t="shared" si="38"/>
        <v/>
      </c>
    </row>
    <row r="2479" spans="3:7" x14ac:dyDescent="0.3">
      <c r="C2479" t="str">
        <f>IFERROR(IF(B2479="","",VLOOKUP(B2479,CadProd!$A:$B,2,0)),"")</f>
        <v/>
      </c>
      <c r="D2479" t="str">
        <f>IFERROR(IF(B2479="","",VLOOKUP(B2479,CadProd!$A:$C,3,0)),"")</f>
        <v/>
      </c>
      <c r="G2479" s="1" t="str">
        <f t="shared" si="38"/>
        <v/>
      </c>
    </row>
    <row r="2480" spans="3:7" x14ac:dyDescent="0.3">
      <c r="C2480" t="str">
        <f>IFERROR(IF(B2480="","",VLOOKUP(B2480,CadProd!$A:$B,2,0)),"")</f>
        <v/>
      </c>
      <c r="D2480" t="str">
        <f>IFERROR(IF(B2480="","",VLOOKUP(B2480,CadProd!$A:$C,3,0)),"")</f>
        <v/>
      </c>
      <c r="G2480" s="1" t="str">
        <f t="shared" si="38"/>
        <v/>
      </c>
    </row>
    <row r="2481" spans="3:7" x14ac:dyDescent="0.3">
      <c r="C2481" t="str">
        <f>IFERROR(IF(B2481="","",VLOOKUP(B2481,CadProd!$A:$B,2,0)),"")</f>
        <v/>
      </c>
      <c r="D2481" t="str">
        <f>IFERROR(IF(B2481="","",VLOOKUP(B2481,CadProd!$A:$C,3,0)),"")</f>
        <v/>
      </c>
      <c r="G2481" s="1" t="str">
        <f t="shared" si="38"/>
        <v/>
      </c>
    </row>
    <row r="2482" spans="3:7" x14ac:dyDescent="0.3">
      <c r="C2482" t="str">
        <f>IFERROR(IF(B2482="","",VLOOKUP(B2482,CadProd!$A:$B,2,0)),"")</f>
        <v/>
      </c>
      <c r="D2482" t="str">
        <f>IFERROR(IF(B2482="","",VLOOKUP(B2482,CadProd!$A:$C,3,0)),"")</f>
        <v/>
      </c>
      <c r="G2482" s="1" t="str">
        <f t="shared" si="38"/>
        <v/>
      </c>
    </row>
    <row r="2483" spans="3:7" x14ac:dyDescent="0.3">
      <c r="C2483" t="str">
        <f>IFERROR(IF(B2483="","",VLOOKUP(B2483,CadProd!$A:$B,2,0)),"")</f>
        <v/>
      </c>
      <c r="D2483" t="str">
        <f>IFERROR(IF(B2483="","",VLOOKUP(B2483,CadProd!$A:$C,3,0)),"")</f>
        <v/>
      </c>
      <c r="G2483" s="1" t="str">
        <f t="shared" si="38"/>
        <v/>
      </c>
    </row>
    <row r="2484" spans="3:7" x14ac:dyDescent="0.3">
      <c r="C2484" t="str">
        <f>IFERROR(IF(B2484="","",VLOOKUP(B2484,CadProd!$A:$B,2,0)),"")</f>
        <v/>
      </c>
      <c r="D2484" t="str">
        <f>IFERROR(IF(B2484="","",VLOOKUP(B2484,CadProd!$A:$C,3,0)),"")</f>
        <v/>
      </c>
      <c r="G2484" s="1" t="str">
        <f t="shared" si="38"/>
        <v/>
      </c>
    </row>
    <row r="2485" spans="3:7" x14ac:dyDescent="0.3">
      <c r="C2485" t="str">
        <f>IFERROR(IF(B2485="","",VLOOKUP(B2485,CadProd!$A:$B,2,0)),"")</f>
        <v/>
      </c>
      <c r="D2485" t="str">
        <f>IFERROR(IF(B2485="","",VLOOKUP(B2485,CadProd!$A:$C,3,0)),"")</f>
        <v/>
      </c>
      <c r="G2485" s="1" t="str">
        <f t="shared" si="38"/>
        <v/>
      </c>
    </row>
    <row r="2486" spans="3:7" x14ac:dyDescent="0.3">
      <c r="C2486" t="str">
        <f>IFERROR(IF(B2486="","",VLOOKUP(B2486,CadProd!$A:$B,2,0)),"")</f>
        <v/>
      </c>
      <c r="D2486" t="str">
        <f>IFERROR(IF(B2486="","",VLOOKUP(B2486,CadProd!$A:$C,3,0)),"")</f>
        <v/>
      </c>
      <c r="G2486" s="1" t="str">
        <f t="shared" si="38"/>
        <v/>
      </c>
    </row>
    <row r="2487" spans="3:7" x14ac:dyDescent="0.3">
      <c r="C2487" t="str">
        <f>IFERROR(IF(B2487="","",VLOOKUP(B2487,CadProd!$A:$B,2,0)),"")</f>
        <v/>
      </c>
      <c r="D2487" t="str">
        <f>IFERROR(IF(B2487="","",VLOOKUP(B2487,CadProd!$A:$C,3,0)),"")</f>
        <v/>
      </c>
      <c r="G2487" s="1" t="str">
        <f t="shared" si="38"/>
        <v/>
      </c>
    </row>
    <row r="2488" spans="3:7" x14ac:dyDescent="0.3">
      <c r="C2488" t="str">
        <f>IFERROR(IF(B2488="","",VLOOKUP(B2488,CadProd!$A:$B,2,0)),"")</f>
        <v/>
      </c>
      <c r="D2488" t="str">
        <f>IFERROR(IF(B2488="","",VLOOKUP(B2488,CadProd!$A:$C,3,0)),"")</f>
        <v/>
      </c>
      <c r="G2488" s="1" t="str">
        <f t="shared" si="38"/>
        <v/>
      </c>
    </row>
    <row r="2489" spans="3:7" x14ac:dyDescent="0.3">
      <c r="C2489" t="str">
        <f>IFERROR(IF(B2489="","",VLOOKUP(B2489,CadProd!$A:$B,2,0)),"")</f>
        <v/>
      </c>
      <c r="D2489" t="str">
        <f>IFERROR(IF(B2489="","",VLOOKUP(B2489,CadProd!$A:$C,3,0)),"")</f>
        <v/>
      </c>
      <c r="G2489" s="1" t="str">
        <f t="shared" si="38"/>
        <v/>
      </c>
    </row>
    <row r="2490" spans="3:7" x14ac:dyDescent="0.3">
      <c r="C2490" t="str">
        <f>IFERROR(IF(B2490="","",VLOOKUP(B2490,CadProd!$A:$B,2,0)),"")</f>
        <v/>
      </c>
      <c r="D2490" t="str">
        <f>IFERROR(IF(B2490="","",VLOOKUP(B2490,CadProd!$A:$C,3,0)),"")</f>
        <v/>
      </c>
      <c r="G2490" s="1" t="str">
        <f t="shared" si="38"/>
        <v/>
      </c>
    </row>
    <row r="2491" spans="3:7" x14ac:dyDescent="0.3">
      <c r="C2491" t="str">
        <f>IFERROR(IF(B2491="","",VLOOKUP(B2491,CadProd!$A:$B,2,0)),"")</f>
        <v/>
      </c>
      <c r="D2491" t="str">
        <f>IFERROR(IF(B2491="","",VLOOKUP(B2491,CadProd!$A:$C,3,0)),"")</f>
        <v/>
      </c>
      <c r="G2491" s="1" t="str">
        <f t="shared" si="38"/>
        <v/>
      </c>
    </row>
    <row r="2492" spans="3:7" x14ac:dyDescent="0.3">
      <c r="C2492" t="str">
        <f>IFERROR(IF(B2492="","",VLOOKUP(B2492,CadProd!$A:$B,2,0)),"")</f>
        <v/>
      </c>
      <c r="D2492" t="str">
        <f>IFERROR(IF(B2492="","",VLOOKUP(B2492,CadProd!$A:$C,3,0)),"")</f>
        <v/>
      </c>
      <c r="G2492" s="1" t="str">
        <f t="shared" si="38"/>
        <v/>
      </c>
    </row>
    <row r="2493" spans="3:7" x14ac:dyDescent="0.3">
      <c r="C2493" t="str">
        <f>IFERROR(IF(B2493="","",VLOOKUP(B2493,CadProd!$A:$B,2,0)),"")</f>
        <v/>
      </c>
      <c r="D2493" t="str">
        <f>IFERROR(IF(B2493="","",VLOOKUP(B2493,CadProd!$A:$C,3,0)),"")</f>
        <v/>
      </c>
      <c r="G2493" s="1" t="str">
        <f t="shared" si="38"/>
        <v/>
      </c>
    </row>
    <row r="2494" spans="3:7" x14ac:dyDescent="0.3">
      <c r="C2494" t="str">
        <f>IFERROR(IF(B2494="","",VLOOKUP(B2494,CadProd!$A:$B,2,0)),"")</f>
        <v/>
      </c>
      <c r="D2494" t="str">
        <f>IFERROR(IF(B2494="","",VLOOKUP(B2494,CadProd!$A:$C,3,0)),"")</f>
        <v/>
      </c>
      <c r="G2494" s="1" t="str">
        <f t="shared" si="38"/>
        <v/>
      </c>
    </row>
    <row r="2495" spans="3:7" x14ac:dyDescent="0.3">
      <c r="C2495" t="str">
        <f>IFERROR(IF(B2495="","",VLOOKUP(B2495,CadProd!$A:$B,2,0)),"")</f>
        <v/>
      </c>
      <c r="D2495" t="str">
        <f>IFERROR(IF(B2495="","",VLOOKUP(B2495,CadProd!$A:$C,3,0)),"")</f>
        <v/>
      </c>
      <c r="G2495" s="1" t="str">
        <f t="shared" si="38"/>
        <v/>
      </c>
    </row>
    <row r="2496" spans="3:7" x14ac:dyDescent="0.3">
      <c r="C2496" t="str">
        <f>IFERROR(IF(B2496="","",VLOOKUP(B2496,CadProd!$A:$B,2,0)),"")</f>
        <v/>
      </c>
      <c r="D2496" t="str">
        <f>IFERROR(IF(B2496="","",VLOOKUP(B2496,CadProd!$A:$C,3,0)),"")</f>
        <v/>
      </c>
      <c r="G2496" s="1" t="str">
        <f t="shared" si="38"/>
        <v/>
      </c>
    </row>
    <row r="2497" spans="3:7" x14ac:dyDescent="0.3">
      <c r="C2497" t="str">
        <f>IFERROR(IF(B2497="","",VLOOKUP(B2497,CadProd!$A:$B,2,0)),"")</f>
        <v/>
      </c>
      <c r="D2497" t="str">
        <f>IFERROR(IF(B2497="","",VLOOKUP(B2497,CadProd!$A:$C,3,0)),"")</f>
        <v/>
      </c>
      <c r="G2497" s="1" t="str">
        <f t="shared" si="38"/>
        <v/>
      </c>
    </row>
    <row r="2498" spans="3:7" x14ac:dyDescent="0.3">
      <c r="C2498" t="str">
        <f>IFERROR(IF(B2498="","",VLOOKUP(B2498,CadProd!$A:$B,2,0)),"")</f>
        <v/>
      </c>
      <c r="D2498" t="str">
        <f>IFERROR(IF(B2498="","",VLOOKUP(B2498,CadProd!$A:$C,3,0)),"")</f>
        <v/>
      </c>
      <c r="G2498" s="1" t="str">
        <f t="shared" ref="G2498:G2561" si="39">IFERROR(IF(B2498="","",F2498*E2498),"")</f>
        <v/>
      </c>
    </row>
    <row r="2499" spans="3:7" x14ac:dyDescent="0.3">
      <c r="C2499" t="str">
        <f>IFERROR(IF(B2499="","",VLOOKUP(B2499,CadProd!$A:$B,2,0)),"")</f>
        <v/>
      </c>
      <c r="D2499" t="str">
        <f>IFERROR(IF(B2499="","",VLOOKUP(B2499,CadProd!$A:$C,3,0)),"")</f>
        <v/>
      </c>
      <c r="G2499" s="1" t="str">
        <f t="shared" si="39"/>
        <v/>
      </c>
    </row>
    <row r="2500" spans="3:7" x14ac:dyDescent="0.3">
      <c r="C2500" t="str">
        <f>IFERROR(IF(B2500="","",VLOOKUP(B2500,CadProd!$A:$B,2,0)),"")</f>
        <v/>
      </c>
      <c r="D2500" t="str">
        <f>IFERROR(IF(B2500="","",VLOOKUP(B2500,CadProd!$A:$C,3,0)),"")</f>
        <v/>
      </c>
      <c r="G2500" s="1" t="str">
        <f t="shared" si="39"/>
        <v/>
      </c>
    </row>
    <row r="2501" spans="3:7" x14ac:dyDescent="0.3">
      <c r="C2501" t="str">
        <f>IFERROR(IF(B2501="","",VLOOKUP(B2501,CadProd!$A:$B,2,0)),"")</f>
        <v/>
      </c>
      <c r="D2501" t="str">
        <f>IFERROR(IF(B2501="","",VLOOKUP(B2501,CadProd!$A:$C,3,0)),"")</f>
        <v/>
      </c>
      <c r="G2501" s="1" t="str">
        <f t="shared" si="39"/>
        <v/>
      </c>
    </row>
    <row r="2502" spans="3:7" x14ac:dyDescent="0.3">
      <c r="C2502" t="str">
        <f>IFERROR(IF(B2502="","",VLOOKUP(B2502,CadProd!$A:$B,2,0)),"")</f>
        <v/>
      </c>
      <c r="D2502" t="str">
        <f>IFERROR(IF(B2502="","",VLOOKUP(B2502,CadProd!$A:$C,3,0)),"")</f>
        <v/>
      </c>
      <c r="G2502" s="1" t="str">
        <f t="shared" si="39"/>
        <v/>
      </c>
    </row>
    <row r="2503" spans="3:7" x14ac:dyDescent="0.3">
      <c r="C2503" t="str">
        <f>IFERROR(IF(B2503="","",VLOOKUP(B2503,CadProd!$A:$B,2,0)),"")</f>
        <v/>
      </c>
      <c r="D2503" t="str">
        <f>IFERROR(IF(B2503="","",VLOOKUP(B2503,CadProd!$A:$C,3,0)),"")</f>
        <v/>
      </c>
      <c r="G2503" s="1" t="str">
        <f t="shared" si="39"/>
        <v/>
      </c>
    </row>
    <row r="2504" spans="3:7" x14ac:dyDescent="0.3">
      <c r="C2504" t="str">
        <f>IFERROR(IF(B2504="","",VLOOKUP(B2504,CadProd!$A:$B,2,0)),"")</f>
        <v/>
      </c>
      <c r="D2504" t="str">
        <f>IFERROR(IF(B2504="","",VLOOKUP(B2504,CadProd!$A:$C,3,0)),"")</f>
        <v/>
      </c>
      <c r="G2504" s="1" t="str">
        <f t="shared" si="39"/>
        <v/>
      </c>
    </row>
    <row r="2505" spans="3:7" x14ac:dyDescent="0.3">
      <c r="C2505" t="str">
        <f>IFERROR(IF(B2505="","",VLOOKUP(B2505,CadProd!$A:$B,2,0)),"")</f>
        <v/>
      </c>
      <c r="D2505" t="str">
        <f>IFERROR(IF(B2505="","",VLOOKUP(B2505,CadProd!$A:$C,3,0)),"")</f>
        <v/>
      </c>
      <c r="G2505" s="1" t="str">
        <f t="shared" si="39"/>
        <v/>
      </c>
    </row>
    <row r="2506" spans="3:7" x14ac:dyDescent="0.3">
      <c r="C2506" t="str">
        <f>IFERROR(IF(B2506="","",VLOOKUP(B2506,CadProd!$A:$B,2,0)),"")</f>
        <v/>
      </c>
      <c r="D2506" t="str">
        <f>IFERROR(IF(B2506="","",VLOOKUP(B2506,CadProd!$A:$C,3,0)),"")</f>
        <v/>
      </c>
      <c r="G2506" s="1" t="str">
        <f t="shared" si="39"/>
        <v/>
      </c>
    </row>
    <row r="2507" spans="3:7" x14ac:dyDescent="0.3">
      <c r="C2507" t="str">
        <f>IFERROR(IF(B2507="","",VLOOKUP(B2507,CadProd!$A:$B,2,0)),"")</f>
        <v/>
      </c>
      <c r="D2507" t="str">
        <f>IFERROR(IF(B2507="","",VLOOKUP(B2507,CadProd!$A:$C,3,0)),"")</f>
        <v/>
      </c>
      <c r="G2507" s="1" t="str">
        <f t="shared" si="39"/>
        <v/>
      </c>
    </row>
    <row r="2508" spans="3:7" x14ac:dyDescent="0.3">
      <c r="C2508" t="str">
        <f>IFERROR(IF(B2508="","",VLOOKUP(B2508,CadProd!$A:$B,2,0)),"")</f>
        <v/>
      </c>
      <c r="D2508" t="str">
        <f>IFERROR(IF(B2508="","",VLOOKUP(B2508,CadProd!$A:$C,3,0)),"")</f>
        <v/>
      </c>
      <c r="G2508" s="1" t="str">
        <f t="shared" si="39"/>
        <v/>
      </c>
    </row>
    <row r="2509" spans="3:7" x14ac:dyDescent="0.3">
      <c r="C2509" t="str">
        <f>IFERROR(IF(B2509="","",VLOOKUP(B2509,CadProd!$A:$B,2,0)),"")</f>
        <v/>
      </c>
      <c r="D2509" t="str">
        <f>IFERROR(IF(B2509="","",VLOOKUP(B2509,CadProd!$A:$C,3,0)),"")</f>
        <v/>
      </c>
      <c r="G2509" s="1" t="str">
        <f t="shared" si="39"/>
        <v/>
      </c>
    </row>
    <row r="2510" spans="3:7" x14ac:dyDescent="0.3">
      <c r="C2510" t="str">
        <f>IFERROR(IF(B2510="","",VLOOKUP(B2510,CadProd!$A:$B,2,0)),"")</f>
        <v/>
      </c>
      <c r="D2510" t="str">
        <f>IFERROR(IF(B2510="","",VLOOKUP(B2510,CadProd!$A:$C,3,0)),"")</f>
        <v/>
      </c>
      <c r="G2510" s="1" t="str">
        <f t="shared" si="39"/>
        <v/>
      </c>
    </row>
    <row r="2511" spans="3:7" x14ac:dyDescent="0.3">
      <c r="C2511" t="str">
        <f>IFERROR(IF(B2511="","",VLOOKUP(B2511,CadProd!$A:$B,2,0)),"")</f>
        <v/>
      </c>
      <c r="D2511" t="str">
        <f>IFERROR(IF(B2511="","",VLOOKUP(B2511,CadProd!$A:$C,3,0)),"")</f>
        <v/>
      </c>
      <c r="G2511" s="1" t="str">
        <f t="shared" si="39"/>
        <v/>
      </c>
    </row>
    <row r="2512" spans="3:7" x14ac:dyDescent="0.3">
      <c r="C2512" t="str">
        <f>IFERROR(IF(B2512="","",VLOOKUP(B2512,CadProd!$A:$B,2,0)),"")</f>
        <v/>
      </c>
      <c r="D2512" t="str">
        <f>IFERROR(IF(B2512="","",VLOOKUP(B2512,CadProd!$A:$C,3,0)),"")</f>
        <v/>
      </c>
      <c r="G2512" s="1" t="str">
        <f t="shared" si="39"/>
        <v/>
      </c>
    </row>
    <row r="2513" spans="3:7" x14ac:dyDescent="0.3">
      <c r="C2513" t="str">
        <f>IFERROR(IF(B2513="","",VLOOKUP(B2513,CadProd!$A:$B,2,0)),"")</f>
        <v/>
      </c>
      <c r="D2513" t="str">
        <f>IFERROR(IF(B2513="","",VLOOKUP(B2513,CadProd!$A:$C,3,0)),"")</f>
        <v/>
      </c>
      <c r="G2513" s="1" t="str">
        <f t="shared" si="39"/>
        <v/>
      </c>
    </row>
    <row r="2514" spans="3:7" x14ac:dyDescent="0.3">
      <c r="C2514" t="str">
        <f>IFERROR(IF(B2514="","",VLOOKUP(B2514,CadProd!$A:$B,2,0)),"")</f>
        <v/>
      </c>
      <c r="D2514" t="str">
        <f>IFERROR(IF(B2514="","",VLOOKUP(B2514,CadProd!$A:$C,3,0)),"")</f>
        <v/>
      </c>
      <c r="G2514" s="1" t="str">
        <f t="shared" si="39"/>
        <v/>
      </c>
    </row>
    <row r="2515" spans="3:7" x14ac:dyDescent="0.3">
      <c r="C2515" t="str">
        <f>IFERROR(IF(B2515="","",VLOOKUP(B2515,CadProd!$A:$B,2,0)),"")</f>
        <v/>
      </c>
      <c r="D2515" t="str">
        <f>IFERROR(IF(B2515="","",VLOOKUP(B2515,CadProd!$A:$C,3,0)),"")</f>
        <v/>
      </c>
      <c r="G2515" s="1" t="str">
        <f t="shared" si="39"/>
        <v/>
      </c>
    </row>
    <row r="2516" spans="3:7" x14ac:dyDescent="0.3">
      <c r="C2516" t="str">
        <f>IFERROR(IF(B2516="","",VLOOKUP(B2516,CadProd!$A:$B,2,0)),"")</f>
        <v/>
      </c>
      <c r="D2516" t="str">
        <f>IFERROR(IF(B2516="","",VLOOKUP(B2516,CadProd!$A:$C,3,0)),"")</f>
        <v/>
      </c>
      <c r="G2516" s="1" t="str">
        <f t="shared" si="39"/>
        <v/>
      </c>
    </row>
    <row r="2517" spans="3:7" x14ac:dyDescent="0.3">
      <c r="C2517" t="str">
        <f>IFERROR(IF(B2517="","",VLOOKUP(B2517,CadProd!$A:$B,2,0)),"")</f>
        <v/>
      </c>
      <c r="D2517" t="str">
        <f>IFERROR(IF(B2517="","",VLOOKUP(B2517,CadProd!$A:$C,3,0)),"")</f>
        <v/>
      </c>
      <c r="G2517" s="1" t="str">
        <f t="shared" si="39"/>
        <v/>
      </c>
    </row>
    <row r="2518" spans="3:7" x14ac:dyDescent="0.3">
      <c r="C2518" t="str">
        <f>IFERROR(IF(B2518="","",VLOOKUP(B2518,CadProd!$A:$B,2,0)),"")</f>
        <v/>
      </c>
      <c r="D2518" t="str">
        <f>IFERROR(IF(B2518="","",VLOOKUP(B2518,CadProd!$A:$C,3,0)),"")</f>
        <v/>
      </c>
      <c r="G2518" s="1" t="str">
        <f t="shared" si="39"/>
        <v/>
      </c>
    </row>
    <row r="2519" spans="3:7" x14ac:dyDescent="0.3">
      <c r="C2519" t="str">
        <f>IFERROR(IF(B2519="","",VLOOKUP(B2519,CadProd!$A:$B,2,0)),"")</f>
        <v/>
      </c>
      <c r="D2519" t="str">
        <f>IFERROR(IF(B2519="","",VLOOKUP(B2519,CadProd!$A:$C,3,0)),"")</f>
        <v/>
      </c>
      <c r="G2519" s="1" t="str">
        <f t="shared" si="39"/>
        <v/>
      </c>
    </row>
    <row r="2520" spans="3:7" x14ac:dyDescent="0.3">
      <c r="C2520" t="str">
        <f>IFERROR(IF(B2520="","",VLOOKUP(B2520,CadProd!$A:$B,2,0)),"")</f>
        <v/>
      </c>
      <c r="D2520" t="str">
        <f>IFERROR(IF(B2520="","",VLOOKUP(B2520,CadProd!$A:$C,3,0)),"")</f>
        <v/>
      </c>
      <c r="G2520" s="1" t="str">
        <f t="shared" si="39"/>
        <v/>
      </c>
    </row>
    <row r="2521" spans="3:7" x14ac:dyDescent="0.3">
      <c r="C2521" t="str">
        <f>IFERROR(IF(B2521="","",VLOOKUP(B2521,CadProd!$A:$B,2,0)),"")</f>
        <v/>
      </c>
      <c r="D2521" t="str">
        <f>IFERROR(IF(B2521="","",VLOOKUP(B2521,CadProd!$A:$C,3,0)),"")</f>
        <v/>
      </c>
      <c r="G2521" s="1" t="str">
        <f t="shared" si="39"/>
        <v/>
      </c>
    </row>
    <row r="2522" spans="3:7" x14ac:dyDescent="0.3">
      <c r="C2522" t="str">
        <f>IFERROR(IF(B2522="","",VLOOKUP(B2522,CadProd!$A:$B,2,0)),"")</f>
        <v/>
      </c>
      <c r="D2522" t="str">
        <f>IFERROR(IF(B2522="","",VLOOKUP(B2522,CadProd!$A:$C,3,0)),"")</f>
        <v/>
      </c>
      <c r="G2522" s="1" t="str">
        <f t="shared" si="39"/>
        <v/>
      </c>
    </row>
    <row r="2523" spans="3:7" x14ac:dyDescent="0.3">
      <c r="C2523" t="str">
        <f>IFERROR(IF(B2523="","",VLOOKUP(B2523,CadProd!$A:$B,2,0)),"")</f>
        <v/>
      </c>
      <c r="D2523" t="str">
        <f>IFERROR(IF(B2523="","",VLOOKUP(B2523,CadProd!$A:$C,3,0)),"")</f>
        <v/>
      </c>
      <c r="G2523" s="1" t="str">
        <f t="shared" si="39"/>
        <v/>
      </c>
    </row>
    <row r="2524" spans="3:7" x14ac:dyDescent="0.3">
      <c r="C2524" t="str">
        <f>IFERROR(IF(B2524="","",VLOOKUP(B2524,CadProd!$A:$B,2,0)),"")</f>
        <v/>
      </c>
      <c r="D2524" t="str">
        <f>IFERROR(IF(B2524="","",VLOOKUP(B2524,CadProd!$A:$C,3,0)),"")</f>
        <v/>
      </c>
      <c r="G2524" s="1" t="str">
        <f t="shared" si="39"/>
        <v/>
      </c>
    </row>
    <row r="2525" spans="3:7" x14ac:dyDescent="0.3">
      <c r="C2525" t="str">
        <f>IFERROR(IF(B2525="","",VLOOKUP(B2525,CadProd!$A:$B,2,0)),"")</f>
        <v/>
      </c>
      <c r="D2525" t="str">
        <f>IFERROR(IF(B2525="","",VLOOKUP(B2525,CadProd!$A:$C,3,0)),"")</f>
        <v/>
      </c>
      <c r="G2525" s="1" t="str">
        <f t="shared" si="39"/>
        <v/>
      </c>
    </row>
    <row r="2526" spans="3:7" x14ac:dyDescent="0.3">
      <c r="C2526" t="str">
        <f>IFERROR(IF(B2526="","",VLOOKUP(B2526,CadProd!$A:$B,2,0)),"")</f>
        <v/>
      </c>
      <c r="D2526" t="str">
        <f>IFERROR(IF(B2526="","",VLOOKUP(B2526,CadProd!$A:$C,3,0)),"")</f>
        <v/>
      </c>
      <c r="G2526" s="1" t="str">
        <f t="shared" si="39"/>
        <v/>
      </c>
    </row>
    <row r="2527" spans="3:7" x14ac:dyDescent="0.3">
      <c r="C2527" t="str">
        <f>IFERROR(IF(B2527="","",VLOOKUP(B2527,CadProd!$A:$B,2,0)),"")</f>
        <v/>
      </c>
      <c r="D2527" t="str">
        <f>IFERROR(IF(B2527="","",VLOOKUP(B2527,CadProd!$A:$C,3,0)),"")</f>
        <v/>
      </c>
      <c r="G2527" s="1" t="str">
        <f t="shared" si="39"/>
        <v/>
      </c>
    </row>
    <row r="2528" spans="3:7" x14ac:dyDescent="0.3">
      <c r="C2528" t="str">
        <f>IFERROR(IF(B2528="","",VLOOKUP(B2528,CadProd!$A:$B,2,0)),"")</f>
        <v/>
      </c>
      <c r="D2528" t="str">
        <f>IFERROR(IF(B2528="","",VLOOKUP(B2528,CadProd!$A:$C,3,0)),"")</f>
        <v/>
      </c>
      <c r="G2528" s="1" t="str">
        <f t="shared" si="39"/>
        <v/>
      </c>
    </row>
    <row r="2529" spans="3:7" x14ac:dyDescent="0.3">
      <c r="C2529" t="str">
        <f>IFERROR(IF(B2529="","",VLOOKUP(B2529,CadProd!$A:$B,2,0)),"")</f>
        <v/>
      </c>
      <c r="D2529" t="str">
        <f>IFERROR(IF(B2529="","",VLOOKUP(B2529,CadProd!$A:$C,3,0)),"")</f>
        <v/>
      </c>
      <c r="G2529" s="1" t="str">
        <f t="shared" si="39"/>
        <v/>
      </c>
    </row>
    <row r="2530" spans="3:7" x14ac:dyDescent="0.3">
      <c r="C2530" t="str">
        <f>IFERROR(IF(B2530="","",VLOOKUP(B2530,CadProd!$A:$B,2,0)),"")</f>
        <v/>
      </c>
      <c r="D2530" t="str">
        <f>IFERROR(IF(B2530="","",VLOOKUP(B2530,CadProd!$A:$C,3,0)),"")</f>
        <v/>
      </c>
      <c r="G2530" s="1" t="str">
        <f t="shared" si="39"/>
        <v/>
      </c>
    </row>
    <row r="2531" spans="3:7" x14ac:dyDescent="0.3">
      <c r="C2531" t="str">
        <f>IFERROR(IF(B2531="","",VLOOKUP(B2531,CadProd!$A:$B,2,0)),"")</f>
        <v/>
      </c>
      <c r="D2531" t="str">
        <f>IFERROR(IF(B2531="","",VLOOKUP(B2531,CadProd!$A:$C,3,0)),"")</f>
        <v/>
      </c>
      <c r="G2531" s="1" t="str">
        <f t="shared" si="39"/>
        <v/>
      </c>
    </row>
    <row r="2532" spans="3:7" x14ac:dyDescent="0.3">
      <c r="C2532" t="str">
        <f>IFERROR(IF(B2532="","",VLOOKUP(B2532,CadProd!$A:$B,2,0)),"")</f>
        <v/>
      </c>
      <c r="D2532" t="str">
        <f>IFERROR(IF(B2532="","",VLOOKUP(B2532,CadProd!$A:$C,3,0)),"")</f>
        <v/>
      </c>
      <c r="G2532" s="1" t="str">
        <f t="shared" si="39"/>
        <v/>
      </c>
    </row>
    <row r="2533" spans="3:7" x14ac:dyDescent="0.3">
      <c r="C2533" t="str">
        <f>IFERROR(IF(B2533="","",VLOOKUP(B2533,CadProd!$A:$B,2,0)),"")</f>
        <v/>
      </c>
      <c r="D2533" t="str">
        <f>IFERROR(IF(B2533="","",VLOOKUP(B2533,CadProd!$A:$C,3,0)),"")</f>
        <v/>
      </c>
      <c r="G2533" s="1" t="str">
        <f t="shared" si="39"/>
        <v/>
      </c>
    </row>
    <row r="2534" spans="3:7" x14ac:dyDescent="0.3">
      <c r="C2534" t="str">
        <f>IFERROR(IF(B2534="","",VLOOKUP(B2534,CadProd!$A:$B,2,0)),"")</f>
        <v/>
      </c>
      <c r="D2534" t="str">
        <f>IFERROR(IF(B2534="","",VLOOKUP(B2534,CadProd!$A:$C,3,0)),"")</f>
        <v/>
      </c>
      <c r="G2534" s="1" t="str">
        <f t="shared" si="39"/>
        <v/>
      </c>
    </row>
    <row r="2535" spans="3:7" x14ac:dyDescent="0.3">
      <c r="C2535" t="str">
        <f>IFERROR(IF(B2535="","",VLOOKUP(B2535,CadProd!$A:$B,2,0)),"")</f>
        <v/>
      </c>
      <c r="D2535" t="str">
        <f>IFERROR(IF(B2535="","",VLOOKUP(B2535,CadProd!$A:$C,3,0)),"")</f>
        <v/>
      </c>
      <c r="G2535" s="1" t="str">
        <f t="shared" si="39"/>
        <v/>
      </c>
    </row>
    <row r="2536" spans="3:7" x14ac:dyDescent="0.3">
      <c r="C2536" t="str">
        <f>IFERROR(IF(B2536="","",VLOOKUP(B2536,CadProd!$A:$B,2,0)),"")</f>
        <v/>
      </c>
      <c r="D2536" t="str">
        <f>IFERROR(IF(B2536="","",VLOOKUP(B2536,CadProd!$A:$C,3,0)),"")</f>
        <v/>
      </c>
      <c r="G2536" s="1" t="str">
        <f t="shared" si="39"/>
        <v/>
      </c>
    </row>
    <row r="2537" spans="3:7" x14ac:dyDescent="0.3">
      <c r="C2537" t="str">
        <f>IFERROR(IF(B2537="","",VLOOKUP(B2537,CadProd!$A:$B,2,0)),"")</f>
        <v/>
      </c>
      <c r="D2537" t="str">
        <f>IFERROR(IF(B2537="","",VLOOKUP(B2537,CadProd!$A:$C,3,0)),"")</f>
        <v/>
      </c>
      <c r="G2537" s="1" t="str">
        <f t="shared" si="39"/>
        <v/>
      </c>
    </row>
    <row r="2538" spans="3:7" x14ac:dyDescent="0.3">
      <c r="C2538" t="str">
        <f>IFERROR(IF(B2538="","",VLOOKUP(B2538,CadProd!$A:$B,2,0)),"")</f>
        <v/>
      </c>
      <c r="D2538" t="str">
        <f>IFERROR(IF(B2538="","",VLOOKUP(B2538,CadProd!$A:$C,3,0)),"")</f>
        <v/>
      </c>
      <c r="G2538" s="1" t="str">
        <f t="shared" si="39"/>
        <v/>
      </c>
    </row>
    <row r="2539" spans="3:7" x14ac:dyDescent="0.3">
      <c r="C2539" t="str">
        <f>IFERROR(IF(B2539="","",VLOOKUP(B2539,CadProd!$A:$B,2,0)),"")</f>
        <v/>
      </c>
      <c r="D2539" t="str">
        <f>IFERROR(IF(B2539="","",VLOOKUP(B2539,CadProd!$A:$C,3,0)),"")</f>
        <v/>
      </c>
      <c r="G2539" s="1" t="str">
        <f t="shared" si="39"/>
        <v/>
      </c>
    </row>
    <row r="2540" spans="3:7" x14ac:dyDescent="0.3">
      <c r="C2540" t="str">
        <f>IFERROR(IF(B2540="","",VLOOKUP(B2540,CadProd!$A:$B,2,0)),"")</f>
        <v/>
      </c>
      <c r="D2540" t="str">
        <f>IFERROR(IF(B2540="","",VLOOKUP(B2540,CadProd!$A:$C,3,0)),"")</f>
        <v/>
      </c>
      <c r="G2540" s="1" t="str">
        <f t="shared" si="39"/>
        <v/>
      </c>
    </row>
    <row r="2541" spans="3:7" x14ac:dyDescent="0.3">
      <c r="C2541" t="str">
        <f>IFERROR(IF(B2541="","",VLOOKUP(B2541,CadProd!$A:$B,2,0)),"")</f>
        <v/>
      </c>
      <c r="D2541" t="str">
        <f>IFERROR(IF(B2541="","",VLOOKUP(B2541,CadProd!$A:$C,3,0)),"")</f>
        <v/>
      </c>
      <c r="G2541" s="1" t="str">
        <f t="shared" si="39"/>
        <v/>
      </c>
    </row>
    <row r="2542" spans="3:7" x14ac:dyDescent="0.3">
      <c r="C2542" t="str">
        <f>IFERROR(IF(B2542="","",VLOOKUP(B2542,CadProd!$A:$B,2,0)),"")</f>
        <v/>
      </c>
      <c r="D2542" t="str">
        <f>IFERROR(IF(B2542="","",VLOOKUP(B2542,CadProd!$A:$C,3,0)),"")</f>
        <v/>
      </c>
      <c r="G2542" s="1" t="str">
        <f t="shared" si="39"/>
        <v/>
      </c>
    </row>
    <row r="2543" spans="3:7" x14ac:dyDescent="0.3">
      <c r="C2543" t="str">
        <f>IFERROR(IF(B2543="","",VLOOKUP(B2543,CadProd!$A:$B,2,0)),"")</f>
        <v/>
      </c>
      <c r="D2543" t="str">
        <f>IFERROR(IF(B2543="","",VLOOKUP(B2543,CadProd!$A:$C,3,0)),"")</f>
        <v/>
      </c>
      <c r="G2543" s="1" t="str">
        <f t="shared" si="39"/>
        <v/>
      </c>
    </row>
    <row r="2544" spans="3:7" x14ac:dyDescent="0.3">
      <c r="C2544" t="str">
        <f>IFERROR(IF(B2544="","",VLOOKUP(B2544,CadProd!$A:$B,2,0)),"")</f>
        <v/>
      </c>
      <c r="D2544" t="str">
        <f>IFERROR(IF(B2544="","",VLOOKUP(B2544,CadProd!$A:$C,3,0)),"")</f>
        <v/>
      </c>
      <c r="G2544" s="1" t="str">
        <f t="shared" si="39"/>
        <v/>
      </c>
    </row>
    <row r="2545" spans="3:7" x14ac:dyDescent="0.3">
      <c r="C2545" t="str">
        <f>IFERROR(IF(B2545="","",VLOOKUP(B2545,CadProd!$A:$B,2,0)),"")</f>
        <v/>
      </c>
      <c r="D2545" t="str">
        <f>IFERROR(IF(B2545="","",VLOOKUP(B2545,CadProd!$A:$C,3,0)),"")</f>
        <v/>
      </c>
      <c r="G2545" s="1" t="str">
        <f t="shared" si="39"/>
        <v/>
      </c>
    </row>
    <row r="2546" spans="3:7" x14ac:dyDescent="0.3">
      <c r="C2546" t="str">
        <f>IFERROR(IF(B2546="","",VLOOKUP(B2546,CadProd!$A:$B,2,0)),"")</f>
        <v/>
      </c>
      <c r="D2546" t="str">
        <f>IFERROR(IF(B2546="","",VLOOKUP(B2546,CadProd!$A:$C,3,0)),"")</f>
        <v/>
      </c>
      <c r="G2546" s="1" t="str">
        <f t="shared" si="39"/>
        <v/>
      </c>
    </row>
    <row r="2547" spans="3:7" x14ac:dyDescent="0.3">
      <c r="C2547" t="str">
        <f>IFERROR(IF(B2547="","",VLOOKUP(B2547,CadProd!$A:$B,2,0)),"")</f>
        <v/>
      </c>
      <c r="D2547" t="str">
        <f>IFERROR(IF(B2547="","",VLOOKUP(B2547,CadProd!$A:$C,3,0)),"")</f>
        <v/>
      </c>
      <c r="G2547" s="1" t="str">
        <f t="shared" si="39"/>
        <v/>
      </c>
    </row>
    <row r="2548" spans="3:7" x14ac:dyDescent="0.3">
      <c r="C2548" t="str">
        <f>IFERROR(IF(B2548="","",VLOOKUP(B2548,CadProd!$A:$B,2,0)),"")</f>
        <v/>
      </c>
      <c r="D2548" t="str">
        <f>IFERROR(IF(B2548="","",VLOOKUP(B2548,CadProd!$A:$C,3,0)),"")</f>
        <v/>
      </c>
      <c r="G2548" s="1" t="str">
        <f t="shared" si="39"/>
        <v/>
      </c>
    </row>
    <row r="2549" spans="3:7" x14ac:dyDescent="0.3">
      <c r="C2549" t="str">
        <f>IFERROR(IF(B2549="","",VLOOKUP(B2549,CadProd!$A:$B,2,0)),"")</f>
        <v/>
      </c>
      <c r="D2549" t="str">
        <f>IFERROR(IF(B2549="","",VLOOKUP(B2549,CadProd!$A:$C,3,0)),"")</f>
        <v/>
      </c>
      <c r="G2549" s="1" t="str">
        <f t="shared" si="39"/>
        <v/>
      </c>
    </row>
    <row r="2550" spans="3:7" x14ac:dyDescent="0.3">
      <c r="C2550" t="str">
        <f>IFERROR(IF(B2550="","",VLOOKUP(B2550,CadProd!$A:$B,2,0)),"")</f>
        <v/>
      </c>
      <c r="D2550" t="str">
        <f>IFERROR(IF(B2550="","",VLOOKUP(B2550,CadProd!$A:$C,3,0)),"")</f>
        <v/>
      </c>
      <c r="G2550" s="1" t="str">
        <f t="shared" si="39"/>
        <v/>
      </c>
    </row>
    <row r="2551" spans="3:7" x14ac:dyDescent="0.3">
      <c r="C2551" t="str">
        <f>IFERROR(IF(B2551="","",VLOOKUP(B2551,CadProd!$A:$B,2,0)),"")</f>
        <v/>
      </c>
      <c r="D2551" t="str">
        <f>IFERROR(IF(B2551="","",VLOOKUP(B2551,CadProd!$A:$C,3,0)),"")</f>
        <v/>
      </c>
      <c r="G2551" s="1" t="str">
        <f t="shared" si="39"/>
        <v/>
      </c>
    </row>
    <row r="2552" spans="3:7" x14ac:dyDescent="0.3">
      <c r="C2552" t="str">
        <f>IFERROR(IF(B2552="","",VLOOKUP(B2552,CadProd!$A:$B,2,0)),"")</f>
        <v/>
      </c>
      <c r="D2552" t="str">
        <f>IFERROR(IF(B2552="","",VLOOKUP(B2552,CadProd!$A:$C,3,0)),"")</f>
        <v/>
      </c>
      <c r="G2552" s="1" t="str">
        <f t="shared" si="39"/>
        <v/>
      </c>
    </row>
    <row r="2553" spans="3:7" x14ac:dyDescent="0.3">
      <c r="C2553" t="str">
        <f>IFERROR(IF(B2553="","",VLOOKUP(B2553,CadProd!$A:$B,2,0)),"")</f>
        <v/>
      </c>
      <c r="D2553" t="str">
        <f>IFERROR(IF(B2553="","",VLOOKUP(B2553,CadProd!$A:$C,3,0)),"")</f>
        <v/>
      </c>
      <c r="G2553" s="1" t="str">
        <f t="shared" si="39"/>
        <v/>
      </c>
    </row>
    <row r="2554" spans="3:7" x14ac:dyDescent="0.3">
      <c r="C2554" t="str">
        <f>IFERROR(IF(B2554="","",VLOOKUP(B2554,CadProd!$A:$B,2,0)),"")</f>
        <v/>
      </c>
      <c r="D2554" t="str">
        <f>IFERROR(IF(B2554="","",VLOOKUP(B2554,CadProd!$A:$C,3,0)),"")</f>
        <v/>
      </c>
      <c r="G2554" s="1" t="str">
        <f t="shared" si="39"/>
        <v/>
      </c>
    </row>
    <row r="2555" spans="3:7" x14ac:dyDescent="0.3">
      <c r="C2555" t="str">
        <f>IFERROR(IF(B2555="","",VLOOKUP(B2555,CadProd!$A:$B,2,0)),"")</f>
        <v/>
      </c>
      <c r="D2555" t="str">
        <f>IFERROR(IF(B2555="","",VLOOKUP(B2555,CadProd!$A:$C,3,0)),"")</f>
        <v/>
      </c>
      <c r="G2555" s="1" t="str">
        <f t="shared" si="39"/>
        <v/>
      </c>
    </row>
    <row r="2556" spans="3:7" x14ac:dyDescent="0.3">
      <c r="C2556" t="str">
        <f>IFERROR(IF(B2556="","",VLOOKUP(B2556,CadProd!$A:$B,2,0)),"")</f>
        <v/>
      </c>
      <c r="D2556" t="str">
        <f>IFERROR(IF(B2556="","",VLOOKUP(B2556,CadProd!$A:$C,3,0)),"")</f>
        <v/>
      </c>
      <c r="G2556" s="1" t="str">
        <f t="shared" si="39"/>
        <v/>
      </c>
    </row>
    <row r="2557" spans="3:7" x14ac:dyDescent="0.3">
      <c r="C2557" t="str">
        <f>IFERROR(IF(B2557="","",VLOOKUP(B2557,CadProd!$A:$B,2,0)),"")</f>
        <v/>
      </c>
      <c r="D2557" t="str">
        <f>IFERROR(IF(B2557="","",VLOOKUP(B2557,CadProd!$A:$C,3,0)),"")</f>
        <v/>
      </c>
      <c r="G2557" s="1" t="str">
        <f t="shared" si="39"/>
        <v/>
      </c>
    </row>
    <row r="2558" spans="3:7" x14ac:dyDescent="0.3">
      <c r="C2558" t="str">
        <f>IFERROR(IF(B2558="","",VLOOKUP(B2558,CadProd!$A:$B,2,0)),"")</f>
        <v/>
      </c>
      <c r="D2558" t="str">
        <f>IFERROR(IF(B2558="","",VLOOKUP(B2558,CadProd!$A:$C,3,0)),"")</f>
        <v/>
      </c>
      <c r="G2558" s="1" t="str">
        <f t="shared" si="39"/>
        <v/>
      </c>
    </row>
    <row r="2559" spans="3:7" x14ac:dyDescent="0.3">
      <c r="C2559" t="str">
        <f>IFERROR(IF(B2559="","",VLOOKUP(B2559,CadProd!$A:$B,2,0)),"")</f>
        <v/>
      </c>
      <c r="D2559" t="str">
        <f>IFERROR(IF(B2559="","",VLOOKUP(B2559,CadProd!$A:$C,3,0)),"")</f>
        <v/>
      </c>
      <c r="G2559" s="1" t="str">
        <f t="shared" si="39"/>
        <v/>
      </c>
    </row>
    <row r="2560" spans="3:7" x14ac:dyDescent="0.3">
      <c r="C2560" t="str">
        <f>IFERROR(IF(B2560="","",VLOOKUP(B2560,CadProd!$A:$B,2,0)),"")</f>
        <v/>
      </c>
      <c r="D2560" t="str">
        <f>IFERROR(IF(B2560="","",VLOOKUP(B2560,CadProd!$A:$C,3,0)),"")</f>
        <v/>
      </c>
      <c r="G2560" s="1" t="str">
        <f t="shared" si="39"/>
        <v/>
      </c>
    </row>
    <row r="2561" spans="3:7" x14ac:dyDescent="0.3">
      <c r="C2561" t="str">
        <f>IFERROR(IF(B2561="","",VLOOKUP(B2561,CadProd!$A:$B,2,0)),"")</f>
        <v/>
      </c>
      <c r="D2561" t="str">
        <f>IFERROR(IF(B2561="","",VLOOKUP(B2561,CadProd!$A:$C,3,0)),"")</f>
        <v/>
      </c>
      <c r="G2561" s="1" t="str">
        <f t="shared" si="39"/>
        <v/>
      </c>
    </row>
    <row r="2562" spans="3:7" x14ac:dyDescent="0.3">
      <c r="C2562" t="str">
        <f>IFERROR(IF(B2562="","",VLOOKUP(B2562,CadProd!$A:$B,2,0)),"")</f>
        <v/>
      </c>
      <c r="D2562" t="str">
        <f>IFERROR(IF(B2562="","",VLOOKUP(B2562,CadProd!$A:$C,3,0)),"")</f>
        <v/>
      </c>
      <c r="G2562" s="1" t="str">
        <f t="shared" ref="G2562:G2625" si="40">IFERROR(IF(B2562="","",F2562*E2562),"")</f>
        <v/>
      </c>
    </row>
    <row r="2563" spans="3:7" x14ac:dyDescent="0.3">
      <c r="C2563" t="str">
        <f>IFERROR(IF(B2563="","",VLOOKUP(B2563,CadProd!$A:$B,2,0)),"")</f>
        <v/>
      </c>
      <c r="D2563" t="str">
        <f>IFERROR(IF(B2563="","",VLOOKUP(B2563,CadProd!$A:$C,3,0)),"")</f>
        <v/>
      </c>
      <c r="G2563" s="1" t="str">
        <f t="shared" si="40"/>
        <v/>
      </c>
    </row>
    <row r="2564" spans="3:7" x14ac:dyDescent="0.3">
      <c r="C2564" t="str">
        <f>IFERROR(IF(B2564="","",VLOOKUP(B2564,CadProd!$A:$B,2,0)),"")</f>
        <v/>
      </c>
      <c r="D2564" t="str">
        <f>IFERROR(IF(B2564="","",VLOOKUP(B2564,CadProd!$A:$C,3,0)),"")</f>
        <v/>
      </c>
      <c r="G2564" s="1" t="str">
        <f t="shared" si="40"/>
        <v/>
      </c>
    </row>
    <row r="2565" spans="3:7" x14ac:dyDescent="0.3">
      <c r="C2565" t="str">
        <f>IFERROR(IF(B2565="","",VLOOKUP(B2565,CadProd!$A:$B,2,0)),"")</f>
        <v/>
      </c>
      <c r="D2565" t="str">
        <f>IFERROR(IF(B2565="","",VLOOKUP(B2565,CadProd!$A:$C,3,0)),"")</f>
        <v/>
      </c>
      <c r="G2565" s="1" t="str">
        <f t="shared" si="40"/>
        <v/>
      </c>
    </row>
    <row r="2566" spans="3:7" x14ac:dyDescent="0.3">
      <c r="C2566" t="str">
        <f>IFERROR(IF(B2566="","",VLOOKUP(B2566,CadProd!$A:$B,2,0)),"")</f>
        <v/>
      </c>
      <c r="D2566" t="str">
        <f>IFERROR(IF(B2566="","",VLOOKUP(B2566,CadProd!$A:$C,3,0)),"")</f>
        <v/>
      </c>
      <c r="G2566" s="1" t="str">
        <f t="shared" si="40"/>
        <v/>
      </c>
    </row>
    <row r="2567" spans="3:7" x14ac:dyDescent="0.3">
      <c r="C2567" t="str">
        <f>IFERROR(IF(B2567="","",VLOOKUP(B2567,CadProd!$A:$B,2,0)),"")</f>
        <v/>
      </c>
      <c r="D2567" t="str">
        <f>IFERROR(IF(B2567="","",VLOOKUP(B2567,CadProd!$A:$C,3,0)),"")</f>
        <v/>
      </c>
      <c r="G2567" s="1" t="str">
        <f t="shared" si="40"/>
        <v/>
      </c>
    </row>
    <row r="2568" spans="3:7" x14ac:dyDescent="0.3">
      <c r="C2568" t="str">
        <f>IFERROR(IF(B2568="","",VLOOKUP(B2568,CadProd!$A:$B,2,0)),"")</f>
        <v/>
      </c>
      <c r="D2568" t="str">
        <f>IFERROR(IF(B2568="","",VLOOKUP(B2568,CadProd!$A:$C,3,0)),"")</f>
        <v/>
      </c>
      <c r="G2568" s="1" t="str">
        <f t="shared" si="40"/>
        <v/>
      </c>
    </row>
    <row r="2569" spans="3:7" x14ac:dyDescent="0.3">
      <c r="C2569" t="str">
        <f>IFERROR(IF(B2569="","",VLOOKUP(B2569,CadProd!$A:$B,2,0)),"")</f>
        <v/>
      </c>
      <c r="D2569" t="str">
        <f>IFERROR(IF(B2569="","",VLOOKUP(B2569,CadProd!$A:$C,3,0)),"")</f>
        <v/>
      </c>
      <c r="G2569" s="1" t="str">
        <f t="shared" si="40"/>
        <v/>
      </c>
    </row>
    <row r="2570" spans="3:7" x14ac:dyDescent="0.3">
      <c r="C2570" t="str">
        <f>IFERROR(IF(B2570="","",VLOOKUP(B2570,CadProd!$A:$B,2,0)),"")</f>
        <v/>
      </c>
      <c r="D2570" t="str">
        <f>IFERROR(IF(B2570="","",VLOOKUP(B2570,CadProd!$A:$C,3,0)),"")</f>
        <v/>
      </c>
      <c r="G2570" s="1" t="str">
        <f t="shared" si="40"/>
        <v/>
      </c>
    </row>
    <row r="2571" spans="3:7" x14ac:dyDescent="0.3">
      <c r="C2571" t="str">
        <f>IFERROR(IF(B2571="","",VLOOKUP(B2571,CadProd!$A:$B,2,0)),"")</f>
        <v/>
      </c>
      <c r="D2571" t="str">
        <f>IFERROR(IF(B2571="","",VLOOKUP(B2571,CadProd!$A:$C,3,0)),"")</f>
        <v/>
      </c>
      <c r="G2571" s="1" t="str">
        <f t="shared" si="40"/>
        <v/>
      </c>
    </row>
    <row r="2572" spans="3:7" x14ac:dyDescent="0.3">
      <c r="C2572" t="str">
        <f>IFERROR(IF(B2572="","",VLOOKUP(B2572,CadProd!$A:$B,2,0)),"")</f>
        <v/>
      </c>
      <c r="D2572" t="str">
        <f>IFERROR(IF(B2572="","",VLOOKUP(B2572,CadProd!$A:$C,3,0)),"")</f>
        <v/>
      </c>
      <c r="G2572" s="1" t="str">
        <f t="shared" si="40"/>
        <v/>
      </c>
    </row>
    <row r="2573" spans="3:7" x14ac:dyDescent="0.3">
      <c r="C2573" t="str">
        <f>IFERROR(IF(B2573="","",VLOOKUP(B2573,CadProd!$A:$B,2,0)),"")</f>
        <v/>
      </c>
      <c r="D2573" t="str">
        <f>IFERROR(IF(B2573="","",VLOOKUP(B2573,CadProd!$A:$C,3,0)),"")</f>
        <v/>
      </c>
      <c r="G2573" s="1" t="str">
        <f t="shared" si="40"/>
        <v/>
      </c>
    </row>
    <row r="2574" spans="3:7" x14ac:dyDescent="0.3">
      <c r="C2574" t="str">
        <f>IFERROR(IF(B2574="","",VLOOKUP(B2574,CadProd!$A:$B,2,0)),"")</f>
        <v/>
      </c>
      <c r="D2574" t="str">
        <f>IFERROR(IF(B2574="","",VLOOKUP(B2574,CadProd!$A:$C,3,0)),"")</f>
        <v/>
      </c>
      <c r="G2574" s="1" t="str">
        <f t="shared" si="40"/>
        <v/>
      </c>
    </row>
    <row r="2575" spans="3:7" x14ac:dyDescent="0.3">
      <c r="C2575" t="str">
        <f>IFERROR(IF(B2575="","",VLOOKUP(B2575,CadProd!$A:$B,2,0)),"")</f>
        <v/>
      </c>
      <c r="D2575" t="str">
        <f>IFERROR(IF(B2575="","",VLOOKUP(B2575,CadProd!$A:$C,3,0)),"")</f>
        <v/>
      </c>
      <c r="G2575" s="1" t="str">
        <f t="shared" si="40"/>
        <v/>
      </c>
    </row>
    <row r="2576" spans="3:7" x14ac:dyDescent="0.3">
      <c r="C2576" t="str">
        <f>IFERROR(IF(B2576="","",VLOOKUP(B2576,CadProd!$A:$B,2,0)),"")</f>
        <v/>
      </c>
      <c r="D2576" t="str">
        <f>IFERROR(IF(B2576="","",VLOOKUP(B2576,CadProd!$A:$C,3,0)),"")</f>
        <v/>
      </c>
      <c r="G2576" s="1" t="str">
        <f t="shared" si="40"/>
        <v/>
      </c>
    </row>
    <row r="2577" spans="3:7" x14ac:dyDescent="0.3">
      <c r="C2577" t="str">
        <f>IFERROR(IF(B2577="","",VLOOKUP(B2577,CadProd!$A:$B,2,0)),"")</f>
        <v/>
      </c>
      <c r="D2577" t="str">
        <f>IFERROR(IF(B2577="","",VLOOKUP(B2577,CadProd!$A:$C,3,0)),"")</f>
        <v/>
      </c>
      <c r="G2577" s="1" t="str">
        <f t="shared" si="40"/>
        <v/>
      </c>
    </row>
    <row r="2578" spans="3:7" x14ac:dyDescent="0.3">
      <c r="C2578" t="str">
        <f>IFERROR(IF(B2578="","",VLOOKUP(B2578,CadProd!$A:$B,2,0)),"")</f>
        <v/>
      </c>
      <c r="D2578" t="str">
        <f>IFERROR(IF(B2578="","",VLOOKUP(B2578,CadProd!$A:$C,3,0)),"")</f>
        <v/>
      </c>
      <c r="G2578" s="1" t="str">
        <f t="shared" si="40"/>
        <v/>
      </c>
    </row>
    <row r="2579" spans="3:7" x14ac:dyDescent="0.3">
      <c r="C2579" t="str">
        <f>IFERROR(IF(B2579="","",VLOOKUP(B2579,CadProd!$A:$B,2,0)),"")</f>
        <v/>
      </c>
      <c r="D2579" t="str">
        <f>IFERROR(IF(B2579="","",VLOOKUP(B2579,CadProd!$A:$C,3,0)),"")</f>
        <v/>
      </c>
      <c r="G2579" s="1" t="str">
        <f t="shared" si="40"/>
        <v/>
      </c>
    </row>
    <row r="2580" spans="3:7" x14ac:dyDescent="0.3">
      <c r="C2580" t="str">
        <f>IFERROR(IF(B2580="","",VLOOKUP(B2580,CadProd!$A:$B,2,0)),"")</f>
        <v/>
      </c>
      <c r="D2580" t="str">
        <f>IFERROR(IF(B2580="","",VLOOKUP(B2580,CadProd!$A:$C,3,0)),"")</f>
        <v/>
      </c>
      <c r="G2580" s="1" t="str">
        <f t="shared" si="40"/>
        <v/>
      </c>
    </row>
    <row r="2581" spans="3:7" x14ac:dyDescent="0.3">
      <c r="C2581" t="str">
        <f>IFERROR(IF(B2581="","",VLOOKUP(B2581,CadProd!$A:$B,2,0)),"")</f>
        <v/>
      </c>
      <c r="D2581" t="str">
        <f>IFERROR(IF(B2581="","",VLOOKUP(B2581,CadProd!$A:$C,3,0)),"")</f>
        <v/>
      </c>
      <c r="G2581" s="1" t="str">
        <f t="shared" si="40"/>
        <v/>
      </c>
    </row>
    <row r="2582" spans="3:7" x14ac:dyDescent="0.3">
      <c r="C2582" t="str">
        <f>IFERROR(IF(B2582="","",VLOOKUP(B2582,CadProd!$A:$B,2,0)),"")</f>
        <v/>
      </c>
      <c r="D2582" t="str">
        <f>IFERROR(IF(B2582="","",VLOOKUP(B2582,CadProd!$A:$C,3,0)),"")</f>
        <v/>
      </c>
      <c r="G2582" s="1" t="str">
        <f t="shared" si="40"/>
        <v/>
      </c>
    </row>
    <row r="2583" spans="3:7" x14ac:dyDescent="0.3">
      <c r="C2583" t="str">
        <f>IFERROR(IF(B2583="","",VLOOKUP(B2583,CadProd!$A:$B,2,0)),"")</f>
        <v/>
      </c>
      <c r="D2583" t="str">
        <f>IFERROR(IF(B2583="","",VLOOKUP(B2583,CadProd!$A:$C,3,0)),"")</f>
        <v/>
      </c>
      <c r="G2583" s="1" t="str">
        <f t="shared" si="40"/>
        <v/>
      </c>
    </row>
    <row r="2584" spans="3:7" x14ac:dyDescent="0.3">
      <c r="C2584" t="str">
        <f>IFERROR(IF(B2584="","",VLOOKUP(B2584,CadProd!$A:$B,2,0)),"")</f>
        <v/>
      </c>
      <c r="D2584" t="str">
        <f>IFERROR(IF(B2584="","",VLOOKUP(B2584,CadProd!$A:$C,3,0)),"")</f>
        <v/>
      </c>
      <c r="G2584" s="1" t="str">
        <f t="shared" si="40"/>
        <v/>
      </c>
    </row>
    <row r="2585" spans="3:7" x14ac:dyDescent="0.3">
      <c r="C2585" t="str">
        <f>IFERROR(IF(B2585="","",VLOOKUP(B2585,CadProd!$A:$B,2,0)),"")</f>
        <v/>
      </c>
      <c r="D2585" t="str">
        <f>IFERROR(IF(B2585="","",VLOOKUP(B2585,CadProd!$A:$C,3,0)),"")</f>
        <v/>
      </c>
      <c r="G2585" s="1" t="str">
        <f t="shared" si="40"/>
        <v/>
      </c>
    </row>
    <row r="2586" spans="3:7" x14ac:dyDescent="0.3">
      <c r="C2586" t="str">
        <f>IFERROR(IF(B2586="","",VLOOKUP(B2586,CadProd!$A:$B,2,0)),"")</f>
        <v/>
      </c>
      <c r="D2586" t="str">
        <f>IFERROR(IF(B2586="","",VLOOKUP(B2586,CadProd!$A:$C,3,0)),"")</f>
        <v/>
      </c>
      <c r="G2586" s="1" t="str">
        <f t="shared" si="40"/>
        <v/>
      </c>
    </row>
    <row r="2587" spans="3:7" x14ac:dyDescent="0.3">
      <c r="C2587" t="str">
        <f>IFERROR(IF(B2587="","",VLOOKUP(B2587,CadProd!$A:$B,2,0)),"")</f>
        <v/>
      </c>
      <c r="D2587" t="str">
        <f>IFERROR(IF(B2587="","",VLOOKUP(B2587,CadProd!$A:$C,3,0)),"")</f>
        <v/>
      </c>
      <c r="G2587" s="1" t="str">
        <f t="shared" si="40"/>
        <v/>
      </c>
    </row>
    <row r="2588" spans="3:7" x14ac:dyDescent="0.3">
      <c r="C2588" t="str">
        <f>IFERROR(IF(B2588="","",VLOOKUP(B2588,CadProd!$A:$B,2,0)),"")</f>
        <v/>
      </c>
      <c r="D2588" t="str">
        <f>IFERROR(IF(B2588="","",VLOOKUP(B2588,CadProd!$A:$C,3,0)),"")</f>
        <v/>
      </c>
      <c r="G2588" s="1" t="str">
        <f t="shared" si="40"/>
        <v/>
      </c>
    </row>
    <row r="2589" spans="3:7" x14ac:dyDescent="0.3">
      <c r="C2589" t="str">
        <f>IFERROR(IF(B2589="","",VLOOKUP(B2589,CadProd!$A:$B,2,0)),"")</f>
        <v/>
      </c>
      <c r="D2589" t="str">
        <f>IFERROR(IF(B2589="","",VLOOKUP(B2589,CadProd!$A:$C,3,0)),"")</f>
        <v/>
      </c>
      <c r="G2589" s="1" t="str">
        <f t="shared" si="40"/>
        <v/>
      </c>
    </row>
    <row r="2590" spans="3:7" x14ac:dyDescent="0.3">
      <c r="C2590" t="str">
        <f>IFERROR(IF(B2590="","",VLOOKUP(B2590,CadProd!$A:$B,2,0)),"")</f>
        <v/>
      </c>
      <c r="D2590" t="str">
        <f>IFERROR(IF(B2590="","",VLOOKUP(B2590,CadProd!$A:$C,3,0)),"")</f>
        <v/>
      </c>
      <c r="G2590" s="1" t="str">
        <f t="shared" si="40"/>
        <v/>
      </c>
    </row>
    <row r="2591" spans="3:7" x14ac:dyDescent="0.3">
      <c r="C2591" t="str">
        <f>IFERROR(IF(B2591="","",VLOOKUP(B2591,CadProd!$A:$B,2,0)),"")</f>
        <v/>
      </c>
      <c r="D2591" t="str">
        <f>IFERROR(IF(B2591="","",VLOOKUP(B2591,CadProd!$A:$C,3,0)),"")</f>
        <v/>
      </c>
      <c r="G2591" s="1" t="str">
        <f t="shared" si="40"/>
        <v/>
      </c>
    </row>
    <row r="2592" spans="3:7" x14ac:dyDescent="0.3">
      <c r="C2592" t="str">
        <f>IFERROR(IF(B2592="","",VLOOKUP(B2592,CadProd!$A:$B,2,0)),"")</f>
        <v/>
      </c>
      <c r="D2592" t="str">
        <f>IFERROR(IF(B2592="","",VLOOKUP(B2592,CadProd!$A:$C,3,0)),"")</f>
        <v/>
      </c>
      <c r="G2592" s="1" t="str">
        <f t="shared" si="40"/>
        <v/>
      </c>
    </row>
    <row r="2593" spans="3:7" x14ac:dyDescent="0.3">
      <c r="C2593" t="str">
        <f>IFERROR(IF(B2593="","",VLOOKUP(B2593,CadProd!$A:$B,2,0)),"")</f>
        <v/>
      </c>
      <c r="D2593" t="str">
        <f>IFERROR(IF(B2593="","",VLOOKUP(B2593,CadProd!$A:$C,3,0)),"")</f>
        <v/>
      </c>
      <c r="G2593" s="1" t="str">
        <f t="shared" si="40"/>
        <v/>
      </c>
    </row>
    <row r="2594" spans="3:7" x14ac:dyDescent="0.3">
      <c r="C2594" t="str">
        <f>IFERROR(IF(B2594="","",VLOOKUP(B2594,CadProd!$A:$B,2,0)),"")</f>
        <v/>
      </c>
      <c r="D2594" t="str">
        <f>IFERROR(IF(B2594="","",VLOOKUP(B2594,CadProd!$A:$C,3,0)),"")</f>
        <v/>
      </c>
      <c r="G2594" s="1" t="str">
        <f t="shared" si="40"/>
        <v/>
      </c>
    </row>
    <row r="2595" spans="3:7" x14ac:dyDescent="0.3">
      <c r="C2595" t="str">
        <f>IFERROR(IF(B2595="","",VLOOKUP(B2595,CadProd!$A:$B,2,0)),"")</f>
        <v/>
      </c>
      <c r="D2595" t="str">
        <f>IFERROR(IF(B2595="","",VLOOKUP(B2595,CadProd!$A:$C,3,0)),"")</f>
        <v/>
      </c>
      <c r="G2595" s="1" t="str">
        <f t="shared" si="40"/>
        <v/>
      </c>
    </row>
    <row r="2596" spans="3:7" x14ac:dyDescent="0.3">
      <c r="C2596" t="str">
        <f>IFERROR(IF(B2596="","",VLOOKUP(B2596,CadProd!$A:$B,2,0)),"")</f>
        <v/>
      </c>
      <c r="D2596" t="str">
        <f>IFERROR(IF(B2596="","",VLOOKUP(B2596,CadProd!$A:$C,3,0)),"")</f>
        <v/>
      </c>
      <c r="G2596" s="1" t="str">
        <f t="shared" si="40"/>
        <v/>
      </c>
    </row>
    <row r="2597" spans="3:7" x14ac:dyDescent="0.3">
      <c r="C2597" t="str">
        <f>IFERROR(IF(B2597="","",VLOOKUP(B2597,CadProd!$A:$B,2,0)),"")</f>
        <v/>
      </c>
      <c r="D2597" t="str">
        <f>IFERROR(IF(B2597="","",VLOOKUP(B2597,CadProd!$A:$C,3,0)),"")</f>
        <v/>
      </c>
      <c r="G2597" s="1" t="str">
        <f t="shared" si="40"/>
        <v/>
      </c>
    </row>
    <row r="2598" spans="3:7" x14ac:dyDescent="0.3">
      <c r="C2598" t="str">
        <f>IFERROR(IF(B2598="","",VLOOKUP(B2598,CadProd!$A:$B,2,0)),"")</f>
        <v/>
      </c>
      <c r="D2598" t="str">
        <f>IFERROR(IF(B2598="","",VLOOKUP(B2598,CadProd!$A:$C,3,0)),"")</f>
        <v/>
      </c>
      <c r="G2598" s="1" t="str">
        <f t="shared" si="40"/>
        <v/>
      </c>
    </row>
    <row r="2599" spans="3:7" x14ac:dyDescent="0.3">
      <c r="C2599" t="str">
        <f>IFERROR(IF(B2599="","",VLOOKUP(B2599,CadProd!$A:$B,2,0)),"")</f>
        <v/>
      </c>
      <c r="D2599" t="str">
        <f>IFERROR(IF(B2599="","",VLOOKUP(B2599,CadProd!$A:$C,3,0)),"")</f>
        <v/>
      </c>
      <c r="G2599" s="1" t="str">
        <f t="shared" si="40"/>
        <v/>
      </c>
    </row>
    <row r="2600" spans="3:7" x14ac:dyDescent="0.3">
      <c r="C2600" t="str">
        <f>IFERROR(IF(B2600="","",VLOOKUP(B2600,CadProd!$A:$B,2,0)),"")</f>
        <v/>
      </c>
      <c r="D2600" t="str">
        <f>IFERROR(IF(B2600="","",VLOOKUP(B2600,CadProd!$A:$C,3,0)),"")</f>
        <v/>
      </c>
      <c r="G2600" s="1" t="str">
        <f t="shared" si="40"/>
        <v/>
      </c>
    </row>
    <row r="2601" spans="3:7" x14ac:dyDescent="0.3">
      <c r="C2601" t="str">
        <f>IFERROR(IF(B2601="","",VLOOKUP(B2601,CadProd!$A:$B,2,0)),"")</f>
        <v/>
      </c>
      <c r="D2601" t="str">
        <f>IFERROR(IF(B2601="","",VLOOKUP(B2601,CadProd!$A:$C,3,0)),"")</f>
        <v/>
      </c>
      <c r="G2601" s="1" t="str">
        <f t="shared" si="40"/>
        <v/>
      </c>
    </row>
    <row r="2602" spans="3:7" x14ac:dyDescent="0.3">
      <c r="C2602" t="str">
        <f>IFERROR(IF(B2602="","",VLOOKUP(B2602,CadProd!$A:$B,2,0)),"")</f>
        <v/>
      </c>
      <c r="D2602" t="str">
        <f>IFERROR(IF(B2602="","",VLOOKUP(B2602,CadProd!$A:$C,3,0)),"")</f>
        <v/>
      </c>
      <c r="G2602" s="1" t="str">
        <f t="shared" si="40"/>
        <v/>
      </c>
    </row>
    <row r="2603" spans="3:7" x14ac:dyDescent="0.3">
      <c r="C2603" t="str">
        <f>IFERROR(IF(B2603="","",VLOOKUP(B2603,CadProd!$A:$B,2,0)),"")</f>
        <v/>
      </c>
      <c r="D2603" t="str">
        <f>IFERROR(IF(B2603="","",VLOOKUP(B2603,CadProd!$A:$C,3,0)),"")</f>
        <v/>
      </c>
      <c r="G2603" s="1" t="str">
        <f t="shared" si="40"/>
        <v/>
      </c>
    </row>
    <row r="2604" spans="3:7" x14ac:dyDescent="0.3">
      <c r="C2604" t="str">
        <f>IFERROR(IF(B2604="","",VLOOKUP(B2604,CadProd!$A:$B,2,0)),"")</f>
        <v/>
      </c>
      <c r="D2604" t="str">
        <f>IFERROR(IF(B2604="","",VLOOKUP(B2604,CadProd!$A:$C,3,0)),"")</f>
        <v/>
      </c>
      <c r="G2604" s="1" t="str">
        <f t="shared" si="40"/>
        <v/>
      </c>
    </row>
    <row r="2605" spans="3:7" x14ac:dyDescent="0.3">
      <c r="C2605" t="str">
        <f>IFERROR(IF(B2605="","",VLOOKUP(B2605,CadProd!$A:$B,2,0)),"")</f>
        <v/>
      </c>
      <c r="D2605" t="str">
        <f>IFERROR(IF(B2605="","",VLOOKUP(B2605,CadProd!$A:$C,3,0)),"")</f>
        <v/>
      </c>
      <c r="G2605" s="1" t="str">
        <f t="shared" si="40"/>
        <v/>
      </c>
    </row>
    <row r="2606" spans="3:7" x14ac:dyDescent="0.3">
      <c r="C2606" t="str">
        <f>IFERROR(IF(B2606="","",VLOOKUP(B2606,CadProd!$A:$B,2,0)),"")</f>
        <v/>
      </c>
      <c r="D2606" t="str">
        <f>IFERROR(IF(B2606="","",VLOOKUP(B2606,CadProd!$A:$C,3,0)),"")</f>
        <v/>
      </c>
      <c r="G2606" s="1" t="str">
        <f t="shared" si="40"/>
        <v/>
      </c>
    </row>
    <row r="2607" spans="3:7" x14ac:dyDescent="0.3">
      <c r="C2607" t="str">
        <f>IFERROR(IF(B2607="","",VLOOKUP(B2607,CadProd!$A:$B,2,0)),"")</f>
        <v/>
      </c>
      <c r="D2607" t="str">
        <f>IFERROR(IF(B2607="","",VLOOKUP(B2607,CadProd!$A:$C,3,0)),"")</f>
        <v/>
      </c>
      <c r="G2607" s="1" t="str">
        <f t="shared" si="40"/>
        <v/>
      </c>
    </row>
    <row r="2608" spans="3:7" x14ac:dyDescent="0.3">
      <c r="C2608" t="str">
        <f>IFERROR(IF(B2608="","",VLOOKUP(B2608,CadProd!$A:$B,2,0)),"")</f>
        <v/>
      </c>
      <c r="D2608" t="str">
        <f>IFERROR(IF(B2608="","",VLOOKUP(B2608,CadProd!$A:$C,3,0)),"")</f>
        <v/>
      </c>
      <c r="G2608" s="1" t="str">
        <f t="shared" si="40"/>
        <v/>
      </c>
    </row>
    <row r="2609" spans="3:7" x14ac:dyDescent="0.3">
      <c r="C2609" t="str">
        <f>IFERROR(IF(B2609="","",VLOOKUP(B2609,CadProd!$A:$B,2,0)),"")</f>
        <v/>
      </c>
      <c r="D2609" t="str">
        <f>IFERROR(IF(B2609="","",VLOOKUP(B2609,CadProd!$A:$C,3,0)),"")</f>
        <v/>
      </c>
      <c r="G2609" s="1" t="str">
        <f t="shared" si="40"/>
        <v/>
      </c>
    </row>
    <row r="2610" spans="3:7" x14ac:dyDescent="0.3">
      <c r="C2610" t="str">
        <f>IFERROR(IF(B2610="","",VLOOKUP(B2610,CadProd!$A:$B,2,0)),"")</f>
        <v/>
      </c>
      <c r="D2610" t="str">
        <f>IFERROR(IF(B2610="","",VLOOKUP(B2610,CadProd!$A:$C,3,0)),"")</f>
        <v/>
      </c>
      <c r="G2610" s="1" t="str">
        <f t="shared" si="40"/>
        <v/>
      </c>
    </row>
    <row r="2611" spans="3:7" x14ac:dyDescent="0.3">
      <c r="C2611" t="str">
        <f>IFERROR(IF(B2611="","",VLOOKUP(B2611,CadProd!$A:$B,2,0)),"")</f>
        <v/>
      </c>
      <c r="D2611" t="str">
        <f>IFERROR(IF(B2611="","",VLOOKUP(B2611,CadProd!$A:$C,3,0)),"")</f>
        <v/>
      </c>
      <c r="G2611" s="1" t="str">
        <f t="shared" si="40"/>
        <v/>
      </c>
    </row>
    <row r="2612" spans="3:7" x14ac:dyDescent="0.3">
      <c r="C2612" t="str">
        <f>IFERROR(IF(B2612="","",VLOOKUP(B2612,CadProd!$A:$B,2,0)),"")</f>
        <v/>
      </c>
      <c r="D2612" t="str">
        <f>IFERROR(IF(B2612="","",VLOOKUP(B2612,CadProd!$A:$C,3,0)),"")</f>
        <v/>
      </c>
      <c r="G2612" s="1" t="str">
        <f t="shared" si="40"/>
        <v/>
      </c>
    </row>
    <row r="2613" spans="3:7" x14ac:dyDescent="0.3">
      <c r="C2613" t="str">
        <f>IFERROR(IF(B2613="","",VLOOKUP(B2613,CadProd!$A:$B,2,0)),"")</f>
        <v/>
      </c>
      <c r="D2613" t="str">
        <f>IFERROR(IF(B2613="","",VLOOKUP(B2613,CadProd!$A:$C,3,0)),"")</f>
        <v/>
      </c>
      <c r="G2613" s="1" t="str">
        <f t="shared" si="40"/>
        <v/>
      </c>
    </row>
    <row r="2614" spans="3:7" x14ac:dyDescent="0.3">
      <c r="C2614" t="str">
        <f>IFERROR(IF(B2614="","",VLOOKUP(B2614,CadProd!$A:$B,2,0)),"")</f>
        <v/>
      </c>
      <c r="D2614" t="str">
        <f>IFERROR(IF(B2614="","",VLOOKUP(B2614,CadProd!$A:$C,3,0)),"")</f>
        <v/>
      </c>
      <c r="G2614" s="1" t="str">
        <f t="shared" si="40"/>
        <v/>
      </c>
    </row>
    <row r="2615" spans="3:7" x14ac:dyDescent="0.3">
      <c r="C2615" t="str">
        <f>IFERROR(IF(B2615="","",VLOOKUP(B2615,CadProd!$A:$B,2,0)),"")</f>
        <v/>
      </c>
      <c r="D2615" t="str">
        <f>IFERROR(IF(B2615="","",VLOOKUP(B2615,CadProd!$A:$C,3,0)),"")</f>
        <v/>
      </c>
      <c r="G2615" s="1" t="str">
        <f t="shared" si="40"/>
        <v/>
      </c>
    </row>
    <row r="2616" spans="3:7" x14ac:dyDescent="0.3">
      <c r="C2616" t="str">
        <f>IFERROR(IF(B2616="","",VLOOKUP(B2616,CadProd!$A:$B,2,0)),"")</f>
        <v/>
      </c>
      <c r="D2616" t="str">
        <f>IFERROR(IF(B2616="","",VLOOKUP(B2616,CadProd!$A:$C,3,0)),"")</f>
        <v/>
      </c>
      <c r="G2616" s="1" t="str">
        <f t="shared" si="40"/>
        <v/>
      </c>
    </row>
    <row r="2617" spans="3:7" x14ac:dyDescent="0.3">
      <c r="C2617" t="str">
        <f>IFERROR(IF(B2617="","",VLOOKUP(B2617,CadProd!$A:$B,2,0)),"")</f>
        <v/>
      </c>
      <c r="D2617" t="str">
        <f>IFERROR(IF(B2617="","",VLOOKUP(B2617,CadProd!$A:$C,3,0)),"")</f>
        <v/>
      </c>
      <c r="G2617" s="1" t="str">
        <f t="shared" si="40"/>
        <v/>
      </c>
    </row>
    <row r="2618" spans="3:7" x14ac:dyDescent="0.3">
      <c r="C2618" t="str">
        <f>IFERROR(IF(B2618="","",VLOOKUP(B2618,CadProd!$A:$B,2,0)),"")</f>
        <v/>
      </c>
      <c r="D2618" t="str">
        <f>IFERROR(IF(B2618="","",VLOOKUP(B2618,CadProd!$A:$C,3,0)),"")</f>
        <v/>
      </c>
      <c r="G2618" s="1" t="str">
        <f t="shared" si="40"/>
        <v/>
      </c>
    </row>
    <row r="2619" spans="3:7" x14ac:dyDescent="0.3">
      <c r="C2619" t="str">
        <f>IFERROR(IF(B2619="","",VLOOKUP(B2619,CadProd!$A:$B,2,0)),"")</f>
        <v/>
      </c>
      <c r="D2619" t="str">
        <f>IFERROR(IF(B2619="","",VLOOKUP(B2619,CadProd!$A:$C,3,0)),"")</f>
        <v/>
      </c>
      <c r="G2619" s="1" t="str">
        <f t="shared" si="40"/>
        <v/>
      </c>
    </row>
    <row r="2620" spans="3:7" x14ac:dyDescent="0.3">
      <c r="C2620" t="str">
        <f>IFERROR(IF(B2620="","",VLOOKUP(B2620,CadProd!$A:$B,2,0)),"")</f>
        <v/>
      </c>
      <c r="D2620" t="str">
        <f>IFERROR(IF(B2620="","",VLOOKUP(B2620,CadProd!$A:$C,3,0)),"")</f>
        <v/>
      </c>
      <c r="G2620" s="1" t="str">
        <f t="shared" si="40"/>
        <v/>
      </c>
    </row>
    <row r="2621" spans="3:7" x14ac:dyDescent="0.3">
      <c r="C2621" t="str">
        <f>IFERROR(IF(B2621="","",VLOOKUP(B2621,CadProd!$A:$B,2,0)),"")</f>
        <v/>
      </c>
      <c r="D2621" t="str">
        <f>IFERROR(IF(B2621="","",VLOOKUP(B2621,CadProd!$A:$C,3,0)),"")</f>
        <v/>
      </c>
      <c r="G2621" s="1" t="str">
        <f t="shared" si="40"/>
        <v/>
      </c>
    </row>
    <row r="2622" spans="3:7" x14ac:dyDescent="0.3">
      <c r="C2622" t="str">
        <f>IFERROR(IF(B2622="","",VLOOKUP(B2622,CadProd!$A:$B,2,0)),"")</f>
        <v/>
      </c>
      <c r="D2622" t="str">
        <f>IFERROR(IF(B2622="","",VLOOKUP(B2622,CadProd!$A:$C,3,0)),"")</f>
        <v/>
      </c>
      <c r="G2622" s="1" t="str">
        <f t="shared" si="40"/>
        <v/>
      </c>
    </row>
    <row r="2623" spans="3:7" x14ac:dyDescent="0.3">
      <c r="C2623" t="str">
        <f>IFERROR(IF(B2623="","",VLOOKUP(B2623,CadProd!$A:$B,2,0)),"")</f>
        <v/>
      </c>
      <c r="D2623" t="str">
        <f>IFERROR(IF(B2623="","",VLOOKUP(B2623,CadProd!$A:$C,3,0)),"")</f>
        <v/>
      </c>
      <c r="G2623" s="1" t="str">
        <f t="shared" si="40"/>
        <v/>
      </c>
    </row>
    <row r="2624" spans="3:7" x14ac:dyDescent="0.3">
      <c r="C2624" t="str">
        <f>IFERROR(IF(B2624="","",VLOOKUP(B2624,CadProd!$A:$B,2,0)),"")</f>
        <v/>
      </c>
      <c r="D2624" t="str">
        <f>IFERROR(IF(B2624="","",VLOOKUP(B2624,CadProd!$A:$C,3,0)),"")</f>
        <v/>
      </c>
      <c r="G2624" s="1" t="str">
        <f t="shared" si="40"/>
        <v/>
      </c>
    </row>
    <row r="2625" spans="3:7" x14ac:dyDescent="0.3">
      <c r="C2625" t="str">
        <f>IFERROR(IF(B2625="","",VLOOKUP(B2625,CadProd!$A:$B,2,0)),"")</f>
        <v/>
      </c>
      <c r="D2625" t="str">
        <f>IFERROR(IF(B2625="","",VLOOKUP(B2625,CadProd!$A:$C,3,0)),"")</f>
        <v/>
      </c>
      <c r="G2625" s="1" t="str">
        <f t="shared" si="40"/>
        <v/>
      </c>
    </row>
    <row r="2626" spans="3:7" x14ac:dyDescent="0.3">
      <c r="C2626" t="str">
        <f>IFERROR(IF(B2626="","",VLOOKUP(B2626,CadProd!$A:$B,2,0)),"")</f>
        <v/>
      </c>
      <c r="D2626" t="str">
        <f>IFERROR(IF(B2626="","",VLOOKUP(B2626,CadProd!$A:$C,3,0)),"")</f>
        <v/>
      </c>
      <c r="G2626" s="1" t="str">
        <f t="shared" ref="G2626:G2689" si="41">IFERROR(IF(B2626="","",F2626*E2626),"")</f>
        <v/>
      </c>
    </row>
    <row r="2627" spans="3:7" x14ac:dyDescent="0.3">
      <c r="C2627" t="str">
        <f>IFERROR(IF(B2627="","",VLOOKUP(B2627,CadProd!$A:$B,2,0)),"")</f>
        <v/>
      </c>
      <c r="D2627" t="str">
        <f>IFERROR(IF(B2627="","",VLOOKUP(B2627,CadProd!$A:$C,3,0)),"")</f>
        <v/>
      </c>
      <c r="G2627" s="1" t="str">
        <f t="shared" si="41"/>
        <v/>
      </c>
    </row>
    <row r="2628" spans="3:7" x14ac:dyDescent="0.3">
      <c r="C2628" t="str">
        <f>IFERROR(IF(B2628="","",VLOOKUP(B2628,CadProd!$A:$B,2,0)),"")</f>
        <v/>
      </c>
      <c r="D2628" t="str">
        <f>IFERROR(IF(B2628="","",VLOOKUP(B2628,CadProd!$A:$C,3,0)),"")</f>
        <v/>
      </c>
      <c r="G2628" s="1" t="str">
        <f t="shared" si="41"/>
        <v/>
      </c>
    </row>
    <row r="2629" spans="3:7" x14ac:dyDescent="0.3">
      <c r="C2629" t="str">
        <f>IFERROR(IF(B2629="","",VLOOKUP(B2629,CadProd!$A:$B,2,0)),"")</f>
        <v/>
      </c>
      <c r="D2629" t="str">
        <f>IFERROR(IF(B2629="","",VLOOKUP(B2629,CadProd!$A:$C,3,0)),"")</f>
        <v/>
      </c>
      <c r="G2629" s="1" t="str">
        <f t="shared" si="41"/>
        <v/>
      </c>
    </row>
    <row r="2630" spans="3:7" x14ac:dyDescent="0.3">
      <c r="C2630" t="str">
        <f>IFERROR(IF(B2630="","",VLOOKUP(B2630,CadProd!$A:$B,2,0)),"")</f>
        <v/>
      </c>
      <c r="D2630" t="str">
        <f>IFERROR(IF(B2630="","",VLOOKUP(B2630,CadProd!$A:$C,3,0)),"")</f>
        <v/>
      </c>
      <c r="G2630" s="1" t="str">
        <f t="shared" si="41"/>
        <v/>
      </c>
    </row>
    <row r="2631" spans="3:7" x14ac:dyDescent="0.3">
      <c r="C2631" t="str">
        <f>IFERROR(IF(B2631="","",VLOOKUP(B2631,CadProd!$A:$B,2,0)),"")</f>
        <v/>
      </c>
      <c r="D2631" t="str">
        <f>IFERROR(IF(B2631="","",VLOOKUP(B2631,CadProd!$A:$C,3,0)),"")</f>
        <v/>
      </c>
      <c r="G2631" s="1" t="str">
        <f t="shared" si="41"/>
        <v/>
      </c>
    </row>
    <row r="2632" spans="3:7" x14ac:dyDescent="0.3">
      <c r="C2632" t="str">
        <f>IFERROR(IF(B2632="","",VLOOKUP(B2632,CadProd!$A:$B,2,0)),"")</f>
        <v/>
      </c>
      <c r="D2632" t="str">
        <f>IFERROR(IF(B2632="","",VLOOKUP(B2632,CadProd!$A:$C,3,0)),"")</f>
        <v/>
      </c>
      <c r="G2632" s="1" t="str">
        <f t="shared" si="41"/>
        <v/>
      </c>
    </row>
    <row r="2633" spans="3:7" x14ac:dyDescent="0.3">
      <c r="C2633" t="str">
        <f>IFERROR(IF(B2633="","",VLOOKUP(B2633,CadProd!$A:$B,2,0)),"")</f>
        <v/>
      </c>
      <c r="D2633" t="str">
        <f>IFERROR(IF(B2633="","",VLOOKUP(B2633,CadProd!$A:$C,3,0)),"")</f>
        <v/>
      </c>
      <c r="G2633" s="1" t="str">
        <f t="shared" si="41"/>
        <v/>
      </c>
    </row>
    <row r="2634" spans="3:7" x14ac:dyDescent="0.3">
      <c r="C2634" t="str">
        <f>IFERROR(IF(B2634="","",VLOOKUP(B2634,CadProd!$A:$B,2,0)),"")</f>
        <v/>
      </c>
      <c r="D2634" t="str">
        <f>IFERROR(IF(B2634="","",VLOOKUP(B2634,CadProd!$A:$C,3,0)),"")</f>
        <v/>
      </c>
      <c r="G2634" s="1" t="str">
        <f t="shared" si="41"/>
        <v/>
      </c>
    </row>
    <row r="2635" spans="3:7" x14ac:dyDescent="0.3">
      <c r="C2635" t="str">
        <f>IFERROR(IF(B2635="","",VLOOKUP(B2635,CadProd!$A:$B,2,0)),"")</f>
        <v/>
      </c>
      <c r="D2635" t="str">
        <f>IFERROR(IF(B2635="","",VLOOKUP(B2635,CadProd!$A:$C,3,0)),"")</f>
        <v/>
      </c>
      <c r="G2635" s="1" t="str">
        <f t="shared" si="41"/>
        <v/>
      </c>
    </row>
    <row r="2636" spans="3:7" x14ac:dyDescent="0.3">
      <c r="C2636" t="str">
        <f>IFERROR(IF(B2636="","",VLOOKUP(B2636,CadProd!$A:$B,2,0)),"")</f>
        <v/>
      </c>
      <c r="D2636" t="str">
        <f>IFERROR(IF(B2636="","",VLOOKUP(B2636,CadProd!$A:$C,3,0)),"")</f>
        <v/>
      </c>
      <c r="G2636" s="1" t="str">
        <f t="shared" si="41"/>
        <v/>
      </c>
    </row>
    <row r="2637" spans="3:7" x14ac:dyDescent="0.3">
      <c r="C2637" t="str">
        <f>IFERROR(IF(B2637="","",VLOOKUP(B2637,CadProd!$A:$B,2,0)),"")</f>
        <v/>
      </c>
      <c r="D2637" t="str">
        <f>IFERROR(IF(B2637="","",VLOOKUP(B2637,CadProd!$A:$C,3,0)),"")</f>
        <v/>
      </c>
      <c r="G2637" s="1" t="str">
        <f t="shared" si="41"/>
        <v/>
      </c>
    </row>
    <row r="2638" spans="3:7" x14ac:dyDescent="0.3">
      <c r="C2638" t="str">
        <f>IFERROR(IF(B2638="","",VLOOKUP(B2638,CadProd!$A:$B,2,0)),"")</f>
        <v/>
      </c>
      <c r="D2638" t="str">
        <f>IFERROR(IF(B2638="","",VLOOKUP(B2638,CadProd!$A:$C,3,0)),"")</f>
        <v/>
      </c>
      <c r="G2638" s="1" t="str">
        <f t="shared" si="41"/>
        <v/>
      </c>
    </row>
    <row r="2639" spans="3:7" x14ac:dyDescent="0.3">
      <c r="C2639" t="str">
        <f>IFERROR(IF(B2639="","",VLOOKUP(B2639,CadProd!$A:$B,2,0)),"")</f>
        <v/>
      </c>
      <c r="D2639" t="str">
        <f>IFERROR(IF(B2639="","",VLOOKUP(B2639,CadProd!$A:$C,3,0)),"")</f>
        <v/>
      </c>
      <c r="G2639" s="1" t="str">
        <f t="shared" si="41"/>
        <v/>
      </c>
    </row>
    <row r="2640" spans="3:7" x14ac:dyDescent="0.3">
      <c r="C2640" t="str">
        <f>IFERROR(IF(B2640="","",VLOOKUP(B2640,CadProd!$A:$B,2,0)),"")</f>
        <v/>
      </c>
      <c r="D2640" t="str">
        <f>IFERROR(IF(B2640="","",VLOOKUP(B2640,CadProd!$A:$C,3,0)),"")</f>
        <v/>
      </c>
      <c r="G2640" s="1" t="str">
        <f t="shared" si="41"/>
        <v/>
      </c>
    </row>
    <row r="2641" spans="3:7" x14ac:dyDescent="0.3">
      <c r="C2641" t="str">
        <f>IFERROR(IF(B2641="","",VLOOKUP(B2641,CadProd!$A:$B,2,0)),"")</f>
        <v/>
      </c>
      <c r="D2641" t="str">
        <f>IFERROR(IF(B2641="","",VLOOKUP(B2641,CadProd!$A:$C,3,0)),"")</f>
        <v/>
      </c>
      <c r="G2641" s="1" t="str">
        <f t="shared" si="41"/>
        <v/>
      </c>
    </row>
    <row r="2642" spans="3:7" x14ac:dyDescent="0.3">
      <c r="C2642" t="str">
        <f>IFERROR(IF(B2642="","",VLOOKUP(B2642,CadProd!$A:$B,2,0)),"")</f>
        <v/>
      </c>
      <c r="D2642" t="str">
        <f>IFERROR(IF(B2642="","",VLOOKUP(B2642,CadProd!$A:$C,3,0)),"")</f>
        <v/>
      </c>
      <c r="G2642" s="1" t="str">
        <f t="shared" si="41"/>
        <v/>
      </c>
    </row>
    <row r="2643" spans="3:7" x14ac:dyDescent="0.3">
      <c r="C2643" t="str">
        <f>IFERROR(IF(B2643="","",VLOOKUP(B2643,CadProd!$A:$B,2,0)),"")</f>
        <v/>
      </c>
      <c r="D2643" t="str">
        <f>IFERROR(IF(B2643="","",VLOOKUP(B2643,CadProd!$A:$C,3,0)),"")</f>
        <v/>
      </c>
      <c r="G2643" s="1" t="str">
        <f t="shared" si="41"/>
        <v/>
      </c>
    </row>
    <row r="2644" spans="3:7" x14ac:dyDescent="0.3">
      <c r="C2644" t="str">
        <f>IFERROR(IF(B2644="","",VLOOKUP(B2644,CadProd!$A:$B,2,0)),"")</f>
        <v/>
      </c>
      <c r="D2644" t="str">
        <f>IFERROR(IF(B2644="","",VLOOKUP(B2644,CadProd!$A:$C,3,0)),"")</f>
        <v/>
      </c>
      <c r="G2644" s="1" t="str">
        <f t="shared" si="41"/>
        <v/>
      </c>
    </row>
    <row r="2645" spans="3:7" x14ac:dyDescent="0.3">
      <c r="C2645" t="str">
        <f>IFERROR(IF(B2645="","",VLOOKUP(B2645,CadProd!$A:$B,2,0)),"")</f>
        <v/>
      </c>
      <c r="D2645" t="str">
        <f>IFERROR(IF(B2645="","",VLOOKUP(B2645,CadProd!$A:$C,3,0)),"")</f>
        <v/>
      </c>
      <c r="G2645" s="1" t="str">
        <f t="shared" si="41"/>
        <v/>
      </c>
    </row>
    <row r="2646" spans="3:7" x14ac:dyDescent="0.3">
      <c r="C2646" t="str">
        <f>IFERROR(IF(B2646="","",VLOOKUP(B2646,CadProd!$A:$B,2,0)),"")</f>
        <v/>
      </c>
      <c r="D2646" t="str">
        <f>IFERROR(IF(B2646="","",VLOOKUP(B2646,CadProd!$A:$C,3,0)),"")</f>
        <v/>
      </c>
      <c r="G2646" s="1" t="str">
        <f t="shared" si="41"/>
        <v/>
      </c>
    </row>
    <row r="2647" spans="3:7" x14ac:dyDescent="0.3">
      <c r="C2647" t="str">
        <f>IFERROR(IF(B2647="","",VLOOKUP(B2647,CadProd!$A:$B,2,0)),"")</f>
        <v/>
      </c>
      <c r="D2647" t="str">
        <f>IFERROR(IF(B2647="","",VLOOKUP(B2647,CadProd!$A:$C,3,0)),"")</f>
        <v/>
      </c>
      <c r="G2647" s="1" t="str">
        <f t="shared" si="41"/>
        <v/>
      </c>
    </row>
    <row r="2648" spans="3:7" x14ac:dyDescent="0.3">
      <c r="C2648" t="str">
        <f>IFERROR(IF(B2648="","",VLOOKUP(B2648,CadProd!$A:$B,2,0)),"")</f>
        <v/>
      </c>
      <c r="D2648" t="str">
        <f>IFERROR(IF(B2648="","",VLOOKUP(B2648,CadProd!$A:$C,3,0)),"")</f>
        <v/>
      </c>
      <c r="G2648" s="1" t="str">
        <f t="shared" si="41"/>
        <v/>
      </c>
    </row>
    <row r="2649" spans="3:7" x14ac:dyDescent="0.3">
      <c r="C2649" t="str">
        <f>IFERROR(IF(B2649="","",VLOOKUP(B2649,CadProd!$A:$B,2,0)),"")</f>
        <v/>
      </c>
      <c r="D2649" t="str">
        <f>IFERROR(IF(B2649="","",VLOOKUP(B2649,CadProd!$A:$C,3,0)),"")</f>
        <v/>
      </c>
      <c r="G2649" s="1" t="str">
        <f t="shared" si="41"/>
        <v/>
      </c>
    </row>
    <row r="2650" spans="3:7" x14ac:dyDescent="0.3">
      <c r="C2650" t="str">
        <f>IFERROR(IF(B2650="","",VLOOKUP(B2650,CadProd!$A:$B,2,0)),"")</f>
        <v/>
      </c>
      <c r="D2650" t="str">
        <f>IFERROR(IF(B2650="","",VLOOKUP(B2650,CadProd!$A:$C,3,0)),"")</f>
        <v/>
      </c>
      <c r="G2650" s="1" t="str">
        <f t="shared" si="41"/>
        <v/>
      </c>
    </row>
    <row r="2651" spans="3:7" x14ac:dyDescent="0.3">
      <c r="C2651" t="str">
        <f>IFERROR(IF(B2651="","",VLOOKUP(B2651,CadProd!$A:$B,2,0)),"")</f>
        <v/>
      </c>
      <c r="D2651" t="str">
        <f>IFERROR(IF(B2651="","",VLOOKUP(B2651,CadProd!$A:$C,3,0)),"")</f>
        <v/>
      </c>
      <c r="G2651" s="1" t="str">
        <f t="shared" si="41"/>
        <v/>
      </c>
    </row>
    <row r="2652" spans="3:7" x14ac:dyDescent="0.3">
      <c r="C2652" t="str">
        <f>IFERROR(IF(B2652="","",VLOOKUP(B2652,CadProd!$A:$B,2,0)),"")</f>
        <v/>
      </c>
      <c r="D2652" t="str">
        <f>IFERROR(IF(B2652="","",VLOOKUP(B2652,CadProd!$A:$C,3,0)),"")</f>
        <v/>
      </c>
      <c r="G2652" s="1" t="str">
        <f t="shared" si="41"/>
        <v/>
      </c>
    </row>
    <row r="2653" spans="3:7" x14ac:dyDescent="0.3">
      <c r="C2653" t="str">
        <f>IFERROR(IF(B2653="","",VLOOKUP(B2653,CadProd!$A:$B,2,0)),"")</f>
        <v/>
      </c>
      <c r="D2653" t="str">
        <f>IFERROR(IF(B2653="","",VLOOKUP(B2653,CadProd!$A:$C,3,0)),"")</f>
        <v/>
      </c>
      <c r="G2653" s="1" t="str">
        <f t="shared" si="41"/>
        <v/>
      </c>
    </row>
    <row r="2654" spans="3:7" x14ac:dyDescent="0.3">
      <c r="C2654" t="str">
        <f>IFERROR(IF(B2654="","",VLOOKUP(B2654,CadProd!$A:$B,2,0)),"")</f>
        <v/>
      </c>
      <c r="D2654" t="str">
        <f>IFERROR(IF(B2654="","",VLOOKUP(B2654,CadProd!$A:$C,3,0)),"")</f>
        <v/>
      </c>
      <c r="G2654" s="1" t="str">
        <f t="shared" si="41"/>
        <v/>
      </c>
    </row>
    <row r="2655" spans="3:7" x14ac:dyDescent="0.3">
      <c r="C2655" t="str">
        <f>IFERROR(IF(B2655="","",VLOOKUP(B2655,CadProd!$A:$B,2,0)),"")</f>
        <v/>
      </c>
      <c r="D2655" t="str">
        <f>IFERROR(IF(B2655="","",VLOOKUP(B2655,CadProd!$A:$C,3,0)),"")</f>
        <v/>
      </c>
      <c r="G2655" s="1" t="str">
        <f t="shared" si="41"/>
        <v/>
      </c>
    </row>
    <row r="2656" spans="3:7" x14ac:dyDescent="0.3">
      <c r="C2656" t="str">
        <f>IFERROR(IF(B2656="","",VLOOKUP(B2656,CadProd!$A:$B,2,0)),"")</f>
        <v/>
      </c>
      <c r="D2656" t="str">
        <f>IFERROR(IF(B2656="","",VLOOKUP(B2656,CadProd!$A:$C,3,0)),"")</f>
        <v/>
      </c>
      <c r="G2656" s="1" t="str">
        <f t="shared" si="41"/>
        <v/>
      </c>
    </row>
    <row r="2657" spans="3:7" x14ac:dyDescent="0.3">
      <c r="C2657" t="str">
        <f>IFERROR(IF(B2657="","",VLOOKUP(B2657,CadProd!$A:$B,2,0)),"")</f>
        <v/>
      </c>
      <c r="D2657" t="str">
        <f>IFERROR(IF(B2657="","",VLOOKUP(B2657,CadProd!$A:$C,3,0)),"")</f>
        <v/>
      </c>
      <c r="G2657" s="1" t="str">
        <f t="shared" si="41"/>
        <v/>
      </c>
    </row>
    <row r="2658" spans="3:7" x14ac:dyDescent="0.3">
      <c r="C2658" t="str">
        <f>IFERROR(IF(B2658="","",VLOOKUP(B2658,CadProd!$A:$B,2,0)),"")</f>
        <v/>
      </c>
      <c r="D2658" t="str">
        <f>IFERROR(IF(B2658="","",VLOOKUP(B2658,CadProd!$A:$C,3,0)),"")</f>
        <v/>
      </c>
      <c r="G2658" s="1" t="str">
        <f t="shared" si="41"/>
        <v/>
      </c>
    </row>
    <row r="2659" spans="3:7" x14ac:dyDescent="0.3">
      <c r="C2659" t="str">
        <f>IFERROR(IF(B2659="","",VLOOKUP(B2659,CadProd!$A:$B,2,0)),"")</f>
        <v/>
      </c>
      <c r="D2659" t="str">
        <f>IFERROR(IF(B2659="","",VLOOKUP(B2659,CadProd!$A:$C,3,0)),"")</f>
        <v/>
      </c>
      <c r="G2659" s="1" t="str">
        <f t="shared" si="41"/>
        <v/>
      </c>
    </row>
    <row r="2660" spans="3:7" x14ac:dyDescent="0.3">
      <c r="C2660" t="str">
        <f>IFERROR(IF(B2660="","",VLOOKUP(B2660,CadProd!$A:$B,2,0)),"")</f>
        <v/>
      </c>
      <c r="D2660" t="str">
        <f>IFERROR(IF(B2660="","",VLOOKUP(B2660,CadProd!$A:$C,3,0)),"")</f>
        <v/>
      </c>
      <c r="G2660" s="1" t="str">
        <f t="shared" si="41"/>
        <v/>
      </c>
    </row>
    <row r="2661" spans="3:7" x14ac:dyDescent="0.3">
      <c r="C2661" t="str">
        <f>IFERROR(IF(B2661="","",VLOOKUP(B2661,CadProd!$A:$B,2,0)),"")</f>
        <v/>
      </c>
      <c r="D2661" t="str">
        <f>IFERROR(IF(B2661="","",VLOOKUP(B2661,CadProd!$A:$C,3,0)),"")</f>
        <v/>
      </c>
      <c r="G2661" s="1" t="str">
        <f t="shared" si="41"/>
        <v/>
      </c>
    </row>
    <row r="2662" spans="3:7" x14ac:dyDescent="0.3">
      <c r="C2662" t="str">
        <f>IFERROR(IF(B2662="","",VLOOKUP(B2662,CadProd!$A:$B,2,0)),"")</f>
        <v/>
      </c>
      <c r="D2662" t="str">
        <f>IFERROR(IF(B2662="","",VLOOKUP(B2662,CadProd!$A:$C,3,0)),"")</f>
        <v/>
      </c>
      <c r="G2662" s="1" t="str">
        <f t="shared" si="41"/>
        <v/>
      </c>
    </row>
    <row r="2663" spans="3:7" x14ac:dyDescent="0.3">
      <c r="C2663" t="str">
        <f>IFERROR(IF(B2663="","",VLOOKUP(B2663,CadProd!$A:$B,2,0)),"")</f>
        <v/>
      </c>
      <c r="D2663" t="str">
        <f>IFERROR(IF(B2663="","",VLOOKUP(B2663,CadProd!$A:$C,3,0)),"")</f>
        <v/>
      </c>
      <c r="G2663" s="1" t="str">
        <f t="shared" si="41"/>
        <v/>
      </c>
    </row>
    <row r="2664" spans="3:7" x14ac:dyDescent="0.3">
      <c r="C2664" t="str">
        <f>IFERROR(IF(B2664="","",VLOOKUP(B2664,CadProd!$A:$B,2,0)),"")</f>
        <v/>
      </c>
      <c r="D2664" t="str">
        <f>IFERROR(IF(B2664="","",VLOOKUP(B2664,CadProd!$A:$C,3,0)),"")</f>
        <v/>
      </c>
      <c r="G2664" s="1" t="str">
        <f t="shared" si="41"/>
        <v/>
      </c>
    </row>
    <row r="2665" spans="3:7" x14ac:dyDescent="0.3">
      <c r="C2665" t="str">
        <f>IFERROR(IF(B2665="","",VLOOKUP(B2665,CadProd!$A:$B,2,0)),"")</f>
        <v/>
      </c>
      <c r="D2665" t="str">
        <f>IFERROR(IF(B2665="","",VLOOKUP(B2665,CadProd!$A:$C,3,0)),"")</f>
        <v/>
      </c>
      <c r="G2665" s="1" t="str">
        <f t="shared" si="41"/>
        <v/>
      </c>
    </row>
    <row r="2666" spans="3:7" x14ac:dyDescent="0.3">
      <c r="C2666" t="str">
        <f>IFERROR(IF(B2666="","",VLOOKUP(B2666,CadProd!$A:$B,2,0)),"")</f>
        <v/>
      </c>
      <c r="D2666" t="str">
        <f>IFERROR(IF(B2666="","",VLOOKUP(B2666,CadProd!$A:$C,3,0)),"")</f>
        <v/>
      </c>
      <c r="G2666" s="1" t="str">
        <f t="shared" si="41"/>
        <v/>
      </c>
    </row>
    <row r="2667" spans="3:7" x14ac:dyDescent="0.3">
      <c r="C2667" t="str">
        <f>IFERROR(IF(B2667="","",VLOOKUP(B2667,CadProd!$A:$B,2,0)),"")</f>
        <v/>
      </c>
      <c r="D2667" t="str">
        <f>IFERROR(IF(B2667="","",VLOOKUP(B2667,CadProd!$A:$C,3,0)),"")</f>
        <v/>
      </c>
      <c r="G2667" s="1" t="str">
        <f t="shared" si="41"/>
        <v/>
      </c>
    </row>
    <row r="2668" spans="3:7" x14ac:dyDescent="0.3">
      <c r="C2668" t="str">
        <f>IFERROR(IF(B2668="","",VLOOKUP(B2668,CadProd!$A:$B,2,0)),"")</f>
        <v/>
      </c>
      <c r="D2668" t="str">
        <f>IFERROR(IF(B2668="","",VLOOKUP(B2668,CadProd!$A:$C,3,0)),"")</f>
        <v/>
      </c>
      <c r="G2668" s="1" t="str">
        <f t="shared" si="41"/>
        <v/>
      </c>
    </row>
    <row r="2669" spans="3:7" x14ac:dyDescent="0.3">
      <c r="C2669" t="str">
        <f>IFERROR(IF(B2669="","",VLOOKUP(B2669,CadProd!$A:$B,2,0)),"")</f>
        <v/>
      </c>
      <c r="D2669" t="str">
        <f>IFERROR(IF(B2669="","",VLOOKUP(B2669,CadProd!$A:$C,3,0)),"")</f>
        <v/>
      </c>
      <c r="G2669" s="1" t="str">
        <f t="shared" si="41"/>
        <v/>
      </c>
    </row>
    <row r="2670" spans="3:7" x14ac:dyDescent="0.3">
      <c r="C2670" t="str">
        <f>IFERROR(IF(B2670="","",VLOOKUP(B2670,CadProd!$A:$B,2,0)),"")</f>
        <v/>
      </c>
      <c r="D2670" t="str">
        <f>IFERROR(IF(B2670="","",VLOOKUP(B2670,CadProd!$A:$C,3,0)),"")</f>
        <v/>
      </c>
      <c r="G2670" s="1" t="str">
        <f t="shared" si="41"/>
        <v/>
      </c>
    </row>
    <row r="2671" spans="3:7" x14ac:dyDescent="0.3">
      <c r="C2671" t="str">
        <f>IFERROR(IF(B2671="","",VLOOKUP(B2671,CadProd!$A:$B,2,0)),"")</f>
        <v/>
      </c>
      <c r="D2671" t="str">
        <f>IFERROR(IF(B2671="","",VLOOKUP(B2671,CadProd!$A:$C,3,0)),"")</f>
        <v/>
      </c>
      <c r="G2671" s="1" t="str">
        <f t="shared" si="41"/>
        <v/>
      </c>
    </row>
    <row r="2672" spans="3:7" x14ac:dyDescent="0.3">
      <c r="C2672" t="str">
        <f>IFERROR(IF(B2672="","",VLOOKUP(B2672,CadProd!$A:$B,2,0)),"")</f>
        <v/>
      </c>
      <c r="D2672" t="str">
        <f>IFERROR(IF(B2672="","",VLOOKUP(B2672,CadProd!$A:$C,3,0)),"")</f>
        <v/>
      </c>
      <c r="G2672" s="1" t="str">
        <f t="shared" si="41"/>
        <v/>
      </c>
    </row>
    <row r="2673" spans="3:7" x14ac:dyDescent="0.3">
      <c r="C2673" t="str">
        <f>IFERROR(IF(B2673="","",VLOOKUP(B2673,CadProd!$A:$B,2,0)),"")</f>
        <v/>
      </c>
      <c r="D2673" t="str">
        <f>IFERROR(IF(B2673="","",VLOOKUP(B2673,CadProd!$A:$C,3,0)),"")</f>
        <v/>
      </c>
      <c r="G2673" s="1" t="str">
        <f t="shared" si="41"/>
        <v/>
      </c>
    </row>
    <row r="2674" spans="3:7" x14ac:dyDescent="0.3">
      <c r="C2674" t="str">
        <f>IFERROR(IF(B2674="","",VLOOKUP(B2674,CadProd!$A:$B,2,0)),"")</f>
        <v/>
      </c>
      <c r="D2674" t="str">
        <f>IFERROR(IF(B2674="","",VLOOKUP(B2674,CadProd!$A:$C,3,0)),"")</f>
        <v/>
      </c>
      <c r="G2674" s="1" t="str">
        <f t="shared" si="41"/>
        <v/>
      </c>
    </row>
    <row r="2675" spans="3:7" x14ac:dyDescent="0.3">
      <c r="C2675" t="str">
        <f>IFERROR(IF(B2675="","",VLOOKUP(B2675,CadProd!$A:$B,2,0)),"")</f>
        <v/>
      </c>
      <c r="D2675" t="str">
        <f>IFERROR(IF(B2675="","",VLOOKUP(B2675,CadProd!$A:$C,3,0)),"")</f>
        <v/>
      </c>
      <c r="G2675" s="1" t="str">
        <f t="shared" si="41"/>
        <v/>
      </c>
    </row>
    <row r="2676" spans="3:7" x14ac:dyDescent="0.3">
      <c r="C2676" t="str">
        <f>IFERROR(IF(B2676="","",VLOOKUP(B2676,CadProd!$A:$B,2,0)),"")</f>
        <v/>
      </c>
      <c r="D2676" t="str">
        <f>IFERROR(IF(B2676="","",VLOOKUP(B2676,CadProd!$A:$C,3,0)),"")</f>
        <v/>
      </c>
      <c r="G2676" s="1" t="str">
        <f t="shared" si="41"/>
        <v/>
      </c>
    </row>
    <row r="2677" spans="3:7" x14ac:dyDescent="0.3">
      <c r="C2677" t="str">
        <f>IFERROR(IF(B2677="","",VLOOKUP(B2677,CadProd!$A:$B,2,0)),"")</f>
        <v/>
      </c>
      <c r="D2677" t="str">
        <f>IFERROR(IF(B2677="","",VLOOKUP(B2677,CadProd!$A:$C,3,0)),"")</f>
        <v/>
      </c>
      <c r="G2677" s="1" t="str">
        <f t="shared" si="41"/>
        <v/>
      </c>
    </row>
    <row r="2678" spans="3:7" x14ac:dyDescent="0.3">
      <c r="C2678" t="str">
        <f>IFERROR(IF(B2678="","",VLOOKUP(B2678,CadProd!$A:$B,2,0)),"")</f>
        <v/>
      </c>
      <c r="D2678" t="str">
        <f>IFERROR(IF(B2678="","",VLOOKUP(B2678,CadProd!$A:$C,3,0)),"")</f>
        <v/>
      </c>
      <c r="G2678" s="1" t="str">
        <f t="shared" si="41"/>
        <v/>
      </c>
    </row>
    <row r="2679" spans="3:7" x14ac:dyDescent="0.3">
      <c r="C2679" t="str">
        <f>IFERROR(IF(B2679="","",VLOOKUP(B2679,CadProd!$A:$B,2,0)),"")</f>
        <v/>
      </c>
      <c r="D2679" t="str">
        <f>IFERROR(IF(B2679="","",VLOOKUP(B2679,CadProd!$A:$C,3,0)),"")</f>
        <v/>
      </c>
      <c r="G2679" s="1" t="str">
        <f t="shared" si="41"/>
        <v/>
      </c>
    </row>
    <row r="2680" spans="3:7" x14ac:dyDescent="0.3">
      <c r="C2680" t="str">
        <f>IFERROR(IF(B2680="","",VLOOKUP(B2680,CadProd!$A:$B,2,0)),"")</f>
        <v/>
      </c>
      <c r="D2680" t="str">
        <f>IFERROR(IF(B2680="","",VLOOKUP(B2680,CadProd!$A:$C,3,0)),"")</f>
        <v/>
      </c>
      <c r="G2680" s="1" t="str">
        <f t="shared" si="41"/>
        <v/>
      </c>
    </row>
    <row r="2681" spans="3:7" x14ac:dyDescent="0.3">
      <c r="C2681" t="str">
        <f>IFERROR(IF(B2681="","",VLOOKUP(B2681,CadProd!$A:$B,2,0)),"")</f>
        <v/>
      </c>
      <c r="D2681" t="str">
        <f>IFERROR(IF(B2681="","",VLOOKUP(B2681,CadProd!$A:$C,3,0)),"")</f>
        <v/>
      </c>
      <c r="G2681" s="1" t="str">
        <f t="shared" si="41"/>
        <v/>
      </c>
    </row>
    <row r="2682" spans="3:7" x14ac:dyDescent="0.3">
      <c r="C2682" t="str">
        <f>IFERROR(IF(B2682="","",VLOOKUP(B2682,CadProd!$A:$B,2,0)),"")</f>
        <v/>
      </c>
      <c r="D2682" t="str">
        <f>IFERROR(IF(B2682="","",VLOOKUP(B2682,CadProd!$A:$C,3,0)),"")</f>
        <v/>
      </c>
      <c r="G2682" s="1" t="str">
        <f t="shared" si="41"/>
        <v/>
      </c>
    </row>
    <row r="2683" spans="3:7" x14ac:dyDescent="0.3">
      <c r="C2683" t="str">
        <f>IFERROR(IF(B2683="","",VLOOKUP(B2683,CadProd!$A:$B,2,0)),"")</f>
        <v/>
      </c>
      <c r="D2683" t="str">
        <f>IFERROR(IF(B2683="","",VLOOKUP(B2683,CadProd!$A:$C,3,0)),"")</f>
        <v/>
      </c>
      <c r="G2683" s="1" t="str">
        <f t="shared" si="41"/>
        <v/>
      </c>
    </row>
    <row r="2684" spans="3:7" x14ac:dyDescent="0.3">
      <c r="C2684" t="str">
        <f>IFERROR(IF(B2684="","",VLOOKUP(B2684,CadProd!$A:$B,2,0)),"")</f>
        <v/>
      </c>
      <c r="D2684" t="str">
        <f>IFERROR(IF(B2684="","",VLOOKUP(B2684,CadProd!$A:$C,3,0)),"")</f>
        <v/>
      </c>
      <c r="G2684" s="1" t="str">
        <f t="shared" si="41"/>
        <v/>
      </c>
    </row>
    <row r="2685" spans="3:7" x14ac:dyDescent="0.3">
      <c r="C2685" t="str">
        <f>IFERROR(IF(B2685="","",VLOOKUP(B2685,CadProd!$A:$B,2,0)),"")</f>
        <v/>
      </c>
      <c r="D2685" t="str">
        <f>IFERROR(IF(B2685="","",VLOOKUP(B2685,CadProd!$A:$C,3,0)),"")</f>
        <v/>
      </c>
      <c r="G2685" s="1" t="str">
        <f t="shared" si="41"/>
        <v/>
      </c>
    </row>
    <row r="2686" spans="3:7" x14ac:dyDescent="0.3">
      <c r="C2686" t="str">
        <f>IFERROR(IF(B2686="","",VLOOKUP(B2686,CadProd!$A:$B,2,0)),"")</f>
        <v/>
      </c>
      <c r="D2686" t="str">
        <f>IFERROR(IF(B2686="","",VLOOKUP(B2686,CadProd!$A:$C,3,0)),"")</f>
        <v/>
      </c>
      <c r="G2686" s="1" t="str">
        <f t="shared" si="41"/>
        <v/>
      </c>
    </row>
    <row r="2687" spans="3:7" x14ac:dyDescent="0.3">
      <c r="C2687" t="str">
        <f>IFERROR(IF(B2687="","",VLOOKUP(B2687,CadProd!$A:$B,2,0)),"")</f>
        <v/>
      </c>
      <c r="D2687" t="str">
        <f>IFERROR(IF(B2687="","",VLOOKUP(B2687,CadProd!$A:$C,3,0)),"")</f>
        <v/>
      </c>
      <c r="G2687" s="1" t="str">
        <f t="shared" si="41"/>
        <v/>
      </c>
    </row>
    <row r="2688" spans="3:7" x14ac:dyDescent="0.3">
      <c r="C2688" t="str">
        <f>IFERROR(IF(B2688="","",VLOOKUP(B2688,CadProd!$A:$B,2,0)),"")</f>
        <v/>
      </c>
      <c r="D2688" t="str">
        <f>IFERROR(IF(B2688="","",VLOOKUP(B2688,CadProd!$A:$C,3,0)),"")</f>
        <v/>
      </c>
      <c r="G2688" s="1" t="str">
        <f t="shared" si="41"/>
        <v/>
      </c>
    </row>
    <row r="2689" spans="3:7" x14ac:dyDescent="0.3">
      <c r="C2689" t="str">
        <f>IFERROR(IF(B2689="","",VLOOKUP(B2689,CadProd!$A:$B,2,0)),"")</f>
        <v/>
      </c>
      <c r="D2689" t="str">
        <f>IFERROR(IF(B2689="","",VLOOKUP(B2689,CadProd!$A:$C,3,0)),"")</f>
        <v/>
      </c>
      <c r="G2689" s="1" t="str">
        <f t="shared" si="41"/>
        <v/>
      </c>
    </row>
    <row r="2690" spans="3:7" x14ac:dyDescent="0.3">
      <c r="C2690" t="str">
        <f>IFERROR(IF(B2690="","",VLOOKUP(B2690,CadProd!$A:$B,2,0)),"")</f>
        <v/>
      </c>
      <c r="D2690" t="str">
        <f>IFERROR(IF(B2690="","",VLOOKUP(B2690,CadProd!$A:$C,3,0)),"")</f>
        <v/>
      </c>
      <c r="G2690" s="1" t="str">
        <f t="shared" ref="G2690:G2753" si="42">IFERROR(IF(B2690="","",F2690*E2690),"")</f>
        <v/>
      </c>
    </row>
    <row r="2691" spans="3:7" x14ac:dyDescent="0.3">
      <c r="C2691" t="str">
        <f>IFERROR(IF(B2691="","",VLOOKUP(B2691,CadProd!$A:$B,2,0)),"")</f>
        <v/>
      </c>
      <c r="D2691" t="str">
        <f>IFERROR(IF(B2691="","",VLOOKUP(B2691,CadProd!$A:$C,3,0)),"")</f>
        <v/>
      </c>
      <c r="G2691" s="1" t="str">
        <f t="shared" si="42"/>
        <v/>
      </c>
    </row>
    <row r="2692" spans="3:7" x14ac:dyDescent="0.3">
      <c r="C2692" t="str">
        <f>IFERROR(IF(B2692="","",VLOOKUP(B2692,CadProd!$A:$B,2,0)),"")</f>
        <v/>
      </c>
      <c r="D2692" t="str">
        <f>IFERROR(IF(B2692="","",VLOOKUP(B2692,CadProd!$A:$C,3,0)),"")</f>
        <v/>
      </c>
      <c r="G2692" s="1" t="str">
        <f t="shared" si="42"/>
        <v/>
      </c>
    </row>
    <row r="2693" spans="3:7" x14ac:dyDescent="0.3">
      <c r="C2693" t="str">
        <f>IFERROR(IF(B2693="","",VLOOKUP(B2693,CadProd!$A:$B,2,0)),"")</f>
        <v/>
      </c>
      <c r="D2693" t="str">
        <f>IFERROR(IF(B2693="","",VLOOKUP(B2693,CadProd!$A:$C,3,0)),"")</f>
        <v/>
      </c>
      <c r="G2693" s="1" t="str">
        <f t="shared" si="42"/>
        <v/>
      </c>
    </row>
    <row r="2694" spans="3:7" x14ac:dyDescent="0.3">
      <c r="C2694" t="str">
        <f>IFERROR(IF(B2694="","",VLOOKUP(B2694,CadProd!$A:$B,2,0)),"")</f>
        <v/>
      </c>
      <c r="D2694" t="str">
        <f>IFERROR(IF(B2694="","",VLOOKUP(B2694,CadProd!$A:$C,3,0)),"")</f>
        <v/>
      </c>
      <c r="G2694" s="1" t="str">
        <f t="shared" si="42"/>
        <v/>
      </c>
    </row>
    <row r="2695" spans="3:7" x14ac:dyDescent="0.3">
      <c r="C2695" t="str">
        <f>IFERROR(IF(B2695="","",VLOOKUP(B2695,CadProd!$A:$B,2,0)),"")</f>
        <v/>
      </c>
      <c r="D2695" t="str">
        <f>IFERROR(IF(B2695="","",VLOOKUP(B2695,CadProd!$A:$C,3,0)),"")</f>
        <v/>
      </c>
      <c r="G2695" s="1" t="str">
        <f t="shared" si="42"/>
        <v/>
      </c>
    </row>
    <row r="2696" spans="3:7" x14ac:dyDescent="0.3">
      <c r="C2696" t="str">
        <f>IFERROR(IF(B2696="","",VLOOKUP(B2696,CadProd!$A:$B,2,0)),"")</f>
        <v/>
      </c>
      <c r="D2696" t="str">
        <f>IFERROR(IF(B2696="","",VLOOKUP(B2696,CadProd!$A:$C,3,0)),"")</f>
        <v/>
      </c>
      <c r="G2696" s="1" t="str">
        <f t="shared" si="42"/>
        <v/>
      </c>
    </row>
    <row r="2697" spans="3:7" x14ac:dyDescent="0.3">
      <c r="C2697" t="str">
        <f>IFERROR(IF(B2697="","",VLOOKUP(B2697,CadProd!$A:$B,2,0)),"")</f>
        <v/>
      </c>
      <c r="D2697" t="str">
        <f>IFERROR(IF(B2697="","",VLOOKUP(B2697,CadProd!$A:$C,3,0)),"")</f>
        <v/>
      </c>
      <c r="G2697" s="1" t="str">
        <f t="shared" si="42"/>
        <v/>
      </c>
    </row>
    <row r="2698" spans="3:7" x14ac:dyDescent="0.3">
      <c r="C2698" t="str">
        <f>IFERROR(IF(B2698="","",VLOOKUP(B2698,CadProd!$A:$B,2,0)),"")</f>
        <v/>
      </c>
      <c r="D2698" t="str">
        <f>IFERROR(IF(B2698="","",VLOOKUP(B2698,CadProd!$A:$C,3,0)),"")</f>
        <v/>
      </c>
      <c r="G2698" s="1" t="str">
        <f t="shared" si="42"/>
        <v/>
      </c>
    </row>
    <row r="2699" spans="3:7" x14ac:dyDescent="0.3">
      <c r="C2699" t="str">
        <f>IFERROR(IF(B2699="","",VLOOKUP(B2699,CadProd!$A:$B,2,0)),"")</f>
        <v/>
      </c>
      <c r="D2699" t="str">
        <f>IFERROR(IF(B2699="","",VLOOKUP(B2699,CadProd!$A:$C,3,0)),"")</f>
        <v/>
      </c>
      <c r="G2699" s="1" t="str">
        <f t="shared" si="42"/>
        <v/>
      </c>
    </row>
    <row r="2700" spans="3:7" x14ac:dyDescent="0.3">
      <c r="C2700" t="str">
        <f>IFERROR(IF(B2700="","",VLOOKUP(B2700,CadProd!$A:$B,2,0)),"")</f>
        <v/>
      </c>
      <c r="D2700" t="str">
        <f>IFERROR(IF(B2700="","",VLOOKUP(B2700,CadProd!$A:$C,3,0)),"")</f>
        <v/>
      </c>
      <c r="G2700" s="1" t="str">
        <f t="shared" si="42"/>
        <v/>
      </c>
    </row>
    <row r="2701" spans="3:7" x14ac:dyDescent="0.3">
      <c r="C2701" t="str">
        <f>IFERROR(IF(B2701="","",VLOOKUP(B2701,CadProd!$A:$B,2,0)),"")</f>
        <v/>
      </c>
      <c r="D2701" t="str">
        <f>IFERROR(IF(B2701="","",VLOOKUP(B2701,CadProd!$A:$C,3,0)),"")</f>
        <v/>
      </c>
      <c r="G2701" s="1" t="str">
        <f t="shared" si="42"/>
        <v/>
      </c>
    </row>
    <row r="2702" spans="3:7" x14ac:dyDescent="0.3">
      <c r="C2702" t="str">
        <f>IFERROR(IF(B2702="","",VLOOKUP(B2702,CadProd!$A:$B,2,0)),"")</f>
        <v/>
      </c>
      <c r="D2702" t="str">
        <f>IFERROR(IF(B2702="","",VLOOKUP(B2702,CadProd!$A:$C,3,0)),"")</f>
        <v/>
      </c>
      <c r="G2702" s="1" t="str">
        <f t="shared" si="42"/>
        <v/>
      </c>
    </row>
    <row r="2703" spans="3:7" x14ac:dyDescent="0.3">
      <c r="C2703" t="str">
        <f>IFERROR(IF(B2703="","",VLOOKUP(B2703,CadProd!$A:$B,2,0)),"")</f>
        <v/>
      </c>
      <c r="D2703" t="str">
        <f>IFERROR(IF(B2703="","",VLOOKUP(B2703,CadProd!$A:$C,3,0)),"")</f>
        <v/>
      </c>
      <c r="G2703" s="1" t="str">
        <f t="shared" si="42"/>
        <v/>
      </c>
    </row>
    <row r="2704" spans="3:7" x14ac:dyDescent="0.3">
      <c r="C2704" t="str">
        <f>IFERROR(IF(B2704="","",VLOOKUP(B2704,CadProd!$A:$B,2,0)),"")</f>
        <v/>
      </c>
      <c r="D2704" t="str">
        <f>IFERROR(IF(B2704="","",VLOOKUP(B2704,CadProd!$A:$C,3,0)),"")</f>
        <v/>
      </c>
      <c r="G2704" s="1" t="str">
        <f t="shared" si="42"/>
        <v/>
      </c>
    </row>
    <row r="2705" spans="3:7" x14ac:dyDescent="0.3">
      <c r="C2705" t="str">
        <f>IFERROR(IF(B2705="","",VLOOKUP(B2705,CadProd!$A:$B,2,0)),"")</f>
        <v/>
      </c>
      <c r="D2705" t="str">
        <f>IFERROR(IF(B2705="","",VLOOKUP(B2705,CadProd!$A:$C,3,0)),"")</f>
        <v/>
      </c>
      <c r="G2705" s="1" t="str">
        <f t="shared" si="42"/>
        <v/>
      </c>
    </row>
    <row r="2706" spans="3:7" x14ac:dyDescent="0.3">
      <c r="C2706" t="str">
        <f>IFERROR(IF(B2706="","",VLOOKUP(B2706,CadProd!$A:$B,2,0)),"")</f>
        <v/>
      </c>
      <c r="D2706" t="str">
        <f>IFERROR(IF(B2706="","",VLOOKUP(B2706,CadProd!$A:$C,3,0)),"")</f>
        <v/>
      </c>
      <c r="G2706" s="1" t="str">
        <f t="shared" si="42"/>
        <v/>
      </c>
    </row>
    <row r="2707" spans="3:7" x14ac:dyDescent="0.3">
      <c r="C2707" t="str">
        <f>IFERROR(IF(B2707="","",VLOOKUP(B2707,CadProd!$A:$B,2,0)),"")</f>
        <v/>
      </c>
      <c r="D2707" t="str">
        <f>IFERROR(IF(B2707="","",VLOOKUP(B2707,CadProd!$A:$C,3,0)),"")</f>
        <v/>
      </c>
      <c r="G2707" s="1" t="str">
        <f t="shared" si="42"/>
        <v/>
      </c>
    </row>
    <row r="2708" spans="3:7" x14ac:dyDescent="0.3">
      <c r="C2708" t="str">
        <f>IFERROR(IF(B2708="","",VLOOKUP(B2708,CadProd!$A:$B,2,0)),"")</f>
        <v/>
      </c>
      <c r="D2708" t="str">
        <f>IFERROR(IF(B2708="","",VLOOKUP(B2708,CadProd!$A:$C,3,0)),"")</f>
        <v/>
      </c>
      <c r="G2708" s="1" t="str">
        <f t="shared" si="42"/>
        <v/>
      </c>
    </row>
    <row r="2709" spans="3:7" x14ac:dyDescent="0.3">
      <c r="C2709" t="str">
        <f>IFERROR(IF(B2709="","",VLOOKUP(B2709,CadProd!$A:$B,2,0)),"")</f>
        <v/>
      </c>
      <c r="D2709" t="str">
        <f>IFERROR(IF(B2709="","",VLOOKUP(B2709,CadProd!$A:$C,3,0)),"")</f>
        <v/>
      </c>
      <c r="G2709" s="1" t="str">
        <f t="shared" si="42"/>
        <v/>
      </c>
    </row>
    <row r="2710" spans="3:7" x14ac:dyDescent="0.3">
      <c r="C2710" t="str">
        <f>IFERROR(IF(B2710="","",VLOOKUP(B2710,CadProd!$A:$B,2,0)),"")</f>
        <v/>
      </c>
      <c r="D2710" t="str">
        <f>IFERROR(IF(B2710="","",VLOOKUP(B2710,CadProd!$A:$C,3,0)),"")</f>
        <v/>
      </c>
      <c r="G2710" s="1" t="str">
        <f t="shared" si="42"/>
        <v/>
      </c>
    </row>
    <row r="2711" spans="3:7" x14ac:dyDescent="0.3">
      <c r="C2711" t="str">
        <f>IFERROR(IF(B2711="","",VLOOKUP(B2711,CadProd!$A:$B,2,0)),"")</f>
        <v/>
      </c>
      <c r="D2711" t="str">
        <f>IFERROR(IF(B2711="","",VLOOKUP(B2711,CadProd!$A:$C,3,0)),"")</f>
        <v/>
      </c>
      <c r="G2711" s="1" t="str">
        <f t="shared" si="42"/>
        <v/>
      </c>
    </row>
    <row r="2712" spans="3:7" x14ac:dyDescent="0.3">
      <c r="C2712" t="str">
        <f>IFERROR(IF(B2712="","",VLOOKUP(B2712,CadProd!$A:$B,2,0)),"")</f>
        <v/>
      </c>
      <c r="D2712" t="str">
        <f>IFERROR(IF(B2712="","",VLOOKUP(B2712,CadProd!$A:$C,3,0)),"")</f>
        <v/>
      </c>
      <c r="G2712" s="1" t="str">
        <f t="shared" si="42"/>
        <v/>
      </c>
    </row>
    <row r="2713" spans="3:7" x14ac:dyDescent="0.3">
      <c r="C2713" t="str">
        <f>IFERROR(IF(B2713="","",VLOOKUP(B2713,CadProd!$A:$B,2,0)),"")</f>
        <v/>
      </c>
      <c r="D2713" t="str">
        <f>IFERROR(IF(B2713="","",VLOOKUP(B2713,CadProd!$A:$C,3,0)),"")</f>
        <v/>
      </c>
      <c r="G2713" s="1" t="str">
        <f t="shared" si="42"/>
        <v/>
      </c>
    </row>
    <row r="2714" spans="3:7" x14ac:dyDescent="0.3">
      <c r="C2714" t="str">
        <f>IFERROR(IF(B2714="","",VLOOKUP(B2714,CadProd!$A:$B,2,0)),"")</f>
        <v/>
      </c>
      <c r="D2714" t="str">
        <f>IFERROR(IF(B2714="","",VLOOKUP(B2714,CadProd!$A:$C,3,0)),"")</f>
        <v/>
      </c>
      <c r="G2714" s="1" t="str">
        <f t="shared" si="42"/>
        <v/>
      </c>
    </row>
    <row r="2715" spans="3:7" x14ac:dyDescent="0.3">
      <c r="C2715" t="str">
        <f>IFERROR(IF(B2715="","",VLOOKUP(B2715,CadProd!$A:$B,2,0)),"")</f>
        <v/>
      </c>
      <c r="D2715" t="str">
        <f>IFERROR(IF(B2715="","",VLOOKUP(B2715,CadProd!$A:$C,3,0)),"")</f>
        <v/>
      </c>
      <c r="G2715" s="1" t="str">
        <f t="shared" si="42"/>
        <v/>
      </c>
    </row>
    <row r="2716" spans="3:7" x14ac:dyDescent="0.3">
      <c r="C2716" t="str">
        <f>IFERROR(IF(B2716="","",VLOOKUP(B2716,CadProd!$A:$B,2,0)),"")</f>
        <v/>
      </c>
      <c r="D2716" t="str">
        <f>IFERROR(IF(B2716="","",VLOOKUP(B2716,CadProd!$A:$C,3,0)),"")</f>
        <v/>
      </c>
      <c r="G2716" s="1" t="str">
        <f t="shared" si="42"/>
        <v/>
      </c>
    </row>
    <row r="2717" spans="3:7" x14ac:dyDescent="0.3">
      <c r="C2717" t="str">
        <f>IFERROR(IF(B2717="","",VLOOKUP(B2717,CadProd!$A:$B,2,0)),"")</f>
        <v/>
      </c>
      <c r="D2717" t="str">
        <f>IFERROR(IF(B2717="","",VLOOKUP(B2717,CadProd!$A:$C,3,0)),"")</f>
        <v/>
      </c>
      <c r="G2717" s="1" t="str">
        <f t="shared" si="42"/>
        <v/>
      </c>
    </row>
    <row r="2718" spans="3:7" x14ac:dyDescent="0.3">
      <c r="C2718" t="str">
        <f>IFERROR(IF(B2718="","",VLOOKUP(B2718,CadProd!$A:$B,2,0)),"")</f>
        <v/>
      </c>
      <c r="D2718" t="str">
        <f>IFERROR(IF(B2718="","",VLOOKUP(B2718,CadProd!$A:$C,3,0)),"")</f>
        <v/>
      </c>
      <c r="G2718" s="1" t="str">
        <f t="shared" si="42"/>
        <v/>
      </c>
    </row>
    <row r="2719" spans="3:7" x14ac:dyDescent="0.3">
      <c r="C2719" t="str">
        <f>IFERROR(IF(B2719="","",VLOOKUP(B2719,CadProd!$A:$B,2,0)),"")</f>
        <v/>
      </c>
      <c r="D2719" t="str">
        <f>IFERROR(IF(B2719="","",VLOOKUP(B2719,CadProd!$A:$C,3,0)),"")</f>
        <v/>
      </c>
      <c r="G2719" s="1" t="str">
        <f t="shared" si="42"/>
        <v/>
      </c>
    </row>
    <row r="2720" spans="3:7" x14ac:dyDescent="0.3">
      <c r="C2720" t="str">
        <f>IFERROR(IF(B2720="","",VLOOKUP(B2720,CadProd!$A:$B,2,0)),"")</f>
        <v/>
      </c>
      <c r="D2720" t="str">
        <f>IFERROR(IF(B2720="","",VLOOKUP(B2720,CadProd!$A:$C,3,0)),"")</f>
        <v/>
      </c>
      <c r="G2720" s="1" t="str">
        <f t="shared" si="42"/>
        <v/>
      </c>
    </row>
    <row r="2721" spans="3:7" x14ac:dyDescent="0.3">
      <c r="C2721" t="str">
        <f>IFERROR(IF(B2721="","",VLOOKUP(B2721,CadProd!$A:$B,2,0)),"")</f>
        <v/>
      </c>
      <c r="D2721" t="str">
        <f>IFERROR(IF(B2721="","",VLOOKUP(B2721,CadProd!$A:$C,3,0)),"")</f>
        <v/>
      </c>
      <c r="G2721" s="1" t="str">
        <f t="shared" si="42"/>
        <v/>
      </c>
    </row>
    <row r="2722" spans="3:7" x14ac:dyDescent="0.3">
      <c r="C2722" t="str">
        <f>IFERROR(IF(B2722="","",VLOOKUP(B2722,CadProd!$A:$B,2,0)),"")</f>
        <v/>
      </c>
      <c r="D2722" t="str">
        <f>IFERROR(IF(B2722="","",VLOOKUP(B2722,CadProd!$A:$C,3,0)),"")</f>
        <v/>
      </c>
      <c r="G2722" s="1" t="str">
        <f t="shared" si="42"/>
        <v/>
      </c>
    </row>
    <row r="2723" spans="3:7" x14ac:dyDescent="0.3">
      <c r="C2723" t="str">
        <f>IFERROR(IF(B2723="","",VLOOKUP(B2723,CadProd!$A:$B,2,0)),"")</f>
        <v/>
      </c>
      <c r="D2723" t="str">
        <f>IFERROR(IF(B2723="","",VLOOKUP(B2723,CadProd!$A:$C,3,0)),"")</f>
        <v/>
      </c>
      <c r="G2723" s="1" t="str">
        <f t="shared" si="42"/>
        <v/>
      </c>
    </row>
    <row r="2724" spans="3:7" x14ac:dyDescent="0.3">
      <c r="C2724" t="str">
        <f>IFERROR(IF(B2724="","",VLOOKUP(B2724,CadProd!$A:$B,2,0)),"")</f>
        <v/>
      </c>
      <c r="D2724" t="str">
        <f>IFERROR(IF(B2724="","",VLOOKUP(B2724,CadProd!$A:$C,3,0)),"")</f>
        <v/>
      </c>
      <c r="G2724" s="1" t="str">
        <f t="shared" si="42"/>
        <v/>
      </c>
    </row>
    <row r="2725" spans="3:7" x14ac:dyDescent="0.3">
      <c r="C2725" t="str">
        <f>IFERROR(IF(B2725="","",VLOOKUP(B2725,CadProd!$A:$B,2,0)),"")</f>
        <v/>
      </c>
      <c r="D2725" t="str">
        <f>IFERROR(IF(B2725="","",VLOOKUP(B2725,CadProd!$A:$C,3,0)),"")</f>
        <v/>
      </c>
      <c r="G2725" s="1" t="str">
        <f t="shared" si="42"/>
        <v/>
      </c>
    </row>
    <row r="2726" spans="3:7" x14ac:dyDescent="0.3">
      <c r="C2726" t="str">
        <f>IFERROR(IF(B2726="","",VLOOKUP(B2726,CadProd!$A:$B,2,0)),"")</f>
        <v/>
      </c>
      <c r="D2726" t="str">
        <f>IFERROR(IF(B2726="","",VLOOKUP(B2726,CadProd!$A:$C,3,0)),"")</f>
        <v/>
      </c>
      <c r="G2726" s="1" t="str">
        <f t="shared" si="42"/>
        <v/>
      </c>
    </row>
    <row r="2727" spans="3:7" x14ac:dyDescent="0.3">
      <c r="C2727" t="str">
        <f>IFERROR(IF(B2727="","",VLOOKUP(B2727,CadProd!$A:$B,2,0)),"")</f>
        <v/>
      </c>
      <c r="D2727" t="str">
        <f>IFERROR(IF(B2727="","",VLOOKUP(B2727,CadProd!$A:$C,3,0)),"")</f>
        <v/>
      </c>
      <c r="G2727" s="1" t="str">
        <f t="shared" si="42"/>
        <v/>
      </c>
    </row>
    <row r="2728" spans="3:7" x14ac:dyDescent="0.3">
      <c r="C2728" t="str">
        <f>IFERROR(IF(B2728="","",VLOOKUP(B2728,CadProd!$A:$B,2,0)),"")</f>
        <v/>
      </c>
      <c r="D2728" t="str">
        <f>IFERROR(IF(B2728="","",VLOOKUP(B2728,CadProd!$A:$C,3,0)),"")</f>
        <v/>
      </c>
      <c r="G2728" s="1" t="str">
        <f t="shared" si="42"/>
        <v/>
      </c>
    </row>
    <row r="2729" spans="3:7" x14ac:dyDescent="0.3">
      <c r="C2729" t="str">
        <f>IFERROR(IF(B2729="","",VLOOKUP(B2729,CadProd!$A:$B,2,0)),"")</f>
        <v/>
      </c>
      <c r="D2729" t="str">
        <f>IFERROR(IF(B2729="","",VLOOKUP(B2729,CadProd!$A:$C,3,0)),"")</f>
        <v/>
      </c>
      <c r="G2729" s="1" t="str">
        <f t="shared" si="42"/>
        <v/>
      </c>
    </row>
    <row r="2730" spans="3:7" x14ac:dyDescent="0.3">
      <c r="C2730" t="str">
        <f>IFERROR(IF(B2730="","",VLOOKUP(B2730,CadProd!$A:$B,2,0)),"")</f>
        <v/>
      </c>
      <c r="D2730" t="str">
        <f>IFERROR(IF(B2730="","",VLOOKUP(B2730,CadProd!$A:$C,3,0)),"")</f>
        <v/>
      </c>
      <c r="G2730" s="1" t="str">
        <f t="shared" si="42"/>
        <v/>
      </c>
    </row>
    <row r="2731" spans="3:7" x14ac:dyDescent="0.3">
      <c r="C2731" t="str">
        <f>IFERROR(IF(B2731="","",VLOOKUP(B2731,CadProd!$A:$B,2,0)),"")</f>
        <v/>
      </c>
      <c r="D2731" t="str">
        <f>IFERROR(IF(B2731="","",VLOOKUP(B2731,CadProd!$A:$C,3,0)),"")</f>
        <v/>
      </c>
      <c r="G2731" s="1" t="str">
        <f t="shared" si="42"/>
        <v/>
      </c>
    </row>
    <row r="2732" spans="3:7" x14ac:dyDescent="0.3">
      <c r="C2732" t="str">
        <f>IFERROR(IF(B2732="","",VLOOKUP(B2732,CadProd!$A:$B,2,0)),"")</f>
        <v/>
      </c>
      <c r="D2732" t="str">
        <f>IFERROR(IF(B2732="","",VLOOKUP(B2732,CadProd!$A:$C,3,0)),"")</f>
        <v/>
      </c>
      <c r="G2732" s="1" t="str">
        <f t="shared" si="42"/>
        <v/>
      </c>
    </row>
    <row r="2733" spans="3:7" x14ac:dyDescent="0.3">
      <c r="C2733" t="str">
        <f>IFERROR(IF(B2733="","",VLOOKUP(B2733,CadProd!$A:$B,2,0)),"")</f>
        <v/>
      </c>
      <c r="D2733" t="str">
        <f>IFERROR(IF(B2733="","",VLOOKUP(B2733,CadProd!$A:$C,3,0)),"")</f>
        <v/>
      </c>
      <c r="G2733" s="1" t="str">
        <f t="shared" si="42"/>
        <v/>
      </c>
    </row>
    <row r="2734" spans="3:7" x14ac:dyDescent="0.3">
      <c r="C2734" t="str">
        <f>IFERROR(IF(B2734="","",VLOOKUP(B2734,CadProd!$A:$B,2,0)),"")</f>
        <v/>
      </c>
      <c r="D2734" t="str">
        <f>IFERROR(IF(B2734="","",VLOOKUP(B2734,CadProd!$A:$C,3,0)),"")</f>
        <v/>
      </c>
      <c r="G2734" s="1" t="str">
        <f t="shared" si="42"/>
        <v/>
      </c>
    </row>
    <row r="2735" spans="3:7" x14ac:dyDescent="0.3">
      <c r="C2735" t="str">
        <f>IFERROR(IF(B2735="","",VLOOKUP(B2735,CadProd!$A:$B,2,0)),"")</f>
        <v/>
      </c>
      <c r="D2735" t="str">
        <f>IFERROR(IF(B2735="","",VLOOKUP(B2735,CadProd!$A:$C,3,0)),"")</f>
        <v/>
      </c>
      <c r="G2735" s="1" t="str">
        <f t="shared" si="42"/>
        <v/>
      </c>
    </row>
    <row r="2736" spans="3:7" x14ac:dyDescent="0.3">
      <c r="C2736" t="str">
        <f>IFERROR(IF(B2736="","",VLOOKUP(B2736,CadProd!$A:$B,2,0)),"")</f>
        <v/>
      </c>
      <c r="D2736" t="str">
        <f>IFERROR(IF(B2736="","",VLOOKUP(B2736,CadProd!$A:$C,3,0)),"")</f>
        <v/>
      </c>
      <c r="G2736" s="1" t="str">
        <f t="shared" si="42"/>
        <v/>
      </c>
    </row>
    <row r="2737" spans="3:7" x14ac:dyDescent="0.3">
      <c r="C2737" t="str">
        <f>IFERROR(IF(B2737="","",VLOOKUP(B2737,CadProd!$A:$B,2,0)),"")</f>
        <v/>
      </c>
      <c r="D2737" t="str">
        <f>IFERROR(IF(B2737="","",VLOOKUP(B2737,CadProd!$A:$C,3,0)),"")</f>
        <v/>
      </c>
      <c r="G2737" s="1" t="str">
        <f t="shared" si="42"/>
        <v/>
      </c>
    </row>
    <row r="2738" spans="3:7" x14ac:dyDescent="0.3">
      <c r="C2738" t="str">
        <f>IFERROR(IF(B2738="","",VLOOKUP(B2738,CadProd!$A:$B,2,0)),"")</f>
        <v/>
      </c>
      <c r="D2738" t="str">
        <f>IFERROR(IF(B2738="","",VLOOKUP(B2738,CadProd!$A:$C,3,0)),"")</f>
        <v/>
      </c>
      <c r="G2738" s="1" t="str">
        <f t="shared" si="42"/>
        <v/>
      </c>
    </row>
    <row r="2739" spans="3:7" x14ac:dyDescent="0.3">
      <c r="C2739" t="str">
        <f>IFERROR(IF(B2739="","",VLOOKUP(B2739,CadProd!$A:$B,2,0)),"")</f>
        <v/>
      </c>
      <c r="D2739" t="str">
        <f>IFERROR(IF(B2739="","",VLOOKUP(B2739,CadProd!$A:$C,3,0)),"")</f>
        <v/>
      </c>
      <c r="G2739" s="1" t="str">
        <f t="shared" si="42"/>
        <v/>
      </c>
    </row>
    <row r="2740" spans="3:7" x14ac:dyDescent="0.3">
      <c r="C2740" t="str">
        <f>IFERROR(IF(B2740="","",VLOOKUP(B2740,CadProd!$A:$B,2,0)),"")</f>
        <v/>
      </c>
      <c r="D2740" t="str">
        <f>IFERROR(IF(B2740="","",VLOOKUP(B2740,CadProd!$A:$C,3,0)),"")</f>
        <v/>
      </c>
      <c r="G2740" s="1" t="str">
        <f t="shared" si="42"/>
        <v/>
      </c>
    </row>
    <row r="2741" spans="3:7" x14ac:dyDescent="0.3">
      <c r="C2741" t="str">
        <f>IFERROR(IF(B2741="","",VLOOKUP(B2741,CadProd!$A:$B,2,0)),"")</f>
        <v/>
      </c>
      <c r="D2741" t="str">
        <f>IFERROR(IF(B2741="","",VLOOKUP(B2741,CadProd!$A:$C,3,0)),"")</f>
        <v/>
      </c>
      <c r="G2741" s="1" t="str">
        <f t="shared" si="42"/>
        <v/>
      </c>
    </row>
    <row r="2742" spans="3:7" x14ac:dyDescent="0.3">
      <c r="C2742" t="str">
        <f>IFERROR(IF(B2742="","",VLOOKUP(B2742,CadProd!$A:$B,2,0)),"")</f>
        <v/>
      </c>
      <c r="D2742" t="str">
        <f>IFERROR(IF(B2742="","",VLOOKUP(B2742,CadProd!$A:$C,3,0)),"")</f>
        <v/>
      </c>
      <c r="G2742" s="1" t="str">
        <f t="shared" si="42"/>
        <v/>
      </c>
    </row>
    <row r="2743" spans="3:7" x14ac:dyDescent="0.3">
      <c r="C2743" t="str">
        <f>IFERROR(IF(B2743="","",VLOOKUP(B2743,CadProd!$A:$B,2,0)),"")</f>
        <v/>
      </c>
      <c r="D2743" t="str">
        <f>IFERROR(IF(B2743="","",VLOOKUP(B2743,CadProd!$A:$C,3,0)),"")</f>
        <v/>
      </c>
      <c r="G2743" s="1" t="str">
        <f t="shared" si="42"/>
        <v/>
      </c>
    </row>
    <row r="2744" spans="3:7" x14ac:dyDescent="0.3">
      <c r="C2744" t="str">
        <f>IFERROR(IF(B2744="","",VLOOKUP(B2744,CadProd!$A:$B,2,0)),"")</f>
        <v/>
      </c>
      <c r="D2744" t="str">
        <f>IFERROR(IF(B2744="","",VLOOKUP(B2744,CadProd!$A:$C,3,0)),"")</f>
        <v/>
      </c>
      <c r="G2744" s="1" t="str">
        <f t="shared" si="42"/>
        <v/>
      </c>
    </row>
    <row r="2745" spans="3:7" x14ac:dyDescent="0.3">
      <c r="C2745" t="str">
        <f>IFERROR(IF(B2745="","",VLOOKUP(B2745,CadProd!$A:$B,2,0)),"")</f>
        <v/>
      </c>
      <c r="D2745" t="str">
        <f>IFERROR(IF(B2745="","",VLOOKUP(B2745,CadProd!$A:$C,3,0)),"")</f>
        <v/>
      </c>
      <c r="G2745" s="1" t="str">
        <f t="shared" si="42"/>
        <v/>
      </c>
    </row>
    <row r="2746" spans="3:7" x14ac:dyDescent="0.3">
      <c r="C2746" t="str">
        <f>IFERROR(IF(B2746="","",VLOOKUP(B2746,CadProd!$A:$B,2,0)),"")</f>
        <v/>
      </c>
      <c r="D2746" t="str">
        <f>IFERROR(IF(B2746="","",VLOOKUP(B2746,CadProd!$A:$C,3,0)),"")</f>
        <v/>
      </c>
      <c r="G2746" s="1" t="str">
        <f t="shared" si="42"/>
        <v/>
      </c>
    </row>
    <row r="2747" spans="3:7" x14ac:dyDescent="0.3">
      <c r="C2747" t="str">
        <f>IFERROR(IF(B2747="","",VLOOKUP(B2747,CadProd!$A:$B,2,0)),"")</f>
        <v/>
      </c>
      <c r="D2747" t="str">
        <f>IFERROR(IF(B2747="","",VLOOKUP(B2747,CadProd!$A:$C,3,0)),"")</f>
        <v/>
      </c>
      <c r="G2747" s="1" t="str">
        <f t="shared" si="42"/>
        <v/>
      </c>
    </row>
    <row r="2748" spans="3:7" x14ac:dyDescent="0.3">
      <c r="C2748" t="str">
        <f>IFERROR(IF(B2748="","",VLOOKUP(B2748,CadProd!$A:$B,2,0)),"")</f>
        <v/>
      </c>
      <c r="D2748" t="str">
        <f>IFERROR(IF(B2748="","",VLOOKUP(B2748,CadProd!$A:$C,3,0)),"")</f>
        <v/>
      </c>
      <c r="G2748" s="1" t="str">
        <f t="shared" si="42"/>
        <v/>
      </c>
    </row>
    <row r="2749" spans="3:7" x14ac:dyDescent="0.3">
      <c r="C2749" t="str">
        <f>IFERROR(IF(B2749="","",VLOOKUP(B2749,CadProd!$A:$B,2,0)),"")</f>
        <v/>
      </c>
      <c r="D2749" t="str">
        <f>IFERROR(IF(B2749="","",VLOOKUP(B2749,CadProd!$A:$C,3,0)),"")</f>
        <v/>
      </c>
      <c r="G2749" s="1" t="str">
        <f t="shared" si="42"/>
        <v/>
      </c>
    </row>
    <row r="2750" spans="3:7" x14ac:dyDescent="0.3">
      <c r="C2750" t="str">
        <f>IFERROR(IF(B2750="","",VLOOKUP(B2750,CadProd!$A:$B,2,0)),"")</f>
        <v/>
      </c>
      <c r="D2750" t="str">
        <f>IFERROR(IF(B2750="","",VLOOKUP(B2750,CadProd!$A:$C,3,0)),"")</f>
        <v/>
      </c>
      <c r="G2750" s="1" t="str">
        <f t="shared" si="42"/>
        <v/>
      </c>
    </row>
    <row r="2751" spans="3:7" x14ac:dyDescent="0.3">
      <c r="C2751" t="str">
        <f>IFERROR(IF(B2751="","",VLOOKUP(B2751,CadProd!$A:$B,2,0)),"")</f>
        <v/>
      </c>
      <c r="D2751" t="str">
        <f>IFERROR(IF(B2751="","",VLOOKUP(B2751,CadProd!$A:$C,3,0)),"")</f>
        <v/>
      </c>
      <c r="G2751" s="1" t="str">
        <f t="shared" si="42"/>
        <v/>
      </c>
    </row>
    <row r="2752" spans="3:7" x14ac:dyDescent="0.3">
      <c r="C2752" t="str">
        <f>IFERROR(IF(B2752="","",VLOOKUP(B2752,CadProd!$A:$B,2,0)),"")</f>
        <v/>
      </c>
      <c r="D2752" t="str">
        <f>IFERROR(IF(B2752="","",VLOOKUP(B2752,CadProd!$A:$C,3,0)),"")</f>
        <v/>
      </c>
      <c r="G2752" s="1" t="str">
        <f t="shared" si="42"/>
        <v/>
      </c>
    </row>
    <row r="2753" spans="3:7" x14ac:dyDescent="0.3">
      <c r="C2753" t="str">
        <f>IFERROR(IF(B2753="","",VLOOKUP(B2753,CadProd!$A:$B,2,0)),"")</f>
        <v/>
      </c>
      <c r="D2753" t="str">
        <f>IFERROR(IF(B2753="","",VLOOKUP(B2753,CadProd!$A:$C,3,0)),"")</f>
        <v/>
      </c>
      <c r="G2753" s="1" t="str">
        <f t="shared" si="42"/>
        <v/>
      </c>
    </row>
    <row r="2754" spans="3:7" x14ac:dyDescent="0.3">
      <c r="C2754" t="str">
        <f>IFERROR(IF(B2754="","",VLOOKUP(B2754,CadProd!$A:$B,2,0)),"")</f>
        <v/>
      </c>
      <c r="D2754" t="str">
        <f>IFERROR(IF(B2754="","",VLOOKUP(B2754,CadProd!$A:$C,3,0)),"")</f>
        <v/>
      </c>
      <c r="G2754" s="1" t="str">
        <f t="shared" ref="G2754:G2817" si="43">IFERROR(IF(B2754="","",F2754*E2754),"")</f>
        <v/>
      </c>
    </row>
    <row r="2755" spans="3:7" x14ac:dyDescent="0.3">
      <c r="C2755" t="str">
        <f>IFERROR(IF(B2755="","",VLOOKUP(B2755,CadProd!$A:$B,2,0)),"")</f>
        <v/>
      </c>
      <c r="D2755" t="str">
        <f>IFERROR(IF(B2755="","",VLOOKUP(B2755,CadProd!$A:$C,3,0)),"")</f>
        <v/>
      </c>
      <c r="G2755" s="1" t="str">
        <f t="shared" si="43"/>
        <v/>
      </c>
    </row>
    <row r="2756" spans="3:7" x14ac:dyDescent="0.3">
      <c r="C2756" t="str">
        <f>IFERROR(IF(B2756="","",VLOOKUP(B2756,CadProd!$A:$B,2,0)),"")</f>
        <v/>
      </c>
      <c r="D2756" t="str">
        <f>IFERROR(IF(B2756="","",VLOOKUP(B2756,CadProd!$A:$C,3,0)),"")</f>
        <v/>
      </c>
      <c r="G2756" s="1" t="str">
        <f t="shared" si="43"/>
        <v/>
      </c>
    </row>
    <row r="2757" spans="3:7" x14ac:dyDescent="0.3">
      <c r="C2757" t="str">
        <f>IFERROR(IF(B2757="","",VLOOKUP(B2757,CadProd!$A:$B,2,0)),"")</f>
        <v/>
      </c>
      <c r="D2757" t="str">
        <f>IFERROR(IF(B2757="","",VLOOKUP(B2757,CadProd!$A:$C,3,0)),"")</f>
        <v/>
      </c>
      <c r="G2757" s="1" t="str">
        <f t="shared" si="43"/>
        <v/>
      </c>
    </row>
    <row r="2758" spans="3:7" x14ac:dyDescent="0.3">
      <c r="C2758" t="str">
        <f>IFERROR(IF(B2758="","",VLOOKUP(B2758,CadProd!$A:$B,2,0)),"")</f>
        <v/>
      </c>
      <c r="D2758" t="str">
        <f>IFERROR(IF(B2758="","",VLOOKUP(B2758,CadProd!$A:$C,3,0)),"")</f>
        <v/>
      </c>
      <c r="G2758" s="1" t="str">
        <f t="shared" si="43"/>
        <v/>
      </c>
    </row>
    <row r="2759" spans="3:7" x14ac:dyDescent="0.3">
      <c r="C2759" t="str">
        <f>IFERROR(IF(B2759="","",VLOOKUP(B2759,CadProd!$A:$B,2,0)),"")</f>
        <v/>
      </c>
      <c r="D2759" t="str">
        <f>IFERROR(IF(B2759="","",VLOOKUP(B2759,CadProd!$A:$C,3,0)),"")</f>
        <v/>
      </c>
      <c r="G2759" s="1" t="str">
        <f t="shared" si="43"/>
        <v/>
      </c>
    </row>
    <row r="2760" spans="3:7" x14ac:dyDescent="0.3">
      <c r="C2760" t="str">
        <f>IFERROR(IF(B2760="","",VLOOKUP(B2760,CadProd!$A:$B,2,0)),"")</f>
        <v/>
      </c>
      <c r="D2760" t="str">
        <f>IFERROR(IF(B2760="","",VLOOKUP(B2760,CadProd!$A:$C,3,0)),"")</f>
        <v/>
      </c>
      <c r="G2760" s="1" t="str">
        <f t="shared" si="43"/>
        <v/>
      </c>
    </row>
    <row r="2761" spans="3:7" x14ac:dyDescent="0.3">
      <c r="C2761" t="str">
        <f>IFERROR(IF(B2761="","",VLOOKUP(B2761,CadProd!$A:$B,2,0)),"")</f>
        <v/>
      </c>
      <c r="D2761" t="str">
        <f>IFERROR(IF(B2761="","",VLOOKUP(B2761,CadProd!$A:$C,3,0)),"")</f>
        <v/>
      </c>
      <c r="G2761" s="1" t="str">
        <f t="shared" si="43"/>
        <v/>
      </c>
    </row>
    <row r="2762" spans="3:7" x14ac:dyDescent="0.3">
      <c r="C2762" t="str">
        <f>IFERROR(IF(B2762="","",VLOOKUP(B2762,CadProd!$A:$B,2,0)),"")</f>
        <v/>
      </c>
      <c r="D2762" t="str">
        <f>IFERROR(IF(B2762="","",VLOOKUP(B2762,CadProd!$A:$C,3,0)),"")</f>
        <v/>
      </c>
      <c r="G2762" s="1" t="str">
        <f t="shared" si="43"/>
        <v/>
      </c>
    </row>
    <row r="2763" spans="3:7" x14ac:dyDescent="0.3">
      <c r="C2763" t="str">
        <f>IFERROR(IF(B2763="","",VLOOKUP(B2763,CadProd!$A:$B,2,0)),"")</f>
        <v/>
      </c>
      <c r="D2763" t="str">
        <f>IFERROR(IF(B2763="","",VLOOKUP(B2763,CadProd!$A:$C,3,0)),"")</f>
        <v/>
      </c>
      <c r="G2763" s="1" t="str">
        <f t="shared" si="43"/>
        <v/>
      </c>
    </row>
    <row r="2764" spans="3:7" x14ac:dyDescent="0.3">
      <c r="C2764" t="str">
        <f>IFERROR(IF(B2764="","",VLOOKUP(B2764,CadProd!$A:$B,2,0)),"")</f>
        <v/>
      </c>
      <c r="D2764" t="str">
        <f>IFERROR(IF(B2764="","",VLOOKUP(B2764,CadProd!$A:$C,3,0)),"")</f>
        <v/>
      </c>
      <c r="G2764" s="1" t="str">
        <f t="shared" si="43"/>
        <v/>
      </c>
    </row>
    <row r="2765" spans="3:7" x14ac:dyDescent="0.3">
      <c r="C2765" t="str">
        <f>IFERROR(IF(B2765="","",VLOOKUP(B2765,CadProd!$A:$B,2,0)),"")</f>
        <v/>
      </c>
      <c r="D2765" t="str">
        <f>IFERROR(IF(B2765="","",VLOOKUP(B2765,CadProd!$A:$C,3,0)),"")</f>
        <v/>
      </c>
      <c r="G2765" s="1" t="str">
        <f t="shared" si="43"/>
        <v/>
      </c>
    </row>
    <row r="2766" spans="3:7" x14ac:dyDescent="0.3">
      <c r="C2766" t="str">
        <f>IFERROR(IF(B2766="","",VLOOKUP(B2766,CadProd!$A:$B,2,0)),"")</f>
        <v/>
      </c>
      <c r="D2766" t="str">
        <f>IFERROR(IF(B2766="","",VLOOKUP(B2766,CadProd!$A:$C,3,0)),"")</f>
        <v/>
      </c>
      <c r="G2766" s="1" t="str">
        <f t="shared" si="43"/>
        <v/>
      </c>
    </row>
    <row r="2767" spans="3:7" x14ac:dyDescent="0.3">
      <c r="C2767" t="str">
        <f>IFERROR(IF(B2767="","",VLOOKUP(B2767,CadProd!$A:$B,2,0)),"")</f>
        <v/>
      </c>
      <c r="D2767" t="str">
        <f>IFERROR(IF(B2767="","",VLOOKUP(B2767,CadProd!$A:$C,3,0)),"")</f>
        <v/>
      </c>
      <c r="G2767" s="1" t="str">
        <f t="shared" si="43"/>
        <v/>
      </c>
    </row>
    <row r="2768" spans="3:7" x14ac:dyDescent="0.3">
      <c r="C2768" t="str">
        <f>IFERROR(IF(B2768="","",VLOOKUP(B2768,CadProd!$A:$B,2,0)),"")</f>
        <v/>
      </c>
      <c r="D2768" t="str">
        <f>IFERROR(IF(B2768="","",VLOOKUP(B2768,CadProd!$A:$C,3,0)),"")</f>
        <v/>
      </c>
      <c r="G2768" s="1" t="str">
        <f t="shared" si="43"/>
        <v/>
      </c>
    </row>
    <row r="2769" spans="3:7" x14ac:dyDescent="0.3">
      <c r="C2769" t="str">
        <f>IFERROR(IF(B2769="","",VLOOKUP(B2769,CadProd!$A:$B,2,0)),"")</f>
        <v/>
      </c>
      <c r="D2769" t="str">
        <f>IFERROR(IF(B2769="","",VLOOKUP(B2769,CadProd!$A:$C,3,0)),"")</f>
        <v/>
      </c>
      <c r="G2769" s="1" t="str">
        <f t="shared" si="43"/>
        <v/>
      </c>
    </row>
    <row r="2770" spans="3:7" x14ac:dyDescent="0.3">
      <c r="C2770" t="str">
        <f>IFERROR(IF(B2770="","",VLOOKUP(B2770,CadProd!$A:$B,2,0)),"")</f>
        <v/>
      </c>
      <c r="D2770" t="str">
        <f>IFERROR(IF(B2770="","",VLOOKUP(B2770,CadProd!$A:$C,3,0)),"")</f>
        <v/>
      </c>
      <c r="G2770" s="1" t="str">
        <f t="shared" si="43"/>
        <v/>
      </c>
    </row>
    <row r="2771" spans="3:7" x14ac:dyDescent="0.3">
      <c r="C2771" t="str">
        <f>IFERROR(IF(B2771="","",VLOOKUP(B2771,CadProd!$A:$B,2,0)),"")</f>
        <v/>
      </c>
      <c r="D2771" t="str">
        <f>IFERROR(IF(B2771="","",VLOOKUP(B2771,CadProd!$A:$C,3,0)),"")</f>
        <v/>
      </c>
      <c r="G2771" s="1" t="str">
        <f t="shared" si="43"/>
        <v/>
      </c>
    </row>
    <row r="2772" spans="3:7" x14ac:dyDescent="0.3">
      <c r="C2772" t="str">
        <f>IFERROR(IF(B2772="","",VLOOKUP(B2772,CadProd!$A:$B,2,0)),"")</f>
        <v/>
      </c>
      <c r="D2772" t="str">
        <f>IFERROR(IF(B2772="","",VLOOKUP(B2772,CadProd!$A:$C,3,0)),"")</f>
        <v/>
      </c>
      <c r="G2772" s="1" t="str">
        <f t="shared" si="43"/>
        <v/>
      </c>
    </row>
    <row r="2773" spans="3:7" x14ac:dyDescent="0.3">
      <c r="C2773" t="str">
        <f>IFERROR(IF(B2773="","",VLOOKUP(B2773,CadProd!$A:$B,2,0)),"")</f>
        <v/>
      </c>
      <c r="D2773" t="str">
        <f>IFERROR(IF(B2773="","",VLOOKUP(B2773,CadProd!$A:$C,3,0)),"")</f>
        <v/>
      </c>
      <c r="G2773" s="1" t="str">
        <f t="shared" si="43"/>
        <v/>
      </c>
    </row>
    <row r="2774" spans="3:7" x14ac:dyDescent="0.3">
      <c r="C2774" t="str">
        <f>IFERROR(IF(B2774="","",VLOOKUP(B2774,CadProd!$A:$B,2,0)),"")</f>
        <v/>
      </c>
      <c r="D2774" t="str">
        <f>IFERROR(IF(B2774="","",VLOOKUP(B2774,CadProd!$A:$C,3,0)),"")</f>
        <v/>
      </c>
      <c r="G2774" s="1" t="str">
        <f t="shared" si="43"/>
        <v/>
      </c>
    </row>
    <row r="2775" spans="3:7" x14ac:dyDescent="0.3">
      <c r="C2775" t="str">
        <f>IFERROR(IF(B2775="","",VLOOKUP(B2775,CadProd!$A:$B,2,0)),"")</f>
        <v/>
      </c>
      <c r="D2775" t="str">
        <f>IFERROR(IF(B2775="","",VLOOKUP(B2775,CadProd!$A:$C,3,0)),"")</f>
        <v/>
      </c>
      <c r="G2775" s="1" t="str">
        <f t="shared" si="43"/>
        <v/>
      </c>
    </row>
    <row r="2776" spans="3:7" x14ac:dyDescent="0.3">
      <c r="C2776" t="str">
        <f>IFERROR(IF(B2776="","",VLOOKUP(B2776,CadProd!$A:$B,2,0)),"")</f>
        <v/>
      </c>
      <c r="D2776" t="str">
        <f>IFERROR(IF(B2776="","",VLOOKUP(B2776,CadProd!$A:$C,3,0)),"")</f>
        <v/>
      </c>
      <c r="G2776" s="1" t="str">
        <f t="shared" si="43"/>
        <v/>
      </c>
    </row>
    <row r="2777" spans="3:7" x14ac:dyDescent="0.3">
      <c r="C2777" t="str">
        <f>IFERROR(IF(B2777="","",VLOOKUP(B2777,CadProd!$A:$B,2,0)),"")</f>
        <v/>
      </c>
      <c r="D2777" t="str">
        <f>IFERROR(IF(B2777="","",VLOOKUP(B2777,CadProd!$A:$C,3,0)),"")</f>
        <v/>
      </c>
      <c r="G2777" s="1" t="str">
        <f t="shared" si="43"/>
        <v/>
      </c>
    </row>
    <row r="2778" spans="3:7" x14ac:dyDescent="0.3">
      <c r="C2778" t="str">
        <f>IFERROR(IF(B2778="","",VLOOKUP(B2778,CadProd!$A:$B,2,0)),"")</f>
        <v/>
      </c>
      <c r="D2778" t="str">
        <f>IFERROR(IF(B2778="","",VLOOKUP(B2778,CadProd!$A:$C,3,0)),"")</f>
        <v/>
      </c>
      <c r="G2778" s="1" t="str">
        <f t="shared" si="43"/>
        <v/>
      </c>
    </row>
    <row r="2779" spans="3:7" x14ac:dyDescent="0.3">
      <c r="C2779" t="str">
        <f>IFERROR(IF(B2779="","",VLOOKUP(B2779,CadProd!$A:$B,2,0)),"")</f>
        <v/>
      </c>
      <c r="D2779" t="str">
        <f>IFERROR(IF(B2779="","",VLOOKUP(B2779,CadProd!$A:$C,3,0)),"")</f>
        <v/>
      </c>
      <c r="G2779" s="1" t="str">
        <f t="shared" si="43"/>
        <v/>
      </c>
    </row>
    <row r="2780" spans="3:7" x14ac:dyDescent="0.3">
      <c r="C2780" t="str">
        <f>IFERROR(IF(B2780="","",VLOOKUP(B2780,CadProd!$A:$B,2,0)),"")</f>
        <v/>
      </c>
      <c r="D2780" t="str">
        <f>IFERROR(IF(B2780="","",VLOOKUP(B2780,CadProd!$A:$C,3,0)),"")</f>
        <v/>
      </c>
      <c r="G2780" s="1" t="str">
        <f t="shared" si="43"/>
        <v/>
      </c>
    </row>
    <row r="2781" spans="3:7" x14ac:dyDescent="0.3">
      <c r="C2781" t="str">
        <f>IFERROR(IF(B2781="","",VLOOKUP(B2781,CadProd!$A:$B,2,0)),"")</f>
        <v/>
      </c>
      <c r="D2781" t="str">
        <f>IFERROR(IF(B2781="","",VLOOKUP(B2781,CadProd!$A:$C,3,0)),"")</f>
        <v/>
      </c>
      <c r="G2781" s="1" t="str">
        <f t="shared" si="43"/>
        <v/>
      </c>
    </row>
    <row r="2782" spans="3:7" x14ac:dyDescent="0.3">
      <c r="C2782" t="str">
        <f>IFERROR(IF(B2782="","",VLOOKUP(B2782,CadProd!$A:$B,2,0)),"")</f>
        <v/>
      </c>
      <c r="D2782" t="str">
        <f>IFERROR(IF(B2782="","",VLOOKUP(B2782,CadProd!$A:$C,3,0)),"")</f>
        <v/>
      </c>
      <c r="G2782" s="1" t="str">
        <f t="shared" si="43"/>
        <v/>
      </c>
    </row>
    <row r="2783" spans="3:7" x14ac:dyDescent="0.3">
      <c r="C2783" t="str">
        <f>IFERROR(IF(B2783="","",VLOOKUP(B2783,CadProd!$A:$B,2,0)),"")</f>
        <v/>
      </c>
      <c r="D2783" t="str">
        <f>IFERROR(IF(B2783="","",VLOOKUP(B2783,CadProd!$A:$C,3,0)),"")</f>
        <v/>
      </c>
      <c r="G2783" s="1" t="str">
        <f t="shared" si="43"/>
        <v/>
      </c>
    </row>
    <row r="2784" spans="3:7" x14ac:dyDescent="0.3">
      <c r="C2784" t="str">
        <f>IFERROR(IF(B2784="","",VLOOKUP(B2784,CadProd!$A:$B,2,0)),"")</f>
        <v/>
      </c>
      <c r="D2784" t="str">
        <f>IFERROR(IF(B2784="","",VLOOKUP(B2784,CadProd!$A:$C,3,0)),"")</f>
        <v/>
      </c>
      <c r="G2784" s="1" t="str">
        <f t="shared" si="43"/>
        <v/>
      </c>
    </row>
    <row r="2785" spans="3:7" x14ac:dyDescent="0.3">
      <c r="C2785" t="str">
        <f>IFERROR(IF(B2785="","",VLOOKUP(B2785,CadProd!$A:$B,2,0)),"")</f>
        <v/>
      </c>
      <c r="D2785" t="str">
        <f>IFERROR(IF(B2785="","",VLOOKUP(B2785,CadProd!$A:$C,3,0)),"")</f>
        <v/>
      </c>
      <c r="G2785" s="1" t="str">
        <f t="shared" si="43"/>
        <v/>
      </c>
    </row>
    <row r="2786" spans="3:7" x14ac:dyDescent="0.3">
      <c r="C2786" t="str">
        <f>IFERROR(IF(B2786="","",VLOOKUP(B2786,CadProd!$A:$B,2,0)),"")</f>
        <v/>
      </c>
      <c r="D2786" t="str">
        <f>IFERROR(IF(B2786="","",VLOOKUP(B2786,CadProd!$A:$C,3,0)),"")</f>
        <v/>
      </c>
      <c r="G2786" s="1" t="str">
        <f t="shared" si="43"/>
        <v/>
      </c>
    </row>
    <row r="2787" spans="3:7" x14ac:dyDescent="0.3">
      <c r="C2787" t="str">
        <f>IFERROR(IF(B2787="","",VLOOKUP(B2787,CadProd!$A:$B,2,0)),"")</f>
        <v/>
      </c>
      <c r="D2787" t="str">
        <f>IFERROR(IF(B2787="","",VLOOKUP(B2787,CadProd!$A:$C,3,0)),"")</f>
        <v/>
      </c>
      <c r="G2787" s="1" t="str">
        <f t="shared" si="43"/>
        <v/>
      </c>
    </row>
    <row r="2788" spans="3:7" x14ac:dyDescent="0.3">
      <c r="C2788" t="str">
        <f>IFERROR(IF(B2788="","",VLOOKUP(B2788,CadProd!$A:$B,2,0)),"")</f>
        <v/>
      </c>
      <c r="D2788" t="str">
        <f>IFERROR(IF(B2788="","",VLOOKUP(B2788,CadProd!$A:$C,3,0)),"")</f>
        <v/>
      </c>
      <c r="G2788" s="1" t="str">
        <f t="shared" si="43"/>
        <v/>
      </c>
    </row>
    <row r="2789" spans="3:7" x14ac:dyDescent="0.3">
      <c r="C2789" t="str">
        <f>IFERROR(IF(B2789="","",VLOOKUP(B2789,CadProd!$A:$B,2,0)),"")</f>
        <v/>
      </c>
      <c r="D2789" t="str">
        <f>IFERROR(IF(B2789="","",VLOOKUP(B2789,CadProd!$A:$C,3,0)),"")</f>
        <v/>
      </c>
      <c r="G2789" s="1" t="str">
        <f t="shared" si="43"/>
        <v/>
      </c>
    </row>
    <row r="2790" spans="3:7" x14ac:dyDescent="0.3">
      <c r="C2790" t="str">
        <f>IFERROR(IF(B2790="","",VLOOKUP(B2790,CadProd!$A:$B,2,0)),"")</f>
        <v/>
      </c>
      <c r="D2790" t="str">
        <f>IFERROR(IF(B2790="","",VLOOKUP(B2790,CadProd!$A:$C,3,0)),"")</f>
        <v/>
      </c>
      <c r="G2790" s="1" t="str">
        <f t="shared" si="43"/>
        <v/>
      </c>
    </row>
    <row r="2791" spans="3:7" x14ac:dyDescent="0.3">
      <c r="C2791" t="str">
        <f>IFERROR(IF(B2791="","",VLOOKUP(B2791,CadProd!$A:$B,2,0)),"")</f>
        <v/>
      </c>
      <c r="D2791" t="str">
        <f>IFERROR(IF(B2791="","",VLOOKUP(B2791,CadProd!$A:$C,3,0)),"")</f>
        <v/>
      </c>
      <c r="G2791" s="1" t="str">
        <f t="shared" si="43"/>
        <v/>
      </c>
    </row>
    <row r="2792" spans="3:7" x14ac:dyDescent="0.3">
      <c r="C2792" t="str">
        <f>IFERROR(IF(B2792="","",VLOOKUP(B2792,CadProd!$A:$B,2,0)),"")</f>
        <v/>
      </c>
      <c r="D2792" t="str">
        <f>IFERROR(IF(B2792="","",VLOOKUP(B2792,CadProd!$A:$C,3,0)),"")</f>
        <v/>
      </c>
      <c r="G2792" s="1" t="str">
        <f t="shared" si="43"/>
        <v/>
      </c>
    </row>
    <row r="2793" spans="3:7" x14ac:dyDescent="0.3">
      <c r="C2793" t="str">
        <f>IFERROR(IF(B2793="","",VLOOKUP(B2793,CadProd!$A:$B,2,0)),"")</f>
        <v/>
      </c>
      <c r="D2793" t="str">
        <f>IFERROR(IF(B2793="","",VLOOKUP(B2793,CadProd!$A:$C,3,0)),"")</f>
        <v/>
      </c>
      <c r="G2793" s="1" t="str">
        <f t="shared" si="43"/>
        <v/>
      </c>
    </row>
    <row r="2794" spans="3:7" x14ac:dyDescent="0.3">
      <c r="C2794" t="str">
        <f>IFERROR(IF(B2794="","",VLOOKUP(B2794,CadProd!$A:$B,2,0)),"")</f>
        <v/>
      </c>
      <c r="D2794" t="str">
        <f>IFERROR(IF(B2794="","",VLOOKUP(B2794,CadProd!$A:$C,3,0)),"")</f>
        <v/>
      </c>
      <c r="G2794" s="1" t="str">
        <f t="shared" si="43"/>
        <v/>
      </c>
    </row>
    <row r="2795" spans="3:7" x14ac:dyDescent="0.3">
      <c r="C2795" t="str">
        <f>IFERROR(IF(B2795="","",VLOOKUP(B2795,CadProd!$A:$B,2,0)),"")</f>
        <v/>
      </c>
      <c r="D2795" t="str">
        <f>IFERROR(IF(B2795="","",VLOOKUP(B2795,CadProd!$A:$C,3,0)),"")</f>
        <v/>
      </c>
      <c r="G2795" s="1" t="str">
        <f t="shared" si="43"/>
        <v/>
      </c>
    </row>
    <row r="2796" spans="3:7" x14ac:dyDescent="0.3">
      <c r="C2796" t="str">
        <f>IFERROR(IF(B2796="","",VLOOKUP(B2796,CadProd!$A:$B,2,0)),"")</f>
        <v/>
      </c>
      <c r="D2796" t="str">
        <f>IFERROR(IF(B2796="","",VLOOKUP(B2796,CadProd!$A:$C,3,0)),"")</f>
        <v/>
      </c>
      <c r="G2796" s="1" t="str">
        <f t="shared" si="43"/>
        <v/>
      </c>
    </row>
    <row r="2797" spans="3:7" x14ac:dyDescent="0.3">
      <c r="C2797" t="str">
        <f>IFERROR(IF(B2797="","",VLOOKUP(B2797,CadProd!$A:$B,2,0)),"")</f>
        <v/>
      </c>
      <c r="D2797" t="str">
        <f>IFERROR(IF(B2797="","",VLOOKUP(B2797,CadProd!$A:$C,3,0)),"")</f>
        <v/>
      </c>
      <c r="G2797" s="1" t="str">
        <f t="shared" si="43"/>
        <v/>
      </c>
    </row>
    <row r="2798" spans="3:7" x14ac:dyDescent="0.3">
      <c r="C2798" t="str">
        <f>IFERROR(IF(B2798="","",VLOOKUP(B2798,CadProd!$A:$B,2,0)),"")</f>
        <v/>
      </c>
      <c r="D2798" t="str">
        <f>IFERROR(IF(B2798="","",VLOOKUP(B2798,CadProd!$A:$C,3,0)),"")</f>
        <v/>
      </c>
      <c r="G2798" s="1" t="str">
        <f t="shared" si="43"/>
        <v/>
      </c>
    </row>
    <row r="2799" spans="3:7" x14ac:dyDescent="0.3">
      <c r="C2799" t="str">
        <f>IFERROR(IF(B2799="","",VLOOKUP(B2799,CadProd!$A:$B,2,0)),"")</f>
        <v/>
      </c>
      <c r="D2799" t="str">
        <f>IFERROR(IF(B2799="","",VLOOKUP(B2799,CadProd!$A:$C,3,0)),"")</f>
        <v/>
      </c>
      <c r="G2799" s="1" t="str">
        <f t="shared" si="43"/>
        <v/>
      </c>
    </row>
    <row r="2800" spans="3:7" x14ac:dyDescent="0.3">
      <c r="C2800" t="str">
        <f>IFERROR(IF(B2800="","",VLOOKUP(B2800,CadProd!$A:$B,2,0)),"")</f>
        <v/>
      </c>
      <c r="D2800" t="str">
        <f>IFERROR(IF(B2800="","",VLOOKUP(B2800,CadProd!$A:$C,3,0)),"")</f>
        <v/>
      </c>
      <c r="G2800" s="1" t="str">
        <f t="shared" si="43"/>
        <v/>
      </c>
    </row>
    <row r="2801" spans="3:7" x14ac:dyDescent="0.3">
      <c r="C2801" t="str">
        <f>IFERROR(IF(B2801="","",VLOOKUP(B2801,CadProd!$A:$B,2,0)),"")</f>
        <v/>
      </c>
      <c r="D2801" t="str">
        <f>IFERROR(IF(B2801="","",VLOOKUP(B2801,CadProd!$A:$C,3,0)),"")</f>
        <v/>
      </c>
      <c r="G2801" s="1" t="str">
        <f t="shared" si="43"/>
        <v/>
      </c>
    </row>
    <row r="2802" spans="3:7" x14ac:dyDescent="0.3">
      <c r="C2802" t="str">
        <f>IFERROR(IF(B2802="","",VLOOKUP(B2802,CadProd!$A:$B,2,0)),"")</f>
        <v/>
      </c>
      <c r="D2802" t="str">
        <f>IFERROR(IF(B2802="","",VLOOKUP(B2802,CadProd!$A:$C,3,0)),"")</f>
        <v/>
      </c>
      <c r="G2802" s="1" t="str">
        <f t="shared" si="43"/>
        <v/>
      </c>
    </row>
    <row r="2803" spans="3:7" x14ac:dyDescent="0.3">
      <c r="C2803" t="str">
        <f>IFERROR(IF(B2803="","",VLOOKUP(B2803,CadProd!$A:$B,2,0)),"")</f>
        <v/>
      </c>
      <c r="D2803" t="str">
        <f>IFERROR(IF(B2803="","",VLOOKUP(B2803,CadProd!$A:$C,3,0)),"")</f>
        <v/>
      </c>
      <c r="G2803" s="1" t="str">
        <f t="shared" si="43"/>
        <v/>
      </c>
    </row>
    <row r="2804" spans="3:7" x14ac:dyDescent="0.3">
      <c r="C2804" t="str">
        <f>IFERROR(IF(B2804="","",VLOOKUP(B2804,CadProd!$A:$B,2,0)),"")</f>
        <v/>
      </c>
      <c r="D2804" t="str">
        <f>IFERROR(IF(B2804="","",VLOOKUP(B2804,CadProd!$A:$C,3,0)),"")</f>
        <v/>
      </c>
      <c r="G2804" s="1" t="str">
        <f t="shared" si="43"/>
        <v/>
      </c>
    </row>
    <row r="2805" spans="3:7" x14ac:dyDescent="0.3">
      <c r="C2805" t="str">
        <f>IFERROR(IF(B2805="","",VLOOKUP(B2805,CadProd!$A:$B,2,0)),"")</f>
        <v/>
      </c>
      <c r="D2805" t="str">
        <f>IFERROR(IF(B2805="","",VLOOKUP(B2805,CadProd!$A:$C,3,0)),"")</f>
        <v/>
      </c>
      <c r="G2805" s="1" t="str">
        <f t="shared" si="43"/>
        <v/>
      </c>
    </row>
    <row r="2806" spans="3:7" x14ac:dyDescent="0.3">
      <c r="C2806" t="str">
        <f>IFERROR(IF(B2806="","",VLOOKUP(B2806,CadProd!$A:$B,2,0)),"")</f>
        <v/>
      </c>
      <c r="D2806" t="str">
        <f>IFERROR(IF(B2806="","",VLOOKUP(B2806,CadProd!$A:$C,3,0)),"")</f>
        <v/>
      </c>
      <c r="G2806" s="1" t="str">
        <f t="shared" si="43"/>
        <v/>
      </c>
    </row>
    <row r="2807" spans="3:7" x14ac:dyDescent="0.3">
      <c r="C2807" t="str">
        <f>IFERROR(IF(B2807="","",VLOOKUP(B2807,CadProd!$A:$B,2,0)),"")</f>
        <v/>
      </c>
      <c r="D2807" t="str">
        <f>IFERROR(IF(B2807="","",VLOOKUP(B2807,CadProd!$A:$C,3,0)),"")</f>
        <v/>
      </c>
      <c r="G2807" s="1" t="str">
        <f t="shared" si="43"/>
        <v/>
      </c>
    </row>
    <row r="2808" spans="3:7" x14ac:dyDescent="0.3">
      <c r="C2808" t="str">
        <f>IFERROR(IF(B2808="","",VLOOKUP(B2808,CadProd!$A:$B,2,0)),"")</f>
        <v/>
      </c>
      <c r="D2808" t="str">
        <f>IFERROR(IF(B2808="","",VLOOKUP(B2808,CadProd!$A:$C,3,0)),"")</f>
        <v/>
      </c>
      <c r="G2808" s="1" t="str">
        <f t="shared" si="43"/>
        <v/>
      </c>
    </row>
    <row r="2809" spans="3:7" x14ac:dyDescent="0.3">
      <c r="C2809" t="str">
        <f>IFERROR(IF(B2809="","",VLOOKUP(B2809,CadProd!$A:$B,2,0)),"")</f>
        <v/>
      </c>
      <c r="D2809" t="str">
        <f>IFERROR(IF(B2809="","",VLOOKUP(B2809,CadProd!$A:$C,3,0)),"")</f>
        <v/>
      </c>
      <c r="G2809" s="1" t="str">
        <f t="shared" si="43"/>
        <v/>
      </c>
    </row>
    <row r="2810" spans="3:7" x14ac:dyDescent="0.3">
      <c r="C2810" t="str">
        <f>IFERROR(IF(B2810="","",VLOOKUP(B2810,CadProd!$A:$B,2,0)),"")</f>
        <v/>
      </c>
      <c r="D2810" t="str">
        <f>IFERROR(IF(B2810="","",VLOOKUP(B2810,CadProd!$A:$C,3,0)),"")</f>
        <v/>
      </c>
      <c r="G2810" s="1" t="str">
        <f t="shared" si="43"/>
        <v/>
      </c>
    </row>
    <row r="2811" spans="3:7" x14ac:dyDescent="0.3">
      <c r="C2811" t="str">
        <f>IFERROR(IF(B2811="","",VLOOKUP(B2811,CadProd!$A:$B,2,0)),"")</f>
        <v/>
      </c>
      <c r="D2811" t="str">
        <f>IFERROR(IF(B2811="","",VLOOKUP(B2811,CadProd!$A:$C,3,0)),"")</f>
        <v/>
      </c>
      <c r="G2811" s="1" t="str">
        <f t="shared" si="43"/>
        <v/>
      </c>
    </row>
    <row r="2812" spans="3:7" x14ac:dyDescent="0.3">
      <c r="C2812" t="str">
        <f>IFERROR(IF(B2812="","",VLOOKUP(B2812,CadProd!$A:$B,2,0)),"")</f>
        <v/>
      </c>
      <c r="D2812" t="str">
        <f>IFERROR(IF(B2812="","",VLOOKUP(B2812,CadProd!$A:$C,3,0)),"")</f>
        <v/>
      </c>
      <c r="G2812" s="1" t="str">
        <f t="shared" si="43"/>
        <v/>
      </c>
    </row>
    <row r="2813" spans="3:7" x14ac:dyDescent="0.3">
      <c r="C2813" t="str">
        <f>IFERROR(IF(B2813="","",VLOOKUP(B2813,CadProd!$A:$B,2,0)),"")</f>
        <v/>
      </c>
      <c r="D2813" t="str">
        <f>IFERROR(IF(B2813="","",VLOOKUP(B2813,CadProd!$A:$C,3,0)),"")</f>
        <v/>
      </c>
      <c r="G2813" s="1" t="str">
        <f t="shared" si="43"/>
        <v/>
      </c>
    </row>
    <row r="2814" spans="3:7" x14ac:dyDescent="0.3">
      <c r="C2814" t="str">
        <f>IFERROR(IF(B2814="","",VLOOKUP(B2814,CadProd!$A:$B,2,0)),"")</f>
        <v/>
      </c>
      <c r="D2814" t="str">
        <f>IFERROR(IF(B2814="","",VLOOKUP(B2814,CadProd!$A:$C,3,0)),"")</f>
        <v/>
      </c>
      <c r="G2814" s="1" t="str">
        <f t="shared" si="43"/>
        <v/>
      </c>
    </row>
    <row r="2815" spans="3:7" x14ac:dyDescent="0.3">
      <c r="C2815" t="str">
        <f>IFERROR(IF(B2815="","",VLOOKUP(B2815,CadProd!$A:$B,2,0)),"")</f>
        <v/>
      </c>
      <c r="D2815" t="str">
        <f>IFERROR(IF(B2815="","",VLOOKUP(B2815,CadProd!$A:$C,3,0)),"")</f>
        <v/>
      </c>
      <c r="G2815" s="1" t="str">
        <f t="shared" si="43"/>
        <v/>
      </c>
    </row>
    <row r="2816" spans="3:7" x14ac:dyDescent="0.3">
      <c r="C2816" t="str">
        <f>IFERROR(IF(B2816="","",VLOOKUP(B2816,CadProd!$A:$B,2,0)),"")</f>
        <v/>
      </c>
      <c r="D2816" t="str">
        <f>IFERROR(IF(B2816="","",VLOOKUP(B2816,CadProd!$A:$C,3,0)),"")</f>
        <v/>
      </c>
      <c r="G2816" s="1" t="str">
        <f t="shared" si="43"/>
        <v/>
      </c>
    </row>
    <row r="2817" spans="3:7" x14ac:dyDescent="0.3">
      <c r="C2817" t="str">
        <f>IFERROR(IF(B2817="","",VLOOKUP(B2817,CadProd!$A:$B,2,0)),"")</f>
        <v/>
      </c>
      <c r="D2817" t="str">
        <f>IFERROR(IF(B2817="","",VLOOKUP(B2817,CadProd!$A:$C,3,0)),"")</f>
        <v/>
      </c>
      <c r="G2817" s="1" t="str">
        <f t="shared" si="43"/>
        <v/>
      </c>
    </row>
    <row r="2818" spans="3:7" x14ac:dyDescent="0.3">
      <c r="C2818" t="str">
        <f>IFERROR(IF(B2818="","",VLOOKUP(B2818,CadProd!$A:$B,2,0)),"")</f>
        <v/>
      </c>
      <c r="D2818" t="str">
        <f>IFERROR(IF(B2818="","",VLOOKUP(B2818,CadProd!$A:$C,3,0)),"")</f>
        <v/>
      </c>
      <c r="G2818" s="1" t="str">
        <f t="shared" ref="G2818:G2881" si="44">IFERROR(IF(B2818="","",F2818*E2818),"")</f>
        <v/>
      </c>
    </row>
    <row r="2819" spans="3:7" x14ac:dyDescent="0.3">
      <c r="C2819" t="str">
        <f>IFERROR(IF(B2819="","",VLOOKUP(B2819,CadProd!$A:$B,2,0)),"")</f>
        <v/>
      </c>
      <c r="D2819" t="str">
        <f>IFERROR(IF(B2819="","",VLOOKUP(B2819,CadProd!$A:$C,3,0)),"")</f>
        <v/>
      </c>
      <c r="G2819" s="1" t="str">
        <f t="shared" si="44"/>
        <v/>
      </c>
    </row>
    <row r="2820" spans="3:7" x14ac:dyDescent="0.3">
      <c r="C2820" t="str">
        <f>IFERROR(IF(B2820="","",VLOOKUP(B2820,CadProd!$A:$B,2,0)),"")</f>
        <v/>
      </c>
      <c r="D2820" t="str">
        <f>IFERROR(IF(B2820="","",VLOOKUP(B2820,CadProd!$A:$C,3,0)),"")</f>
        <v/>
      </c>
      <c r="G2820" s="1" t="str">
        <f t="shared" si="44"/>
        <v/>
      </c>
    </row>
    <row r="2821" spans="3:7" x14ac:dyDescent="0.3">
      <c r="C2821" t="str">
        <f>IFERROR(IF(B2821="","",VLOOKUP(B2821,CadProd!$A:$B,2,0)),"")</f>
        <v/>
      </c>
      <c r="D2821" t="str">
        <f>IFERROR(IF(B2821="","",VLOOKUP(B2821,CadProd!$A:$C,3,0)),"")</f>
        <v/>
      </c>
      <c r="G2821" s="1" t="str">
        <f t="shared" si="44"/>
        <v/>
      </c>
    </row>
    <row r="2822" spans="3:7" x14ac:dyDescent="0.3">
      <c r="C2822" t="str">
        <f>IFERROR(IF(B2822="","",VLOOKUP(B2822,CadProd!$A:$B,2,0)),"")</f>
        <v/>
      </c>
      <c r="D2822" t="str">
        <f>IFERROR(IF(B2822="","",VLOOKUP(B2822,CadProd!$A:$C,3,0)),"")</f>
        <v/>
      </c>
      <c r="G2822" s="1" t="str">
        <f t="shared" si="44"/>
        <v/>
      </c>
    </row>
    <row r="2823" spans="3:7" x14ac:dyDescent="0.3">
      <c r="C2823" t="str">
        <f>IFERROR(IF(B2823="","",VLOOKUP(B2823,CadProd!$A:$B,2,0)),"")</f>
        <v/>
      </c>
      <c r="D2823" t="str">
        <f>IFERROR(IF(B2823="","",VLOOKUP(B2823,CadProd!$A:$C,3,0)),"")</f>
        <v/>
      </c>
      <c r="G2823" s="1" t="str">
        <f t="shared" si="44"/>
        <v/>
      </c>
    </row>
    <row r="2824" spans="3:7" x14ac:dyDescent="0.3">
      <c r="C2824" t="str">
        <f>IFERROR(IF(B2824="","",VLOOKUP(B2824,CadProd!$A:$B,2,0)),"")</f>
        <v/>
      </c>
      <c r="D2824" t="str">
        <f>IFERROR(IF(B2824="","",VLOOKUP(B2824,CadProd!$A:$C,3,0)),"")</f>
        <v/>
      </c>
      <c r="G2824" s="1" t="str">
        <f t="shared" si="44"/>
        <v/>
      </c>
    </row>
    <row r="2825" spans="3:7" x14ac:dyDescent="0.3">
      <c r="C2825" t="str">
        <f>IFERROR(IF(B2825="","",VLOOKUP(B2825,CadProd!$A:$B,2,0)),"")</f>
        <v/>
      </c>
      <c r="D2825" t="str">
        <f>IFERROR(IF(B2825="","",VLOOKUP(B2825,CadProd!$A:$C,3,0)),"")</f>
        <v/>
      </c>
      <c r="G2825" s="1" t="str">
        <f t="shared" si="44"/>
        <v/>
      </c>
    </row>
    <row r="2826" spans="3:7" x14ac:dyDescent="0.3">
      <c r="C2826" t="str">
        <f>IFERROR(IF(B2826="","",VLOOKUP(B2826,CadProd!$A:$B,2,0)),"")</f>
        <v/>
      </c>
      <c r="D2826" t="str">
        <f>IFERROR(IF(B2826="","",VLOOKUP(B2826,CadProd!$A:$C,3,0)),"")</f>
        <v/>
      </c>
      <c r="G2826" s="1" t="str">
        <f t="shared" si="44"/>
        <v/>
      </c>
    </row>
    <row r="2827" spans="3:7" x14ac:dyDescent="0.3">
      <c r="C2827" t="str">
        <f>IFERROR(IF(B2827="","",VLOOKUP(B2827,CadProd!$A:$B,2,0)),"")</f>
        <v/>
      </c>
      <c r="D2827" t="str">
        <f>IFERROR(IF(B2827="","",VLOOKUP(B2827,CadProd!$A:$C,3,0)),"")</f>
        <v/>
      </c>
      <c r="G2827" s="1" t="str">
        <f t="shared" si="44"/>
        <v/>
      </c>
    </row>
    <row r="2828" spans="3:7" x14ac:dyDescent="0.3">
      <c r="C2828" t="str">
        <f>IFERROR(IF(B2828="","",VLOOKUP(B2828,CadProd!$A:$B,2,0)),"")</f>
        <v/>
      </c>
      <c r="D2828" t="str">
        <f>IFERROR(IF(B2828="","",VLOOKUP(B2828,CadProd!$A:$C,3,0)),"")</f>
        <v/>
      </c>
      <c r="G2828" s="1" t="str">
        <f t="shared" si="44"/>
        <v/>
      </c>
    </row>
    <row r="2829" spans="3:7" x14ac:dyDescent="0.3">
      <c r="C2829" t="str">
        <f>IFERROR(IF(B2829="","",VLOOKUP(B2829,CadProd!$A:$B,2,0)),"")</f>
        <v/>
      </c>
      <c r="D2829" t="str">
        <f>IFERROR(IF(B2829="","",VLOOKUP(B2829,CadProd!$A:$C,3,0)),"")</f>
        <v/>
      </c>
      <c r="G2829" s="1" t="str">
        <f t="shared" si="44"/>
        <v/>
      </c>
    </row>
    <row r="2830" spans="3:7" x14ac:dyDescent="0.3">
      <c r="C2830" t="str">
        <f>IFERROR(IF(B2830="","",VLOOKUP(B2830,CadProd!$A:$B,2,0)),"")</f>
        <v/>
      </c>
      <c r="D2830" t="str">
        <f>IFERROR(IF(B2830="","",VLOOKUP(B2830,CadProd!$A:$C,3,0)),"")</f>
        <v/>
      </c>
      <c r="G2830" s="1" t="str">
        <f t="shared" si="44"/>
        <v/>
      </c>
    </row>
    <row r="2831" spans="3:7" x14ac:dyDescent="0.3">
      <c r="C2831" t="str">
        <f>IFERROR(IF(B2831="","",VLOOKUP(B2831,CadProd!$A:$B,2,0)),"")</f>
        <v/>
      </c>
      <c r="D2831" t="str">
        <f>IFERROR(IF(B2831="","",VLOOKUP(B2831,CadProd!$A:$C,3,0)),"")</f>
        <v/>
      </c>
      <c r="G2831" s="1" t="str">
        <f t="shared" si="44"/>
        <v/>
      </c>
    </row>
    <row r="2832" spans="3:7" x14ac:dyDescent="0.3">
      <c r="C2832" t="str">
        <f>IFERROR(IF(B2832="","",VLOOKUP(B2832,CadProd!$A:$B,2,0)),"")</f>
        <v/>
      </c>
      <c r="D2832" t="str">
        <f>IFERROR(IF(B2832="","",VLOOKUP(B2832,CadProd!$A:$C,3,0)),"")</f>
        <v/>
      </c>
      <c r="G2832" s="1" t="str">
        <f t="shared" si="44"/>
        <v/>
      </c>
    </row>
    <row r="2833" spans="3:7" x14ac:dyDescent="0.3">
      <c r="C2833" t="str">
        <f>IFERROR(IF(B2833="","",VLOOKUP(B2833,CadProd!$A:$B,2,0)),"")</f>
        <v/>
      </c>
      <c r="D2833" t="str">
        <f>IFERROR(IF(B2833="","",VLOOKUP(B2833,CadProd!$A:$C,3,0)),"")</f>
        <v/>
      </c>
      <c r="G2833" s="1" t="str">
        <f t="shared" si="44"/>
        <v/>
      </c>
    </row>
    <row r="2834" spans="3:7" x14ac:dyDescent="0.3">
      <c r="C2834" t="str">
        <f>IFERROR(IF(B2834="","",VLOOKUP(B2834,CadProd!$A:$B,2,0)),"")</f>
        <v/>
      </c>
      <c r="D2834" t="str">
        <f>IFERROR(IF(B2834="","",VLOOKUP(B2834,CadProd!$A:$C,3,0)),"")</f>
        <v/>
      </c>
      <c r="G2834" s="1" t="str">
        <f t="shared" si="44"/>
        <v/>
      </c>
    </row>
    <row r="2835" spans="3:7" x14ac:dyDescent="0.3">
      <c r="C2835" t="str">
        <f>IFERROR(IF(B2835="","",VLOOKUP(B2835,CadProd!$A:$B,2,0)),"")</f>
        <v/>
      </c>
      <c r="D2835" t="str">
        <f>IFERROR(IF(B2835="","",VLOOKUP(B2835,CadProd!$A:$C,3,0)),"")</f>
        <v/>
      </c>
      <c r="G2835" s="1" t="str">
        <f t="shared" si="44"/>
        <v/>
      </c>
    </row>
    <row r="2836" spans="3:7" x14ac:dyDescent="0.3">
      <c r="C2836" t="str">
        <f>IFERROR(IF(B2836="","",VLOOKUP(B2836,CadProd!$A:$B,2,0)),"")</f>
        <v/>
      </c>
      <c r="D2836" t="str">
        <f>IFERROR(IF(B2836="","",VLOOKUP(B2836,CadProd!$A:$C,3,0)),"")</f>
        <v/>
      </c>
      <c r="G2836" s="1" t="str">
        <f t="shared" si="44"/>
        <v/>
      </c>
    </row>
    <row r="2837" spans="3:7" x14ac:dyDescent="0.3">
      <c r="C2837" t="str">
        <f>IFERROR(IF(B2837="","",VLOOKUP(B2837,CadProd!$A:$B,2,0)),"")</f>
        <v/>
      </c>
      <c r="D2837" t="str">
        <f>IFERROR(IF(B2837="","",VLOOKUP(B2837,CadProd!$A:$C,3,0)),"")</f>
        <v/>
      </c>
      <c r="G2837" s="1" t="str">
        <f t="shared" si="44"/>
        <v/>
      </c>
    </row>
    <row r="2838" spans="3:7" x14ac:dyDescent="0.3">
      <c r="C2838" t="str">
        <f>IFERROR(IF(B2838="","",VLOOKUP(B2838,CadProd!$A:$B,2,0)),"")</f>
        <v/>
      </c>
      <c r="D2838" t="str">
        <f>IFERROR(IF(B2838="","",VLOOKUP(B2838,CadProd!$A:$C,3,0)),"")</f>
        <v/>
      </c>
      <c r="G2838" s="1" t="str">
        <f t="shared" si="44"/>
        <v/>
      </c>
    </row>
    <row r="2839" spans="3:7" x14ac:dyDescent="0.3">
      <c r="C2839" t="str">
        <f>IFERROR(IF(B2839="","",VLOOKUP(B2839,CadProd!$A:$B,2,0)),"")</f>
        <v/>
      </c>
      <c r="D2839" t="str">
        <f>IFERROR(IF(B2839="","",VLOOKUP(B2839,CadProd!$A:$C,3,0)),"")</f>
        <v/>
      </c>
      <c r="G2839" s="1" t="str">
        <f t="shared" si="44"/>
        <v/>
      </c>
    </row>
    <row r="2840" spans="3:7" x14ac:dyDescent="0.3">
      <c r="C2840" t="str">
        <f>IFERROR(IF(B2840="","",VLOOKUP(B2840,CadProd!$A:$B,2,0)),"")</f>
        <v/>
      </c>
      <c r="D2840" t="str">
        <f>IFERROR(IF(B2840="","",VLOOKUP(B2840,CadProd!$A:$C,3,0)),"")</f>
        <v/>
      </c>
      <c r="G2840" s="1" t="str">
        <f t="shared" si="44"/>
        <v/>
      </c>
    </row>
    <row r="2841" spans="3:7" x14ac:dyDescent="0.3">
      <c r="C2841" t="str">
        <f>IFERROR(IF(B2841="","",VLOOKUP(B2841,CadProd!$A:$B,2,0)),"")</f>
        <v/>
      </c>
      <c r="D2841" t="str">
        <f>IFERROR(IF(B2841="","",VLOOKUP(B2841,CadProd!$A:$C,3,0)),"")</f>
        <v/>
      </c>
      <c r="G2841" s="1" t="str">
        <f t="shared" si="44"/>
        <v/>
      </c>
    </row>
    <row r="2842" spans="3:7" x14ac:dyDescent="0.3">
      <c r="C2842" t="str">
        <f>IFERROR(IF(B2842="","",VLOOKUP(B2842,CadProd!$A:$B,2,0)),"")</f>
        <v/>
      </c>
      <c r="D2842" t="str">
        <f>IFERROR(IF(B2842="","",VLOOKUP(B2842,CadProd!$A:$C,3,0)),"")</f>
        <v/>
      </c>
      <c r="G2842" s="1" t="str">
        <f t="shared" si="44"/>
        <v/>
      </c>
    </row>
    <row r="2843" spans="3:7" x14ac:dyDescent="0.3">
      <c r="C2843" t="str">
        <f>IFERROR(IF(B2843="","",VLOOKUP(B2843,CadProd!$A:$B,2,0)),"")</f>
        <v/>
      </c>
      <c r="D2843" t="str">
        <f>IFERROR(IF(B2843="","",VLOOKUP(B2843,CadProd!$A:$C,3,0)),"")</f>
        <v/>
      </c>
      <c r="G2843" s="1" t="str">
        <f t="shared" si="44"/>
        <v/>
      </c>
    </row>
    <row r="2844" spans="3:7" x14ac:dyDescent="0.3">
      <c r="C2844" t="str">
        <f>IFERROR(IF(B2844="","",VLOOKUP(B2844,CadProd!$A:$B,2,0)),"")</f>
        <v/>
      </c>
      <c r="D2844" t="str">
        <f>IFERROR(IF(B2844="","",VLOOKUP(B2844,CadProd!$A:$C,3,0)),"")</f>
        <v/>
      </c>
      <c r="G2844" s="1" t="str">
        <f t="shared" si="44"/>
        <v/>
      </c>
    </row>
    <row r="2845" spans="3:7" x14ac:dyDescent="0.3">
      <c r="C2845" t="str">
        <f>IFERROR(IF(B2845="","",VLOOKUP(B2845,CadProd!$A:$B,2,0)),"")</f>
        <v/>
      </c>
      <c r="D2845" t="str">
        <f>IFERROR(IF(B2845="","",VLOOKUP(B2845,CadProd!$A:$C,3,0)),"")</f>
        <v/>
      </c>
      <c r="G2845" s="1" t="str">
        <f t="shared" si="44"/>
        <v/>
      </c>
    </row>
    <row r="2846" spans="3:7" x14ac:dyDescent="0.3">
      <c r="C2846" t="str">
        <f>IFERROR(IF(B2846="","",VLOOKUP(B2846,CadProd!$A:$B,2,0)),"")</f>
        <v/>
      </c>
      <c r="D2846" t="str">
        <f>IFERROR(IF(B2846="","",VLOOKUP(B2846,CadProd!$A:$C,3,0)),"")</f>
        <v/>
      </c>
      <c r="G2846" s="1" t="str">
        <f t="shared" si="44"/>
        <v/>
      </c>
    </row>
    <row r="2847" spans="3:7" x14ac:dyDescent="0.3">
      <c r="C2847" t="str">
        <f>IFERROR(IF(B2847="","",VLOOKUP(B2847,CadProd!$A:$B,2,0)),"")</f>
        <v/>
      </c>
      <c r="D2847" t="str">
        <f>IFERROR(IF(B2847="","",VLOOKUP(B2847,CadProd!$A:$C,3,0)),"")</f>
        <v/>
      </c>
      <c r="G2847" s="1" t="str">
        <f t="shared" si="44"/>
        <v/>
      </c>
    </row>
    <row r="2848" spans="3:7" x14ac:dyDescent="0.3">
      <c r="C2848" t="str">
        <f>IFERROR(IF(B2848="","",VLOOKUP(B2848,CadProd!$A:$B,2,0)),"")</f>
        <v/>
      </c>
      <c r="D2848" t="str">
        <f>IFERROR(IF(B2848="","",VLOOKUP(B2848,CadProd!$A:$C,3,0)),"")</f>
        <v/>
      </c>
      <c r="G2848" s="1" t="str">
        <f t="shared" si="44"/>
        <v/>
      </c>
    </row>
    <row r="2849" spans="3:7" x14ac:dyDescent="0.3">
      <c r="C2849" t="str">
        <f>IFERROR(IF(B2849="","",VLOOKUP(B2849,CadProd!$A:$B,2,0)),"")</f>
        <v/>
      </c>
      <c r="D2849" t="str">
        <f>IFERROR(IF(B2849="","",VLOOKUP(B2849,CadProd!$A:$C,3,0)),"")</f>
        <v/>
      </c>
      <c r="G2849" s="1" t="str">
        <f t="shared" si="44"/>
        <v/>
      </c>
    </row>
    <row r="2850" spans="3:7" x14ac:dyDescent="0.3">
      <c r="C2850" t="str">
        <f>IFERROR(IF(B2850="","",VLOOKUP(B2850,CadProd!$A:$B,2,0)),"")</f>
        <v/>
      </c>
      <c r="D2850" t="str">
        <f>IFERROR(IF(B2850="","",VLOOKUP(B2850,CadProd!$A:$C,3,0)),"")</f>
        <v/>
      </c>
      <c r="G2850" s="1" t="str">
        <f t="shared" si="44"/>
        <v/>
      </c>
    </row>
    <row r="2851" spans="3:7" x14ac:dyDescent="0.3">
      <c r="C2851" t="str">
        <f>IFERROR(IF(B2851="","",VLOOKUP(B2851,CadProd!$A:$B,2,0)),"")</f>
        <v/>
      </c>
      <c r="D2851" t="str">
        <f>IFERROR(IF(B2851="","",VLOOKUP(B2851,CadProd!$A:$C,3,0)),"")</f>
        <v/>
      </c>
      <c r="G2851" s="1" t="str">
        <f t="shared" si="44"/>
        <v/>
      </c>
    </row>
    <row r="2852" spans="3:7" x14ac:dyDescent="0.3">
      <c r="C2852" t="str">
        <f>IFERROR(IF(B2852="","",VLOOKUP(B2852,CadProd!$A:$B,2,0)),"")</f>
        <v/>
      </c>
      <c r="D2852" t="str">
        <f>IFERROR(IF(B2852="","",VLOOKUP(B2852,CadProd!$A:$C,3,0)),"")</f>
        <v/>
      </c>
      <c r="G2852" s="1" t="str">
        <f t="shared" si="44"/>
        <v/>
      </c>
    </row>
    <row r="2853" spans="3:7" x14ac:dyDescent="0.3">
      <c r="C2853" t="str">
        <f>IFERROR(IF(B2853="","",VLOOKUP(B2853,CadProd!$A:$B,2,0)),"")</f>
        <v/>
      </c>
      <c r="D2853" t="str">
        <f>IFERROR(IF(B2853="","",VLOOKUP(B2853,CadProd!$A:$C,3,0)),"")</f>
        <v/>
      </c>
      <c r="G2853" s="1" t="str">
        <f t="shared" si="44"/>
        <v/>
      </c>
    </row>
    <row r="2854" spans="3:7" x14ac:dyDescent="0.3">
      <c r="C2854" t="str">
        <f>IFERROR(IF(B2854="","",VLOOKUP(B2854,CadProd!$A:$B,2,0)),"")</f>
        <v/>
      </c>
      <c r="D2854" t="str">
        <f>IFERROR(IF(B2854="","",VLOOKUP(B2854,CadProd!$A:$C,3,0)),"")</f>
        <v/>
      </c>
      <c r="G2854" s="1" t="str">
        <f t="shared" si="44"/>
        <v/>
      </c>
    </row>
    <row r="2855" spans="3:7" x14ac:dyDescent="0.3">
      <c r="C2855" t="str">
        <f>IFERROR(IF(B2855="","",VLOOKUP(B2855,CadProd!$A:$B,2,0)),"")</f>
        <v/>
      </c>
      <c r="D2855" t="str">
        <f>IFERROR(IF(B2855="","",VLOOKUP(B2855,CadProd!$A:$C,3,0)),"")</f>
        <v/>
      </c>
      <c r="G2855" s="1" t="str">
        <f t="shared" si="44"/>
        <v/>
      </c>
    </row>
    <row r="2856" spans="3:7" x14ac:dyDescent="0.3">
      <c r="C2856" t="str">
        <f>IFERROR(IF(B2856="","",VLOOKUP(B2856,CadProd!$A:$B,2,0)),"")</f>
        <v/>
      </c>
      <c r="D2856" t="str">
        <f>IFERROR(IF(B2856="","",VLOOKUP(B2856,CadProd!$A:$C,3,0)),"")</f>
        <v/>
      </c>
      <c r="G2856" s="1" t="str">
        <f t="shared" si="44"/>
        <v/>
      </c>
    </row>
    <row r="2857" spans="3:7" x14ac:dyDescent="0.3">
      <c r="C2857" t="str">
        <f>IFERROR(IF(B2857="","",VLOOKUP(B2857,CadProd!$A:$B,2,0)),"")</f>
        <v/>
      </c>
      <c r="D2857" t="str">
        <f>IFERROR(IF(B2857="","",VLOOKUP(B2857,CadProd!$A:$C,3,0)),"")</f>
        <v/>
      </c>
      <c r="G2857" s="1" t="str">
        <f t="shared" si="44"/>
        <v/>
      </c>
    </row>
    <row r="2858" spans="3:7" x14ac:dyDescent="0.3">
      <c r="C2858" t="str">
        <f>IFERROR(IF(B2858="","",VLOOKUP(B2858,CadProd!$A:$B,2,0)),"")</f>
        <v/>
      </c>
      <c r="D2858" t="str">
        <f>IFERROR(IF(B2858="","",VLOOKUP(B2858,CadProd!$A:$C,3,0)),"")</f>
        <v/>
      </c>
      <c r="G2858" s="1" t="str">
        <f t="shared" si="44"/>
        <v/>
      </c>
    </row>
    <row r="2859" spans="3:7" x14ac:dyDescent="0.3">
      <c r="C2859" t="str">
        <f>IFERROR(IF(B2859="","",VLOOKUP(B2859,CadProd!$A:$B,2,0)),"")</f>
        <v/>
      </c>
      <c r="D2859" t="str">
        <f>IFERROR(IF(B2859="","",VLOOKUP(B2859,CadProd!$A:$C,3,0)),"")</f>
        <v/>
      </c>
      <c r="G2859" s="1" t="str">
        <f t="shared" si="44"/>
        <v/>
      </c>
    </row>
    <row r="2860" spans="3:7" x14ac:dyDescent="0.3">
      <c r="C2860" t="str">
        <f>IFERROR(IF(B2860="","",VLOOKUP(B2860,CadProd!$A:$B,2,0)),"")</f>
        <v/>
      </c>
      <c r="D2860" t="str">
        <f>IFERROR(IF(B2860="","",VLOOKUP(B2860,CadProd!$A:$C,3,0)),"")</f>
        <v/>
      </c>
      <c r="G2860" s="1" t="str">
        <f t="shared" si="44"/>
        <v/>
      </c>
    </row>
    <row r="2861" spans="3:7" x14ac:dyDescent="0.3">
      <c r="C2861" t="str">
        <f>IFERROR(IF(B2861="","",VLOOKUP(B2861,CadProd!$A:$B,2,0)),"")</f>
        <v/>
      </c>
      <c r="D2861" t="str">
        <f>IFERROR(IF(B2861="","",VLOOKUP(B2861,CadProd!$A:$C,3,0)),"")</f>
        <v/>
      </c>
      <c r="G2861" s="1" t="str">
        <f t="shared" si="44"/>
        <v/>
      </c>
    </row>
    <row r="2862" spans="3:7" x14ac:dyDescent="0.3">
      <c r="C2862" t="str">
        <f>IFERROR(IF(B2862="","",VLOOKUP(B2862,CadProd!$A:$B,2,0)),"")</f>
        <v/>
      </c>
      <c r="D2862" t="str">
        <f>IFERROR(IF(B2862="","",VLOOKUP(B2862,CadProd!$A:$C,3,0)),"")</f>
        <v/>
      </c>
      <c r="G2862" s="1" t="str">
        <f t="shared" si="44"/>
        <v/>
      </c>
    </row>
    <row r="2863" spans="3:7" x14ac:dyDescent="0.3">
      <c r="C2863" t="str">
        <f>IFERROR(IF(B2863="","",VLOOKUP(B2863,CadProd!$A:$B,2,0)),"")</f>
        <v/>
      </c>
      <c r="D2863" t="str">
        <f>IFERROR(IF(B2863="","",VLOOKUP(B2863,CadProd!$A:$C,3,0)),"")</f>
        <v/>
      </c>
      <c r="G2863" s="1" t="str">
        <f t="shared" si="44"/>
        <v/>
      </c>
    </row>
    <row r="2864" spans="3:7" x14ac:dyDescent="0.3">
      <c r="C2864" t="str">
        <f>IFERROR(IF(B2864="","",VLOOKUP(B2864,CadProd!$A:$B,2,0)),"")</f>
        <v/>
      </c>
      <c r="D2864" t="str">
        <f>IFERROR(IF(B2864="","",VLOOKUP(B2864,CadProd!$A:$C,3,0)),"")</f>
        <v/>
      </c>
      <c r="G2864" s="1" t="str">
        <f t="shared" si="44"/>
        <v/>
      </c>
    </row>
    <row r="2865" spans="3:7" x14ac:dyDescent="0.3">
      <c r="C2865" t="str">
        <f>IFERROR(IF(B2865="","",VLOOKUP(B2865,CadProd!$A:$B,2,0)),"")</f>
        <v/>
      </c>
      <c r="D2865" t="str">
        <f>IFERROR(IF(B2865="","",VLOOKUP(B2865,CadProd!$A:$C,3,0)),"")</f>
        <v/>
      </c>
      <c r="G2865" s="1" t="str">
        <f t="shared" si="44"/>
        <v/>
      </c>
    </row>
    <row r="2866" spans="3:7" x14ac:dyDescent="0.3">
      <c r="C2866" t="str">
        <f>IFERROR(IF(B2866="","",VLOOKUP(B2866,CadProd!$A:$B,2,0)),"")</f>
        <v/>
      </c>
      <c r="D2866" t="str">
        <f>IFERROR(IF(B2866="","",VLOOKUP(B2866,CadProd!$A:$C,3,0)),"")</f>
        <v/>
      </c>
      <c r="G2866" s="1" t="str">
        <f t="shared" si="44"/>
        <v/>
      </c>
    </row>
    <row r="2867" spans="3:7" x14ac:dyDescent="0.3">
      <c r="C2867" t="str">
        <f>IFERROR(IF(B2867="","",VLOOKUP(B2867,CadProd!$A:$B,2,0)),"")</f>
        <v/>
      </c>
      <c r="D2867" t="str">
        <f>IFERROR(IF(B2867="","",VLOOKUP(B2867,CadProd!$A:$C,3,0)),"")</f>
        <v/>
      </c>
      <c r="G2867" s="1" t="str">
        <f t="shared" si="44"/>
        <v/>
      </c>
    </row>
    <row r="2868" spans="3:7" x14ac:dyDescent="0.3">
      <c r="C2868" t="str">
        <f>IFERROR(IF(B2868="","",VLOOKUP(B2868,CadProd!$A:$B,2,0)),"")</f>
        <v/>
      </c>
      <c r="D2868" t="str">
        <f>IFERROR(IF(B2868="","",VLOOKUP(B2868,CadProd!$A:$C,3,0)),"")</f>
        <v/>
      </c>
      <c r="G2868" s="1" t="str">
        <f t="shared" si="44"/>
        <v/>
      </c>
    </row>
    <row r="2869" spans="3:7" x14ac:dyDescent="0.3">
      <c r="C2869" t="str">
        <f>IFERROR(IF(B2869="","",VLOOKUP(B2869,CadProd!$A:$B,2,0)),"")</f>
        <v/>
      </c>
      <c r="D2869" t="str">
        <f>IFERROR(IF(B2869="","",VLOOKUP(B2869,CadProd!$A:$C,3,0)),"")</f>
        <v/>
      </c>
      <c r="G2869" s="1" t="str">
        <f t="shared" si="44"/>
        <v/>
      </c>
    </row>
    <row r="2870" spans="3:7" x14ac:dyDescent="0.3">
      <c r="C2870" t="str">
        <f>IFERROR(IF(B2870="","",VLOOKUP(B2870,CadProd!$A:$B,2,0)),"")</f>
        <v/>
      </c>
      <c r="D2870" t="str">
        <f>IFERROR(IF(B2870="","",VLOOKUP(B2870,CadProd!$A:$C,3,0)),"")</f>
        <v/>
      </c>
      <c r="G2870" s="1" t="str">
        <f t="shared" si="44"/>
        <v/>
      </c>
    </row>
    <row r="2871" spans="3:7" x14ac:dyDescent="0.3">
      <c r="C2871" t="str">
        <f>IFERROR(IF(B2871="","",VLOOKUP(B2871,CadProd!$A:$B,2,0)),"")</f>
        <v/>
      </c>
      <c r="D2871" t="str">
        <f>IFERROR(IF(B2871="","",VLOOKUP(B2871,CadProd!$A:$C,3,0)),"")</f>
        <v/>
      </c>
      <c r="G2871" s="1" t="str">
        <f t="shared" si="44"/>
        <v/>
      </c>
    </row>
    <row r="2872" spans="3:7" x14ac:dyDescent="0.3">
      <c r="C2872" t="str">
        <f>IFERROR(IF(B2872="","",VLOOKUP(B2872,CadProd!$A:$B,2,0)),"")</f>
        <v/>
      </c>
      <c r="D2872" t="str">
        <f>IFERROR(IF(B2872="","",VLOOKUP(B2872,CadProd!$A:$C,3,0)),"")</f>
        <v/>
      </c>
      <c r="G2872" s="1" t="str">
        <f t="shared" si="44"/>
        <v/>
      </c>
    </row>
    <row r="2873" spans="3:7" x14ac:dyDescent="0.3">
      <c r="C2873" t="str">
        <f>IFERROR(IF(B2873="","",VLOOKUP(B2873,CadProd!$A:$B,2,0)),"")</f>
        <v/>
      </c>
      <c r="D2873" t="str">
        <f>IFERROR(IF(B2873="","",VLOOKUP(B2873,CadProd!$A:$C,3,0)),"")</f>
        <v/>
      </c>
      <c r="G2873" s="1" t="str">
        <f t="shared" si="44"/>
        <v/>
      </c>
    </row>
    <row r="2874" spans="3:7" x14ac:dyDescent="0.3">
      <c r="C2874" t="str">
        <f>IFERROR(IF(B2874="","",VLOOKUP(B2874,CadProd!$A:$B,2,0)),"")</f>
        <v/>
      </c>
      <c r="D2874" t="str">
        <f>IFERROR(IF(B2874="","",VLOOKUP(B2874,CadProd!$A:$C,3,0)),"")</f>
        <v/>
      </c>
      <c r="G2874" s="1" t="str">
        <f t="shared" si="44"/>
        <v/>
      </c>
    </row>
    <row r="2875" spans="3:7" x14ac:dyDescent="0.3">
      <c r="C2875" t="str">
        <f>IFERROR(IF(B2875="","",VLOOKUP(B2875,CadProd!$A:$B,2,0)),"")</f>
        <v/>
      </c>
      <c r="D2875" t="str">
        <f>IFERROR(IF(B2875="","",VLOOKUP(B2875,CadProd!$A:$C,3,0)),"")</f>
        <v/>
      </c>
      <c r="G2875" s="1" t="str">
        <f t="shared" si="44"/>
        <v/>
      </c>
    </row>
    <row r="2876" spans="3:7" x14ac:dyDescent="0.3">
      <c r="C2876" t="str">
        <f>IFERROR(IF(B2876="","",VLOOKUP(B2876,CadProd!$A:$B,2,0)),"")</f>
        <v/>
      </c>
      <c r="D2876" t="str">
        <f>IFERROR(IF(B2876="","",VLOOKUP(B2876,CadProd!$A:$C,3,0)),"")</f>
        <v/>
      </c>
      <c r="G2876" s="1" t="str">
        <f t="shared" si="44"/>
        <v/>
      </c>
    </row>
    <row r="2877" spans="3:7" x14ac:dyDescent="0.3">
      <c r="C2877" t="str">
        <f>IFERROR(IF(B2877="","",VLOOKUP(B2877,CadProd!$A:$B,2,0)),"")</f>
        <v/>
      </c>
      <c r="D2877" t="str">
        <f>IFERROR(IF(B2877="","",VLOOKUP(B2877,CadProd!$A:$C,3,0)),"")</f>
        <v/>
      </c>
      <c r="G2877" s="1" t="str">
        <f t="shared" si="44"/>
        <v/>
      </c>
    </row>
    <row r="2878" spans="3:7" x14ac:dyDescent="0.3">
      <c r="C2878" t="str">
        <f>IFERROR(IF(B2878="","",VLOOKUP(B2878,CadProd!$A:$B,2,0)),"")</f>
        <v/>
      </c>
      <c r="D2878" t="str">
        <f>IFERROR(IF(B2878="","",VLOOKUP(B2878,CadProd!$A:$C,3,0)),"")</f>
        <v/>
      </c>
      <c r="G2878" s="1" t="str">
        <f t="shared" si="44"/>
        <v/>
      </c>
    </row>
    <row r="2879" spans="3:7" x14ac:dyDescent="0.3">
      <c r="C2879" t="str">
        <f>IFERROR(IF(B2879="","",VLOOKUP(B2879,CadProd!$A:$B,2,0)),"")</f>
        <v/>
      </c>
      <c r="D2879" t="str">
        <f>IFERROR(IF(B2879="","",VLOOKUP(B2879,CadProd!$A:$C,3,0)),"")</f>
        <v/>
      </c>
      <c r="G2879" s="1" t="str">
        <f t="shared" si="44"/>
        <v/>
      </c>
    </row>
    <row r="2880" spans="3:7" x14ac:dyDescent="0.3">
      <c r="C2880" t="str">
        <f>IFERROR(IF(B2880="","",VLOOKUP(B2880,CadProd!$A:$B,2,0)),"")</f>
        <v/>
      </c>
      <c r="D2880" t="str">
        <f>IFERROR(IF(B2880="","",VLOOKUP(B2880,CadProd!$A:$C,3,0)),"")</f>
        <v/>
      </c>
      <c r="G2880" s="1" t="str">
        <f t="shared" si="44"/>
        <v/>
      </c>
    </row>
    <row r="2881" spans="3:7" x14ac:dyDescent="0.3">
      <c r="C2881" t="str">
        <f>IFERROR(IF(B2881="","",VLOOKUP(B2881,CadProd!$A:$B,2,0)),"")</f>
        <v/>
      </c>
      <c r="D2881" t="str">
        <f>IFERROR(IF(B2881="","",VLOOKUP(B2881,CadProd!$A:$C,3,0)),"")</f>
        <v/>
      </c>
      <c r="G2881" s="1" t="str">
        <f t="shared" si="44"/>
        <v/>
      </c>
    </row>
    <row r="2882" spans="3:7" x14ac:dyDescent="0.3">
      <c r="C2882" t="str">
        <f>IFERROR(IF(B2882="","",VLOOKUP(B2882,CadProd!$A:$B,2,0)),"")</f>
        <v/>
      </c>
      <c r="D2882" t="str">
        <f>IFERROR(IF(B2882="","",VLOOKUP(B2882,CadProd!$A:$C,3,0)),"")</f>
        <v/>
      </c>
      <c r="G2882" s="1" t="str">
        <f t="shared" ref="G2882:G2945" si="45">IFERROR(IF(B2882="","",F2882*E2882),"")</f>
        <v/>
      </c>
    </row>
    <row r="2883" spans="3:7" x14ac:dyDescent="0.3">
      <c r="C2883" t="str">
        <f>IFERROR(IF(B2883="","",VLOOKUP(B2883,CadProd!$A:$B,2,0)),"")</f>
        <v/>
      </c>
      <c r="D2883" t="str">
        <f>IFERROR(IF(B2883="","",VLOOKUP(B2883,CadProd!$A:$C,3,0)),"")</f>
        <v/>
      </c>
      <c r="G2883" s="1" t="str">
        <f t="shared" si="45"/>
        <v/>
      </c>
    </row>
    <row r="2884" spans="3:7" x14ac:dyDescent="0.3">
      <c r="C2884" t="str">
        <f>IFERROR(IF(B2884="","",VLOOKUP(B2884,CadProd!$A:$B,2,0)),"")</f>
        <v/>
      </c>
      <c r="D2884" t="str">
        <f>IFERROR(IF(B2884="","",VLOOKUP(B2884,CadProd!$A:$C,3,0)),"")</f>
        <v/>
      </c>
      <c r="G2884" s="1" t="str">
        <f t="shared" si="45"/>
        <v/>
      </c>
    </row>
    <row r="2885" spans="3:7" x14ac:dyDescent="0.3">
      <c r="C2885" t="str">
        <f>IFERROR(IF(B2885="","",VLOOKUP(B2885,CadProd!$A:$B,2,0)),"")</f>
        <v/>
      </c>
      <c r="D2885" t="str">
        <f>IFERROR(IF(B2885="","",VLOOKUP(B2885,CadProd!$A:$C,3,0)),"")</f>
        <v/>
      </c>
      <c r="G2885" s="1" t="str">
        <f t="shared" si="45"/>
        <v/>
      </c>
    </row>
    <row r="2886" spans="3:7" x14ac:dyDescent="0.3">
      <c r="C2886" t="str">
        <f>IFERROR(IF(B2886="","",VLOOKUP(B2886,CadProd!$A:$B,2,0)),"")</f>
        <v/>
      </c>
      <c r="D2886" t="str">
        <f>IFERROR(IF(B2886="","",VLOOKUP(B2886,CadProd!$A:$C,3,0)),"")</f>
        <v/>
      </c>
      <c r="G2886" s="1" t="str">
        <f t="shared" si="45"/>
        <v/>
      </c>
    </row>
    <row r="2887" spans="3:7" x14ac:dyDescent="0.3">
      <c r="C2887" t="str">
        <f>IFERROR(IF(B2887="","",VLOOKUP(B2887,CadProd!$A:$B,2,0)),"")</f>
        <v/>
      </c>
      <c r="D2887" t="str">
        <f>IFERROR(IF(B2887="","",VLOOKUP(B2887,CadProd!$A:$C,3,0)),"")</f>
        <v/>
      </c>
      <c r="G2887" s="1" t="str">
        <f t="shared" si="45"/>
        <v/>
      </c>
    </row>
    <row r="2888" spans="3:7" x14ac:dyDescent="0.3">
      <c r="C2888" t="str">
        <f>IFERROR(IF(B2888="","",VLOOKUP(B2888,CadProd!$A:$B,2,0)),"")</f>
        <v/>
      </c>
      <c r="D2888" t="str">
        <f>IFERROR(IF(B2888="","",VLOOKUP(B2888,CadProd!$A:$C,3,0)),"")</f>
        <v/>
      </c>
      <c r="G2888" s="1" t="str">
        <f t="shared" si="45"/>
        <v/>
      </c>
    </row>
    <row r="2889" spans="3:7" x14ac:dyDescent="0.3">
      <c r="C2889" t="str">
        <f>IFERROR(IF(B2889="","",VLOOKUP(B2889,CadProd!$A:$B,2,0)),"")</f>
        <v/>
      </c>
      <c r="D2889" t="str">
        <f>IFERROR(IF(B2889="","",VLOOKUP(B2889,CadProd!$A:$C,3,0)),"")</f>
        <v/>
      </c>
      <c r="G2889" s="1" t="str">
        <f t="shared" si="45"/>
        <v/>
      </c>
    </row>
    <row r="2890" spans="3:7" x14ac:dyDescent="0.3">
      <c r="C2890" t="str">
        <f>IFERROR(IF(B2890="","",VLOOKUP(B2890,CadProd!$A:$B,2,0)),"")</f>
        <v/>
      </c>
      <c r="D2890" t="str">
        <f>IFERROR(IF(B2890="","",VLOOKUP(B2890,CadProd!$A:$C,3,0)),"")</f>
        <v/>
      </c>
      <c r="G2890" s="1" t="str">
        <f t="shared" si="45"/>
        <v/>
      </c>
    </row>
    <row r="2891" spans="3:7" x14ac:dyDescent="0.3">
      <c r="C2891" t="str">
        <f>IFERROR(IF(B2891="","",VLOOKUP(B2891,CadProd!$A:$B,2,0)),"")</f>
        <v/>
      </c>
      <c r="D2891" t="str">
        <f>IFERROR(IF(B2891="","",VLOOKUP(B2891,CadProd!$A:$C,3,0)),"")</f>
        <v/>
      </c>
      <c r="G2891" s="1" t="str">
        <f t="shared" si="45"/>
        <v/>
      </c>
    </row>
    <row r="2892" spans="3:7" x14ac:dyDescent="0.3">
      <c r="C2892" t="str">
        <f>IFERROR(IF(B2892="","",VLOOKUP(B2892,CadProd!$A:$B,2,0)),"")</f>
        <v/>
      </c>
      <c r="D2892" t="str">
        <f>IFERROR(IF(B2892="","",VLOOKUP(B2892,CadProd!$A:$C,3,0)),"")</f>
        <v/>
      </c>
      <c r="G2892" s="1" t="str">
        <f t="shared" si="45"/>
        <v/>
      </c>
    </row>
    <row r="2893" spans="3:7" x14ac:dyDescent="0.3">
      <c r="C2893" t="str">
        <f>IFERROR(IF(B2893="","",VLOOKUP(B2893,CadProd!$A:$B,2,0)),"")</f>
        <v/>
      </c>
      <c r="D2893" t="str">
        <f>IFERROR(IF(B2893="","",VLOOKUP(B2893,CadProd!$A:$C,3,0)),"")</f>
        <v/>
      </c>
      <c r="G2893" s="1" t="str">
        <f t="shared" si="45"/>
        <v/>
      </c>
    </row>
    <row r="2894" spans="3:7" x14ac:dyDescent="0.3">
      <c r="C2894" t="str">
        <f>IFERROR(IF(B2894="","",VLOOKUP(B2894,CadProd!$A:$B,2,0)),"")</f>
        <v/>
      </c>
      <c r="D2894" t="str">
        <f>IFERROR(IF(B2894="","",VLOOKUP(B2894,CadProd!$A:$C,3,0)),"")</f>
        <v/>
      </c>
      <c r="G2894" s="1" t="str">
        <f t="shared" si="45"/>
        <v/>
      </c>
    </row>
    <row r="2895" spans="3:7" x14ac:dyDescent="0.3">
      <c r="C2895" t="str">
        <f>IFERROR(IF(B2895="","",VLOOKUP(B2895,CadProd!$A:$B,2,0)),"")</f>
        <v/>
      </c>
      <c r="D2895" t="str">
        <f>IFERROR(IF(B2895="","",VLOOKUP(B2895,CadProd!$A:$C,3,0)),"")</f>
        <v/>
      </c>
      <c r="G2895" s="1" t="str">
        <f t="shared" si="45"/>
        <v/>
      </c>
    </row>
    <row r="2896" spans="3:7" x14ac:dyDescent="0.3">
      <c r="C2896" t="str">
        <f>IFERROR(IF(B2896="","",VLOOKUP(B2896,CadProd!$A:$B,2,0)),"")</f>
        <v/>
      </c>
      <c r="D2896" t="str">
        <f>IFERROR(IF(B2896="","",VLOOKUP(B2896,CadProd!$A:$C,3,0)),"")</f>
        <v/>
      </c>
      <c r="G2896" s="1" t="str">
        <f t="shared" si="45"/>
        <v/>
      </c>
    </row>
    <row r="2897" spans="3:7" x14ac:dyDescent="0.3">
      <c r="C2897" t="str">
        <f>IFERROR(IF(B2897="","",VLOOKUP(B2897,CadProd!$A:$B,2,0)),"")</f>
        <v/>
      </c>
      <c r="D2897" t="str">
        <f>IFERROR(IF(B2897="","",VLOOKUP(B2897,CadProd!$A:$C,3,0)),"")</f>
        <v/>
      </c>
      <c r="G2897" s="1" t="str">
        <f t="shared" si="45"/>
        <v/>
      </c>
    </row>
    <row r="2898" spans="3:7" x14ac:dyDescent="0.3">
      <c r="C2898" t="str">
        <f>IFERROR(IF(B2898="","",VLOOKUP(B2898,CadProd!$A:$B,2,0)),"")</f>
        <v/>
      </c>
      <c r="D2898" t="str">
        <f>IFERROR(IF(B2898="","",VLOOKUP(B2898,CadProd!$A:$C,3,0)),"")</f>
        <v/>
      </c>
      <c r="G2898" s="1" t="str">
        <f t="shared" si="45"/>
        <v/>
      </c>
    </row>
    <row r="2899" spans="3:7" x14ac:dyDescent="0.3">
      <c r="C2899" t="str">
        <f>IFERROR(IF(B2899="","",VLOOKUP(B2899,CadProd!$A:$B,2,0)),"")</f>
        <v/>
      </c>
      <c r="D2899" t="str">
        <f>IFERROR(IF(B2899="","",VLOOKUP(B2899,CadProd!$A:$C,3,0)),"")</f>
        <v/>
      </c>
      <c r="G2899" s="1" t="str">
        <f t="shared" si="45"/>
        <v/>
      </c>
    </row>
    <row r="2900" spans="3:7" x14ac:dyDescent="0.3">
      <c r="C2900" t="str">
        <f>IFERROR(IF(B2900="","",VLOOKUP(B2900,CadProd!$A:$B,2,0)),"")</f>
        <v/>
      </c>
      <c r="D2900" t="str">
        <f>IFERROR(IF(B2900="","",VLOOKUP(B2900,CadProd!$A:$C,3,0)),"")</f>
        <v/>
      </c>
      <c r="G2900" s="1" t="str">
        <f t="shared" si="45"/>
        <v/>
      </c>
    </row>
    <row r="2901" spans="3:7" x14ac:dyDescent="0.3">
      <c r="C2901" t="str">
        <f>IFERROR(IF(B2901="","",VLOOKUP(B2901,CadProd!$A:$B,2,0)),"")</f>
        <v/>
      </c>
      <c r="D2901" t="str">
        <f>IFERROR(IF(B2901="","",VLOOKUP(B2901,CadProd!$A:$C,3,0)),"")</f>
        <v/>
      </c>
      <c r="G2901" s="1" t="str">
        <f t="shared" si="45"/>
        <v/>
      </c>
    </row>
    <row r="2902" spans="3:7" x14ac:dyDescent="0.3">
      <c r="C2902" t="str">
        <f>IFERROR(IF(B2902="","",VLOOKUP(B2902,CadProd!$A:$B,2,0)),"")</f>
        <v/>
      </c>
      <c r="D2902" t="str">
        <f>IFERROR(IF(B2902="","",VLOOKUP(B2902,CadProd!$A:$C,3,0)),"")</f>
        <v/>
      </c>
      <c r="G2902" s="1" t="str">
        <f t="shared" si="45"/>
        <v/>
      </c>
    </row>
    <row r="2903" spans="3:7" x14ac:dyDescent="0.3">
      <c r="C2903" t="str">
        <f>IFERROR(IF(B2903="","",VLOOKUP(B2903,CadProd!$A:$B,2,0)),"")</f>
        <v/>
      </c>
      <c r="D2903" t="str">
        <f>IFERROR(IF(B2903="","",VLOOKUP(B2903,CadProd!$A:$C,3,0)),"")</f>
        <v/>
      </c>
      <c r="G2903" s="1" t="str">
        <f t="shared" si="45"/>
        <v/>
      </c>
    </row>
    <row r="2904" spans="3:7" x14ac:dyDescent="0.3">
      <c r="C2904" t="str">
        <f>IFERROR(IF(B2904="","",VLOOKUP(B2904,CadProd!$A:$B,2,0)),"")</f>
        <v/>
      </c>
      <c r="D2904" t="str">
        <f>IFERROR(IF(B2904="","",VLOOKUP(B2904,CadProd!$A:$C,3,0)),"")</f>
        <v/>
      </c>
      <c r="G2904" s="1" t="str">
        <f t="shared" si="45"/>
        <v/>
      </c>
    </row>
    <row r="2905" spans="3:7" x14ac:dyDescent="0.3">
      <c r="C2905" t="str">
        <f>IFERROR(IF(B2905="","",VLOOKUP(B2905,CadProd!$A:$B,2,0)),"")</f>
        <v/>
      </c>
      <c r="D2905" t="str">
        <f>IFERROR(IF(B2905="","",VLOOKUP(B2905,CadProd!$A:$C,3,0)),"")</f>
        <v/>
      </c>
      <c r="G2905" s="1" t="str">
        <f t="shared" si="45"/>
        <v/>
      </c>
    </row>
    <row r="2906" spans="3:7" x14ac:dyDescent="0.3">
      <c r="C2906" t="str">
        <f>IFERROR(IF(B2906="","",VLOOKUP(B2906,CadProd!$A:$B,2,0)),"")</f>
        <v/>
      </c>
      <c r="D2906" t="str">
        <f>IFERROR(IF(B2906="","",VLOOKUP(B2906,CadProd!$A:$C,3,0)),"")</f>
        <v/>
      </c>
      <c r="G2906" s="1" t="str">
        <f t="shared" si="45"/>
        <v/>
      </c>
    </row>
    <row r="2907" spans="3:7" x14ac:dyDescent="0.3">
      <c r="C2907" t="str">
        <f>IFERROR(IF(B2907="","",VLOOKUP(B2907,CadProd!$A:$B,2,0)),"")</f>
        <v/>
      </c>
      <c r="D2907" t="str">
        <f>IFERROR(IF(B2907="","",VLOOKUP(B2907,CadProd!$A:$C,3,0)),"")</f>
        <v/>
      </c>
      <c r="G2907" s="1" t="str">
        <f t="shared" si="45"/>
        <v/>
      </c>
    </row>
    <row r="2908" spans="3:7" x14ac:dyDescent="0.3">
      <c r="C2908" t="str">
        <f>IFERROR(IF(B2908="","",VLOOKUP(B2908,CadProd!$A:$B,2,0)),"")</f>
        <v/>
      </c>
      <c r="D2908" t="str">
        <f>IFERROR(IF(B2908="","",VLOOKUP(B2908,CadProd!$A:$C,3,0)),"")</f>
        <v/>
      </c>
      <c r="G2908" s="1" t="str">
        <f t="shared" si="45"/>
        <v/>
      </c>
    </row>
    <row r="2909" spans="3:7" x14ac:dyDescent="0.3">
      <c r="C2909" t="str">
        <f>IFERROR(IF(B2909="","",VLOOKUP(B2909,CadProd!$A:$B,2,0)),"")</f>
        <v/>
      </c>
      <c r="D2909" t="str">
        <f>IFERROR(IF(B2909="","",VLOOKUP(B2909,CadProd!$A:$C,3,0)),"")</f>
        <v/>
      </c>
      <c r="G2909" s="1" t="str">
        <f t="shared" si="45"/>
        <v/>
      </c>
    </row>
    <row r="2910" spans="3:7" x14ac:dyDescent="0.3">
      <c r="C2910" t="str">
        <f>IFERROR(IF(B2910="","",VLOOKUP(B2910,CadProd!$A:$B,2,0)),"")</f>
        <v/>
      </c>
      <c r="D2910" t="str">
        <f>IFERROR(IF(B2910="","",VLOOKUP(B2910,CadProd!$A:$C,3,0)),"")</f>
        <v/>
      </c>
      <c r="G2910" s="1" t="str">
        <f t="shared" si="45"/>
        <v/>
      </c>
    </row>
    <row r="2911" spans="3:7" x14ac:dyDescent="0.3">
      <c r="C2911" t="str">
        <f>IFERROR(IF(B2911="","",VLOOKUP(B2911,CadProd!$A:$B,2,0)),"")</f>
        <v/>
      </c>
      <c r="D2911" t="str">
        <f>IFERROR(IF(B2911="","",VLOOKUP(B2911,CadProd!$A:$C,3,0)),"")</f>
        <v/>
      </c>
      <c r="G2911" s="1" t="str">
        <f t="shared" si="45"/>
        <v/>
      </c>
    </row>
    <row r="2912" spans="3:7" x14ac:dyDescent="0.3">
      <c r="C2912" t="str">
        <f>IFERROR(IF(B2912="","",VLOOKUP(B2912,CadProd!$A:$B,2,0)),"")</f>
        <v/>
      </c>
      <c r="D2912" t="str">
        <f>IFERROR(IF(B2912="","",VLOOKUP(B2912,CadProd!$A:$C,3,0)),"")</f>
        <v/>
      </c>
      <c r="G2912" s="1" t="str">
        <f t="shared" si="45"/>
        <v/>
      </c>
    </row>
    <row r="2913" spans="3:7" x14ac:dyDescent="0.3">
      <c r="C2913" t="str">
        <f>IFERROR(IF(B2913="","",VLOOKUP(B2913,CadProd!$A:$B,2,0)),"")</f>
        <v/>
      </c>
      <c r="D2913" t="str">
        <f>IFERROR(IF(B2913="","",VLOOKUP(B2913,CadProd!$A:$C,3,0)),"")</f>
        <v/>
      </c>
      <c r="G2913" s="1" t="str">
        <f t="shared" si="45"/>
        <v/>
      </c>
    </row>
    <row r="2914" spans="3:7" x14ac:dyDescent="0.3">
      <c r="C2914" t="str">
        <f>IFERROR(IF(B2914="","",VLOOKUP(B2914,CadProd!$A:$B,2,0)),"")</f>
        <v/>
      </c>
      <c r="D2914" t="str">
        <f>IFERROR(IF(B2914="","",VLOOKUP(B2914,CadProd!$A:$C,3,0)),"")</f>
        <v/>
      </c>
      <c r="G2914" s="1" t="str">
        <f t="shared" si="45"/>
        <v/>
      </c>
    </row>
    <row r="2915" spans="3:7" x14ac:dyDescent="0.3">
      <c r="C2915" t="str">
        <f>IFERROR(IF(B2915="","",VLOOKUP(B2915,CadProd!$A:$B,2,0)),"")</f>
        <v/>
      </c>
      <c r="D2915" t="str">
        <f>IFERROR(IF(B2915="","",VLOOKUP(B2915,CadProd!$A:$C,3,0)),"")</f>
        <v/>
      </c>
      <c r="G2915" s="1" t="str">
        <f t="shared" si="45"/>
        <v/>
      </c>
    </row>
    <row r="2916" spans="3:7" x14ac:dyDescent="0.3">
      <c r="C2916" t="str">
        <f>IFERROR(IF(B2916="","",VLOOKUP(B2916,CadProd!$A:$B,2,0)),"")</f>
        <v/>
      </c>
      <c r="D2916" t="str">
        <f>IFERROR(IF(B2916="","",VLOOKUP(B2916,CadProd!$A:$C,3,0)),"")</f>
        <v/>
      </c>
      <c r="G2916" s="1" t="str">
        <f t="shared" si="45"/>
        <v/>
      </c>
    </row>
    <row r="2917" spans="3:7" x14ac:dyDescent="0.3">
      <c r="C2917" t="str">
        <f>IFERROR(IF(B2917="","",VLOOKUP(B2917,CadProd!$A:$B,2,0)),"")</f>
        <v/>
      </c>
      <c r="D2917" t="str">
        <f>IFERROR(IF(B2917="","",VLOOKUP(B2917,CadProd!$A:$C,3,0)),"")</f>
        <v/>
      </c>
      <c r="G2917" s="1" t="str">
        <f t="shared" si="45"/>
        <v/>
      </c>
    </row>
    <row r="2918" spans="3:7" x14ac:dyDescent="0.3">
      <c r="C2918" t="str">
        <f>IFERROR(IF(B2918="","",VLOOKUP(B2918,CadProd!$A:$B,2,0)),"")</f>
        <v/>
      </c>
      <c r="D2918" t="str">
        <f>IFERROR(IF(B2918="","",VLOOKUP(B2918,CadProd!$A:$C,3,0)),"")</f>
        <v/>
      </c>
      <c r="G2918" s="1" t="str">
        <f t="shared" si="45"/>
        <v/>
      </c>
    </row>
    <row r="2919" spans="3:7" x14ac:dyDescent="0.3">
      <c r="C2919" t="str">
        <f>IFERROR(IF(B2919="","",VLOOKUP(B2919,CadProd!$A:$B,2,0)),"")</f>
        <v/>
      </c>
      <c r="D2919" t="str">
        <f>IFERROR(IF(B2919="","",VLOOKUP(B2919,CadProd!$A:$C,3,0)),"")</f>
        <v/>
      </c>
      <c r="G2919" s="1" t="str">
        <f t="shared" si="45"/>
        <v/>
      </c>
    </row>
    <row r="2920" spans="3:7" x14ac:dyDescent="0.3">
      <c r="C2920" t="str">
        <f>IFERROR(IF(B2920="","",VLOOKUP(B2920,CadProd!$A:$B,2,0)),"")</f>
        <v/>
      </c>
      <c r="D2920" t="str">
        <f>IFERROR(IF(B2920="","",VLOOKUP(B2920,CadProd!$A:$C,3,0)),"")</f>
        <v/>
      </c>
      <c r="G2920" s="1" t="str">
        <f t="shared" si="45"/>
        <v/>
      </c>
    </row>
    <row r="2921" spans="3:7" x14ac:dyDescent="0.3">
      <c r="C2921" t="str">
        <f>IFERROR(IF(B2921="","",VLOOKUP(B2921,CadProd!$A:$B,2,0)),"")</f>
        <v/>
      </c>
      <c r="D2921" t="str">
        <f>IFERROR(IF(B2921="","",VLOOKUP(B2921,CadProd!$A:$C,3,0)),"")</f>
        <v/>
      </c>
      <c r="G2921" s="1" t="str">
        <f t="shared" si="45"/>
        <v/>
      </c>
    </row>
    <row r="2922" spans="3:7" x14ac:dyDescent="0.3">
      <c r="C2922" t="str">
        <f>IFERROR(IF(B2922="","",VLOOKUP(B2922,CadProd!$A:$B,2,0)),"")</f>
        <v/>
      </c>
      <c r="D2922" t="str">
        <f>IFERROR(IF(B2922="","",VLOOKUP(B2922,CadProd!$A:$C,3,0)),"")</f>
        <v/>
      </c>
      <c r="G2922" s="1" t="str">
        <f t="shared" si="45"/>
        <v/>
      </c>
    </row>
    <row r="2923" spans="3:7" x14ac:dyDescent="0.3">
      <c r="C2923" t="str">
        <f>IFERROR(IF(B2923="","",VLOOKUP(B2923,CadProd!$A:$B,2,0)),"")</f>
        <v/>
      </c>
      <c r="D2923" t="str">
        <f>IFERROR(IF(B2923="","",VLOOKUP(B2923,CadProd!$A:$C,3,0)),"")</f>
        <v/>
      </c>
      <c r="G2923" s="1" t="str">
        <f t="shared" si="45"/>
        <v/>
      </c>
    </row>
    <row r="2924" spans="3:7" x14ac:dyDescent="0.3">
      <c r="C2924" t="str">
        <f>IFERROR(IF(B2924="","",VLOOKUP(B2924,CadProd!$A:$B,2,0)),"")</f>
        <v/>
      </c>
      <c r="D2924" t="str">
        <f>IFERROR(IF(B2924="","",VLOOKUP(B2924,CadProd!$A:$C,3,0)),"")</f>
        <v/>
      </c>
      <c r="G2924" s="1" t="str">
        <f t="shared" si="45"/>
        <v/>
      </c>
    </row>
    <row r="2925" spans="3:7" x14ac:dyDescent="0.3">
      <c r="C2925" t="str">
        <f>IFERROR(IF(B2925="","",VLOOKUP(B2925,CadProd!$A:$B,2,0)),"")</f>
        <v/>
      </c>
      <c r="D2925" t="str">
        <f>IFERROR(IF(B2925="","",VLOOKUP(B2925,CadProd!$A:$C,3,0)),"")</f>
        <v/>
      </c>
      <c r="G2925" s="1" t="str">
        <f t="shared" si="45"/>
        <v/>
      </c>
    </row>
    <row r="2926" spans="3:7" x14ac:dyDescent="0.3">
      <c r="C2926" t="str">
        <f>IFERROR(IF(B2926="","",VLOOKUP(B2926,CadProd!$A:$B,2,0)),"")</f>
        <v/>
      </c>
      <c r="D2926" t="str">
        <f>IFERROR(IF(B2926="","",VLOOKUP(B2926,CadProd!$A:$C,3,0)),"")</f>
        <v/>
      </c>
      <c r="G2926" s="1" t="str">
        <f t="shared" si="45"/>
        <v/>
      </c>
    </row>
    <row r="2927" spans="3:7" x14ac:dyDescent="0.3">
      <c r="C2927" t="str">
        <f>IFERROR(IF(B2927="","",VLOOKUP(B2927,CadProd!$A:$B,2,0)),"")</f>
        <v/>
      </c>
      <c r="D2927" t="str">
        <f>IFERROR(IF(B2927="","",VLOOKUP(B2927,CadProd!$A:$C,3,0)),"")</f>
        <v/>
      </c>
      <c r="G2927" s="1" t="str">
        <f t="shared" si="45"/>
        <v/>
      </c>
    </row>
    <row r="2928" spans="3:7" x14ac:dyDescent="0.3">
      <c r="C2928" t="str">
        <f>IFERROR(IF(B2928="","",VLOOKUP(B2928,CadProd!$A:$B,2,0)),"")</f>
        <v/>
      </c>
      <c r="D2928" t="str">
        <f>IFERROR(IF(B2928="","",VLOOKUP(B2928,CadProd!$A:$C,3,0)),"")</f>
        <v/>
      </c>
      <c r="G2928" s="1" t="str">
        <f t="shared" si="45"/>
        <v/>
      </c>
    </row>
    <row r="2929" spans="3:7" x14ac:dyDescent="0.3">
      <c r="C2929" t="str">
        <f>IFERROR(IF(B2929="","",VLOOKUP(B2929,CadProd!$A:$B,2,0)),"")</f>
        <v/>
      </c>
      <c r="D2929" t="str">
        <f>IFERROR(IF(B2929="","",VLOOKUP(B2929,CadProd!$A:$C,3,0)),"")</f>
        <v/>
      </c>
      <c r="G2929" s="1" t="str">
        <f t="shared" si="45"/>
        <v/>
      </c>
    </row>
    <row r="2930" spans="3:7" x14ac:dyDescent="0.3">
      <c r="C2930" t="str">
        <f>IFERROR(IF(B2930="","",VLOOKUP(B2930,CadProd!$A:$B,2,0)),"")</f>
        <v/>
      </c>
      <c r="D2930" t="str">
        <f>IFERROR(IF(B2930="","",VLOOKUP(B2930,CadProd!$A:$C,3,0)),"")</f>
        <v/>
      </c>
      <c r="G2930" s="1" t="str">
        <f t="shared" si="45"/>
        <v/>
      </c>
    </row>
    <row r="2931" spans="3:7" x14ac:dyDescent="0.3">
      <c r="C2931" t="str">
        <f>IFERROR(IF(B2931="","",VLOOKUP(B2931,CadProd!$A:$B,2,0)),"")</f>
        <v/>
      </c>
      <c r="D2931" t="str">
        <f>IFERROR(IF(B2931="","",VLOOKUP(B2931,CadProd!$A:$C,3,0)),"")</f>
        <v/>
      </c>
      <c r="G2931" s="1" t="str">
        <f t="shared" si="45"/>
        <v/>
      </c>
    </row>
    <row r="2932" spans="3:7" x14ac:dyDescent="0.3">
      <c r="C2932" t="str">
        <f>IFERROR(IF(B2932="","",VLOOKUP(B2932,CadProd!$A:$B,2,0)),"")</f>
        <v/>
      </c>
      <c r="D2932" t="str">
        <f>IFERROR(IF(B2932="","",VLOOKUP(B2932,CadProd!$A:$C,3,0)),"")</f>
        <v/>
      </c>
      <c r="G2932" s="1" t="str">
        <f t="shared" si="45"/>
        <v/>
      </c>
    </row>
    <row r="2933" spans="3:7" x14ac:dyDescent="0.3">
      <c r="C2933" t="str">
        <f>IFERROR(IF(B2933="","",VLOOKUP(B2933,CadProd!$A:$B,2,0)),"")</f>
        <v/>
      </c>
      <c r="D2933" t="str">
        <f>IFERROR(IF(B2933="","",VLOOKUP(B2933,CadProd!$A:$C,3,0)),"")</f>
        <v/>
      </c>
      <c r="G2933" s="1" t="str">
        <f t="shared" si="45"/>
        <v/>
      </c>
    </row>
    <row r="2934" spans="3:7" x14ac:dyDescent="0.3">
      <c r="C2934" t="str">
        <f>IFERROR(IF(B2934="","",VLOOKUP(B2934,CadProd!$A:$B,2,0)),"")</f>
        <v/>
      </c>
      <c r="D2934" t="str">
        <f>IFERROR(IF(B2934="","",VLOOKUP(B2934,CadProd!$A:$C,3,0)),"")</f>
        <v/>
      </c>
      <c r="G2934" s="1" t="str">
        <f t="shared" si="45"/>
        <v/>
      </c>
    </row>
    <row r="2935" spans="3:7" x14ac:dyDescent="0.3">
      <c r="C2935" t="str">
        <f>IFERROR(IF(B2935="","",VLOOKUP(B2935,CadProd!$A:$B,2,0)),"")</f>
        <v/>
      </c>
      <c r="D2935" t="str">
        <f>IFERROR(IF(B2935="","",VLOOKUP(B2935,CadProd!$A:$C,3,0)),"")</f>
        <v/>
      </c>
      <c r="G2935" s="1" t="str">
        <f t="shared" si="45"/>
        <v/>
      </c>
    </row>
    <row r="2936" spans="3:7" x14ac:dyDescent="0.3">
      <c r="C2936" t="str">
        <f>IFERROR(IF(B2936="","",VLOOKUP(B2936,CadProd!$A:$B,2,0)),"")</f>
        <v/>
      </c>
      <c r="D2936" t="str">
        <f>IFERROR(IF(B2936="","",VLOOKUP(B2936,CadProd!$A:$C,3,0)),"")</f>
        <v/>
      </c>
      <c r="G2936" s="1" t="str">
        <f t="shared" si="45"/>
        <v/>
      </c>
    </row>
    <row r="2937" spans="3:7" x14ac:dyDescent="0.3">
      <c r="C2937" t="str">
        <f>IFERROR(IF(B2937="","",VLOOKUP(B2937,CadProd!$A:$B,2,0)),"")</f>
        <v/>
      </c>
      <c r="D2937" t="str">
        <f>IFERROR(IF(B2937="","",VLOOKUP(B2937,CadProd!$A:$C,3,0)),"")</f>
        <v/>
      </c>
      <c r="G2937" s="1" t="str">
        <f t="shared" si="45"/>
        <v/>
      </c>
    </row>
    <row r="2938" spans="3:7" x14ac:dyDescent="0.3">
      <c r="C2938" t="str">
        <f>IFERROR(IF(B2938="","",VLOOKUP(B2938,CadProd!$A:$B,2,0)),"")</f>
        <v/>
      </c>
      <c r="D2938" t="str">
        <f>IFERROR(IF(B2938="","",VLOOKUP(B2938,CadProd!$A:$C,3,0)),"")</f>
        <v/>
      </c>
      <c r="G2938" s="1" t="str">
        <f t="shared" si="45"/>
        <v/>
      </c>
    </row>
    <row r="2939" spans="3:7" x14ac:dyDescent="0.3">
      <c r="C2939" t="str">
        <f>IFERROR(IF(B2939="","",VLOOKUP(B2939,CadProd!$A:$B,2,0)),"")</f>
        <v/>
      </c>
      <c r="D2939" t="str">
        <f>IFERROR(IF(B2939="","",VLOOKUP(B2939,CadProd!$A:$C,3,0)),"")</f>
        <v/>
      </c>
      <c r="G2939" s="1" t="str">
        <f t="shared" si="45"/>
        <v/>
      </c>
    </row>
    <row r="2940" spans="3:7" x14ac:dyDescent="0.3">
      <c r="C2940" t="str">
        <f>IFERROR(IF(B2940="","",VLOOKUP(B2940,CadProd!$A:$B,2,0)),"")</f>
        <v/>
      </c>
      <c r="D2940" t="str">
        <f>IFERROR(IF(B2940="","",VLOOKUP(B2940,CadProd!$A:$C,3,0)),"")</f>
        <v/>
      </c>
      <c r="G2940" s="1" t="str">
        <f t="shared" si="45"/>
        <v/>
      </c>
    </row>
    <row r="2941" spans="3:7" x14ac:dyDescent="0.3">
      <c r="C2941" t="str">
        <f>IFERROR(IF(B2941="","",VLOOKUP(B2941,CadProd!$A:$B,2,0)),"")</f>
        <v/>
      </c>
      <c r="D2941" t="str">
        <f>IFERROR(IF(B2941="","",VLOOKUP(B2941,CadProd!$A:$C,3,0)),"")</f>
        <v/>
      </c>
      <c r="G2941" s="1" t="str">
        <f t="shared" si="45"/>
        <v/>
      </c>
    </row>
    <row r="2942" spans="3:7" x14ac:dyDescent="0.3">
      <c r="C2942" t="str">
        <f>IFERROR(IF(B2942="","",VLOOKUP(B2942,CadProd!$A:$B,2,0)),"")</f>
        <v/>
      </c>
      <c r="D2942" t="str">
        <f>IFERROR(IF(B2942="","",VLOOKUP(B2942,CadProd!$A:$C,3,0)),"")</f>
        <v/>
      </c>
      <c r="G2942" s="1" t="str">
        <f t="shared" si="45"/>
        <v/>
      </c>
    </row>
    <row r="2943" spans="3:7" x14ac:dyDescent="0.3">
      <c r="C2943" t="str">
        <f>IFERROR(IF(B2943="","",VLOOKUP(B2943,CadProd!$A:$B,2,0)),"")</f>
        <v/>
      </c>
      <c r="D2943" t="str">
        <f>IFERROR(IF(B2943="","",VLOOKUP(B2943,CadProd!$A:$C,3,0)),"")</f>
        <v/>
      </c>
      <c r="G2943" s="1" t="str">
        <f t="shared" si="45"/>
        <v/>
      </c>
    </row>
    <row r="2944" spans="3:7" x14ac:dyDescent="0.3">
      <c r="C2944" t="str">
        <f>IFERROR(IF(B2944="","",VLOOKUP(B2944,CadProd!$A:$B,2,0)),"")</f>
        <v/>
      </c>
      <c r="D2944" t="str">
        <f>IFERROR(IF(B2944="","",VLOOKUP(B2944,CadProd!$A:$C,3,0)),"")</f>
        <v/>
      </c>
      <c r="G2944" s="1" t="str">
        <f t="shared" si="45"/>
        <v/>
      </c>
    </row>
    <row r="2945" spans="3:7" x14ac:dyDescent="0.3">
      <c r="C2945" t="str">
        <f>IFERROR(IF(B2945="","",VLOOKUP(B2945,CadProd!$A:$B,2,0)),"")</f>
        <v/>
      </c>
      <c r="D2945" t="str">
        <f>IFERROR(IF(B2945="","",VLOOKUP(B2945,CadProd!$A:$C,3,0)),"")</f>
        <v/>
      </c>
      <c r="G2945" s="1" t="str">
        <f t="shared" si="45"/>
        <v/>
      </c>
    </row>
    <row r="2946" spans="3:7" x14ac:dyDescent="0.3">
      <c r="C2946" t="str">
        <f>IFERROR(IF(B2946="","",VLOOKUP(B2946,CadProd!$A:$B,2,0)),"")</f>
        <v/>
      </c>
      <c r="D2946" t="str">
        <f>IFERROR(IF(B2946="","",VLOOKUP(B2946,CadProd!$A:$C,3,0)),"")</f>
        <v/>
      </c>
      <c r="G2946" s="1" t="str">
        <f t="shared" ref="G2946:G2976" si="46">IFERROR(IF(B2946="","",F2946*E2946),"")</f>
        <v/>
      </c>
    </row>
    <row r="2947" spans="3:7" x14ac:dyDescent="0.3">
      <c r="C2947" t="str">
        <f>IFERROR(IF(B2947="","",VLOOKUP(B2947,CadProd!$A:$B,2,0)),"")</f>
        <v/>
      </c>
      <c r="D2947" t="str">
        <f>IFERROR(IF(B2947="","",VLOOKUP(B2947,CadProd!$A:$C,3,0)),"")</f>
        <v/>
      </c>
      <c r="G2947" s="1" t="str">
        <f t="shared" si="46"/>
        <v/>
      </c>
    </row>
    <row r="2948" spans="3:7" x14ac:dyDescent="0.3">
      <c r="C2948" t="str">
        <f>IFERROR(IF(B2948="","",VLOOKUP(B2948,CadProd!$A:$B,2,0)),"")</f>
        <v/>
      </c>
      <c r="D2948" t="str">
        <f>IFERROR(IF(B2948="","",VLOOKUP(B2948,CadProd!$A:$C,3,0)),"")</f>
        <v/>
      </c>
      <c r="G2948" s="1" t="str">
        <f t="shared" si="46"/>
        <v/>
      </c>
    </row>
    <row r="2949" spans="3:7" x14ac:dyDescent="0.3">
      <c r="C2949" t="str">
        <f>IFERROR(IF(B2949="","",VLOOKUP(B2949,CadProd!$A:$B,2,0)),"")</f>
        <v/>
      </c>
      <c r="D2949" t="str">
        <f>IFERROR(IF(B2949="","",VLOOKUP(B2949,CadProd!$A:$C,3,0)),"")</f>
        <v/>
      </c>
      <c r="G2949" s="1" t="str">
        <f t="shared" si="46"/>
        <v/>
      </c>
    </row>
    <row r="2950" spans="3:7" x14ac:dyDescent="0.3">
      <c r="C2950" t="str">
        <f>IFERROR(IF(B2950="","",VLOOKUP(B2950,CadProd!$A:$B,2,0)),"")</f>
        <v/>
      </c>
      <c r="D2950" t="str">
        <f>IFERROR(IF(B2950="","",VLOOKUP(B2950,CadProd!$A:$C,3,0)),"")</f>
        <v/>
      </c>
      <c r="G2950" s="1" t="str">
        <f t="shared" si="46"/>
        <v/>
      </c>
    </row>
    <row r="2951" spans="3:7" x14ac:dyDescent="0.3">
      <c r="C2951" t="str">
        <f>IFERROR(IF(B2951="","",VLOOKUP(B2951,CadProd!$A:$B,2,0)),"")</f>
        <v/>
      </c>
      <c r="D2951" t="str">
        <f>IFERROR(IF(B2951="","",VLOOKUP(B2951,CadProd!$A:$C,3,0)),"")</f>
        <v/>
      </c>
      <c r="G2951" s="1" t="str">
        <f t="shared" si="46"/>
        <v/>
      </c>
    </row>
    <row r="2952" spans="3:7" x14ac:dyDescent="0.3">
      <c r="C2952" t="str">
        <f>IFERROR(IF(B2952="","",VLOOKUP(B2952,CadProd!$A:$B,2,0)),"")</f>
        <v/>
      </c>
      <c r="D2952" t="str">
        <f>IFERROR(IF(B2952="","",VLOOKUP(B2952,CadProd!$A:$C,3,0)),"")</f>
        <v/>
      </c>
      <c r="G2952" s="1" t="str">
        <f t="shared" si="46"/>
        <v/>
      </c>
    </row>
    <row r="2953" spans="3:7" x14ac:dyDescent="0.3">
      <c r="C2953" t="str">
        <f>IFERROR(IF(B2953="","",VLOOKUP(B2953,CadProd!$A:$B,2,0)),"")</f>
        <v/>
      </c>
      <c r="D2953" t="str">
        <f>IFERROR(IF(B2953="","",VLOOKUP(B2953,CadProd!$A:$C,3,0)),"")</f>
        <v/>
      </c>
      <c r="G2953" s="1" t="str">
        <f t="shared" si="46"/>
        <v/>
      </c>
    </row>
    <row r="2954" spans="3:7" x14ac:dyDescent="0.3">
      <c r="C2954" t="str">
        <f>IFERROR(IF(B2954="","",VLOOKUP(B2954,CadProd!$A:$B,2,0)),"")</f>
        <v/>
      </c>
      <c r="D2954" t="str">
        <f>IFERROR(IF(B2954="","",VLOOKUP(B2954,CadProd!$A:$C,3,0)),"")</f>
        <v/>
      </c>
      <c r="G2954" s="1" t="str">
        <f t="shared" si="46"/>
        <v/>
      </c>
    </row>
    <row r="2955" spans="3:7" x14ac:dyDescent="0.3">
      <c r="C2955" t="str">
        <f>IFERROR(IF(B2955="","",VLOOKUP(B2955,CadProd!$A:$B,2,0)),"")</f>
        <v/>
      </c>
      <c r="D2955" t="str">
        <f>IFERROR(IF(B2955="","",VLOOKUP(B2955,CadProd!$A:$C,3,0)),"")</f>
        <v/>
      </c>
      <c r="G2955" s="1" t="str">
        <f t="shared" si="46"/>
        <v/>
      </c>
    </row>
    <row r="2956" spans="3:7" x14ac:dyDescent="0.3">
      <c r="C2956" t="str">
        <f>IFERROR(IF(B2956="","",VLOOKUP(B2956,CadProd!$A:$B,2,0)),"")</f>
        <v/>
      </c>
      <c r="D2956" t="str">
        <f>IFERROR(IF(B2956="","",VLOOKUP(B2956,CadProd!$A:$C,3,0)),"")</f>
        <v/>
      </c>
      <c r="G2956" s="1" t="str">
        <f t="shared" si="46"/>
        <v/>
      </c>
    </row>
    <row r="2957" spans="3:7" x14ac:dyDescent="0.3">
      <c r="C2957" t="str">
        <f>IFERROR(IF(B2957="","",VLOOKUP(B2957,CadProd!$A:$B,2,0)),"")</f>
        <v/>
      </c>
      <c r="D2957" t="str">
        <f>IFERROR(IF(B2957="","",VLOOKUP(B2957,CadProd!$A:$C,3,0)),"")</f>
        <v/>
      </c>
      <c r="G2957" s="1" t="str">
        <f t="shared" si="46"/>
        <v/>
      </c>
    </row>
    <row r="2958" spans="3:7" x14ac:dyDescent="0.3">
      <c r="C2958" t="str">
        <f>IFERROR(IF(B2958="","",VLOOKUP(B2958,CadProd!$A:$B,2,0)),"")</f>
        <v/>
      </c>
      <c r="D2958" t="str">
        <f>IFERROR(IF(B2958="","",VLOOKUP(B2958,CadProd!$A:$C,3,0)),"")</f>
        <v/>
      </c>
      <c r="G2958" s="1" t="str">
        <f t="shared" si="46"/>
        <v/>
      </c>
    </row>
    <row r="2959" spans="3:7" x14ac:dyDescent="0.3">
      <c r="C2959" t="str">
        <f>IFERROR(IF(B2959="","",VLOOKUP(B2959,CadProd!$A:$B,2,0)),"")</f>
        <v/>
      </c>
      <c r="D2959" t="str">
        <f>IFERROR(IF(B2959="","",VLOOKUP(B2959,CadProd!$A:$C,3,0)),"")</f>
        <v/>
      </c>
      <c r="G2959" s="1" t="str">
        <f t="shared" si="46"/>
        <v/>
      </c>
    </row>
    <row r="2960" spans="3:7" x14ac:dyDescent="0.3">
      <c r="C2960" t="str">
        <f>IFERROR(IF(B2960="","",VLOOKUP(B2960,CadProd!$A:$B,2,0)),"")</f>
        <v/>
      </c>
      <c r="D2960" t="str">
        <f>IFERROR(IF(B2960="","",VLOOKUP(B2960,CadProd!$A:$C,3,0)),"")</f>
        <v/>
      </c>
      <c r="G2960" s="1" t="str">
        <f t="shared" si="46"/>
        <v/>
      </c>
    </row>
    <row r="2961" spans="3:7" x14ac:dyDescent="0.3">
      <c r="C2961" t="str">
        <f>IFERROR(IF(B2961="","",VLOOKUP(B2961,CadProd!$A:$B,2,0)),"")</f>
        <v/>
      </c>
      <c r="D2961" t="str">
        <f>IFERROR(IF(B2961="","",VLOOKUP(B2961,CadProd!$A:$C,3,0)),"")</f>
        <v/>
      </c>
      <c r="G2961" s="1" t="str">
        <f t="shared" si="46"/>
        <v/>
      </c>
    </row>
    <row r="2962" spans="3:7" x14ac:dyDescent="0.3">
      <c r="C2962" t="str">
        <f>IFERROR(IF(B2962="","",VLOOKUP(B2962,CadProd!$A:$B,2,0)),"")</f>
        <v/>
      </c>
      <c r="D2962" t="str">
        <f>IFERROR(IF(B2962="","",VLOOKUP(B2962,CadProd!$A:$C,3,0)),"")</f>
        <v/>
      </c>
      <c r="G2962" s="1" t="str">
        <f t="shared" si="46"/>
        <v/>
      </c>
    </row>
    <row r="2963" spans="3:7" x14ac:dyDescent="0.3">
      <c r="C2963" t="str">
        <f>IFERROR(IF(B2963="","",VLOOKUP(B2963,CadProd!$A:$B,2,0)),"")</f>
        <v/>
      </c>
      <c r="D2963" t="str">
        <f>IFERROR(IF(B2963="","",VLOOKUP(B2963,CadProd!$A:$C,3,0)),"")</f>
        <v/>
      </c>
      <c r="G2963" s="1" t="str">
        <f t="shared" si="46"/>
        <v/>
      </c>
    </row>
    <row r="2964" spans="3:7" x14ac:dyDescent="0.3">
      <c r="C2964" t="str">
        <f>IFERROR(IF(B2964="","",VLOOKUP(B2964,CadProd!$A:$B,2,0)),"")</f>
        <v/>
      </c>
      <c r="D2964" t="str">
        <f>IFERROR(IF(B2964="","",VLOOKUP(B2964,CadProd!$A:$C,3,0)),"")</f>
        <v/>
      </c>
      <c r="G2964" s="1" t="str">
        <f t="shared" si="46"/>
        <v/>
      </c>
    </row>
    <row r="2965" spans="3:7" x14ac:dyDescent="0.3">
      <c r="C2965" t="str">
        <f>IFERROR(IF(B2965="","",VLOOKUP(B2965,CadProd!$A:$B,2,0)),"")</f>
        <v/>
      </c>
      <c r="D2965" t="str">
        <f>IFERROR(IF(B2965="","",VLOOKUP(B2965,CadProd!$A:$C,3,0)),"")</f>
        <v/>
      </c>
      <c r="G2965" s="1" t="str">
        <f t="shared" si="46"/>
        <v/>
      </c>
    </row>
    <row r="2966" spans="3:7" x14ac:dyDescent="0.3">
      <c r="C2966" t="str">
        <f>IFERROR(IF(B2966="","",VLOOKUP(B2966,CadProd!$A:$B,2,0)),"")</f>
        <v/>
      </c>
      <c r="D2966" t="str">
        <f>IFERROR(IF(B2966="","",VLOOKUP(B2966,CadProd!$A:$C,3,0)),"")</f>
        <v/>
      </c>
      <c r="G2966" s="1" t="str">
        <f t="shared" si="46"/>
        <v/>
      </c>
    </row>
    <row r="2967" spans="3:7" x14ac:dyDescent="0.3">
      <c r="C2967" t="str">
        <f>IFERROR(IF(B2967="","",VLOOKUP(B2967,CadProd!$A:$B,2,0)),"")</f>
        <v/>
      </c>
      <c r="D2967" t="str">
        <f>IFERROR(IF(B2967="","",VLOOKUP(B2967,CadProd!$A:$C,3,0)),"")</f>
        <v/>
      </c>
      <c r="G2967" s="1" t="str">
        <f t="shared" si="46"/>
        <v/>
      </c>
    </row>
    <row r="2968" spans="3:7" x14ac:dyDescent="0.3">
      <c r="C2968" t="str">
        <f>IFERROR(IF(B2968="","",VLOOKUP(B2968,CadProd!$A:$B,2,0)),"")</f>
        <v/>
      </c>
      <c r="D2968" t="str">
        <f>IFERROR(IF(B2968="","",VLOOKUP(B2968,CadProd!$A:$C,3,0)),"")</f>
        <v/>
      </c>
      <c r="G2968" s="1" t="str">
        <f t="shared" si="46"/>
        <v/>
      </c>
    </row>
    <row r="2969" spans="3:7" x14ac:dyDescent="0.3">
      <c r="C2969" t="str">
        <f>IFERROR(IF(B2969="","",VLOOKUP(B2969,CadProd!$A:$B,2,0)),"")</f>
        <v/>
      </c>
      <c r="D2969" t="str">
        <f>IFERROR(IF(B2969="","",VLOOKUP(B2969,CadProd!$A:$C,3,0)),"")</f>
        <v/>
      </c>
      <c r="G2969" s="1" t="str">
        <f t="shared" si="46"/>
        <v/>
      </c>
    </row>
    <row r="2970" spans="3:7" x14ac:dyDescent="0.3">
      <c r="C2970" t="str">
        <f>IFERROR(IF(B2970="","",VLOOKUP(B2970,CadProd!$A:$B,2,0)),"")</f>
        <v/>
      </c>
      <c r="D2970" t="str">
        <f>IFERROR(IF(B2970="","",VLOOKUP(B2970,CadProd!$A:$C,3,0)),"")</f>
        <v/>
      </c>
      <c r="G2970" s="1" t="str">
        <f t="shared" si="46"/>
        <v/>
      </c>
    </row>
    <row r="2971" spans="3:7" x14ac:dyDescent="0.3">
      <c r="C2971" t="str">
        <f>IFERROR(IF(B2971="","",VLOOKUP(B2971,CadProd!$A:$B,2,0)),"")</f>
        <v/>
      </c>
      <c r="D2971" t="str">
        <f>IFERROR(IF(B2971="","",VLOOKUP(B2971,CadProd!$A:$C,3,0)),"")</f>
        <v/>
      </c>
      <c r="G2971" s="1" t="str">
        <f t="shared" si="46"/>
        <v/>
      </c>
    </row>
    <row r="2972" spans="3:7" x14ac:dyDescent="0.3">
      <c r="C2972" t="str">
        <f>IFERROR(IF(B2972="","",VLOOKUP(B2972,CadProd!$A:$B,2,0)),"")</f>
        <v/>
      </c>
      <c r="D2972" t="str">
        <f>IFERROR(IF(B2972="","",VLOOKUP(B2972,CadProd!$A:$C,3,0)),"")</f>
        <v/>
      </c>
      <c r="G2972" s="1" t="str">
        <f t="shared" si="46"/>
        <v/>
      </c>
    </row>
    <row r="2973" spans="3:7" x14ac:dyDescent="0.3">
      <c r="C2973" t="str">
        <f>IFERROR(IF(B2973="","",VLOOKUP(B2973,CadProd!$A:$B,2,0)),"")</f>
        <v/>
      </c>
      <c r="D2973" t="str">
        <f>IFERROR(IF(B2973="","",VLOOKUP(B2973,CadProd!$A:$C,3,0)),"")</f>
        <v/>
      </c>
      <c r="G2973" s="1" t="str">
        <f t="shared" si="46"/>
        <v/>
      </c>
    </row>
    <row r="2974" spans="3:7" x14ac:dyDescent="0.3">
      <c r="C2974" t="str">
        <f>IFERROR(IF(B2974="","",VLOOKUP(B2974,CadProd!$A:$B,2,0)),"")</f>
        <v/>
      </c>
      <c r="D2974" t="str">
        <f>IFERROR(IF(B2974="","",VLOOKUP(B2974,CadProd!$A:$C,3,0)),"")</f>
        <v/>
      </c>
      <c r="G2974" s="1" t="str">
        <f t="shared" si="46"/>
        <v/>
      </c>
    </row>
    <row r="2975" spans="3:7" x14ac:dyDescent="0.3">
      <c r="C2975" t="str">
        <f>IFERROR(IF(B2975="","",VLOOKUP(B2975,CadProd!$A:$B,2,0)),"")</f>
        <v/>
      </c>
      <c r="D2975" t="str">
        <f>IFERROR(IF(B2975="","",VLOOKUP(B2975,CadProd!$A:$C,3,0)),"")</f>
        <v/>
      </c>
      <c r="G2975" s="1" t="str">
        <f t="shared" si="46"/>
        <v/>
      </c>
    </row>
    <row r="2976" spans="3:7" x14ac:dyDescent="0.3">
      <c r="C2976" t="str">
        <f>IFERROR(IF(B2976="","",VLOOKUP(B2976,CadProd!$A:$B,2,0)),"")</f>
        <v/>
      </c>
      <c r="D2976" t="str">
        <f>IFERROR(IF(B2976="","",VLOOKUP(B2976,CadProd!$A:$C,3,0)),"")</f>
        <v/>
      </c>
      <c r="G2976" s="1" t="str">
        <f t="shared" si="46"/>
        <v/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02F40-3514-46B2-8D7C-61884FBB9D39}">
  <sheetPr codeName="Planilha12"/>
  <dimension ref="A1:P5000"/>
  <sheetViews>
    <sheetView workbookViewId="0">
      <selection sqref="A1:P2976"/>
    </sheetView>
  </sheetViews>
  <sheetFormatPr defaultRowHeight="14.4" x14ac:dyDescent="0.3"/>
  <cols>
    <col min="1" max="1" width="32.21875" customWidth="1"/>
    <col min="2" max="2" width="11" bestFit="1" customWidth="1"/>
    <col min="3" max="3" width="12.33203125" bestFit="1" customWidth="1"/>
    <col min="4" max="4" width="26.77734375" customWidth="1"/>
    <col min="6" max="6" width="11.88671875" style="1" bestFit="1" customWidth="1"/>
    <col min="7" max="7" width="12.5546875" style="1" bestFit="1" customWidth="1"/>
    <col min="8" max="8" width="13.21875" style="3" bestFit="1" customWidth="1"/>
    <col min="9" max="9" width="13.21875" style="2" bestFit="1" customWidth="1"/>
    <col min="12" max="12" width="11.5546875" bestFit="1" customWidth="1"/>
    <col min="14" max="14" width="11.5546875" bestFit="1" customWidth="1"/>
    <col min="15" max="15" width="12.33203125" bestFit="1" customWidth="1"/>
    <col min="16" max="16" width="11.88671875" bestFit="1" customWidth="1"/>
    <col min="17" max="17" width="12.33203125" bestFit="1" customWidth="1"/>
    <col min="18" max="18" width="12.77734375" bestFit="1" customWidth="1"/>
    <col min="19" max="19" width="10.33203125" bestFit="1" customWidth="1"/>
  </cols>
  <sheetData>
    <row r="1" spans="1:16" x14ac:dyDescent="0.3">
      <c r="A1" t="s">
        <v>14</v>
      </c>
      <c r="B1" t="s">
        <v>0</v>
      </c>
      <c r="C1" t="s">
        <v>1</v>
      </c>
      <c r="D1" t="s">
        <v>2</v>
      </c>
      <c r="E1" t="s">
        <v>4</v>
      </c>
      <c r="F1" t="s">
        <v>3</v>
      </c>
      <c r="G1" t="s">
        <v>11</v>
      </c>
      <c r="H1" t="s">
        <v>13</v>
      </c>
      <c r="I1" t="s">
        <v>5</v>
      </c>
      <c r="J1" t="s">
        <v>7</v>
      </c>
      <c r="L1" t="s">
        <v>12</v>
      </c>
      <c r="M1">
        <f>SUM(TempMovSaida!E2:E1048576)</f>
        <v>0</v>
      </c>
      <c r="O1" t="s">
        <v>11</v>
      </c>
      <c r="P1" s="5">
        <f>SUM(TempMovSaida!G2:G1048576)</f>
        <v>0</v>
      </c>
    </row>
    <row r="11" spans="1:16" x14ac:dyDescent="0.3">
      <c r="C11" t="str">
        <f>IFERROR(IF(B11="","",VLOOKUP(B11,CadProd!$A:$B,2,0)),"")</f>
        <v/>
      </c>
      <c r="D11" t="str">
        <f>IFERROR(IF(B11="","",VLOOKUP(B11,CadProd!$A:$C,3,0)),"")</f>
        <v/>
      </c>
      <c r="G11" s="1" t="str">
        <f t="shared" ref="G11:G74" si="0">IFERROR(IF(B11="","",F11*E11),"")</f>
        <v/>
      </c>
    </row>
    <row r="12" spans="1:16" x14ac:dyDescent="0.3">
      <c r="C12" t="str">
        <f>IFERROR(IF(B12="","",VLOOKUP(B12,CadProd!$A:$B,2,0)),"")</f>
        <v/>
      </c>
      <c r="D12" t="str">
        <f>IFERROR(IF(B12="","",VLOOKUP(B12,CadProd!$A:$C,3,0)),"")</f>
        <v/>
      </c>
      <c r="G12" s="1" t="str">
        <f t="shared" si="0"/>
        <v/>
      </c>
    </row>
    <row r="13" spans="1:16" x14ac:dyDescent="0.3">
      <c r="C13" t="str">
        <f>IFERROR(IF(B13="","",VLOOKUP(B13,CadProd!$A:$B,2,0)),"")</f>
        <v/>
      </c>
      <c r="D13" t="str">
        <f>IFERROR(IF(B13="","",VLOOKUP(B13,CadProd!$A:$C,3,0)),"")</f>
        <v/>
      </c>
      <c r="G13" s="1" t="str">
        <f t="shared" si="0"/>
        <v/>
      </c>
    </row>
    <row r="14" spans="1:16" x14ac:dyDescent="0.3">
      <c r="C14" t="str">
        <f>IFERROR(IF(B14="","",VLOOKUP(B14,CadProd!$A:$B,2,0)),"")</f>
        <v/>
      </c>
      <c r="D14" t="str">
        <f>IFERROR(IF(B14="","",VLOOKUP(B14,CadProd!$A:$C,3,0)),"")</f>
        <v/>
      </c>
      <c r="G14" s="1" t="str">
        <f t="shared" si="0"/>
        <v/>
      </c>
    </row>
    <row r="15" spans="1:16" x14ac:dyDescent="0.3">
      <c r="C15" t="str">
        <f>IFERROR(IF(B15="","",VLOOKUP(B15,CadProd!$A:$B,2,0)),"")</f>
        <v/>
      </c>
      <c r="D15" t="str">
        <f>IFERROR(IF(B15="","",VLOOKUP(B15,CadProd!$A:$C,3,0)),"")</f>
        <v/>
      </c>
      <c r="G15" s="1" t="str">
        <f t="shared" si="0"/>
        <v/>
      </c>
    </row>
    <row r="16" spans="1:16" x14ac:dyDescent="0.3">
      <c r="C16" t="str">
        <f>IFERROR(IF(B16="","",VLOOKUP(B16,CadProd!$A:$B,2,0)),"")</f>
        <v/>
      </c>
      <c r="D16" t="str">
        <f>IFERROR(IF(B16="","",VLOOKUP(B16,CadProd!$A:$C,3,0)),"")</f>
        <v/>
      </c>
      <c r="G16" s="1" t="str">
        <f t="shared" si="0"/>
        <v/>
      </c>
    </row>
    <row r="17" spans="3:7" x14ac:dyDescent="0.3">
      <c r="C17" t="str">
        <f>IFERROR(IF(B17="","",VLOOKUP(B17,CadProd!$A:$B,2,0)),"")</f>
        <v/>
      </c>
      <c r="D17" t="str">
        <f>IFERROR(IF(B17="","",VLOOKUP(B17,CadProd!$A:$C,3,0)),"")</f>
        <v/>
      </c>
      <c r="G17" s="1" t="str">
        <f t="shared" si="0"/>
        <v/>
      </c>
    </row>
    <row r="18" spans="3:7" x14ac:dyDescent="0.3">
      <c r="C18" t="str">
        <f>IFERROR(IF(B18="","",VLOOKUP(B18,CadProd!$A:$B,2,0)),"")</f>
        <v/>
      </c>
      <c r="D18" t="str">
        <f>IFERROR(IF(B18="","",VLOOKUP(B18,CadProd!$A:$C,3,0)),"")</f>
        <v/>
      </c>
      <c r="G18" s="1" t="str">
        <f t="shared" si="0"/>
        <v/>
      </c>
    </row>
    <row r="19" spans="3:7" x14ac:dyDescent="0.3">
      <c r="C19" t="str">
        <f>IFERROR(IF(B19="","",VLOOKUP(B19,CadProd!$A:$B,2,0)),"")</f>
        <v/>
      </c>
      <c r="D19" t="str">
        <f>IFERROR(IF(B19="","",VLOOKUP(B19,CadProd!$A:$C,3,0)),"")</f>
        <v/>
      </c>
      <c r="G19" s="1" t="str">
        <f t="shared" si="0"/>
        <v/>
      </c>
    </row>
    <row r="20" spans="3:7" x14ac:dyDescent="0.3">
      <c r="C20" t="str">
        <f>IFERROR(IF(B20="","",VLOOKUP(B20,CadProd!$A:$B,2,0)),"")</f>
        <v/>
      </c>
      <c r="D20" t="str">
        <f>IFERROR(IF(B20="","",VLOOKUP(B20,CadProd!$A:$C,3,0)),"")</f>
        <v/>
      </c>
      <c r="G20" s="1" t="str">
        <f t="shared" si="0"/>
        <v/>
      </c>
    </row>
    <row r="21" spans="3:7" x14ac:dyDescent="0.3">
      <c r="C21" t="str">
        <f>IFERROR(IF(B21="","",VLOOKUP(B21,CadProd!$A:$B,2,0)),"")</f>
        <v/>
      </c>
      <c r="D21" t="str">
        <f>IFERROR(IF(B21="","",VLOOKUP(B21,CadProd!$A:$C,3,0)),"")</f>
        <v/>
      </c>
      <c r="G21" s="1" t="str">
        <f t="shared" si="0"/>
        <v/>
      </c>
    </row>
    <row r="22" spans="3:7" x14ac:dyDescent="0.3">
      <c r="C22" t="str">
        <f>IFERROR(IF(B22="","",VLOOKUP(B22,CadProd!$A:$B,2,0)),"")</f>
        <v/>
      </c>
      <c r="D22" t="str">
        <f>IFERROR(IF(B22="","",VLOOKUP(B22,CadProd!$A:$C,3,0)),"")</f>
        <v/>
      </c>
      <c r="G22" s="1" t="str">
        <f t="shared" si="0"/>
        <v/>
      </c>
    </row>
    <row r="23" spans="3:7" x14ac:dyDescent="0.3">
      <c r="C23" t="str">
        <f>IFERROR(IF(B23="","",VLOOKUP(B23,CadProd!$A:$B,2,0)),"")</f>
        <v/>
      </c>
      <c r="D23" t="str">
        <f>IFERROR(IF(B23="","",VLOOKUP(B23,CadProd!$A:$C,3,0)),"")</f>
        <v/>
      </c>
      <c r="G23" s="1" t="str">
        <f t="shared" si="0"/>
        <v/>
      </c>
    </row>
    <row r="24" spans="3:7" x14ac:dyDescent="0.3">
      <c r="C24" t="str">
        <f>IFERROR(IF(B24="","",VLOOKUP(B24,CadProd!$A:$B,2,0)),"")</f>
        <v/>
      </c>
      <c r="D24" t="str">
        <f>IFERROR(IF(B24="","",VLOOKUP(B24,CadProd!$A:$C,3,0)),"")</f>
        <v/>
      </c>
      <c r="G24" s="1" t="str">
        <f t="shared" si="0"/>
        <v/>
      </c>
    </row>
    <row r="25" spans="3:7" x14ac:dyDescent="0.3">
      <c r="C25" t="str">
        <f>IFERROR(IF(B25="","",VLOOKUP(B25,CadProd!$A:$B,2,0)),"")</f>
        <v/>
      </c>
      <c r="D25" t="str">
        <f>IFERROR(IF(B25="","",VLOOKUP(B25,CadProd!$A:$C,3,0)),"")</f>
        <v/>
      </c>
      <c r="G25" s="1" t="str">
        <f t="shared" si="0"/>
        <v/>
      </c>
    </row>
    <row r="26" spans="3:7" x14ac:dyDescent="0.3">
      <c r="C26" t="str">
        <f>IFERROR(IF(B26="","",VLOOKUP(B26,CadProd!$A:$B,2,0)),"")</f>
        <v/>
      </c>
      <c r="D26" t="str">
        <f>IFERROR(IF(B26="","",VLOOKUP(B26,CadProd!$A:$C,3,0)),"")</f>
        <v/>
      </c>
      <c r="G26" s="1" t="str">
        <f t="shared" si="0"/>
        <v/>
      </c>
    </row>
    <row r="27" spans="3:7" x14ac:dyDescent="0.3">
      <c r="C27" t="str">
        <f>IFERROR(IF(B27="","",VLOOKUP(B27,CadProd!$A:$B,2,0)),"")</f>
        <v/>
      </c>
      <c r="D27" t="str">
        <f>IFERROR(IF(B27="","",VLOOKUP(B27,CadProd!$A:$C,3,0)),"")</f>
        <v/>
      </c>
      <c r="G27" s="1" t="str">
        <f t="shared" si="0"/>
        <v/>
      </c>
    </row>
    <row r="28" spans="3:7" x14ac:dyDescent="0.3">
      <c r="C28" t="str">
        <f>IFERROR(IF(B28="","",VLOOKUP(B28,CadProd!$A:$B,2,0)),"")</f>
        <v/>
      </c>
      <c r="D28" t="str">
        <f>IFERROR(IF(B28="","",VLOOKUP(B28,CadProd!$A:$C,3,0)),"")</f>
        <v/>
      </c>
      <c r="G28" s="1" t="str">
        <f t="shared" si="0"/>
        <v/>
      </c>
    </row>
    <row r="29" spans="3:7" x14ac:dyDescent="0.3">
      <c r="C29" t="str">
        <f>IFERROR(IF(B29="","",VLOOKUP(B29,CadProd!$A:$B,2,0)),"")</f>
        <v/>
      </c>
      <c r="D29" t="str">
        <f>IFERROR(IF(B29="","",VLOOKUP(B29,CadProd!$A:$C,3,0)),"")</f>
        <v/>
      </c>
      <c r="G29" s="1" t="str">
        <f t="shared" si="0"/>
        <v/>
      </c>
    </row>
    <row r="30" spans="3:7" x14ac:dyDescent="0.3">
      <c r="C30" t="str">
        <f>IFERROR(IF(B30="","",VLOOKUP(B30,CadProd!$A:$B,2,0)),"")</f>
        <v/>
      </c>
      <c r="D30" t="str">
        <f>IFERROR(IF(B30="","",VLOOKUP(B30,CadProd!$A:$C,3,0)),"")</f>
        <v/>
      </c>
      <c r="G30" s="1" t="str">
        <f t="shared" si="0"/>
        <v/>
      </c>
    </row>
    <row r="31" spans="3:7" x14ac:dyDescent="0.3">
      <c r="C31" t="str">
        <f>IFERROR(IF(B31="","",VLOOKUP(B31,CadProd!$A:$B,2,0)),"")</f>
        <v/>
      </c>
      <c r="D31" t="str">
        <f>IFERROR(IF(B31="","",VLOOKUP(B31,CadProd!$A:$C,3,0)),"")</f>
        <v/>
      </c>
      <c r="G31" s="1" t="str">
        <f t="shared" si="0"/>
        <v/>
      </c>
    </row>
    <row r="32" spans="3:7" x14ac:dyDescent="0.3">
      <c r="C32" t="str">
        <f>IFERROR(IF(B32="","",VLOOKUP(B32,CadProd!$A:$B,2,0)),"")</f>
        <v/>
      </c>
      <c r="D32" t="str">
        <f>IFERROR(IF(B32="","",VLOOKUP(B32,CadProd!$A:$C,3,0)),"")</f>
        <v/>
      </c>
      <c r="G32" s="1" t="str">
        <f t="shared" si="0"/>
        <v/>
      </c>
    </row>
    <row r="33" spans="3:7" x14ac:dyDescent="0.3">
      <c r="C33" t="str">
        <f>IFERROR(IF(B33="","",VLOOKUP(B33,CadProd!$A:$B,2,0)),"")</f>
        <v/>
      </c>
      <c r="D33" t="str">
        <f>IFERROR(IF(B33="","",VLOOKUP(B33,CadProd!$A:$C,3,0)),"")</f>
        <v/>
      </c>
      <c r="G33" s="1" t="str">
        <f t="shared" si="0"/>
        <v/>
      </c>
    </row>
    <row r="34" spans="3:7" x14ac:dyDescent="0.3">
      <c r="C34" t="str">
        <f>IFERROR(IF(B34="","",VLOOKUP(B34,CadProd!$A:$B,2,0)),"")</f>
        <v/>
      </c>
      <c r="D34" t="str">
        <f>IFERROR(IF(B34="","",VLOOKUP(B34,CadProd!$A:$C,3,0)),"")</f>
        <v/>
      </c>
      <c r="G34" s="1" t="str">
        <f t="shared" si="0"/>
        <v/>
      </c>
    </row>
    <row r="35" spans="3:7" x14ac:dyDescent="0.3">
      <c r="C35" t="str">
        <f>IFERROR(IF(B35="","",VLOOKUP(B35,CadProd!$A:$B,2,0)),"")</f>
        <v/>
      </c>
      <c r="D35" t="str">
        <f>IFERROR(IF(B35="","",VLOOKUP(B35,CadProd!$A:$C,3,0)),"")</f>
        <v/>
      </c>
      <c r="G35" s="1" t="str">
        <f t="shared" si="0"/>
        <v/>
      </c>
    </row>
    <row r="36" spans="3:7" x14ac:dyDescent="0.3">
      <c r="C36" t="str">
        <f>IFERROR(IF(B36="","",VLOOKUP(B36,CadProd!$A:$B,2,0)),"")</f>
        <v/>
      </c>
      <c r="D36" t="str">
        <f>IFERROR(IF(B36="","",VLOOKUP(B36,CadProd!$A:$C,3,0)),"")</f>
        <v/>
      </c>
      <c r="G36" s="1" t="str">
        <f t="shared" si="0"/>
        <v/>
      </c>
    </row>
    <row r="37" spans="3:7" x14ac:dyDescent="0.3">
      <c r="C37" t="str">
        <f>IFERROR(IF(B37="","",VLOOKUP(B37,CadProd!$A:$B,2,0)),"")</f>
        <v/>
      </c>
      <c r="D37" t="str">
        <f>IFERROR(IF(B37="","",VLOOKUP(B37,CadProd!$A:$C,3,0)),"")</f>
        <v/>
      </c>
      <c r="G37" s="1" t="str">
        <f t="shared" si="0"/>
        <v/>
      </c>
    </row>
    <row r="38" spans="3:7" x14ac:dyDescent="0.3">
      <c r="C38" t="str">
        <f>IFERROR(IF(B38="","",VLOOKUP(B38,CadProd!$A:$B,2,0)),"")</f>
        <v/>
      </c>
      <c r="D38" t="str">
        <f>IFERROR(IF(B38="","",VLOOKUP(B38,CadProd!$A:$C,3,0)),"")</f>
        <v/>
      </c>
      <c r="G38" s="1" t="str">
        <f t="shared" si="0"/>
        <v/>
      </c>
    </row>
    <row r="39" spans="3:7" x14ac:dyDescent="0.3">
      <c r="C39" t="str">
        <f>IFERROR(IF(B39="","",VLOOKUP(B39,CadProd!$A:$B,2,0)),"")</f>
        <v/>
      </c>
      <c r="D39" t="str">
        <f>IFERROR(IF(B39="","",VLOOKUP(B39,CadProd!$A:$C,3,0)),"")</f>
        <v/>
      </c>
      <c r="G39" s="1" t="str">
        <f t="shared" si="0"/>
        <v/>
      </c>
    </row>
    <row r="40" spans="3:7" x14ac:dyDescent="0.3">
      <c r="C40" t="str">
        <f>IFERROR(IF(B40="","",VLOOKUP(B40,CadProd!$A:$B,2,0)),"")</f>
        <v/>
      </c>
      <c r="D40" t="str">
        <f>IFERROR(IF(B40="","",VLOOKUP(B40,CadProd!$A:$C,3,0)),"")</f>
        <v/>
      </c>
      <c r="G40" s="1" t="str">
        <f t="shared" si="0"/>
        <v/>
      </c>
    </row>
    <row r="41" spans="3:7" x14ac:dyDescent="0.3">
      <c r="C41" t="str">
        <f>IFERROR(IF(B41="","",VLOOKUP(B41,CadProd!$A:$B,2,0)),"")</f>
        <v/>
      </c>
      <c r="D41" t="str">
        <f>IFERROR(IF(B41="","",VLOOKUP(B41,CadProd!$A:$C,3,0)),"")</f>
        <v/>
      </c>
      <c r="G41" s="1" t="str">
        <f t="shared" si="0"/>
        <v/>
      </c>
    </row>
    <row r="42" spans="3:7" x14ac:dyDescent="0.3">
      <c r="C42" t="str">
        <f>IFERROR(IF(B42="","",VLOOKUP(B42,CadProd!$A:$B,2,0)),"")</f>
        <v/>
      </c>
      <c r="D42" t="str">
        <f>IFERROR(IF(B42="","",VLOOKUP(B42,CadProd!$A:$C,3,0)),"")</f>
        <v/>
      </c>
      <c r="G42" s="1" t="str">
        <f t="shared" si="0"/>
        <v/>
      </c>
    </row>
    <row r="43" spans="3:7" x14ac:dyDescent="0.3">
      <c r="C43" t="str">
        <f>IFERROR(IF(B43="","",VLOOKUP(B43,CadProd!$A:$B,2,0)),"")</f>
        <v/>
      </c>
      <c r="D43" t="str">
        <f>IFERROR(IF(B43="","",VLOOKUP(B43,CadProd!$A:$C,3,0)),"")</f>
        <v/>
      </c>
      <c r="G43" s="1" t="str">
        <f t="shared" si="0"/>
        <v/>
      </c>
    </row>
    <row r="44" spans="3:7" x14ac:dyDescent="0.3">
      <c r="C44" t="str">
        <f>IFERROR(IF(B44="","",VLOOKUP(B44,CadProd!$A:$B,2,0)),"")</f>
        <v/>
      </c>
      <c r="D44" t="str">
        <f>IFERROR(IF(B44="","",VLOOKUP(B44,CadProd!$A:$C,3,0)),"")</f>
        <v/>
      </c>
      <c r="G44" s="1" t="str">
        <f t="shared" si="0"/>
        <v/>
      </c>
    </row>
    <row r="45" spans="3:7" x14ac:dyDescent="0.3">
      <c r="C45" t="str">
        <f>IFERROR(IF(B45="","",VLOOKUP(B45,CadProd!$A:$B,2,0)),"")</f>
        <v/>
      </c>
      <c r="D45" t="str">
        <f>IFERROR(IF(B45="","",VLOOKUP(B45,CadProd!$A:$C,3,0)),"")</f>
        <v/>
      </c>
      <c r="G45" s="1" t="str">
        <f t="shared" si="0"/>
        <v/>
      </c>
    </row>
    <row r="46" spans="3:7" x14ac:dyDescent="0.3">
      <c r="C46" t="str">
        <f>IFERROR(IF(B46="","",VLOOKUP(B46,CadProd!$A:$B,2,0)),"")</f>
        <v/>
      </c>
      <c r="D46" t="str">
        <f>IFERROR(IF(B46="","",VLOOKUP(B46,CadProd!$A:$C,3,0)),"")</f>
        <v/>
      </c>
      <c r="G46" s="1" t="str">
        <f t="shared" si="0"/>
        <v/>
      </c>
    </row>
    <row r="47" spans="3:7" x14ac:dyDescent="0.3">
      <c r="C47" t="str">
        <f>IFERROR(IF(B47="","",VLOOKUP(B47,CadProd!$A:$B,2,0)),"")</f>
        <v/>
      </c>
      <c r="D47" t="str">
        <f>IFERROR(IF(B47="","",VLOOKUP(B47,CadProd!$A:$C,3,0)),"")</f>
        <v/>
      </c>
      <c r="G47" s="1" t="str">
        <f t="shared" si="0"/>
        <v/>
      </c>
    </row>
    <row r="48" spans="3:7" x14ac:dyDescent="0.3">
      <c r="C48" t="str">
        <f>IFERROR(IF(B48="","",VLOOKUP(B48,CadProd!$A:$B,2,0)),"")</f>
        <v/>
      </c>
      <c r="D48" t="str">
        <f>IFERROR(IF(B48="","",VLOOKUP(B48,CadProd!$A:$C,3,0)),"")</f>
        <v/>
      </c>
      <c r="G48" s="1" t="str">
        <f t="shared" si="0"/>
        <v/>
      </c>
    </row>
    <row r="49" spans="3:7" x14ac:dyDescent="0.3">
      <c r="C49" t="str">
        <f>IFERROR(IF(B49="","",VLOOKUP(B49,CadProd!$A:$B,2,0)),"")</f>
        <v/>
      </c>
      <c r="D49" t="str">
        <f>IFERROR(IF(B49="","",VLOOKUP(B49,CadProd!$A:$C,3,0)),"")</f>
        <v/>
      </c>
      <c r="G49" s="1" t="str">
        <f t="shared" si="0"/>
        <v/>
      </c>
    </row>
    <row r="50" spans="3:7" x14ac:dyDescent="0.3">
      <c r="C50" t="str">
        <f>IFERROR(IF(B50="","",VLOOKUP(B50,CadProd!$A:$B,2,0)),"")</f>
        <v/>
      </c>
      <c r="D50" t="str">
        <f>IFERROR(IF(B50="","",VLOOKUP(B50,CadProd!$A:$C,3,0)),"")</f>
        <v/>
      </c>
      <c r="G50" s="1" t="str">
        <f t="shared" si="0"/>
        <v/>
      </c>
    </row>
    <row r="51" spans="3:7" x14ac:dyDescent="0.3">
      <c r="C51" t="str">
        <f>IFERROR(IF(B51="","",VLOOKUP(B51,CadProd!$A:$B,2,0)),"")</f>
        <v/>
      </c>
      <c r="D51" t="str">
        <f>IFERROR(IF(B51="","",VLOOKUP(B51,CadProd!$A:$C,3,0)),"")</f>
        <v/>
      </c>
      <c r="G51" s="1" t="str">
        <f t="shared" si="0"/>
        <v/>
      </c>
    </row>
    <row r="52" spans="3:7" x14ac:dyDescent="0.3">
      <c r="C52" t="str">
        <f>IFERROR(IF(B52="","",VLOOKUP(B52,CadProd!$A:$B,2,0)),"")</f>
        <v/>
      </c>
      <c r="D52" t="str">
        <f>IFERROR(IF(B52="","",VLOOKUP(B52,CadProd!$A:$C,3,0)),"")</f>
        <v/>
      </c>
      <c r="G52" s="1" t="str">
        <f t="shared" si="0"/>
        <v/>
      </c>
    </row>
    <row r="53" spans="3:7" x14ac:dyDescent="0.3">
      <c r="C53" t="str">
        <f>IFERROR(IF(B53="","",VLOOKUP(B53,CadProd!$A:$B,2,0)),"")</f>
        <v/>
      </c>
      <c r="D53" t="str">
        <f>IFERROR(IF(B53="","",VLOOKUP(B53,CadProd!$A:$C,3,0)),"")</f>
        <v/>
      </c>
      <c r="G53" s="1" t="str">
        <f t="shared" si="0"/>
        <v/>
      </c>
    </row>
    <row r="54" spans="3:7" x14ac:dyDescent="0.3">
      <c r="C54" t="str">
        <f>IFERROR(IF(B54="","",VLOOKUP(B54,CadProd!$A:$B,2,0)),"")</f>
        <v/>
      </c>
      <c r="D54" t="str">
        <f>IFERROR(IF(B54="","",VLOOKUP(B54,CadProd!$A:$C,3,0)),"")</f>
        <v/>
      </c>
      <c r="G54" s="1" t="str">
        <f t="shared" si="0"/>
        <v/>
      </c>
    </row>
    <row r="55" spans="3:7" x14ac:dyDescent="0.3">
      <c r="C55" t="str">
        <f>IFERROR(IF(B55="","",VLOOKUP(B55,CadProd!$A:$B,2,0)),"")</f>
        <v/>
      </c>
      <c r="D55" t="str">
        <f>IFERROR(IF(B55="","",VLOOKUP(B55,CadProd!$A:$C,3,0)),"")</f>
        <v/>
      </c>
      <c r="G55" s="1" t="str">
        <f t="shared" si="0"/>
        <v/>
      </c>
    </row>
    <row r="56" spans="3:7" x14ac:dyDescent="0.3">
      <c r="C56" t="str">
        <f>IFERROR(IF(B56="","",VLOOKUP(B56,CadProd!$A:$B,2,0)),"")</f>
        <v/>
      </c>
      <c r="D56" t="str">
        <f>IFERROR(IF(B56="","",VLOOKUP(B56,CadProd!$A:$C,3,0)),"")</f>
        <v/>
      </c>
      <c r="G56" s="1" t="str">
        <f t="shared" si="0"/>
        <v/>
      </c>
    </row>
    <row r="57" spans="3:7" x14ac:dyDescent="0.3">
      <c r="C57" t="str">
        <f>IFERROR(IF(B57="","",VLOOKUP(B57,CadProd!$A:$B,2,0)),"")</f>
        <v/>
      </c>
      <c r="D57" t="str">
        <f>IFERROR(IF(B57="","",VLOOKUP(B57,CadProd!$A:$C,3,0)),"")</f>
        <v/>
      </c>
      <c r="G57" s="1" t="str">
        <f t="shared" si="0"/>
        <v/>
      </c>
    </row>
    <row r="58" spans="3:7" x14ac:dyDescent="0.3">
      <c r="C58" t="str">
        <f>IFERROR(IF(B58="","",VLOOKUP(B58,CadProd!$A:$B,2,0)),"")</f>
        <v/>
      </c>
      <c r="D58" t="str">
        <f>IFERROR(IF(B58="","",VLOOKUP(B58,CadProd!$A:$C,3,0)),"")</f>
        <v/>
      </c>
      <c r="G58" s="1" t="str">
        <f t="shared" si="0"/>
        <v/>
      </c>
    </row>
    <row r="59" spans="3:7" x14ac:dyDescent="0.3">
      <c r="C59" t="str">
        <f>IFERROR(IF(B59="","",VLOOKUP(B59,CadProd!$A:$B,2,0)),"")</f>
        <v/>
      </c>
      <c r="D59" t="str">
        <f>IFERROR(IF(B59="","",VLOOKUP(B59,CadProd!$A:$C,3,0)),"")</f>
        <v/>
      </c>
      <c r="G59" s="1" t="str">
        <f t="shared" si="0"/>
        <v/>
      </c>
    </row>
    <row r="60" spans="3:7" x14ac:dyDescent="0.3">
      <c r="C60" t="str">
        <f>IFERROR(IF(B60="","",VLOOKUP(B60,CadProd!$A:$B,2,0)),"")</f>
        <v/>
      </c>
      <c r="D60" t="str">
        <f>IFERROR(IF(B60="","",VLOOKUP(B60,CadProd!$A:$C,3,0)),"")</f>
        <v/>
      </c>
      <c r="G60" s="1" t="str">
        <f t="shared" si="0"/>
        <v/>
      </c>
    </row>
    <row r="61" spans="3:7" x14ac:dyDescent="0.3">
      <c r="C61" t="str">
        <f>IFERROR(IF(B61="","",VLOOKUP(B61,CadProd!$A:$B,2,0)),"")</f>
        <v/>
      </c>
      <c r="D61" t="str">
        <f>IFERROR(IF(B61="","",VLOOKUP(B61,CadProd!$A:$C,3,0)),"")</f>
        <v/>
      </c>
      <c r="G61" s="1" t="str">
        <f t="shared" si="0"/>
        <v/>
      </c>
    </row>
    <row r="62" spans="3:7" x14ac:dyDescent="0.3">
      <c r="C62" t="str">
        <f>IFERROR(IF(B62="","",VLOOKUP(B62,CadProd!$A:$B,2,0)),"")</f>
        <v/>
      </c>
      <c r="D62" t="str">
        <f>IFERROR(IF(B62="","",VLOOKUP(B62,CadProd!$A:$C,3,0)),"")</f>
        <v/>
      </c>
      <c r="G62" s="1" t="str">
        <f t="shared" si="0"/>
        <v/>
      </c>
    </row>
    <row r="63" spans="3:7" x14ac:dyDescent="0.3">
      <c r="C63" t="str">
        <f>IFERROR(IF(B63="","",VLOOKUP(B63,CadProd!$A:$B,2,0)),"")</f>
        <v/>
      </c>
      <c r="D63" t="str">
        <f>IFERROR(IF(B63="","",VLOOKUP(B63,CadProd!$A:$C,3,0)),"")</f>
        <v/>
      </c>
      <c r="G63" s="1" t="str">
        <f t="shared" si="0"/>
        <v/>
      </c>
    </row>
    <row r="64" spans="3:7" x14ac:dyDescent="0.3">
      <c r="C64" t="str">
        <f>IFERROR(IF(B64="","",VLOOKUP(B64,CadProd!$A:$B,2,0)),"")</f>
        <v/>
      </c>
      <c r="D64" t="str">
        <f>IFERROR(IF(B64="","",VLOOKUP(B64,CadProd!$A:$C,3,0)),"")</f>
        <v/>
      </c>
      <c r="G64" s="1" t="str">
        <f t="shared" si="0"/>
        <v/>
      </c>
    </row>
    <row r="65" spans="3:7" x14ac:dyDescent="0.3">
      <c r="C65" t="str">
        <f>IFERROR(IF(B65="","",VLOOKUP(B65,CadProd!$A:$B,2,0)),"")</f>
        <v/>
      </c>
      <c r="D65" t="str">
        <f>IFERROR(IF(B65="","",VLOOKUP(B65,CadProd!$A:$C,3,0)),"")</f>
        <v/>
      </c>
      <c r="G65" s="1" t="str">
        <f t="shared" si="0"/>
        <v/>
      </c>
    </row>
    <row r="66" spans="3:7" x14ac:dyDescent="0.3">
      <c r="C66" t="str">
        <f>IFERROR(IF(B66="","",VLOOKUP(B66,CadProd!$A:$B,2,0)),"")</f>
        <v/>
      </c>
      <c r="D66" t="str">
        <f>IFERROR(IF(B66="","",VLOOKUP(B66,CadProd!$A:$C,3,0)),"")</f>
        <v/>
      </c>
      <c r="G66" s="1" t="str">
        <f t="shared" si="0"/>
        <v/>
      </c>
    </row>
    <row r="67" spans="3:7" x14ac:dyDescent="0.3">
      <c r="C67" t="str">
        <f>IFERROR(IF(B67="","",VLOOKUP(B67,CadProd!$A:$B,2,0)),"")</f>
        <v/>
      </c>
      <c r="D67" t="str">
        <f>IFERROR(IF(B67="","",VLOOKUP(B67,CadProd!$A:$C,3,0)),"")</f>
        <v/>
      </c>
      <c r="G67" s="1" t="str">
        <f t="shared" si="0"/>
        <v/>
      </c>
    </row>
    <row r="68" spans="3:7" x14ac:dyDescent="0.3">
      <c r="C68" t="str">
        <f>IFERROR(IF(B68="","",VLOOKUP(B68,CadProd!$A:$B,2,0)),"")</f>
        <v/>
      </c>
      <c r="D68" t="str">
        <f>IFERROR(IF(B68="","",VLOOKUP(B68,CadProd!$A:$C,3,0)),"")</f>
        <v/>
      </c>
      <c r="G68" s="1" t="str">
        <f t="shared" si="0"/>
        <v/>
      </c>
    </row>
    <row r="69" spans="3:7" x14ac:dyDescent="0.3">
      <c r="C69" t="str">
        <f>IFERROR(IF(B69="","",VLOOKUP(B69,CadProd!$A:$B,2,0)),"")</f>
        <v/>
      </c>
      <c r="D69" t="str">
        <f>IFERROR(IF(B69="","",VLOOKUP(B69,CadProd!$A:$C,3,0)),"")</f>
        <v/>
      </c>
      <c r="G69" s="1" t="str">
        <f t="shared" si="0"/>
        <v/>
      </c>
    </row>
    <row r="70" spans="3:7" x14ac:dyDescent="0.3">
      <c r="C70" t="str">
        <f>IFERROR(IF(B70="","",VLOOKUP(B70,CadProd!$A:$B,2,0)),"")</f>
        <v/>
      </c>
      <c r="D70" t="str">
        <f>IFERROR(IF(B70="","",VLOOKUP(B70,CadProd!$A:$C,3,0)),"")</f>
        <v/>
      </c>
      <c r="G70" s="1" t="str">
        <f t="shared" si="0"/>
        <v/>
      </c>
    </row>
    <row r="71" spans="3:7" x14ac:dyDescent="0.3">
      <c r="C71" t="str">
        <f>IFERROR(IF(B71="","",VLOOKUP(B71,CadProd!$A:$B,2,0)),"")</f>
        <v/>
      </c>
      <c r="D71" t="str">
        <f>IFERROR(IF(B71="","",VLOOKUP(B71,CadProd!$A:$C,3,0)),"")</f>
        <v/>
      </c>
      <c r="G71" s="1" t="str">
        <f t="shared" si="0"/>
        <v/>
      </c>
    </row>
    <row r="72" spans="3:7" x14ac:dyDescent="0.3">
      <c r="C72" t="str">
        <f>IFERROR(IF(B72="","",VLOOKUP(B72,CadProd!$A:$B,2,0)),"")</f>
        <v/>
      </c>
      <c r="D72" t="str">
        <f>IFERROR(IF(B72="","",VLOOKUP(B72,CadProd!$A:$C,3,0)),"")</f>
        <v/>
      </c>
      <c r="G72" s="1" t="str">
        <f t="shared" si="0"/>
        <v/>
      </c>
    </row>
    <row r="73" spans="3:7" x14ac:dyDescent="0.3">
      <c r="C73" t="str">
        <f>IFERROR(IF(B73="","",VLOOKUP(B73,CadProd!$A:$B,2,0)),"")</f>
        <v/>
      </c>
      <c r="D73" t="str">
        <f>IFERROR(IF(B73="","",VLOOKUP(B73,CadProd!$A:$C,3,0)),"")</f>
        <v/>
      </c>
      <c r="G73" s="1" t="str">
        <f t="shared" si="0"/>
        <v/>
      </c>
    </row>
    <row r="74" spans="3:7" x14ac:dyDescent="0.3">
      <c r="C74" t="str">
        <f>IFERROR(IF(B74="","",VLOOKUP(B74,CadProd!$A:$B,2,0)),"")</f>
        <v/>
      </c>
      <c r="D74" t="str">
        <f>IFERROR(IF(B74="","",VLOOKUP(B74,CadProd!$A:$C,3,0)),"")</f>
        <v/>
      </c>
      <c r="G74" s="1" t="str">
        <f t="shared" si="0"/>
        <v/>
      </c>
    </row>
    <row r="75" spans="3:7" x14ac:dyDescent="0.3">
      <c r="C75" t="str">
        <f>IFERROR(IF(B75="","",VLOOKUP(B75,CadProd!$A:$B,2,0)),"")</f>
        <v/>
      </c>
      <c r="D75" t="str">
        <f>IFERROR(IF(B75="","",VLOOKUP(B75,CadProd!$A:$C,3,0)),"")</f>
        <v/>
      </c>
      <c r="G75" s="1" t="str">
        <f t="shared" ref="G75:G138" si="1">IFERROR(IF(B75="","",F75*E75),"")</f>
        <v/>
      </c>
    </row>
    <row r="76" spans="3:7" x14ac:dyDescent="0.3">
      <c r="C76" t="str">
        <f>IFERROR(IF(B76="","",VLOOKUP(B76,CadProd!$A:$B,2,0)),"")</f>
        <v/>
      </c>
      <c r="D76" t="str">
        <f>IFERROR(IF(B76="","",VLOOKUP(B76,CadProd!$A:$C,3,0)),"")</f>
        <v/>
      </c>
      <c r="G76" s="1" t="str">
        <f t="shared" si="1"/>
        <v/>
      </c>
    </row>
    <row r="77" spans="3:7" x14ac:dyDescent="0.3">
      <c r="C77" t="str">
        <f>IFERROR(IF(B77="","",VLOOKUP(B77,CadProd!$A:$B,2,0)),"")</f>
        <v/>
      </c>
      <c r="D77" t="str">
        <f>IFERROR(IF(B77="","",VLOOKUP(B77,CadProd!$A:$C,3,0)),"")</f>
        <v/>
      </c>
      <c r="G77" s="1" t="str">
        <f t="shared" si="1"/>
        <v/>
      </c>
    </row>
    <row r="78" spans="3:7" x14ac:dyDescent="0.3">
      <c r="C78" t="str">
        <f>IFERROR(IF(B78="","",VLOOKUP(B78,CadProd!$A:$B,2,0)),"")</f>
        <v/>
      </c>
      <c r="D78" t="str">
        <f>IFERROR(IF(B78="","",VLOOKUP(B78,CadProd!$A:$C,3,0)),"")</f>
        <v/>
      </c>
      <c r="G78" s="1" t="str">
        <f t="shared" si="1"/>
        <v/>
      </c>
    </row>
    <row r="79" spans="3:7" x14ac:dyDescent="0.3">
      <c r="C79" t="str">
        <f>IFERROR(IF(B79="","",VLOOKUP(B79,CadProd!$A:$B,2,0)),"")</f>
        <v/>
      </c>
      <c r="D79" t="str">
        <f>IFERROR(IF(B79="","",VLOOKUP(B79,CadProd!$A:$C,3,0)),"")</f>
        <v/>
      </c>
      <c r="G79" s="1" t="str">
        <f t="shared" si="1"/>
        <v/>
      </c>
    </row>
    <row r="80" spans="3:7" x14ac:dyDescent="0.3">
      <c r="C80" t="str">
        <f>IFERROR(IF(B80="","",VLOOKUP(B80,CadProd!$A:$B,2,0)),"")</f>
        <v/>
      </c>
      <c r="D80" t="str">
        <f>IFERROR(IF(B80="","",VLOOKUP(B80,CadProd!$A:$C,3,0)),"")</f>
        <v/>
      </c>
      <c r="G80" s="1" t="str">
        <f t="shared" si="1"/>
        <v/>
      </c>
    </row>
    <row r="81" spans="3:7" x14ac:dyDescent="0.3">
      <c r="C81" t="str">
        <f>IFERROR(IF(B81="","",VLOOKUP(B81,CadProd!$A:$B,2,0)),"")</f>
        <v/>
      </c>
      <c r="D81" t="str">
        <f>IFERROR(IF(B81="","",VLOOKUP(B81,CadProd!$A:$C,3,0)),"")</f>
        <v/>
      </c>
      <c r="G81" s="1" t="str">
        <f t="shared" si="1"/>
        <v/>
      </c>
    </row>
    <row r="82" spans="3:7" x14ac:dyDescent="0.3">
      <c r="C82" t="str">
        <f>IFERROR(IF(B82="","",VLOOKUP(B82,CadProd!$A:$B,2,0)),"")</f>
        <v/>
      </c>
      <c r="D82" t="str">
        <f>IFERROR(IF(B82="","",VLOOKUP(B82,CadProd!$A:$C,3,0)),"")</f>
        <v/>
      </c>
      <c r="G82" s="1" t="str">
        <f t="shared" si="1"/>
        <v/>
      </c>
    </row>
    <row r="83" spans="3:7" x14ac:dyDescent="0.3">
      <c r="C83" t="str">
        <f>IFERROR(IF(B83="","",VLOOKUP(B83,CadProd!$A:$B,2,0)),"")</f>
        <v/>
      </c>
      <c r="D83" t="str">
        <f>IFERROR(IF(B83="","",VLOOKUP(B83,CadProd!$A:$C,3,0)),"")</f>
        <v/>
      </c>
      <c r="G83" s="1" t="str">
        <f t="shared" si="1"/>
        <v/>
      </c>
    </row>
    <row r="84" spans="3:7" x14ac:dyDescent="0.3">
      <c r="C84" t="str">
        <f>IFERROR(IF(B84="","",VLOOKUP(B84,CadProd!$A:$B,2,0)),"")</f>
        <v/>
      </c>
      <c r="D84" t="str">
        <f>IFERROR(IF(B84="","",VLOOKUP(B84,CadProd!$A:$C,3,0)),"")</f>
        <v/>
      </c>
      <c r="G84" s="1" t="str">
        <f t="shared" si="1"/>
        <v/>
      </c>
    </row>
    <row r="85" spans="3:7" x14ac:dyDescent="0.3">
      <c r="C85" t="str">
        <f>IFERROR(IF(B85="","",VLOOKUP(B85,CadProd!$A:$B,2,0)),"")</f>
        <v/>
      </c>
      <c r="D85" t="str">
        <f>IFERROR(IF(B85="","",VLOOKUP(B85,CadProd!$A:$C,3,0)),"")</f>
        <v/>
      </c>
      <c r="G85" s="1" t="str">
        <f t="shared" si="1"/>
        <v/>
      </c>
    </row>
    <row r="86" spans="3:7" x14ac:dyDescent="0.3">
      <c r="C86" t="str">
        <f>IFERROR(IF(B86="","",VLOOKUP(B86,CadProd!$A:$B,2,0)),"")</f>
        <v/>
      </c>
      <c r="D86" t="str">
        <f>IFERROR(IF(B86="","",VLOOKUP(B86,CadProd!$A:$C,3,0)),"")</f>
        <v/>
      </c>
      <c r="G86" s="1" t="str">
        <f t="shared" si="1"/>
        <v/>
      </c>
    </row>
    <row r="87" spans="3:7" x14ac:dyDescent="0.3">
      <c r="C87" t="str">
        <f>IFERROR(IF(B87="","",VLOOKUP(B87,CadProd!$A:$B,2,0)),"")</f>
        <v/>
      </c>
      <c r="D87" t="str">
        <f>IFERROR(IF(B87="","",VLOOKUP(B87,CadProd!$A:$C,3,0)),"")</f>
        <v/>
      </c>
      <c r="G87" s="1" t="str">
        <f t="shared" si="1"/>
        <v/>
      </c>
    </row>
    <row r="88" spans="3:7" x14ac:dyDescent="0.3">
      <c r="C88" t="str">
        <f>IFERROR(IF(B88="","",VLOOKUP(B88,CadProd!$A:$B,2,0)),"")</f>
        <v/>
      </c>
      <c r="D88" t="str">
        <f>IFERROR(IF(B88="","",VLOOKUP(B88,CadProd!$A:$C,3,0)),"")</f>
        <v/>
      </c>
      <c r="G88" s="1" t="str">
        <f t="shared" si="1"/>
        <v/>
      </c>
    </row>
    <row r="89" spans="3:7" x14ac:dyDescent="0.3">
      <c r="C89" t="str">
        <f>IFERROR(IF(B89="","",VLOOKUP(B89,CadProd!$A:$B,2,0)),"")</f>
        <v/>
      </c>
      <c r="D89" t="str">
        <f>IFERROR(IF(B89="","",VLOOKUP(B89,CadProd!$A:$C,3,0)),"")</f>
        <v/>
      </c>
      <c r="G89" s="1" t="str">
        <f t="shared" si="1"/>
        <v/>
      </c>
    </row>
    <row r="90" spans="3:7" x14ac:dyDescent="0.3">
      <c r="C90" t="str">
        <f>IFERROR(IF(B90="","",VLOOKUP(B90,CadProd!$A:$B,2,0)),"")</f>
        <v/>
      </c>
      <c r="D90" t="str">
        <f>IFERROR(IF(B90="","",VLOOKUP(B90,CadProd!$A:$C,3,0)),"")</f>
        <v/>
      </c>
      <c r="G90" s="1" t="str">
        <f t="shared" si="1"/>
        <v/>
      </c>
    </row>
    <row r="91" spans="3:7" x14ac:dyDescent="0.3">
      <c r="C91" t="str">
        <f>IFERROR(IF(B91="","",VLOOKUP(B91,CadProd!$A:$B,2,0)),"")</f>
        <v/>
      </c>
      <c r="D91" t="str">
        <f>IFERROR(IF(B91="","",VLOOKUP(B91,CadProd!$A:$C,3,0)),"")</f>
        <v/>
      </c>
      <c r="G91" s="1" t="str">
        <f t="shared" si="1"/>
        <v/>
      </c>
    </row>
    <row r="92" spans="3:7" x14ac:dyDescent="0.3">
      <c r="C92" t="str">
        <f>IFERROR(IF(B92="","",VLOOKUP(B92,CadProd!$A:$B,2,0)),"")</f>
        <v/>
      </c>
      <c r="D92" t="str">
        <f>IFERROR(IF(B92="","",VLOOKUP(B92,CadProd!$A:$C,3,0)),"")</f>
        <v/>
      </c>
      <c r="G92" s="1" t="str">
        <f t="shared" si="1"/>
        <v/>
      </c>
    </row>
    <row r="93" spans="3:7" x14ac:dyDescent="0.3">
      <c r="C93" t="str">
        <f>IFERROR(IF(B93="","",VLOOKUP(B93,CadProd!$A:$B,2,0)),"")</f>
        <v/>
      </c>
      <c r="D93" t="str">
        <f>IFERROR(IF(B93="","",VLOOKUP(B93,CadProd!$A:$C,3,0)),"")</f>
        <v/>
      </c>
      <c r="G93" s="1" t="str">
        <f t="shared" si="1"/>
        <v/>
      </c>
    </row>
    <row r="94" spans="3:7" x14ac:dyDescent="0.3">
      <c r="C94" t="str">
        <f>IFERROR(IF(B94="","",VLOOKUP(B94,CadProd!$A:$B,2,0)),"")</f>
        <v/>
      </c>
      <c r="D94" t="str">
        <f>IFERROR(IF(B94="","",VLOOKUP(B94,CadProd!$A:$C,3,0)),"")</f>
        <v/>
      </c>
      <c r="G94" s="1" t="str">
        <f t="shared" si="1"/>
        <v/>
      </c>
    </row>
    <row r="95" spans="3:7" x14ac:dyDescent="0.3">
      <c r="C95" t="str">
        <f>IFERROR(IF(B95="","",VLOOKUP(B95,CadProd!$A:$B,2,0)),"")</f>
        <v/>
      </c>
      <c r="D95" t="str">
        <f>IFERROR(IF(B95="","",VLOOKUP(B95,CadProd!$A:$C,3,0)),"")</f>
        <v/>
      </c>
      <c r="G95" s="1" t="str">
        <f t="shared" si="1"/>
        <v/>
      </c>
    </row>
    <row r="96" spans="3:7" x14ac:dyDescent="0.3">
      <c r="C96" t="str">
        <f>IFERROR(IF(B96="","",VLOOKUP(B96,CadProd!$A:$B,2,0)),"")</f>
        <v/>
      </c>
      <c r="D96" t="str">
        <f>IFERROR(IF(B96="","",VLOOKUP(B96,CadProd!$A:$C,3,0)),"")</f>
        <v/>
      </c>
      <c r="G96" s="1" t="str">
        <f t="shared" si="1"/>
        <v/>
      </c>
    </row>
    <row r="97" spans="3:7" x14ac:dyDescent="0.3">
      <c r="C97" t="str">
        <f>IFERROR(IF(B97="","",VLOOKUP(B97,CadProd!$A:$B,2,0)),"")</f>
        <v/>
      </c>
      <c r="D97" t="str">
        <f>IFERROR(IF(B97="","",VLOOKUP(B97,CadProd!$A:$C,3,0)),"")</f>
        <v/>
      </c>
      <c r="G97" s="1" t="str">
        <f t="shared" si="1"/>
        <v/>
      </c>
    </row>
    <row r="98" spans="3:7" x14ac:dyDescent="0.3">
      <c r="C98" t="str">
        <f>IFERROR(IF(B98="","",VLOOKUP(B98,CadProd!$A:$B,2,0)),"")</f>
        <v/>
      </c>
      <c r="D98" t="str">
        <f>IFERROR(IF(B98="","",VLOOKUP(B98,CadProd!$A:$C,3,0)),"")</f>
        <v/>
      </c>
      <c r="G98" s="1" t="str">
        <f t="shared" si="1"/>
        <v/>
      </c>
    </row>
    <row r="99" spans="3:7" x14ac:dyDescent="0.3">
      <c r="C99" t="str">
        <f>IFERROR(IF(B99="","",VLOOKUP(B99,CadProd!$A:$B,2,0)),"")</f>
        <v/>
      </c>
      <c r="D99" t="str">
        <f>IFERROR(IF(B99="","",VLOOKUP(B99,CadProd!$A:$C,3,0)),"")</f>
        <v/>
      </c>
      <c r="G99" s="1" t="str">
        <f t="shared" si="1"/>
        <v/>
      </c>
    </row>
    <row r="100" spans="3:7" x14ac:dyDescent="0.3">
      <c r="C100" t="str">
        <f>IFERROR(IF(B100="","",VLOOKUP(B100,CadProd!$A:$B,2,0)),"")</f>
        <v/>
      </c>
      <c r="D100" t="str">
        <f>IFERROR(IF(B100="","",VLOOKUP(B100,CadProd!$A:$C,3,0)),"")</f>
        <v/>
      </c>
      <c r="G100" s="1" t="str">
        <f t="shared" si="1"/>
        <v/>
      </c>
    </row>
    <row r="101" spans="3:7" x14ac:dyDescent="0.3">
      <c r="C101" t="str">
        <f>IFERROR(IF(B101="","",VLOOKUP(B101,CadProd!$A:$B,2,0)),"")</f>
        <v/>
      </c>
      <c r="D101" t="str">
        <f>IFERROR(IF(B101="","",VLOOKUP(B101,CadProd!$A:$C,3,0)),"")</f>
        <v/>
      </c>
      <c r="G101" s="1" t="str">
        <f t="shared" si="1"/>
        <v/>
      </c>
    </row>
    <row r="102" spans="3:7" x14ac:dyDescent="0.3">
      <c r="C102" t="str">
        <f>IFERROR(IF(B102="","",VLOOKUP(B102,CadProd!$A:$B,2,0)),"")</f>
        <v/>
      </c>
      <c r="D102" t="str">
        <f>IFERROR(IF(B102="","",VLOOKUP(B102,CadProd!$A:$C,3,0)),"")</f>
        <v/>
      </c>
      <c r="G102" s="1" t="str">
        <f t="shared" si="1"/>
        <v/>
      </c>
    </row>
    <row r="103" spans="3:7" x14ac:dyDescent="0.3">
      <c r="C103" t="str">
        <f>IFERROR(IF(B103="","",VLOOKUP(B103,CadProd!$A:$B,2,0)),"")</f>
        <v/>
      </c>
      <c r="D103" t="str">
        <f>IFERROR(IF(B103="","",VLOOKUP(B103,CadProd!$A:$C,3,0)),"")</f>
        <v/>
      </c>
      <c r="G103" s="1" t="str">
        <f t="shared" si="1"/>
        <v/>
      </c>
    </row>
    <row r="104" spans="3:7" x14ac:dyDescent="0.3">
      <c r="C104" t="str">
        <f>IFERROR(IF(B104="","",VLOOKUP(B104,CadProd!$A:$B,2,0)),"")</f>
        <v/>
      </c>
      <c r="D104" t="str">
        <f>IFERROR(IF(B104="","",VLOOKUP(B104,CadProd!$A:$C,3,0)),"")</f>
        <v/>
      </c>
      <c r="G104" s="1" t="str">
        <f t="shared" si="1"/>
        <v/>
      </c>
    </row>
    <row r="105" spans="3:7" x14ac:dyDescent="0.3">
      <c r="C105" t="str">
        <f>IFERROR(IF(B105="","",VLOOKUP(B105,CadProd!$A:$B,2,0)),"")</f>
        <v/>
      </c>
      <c r="D105" t="str">
        <f>IFERROR(IF(B105="","",VLOOKUP(B105,CadProd!$A:$C,3,0)),"")</f>
        <v/>
      </c>
      <c r="G105" s="1" t="str">
        <f t="shared" si="1"/>
        <v/>
      </c>
    </row>
    <row r="106" spans="3:7" x14ac:dyDescent="0.3">
      <c r="C106" t="str">
        <f>IFERROR(IF(B106="","",VLOOKUP(B106,CadProd!$A:$B,2,0)),"")</f>
        <v/>
      </c>
      <c r="D106" t="str">
        <f>IFERROR(IF(B106="","",VLOOKUP(B106,CadProd!$A:$C,3,0)),"")</f>
        <v/>
      </c>
      <c r="G106" s="1" t="str">
        <f t="shared" si="1"/>
        <v/>
      </c>
    </row>
    <row r="107" spans="3:7" x14ac:dyDescent="0.3">
      <c r="C107" t="str">
        <f>IFERROR(IF(B107="","",VLOOKUP(B107,CadProd!$A:$B,2,0)),"")</f>
        <v/>
      </c>
      <c r="D107" t="str">
        <f>IFERROR(IF(B107="","",VLOOKUP(B107,CadProd!$A:$C,3,0)),"")</f>
        <v/>
      </c>
      <c r="G107" s="1" t="str">
        <f t="shared" si="1"/>
        <v/>
      </c>
    </row>
    <row r="108" spans="3:7" x14ac:dyDescent="0.3">
      <c r="C108" t="str">
        <f>IFERROR(IF(B108="","",VLOOKUP(B108,CadProd!$A:$B,2,0)),"")</f>
        <v/>
      </c>
      <c r="D108" t="str">
        <f>IFERROR(IF(B108="","",VLOOKUP(B108,CadProd!$A:$C,3,0)),"")</f>
        <v/>
      </c>
      <c r="G108" s="1" t="str">
        <f t="shared" si="1"/>
        <v/>
      </c>
    </row>
    <row r="109" spans="3:7" x14ac:dyDescent="0.3">
      <c r="C109" t="str">
        <f>IFERROR(IF(B109="","",VLOOKUP(B109,CadProd!$A:$B,2,0)),"")</f>
        <v/>
      </c>
      <c r="D109" t="str">
        <f>IFERROR(IF(B109="","",VLOOKUP(B109,CadProd!$A:$C,3,0)),"")</f>
        <v/>
      </c>
      <c r="G109" s="1" t="str">
        <f t="shared" si="1"/>
        <v/>
      </c>
    </row>
    <row r="110" spans="3:7" x14ac:dyDescent="0.3">
      <c r="C110" t="str">
        <f>IFERROR(IF(B110="","",VLOOKUP(B110,CadProd!$A:$B,2,0)),"")</f>
        <v/>
      </c>
      <c r="D110" t="str">
        <f>IFERROR(IF(B110="","",VLOOKUP(B110,CadProd!$A:$C,3,0)),"")</f>
        <v/>
      </c>
      <c r="G110" s="1" t="str">
        <f t="shared" si="1"/>
        <v/>
      </c>
    </row>
    <row r="111" spans="3:7" x14ac:dyDescent="0.3">
      <c r="C111" t="str">
        <f>IFERROR(IF(B111="","",VLOOKUP(B111,CadProd!$A:$B,2,0)),"")</f>
        <v/>
      </c>
      <c r="D111" t="str">
        <f>IFERROR(IF(B111="","",VLOOKUP(B111,CadProd!$A:$C,3,0)),"")</f>
        <v/>
      </c>
      <c r="G111" s="1" t="str">
        <f t="shared" si="1"/>
        <v/>
      </c>
    </row>
    <row r="112" spans="3:7" x14ac:dyDescent="0.3">
      <c r="C112" t="str">
        <f>IFERROR(IF(B112="","",VLOOKUP(B112,CadProd!$A:$B,2,0)),"")</f>
        <v/>
      </c>
      <c r="D112" t="str">
        <f>IFERROR(IF(B112="","",VLOOKUP(B112,CadProd!$A:$C,3,0)),"")</f>
        <v/>
      </c>
      <c r="G112" s="1" t="str">
        <f t="shared" si="1"/>
        <v/>
      </c>
    </row>
    <row r="113" spans="3:7" x14ac:dyDescent="0.3">
      <c r="C113" t="str">
        <f>IFERROR(IF(B113="","",VLOOKUP(B113,CadProd!$A:$B,2,0)),"")</f>
        <v/>
      </c>
      <c r="D113" t="str">
        <f>IFERROR(IF(B113="","",VLOOKUP(B113,CadProd!$A:$C,3,0)),"")</f>
        <v/>
      </c>
      <c r="G113" s="1" t="str">
        <f t="shared" si="1"/>
        <v/>
      </c>
    </row>
    <row r="114" spans="3:7" x14ac:dyDescent="0.3">
      <c r="C114" t="str">
        <f>IFERROR(IF(B114="","",VLOOKUP(B114,CadProd!$A:$B,2,0)),"")</f>
        <v/>
      </c>
      <c r="D114" t="str">
        <f>IFERROR(IF(B114="","",VLOOKUP(B114,CadProd!$A:$C,3,0)),"")</f>
        <v/>
      </c>
      <c r="G114" s="1" t="str">
        <f t="shared" si="1"/>
        <v/>
      </c>
    </row>
    <row r="115" spans="3:7" x14ac:dyDescent="0.3">
      <c r="C115" t="str">
        <f>IFERROR(IF(B115="","",VLOOKUP(B115,CadProd!$A:$B,2,0)),"")</f>
        <v/>
      </c>
      <c r="D115" t="str">
        <f>IFERROR(IF(B115="","",VLOOKUP(B115,CadProd!$A:$C,3,0)),"")</f>
        <v/>
      </c>
      <c r="G115" s="1" t="str">
        <f t="shared" si="1"/>
        <v/>
      </c>
    </row>
    <row r="116" spans="3:7" x14ac:dyDescent="0.3">
      <c r="C116" t="str">
        <f>IFERROR(IF(B116="","",VLOOKUP(B116,CadProd!$A:$B,2,0)),"")</f>
        <v/>
      </c>
      <c r="D116" t="str">
        <f>IFERROR(IF(B116="","",VLOOKUP(B116,CadProd!$A:$C,3,0)),"")</f>
        <v/>
      </c>
      <c r="G116" s="1" t="str">
        <f t="shared" si="1"/>
        <v/>
      </c>
    </row>
    <row r="117" spans="3:7" x14ac:dyDescent="0.3">
      <c r="C117" t="str">
        <f>IFERROR(IF(B117="","",VLOOKUP(B117,CadProd!$A:$B,2,0)),"")</f>
        <v/>
      </c>
      <c r="D117" t="str">
        <f>IFERROR(IF(B117="","",VLOOKUP(B117,CadProd!$A:$C,3,0)),"")</f>
        <v/>
      </c>
      <c r="G117" s="1" t="str">
        <f t="shared" si="1"/>
        <v/>
      </c>
    </row>
    <row r="118" spans="3:7" x14ac:dyDescent="0.3">
      <c r="C118" t="str">
        <f>IFERROR(IF(B118="","",VLOOKUP(B118,CadProd!$A:$B,2,0)),"")</f>
        <v/>
      </c>
      <c r="D118" t="str">
        <f>IFERROR(IF(B118="","",VLOOKUP(B118,CadProd!$A:$C,3,0)),"")</f>
        <v/>
      </c>
      <c r="G118" s="1" t="str">
        <f t="shared" si="1"/>
        <v/>
      </c>
    </row>
    <row r="119" spans="3:7" x14ac:dyDescent="0.3">
      <c r="C119" t="str">
        <f>IFERROR(IF(B119="","",VLOOKUP(B119,CadProd!$A:$B,2,0)),"")</f>
        <v/>
      </c>
      <c r="D119" t="str">
        <f>IFERROR(IF(B119="","",VLOOKUP(B119,CadProd!$A:$C,3,0)),"")</f>
        <v/>
      </c>
      <c r="G119" s="1" t="str">
        <f t="shared" si="1"/>
        <v/>
      </c>
    </row>
    <row r="120" spans="3:7" x14ac:dyDescent="0.3">
      <c r="C120" t="str">
        <f>IFERROR(IF(B120="","",VLOOKUP(B120,CadProd!$A:$B,2,0)),"")</f>
        <v/>
      </c>
      <c r="D120" t="str">
        <f>IFERROR(IF(B120="","",VLOOKUP(B120,CadProd!$A:$C,3,0)),"")</f>
        <v/>
      </c>
      <c r="G120" s="1" t="str">
        <f t="shared" si="1"/>
        <v/>
      </c>
    </row>
    <row r="121" spans="3:7" x14ac:dyDescent="0.3">
      <c r="C121" t="str">
        <f>IFERROR(IF(B121="","",VLOOKUP(B121,CadProd!$A:$B,2,0)),"")</f>
        <v/>
      </c>
      <c r="D121" t="str">
        <f>IFERROR(IF(B121="","",VLOOKUP(B121,CadProd!$A:$C,3,0)),"")</f>
        <v/>
      </c>
      <c r="G121" s="1" t="str">
        <f t="shared" si="1"/>
        <v/>
      </c>
    </row>
    <row r="122" spans="3:7" x14ac:dyDescent="0.3">
      <c r="C122" t="str">
        <f>IFERROR(IF(B122="","",VLOOKUP(B122,CadProd!$A:$B,2,0)),"")</f>
        <v/>
      </c>
      <c r="D122" t="str">
        <f>IFERROR(IF(B122="","",VLOOKUP(B122,CadProd!$A:$C,3,0)),"")</f>
        <v/>
      </c>
      <c r="G122" s="1" t="str">
        <f t="shared" si="1"/>
        <v/>
      </c>
    </row>
    <row r="123" spans="3:7" x14ac:dyDescent="0.3">
      <c r="C123" t="str">
        <f>IFERROR(IF(B123="","",VLOOKUP(B123,CadProd!$A:$B,2,0)),"")</f>
        <v/>
      </c>
      <c r="D123" t="str">
        <f>IFERROR(IF(B123="","",VLOOKUP(B123,CadProd!$A:$C,3,0)),"")</f>
        <v/>
      </c>
      <c r="G123" s="1" t="str">
        <f t="shared" si="1"/>
        <v/>
      </c>
    </row>
    <row r="124" spans="3:7" x14ac:dyDescent="0.3">
      <c r="C124" t="str">
        <f>IFERROR(IF(B124="","",VLOOKUP(B124,CadProd!$A:$B,2,0)),"")</f>
        <v/>
      </c>
      <c r="D124" t="str">
        <f>IFERROR(IF(B124="","",VLOOKUP(B124,CadProd!$A:$C,3,0)),"")</f>
        <v/>
      </c>
      <c r="G124" s="1" t="str">
        <f t="shared" si="1"/>
        <v/>
      </c>
    </row>
    <row r="125" spans="3:7" x14ac:dyDescent="0.3">
      <c r="C125" t="str">
        <f>IFERROR(IF(B125="","",VLOOKUP(B125,CadProd!$A:$B,2,0)),"")</f>
        <v/>
      </c>
      <c r="D125" t="str">
        <f>IFERROR(IF(B125="","",VLOOKUP(B125,CadProd!$A:$C,3,0)),"")</f>
        <v/>
      </c>
      <c r="G125" s="1" t="str">
        <f t="shared" si="1"/>
        <v/>
      </c>
    </row>
    <row r="126" spans="3:7" x14ac:dyDescent="0.3">
      <c r="C126" t="str">
        <f>IFERROR(IF(B126="","",VLOOKUP(B126,CadProd!$A:$B,2,0)),"")</f>
        <v/>
      </c>
      <c r="D126" t="str">
        <f>IFERROR(IF(B126="","",VLOOKUP(B126,CadProd!$A:$C,3,0)),"")</f>
        <v/>
      </c>
      <c r="G126" s="1" t="str">
        <f t="shared" si="1"/>
        <v/>
      </c>
    </row>
    <row r="127" spans="3:7" x14ac:dyDescent="0.3">
      <c r="C127" t="str">
        <f>IFERROR(IF(B127="","",VLOOKUP(B127,CadProd!$A:$B,2,0)),"")</f>
        <v/>
      </c>
      <c r="D127" t="str">
        <f>IFERROR(IF(B127="","",VLOOKUP(B127,CadProd!$A:$C,3,0)),"")</f>
        <v/>
      </c>
      <c r="G127" s="1" t="str">
        <f t="shared" si="1"/>
        <v/>
      </c>
    </row>
    <row r="128" spans="3:7" x14ac:dyDescent="0.3">
      <c r="C128" t="str">
        <f>IFERROR(IF(B128="","",VLOOKUP(B128,CadProd!$A:$B,2,0)),"")</f>
        <v/>
      </c>
      <c r="D128" t="str">
        <f>IFERROR(IF(B128="","",VLOOKUP(B128,CadProd!$A:$C,3,0)),"")</f>
        <v/>
      </c>
      <c r="G128" s="1" t="str">
        <f t="shared" si="1"/>
        <v/>
      </c>
    </row>
    <row r="129" spans="3:7" x14ac:dyDescent="0.3">
      <c r="C129" t="str">
        <f>IFERROR(IF(B129="","",VLOOKUP(B129,CadProd!$A:$B,2,0)),"")</f>
        <v/>
      </c>
      <c r="D129" t="str">
        <f>IFERROR(IF(B129="","",VLOOKUP(B129,CadProd!$A:$C,3,0)),"")</f>
        <v/>
      </c>
      <c r="G129" s="1" t="str">
        <f t="shared" si="1"/>
        <v/>
      </c>
    </row>
    <row r="130" spans="3:7" x14ac:dyDescent="0.3">
      <c r="C130" t="str">
        <f>IFERROR(IF(B130="","",VLOOKUP(B130,CadProd!$A:$B,2,0)),"")</f>
        <v/>
      </c>
      <c r="D130" t="str">
        <f>IFERROR(IF(B130="","",VLOOKUP(B130,CadProd!$A:$C,3,0)),"")</f>
        <v/>
      </c>
      <c r="G130" s="1" t="str">
        <f t="shared" si="1"/>
        <v/>
      </c>
    </row>
    <row r="131" spans="3:7" x14ac:dyDescent="0.3">
      <c r="C131" t="str">
        <f>IFERROR(IF(B131="","",VLOOKUP(B131,CadProd!$A:$B,2,0)),"")</f>
        <v/>
      </c>
      <c r="D131" t="str">
        <f>IFERROR(IF(B131="","",VLOOKUP(B131,CadProd!$A:$C,3,0)),"")</f>
        <v/>
      </c>
      <c r="G131" s="1" t="str">
        <f t="shared" si="1"/>
        <v/>
      </c>
    </row>
    <row r="132" spans="3:7" x14ac:dyDescent="0.3">
      <c r="C132" t="str">
        <f>IFERROR(IF(B132="","",VLOOKUP(B132,CadProd!$A:$B,2,0)),"")</f>
        <v/>
      </c>
      <c r="D132" t="str">
        <f>IFERROR(IF(B132="","",VLOOKUP(B132,CadProd!$A:$C,3,0)),"")</f>
        <v/>
      </c>
      <c r="G132" s="1" t="str">
        <f t="shared" si="1"/>
        <v/>
      </c>
    </row>
    <row r="133" spans="3:7" x14ac:dyDescent="0.3">
      <c r="C133" t="str">
        <f>IFERROR(IF(B133="","",VLOOKUP(B133,CadProd!$A:$B,2,0)),"")</f>
        <v/>
      </c>
      <c r="D133" t="str">
        <f>IFERROR(IF(B133="","",VLOOKUP(B133,CadProd!$A:$C,3,0)),"")</f>
        <v/>
      </c>
      <c r="G133" s="1" t="str">
        <f t="shared" si="1"/>
        <v/>
      </c>
    </row>
    <row r="134" spans="3:7" x14ac:dyDescent="0.3">
      <c r="C134" t="str">
        <f>IFERROR(IF(B134="","",VLOOKUP(B134,CadProd!$A:$B,2,0)),"")</f>
        <v/>
      </c>
      <c r="D134" t="str">
        <f>IFERROR(IF(B134="","",VLOOKUP(B134,CadProd!$A:$C,3,0)),"")</f>
        <v/>
      </c>
      <c r="G134" s="1" t="str">
        <f t="shared" si="1"/>
        <v/>
      </c>
    </row>
    <row r="135" spans="3:7" x14ac:dyDescent="0.3">
      <c r="C135" t="str">
        <f>IFERROR(IF(B135="","",VLOOKUP(B135,CadProd!$A:$B,2,0)),"")</f>
        <v/>
      </c>
      <c r="D135" t="str">
        <f>IFERROR(IF(B135="","",VLOOKUP(B135,CadProd!$A:$C,3,0)),"")</f>
        <v/>
      </c>
      <c r="G135" s="1" t="str">
        <f t="shared" si="1"/>
        <v/>
      </c>
    </row>
    <row r="136" spans="3:7" x14ac:dyDescent="0.3">
      <c r="C136" t="str">
        <f>IFERROR(IF(B136="","",VLOOKUP(B136,CadProd!$A:$B,2,0)),"")</f>
        <v/>
      </c>
      <c r="D136" t="str">
        <f>IFERROR(IF(B136="","",VLOOKUP(B136,CadProd!$A:$C,3,0)),"")</f>
        <v/>
      </c>
      <c r="G136" s="1" t="str">
        <f t="shared" si="1"/>
        <v/>
      </c>
    </row>
    <row r="137" spans="3:7" x14ac:dyDescent="0.3">
      <c r="C137" t="str">
        <f>IFERROR(IF(B137="","",VLOOKUP(B137,CadProd!$A:$B,2,0)),"")</f>
        <v/>
      </c>
      <c r="D137" t="str">
        <f>IFERROR(IF(B137="","",VLOOKUP(B137,CadProd!$A:$C,3,0)),"")</f>
        <v/>
      </c>
      <c r="G137" s="1" t="str">
        <f t="shared" si="1"/>
        <v/>
      </c>
    </row>
    <row r="138" spans="3:7" x14ac:dyDescent="0.3">
      <c r="C138" t="str">
        <f>IFERROR(IF(B138="","",VLOOKUP(B138,CadProd!$A:$B,2,0)),"")</f>
        <v/>
      </c>
      <c r="D138" t="str">
        <f>IFERROR(IF(B138="","",VLOOKUP(B138,CadProd!$A:$C,3,0)),"")</f>
        <v/>
      </c>
      <c r="G138" s="1" t="str">
        <f t="shared" si="1"/>
        <v/>
      </c>
    </row>
    <row r="139" spans="3:7" x14ac:dyDescent="0.3">
      <c r="C139" t="str">
        <f>IFERROR(IF(B139="","",VLOOKUP(B139,CadProd!$A:$B,2,0)),"")</f>
        <v/>
      </c>
      <c r="D139" t="str">
        <f>IFERROR(IF(B139="","",VLOOKUP(B139,CadProd!$A:$C,3,0)),"")</f>
        <v/>
      </c>
      <c r="G139" s="1" t="str">
        <f t="shared" ref="G139:G202" si="2">IFERROR(IF(B139="","",F139*E139),"")</f>
        <v/>
      </c>
    </row>
    <row r="140" spans="3:7" x14ac:dyDescent="0.3">
      <c r="C140" t="str">
        <f>IFERROR(IF(B140="","",VLOOKUP(B140,CadProd!$A:$B,2,0)),"")</f>
        <v/>
      </c>
      <c r="D140" t="str">
        <f>IFERROR(IF(B140="","",VLOOKUP(B140,CadProd!$A:$C,3,0)),"")</f>
        <v/>
      </c>
      <c r="G140" s="1" t="str">
        <f t="shared" si="2"/>
        <v/>
      </c>
    </row>
    <row r="141" spans="3:7" x14ac:dyDescent="0.3">
      <c r="C141" t="str">
        <f>IFERROR(IF(B141="","",VLOOKUP(B141,CadProd!$A:$B,2,0)),"")</f>
        <v/>
      </c>
      <c r="D141" t="str">
        <f>IFERROR(IF(B141="","",VLOOKUP(B141,CadProd!$A:$C,3,0)),"")</f>
        <v/>
      </c>
      <c r="G141" s="1" t="str">
        <f t="shared" si="2"/>
        <v/>
      </c>
    </row>
    <row r="142" spans="3:7" x14ac:dyDescent="0.3">
      <c r="C142" t="str">
        <f>IFERROR(IF(B142="","",VLOOKUP(B142,CadProd!$A:$B,2,0)),"")</f>
        <v/>
      </c>
      <c r="D142" t="str">
        <f>IFERROR(IF(B142="","",VLOOKUP(B142,CadProd!$A:$C,3,0)),"")</f>
        <v/>
      </c>
      <c r="G142" s="1" t="str">
        <f t="shared" si="2"/>
        <v/>
      </c>
    </row>
    <row r="143" spans="3:7" x14ac:dyDescent="0.3">
      <c r="C143" t="str">
        <f>IFERROR(IF(B143="","",VLOOKUP(B143,CadProd!$A:$B,2,0)),"")</f>
        <v/>
      </c>
      <c r="D143" t="str">
        <f>IFERROR(IF(B143="","",VLOOKUP(B143,CadProd!$A:$C,3,0)),"")</f>
        <v/>
      </c>
      <c r="G143" s="1" t="str">
        <f t="shared" si="2"/>
        <v/>
      </c>
    </row>
    <row r="144" spans="3:7" x14ac:dyDescent="0.3">
      <c r="C144" t="str">
        <f>IFERROR(IF(B144="","",VLOOKUP(B144,CadProd!$A:$B,2,0)),"")</f>
        <v/>
      </c>
      <c r="D144" t="str">
        <f>IFERROR(IF(B144="","",VLOOKUP(B144,CadProd!$A:$C,3,0)),"")</f>
        <v/>
      </c>
      <c r="G144" s="1" t="str">
        <f t="shared" si="2"/>
        <v/>
      </c>
    </row>
    <row r="145" spans="3:7" x14ac:dyDescent="0.3">
      <c r="C145" t="str">
        <f>IFERROR(IF(B145="","",VLOOKUP(B145,CadProd!$A:$B,2,0)),"")</f>
        <v/>
      </c>
      <c r="D145" t="str">
        <f>IFERROR(IF(B145="","",VLOOKUP(B145,CadProd!$A:$C,3,0)),"")</f>
        <v/>
      </c>
      <c r="G145" s="1" t="str">
        <f t="shared" si="2"/>
        <v/>
      </c>
    </row>
    <row r="146" spans="3:7" x14ac:dyDescent="0.3">
      <c r="C146" t="str">
        <f>IFERROR(IF(B146="","",VLOOKUP(B146,CadProd!$A:$B,2,0)),"")</f>
        <v/>
      </c>
      <c r="D146" t="str">
        <f>IFERROR(IF(B146="","",VLOOKUP(B146,CadProd!$A:$C,3,0)),"")</f>
        <v/>
      </c>
      <c r="G146" s="1" t="str">
        <f t="shared" si="2"/>
        <v/>
      </c>
    </row>
    <row r="147" spans="3:7" x14ac:dyDescent="0.3">
      <c r="C147" t="str">
        <f>IFERROR(IF(B147="","",VLOOKUP(B147,CadProd!$A:$B,2,0)),"")</f>
        <v/>
      </c>
      <c r="D147" t="str">
        <f>IFERROR(IF(B147="","",VLOOKUP(B147,CadProd!$A:$C,3,0)),"")</f>
        <v/>
      </c>
      <c r="G147" s="1" t="str">
        <f t="shared" si="2"/>
        <v/>
      </c>
    </row>
    <row r="148" spans="3:7" x14ac:dyDescent="0.3">
      <c r="C148" t="str">
        <f>IFERROR(IF(B148="","",VLOOKUP(B148,CadProd!$A:$B,2,0)),"")</f>
        <v/>
      </c>
      <c r="D148" t="str">
        <f>IFERROR(IF(B148="","",VLOOKUP(B148,CadProd!$A:$C,3,0)),"")</f>
        <v/>
      </c>
      <c r="G148" s="1" t="str">
        <f t="shared" si="2"/>
        <v/>
      </c>
    </row>
    <row r="149" spans="3:7" x14ac:dyDescent="0.3">
      <c r="C149" t="str">
        <f>IFERROR(IF(B149="","",VLOOKUP(B149,CadProd!$A:$B,2,0)),"")</f>
        <v/>
      </c>
      <c r="D149" t="str">
        <f>IFERROR(IF(B149="","",VLOOKUP(B149,CadProd!$A:$C,3,0)),"")</f>
        <v/>
      </c>
      <c r="G149" s="1" t="str">
        <f t="shared" si="2"/>
        <v/>
      </c>
    </row>
    <row r="150" spans="3:7" x14ac:dyDescent="0.3">
      <c r="C150" t="str">
        <f>IFERROR(IF(B150="","",VLOOKUP(B150,CadProd!$A:$B,2,0)),"")</f>
        <v/>
      </c>
      <c r="D150" t="str">
        <f>IFERROR(IF(B150="","",VLOOKUP(B150,CadProd!$A:$C,3,0)),"")</f>
        <v/>
      </c>
      <c r="G150" s="1" t="str">
        <f t="shared" si="2"/>
        <v/>
      </c>
    </row>
    <row r="151" spans="3:7" x14ac:dyDescent="0.3">
      <c r="C151" t="str">
        <f>IFERROR(IF(B151="","",VLOOKUP(B151,CadProd!$A:$B,2,0)),"")</f>
        <v/>
      </c>
      <c r="D151" t="str">
        <f>IFERROR(IF(B151="","",VLOOKUP(B151,CadProd!$A:$C,3,0)),"")</f>
        <v/>
      </c>
      <c r="G151" s="1" t="str">
        <f t="shared" si="2"/>
        <v/>
      </c>
    </row>
    <row r="152" spans="3:7" x14ac:dyDescent="0.3">
      <c r="C152" t="str">
        <f>IFERROR(IF(B152="","",VLOOKUP(B152,CadProd!$A:$B,2,0)),"")</f>
        <v/>
      </c>
      <c r="D152" t="str">
        <f>IFERROR(IF(B152="","",VLOOKUP(B152,CadProd!$A:$C,3,0)),"")</f>
        <v/>
      </c>
      <c r="G152" s="1" t="str">
        <f t="shared" si="2"/>
        <v/>
      </c>
    </row>
    <row r="153" spans="3:7" x14ac:dyDescent="0.3">
      <c r="C153" t="str">
        <f>IFERROR(IF(B153="","",VLOOKUP(B153,CadProd!$A:$B,2,0)),"")</f>
        <v/>
      </c>
      <c r="D153" t="str">
        <f>IFERROR(IF(B153="","",VLOOKUP(B153,CadProd!$A:$C,3,0)),"")</f>
        <v/>
      </c>
      <c r="G153" s="1" t="str">
        <f t="shared" si="2"/>
        <v/>
      </c>
    </row>
    <row r="154" spans="3:7" x14ac:dyDescent="0.3">
      <c r="C154" t="str">
        <f>IFERROR(IF(B154="","",VLOOKUP(B154,CadProd!$A:$B,2,0)),"")</f>
        <v/>
      </c>
      <c r="D154" t="str">
        <f>IFERROR(IF(B154="","",VLOOKUP(B154,CadProd!$A:$C,3,0)),"")</f>
        <v/>
      </c>
      <c r="G154" s="1" t="str">
        <f t="shared" si="2"/>
        <v/>
      </c>
    </row>
    <row r="155" spans="3:7" x14ac:dyDescent="0.3">
      <c r="C155" t="str">
        <f>IFERROR(IF(B155="","",VLOOKUP(B155,CadProd!$A:$B,2,0)),"")</f>
        <v/>
      </c>
      <c r="D155" t="str">
        <f>IFERROR(IF(B155="","",VLOOKUP(B155,CadProd!$A:$C,3,0)),"")</f>
        <v/>
      </c>
      <c r="G155" s="1" t="str">
        <f t="shared" si="2"/>
        <v/>
      </c>
    </row>
    <row r="156" spans="3:7" x14ac:dyDescent="0.3">
      <c r="C156" t="str">
        <f>IFERROR(IF(B156="","",VLOOKUP(B156,CadProd!$A:$B,2,0)),"")</f>
        <v/>
      </c>
      <c r="D156" t="str">
        <f>IFERROR(IF(B156="","",VLOOKUP(B156,CadProd!$A:$C,3,0)),"")</f>
        <v/>
      </c>
      <c r="G156" s="1" t="str">
        <f t="shared" si="2"/>
        <v/>
      </c>
    </row>
    <row r="157" spans="3:7" x14ac:dyDescent="0.3">
      <c r="C157" t="str">
        <f>IFERROR(IF(B157="","",VLOOKUP(B157,CadProd!$A:$B,2,0)),"")</f>
        <v/>
      </c>
      <c r="D157" t="str">
        <f>IFERROR(IF(B157="","",VLOOKUP(B157,CadProd!$A:$C,3,0)),"")</f>
        <v/>
      </c>
      <c r="G157" s="1" t="str">
        <f t="shared" si="2"/>
        <v/>
      </c>
    </row>
    <row r="158" spans="3:7" x14ac:dyDescent="0.3">
      <c r="C158" t="str">
        <f>IFERROR(IF(B158="","",VLOOKUP(B158,CadProd!$A:$B,2,0)),"")</f>
        <v/>
      </c>
      <c r="D158" t="str">
        <f>IFERROR(IF(B158="","",VLOOKUP(B158,CadProd!$A:$C,3,0)),"")</f>
        <v/>
      </c>
      <c r="G158" s="1" t="str">
        <f t="shared" si="2"/>
        <v/>
      </c>
    </row>
    <row r="159" spans="3:7" x14ac:dyDescent="0.3">
      <c r="C159" t="str">
        <f>IFERROR(IF(B159="","",VLOOKUP(B159,CadProd!$A:$B,2,0)),"")</f>
        <v/>
      </c>
      <c r="D159" t="str">
        <f>IFERROR(IF(B159="","",VLOOKUP(B159,CadProd!$A:$C,3,0)),"")</f>
        <v/>
      </c>
      <c r="G159" s="1" t="str">
        <f t="shared" si="2"/>
        <v/>
      </c>
    </row>
    <row r="160" spans="3:7" x14ac:dyDescent="0.3">
      <c r="C160" t="str">
        <f>IFERROR(IF(B160="","",VLOOKUP(B160,CadProd!$A:$B,2,0)),"")</f>
        <v/>
      </c>
      <c r="D160" t="str">
        <f>IFERROR(IF(B160="","",VLOOKUP(B160,CadProd!$A:$C,3,0)),"")</f>
        <v/>
      </c>
      <c r="G160" s="1" t="str">
        <f t="shared" si="2"/>
        <v/>
      </c>
    </row>
    <row r="161" spans="3:7" x14ac:dyDescent="0.3">
      <c r="C161" t="str">
        <f>IFERROR(IF(B161="","",VLOOKUP(B161,CadProd!$A:$B,2,0)),"")</f>
        <v/>
      </c>
      <c r="D161" t="str">
        <f>IFERROR(IF(B161="","",VLOOKUP(B161,CadProd!$A:$C,3,0)),"")</f>
        <v/>
      </c>
      <c r="G161" s="1" t="str">
        <f t="shared" si="2"/>
        <v/>
      </c>
    </row>
    <row r="162" spans="3:7" x14ac:dyDescent="0.3">
      <c r="C162" t="str">
        <f>IFERROR(IF(B162="","",VLOOKUP(B162,CadProd!$A:$B,2,0)),"")</f>
        <v/>
      </c>
      <c r="D162" t="str">
        <f>IFERROR(IF(B162="","",VLOOKUP(B162,CadProd!$A:$C,3,0)),"")</f>
        <v/>
      </c>
      <c r="G162" s="1" t="str">
        <f t="shared" si="2"/>
        <v/>
      </c>
    </row>
    <row r="163" spans="3:7" x14ac:dyDescent="0.3">
      <c r="C163" t="str">
        <f>IFERROR(IF(B163="","",VLOOKUP(B163,CadProd!$A:$B,2,0)),"")</f>
        <v/>
      </c>
      <c r="D163" t="str">
        <f>IFERROR(IF(B163="","",VLOOKUP(B163,CadProd!$A:$C,3,0)),"")</f>
        <v/>
      </c>
      <c r="G163" s="1" t="str">
        <f t="shared" si="2"/>
        <v/>
      </c>
    </row>
    <row r="164" spans="3:7" x14ac:dyDescent="0.3">
      <c r="C164" t="str">
        <f>IFERROR(IF(B164="","",VLOOKUP(B164,CadProd!$A:$B,2,0)),"")</f>
        <v/>
      </c>
      <c r="D164" t="str">
        <f>IFERROR(IF(B164="","",VLOOKUP(B164,CadProd!$A:$C,3,0)),"")</f>
        <v/>
      </c>
      <c r="G164" s="1" t="str">
        <f t="shared" si="2"/>
        <v/>
      </c>
    </row>
    <row r="165" spans="3:7" x14ac:dyDescent="0.3">
      <c r="C165" t="str">
        <f>IFERROR(IF(B165="","",VLOOKUP(B165,CadProd!$A:$B,2,0)),"")</f>
        <v/>
      </c>
      <c r="D165" t="str">
        <f>IFERROR(IF(B165="","",VLOOKUP(B165,CadProd!$A:$C,3,0)),"")</f>
        <v/>
      </c>
      <c r="G165" s="1" t="str">
        <f t="shared" si="2"/>
        <v/>
      </c>
    </row>
    <row r="166" spans="3:7" x14ac:dyDescent="0.3">
      <c r="C166" t="str">
        <f>IFERROR(IF(B166="","",VLOOKUP(B166,CadProd!$A:$B,2,0)),"")</f>
        <v/>
      </c>
      <c r="D166" t="str">
        <f>IFERROR(IF(B166="","",VLOOKUP(B166,CadProd!$A:$C,3,0)),"")</f>
        <v/>
      </c>
      <c r="G166" s="1" t="str">
        <f t="shared" si="2"/>
        <v/>
      </c>
    </row>
    <row r="167" spans="3:7" x14ac:dyDescent="0.3">
      <c r="C167" t="str">
        <f>IFERROR(IF(B167="","",VLOOKUP(B167,CadProd!$A:$B,2,0)),"")</f>
        <v/>
      </c>
      <c r="D167" t="str">
        <f>IFERROR(IF(B167="","",VLOOKUP(B167,CadProd!$A:$C,3,0)),"")</f>
        <v/>
      </c>
      <c r="G167" s="1" t="str">
        <f t="shared" si="2"/>
        <v/>
      </c>
    </row>
    <row r="168" spans="3:7" x14ac:dyDescent="0.3">
      <c r="C168" t="str">
        <f>IFERROR(IF(B168="","",VLOOKUP(B168,CadProd!$A:$B,2,0)),"")</f>
        <v/>
      </c>
      <c r="D168" t="str">
        <f>IFERROR(IF(B168="","",VLOOKUP(B168,CadProd!$A:$C,3,0)),"")</f>
        <v/>
      </c>
      <c r="G168" s="1" t="str">
        <f t="shared" si="2"/>
        <v/>
      </c>
    </row>
    <row r="169" spans="3:7" x14ac:dyDescent="0.3">
      <c r="C169" t="str">
        <f>IFERROR(IF(B169="","",VLOOKUP(B169,CadProd!$A:$B,2,0)),"")</f>
        <v/>
      </c>
      <c r="D169" t="str">
        <f>IFERROR(IF(B169="","",VLOOKUP(B169,CadProd!$A:$C,3,0)),"")</f>
        <v/>
      </c>
      <c r="G169" s="1" t="str">
        <f t="shared" si="2"/>
        <v/>
      </c>
    </row>
    <row r="170" spans="3:7" x14ac:dyDescent="0.3">
      <c r="C170" t="str">
        <f>IFERROR(IF(B170="","",VLOOKUP(B170,CadProd!$A:$B,2,0)),"")</f>
        <v/>
      </c>
      <c r="D170" t="str">
        <f>IFERROR(IF(B170="","",VLOOKUP(B170,CadProd!$A:$C,3,0)),"")</f>
        <v/>
      </c>
      <c r="G170" s="1" t="str">
        <f t="shared" si="2"/>
        <v/>
      </c>
    </row>
    <row r="171" spans="3:7" x14ac:dyDescent="0.3">
      <c r="C171" t="str">
        <f>IFERROR(IF(B171="","",VLOOKUP(B171,CadProd!$A:$B,2,0)),"")</f>
        <v/>
      </c>
      <c r="D171" t="str">
        <f>IFERROR(IF(B171="","",VLOOKUP(B171,CadProd!$A:$C,3,0)),"")</f>
        <v/>
      </c>
      <c r="G171" s="1" t="str">
        <f t="shared" si="2"/>
        <v/>
      </c>
    </row>
    <row r="172" spans="3:7" x14ac:dyDescent="0.3">
      <c r="C172" t="str">
        <f>IFERROR(IF(B172="","",VLOOKUP(B172,CadProd!$A:$B,2,0)),"")</f>
        <v/>
      </c>
      <c r="D172" t="str">
        <f>IFERROR(IF(B172="","",VLOOKUP(B172,CadProd!$A:$C,3,0)),"")</f>
        <v/>
      </c>
      <c r="G172" s="1" t="str">
        <f t="shared" si="2"/>
        <v/>
      </c>
    </row>
    <row r="173" spans="3:7" x14ac:dyDescent="0.3">
      <c r="C173" t="str">
        <f>IFERROR(IF(B173="","",VLOOKUP(B173,CadProd!$A:$B,2,0)),"")</f>
        <v/>
      </c>
      <c r="D173" t="str">
        <f>IFERROR(IF(B173="","",VLOOKUP(B173,CadProd!$A:$C,3,0)),"")</f>
        <v/>
      </c>
      <c r="G173" s="1" t="str">
        <f t="shared" si="2"/>
        <v/>
      </c>
    </row>
    <row r="174" spans="3:7" x14ac:dyDescent="0.3">
      <c r="C174" t="str">
        <f>IFERROR(IF(B174="","",VLOOKUP(B174,CadProd!$A:$B,2,0)),"")</f>
        <v/>
      </c>
      <c r="D174" t="str">
        <f>IFERROR(IF(B174="","",VLOOKUP(B174,CadProd!$A:$C,3,0)),"")</f>
        <v/>
      </c>
      <c r="G174" s="1" t="str">
        <f t="shared" si="2"/>
        <v/>
      </c>
    </row>
    <row r="175" spans="3:7" x14ac:dyDescent="0.3">
      <c r="C175" t="str">
        <f>IFERROR(IF(B175="","",VLOOKUP(B175,CadProd!$A:$B,2,0)),"")</f>
        <v/>
      </c>
      <c r="D175" t="str">
        <f>IFERROR(IF(B175="","",VLOOKUP(B175,CadProd!$A:$C,3,0)),"")</f>
        <v/>
      </c>
      <c r="G175" s="1" t="str">
        <f t="shared" si="2"/>
        <v/>
      </c>
    </row>
    <row r="176" spans="3:7" x14ac:dyDescent="0.3">
      <c r="C176" t="str">
        <f>IFERROR(IF(B176="","",VLOOKUP(B176,CadProd!$A:$B,2,0)),"")</f>
        <v/>
      </c>
      <c r="D176" t="str">
        <f>IFERROR(IF(B176="","",VLOOKUP(B176,CadProd!$A:$C,3,0)),"")</f>
        <v/>
      </c>
      <c r="G176" s="1" t="str">
        <f t="shared" si="2"/>
        <v/>
      </c>
    </row>
    <row r="177" spans="3:7" x14ac:dyDescent="0.3">
      <c r="C177" t="str">
        <f>IFERROR(IF(B177="","",VLOOKUP(B177,CadProd!$A:$B,2,0)),"")</f>
        <v/>
      </c>
      <c r="D177" t="str">
        <f>IFERROR(IF(B177="","",VLOOKUP(B177,CadProd!$A:$C,3,0)),"")</f>
        <v/>
      </c>
      <c r="G177" s="1" t="str">
        <f t="shared" si="2"/>
        <v/>
      </c>
    </row>
    <row r="178" spans="3:7" x14ac:dyDescent="0.3">
      <c r="C178" t="str">
        <f>IFERROR(IF(B178="","",VLOOKUP(B178,CadProd!$A:$B,2,0)),"")</f>
        <v/>
      </c>
      <c r="D178" t="str">
        <f>IFERROR(IF(B178="","",VLOOKUP(B178,CadProd!$A:$C,3,0)),"")</f>
        <v/>
      </c>
      <c r="G178" s="1" t="str">
        <f t="shared" si="2"/>
        <v/>
      </c>
    </row>
    <row r="179" spans="3:7" x14ac:dyDescent="0.3">
      <c r="C179" t="str">
        <f>IFERROR(IF(B179="","",VLOOKUP(B179,CadProd!$A:$B,2,0)),"")</f>
        <v/>
      </c>
      <c r="D179" t="str">
        <f>IFERROR(IF(B179="","",VLOOKUP(B179,CadProd!$A:$C,3,0)),"")</f>
        <v/>
      </c>
      <c r="G179" s="1" t="str">
        <f t="shared" si="2"/>
        <v/>
      </c>
    </row>
    <row r="180" spans="3:7" x14ac:dyDescent="0.3">
      <c r="C180" t="str">
        <f>IFERROR(IF(B180="","",VLOOKUP(B180,CadProd!$A:$B,2,0)),"")</f>
        <v/>
      </c>
      <c r="D180" t="str">
        <f>IFERROR(IF(B180="","",VLOOKUP(B180,CadProd!$A:$C,3,0)),"")</f>
        <v/>
      </c>
      <c r="G180" s="1" t="str">
        <f t="shared" si="2"/>
        <v/>
      </c>
    </row>
    <row r="181" spans="3:7" x14ac:dyDescent="0.3">
      <c r="C181" t="str">
        <f>IFERROR(IF(B181="","",VLOOKUP(B181,CadProd!$A:$B,2,0)),"")</f>
        <v/>
      </c>
      <c r="D181" t="str">
        <f>IFERROR(IF(B181="","",VLOOKUP(B181,CadProd!$A:$C,3,0)),"")</f>
        <v/>
      </c>
      <c r="G181" s="1" t="str">
        <f t="shared" si="2"/>
        <v/>
      </c>
    </row>
    <row r="182" spans="3:7" x14ac:dyDescent="0.3">
      <c r="C182" t="str">
        <f>IFERROR(IF(B182="","",VLOOKUP(B182,CadProd!$A:$B,2,0)),"")</f>
        <v/>
      </c>
      <c r="D182" t="str">
        <f>IFERROR(IF(B182="","",VLOOKUP(B182,CadProd!$A:$C,3,0)),"")</f>
        <v/>
      </c>
      <c r="G182" s="1" t="str">
        <f t="shared" si="2"/>
        <v/>
      </c>
    </row>
    <row r="183" spans="3:7" x14ac:dyDescent="0.3">
      <c r="C183" t="str">
        <f>IFERROR(IF(B183="","",VLOOKUP(B183,CadProd!$A:$B,2,0)),"")</f>
        <v/>
      </c>
      <c r="D183" t="str">
        <f>IFERROR(IF(B183="","",VLOOKUP(B183,CadProd!$A:$C,3,0)),"")</f>
        <v/>
      </c>
      <c r="G183" s="1" t="str">
        <f t="shared" si="2"/>
        <v/>
      </c>
    </row>
    <row r="184" spans="3:7" x14ac:dyDescent="0.3">
      <c r="C184" t="str">
        <f>IFERROR(IF(B184="","",VLOOKUP(B184,CadProd!$A:$B,2,0)),"")</f>
        <v/>
      </c>
      <c r="D184" t="str">
        <f>IFERROR(IF(B184="","",VLOOKUP(B184,CadProd!$A:$C,3,0)),"")</f>
        <v/>
      </c>
      <c r="G184" s="1" t="str">
        <f t="shared" si="2"/>
        <v/>
      </c>
    </row>
    <row r="185" spans="3:7" x14ac:dyDescent="0.3">
      <c r="C185" t="str">
        <f>IFERROR(IF(B185="","",VLOOKUP(B185,CadProd!$A:$B,2,0)),"")</f>
        <v/>
      </c>
      <c r="D185" t="str">
        <f>IFERROR(IF(B185="","",VLOOKUP(B185,CadProd!$A:$C,3,0)),"")</f>
        <v/>
      </c>
      <c r="G185" s="1" t="str">
        <f t="shared" si="2"/>
        <v/>
      </c>
    </row>
    <row r="186" spans="3:7" x14ac:dyDescent="0.3">
      <c r="C186" t="str">
        <f>IFERROR(IF(B186="","",VLOOKUP(B186,CadProd!$A:$B,2,0)),"")</f>
        <v/>
      </c>
      <c r="D186" t="str">
        <f>IFERROR(IF(B186="","",VLOOKUP(B186,CadProd!$A:$C,3,0)),"")</f>
        <v/>
      </c>
      <c r="G186" s="1" t="str">
        <f t="shared" si="2"/>
        <v/>
      </c>
    </row>
    <row r="187" spans="3:7" x14ac:dyDescent="0.3">
      <c r="C187" t="str">
        <f>IFERROR(IF(B187="","",VLOOKUP(B187,CadProd!$A:$B,2,0)),"")</f>
        <v/>
      </c>
      <c r="D187" t="str">
        <f>IFERROR(IF(B187="","",VLOOKUP(B187,CadProd!$A:$C,3,0)),"")</f>
        <v/>
      </c>
      <c r="G187" s="1" t="str">
        <f t="shared" si="2"/>
        <v/>
      </c>
    </row>
    <row r="188" spans="3:7" x14ac:dyDescent="0.3">
      <c r="C188" t="str">
        <f>IFERROR(IF(B188="","",VLOOKUP(B188,CadProd!$A:$B,2,0)),"")</f>
        <v/>
      </c>
      <c r="D188" t="str">
        <f>IFERROR(IF(B188="","",VLOOKUP(B188,CadProd!$A:$C,3,0)),"")</f>
        <v/>
      </c>
      <c r="G188" s="1" t="str">
        <f t="shared" si="2"/>
        <v/>
      </c>
    </row>
    <row r="189" spans="3:7" x14ac:dyDescent="0.3">
      <c r="C189" t="str">
        <f>IFERROR(IF(B189="","",VLOOKUP(B189,CadProd!$A:$B,2,0)),"")</f>
        <v/>
      </c>
      <c r="D189" t="str">
        <f>IFERROR(IF(B189="","",VLOOKUP(B189,CadProd!$A:$C,3,0)),"")</f>
        <v/>
      </c>
      <c r="G189" s="1" t="str">
        <f t="shared" si="2"/>
        <v/>
      </c>
    </row>
    <row r="190" spans="3:7" x14ac:dyDescent="0.3">
      <c r="C190" t="str">
        <f>IFERROR(IF(B190="","",VLOOKUP(B190,CadProd!$A:$B,2,0)),"")</f>
        <v/>
      </c>
      <c r="D190" t="str">
        <f>IFERROR(IF(B190="","",VLOOKUP(B190,CadProd!$A:$C,3,0)),"")</f>
        <v/>
      </c>
      <c r="G190" s="1" t="str">
        <f t="shared" si="2"/>
        <v/>
      </c>
    </row>
    <row r="191" spans="3:7" x14ac:dyDescent="0.3">
      <c r="C191" t="str">
        <f>IFERROR(IF(B191="","",VLOOKUP(B191,CadProd!$A:$B,2,0)),"")</f>
        <v/>
      </c>
      <c r="D191" t="str">
        <f>IFERROR(IF(B191="","",VLOOKUP(B191,CadProd!$A:$C,3,0)),"")</f>
        <v/>
      </c>
      <c r="G191" s="1" t="str">
        <f t="shared" si="2"/>
        <v/>
      </c>
    </row>
    <row r="192" spans="3:7" x14ac:dyDescent="0.3">
      <c r="C192" t="str">
        <f>IFERROR(IF(B192="","",VLOOKUP(B192,CadProd!$A:$B,2,0)),"")</f>
        <v/>
      </c>
      <c r="D192" t="str">
        <f>IFERROR(IF(B192="","",VLOOKUP(B192,CadProd!$A:$C,3,0)),"")</f>
        <v/>
      </c>
      <c r="G192" s="1" t="str">
        <f t="shared" si="2"/>
        <v/>
      </c>
    </row>
    <row r="193" spans="3:7" x14ac:dyDescent="0.3">
      <c r="C193" t="str">
        <f>IFERROR(IF(B193="","",VLOOKUP(B193,CadProd!$A:$B,2,0)),"")</f>
        <v/>
      </c>
      <c r="D193" t="str">
        <f>IFERROR(IF(B193="","",VLOOKUP(B193,CadProd!$A:$C,3,0)),"")</f>
        <v/>
      </c>
      <c r="G193" s="1" t="str">
        <f t="shared" si="2"/>
        <v/>
      </c>
    </row>
    <row r="194" spans="3:7" x14ac:dyDescent="0.3">
      <c r="C194" t="str">
        <f>IFERROR(IF(B194="","",VLOOKUP(B194,CadProd!$A:$B,2,0)),"")</f>
        <v/>
      </c>
      <c r="D194" t="str">
        <f>IFERROR(IF(B194="","",VLOOKUP(B194,CadProd!$A:$C,3,0)),"")</f>
        <v/>
      </c>
      <c r="G194" s="1" t="str">
        <f t="shared" si="2"/>
        <v/>
      </c>
    </row>
    <row r="195" spans="3:7" x14ac:dyDescent="0.3">
      <c r="C195" t="str">
        <f>IFERROR(IF(B195="","",VLOOKUP(B195,CadProd!$A:$B,2,0)),"")</f>
        <v/>
      </c>
      <c r="D195" t="str">
        <f>IFERROR(IF(B195="","",VLOOKUP(B195,CadProd!$A:$C,3,0)),"")</f>
        <v/>
      </c>
      <c r="G195" s="1" t="str">
        <f t="shared" si="2"/>
        <v/>
      </c>
    </row>
    <row r="196" spans="3:7" x14ac:dyDescent="0.3">
      <c r="C196" t="str">
        <f>IFERROR(IF(B196="","",VLOOKUP(B196,CadProd!$A:$B,2,0)),"")</f>
        <v/>
      </c>
      <c r="D196" t="str">
        <f>IFERROR(IF(B196="","",VLOOKUP(B196,CadProd!$A:$C,3,0)),"")</f>
        <v/>
      </c>
      <c r="G196" s="1" t="str">
        <f t="shared" si="2"/>
        <v/>
      </c>
    </row>
    <row r="197" spans="3:7" x14ac:dyDescent="0.3">
      <c r="C197" t="str">
        <f>IFERROR(IF(B197="","",VLOOKUP(B197,CadProd!$A:$B,2,0)),"")</f>
        <v/>
      </c>
      <c r="D197" t="str">
        <f>IFERROR(IF(B197="","",VLOOKUP(B197,CadProd!$A:$C,3,0)),"")</f>
        <v/>
      </c>
      <c r="G197" s="1" t="str">
        <f t="shared" si="2"/>
        <v/>
      </c>
    </row>
    <row r="198" spans="3:7" x14ac:dyDescent="0.3">
      <c r="C198" t="str">
        <f>IFERROR(IF(B198="","",VLOOKUP(B198,CadProd!$A:$B,2,0)),"")</f>
        <v/>
      </c>
      <c r="D198" t="str">
        <f>IFERROR(IF(B198="","",VLOOKUP(B198,CadProd!$A:$C,3,0)),"")</f>
        <v/>
      </c>
      <c r="G198" s="1" t="str">
        <f t="shared" si="2"/>
        <v/>
      </c>
    </row>
    <row r="199" spans="3:7" x14ac:dyDescent="0.3">
      <c r="C199" t="str">
        <f>IFERROR(IF(B199="","",VLOOKUP(B199,CadProd!$A:$B,2,0)),"")</f>
        <v/>
      </c>
      <c r="D199" t="str">
        <f>IFERROR(IF(B199="","",VLOOKUP(B199,CadProd!$A:$C,3,0)),"")</f>
        <v/>
      </c>
      <c r="G199" s="1" t="str">
        <f t="shared" si="2"/>
        <v/>
      </c>
    </row>
    <row r="200" spans="3:7" x14ac:dyDescent="0.3">
      <c r="C200" t="str">
        <f>IFERROR(IF(B200="","",VLOOKUP(B200,CadProd!$A:$B,2,0)),"")</f>
        <v/>
      </c>
      <c r="D200" t="str">
        <f>IFERROR(IF(B200="","",VLOOKUP(B200,CadProd!$A:$C,3,0)),"")</f>
        <v/>
      </c>
      <c r="G200" s="1" t="str">
        <f t="shared" si="2"/>
        <v/>
      </c>
    </row>
    <row r="201" spans="3:7" x14ac:dyDescent="0.3">
      <c r="C201" t="str">
        <f>IFERROR(IF(B201="","",VLOOKUP(B201,CadProd!$A:$B,2,0)),"")</f>
        <v/>
      </c>
      <c r="D201" t="str">
        <f>IFERROR(IF(B201="","",VLOOKUP(B201,CadProd!$A:$C,3,0)),"")</f>
        <v/>
      </c>
      <c r="G201" s="1" t="str">
        <f t="shared" si="2"/>
        <v/>
      </c>
    </row>
    <row r="202" spans="3:7" x14ac:dyDescent="0.3">
      <c r="C202" t="str">
        <f>IFERROR(IF(B202="","",VLOOKUP(B202,CadProd!$A:$B,2,0)),"")</f>
        <v/>
      </c>
      <c r="D202" t="str">
        <f>IFERROR(IF(B202="","",VLOOKUP(B202,CadProd!$A:$C,3,0)),"")</f>
        <v/>
      </c>
      <c r="G202" s="1" t="str">
        <f t="shared" si="2"/>
        <v/>
      </c>
    </row>
    <row r="203" spans="3:7" x14ac:dyDescent="0.3">
      <c r="C203" t="str">
        <f>IFERROR(IF(B203="","",VLOOKUP(B203,CadProd!$A:$B,2,0)),"")</f>
        <v/>
      </c>
      <c r="D203" t="str">
        <f>IFERROR(IF(B203="","",VLOOKUP(B203,CadProd!$A:$C,3,0)),"")</f>
        <v/>
      </c>
      <c r="G203" s="1" t="str">
        <f t="shared" ref="G203:G266" si="3">IFERROR(IF(B203="","",F203*E203),"")</f>
        <v/>
      </c>
    </row>
    <row r="204" spans="3:7" x14ac:dyDescent="0.3">
      <c r="C204" t="str">
        <f>IFERROR(IF(B204="","",VLOOKUP(B204,CadProd!$A:$B,2,0)),"")</f>
        <v/>
      </c>
      <c r="D204" t="str">
        <f>IFERROR(IF(B204="","",VLOOKUP(B204,CadProd!$A:$C,3,0)),"")</f>
        <v/>
      </c>
      <c r="G204" s="1" t="str">
        <f t="shared" si="3"/>
        <v/>
      </c>
    </row>
    <row r="205" spans="3:7" x14ac:dyDescent="0.3">
      <c r="C205" t="str">
        <f>IFERROR(IF(B205="","",VLOOKUP(B205,CadProd!$A:$B,2,0)),"")</f>
        <v/>
      </c>
      <c r="D205" t="str">
        <f>IFERROR(IF(B205="","",VLOOKUP(B205,CadProd!$A:$C,3,0)),"")</f>
        <v/>
      </c>
      <c r="G205" s="1" t="str">
        <f t="shared" si="3"/>
        <v/>
      </c>
    </row>
    <row r="206" spans="3:7" x14ac:dyDescent="0.3">
      <c r="C206" t="str">
        <f>IFERROR(IF(B206="","",VLOOKUP(B206,CadProd!$A:$B,2,0)),"")</f>
        <v/>
      </c>
      <c r="D206" t="str">
        <f>IFERROR(IF(B206="","",VLOOKUP(B206,CadProd!$A:$C,3,0)),"")</f>
        <v/>
      </c>
      <c r="G206" s="1" t="str">
        <f t="shared" si="3"/>
        <v/>
      </c>
    </row>
    <row r="207" spans="3:7" x14ac:dyDescent="0.3">
      <c r="C207" t="str">
        <f>IFERROR(IF(B207="","",VLOOKUP(B207,CadProd!$A:$B,2,0)),"")</f>
        <v/>
      </c>
      <c r="D207" t="str">
        <f>IFERROR(IF(B207="","",VLOOKUP(B207,CadProd!$A:$C,3,0)),"")</f>
        <v/>
      </c>
      <c r="G207" s="1" t="str">
        <f t="shared" si="3"/>
        <v/>
      </c>
    </row>
    <row r="208" spans="3:7" x14ac:dyDescent="0.3">
      <c r="C208" t="str">
        <f>IFERROR(IF(B208="","",VLOOKUP(B208,CadProd!$A:$B,2,0)),"")</f>
        <v/>
      </c>
      <c r="D208" t="str">
        <f>IFERROR(IF(B208="","",VLOOKUP(B208,CadProd!$A:$C,3,0)),"")</f>
        <v/>
      </c>
      <c r="G208" s="1" t="str">
        <f t="shared" si="3"/>
        <v/>
      </c>
    </row>
    <row r="209" spans="3:7" x14ac:dyDescent="0.3">
      <c r="C209" t="str">
        <f>IFERROR(IF(B209="","",VLOOKUP(B209,CadProd!$A:$B,2,0)),"")</f>
        <v/>
      </c>
      <c r="D209" t="str">
        <f>IFERROR(IF(B209="","",VLOOKUP(B209,CadProd!$A:$C,3,0)),"")</f>
        <v/>
      </c>
      <c r="G209" s="1" t="str">
        <f t="shared" si="3"/>
        <v/>
      </c>
    </row>
    <row r="210" spans="3:7" x14ac:dyDescent="0.3">
      <c r="C210" t="str">
        <f>IFERROR(IF(B210="","",VLOOKUP(B210,CadProd!$A:$B,2,0)),"")</f>
        <v/>
      </c>
      <c r="D210" t="str">
        <f>IFERROR(IF(B210="","",VLOOKUP(B210,CadProd!$A:$C,3,0)),"")</f>
        <v/>
      </c>
      <c r="G210" s="1" t="str">
        <f t="shared" si="3"/>
        <v/>
      </c>
    </row>
    <row r="211" spans="3:7" x14ac:dyDescent="0.3">
      <c r="C211" t="str">
        <f>IFERROR(IF(B211="","",VLOOKUP(B211,CadProd!$A:$B,2,0)),"")</f>
        <v/>
      </c>
      <c r="D211" t="str">
        <f>IFERROR(IF(B211="","",VLOOKUP(B211,CadProd!$A:$C,3,0)),"")</f>
        <v/>
      </c>
      <c r="G211" s="1" t="str">
        <f t="shared" si="3"/>
        <v/>
      </c>
    </row>
    <row r="212" spans="3:7" x14ac:dyDescent="0.3">
      <c r="C212" t="str">
        <f>IFERROR(IF(B212="","",VLOOKUP(B212,CadProd!$A:$B,2,0)),"")</f>
        <v/>
      </c>
      <c r="D212" t="str">
        <f>IFERROR(IF(B212="","",VLOOKUP(B212,CadProd!$A:$C,3,0)),"")</f>
        <v/>
      </c>
      <c r="G212" s="1" t="str">
        <f t="shared" si="3"/>
        <v/>
      </c>
    </row>
    <row r="213" spans="3:7" x14ac:dyDescent="0.3">
      <c r="C213" t="str">
        <f>IFERROR(IF(B213="","",VLOOKUP(B213,CadProd!$A:$B,2,0)),"")</f>
        <v/>
      </c>
      <c r="D213" t="str">
        <f>IFERROR(IF(B213="","",VLOOKUP(B213,CadProd!$A:$C,3,0)),"")</f>
        <v/>
      </c>
      <c r="G213" s="1" t="str">
        <f t="shared" si="3"/>
        <v/>
      </c>
    </row>
    <row r="214" spans="3:7" x14ac:dyDescent="0.3">
      <c r="C214" t="str">
        <f>IFERROR(IF(B214="","",VLOOKUP(B214,CadProd!$A:$B,2,0)),"")</f>
        <v/>
      </c>
      <c r="D214" t="str">
        <f>IFERROR(IF(B214="","",VLOOKUP(B214,CadProd!$A:$C,3,0)),"")</f>
        <v/>
      </c>
      <c r="G214" s="1" t="str">
        <f t="shared" si="3"/>
        <v/>
      </c>
    </row>
    <row r="215" spans="3:7" x14ac:dyDescent="0.3">
      <c r="C215" t="str">
        <f>IFERROR(IF(B215="","",VLOOKUP(B215,CadProd!$A:$B,2,0)),"")</f>
        <v/>
      </c>
      <c r="D215" t="str">
        <f>IFERROR(IF(B215="","",VLOOKUP(B215,CadProd!$A:$C,3,0)),"")</f>
        <v/>
      </c>
      <c r="G215" s="1" t="str">
        <f t="shared" si="3"/>
        <v/>
      </c>
    </row>
    <row r="216" spans="3:7" x14ac:dyDescent="0.3">
      <c r="C216" t="str">
        <f>IFERROR(IF(B216="","",VLOOKUP(B216,CadProd!$A:$B,2,0)),"")</f>
        <v/>
      </c>
      <c r="D216" t="str">
        <f>IFERROR(IF(B216="","",VLOOKUP(B216,CadProd!$A:$C,3,0)),"")</f>
        <v/>
      </c>
      <c r="G216" s="1" t="str">
        <f t="shared" si="3"/>
        <v/>
      </c>
    </row>
    <row r="217" spans="3:7" x14ac:dyDescent="0.3">
      <c r="C217" t="str">
        <f>IFERROR(IF(B217="","",VLOOKUP(B217,CadProd!$A:$B,2,0)),"")</f>
        <v/>
      </c>
      <c r="D217" t="str">
        <f>IFERROR(IF(B217="","",VLOOKUP(B217,CadProd!$A:$C,3,0)),"")</f>
        <v/>
      </c>
      <c r="G217" s="1" t="str">
        <f t="shared" si="3"/>
        <v/>
      </c>
    </row>
    <row r="218" spans="3:7" x14ac:dyDescent="0.3">
      <c r="C218" t="str">
        <f>IFERROR(IF(B218="","",VLOOKUP(B218,CadProd!$A:$B,2,0)),"")</f>
        <v/>
      </c>
      <c r="D218" t="str">
        <f>IFERROR(IF(B218="","",VLOOKUP(B218,CadProd!$A:$C,3,0)),"")</f>
        <v/>
      </c>
      <c r="G218" s="1" t="str">
        <f t="shared" si="3"/>
        <v/>
      </c>
    </row>
    <row r="219" spans="3:7" x14ac:dyDescent="0.3">
      <c r="C219" t="str">
        <f>IFERROR(IF(B219="","",VLOOKUP(B219,CadProd!$A:$B,2,0)),"")</f>
        <v/>
      </c>
      <c r="D219" t="str">
        <f>IFERROR(IF(B219="","",VLOOKUP(B219,CadProd!$A:$C,3,0)),"")</f>
        <v/>
      </c>
      <c r="G219" s="1" t="str">
        <f t="shared" si="3"/>
        <v/>
      </c>
    </row>
    <row r="220" spans="3:7" x14ac:dyDescent="0.3">
      <c r="C220" t="str">
        <f>IFERROR(IF(B220="","",VLOOKUP(B220,CadProd!$A:$B,2,0)),"")</f>
        <v/>
      </c>
      <c r="D220" t="str">
        <f>IFERROR(IF(B220="","",VLOOKUP(B220,CadProd!$A:$C,3,0)),"")</f>
        <v/>
      </c>
      <c r="G220" s="1" t="str">
        <f t="shared" si="3"/>
        <v/>
      </c>
    </row>
    <row r="221" spans="3:7" x14ac:dyDescent="0.3">
      <c r="C221" t="str">
        <f>IFERROR(IF(B221="","",VLOOKUP(B221,CadProd!$A:$B,2,0)),"")</f>
        <v/>
      </c>
      <c r="D221" t="str">
        <f>IFERROR(IF(B221="","",VLOOKUP(B221,CadProd!$A:$C,3,0)),"")</f>
        <v/>
      </c>
      <c r="G221" s="1" t="str">
        <f t="shared" si="3"/>
        <v/>
      </c>
    </row>
    <row r="222" spans="3:7" x14ac:dyDescent="0.3">
      <c r="C222" t="str">
        <f>IFERROR(IF(B222="","",VLOOKUP(B222,CadProd!$A:$B,2,0)),"")</f>
        <v/>
      </c>
      <c r="D222" t="str">
        <f>IFERROR(IF(B222="","",VLOOKUP(B222,CadProd!$A:$C,3,0)),"")</f>
        <v/>
      </c>
      <c r="G222" s="1" t="str">
        <f t="shared" si="3"/>
        <v/>
      </c>
    </row>
    <row r="223" spans="3:7" x14ac:dyDescent="0.3">
      <c r="C223" t="str">
        <f>IFERROR(IF(B223="","",VLOOKUP(B223,CadProd!$A:$B,2,0)),"")</f>
        <v/>
      </c>
      <c r="D223" t="str">
        <f>IFERROR(IF(B223="","",VLOOKUP(B223,CadProd!$A:$C,3,0)),"")</f>
        <v/>
      </c>
      <c r="G223" s="1" t="str">
        <f t="shared" si="3"/>
        <v/>
      </c>
    </row>
    <row r="224" spans="3:7" x14ac:dyDescent="0.3">
      <c r="C224" t="str">
        <f>IFERROR(IF(B224="","",VLOOKUP(B224,CadProd!$A:$B,2,0)),"")</f>
        <v/>
      </c>
      <c r="D224" t="str">
        <f>IFERROR(IF(B224="","",VLOOKUP(B224,CadProd!$A:$C,3,0)),"")</f>
        <v/>
      </c>
      <c r="G224" s="1" t="str">
        <f t="shared" si="3"/>
        <v/>
      </c>
    </row>
    <row r="225" spans="3:7" x14ac:dyDescent="0.3">
      <c r="C225" t="str">
        <f>IFERROR(IF(B225="","",VLOOKUP(B225,CadProd!$A:$B,2,0)),"")</f>
        <v/>
      </c>
      <c r="D225" t="str">
        <f>IFERROR(IF(B225="","",VLOOKUP(B225,CadProd!$A:$C,3,0)),"")</f>
        <v/>
      </c>
      <c r="G225" s="1" t="str">
        <f t="shared" si="3"/>
        <v/>
      </c>
    </row>
    <row r="226" spans="3:7" x14ac:dyDescent="0.3">
      <c r="C226" t="str">
        <f>IFERROR(IF(B226="","",VLOOKUP(B226,CadProd!$A:$B,2,0)),"")</f>
        <v/>
      </c>
      <c r="D226" t="str">
        <f>IFERROR(IF(B226="","",VLOOKUP(B226,CadProd!$A:$C,3,0)),"")</f>
        <v/>
      </c>
      <c r="G226" s="1" t="str">
        <f t="shared" si="3"/>
        <v/>
      </c>
    </row>
    <row r="227" spans="3:7" x14ac:dyDescent="0.3">
      <c r="C227" t="str">
        <f>IFERROR(IF(B227="","",VLOOKUP(B227,CadProd!$A:$B,2,0)),"")</f>
        <v/>
      </c>
      <c r="D227" t="str">
        <f>IFERROR(IF(B227="","",VLOOKUP(B227,CadProd!$A:$C,3,0)),"")</f>
        <v/>
      </c>
      <c r="G227" s="1" t="str">
        <f t="shared" si="3"/>
        <v/>
      </c>
    </row>
    <row r="228" spans="3:7" x14ac:dyDescent="0.3">
      <c r="C228" t="str">
        <f>IFERROR(IF(B228="","",VLOOKUP(B228,CadProd!$A:$B,2,0)),"")</f>
        <v/>
      </c>
      <c r="D228" t="str">
        <f>IFERROR(IF(B228="","",VLOOKUP(B228,CadProd!$A:$C,3,0)),"")</f>
        <v/>
      </c>
      <c r="G228" s="1" t="str">
        <f t="shared" si="3"/>
        <v/>
      </c>
    </row>
    <row r="229" spans="3:7" x14ac:dyDescent="0.3">
      <c r="C229" t="str">
        <f>IFERROR(IF(B229="","",VLOOKUP(B229,CadProd!$A:$B,2,0)),"")</f>
        <v/>
      </c>
      <c r="D229" t="str">
        <f>IFERROR(IF(B229="","",VLOOKUP(B229,CadProd!$A:$C,3,0)),"")</f>
        <v/>
      </c>
      <c r="G229" s="1" t="str">
        <f t="shared" si="3"/>
        <v/>
      </c>
    </row>
    <row r="230" spans="3:7" x14ac:dyDescent="0.3">
      <c r="C230" t="str">
        <f>IFERROR(IF(B230="","",VLOOKUP(B230,CadProd!$A:$B,2,0)),"")</f>
        <v/>
      </c>
      <c r="D230" t="str">
        <f>IFERROR(IF(B230="","",VLOOKUP(B230,CadProd!$A:$C,3,0)),"")</f>
        <v/>
      </c>
      <c r="G230" s="1" t="str">
        <f t="shared" si="3"/>
        <v/>
      </c>
    </row>
    <row r="231" spans="3:7" x14ac:dyDescent="0.3">
      <c r="C231" t="str">
        <f>IFERROR(IF(B231="","",VLOOKUP(B231,CadProd!$A:$B,2,0)),"")</f>
        <v/>
      </c>
      <c r="D231" t="str">
        <f>IFERROR(IF(B231="","",VLOOKUP(B231,CadProd!$A:$C,3,0)),"")</f>
        <v/>
      </c>
      <c r="G231" s="1" t="str">
        <f t="shared" si="3"/>
        <v/>
      </c>
    </row>
    <row r="232" spans="3:7" x14ac:dyDescent="0.3">
      <c r="C232" t="str">
        <f>IFERROR(IF(B232="","",VLOOKUP(B232,CadProd!$A:$B,2,0)),"")</f>
        <v/>
      </c>
      <c r="D232" t="str">
        <f>IFERROR(IF(B232="","",VLOOKUP(B232,CadProd!$A:$C,3,0)),"")</f>
        <v/>
      </c>
      <c r="G232" s="1" t="str">
        <f t="shared" si="3"/>
        <v/>
      </c>
    </row>
    <row r="233" spans="3:7" x14ac:dyDescent="0.3">
      <c r="C233" t="str">
        <f>IFERROR(IF(B233="","",VLOOKUP(B233,CadProd!$A:$B,2,0)),"")</f>
        <v/>
      </c>
      <c r="D233" t="str">
        <f>IFERROR(IF(B233="","",VLOOKUP(B233,CadProd!$A:$C,3,0)),"")</f>
        <v/>
      </c>
      <c r="G233" s="1" t="str">
        <f t="shared" si="3"/>
        <v/>
      </c>
    </row>
    <row r="234" spans="3:7" x14ac:dyDescent="0.3">
      <c r="C234" t="str">
        <f>IFERROR(IF(B234="","",VLOOKUP(B234,CadProd!$A:$B,2,0)),"")</f>
        <v/>
      </c>
      <c r="D234" t="str">
        <f>IFERROR(IF(B234="","",VLOOKUP(B234,CadProd!$A:$C,3,0)),"")</f>
        <v/>
      </c>
      <c r="G234" s="1" t="str">
        <f t="shared" si="3"/>
        <v/>
      </c>
    </row>
    <row r="235" spans="3:7" x14ac:dyDescent="0.3">
      <c r="C235" t="str">
        <f>IFERROR(IF(B235="","",VLOOKUP(B235,CadProd!$A:$B,2,0)),"")</f>
        <v/>
      </c>
      <c r="D235" t="str">
        <f>IFERROR(IF(B235="","",VLOOKUP(B235,CadProd!$A:$C,3,0)),"")</f>
        <v/>
      </c>
      <c r="G235" s="1" t="str">
        <f t="shared" si="3"/>
        <v/>
      </c>
    </row>
    <row r="236" spans="3:7" x14ac:dyDescent="0.3">
      <c r="C236" t="str">
        <f>IFERROR(IF(B236="","",VLOOKUP(B236,CadProd!$A:$B,2,0)),"")</f>
        <v/>
      </c>
      <c r="D236" t="str">
        <f>IFERROR(IF(B236="","",VLOOKUP(B236,CadProd!$A:$C,3,0)),"")</f>
        <v/>
      </c>
      <c r="G236" s="1" t="str">
        <f t="shared" si="3"/>
        <v/>
      </c>
    </row>
    <row r="237" spans="3:7" x14ac:dyDescent="0.3">
      <c r="C237" t="str">
        <f>IFERROR(IF(B237="","",VLOOKUP(B237,CadProd!$A:$B,2,0)),"")</f>
        <v/>
      </c>
      <c r="D237" t="str">
        <f>IFERROR(IF(B237="","",VLOOKUP(B237,CadProd!$A:$C,3,0)),"")</f>
        <v/>
      </c>
      <c r="G237" s="1" t="str">
        <f t="shared" si="3"/>
        <v/>
      </c>
    </row>
    <row r="238" spans="3:7" x14ac:dyDescent="0.3">
      <c r="C238" t="str">
        <f>IFERROR(IF(B238="","",VLOOKUP(B238,CadProd!$A:$B,2,0)),"")</f>
        <v/>
      </c>
      <c r="D238" t="str">
        <f>IFERROR(IF(B238="","",VLOOKUP(B238,CadProd!$A:$C,3,0)),"")</f>
        <v/>
      </c>
      <c r="G238" s="1" t="str">
        <f t="shared" si="3"/>
        <v/>
      </c>
    </row>
    <row r="239" spans="3:7" x14ac:dyDescent="0.3">
      <c r="C239" t="str">
        <f>IFERROR(IF(B239="","",VLOOKUP(B239,CadProd!$A:$B,2,0)),"")</f>
        <v/>
      </c>
      <c r="D239" t="str">
        <f>IFERROR(IF(B239="","",VLOOKUP(B239,CadProd!$A:$C,3,0)),"")</f>
        <v/>
      </c>
      <c r="G239" s="1" t="str">
        <f t="shared" si="3"/>
        <v/>
      </c>
    </row>
    <row r="240" spans="3:7" x14ac:dyDescent="0.3">
      <c r="C240" t="str">
        <f>IFERROR(IF(B240="","",VLOOKUP(B240,CadProd!$A:$B,2,0)),"")</f>
        <v/>
      </c>
      <c r="D240" t="str">
        <f>IFERROR(IF(B240="","",VLOOKUP(B240,CadProd!$A:$C,3,0)),"")</f>
        <v/>
      </c>
      <c r="G240" s="1" t="str">
        <f t="shared" si="3"/>
        <v/>
      </c>
    </row>
    <row r="241" spans="3:7" x14ac:dyDescent="0.3">
      <c r="C241" t="str">
        <f>IFERROR(IF(B241="","",VLOOKUP(B241,CadProd!$A:$B,2,0)),"")</f>
        <v/>
      </c>
      <c r="D241" t="str">
        <f>IFERROR(IF(B241="","",VLOOKUP(B241,CadProd!$A:$C,3,0)),"")</f>
        <v/>
      </c>
      <c r="G241" s="1" t="str">
        <f t="shared" si="3"/>
        <v/>
      </c>
    </row>
    <row r="242" spans="3:7" x14ac:dyDescent="0.3">
      <c r="C242" t="str">
        <f>IFERROR(IF(B242="","",VLOOKUP(B242,CadProd!$A:$B,2,0)),"")</f>
        <v/>
      </c>
      <c r="D242" t="str">
        <f>IFERROR(IF(B242="","",VLOOKUP(B242,CadProd!$A:$C,3,0)),"")</f>
        <v/>
      </c>
      <c r="G242" s="1" t="str">
        <f t="shared" si="3"/>
        <v/>
      </c>
    </row>
    <row r="243" spans="3:7" x14ac:dyDescent="0.3">
      <c r="C243" t="str">
        <f>IFERROR(IF(B243="","",VLOOKUP(B243,CadProd!$A:$B,2,0)),"")</f>
        <v/>
      </c>
      <c r="D243" t="str">
        <f>IFERROR(IF(B243="","",VLOOKUP(B243,CadProd!$A:$C,3,0)),"")</f>
        <v/>
      </c>
      <c r="G243" s="1" t="str">
        <f t="shared" si="3"/>
        <v/>
      </c>
    </row>
    <row r="244" spans="3:7" x14ac:dyDescent="0.3">
      <c r="C244" t="str">
        <f>IFERROR(IF(B244="","",VLOOKUP(B244,CadProd!$A:$B,2,0)),"")</f>
        <v/>
      </c>
      <c r="D244" t="str">
        <f>IFERROR(IF(B244="","",VLOOKUP(B244,CadProd!$A:$C,3,0)),"")</f>
        <v/>
      </c>
      <c r="G244" s="1" t="str">
        <f t="shared" si="3"/>
        <v/>
      </c>
    </row>
    <row r="245" spans="3:7" x14ac:dyDescent="0.3">
      <c r="C245" t="str">
        <f>IFERROR(IF(B245="","",VLOOKUP(B245,CadProd!$A:$B,2,0)),"")</f>
        <v/>
      </c>
      <c r="D245" t="str">
        <f>IFERROR(IF(B245="","",VLOOKUP(B245,CadProd!$A:$C,3,0)),"")</f>
        <v/>
      </c>
      <c r="G245" s="1" t="str">
        <f t="shared" si="3"/>
        <v/>
      </c>
    </row>
    <row r="246" spans="3:7" x14ac:dyDescent="0.3">
      <c r="C246" t="str">
        <f>IFERROR(IF(B246="","",VLOOKUP(B246,CadProd!$A:$B,2,0)),"")</f>
        <v/>
      </c>
      <c r="D246" t="str">
        <f>IFERROR(IF(B246="","",VLOOKUP(B246,CadProd!$A:$C,3,0)),"")</f>
        <v/>
      </c>
      <c r="G246" s="1" t="str">
        <f t="shared" si="3"/>
        <v/>
      </c>
    </row>
    <row r="247" spans="3:7" x14ac:dyDescent="0.3">
      <c r="C247" t="str">
        <f>IFERROR(IF(B247="","",VLOOKUP(B247,CadProd!$A:$B,2,0)),"")</f>
        <v/>
      </c>
      <c r="D247" t="str">
        <f>IFERROR(IF(B247="","",VLOOKUP(B247,CadProd!$A:$C,3,0)),"")</f>
        <v/>
      </c>
      <c r="G247" s="1" t="str">
        <f t="shared" si="3"/>
        <v/>
      </c>
    </row>
    <row r="248" spans="3:7" x14ac:dyDescent="0.3">
      <c r="C248" t="str">
        <f>IFERROR(IF(B248="","",VLOOKUP(B248,CadProd!$A:$B,2,0)),"")</f>
        <v/>
      </c>
      <c r="D248" t="str">
        <f>IFERROR(IF(B248="","",VLOOKUP(B248,CadProd!$A:$C,3,0)),"")</f>
        <v/>
      </c>
      <c r="G248" s="1" t="str">
        <f t="shared" si="3"/>
        <v/>
      </c>
    </row>
    <row r="249" spans="3:7" x14ac:dyDescent="0.3">
      <c r="C249" t="str">
        <f>IFERROR(IF(B249="","",VLOOKUP(B249,CadProd!$A:$B,2,0)),"")</f>
        <v/>
      </c>
      <c r="D249" t="str">
        <f>IFERROR(IF(B249="","",VLOOKUP(B249,CadProd!$A:$C,3,0)),"")</f>
        <v/>
      </c>
      <c r="G249" s="1" t="str">
        <f t="shared" si="3"/>
        <v/>
      </c>
    </row>
    <row r="250" spans="3:7" x14ac:dyDescent="0.3">
      <c r="C250" t="str">
        <f>IFERROR(IF(B250="","",VLOOKUP(B250,CadProd!$A:$B,2,0)),"")</f>
        <v/>
      </c>
      <c r="D250" t="str">
        <f>IFERROR(IF(B250="","",VLOOKUP(B250,CadProd!$A:$C,3,0)),"")</f>
        <v/>
      </c>
      <c r="G250" s="1" t="str">
        <f t="shared" si="3"/>
        <v/>
      </c>
    </row>
    <row r="251" spans="3:7" x14ac:dyDescent="0.3">
      <c r="C251" t="str">
        <f>IFERROR(IF(B251="","",VLOOKUP(B251,CadProd!$A:$B,2,0)),"")</f>
        <v/>
      </c>
      <c r="D251" t="str">
        <f>IFERROR(IF(B251="","",VLOOKUP(B251,CadProd!$A:$C,3,0)),"")</f>
        <v/>
      </c>
      <c r="G251" s="1" t="str">
        <f t="shared" si="3"/>
        <v/>
      </c>
    </row>
    <row r="252" spans="3:7" x14ac:dyDescent="0.3">
      <c r="C252" t="str">
        <f>IFERROR(IF(B252="","",VLOOKUP(B252,CadProd!$A:$B,2,0)),"")</f>
        <v/>
      </c>
      <c r="D252" t="str">
        <f>IFERROR(IF(B252="","",VLOOKUP(B252,CadProd!$A:$C,3,0)),"")</f>
        <v/>
      </c>
      <c r="G252" s="1" t="str">
        <f t="shared" si="3"/>
        <v/>
      </c>
    </row>
    <row r="253" spans="3:7" x14ac:dyDescent="0.3">
      <c r="C253" t="str">
        <f>IFERROR(IF(B253="","",VLOOKUP(B253,CadProd!$A:$B,2,0)),"")</f>
        <v/>
      </c>
      <c r="D253" t="str">
        <f>IFERROR(IF(B253="","",VLOOKUP(B253,CadProd!$A:$C,3,0)),"")</f>
        <v/>
      </c>
      <c r="G253" s="1" t="str">
        <f t="shared" si="3"/>
        <v/>
      </c>
    </row>
    <row r="254" spans="3:7" x14ac:dyDescent="0.3">
      <c r="C254" t="str">
        <f>IFERROR(IF(B254="","",VLOOKUP(B254,CadProd!$A:$B,2,0)),"")</f>
        <v/>
      </c>
      <c r="D254" t="str">
        <f>IFERROR(IF(B254="","",VLOOKUP(B254,CadProd!$A:$C,3,0)),"")</f>
        <v/>
      </c>
      <c r="G254" s="1" t="str">
        <f t="shared" si="3"/>
        <v/>
      </c>
    </row>
    <row r="255" spans="3:7" x14ac:dyDescent="0.3">
      <c r="C255" t="str">
        <f>IFERROR(IF(B255="","",VLOOKUP(B255,CadProd!$A:$B,2,0)),"")</f>
        <v/>
      </c>
      <c r="D255" t="str">
        <f>IFERROR(IF(B255="","",VLOOKUP(B255,CadProd!$A:$C,3,0)),"")</f>
        <v/>
      </c>
      <c r="G255" s="1" t="str">
        <f t="shared" si="3"/>
        <v/>
      </c>
    </row>
    <row r="256" spans="3:7" x14ac:dyDescent="0.3">
      <c r="C256" t="str">
        <f>IFERROR(IF(B256="","",VLOOKUP(B256,CadProd!$A:$B,2,0)),"")</f>
        <v/>
      </c>
      <c r="D256" t="str">
        <f>IFERROR(IF(B256="","",VLOOKUP(B256,CadProd!$A:$C,3,0)),"")</f>
        <v/>
      </c>
      <c r="G256" s="1" t="str">
        <f t="shared" si="3"/>
        <v/>
      </c>
    </row>
    <row r="257" spans="3:7" x14ac:dyDescent="0.3">
      <c r="C257" t="str">
        <f>IFERROR(IF(B257="","",VLOOKUP(B257,CadProd!$A:$B,2,0)),"")</f>
        <v/>
      </c>
      <c r="D257" t="str">
        <f>IFERROR(IF(B257="","",VLOOKUP(B257,CadProd!$A:$C,3,0)),"")</f>
        <v/>
      </c>
      <c r="G257" s="1" t="str">
        <f t="shared" si="3"/>
        <v/>
      </c>
    </row>
    <row r="258" spans="3:7" x14ac:dyDescent="0.3">
      <c r="C258" t="str">
        <f>IFERROR(IF(B258="","",VLOOKUP(B258,CadProd!$A:$B,2,0)),"")</f>
        <v/>
      </c>
      <c r="D258" t="str">
        <f>IFERROR(IF(B258="","",VLOOKUP(B258,CadProd!$A:$C,3,0)),"")</f>
        <v/>
      </c>
      <c r="G258" s="1" t="str">
        <f t="shared" si="3"/>
        <v/>
      </c>
    </row>
    <row r="259" spans="3:7" x14ac:dyDescent="0.3">
      <c r="C259" t="str">
        <f>IFERROR(IF(B259="","",VLOOKUP(B259,CadProd!$A:$B,2,0)),"")</f>
        <v/>
      </c>
      <c r="D259" t="str">
        <f>IFERROR(IF(B259="","",VLOOKUP(B259,CadProd!$A:$C,3,0)),"")</f>
        <v/>
      </c>
      <c r="G259" s="1" t="str">
        <f t="shared" si="3"/>
        <v/>
      </c>
    </row>
    <row r="260" spans="3:7" x14ac:dyDescent="0.3">
      <c r="C260" t="str">
        <f>IFERROR(IF(B260="","",VLOOKUP(B260,CadProd!$A:$B,2,0)),"")</f>
        <v/>
      </c>
      <c r="D260" t="str">
        <f>IFERROR(IF(B260="","",VLOOKUP(B260,CadProd!$A:$C,3,0)),"")</f>
        <v/>
      </c>
      <c r="G260" s="1" t="str">
        <f t="shared" si="3"/>
        <v/>
      </c>
    </row>
    <row r="261" spans="3:7" x14ac:dyDescent="0.3">
      <c r="C261" t="str">
        <f>IFERROR(IF(B261="","",VLOOKUP(B261,CadProd!$A:$B,2,0)),"")</f>
        <v/>
      </c>
      <c r="D261" t="str">
        <f>IFERROR(IF(B261="","",VLOOKUP(B261,CadProd!$A:$C,3,0)),"")</f>
        <v/>
      </c>
      <c r="G261" s="1" t="str">
        <f t="shared" si="3"/>
        <v/>
      </c>
    </row>
    <row r="262" spans="3:7" x14ac:dyDescent="0.3">
      <c r="C262" t="str">
        <f>IFERROR(IF(B262="","",VLOOKUP(B262,CadProd!$A:$B,2,0)),"")</f>
        <v/>
      </c>
      <c r="D262" t="str">
        <f>IFERROR(IF(B262="","",VLOOKUP(B262,CadProd!$A:$C,3,0)),"")</f>
        <v/>
      </c>
      <c r="G262" s="1" t="str">
        <f t="shared" si="3"/>
        <v/>
      </c>
    </row>
    <row r="263" spans="3:7" x14ac:dyDescent="0.3">
      <c r="C263" t="str">
        <f>IFERROR(IF(B263="","",VLOOKUP(B263,CadProd!$A:$B,2,0)),"")</f>
        <v/>
      </c>
      <c r="D263" t="str">
        <f>IFERROR(IF(B263="","",VLOOKUP(B263,CadProd!$A:$C,3,0)),"")</f>
        <v/>
      </c>
      <c r="G263" s="1" t="str">
        <f t="shared" si="3"/>
        <v/>
      </c>
    </row>
    <row r="264" spans="3:7" x14ac:dyDescent="0.3">
      <c r="C264" t="str">
        <f>IFERROR(IF(B264="","",VLOOKUP(B264,CadProd!$A:$B,2,0)),"")</f>
        <v/>
      </c>
      <c r="D264" t="str">
        <f>IFERROR(IF(B264="","",VLOOKUP(B264,CadProd!$A:$C,3,0)),"")</f>
        <v/>
      </c>
      <c r="G264" s="1" t="str">
        <f t="shared" si="3"/>
        <v/>
      </c>
    </row>
    <row r="265" spans="3:7" x14ac:dyDescent="0.3">
      <c r="C265" t="str">
        <f>IFERROR(IF(B265="","",VLOOKUP(B265,CadProd!$A:$B,2,0)),"")</f>
        <v/>
      </c>
      <c r="D265" t="str">
        <f>IFERROR(IF(B265="","",VLOOKUP(B265,CadProd!$A:$C,3,0)),"")</f>
        <v/>
      </c>
      <c r="G265" s="1" t="str">
        <f t="shared" si="3"/>
        <v/>
      </c>
    </row>
    <row r="266" spans="3:7" x14ac:dyDescent="0.3">
      <c r="C266" t="str">
        <f>IFERROR(IF(B266="","",VLOOKUP(B266,CadProd!$A:$B,2,0)),"")</f>
        <v/>
      </c>
      <c r="D266" t="str">
        <f>IFERROR(IF(B266="","",VLOOKUP(B266,CadProd!$A:$C,3,0)),"")</f>
        <v/>
      </c>
      <c r="G266" s="1" t="str">
        <f t="shared" si="3"/>
        <v/>
      </c>
    </row>
    <row r="267" spans="3:7" x14ac:dyDescent="0.3">
      <c r="C267" t="str">
        <f>IFERROR(IF(B267="","",VLOOKUP(B267,CadProd!$A:$B,2,0)),"")</f>
        <v/>
      </c>
      <c r="D267" t="str">
        <f>IFERROR(IF(B267="","",VLOOKUP(B267,CadProd!$A:$C,3,0)),"")</f>
        <v/>
      </c>
      <c r="G267" s="1" t="str">
        <f t="shared" ref="G267:G330" si="4">IFERROR(IF(B267="","",F267*E267),"")</f>
        <v/>
      </c>
    </row>
    <row r="268" spans="3:7" x14ac:dyDescent="0.3">
      <c r="C268" t="str">
        <f>IFERROR(IF(B268="","",VLOOKUP(B268,CadProd!$A:$B,2,0)),"")</f>
        <v/>
      </c>
      <c r="D268" t="str">
        <f>IFERROR(IF(B268="","",VLOOKUP(B268,CadProd!$A:$C,3,0)),"")</f>
        <v/>
      </c>
      <c r="G268" s="1" t="str">
        <f t="shared" si="4"/>
        <v/>
      </c>
    </row>
    <row r="269" spans="3:7" x14ac:dyDescent="0.3">
      <c r="C269" t="str">
        <f>IFERROR(IF(B269="","",VLOOKUP(B269,CadProd!$A:$B,2,0)),"")</f>
        <v/>
      </c>
      <c r="D269" t="str">
        <f>IFERROR(IF(B269="","",VLOOKUP(B269,CadProd!$A:$C,3,0)),"")</f>
        <v/>
      </c>
      <c r="G269" s="1" t="str">
        <f t="shared" si="4"/>
        <v/>
      </c>
    </row>
    <row r="270" spans="3:7" x14ac:dyDescent="0.3">
      <c r="C270" t="str">
        <f>IFERROR(IF(B270="","",VLOOKUP(B270,CadProd!$A:$B,2,0)),"")</f>
        <v/>
      </c>
      <c r="D270" t="str">
        <f>IFERROR(IF(B270="","",VLOOKUP(B270,CadProd!$A:$C,3,0)),"")</f>
        <v/>
      </c>
      <c r="G270" s="1" t="str">
        <f t="shared" si="4"/>
        <v/>
      </c>
    </row>
    <row r="271" spans="3:7" x14ac:dyDescent="0.3">
      <c r="C271" t="str">
        <f>IFERROR(IF(B271="","",VLOOKUP(B271,CadProd!$A:$B,2,0)),"")</f>
        <v/>
      </c>
      <c r="D271" t="str">
        <f>IFERROR(IF(B271="","",VLOOKUP(B271,CadProd!$A:$C,3,0)),"")</f>
        <v/>
      </c>
      <c r="G271" s="1" t="str">
        <f t="shared" si="4"/>
        <v/>
      </c>
    </row>
    <row r="272" spans="3:7" x14ac:dyDescent="0.3">
      <c r="C272" t="str">
        <f>IFERROR(IF(B272="","",VLOOKUP(B272,CadProd!$A:$B,2,0)),"")</f>
        <v/>
      </c>
      <c r="D272" t="str">
        <f>IFERROR(IF(B272="","",VLOOKUP(B272,CadProd!$A:$C,3,0)),"")</f>
        <v/>
      </c>
      <c r="G272" s="1" t="str">
        <f t="shared" si="4"/>
        <v/>
      </c>
    </row>
    <row r="273" spans="3:7" x14ac:dyDescent="0.3">
      <c r="C273" t="str">
        <f>IFERROR(IF(B273="","",VLOOKUP(B273,CadProd!$A:$B,2,0)),"")</f>
        <v/>
      </c>
      <c r="D273" t="str">
        <f>IFERROR(IF(B273="","",VLOOKUP(B273,CadProd!$A:$C,3,0)),"")</f>
        <v/>
      </c>
      <c r="G273" s="1" t="str">
        <f t="shared" si="4"/>
        <v/>
      </c>
    </row>
    <row r="274" spans="3:7" x14ac:dyDescent="0.3">
      <c r="C274" t="str">
        <f>IFERROR(IF(B274="","",VLOOKUP(B274,CadProd!$A:$B,2,0)),"")</f>
        <v/>
      </c>
      <c r="D274" t="str">
        <f>IFERROR(IF(B274="","",VLOOKUP(B274,CadProd!$A:$C,3,0)),"")</f>
        <v/>
      </c>
      <c r="G274" s="1" t="str">
        <f t="shared" si="4"/>
        <v/>
      </c>
    </row>
    <row r="275" spans="3:7" x14ac:dyDescent="0.3">
      <c r="C275" t="str">
        <f>IFERROR(IF(B275="","",VLOOKUP(B275,CadProd!$A:$B,2,0)),"")</f>
        <v/>
      </c>
      <c r="D275" t="str">
        <f>IFERROR(IF(B275="","",VLOOKUP(B275,CadProd!$A:$C,3,0)),"")</f>
        <v/>
      </c>
      <c r="G275" s="1" t="str">
        <f t="shared" si="4"/>
        <v/>
      </c>
    </row>
    <row r="276" spans="3:7" x14ac:dyDescent="0.3">
      <c r="C276" t="str">
        <f>IFERROR(IF(B276="","",VLOOKUP(B276,CadProd!$A:$B,2,0)),"")</f>
        <v/>
      </c>
      <c r="D276" t="str">
        <f>IFERROR(IF(B276="","",VLOOKUP(B276,CadProd!$A:$C,3,0)),"")</f>
        <v/>
      </c>
      <c r="G276" s="1" t="str">
        <f t="shared" si="4"/>
        <v/>
      </c>
    </row>
    <row r="277" spans="3:7" x14ac:dyDescent="0.3">
      <c r="C277" t="str">
        <f>IFERROR(IF(B277="","",VLOOKUP(B277,CadProd!$A:$B,2,0)),"")</f>
        <v/>
      </c>
      <c r="D277" t="str">
        <f>IFERROR(IF(B277="","",VLOOKUP(B277,CadProd!$A:$C,3,0)),"")</f>
        <v/>
      </c>
      <c r="G277" s="1" t="str">
        <f t="shared" si="4"/>
        <v/>
      </c>
    </row>
    <row r="278" spans="3:7" x14ac:dyDescent="0.3">
      <c r="C278" t="str">
        <f>IFERROR(IF(B278="","",VLOOKUP(B278,CadProd!$A:$B,2,0)),"")</f>
        <v/>
      </c>
      <c r="D278" t="str">
        <f>IFERROR(IF(B278="","",VLOOKUP(B278,CadProd!$A:$C,3,0)),"")</f>
        <v/>
      </c>
      <c r="G278" s="1" t="str">
        <f t="shared" si="4"/>
        <v/>
      </c>
    </row>
    <row r="279" spans="3:7" x14ac:dyDescent="0.3">
      <c r="C279" t="str">
        <f>IFERROR(IF(B279="","",VLOOKUP(B279,CadProd!$A:$B,2,0)),"")</f>
        <v/>
      </c>
      <c r="D279" t="str">
        <f>IFERROR(IF(B279="","",VLOOKUP(B279,CadProd!$A:$C,3,0)),"")</f>
        <v/>
      </c>
      <c r="G279" s="1" t="str">
        <f t="shared" si="4"/>
        <v/>
      </c>
    </row>
    <row r="280" spans="3:7" x14ac:dyDescent="0.3">
      <c r="C280" t="str">
        <f>IFERROR(IF(B280="","",VLOOKUP(B280,CadProd!$A:$B,2,0)),"")</f>
        <v/>
      </c>
      <c r="D280" t="str">
        <f>IFERROR(IF(B280="","",VLOOKUP(B280,CadProd!$A:$C,3,0)),"")</f>
        <v/>
      </c>
      <c r="G280" s="1" t="str">
        <f t="shared" si="4"/>
        <v/>
      </c>
    </row>
    <row r="281" spans="3:7" x14ac:dyDescent="0.3">
      <c r="C281" t="str">
        <f>IFERROR(IF(B281="","",VLOOKUP(B281,CadProd!$A:$B,2,0)),"")</f>
        <v/>
      </c>
      <c r="D281" t="str">
        <f>IFERROR(IF(B281="","",VLOOKUP(B281,CadProd!$A:$C,3,0)),"")</f>
        <v/>
      </c>
      <c r="G281" s="1" t="str">
        <f t="shared" si="4"/>
        <v/>
      </c>
    </row>
    <row r="282" spans="3:7" x14ac:dyDescent="0.3">
      <c r="C282" t="str">
        <f>IFERROR(IF(B282="","",VLOOKUP(B282,CadProd!$A:$B,2,0)),"")</f>
        <v/>
      </c>
      <c r="D282" t="str">
        <f>IFERROR(IF(B282="","",VLOOKUP(B282,CadProd!$A:$C,3,0)),"")</f>
        <v/>
      </c>
      <c r="G282" s="1" t="str">
        <f t="shared" si="4"/>
        <v/>
      </c>
    </row>
    <row r="283" spans="3:7" x14ac:dyDescent="0.3">
      <c r="C283" t="str">
        <f>IFERROR(IF(B283="","",VLOOKUP(B283,CadProd!$A:$B,2,0)),"")</f>
        <v/>
      </c>
      <c r="D283" t="str">
        <f>IFERROR(IF(B283="","",VLOOKUP(B283,CadProd!$A:$C,3,0)),"")</f>
        <v/>
      </c>
      <c r="G283" s="1" t="str">
        <f t="shared" si="4"/>
        <v/>
      </c>
    </row>
    <row r="284" spans="3:7" x14ac:dyDescent="0.3">
      <c r="C284" t="str">
        <f>IFERROR(IF(B284="","",VLOOKUP(B284,CadProd!$A:$B,2,0)),"")</f>
        <v/>
      </c>
      <c r="D284" t="str">
        <f>IFERROR(IF(B284="","",VLOOKUP(B284,CadProd!$A:$C,3,0)),"")</f>
        <v/>
      </c>
      <c r="G284" s="1" t="str">
        <f t="shared" si="4"/>
        <v/>
      </c>
    </row>
    <row r="285" spans="3:7" x14ac:dyDescent="0.3">
      <c r="C285" t="str">
        <f>IFERROR(IF(B285="","",VLOOKUP(B285,CadProd!$A:$B,2,0)),"")</f>
        <v/>
      </c>
      <c r="D285" t="str">
        <f>IFERROR(IF(B285="","",VLOOKUP(B285,CadProd!$A:$C,3,0)),"")</f>
        <v/>
      </c>
      <c r="G285" s="1" t="str">
        <f t="shared" si="4"/>
        <v/>
      </c>
    </row>
    <row r="286" spans="3:7" x14ac:dyDescent="0.3">
      <c r="C286" t="str">
        <f>IFERROR(IF(B286="","",VLOOKUP(B286,CadProd!$A:$B,2,0)),"")</f>
        <v/>
      </c>
      <c r="D286" t="str">
        <f>IFERROR(IF(B286="","",VLOOKUP(B286,CadProd!$A:$C,3,0)),"")</f>
        <v/>
      </c>
      <c r="G286" s="1" t="str">
        <f t="shared" si="4"/>
        <v/>
      </c>
    </row>
    <row r="287" spans="3:7" x14ac:dyDescent="0.3">
      <c r="C287" t="str">
        <f>IFERROR(IF(B287="","",VLOOKUP(B287,CadProd!$A:$B,2,0)),"")</f>
        <v/>
      </c>
      <c r="D287" t="str">
        <f>IFERROR(IF(B287="","",VLOOKUP(B287,CadProd!$A:$C,3,0)),"")</f>
        <v/>
      </c>
      <c r="G287" s="1" t="str">
        <f t="shared" si="4"/>
        <v/>
      </c>
    </row>
    <row r="288" spans="3:7" x14ac:dyDescent="0.3">
      <c r="C288" t="str">
        <f>IFERROR(IF(B288="","",VLOOKUP(B288,CadProd!$A:$B,2,0)),"")</f>
        <v/>
      </c>
      <c r="D288" t="str">
        <f>IFERROR(IF(B288="","",VLOOKUP(B288,CadProd!$A:$C,3,0)),"")</f>
        <v/>
      </c>
      <c r="G288" s="1" t="str">
        <f t="shared" si="4"/>
        <v/>
      </c>
    </row>
    <row r="289" spans="3:7" x14ac:dyDescent="0.3">
      <c r="C289" t="str">
        <f>IFERROR(IF(B289="","",VLOOKUP(B289,CadProd!$A:$B,2,0)),"")</f>
        <v/>
      </c>
      <c r="D289" t="str">
        <f>IFERROR(IF(B289="","",VLOOKUP(B289,CadProd!$A:$C,3,0)),"")</f>
        <v/>
      </c>
      <c r="G289" s="1" t="str">
        <f t="shared" si="4"/>
        <v/>
      </c>
    </row>
    <row r="290" spans="3:7" x14ac:dyDescent="0.3">
      <c r="C290" t="str">
        <f>IFERROR(IF(B290="","",VLOOKUP(B290,CadProd!$A:$B,2,0)),"")</f>
        <v/>
      </c>
      <c r="D290" t="str">
        <f>IFERROR(IF(B290="","",VLOOKUP(B290,CadProd!$A:$C,3,0)),"")</f>
        <v/>
      </c>
      <c r="G290" s="1" t="str">
        <f t="shared" si="4"/>
        <v/>
      </c>
    </row>
    <row r="291" spans="3:7" x14ac:dyDescent="0.3">
      <c r="C291" t="str">
        <f>IFERROR(IF(B291="","",VLOOKUP(B291,CadProd!$A:$B,2,0)),"")</f>
        <v/>
      </c>
      <c r="D291" t="str">
        <f>IFERROR(IF(B291="","",VLOOKUP(B291,CadProd!$A:$C,3,0)),"")</f>
        <v/>
      </c>
      <c r="G291" s="1" t="str">
        <f t="shared" si="4"/>
        <v/>
      </c>
    </row>
    <row r="292" spans="3:7" x14ac:dyDescent="0.3">
      <c r="C292" t="str">
        <f>IFERROR(IF(B292="","",VLOOKUP(B292,CadProd!$A:$B,2,0)),"")</f>
        <v/>
      </c>
      <c r="D292" t="str">
        <f>IFERROR(IF(B292="","",VLOOKUP(B292,CadProd!$A:$C,3,0)),"")</f>
        <v/>
      </c>
      <c r="G292" s="1" t="str">
        <f t="shared" si="4"/>
        <v/>
      </c>
    </row>
    <row r="293" spans="3:7" x14ac:dyDescent="0.3">
      <c r="C293" t="str">
        <f>IFERROR(IF(B293="","",VLOOKUP(B293,CadProd!$A:$B,2,0)),"")</f>
        <v/>
      </c>
      <c r="D293" t="str">
        <f>IFERROR(IF(B293="","",VLOOKUP(B293,CadProd!$A:$C,3,0)),"")</f>
        <v/>
      </c>
      <c r="G293" s="1" t="str">
        <f t="shared" si="4"/>
        <v/>
      </c>
    </row>
    <row r="294" spans="3:7" x14ac:dyDescent="0.3">
      <c r="C294" t="str">
        <f>IFERROR(IF(B294="","",VLOOKUP(B294,CadProd!$A:$B,2,0)),"")</f>
        <v/>
      </c>
      <c r="D294" t="str">
        <f>IFERROR(IF(B294="","",VLOOKUP(B294,CadProd!$A:$C,3,0)),"")</f>
        <v/>
      </c>
      <c r="G294" s="1" t="str">
        <f t="shared" si="4"/>
        <v/>
      </c>
    </row>
    <row r="295" spans="3:7" x14ac:dyDescent="0.3">
      <c r="C295" t="str">
        <f>IFERROR(IF(B295="","",VLOOKUP(B295,CadProd!$A:$B,2,0)),"")</f>
        <v/>
      </c>
      <c r="D295" t="str">
        <f>IFERROR(IF(B295="","",VLOOKUP(B295,CadProd!$A:$C,3,0)),"")</f>
        <v/>
      </c>
      <c r="G295" s="1" t="str">
        <f t="shared" si="4"/>
        <v/>
      </c>
    </row>
    <row r="296" spans="3:7" x14ac:dyDescent="0.3">
      <c r="C296" t="str">
        <f>IFERROR(IF(B296="","",VLOOKUP(B296,CadProd!$A:$B,2,0)),"")</f>
        <v/>
      </c>
      <c r="D296" t="str">
        <f>IFERROR(IF(B296="","",VLOOKUP(B296,CadProd!$A:$C,3,0)),"")</f>
        <v/>
      </c>
      <c r="G296" s="1" t="str">
        <f t="shared" si="4"/>
        <v/>
      </c>
    </row>
    <row r="297" spans="3:7" x14ac:dyDescent="0.3">
      <c r="C297" t="str">
        <f>IFERROR(IF(B297="","",VLOOKUP(B297,CadProd!$A:$B,2,0)),"")</f>
        <v/>
      </c>
      <c r="D297" t="str">
        <f>IFERROR(IF(B297="","",VLOOKUP(B297,CadProd!$A:$C,3,0)),"")</f>
        <v/>
      </c>
      <c r="G297" s="1" t="str">
        <f t="shared" si="4"/>
        <v/>
      </c>
    </row>
    <row r="298" spans="3:7" x14ac:dyDescent="0.3">
      <c r="C298" t="str">
        <f>IFERROR(IF(B298="","",VLOOKUP(B298,CadProd!$A:$B,2,0)),"")</f>
        <v/>
      </c>
      <c r="D298" t="str">
        <f>IFERROR(IF(B298="","",VLOOKUP(B298,CadProd!$A:$C,3,0)),"")</f>
        <v/>
      </c>
      <c r="G298" s="1" t="str">
        <f t="shared" si="4"/>
        <v/>
      </c>
    </row>
    <row r="299" spans="3:7" x14ac:dyDescent="0.3">
      <c r="C299" t="str">
        <f>IFERROR(IF(B299="","",VLOOKUP(B299,CadProd!$A:$B,2,0)),"")</f>
        <v/>
      </c>
      <c r="D299" t="str">
        <f>IFERROR(IF(B299="","",VLOOKUP(B299,CadProd!$A:$C,3,0)),"")</f>
        <v/>
      </c>
      <c r="G299" s="1" t="str">
        <f t="shared" si="4"/>
        <v/>
      </c>
    </row>
    <row r="300" spans="3:7" x14ac:dyDescent="0.3">
      <c r="C300" t="str">
        <f>IFERROR(IF(B300="","",VLOOKUP(B300,CadProd!$A:$B,2,0)),"")</f>
        <v/>
      </c>
      <c r="D300" t="str">
        <f>IFERROR(IF(B300="","",VLOOKUP(B300,CadProd!$A:$C,3,0)),"")</f>
        <v/>
      </c>
      <c r="G300" s="1" t="str">
        <f t="shared" si="4"/>
        <v/>
      </c>
    </row>
    <row r="301" spans="3:7" x14ac:dyDescent="0.3">
      <c r="C301" t="str">
        <f>IFERROR(IF(B301="","",VLOOKUP(B301,CadProd!$A:$B,2,0)),"")</f>
        <v/>
      </c>
      <c r="D301" t="str">
        <f>IFERROR(IF(B301="","",VLOOKUP(B301,CadProd!$A:$C,3,0)),"")</f>
        <v/>
      </c>
      <c r="G301" s="1" t="str">
        <f t="shared" si="4"/>
        <v/>
      </c>
    </row>
    <row r="302" spans="3:7" x14ac:dyDescent="0.3">
      <c r="C302" t="str">
        <f>IFERROR(IF(B302="","",VLOOKUP(B302,CadProd!$A:$B,2,0)),"")</f>
        <v/>
      </c>
      <c r="D302" t="str">
        <f>IFERROR(IF(B302="","",VLOOKUP(B302,CadProd!$A:$C,3,0)),"")</f>
        <v/>
      </c>
      <c r="G302" s="1" t="str">
        <f t="shared" si="4"/>
        <v/>
      </c>
    </row>
    <row r="303" spans="3:7" x14ac:dyDescent="0.3">
      <c r="C303" t="str">
        <f>IFERROR(IF(B303="","",VLOOKUP(B303,CadProd!$A:$B,2,0)),"")</f>
        <v/>
      </c>
      <c r="D303" t="str">
        <f>IFERROR(IF(B303="","",VLOOKUP(B303,CadProd!$A:$C,3,0)),"")</f>
        <v/>
      </c>
      <c r="G303" s="1" t="str">
        <f t="shared" si="4"/>
        <v/>
      </c>
    </row>
    <row r="304" spans="3:7" x14ac:dyDescent="0.3">
      <c r="C304" t="str">
        <f>IFERROR(IF(B304="","",VLOOKUP(B304,CadProd!$A:$B,2,0)),"")</f>
        <v/>
      </c>
      <c r="D304" t="str">
        <f>IFERROR(IF(B304="","",VLOOKUP(B304,CadProd!$A:$C,3,0)),"")</f>
        <v/>
      </c>
      <c r="G304" s="1" t="str">
        <f t="shared" si="4"/>
        <v/>
      </c>
    </row>
    <row r="305" spans="3:7" x14ac:dyDescent="0.3">
      <c r="C305" t="str">
        <f>IFERROR(IF(B305="","",VLOOKUP(B305,CadProd!$A:$B,2,0)),"")</f>
        <v/>
      </c>
      <c r="D305" t="str">
        <f>IFERROR(IF(B305="","",VLOOKUP(B305,CadProd!$A:$C,3,0)),"")</f>
        <v/>
      </c>
      <c r="G305" s="1" t="str">
        <f t="shared" si="4"/>
        <v/>
      </c>
    </row>
    <row r="306" spans="3:7" x14ac:dyDescent="0.3">
      <c r="C306" t="str">
        <f>IFERROR(IF(B306="","",VLOOKUP(B306,CadProd!$A:$B,2,0)),"")</f>
        <v/>
      </c>
      <c r="D306" t="str">
        <f>IFERROR(IF(B306="","",VLOOKUP(B306,CadProd!$A:$C,3,0)),"")</f>
        <v/>
      </c>
      <c r="G306" s="1" t="str">
        <f t="shared" si="4"/>
        <v/>
      </c>
    </row>
    <row r="307" spans="3:7" x14ac:dyDescent="0.3">
      <c r="C307" t="str">
        <f>IFERROR(IF(B307="","",VLOOKUP(B307,CadProd!$A:$B,2,0)),"")</f>
        <v/>
      </c>
      <c r="D307" t="str">
        <f>IFERROR(IF(B307="","",VLOOKUP(B307,CadProd!$A:$C,3,0)),"")</f>
        <v/>
      </c>
      <c r="G307" s="1" t="str">
        <f t="shared" si="4"/>
        <v/>
      </c>
    </row>
    <row r="308" spans="3:7" x14ac:dyDescent="0.3">
      <c r="C308" t="str">
        <f>IFERROR(IF(B308="","",VLOOKUP(B308,CadProd!$A:$B,2,0)),"")</f>
        <v/>
      </c>
      <c r="D308" t="str">
        <f>IFERROR(IF(B308="","",VLOOKUP(B308,CadProd!$A:$C,3,0)),"")</f>
        <v/>
      </c>
      <c r="G308" s="1" t="str">
        <f t="shared" si="4"/>
        <v/>
      </c>
    </row>
    <row r="309" spans="3:7" x14ac:dyDescent="0.3">
      <c r="C309" t="str">
        <f>IFERROR(IF(B309="","",VLOOKUP(B309,CadProd!$A:$B,2,0)),"")</f>
        <v/>
      </c>
      <c r="D309" t="str">
        <f>IFERROR(IF(B309="","",VLOOKUP(B309,CadProd!$A:$C,3,0)),"")</f>
        <v/>
      </c>
      <c r="G309" s="1" t="str">
        <f t="shared" si="4"/>
        <v/>
      </c>
    </row>
    <row r="310" spans="3:7" x14ac:dyDescent="0.3">
      <c r="C310" t="str">
        <f>IFERROR(IF(B310="","",VLOOKUP(B310,CadProd!$A:$B,2,0)),"")</f>
        <v/>
      </c>
      <c r="D310" t="str">
        <f>IFERROR(IF(B310="","",VLOOKUP(B310,CadProd!$A:$C,3,0)),"")</f>
        <v/>
      </c>
      <c r="G310" s="1" t="str">
        <f t="shared" si="4"/>
        <v/>
      </c>
    </row>
    <row r="311" spans="3:7" x14ac:dyDescent="0.3">
      <c r="C311" t="str">
        <f>IFERROR(IF(B311="","",VLOOKUP(B311,CadProd!$A:$B,2,0)),"")</f>
        <v/>
      </c>
      <c r="D311" t="str">
        <f>IFERROR(IF(B311="","",VLOOKUP(B311,CadProd!$A:$C,3,0)),"")</f>
        <v/>
      </c>
      <c r="G311" s="1" t="str">
        <f t="shared" si="4"/>
        <v/>
      </c>
    </row>
    <row r="312" spans="3:7" x14ac:dyDescent="0.3">
      <c r="C312" t="str">
        <f>IFERROR(IF(B312="","",VLOOKUP(B312,CadProd!$A:$B,2,0)),"")</f>
        <v/>
      </c>
      <c r="D312" t="str">
        <f>IFERROR(IF(B312="","",VLOOKUP(B312,CadProd!$A:$C,3,0)),"")</f>
        <v/>
      </c>
      <c r="G312" s="1" t="str">
        <f t="shared" si="4"/>
        <v/>
      </c>
    </row>
    <row r="313" spans="3:7" x14ac:dyDescent="0.3">
      <c r="C313" t="str">
        <f>IFERROR(IF(B313="","",VLOOKUP(B313,CadProd!$A:$B,2,0)),"")</f>
        <v/>
      </c>
      <c r="D313" t="str">
        <f>IFERROR(IF(B313="","",VLOOKUP(B313,CadProd!$A:$C,3,0)),"")</f>
        <v/>
      </c>
      <c r="G313" s="1" t="str">
        <f t="shared" si="4"/>
        <v/>
      </c>
    </row>
    <row r="314" spans="3:7" x14ac:dyDescent="0.3">
      <c r="C314" t="str">
        <f>IFERROR(IF(B314="","",VLOOKUP(B314,CadProd!$A:$B,2,0)),"")</f>
        <v/>
      </c>
      <c r="D314" t="str">
        <f>IFERROR(IF(B314="","",VLOOKUP(B314,CadProd!$A:$C,3,0)),"")</f>
        <v/>
      </c>
      <c r="G314" s="1" t="str">
        <f t="shared" si="4"/>
        <v/>
      </c>
    </row>
    <row r="315" spans="3:7" x14ac:dyDescent="0.3">
      <c r="C315" t="str">
        <f>IFERROR(IF(B315="","",VLOOKUP(B315,CadProd!$A:$B,2,0)),"")</f>
        <v/>
      </c>
      <c r="D315" t="str">
        <f>IFERROR(IF(B315="","",VLOOKUP(B315,CadProd!$A:$C,3,0)),"")</f>
        <v/>
      </c>
      <c r="G315" s="1" t="str">
        <f t="shared" si="4"/>
        <v/>
      </c>
    </row>
    <row r="316" spans="3:7" x14ac:dyDescent="0.3">
      <c r="C316" t="str">
        <f>IFERROR(IF(B316="","",VLOOKUP(B316,CadProd!$A:$B,2,0)),"")</f>
        <v/>
      </c>
      <c r="D316" t="str">
        <f>IFERROR(IF(B316="","",VLOOKUP(B316,CadProd!$A:$C,3,0)),"")</f>
        <v/>
      </c>
      <c r="G316" s="1" t="str">
        <f t="shared" si="4"/>
        <v/>
      </c>
    </row>
    <row r="317" spans="3:7" x14ac:dyDescent="0.3">
      <c r="C317" t="str">
        <f>IFERROR(IF(B317="","",VLOOKUP(B317,CadProd!$A:$B,2,0)),"")</f>
        <v/>
      </c>
      <c r="D317" t="str">
        <f>IFERROR(IF(B317="","",VLOOKUP(B317,CadProd!$A:$C,3,0)),"")</f>
        <v/>
      </c>
      <c r="G317" s="1" t="str">
        <f t="shared" si="4"/>
        <v/>
      </c>
    </row>
    <row r="318" spans="3:7" x14ac:dyDescent="0.3">
      <c r="C318" t="str">
        <f>IFERROR(IF(B318="","",VLOOKUP(B318,CadProd!$A:$B,2,0)),"")</f>
        <v/>
      </c>
      <c r="D318" t="str">
        <f>IFERROR(IF(B318="","",VLOOKUP(B318,CadProd!$A:$C,3,0)),"")</f>
        <v/>
      </c>
      <c r="G318" s="1" t="str">
        <f t="shared" si="4"/>
        <v/>
      </c>
    </row>
    <row r="319" spans="3:7" x14ac:dyDescent="0.3">
      <c r="C319" t="str">
        <f>IFERROR(IF(B319="","",VLOOKUP(B319,CadProd!$A:$B,2,0)),"")</f>
        <v/>
      </c>
      <c r="D319" t="str">
        <f>IFERROR(IF(B319="","",VLOOKUP(B319,CadProd!$A:$C,3,0)),"")</f>
        <v/>
      </c>
      <c r="G319" s="1" t="str">
        <f t="shared" si="4"/>
        <v/>
      </c>
    </row>
    <row r="320" spans="3:7" x14ac:dyDescent="0.3">
      <c r="C320" t="str">
        <f>IFERROR(IF(B320="","",VLOOKUP(B320,CadProd!$A:$B,2,0)),"")</f>
        <v/>
      </c>
      <c r="D320" t="str">
        <f>IFERROR(IF(B320="","",VLOOKUP(B320,CadProd!$A:$C,3,0)),"")</f>
        <v/>
      </c>
      <c r="G320" s="1" t="str">
        <f t="shared" si="4"/>
        <v/>
      </c>
    </row>
    <row r="321" spans="3:7" x14ac:dyDescent="0.3">
      <c r="C321" t="str">
        <f>IFERROR(IF(B321="","",VLOOKUP(B321,CadProd!$A:$B,2,0)),"")</f>
        <v/>
      </c>
      <c r="D321" t="str">
        <f>IFERROR(IF(B321="","",VLOOKUP(B321,CadProd!$A:$C,3,0)),"")</f>
        <v/>
      </c>
      <c r="G321" s="1" t="str">
        <f t="shared" si="4"/>
        <v/>
      </c>
    </row>
    <row r="322" spans="3:7" x14ac:dyDescent="0.3">
      <c r="C322" t="str">
        <f>IFERROR(IF(B322="","",VLOOKUP(B322,CadProd!$A:$B,2,0)),"")</f>
        <v/>
      </c>
      <c r="D322" t="str">
        <f>IFERROR(IF(B322="","",VLOOKUP(B322,CadProd!$A:$C,3,0)),"")</f>
        <v/>
      </c>
      <c r="G322" s="1" t="str">
        <f t="shared" si="4"/>
        <v/>
      </c>
    </row>
    <row r="323" spans="3:7" x14ac:dyDescent="0.3">
      <c r="C323" t="str">
        <f>IFERROR(IF(B323="","",VLOOKUP(B323,CadProd!$A:$B,2,0)),"")</f>
        <v/>
      </c>
      <c r="D323" t="str">
        <f>IFERROR(IF(B323="","",VLOOKUP(B323,CadProd!$A:$C,3,0)),"")</f>
        <v/>
      </c>
      <c r="G323" s="1" t="str">
        <f t="shared" si="4"/>
        <v/>
      </c>
    </row>
    <row r="324" spans="3:7" x14ac:dyDescent="0.3">
      <c r="C324" t="str">
        <f>IFERROR(IF(B324="","",VLOOKUP(B324,CadProd!$A:$B,2,0)),"")</f>
        <v/>
      </c>
      <c r="D324" t="str">
        <f>IFERROR(IF(B324="","",VLOOKUP(B324,CadProd!$A:$C,3,0)),"")</f>
        <v/>
      </c>
      <c r="G324" s="1" t="str">
        <f t="shared" si="4"/>
        <v/>
      </c>
    </row>
    <row r="325" spans="3:7" x14ac:dyDescent="0.3">
      <c r="C325" t="str">
        <f>IFERROR(IF(B325="","",VLOOKUP(B325,CadProd!$A:$B,2,0)),"")</f>
        <v/>
      </c>
      <c r="D325" t="str">
        <f>IFERROR(IF(B325="","",VLOOKUP(B325,CadProd!$A:$C,3,0)),"")</f>
        <v/>
      </c>
      <c r="G325" s="1" t="str">
        <f t="shared" si="4"/>
        <v/>
      </c>
    </row>
    <row r="326" spans="3:7" x14ac:dyDescent="0.3">
      <c r="C326" t="str">
        <f>IFERROR(IF(B326="","",VLOOKUP(B326,CadProd!$A:$B,2,0)),"")</f>
        <v/>
      </c>
      <c r="D326" t="str">
        <f>IFERROR(IF(B326="","",VLOOKUP(B326,CadProd!$A:$C,3,0)),"")</f>
        <v/>
      </c>
      <c r="G326" s="1" t="str">
        <f t="shared" si="4"/>
        <v/>
      </c>
    </row>
    <row r="327" spans="3:7" x14ac:dyDescent="0.3">
      <c r="C327" t="str">
        <f>IFERROR(IF(B327="","",VLOOKUP(B327,CadProd!$A:$B,2,0)),"")</f>
        <v/>
      </c>
      <c r="D327" t="str">
        <f>IFERROR(IF(B327="","",VLOOKUP(B327,CadProd!$A:$C,3,0)),"")</f>
        <v/>
      </c>
      <c r="G327" s="1" t="str">
        <f t="shared" si="4"/>
        <v/>
      </c>
    </row>
    <row r="328" spans="3:7" x14ac:dyDescent="0.3">
      <c r="C328" t="str">
        <f>IFERROR(IF(B328="","",VLOOKUP(B328,CadProd!$A:$B,2,0)),"")</f>
        <v/>
      </c>
      <c r="D328" t="str">
        <f>IFERROR(IF(B328="","",VLOOKUP(B328,CadProd!$A:$C,3,0)),"")</f>
        <v/>
      </c>
      <c r="G328" s="1" t="str">
        <f t="shared" si="4"/>
        <v/>
      </c>
    </row>
    <row r="329" spans="3:7" x14ac:dyDescent="0.3">
      <c r="C329" t="str">
        <f>IFERROR(IF(B329="","",VLOOKUP(B329,CadProd!$A:$B,2,0)),"")</f>
        <v/>
      </c>
      <c r="D329" t="str">
        <f>IFERROR(IF(B329="","",VLOOKUP(B329,CadProd!$A:$C,3,0)),"")</f>
        <v/>
      </c>
      <c r="G329" s="1" t="str">
        <f t="shared" si="4"/>
        <v/>
      </c>
    </row>
    <row r="330" spans="3:7" x14ac:dyDescent="0.3">
      <c r="C330" t="str">
        <f>IFERROR(IF(B330="","",VLOOKUP(B330,CadProd!$A:$B,2,0)),"")</f>
        <v/>
      </c>
      <c r="D330" t="str">
        <f>IFERROR(IF(B330="","",VLOOKUP(B330,CadProd!$A:$C,3,0)),"")</f>
        <v/>
      </c>
      <c r="G330" s="1" t="str">
        <f t="shared" si="4"/>
        <v/>
      </c>
    </row>
    <row r="331" spans="3:7" x14ac:dyDescent="0.3">
      <c r="C331" t="str">
        <f>IFERROR(IF(B331="","",VLOOKUP(B331,CadProd!$A:$B,2,0)),"")</f>
        <v/>
      </c>
      <c r="D331" t="str">
        <f>IFERROR(IF(B331="","",VLOOKUP(B331,CadProd!$A:$C,3,0)),"")</f>
        <v/>
      </c>
      <c r="G331" s="1" t="str">
        <f t="shared" ref="G331:G394" si="5">IFERROR(IF(B331="","",F331*E331),"")</f>
        <v/>
      </c>
    </row>
    <row r="332" spans="3:7" x14ac:dyDescent="0.3">
      <c r="C332" t="str">
        <f>IFERROR(IF(B332="","",VLOOKUP(B332,CadProd!$A:$B,2,0)),"")</f>
        <v/>
      </c>
      <c r="D332" t="str">
        <f>IFERROR(IF(B332="","",VLOOKUP(B332,CadProd!$A:$C,3,0)),"")</f>
        <v/>
      </c>
      <c r="G332" s="1" t="str">
        <f t="shared" si="5"/>
        <v/>
      </c>
    </row>
    <row r="333" spans="3:7" x14ac:dyDescent="0.3">
      <c r="C333" t="str">
        <f>IFERROR(IF(B333="","",VLOOKUP(B333,CadProd!$A:$B,2,0)),"")</f>
        <v/>
      </c>
      <c r="D333" t="str">
        <f>IFERROR(IF(B333="","",VLOOKUP(B333,CadProd!$A:$C,3,0)),"")</f>
        <v/>
      </c>
      <c r="G333" s="1" t="str">
        <f t="shared" si="5"/>
        <v/>
      </c>
    </row>
    <row r="334" spans="3:7" x14ac:dyDescent="0.3">
      <c r="C334" t="str">
        <f>IFERROR(IF(B334="","",VLOOKUP(B334,CadProd!$A:$B,2,0)),"")</f>
        <v/>
      </c>
      <c r="D334" t="str">
        <f>IFERROR(IF(B334="","",VLOOKUP(B334,CadProd!$A:$C,3,0)),"")</f>
        <v/>
      </c>
      <c r="G334" s="1" t="str">
        <f t="shared" si="5"/>
        <v/>
      </c>
    </row>
    <row r="335" spans="3:7" x14ac:dyDescent="0.3">
      <c r="C335" t="str">
        <f>IFERROR(IF(B335="","",VLOOKUP(B335,CadProd!$A:$B,2,0)),"")</f>
        <v/>
      </c>
      <c r="D335" t="str">
        <f>IFERROR(IF(B335="","",VLOOKUP(B335,CadProd!$A:$C,3,0)),"")</f>
        <v/>
      </c>
      <c r="G335" s="1" t="str">
        <f t="shared" si="5"/>
        <v/>
      </c>
    </row>
    <row r="336" spans="3:7" x14ac:dyDescent="0.3">
      <c r="C336" t="str">
        <f>IFERROR(IF(B336="","",VLOOKUP(B336,CadProd!$A:$B,2,0)),"")</f>
        <v/>
      </c>
      <c r="D336" t="str">
        <f>IFERROR(IF(B336="","",VLOOKUP(B336,CadProd!$A:$C,3,0)),"")</f>
        <v/>
      </c>
      <c r="G336" s="1" t="str">
        <f t="shared" si="5"/>
        <v/>
      </c>
    </row>
    <row r="337" spans="3:7" x14ac:dyDescent="0.3">
      <c r="C337" t="str">
        <f>IFERROR(IF(B337="","",VLOOKUP(B337,CadProd!$A:$B,2,0)),"")</f>
        <v/>
      </c>
      <c r="D337" t="str">
        <f>IFERROR(IF(B337="","",VLOOKUP(B337,CadProd!$A:$C,3,0)),"")</f>
        <v/>
      </c>
      <c r="G337" s="1" t="str">
        <f t="shared" si="5"/>
        <v/>
      </c>
    </row>
    <row r="338" spans="3:7" x14ac:dyDescent="0.3">
      <c r="C338" t="str">
        <f>IFERROR(IF(B338="","",VLOOKUP(B338,CadProd!$A:$B,2,0)),"")</f>
        <v/>
      </c>
      <c r="D338" t="str">
        <f>IFERROR(IF(B338="","",VLOOKUP(B338,CadProd!$A:$C,3,0)),"")</f>
        <v/>
      </c>
      <c r="G338" s="1" t="str">
        <f t="shared" si="5"/>
        <v/>
      </c>
    </row>
    <row r="339" spans="3:7" x14ac:dyDescent="0.3">
      <c r="C339" t="str">
        <f>IFERROR(IF(B339="","",VLOOKUP(B339,CadProd!$A:$B,2,0)),"")</f>
        <v/>
      </c>
      <c r="D339" t="str">
        <f>IFERROR(IF(B339="","",VLOOKUP(B339,CadProd!$A:$C,3,0)),"")</f>
        <v/>
      </c>
      <c r="G339" s="1" t="str">
        <f t="shared" si="5"/>
        <v/>
      </c>
    </row>
    <row r="340" spans="3:7" x14ac:dyDescent="0.3">
      <c r="C340" t="str">
        <f>IFERROR(IF(B340="","",VLOOKUP(B340,CadProd!$A:$B,2,0)),"")</f>
        <v/>
      </c>
      <c r="D340" t="str">
        <f>IFERROR(IF(B340="","",VLOOKUP(B340,CadProd!$A:$C,3,0)),"")</f>
        <v/>
      </c>
      <c r="G340" s="1" t="str">
        <f t="shared" si="5"/>
        <v/>
      </c>
    </row>
    <row r="341" spans="3:7" x14ac:dyDescent="0.3">
      <c r="C341" t="str">
        <f>IFERROR(IF(B341="","",VLOOKUP(B341,CadProd!$A:$B,2,0)),"")</f>
        <v/>
      </c>
      <c r="D341" t="str">
        <f>IFERROR(IF(B341="","",VLOOKUP(B341,CadProd!$A:$C,3,0)),"")</f>
        <v/>
      </c>
      <c r="G341" s="1" t="str">
        <f t="shared" si="5"/>
        <v/>
      </c>
    </row>
    <row r="342" spans="3:7" x14ac:dyDescent="0.3">
      <c r="C342" t="str">
        <f>IFERROR(IF(B342="","",VLOOKUP(B342,CadProd!$A:$B,2,0)),"")</f>
        <v/>
      </c>
      <c r="D342" t="str">
        <f>IFERROR(IF(B342="","",VLOOKUP(B342,CadProd!$A:$C,3,0)),"")</f>
        <v/>
      </c>
      <c r="G342" s="1" t="str">
        <f t="shared" si="5"/>
        <v/>
      </c>
    </row>
    <row r="343" spans="3:7" x14ac:dyDescent="0.3">
      <c r="C343" t="str">
        <f>IFERROR(IF(B343="","",VLOOKUP(B343,CadProd!$A:$B,2,0)),"")</f>
        <v/>
      </c>
      <c r="D343" t="str">
        <f>IFERROR(IF(B343="","",VLOOKUP(B343,CadProd!$A:$C,3,0)),"")</f>
        <v/>
      </c>
      <c r="G343" s="1" t="str">
        <f t="shared" si="5"/>
        <v/>
      </c>
    </row>
    <row r="344" spans="3:7" x14ac:dyDescent="0.3">
      <c r="C344" t="str">
        <f>IFERROR(IF(B344="","",VLOOKUP(B344,CadProd!$A:$B,2,0)),"")</f>
        <v/>
      </c>
      <c r="D344" t="str">
        <f>IFERROR(IF(B344="","",VLOOKUP(B344,CadProd!$A:$C,3,0)),"")</f>
        <v/>
      </c>
      <c r="G344" s="1" t="str">
        <f t="shared" si="5"/>
        <v/>
      </c>
    </row>
    <row r="345" spans="3:7" x14ac:dyDescent="0.3">
      <c r="C345" t="str">
        <f>IFERROR(IF(B345="","",VLOOKUP(B345,CadProd!$A:$B,2,0)),"")</f>
        <v/>
      </c>
      <c r="D345" t="str">
        <f>IFERROR(IF(B345="","",VLOOKUP(B345,CadProd!$A:$C,3,0)),"")</f>
        <v/>
      </c>
      <c r="G345" s="1" t="str">
        <f t="shared" si="5"/>
        <v/>
      </c>
    </row>
    <row r="346" spans="3:7" x14ac:dyDescent="0.3">
      <c r="C346" t="str">
        <f>IFERROR(IF(B346="","",VLOOKUP(B346,CadProd!$A:$B,2,0)),"")</f>
        <v/>
      </c>
      <c r="D346" t="str">
        <f>IFERROR(IF(B346="","",VLOOKUP(B346,CadProd!$A:$C,3,0)),"")</f>
        <v/>
      </c>
      <c r="G346" s="1" t="str">
        <f t="shared" si="5"/>
        <v/>
      </c>
    </row>
    <row r="347" spans="3:7" x14ac:dyDescent="0.3">
      <c r="C347" t="str">
        <f>IFERROR(IF(B347="","",VLOOKUP(B347,CadProd!$A:$B,2,0)),"")</f>
        <v/>
      </c>
      <c r="D347" t="str">
        <f>IFERROR(IF(B347="","",VLOOKUP(B347,CadProd!$A:$C,3,0)),"")</f>
        <v/>
      </c>
      <c r="G347" s="1" t="str">
        <f t="shared" si="5"/>
        <v/>
      </c>
    </row>
    <row r="348" spans="3:7" x14ac:dyDescent="0.3">
      <c r="C348" t="str">
        <f>IFERROR(IF(B348="","",VLOOKUP(B348,CadProd!$A:$B,2,0)),"")</f>
        <v/>
      </c>
      <c r="D348" t="str">
        <f>IFERROR(IF(B348="","",VLOOKUP(B348,CadProd!$A:$C,3,0)),"")</f>
        <v/>
      </c>
      <c r="G348" s="1" t="str">
        <f t="shared" si="5"/>
        <v/>
      </c>
    </row>
    <row r="349" spans="3:7" x14ac:dyDescent="0.3">
      <c r="C349" t="str">
        <f>IFERROR(IF(B349="","",VLOOKUP(B349,CadProd!$A:$B,2,0)),"")</f>
        <v/>
      </c>
      <c r="D349" t="str">
        <f>IFERROR(IF(B349="","",VLOOKUP(B349,CadProd!$A:$C,3,0)),"")</f>
        <v/>
      </c>
      <c r="G349" s="1" t="str">
        <f t="shared" si="5"/>
        <v/>
      </c>
    </row>
    <row r="350" spans="3:7" x14ac:dyDescent="0.3">
      <c r="C350" t="str">
        <f>IFERROR(IF(B350="","",VLOOKUP(B350,CadProd!$A:$B,2,0)),"")</f>
        <v/>
      </c>
      <c r="D350" t="str">
        <f>IFERROR(IF(B350="","",VLOOKUP(B350,CadProd!$A:$C,3,0)),"")</f>
        <v/>
      </c>
      <c r="G350" s="1" t="str">
        <f t="shared" si="5"/>
        <v/>
      </c>
    </row>
    <row r="351" spans="3:7" x14ac:dyDescent="0.3">
      <c r="C351" t="str">
        <f>IFERROR(IF(B351="","",VLOOKUP(B351,CadProd!$A:$B,2,0)),"")</f>
        <v/>
      </c>
      <c r="D351" t="str">
        <f>IFERROR(IF(B351="","",VLOOKUP(B351,CadProd!$A:$C,3,0)),"")</f>
        <v/>
      </c>
      <c r="G351" s="1" t="str">
        <f t="shared" si="5"/>
        <v/>
      </c>
    </row>
    <row r="352" spans="3:7" x14ac:dyDescent="0.3">
      <c r="C352" t="str">
        <f>IFERROR(IF(B352="","",VLOOKUP(B352,CadProd!$A:$B,2,0)),"")</f>
        <v/>
      </c>
      <c r="D352" t="str">
        <f>IFERROR(IF(B352="","",VLOOKUP(B352,CadProd!$A:$C,3,0)),"")</f>
        <v/>
      </c>
      <c r="G352" s="1" t="str">
        <f t="shared" si="5"/>
        <v/>
      </c>
    </row>
    <row r="353" spans="3:7" x14ac:dyDescent="0.3">
      <c r="C353" t="str">
        <f>IFERROR(IF(B353="","",VLOOKUP(B353,CadProd!$A:$B,2,0)),"")</f>
        <v/>
      </c>
      <c r="D353" t="str">
        <f>IFERROR(IF(B353="","",VLOOKUP(B353,CadProd!$A:$C,3,0)),"")</f>
        <v/>
      </c>
      <c r="G353" s="1" t="str">
        <f t="shared" si="5"/>
        <v/>
      </c>
    </row>
    <row r="354" spans="3:7" x14ac:dyDescent="0.3">
      <c r="C354" t="str">
        <f>IFERROR(IF(B354="","",VLOOKUP(B354,CadProd!$A:$B,2,0)),"")</f>
        <v/>
      </c>
      <c r="D354" t="str">
        <f>IFERROR(IF(B354="","",VLOOKUP(B354,CadProd!$A:$C,3,0)),"")</f>
        <v/>
      </c>
      <c r="G354" s="1" t="str">
        <f t="shared" si="5"/>
        <v/>
      </c>
    </row>
    <row r="355" spans="3:7" x14ac:dyDescent="0.3">
      <c r="C355" t="str">
        <f>IFERROR(IF(B355="","",VLOOKUP(B355,CadProd!$A:$B,2,0)),"")</f>
        <v/>
      </c>
      <c r="D355" t="str">
        <f>IFERROR(IF(B355="","",VLOOKUP(B355,CadProd!$A:$C,3,0)),"")</f>
        <v/>
      </c>
      <c r="G355" s="1" t="str">
        <f t="shared" si="5"/>
        <v/>
      </c>
    </row>
    <row r="356" spans="3:7" x14ac:dyDescent="0.3">
      <c r="C356" t="str">
        <f>IFERROR(IF(B356="","",VLOOKUP(B356,CadProd!$A:$B,2,0)),"")</f>
        <v/>
      </c>
      <c r="D356" t="str">
        <f>IFERROR(IF(B356="","",VLOOKUP(B356,CadProd!$A:$C,3,0)),"")</f>
        <v/>
      </c>
      <c r="G356" s="1" t="str">
        <f t="shared" si="5"/>
        <v/>
      </c>
    </row>
    <row r="357" spans="3:7" x14ac:dyDescent="0.3">
      <c r="C357" t="str">
        <f>IFERROR(IF(B357="","",VLOOKUP(B357,CadProd!$A:$B,2,0)),"")</f>
        <v/>
      </c>
      <c r="D357" t="str">
        <f>IFERROR(IF(B357="","",VLOOKUP(B357,CadProd!$A:$C,3,0)),"")</f>
        <v/>
      </c>
      <c r="G357" s="1" t="str">
        <f t="shared" si="5"/>
        <v/>
      </c>
    </row>
    <row r="358" spans="3:7" x14ac:dyDescent="0.3">
      <c r="C358" t="str">
        <f>IFERROR(IF(B358="","",VLOOKUP(B358,CadProd!$A:$B,2,0)),"")</f>
        <v/>
      </c>
      <c r="D358" t="str">
        <f>IFERROR(IF(B358="","",VLOOKUP(B358,CadProd!$A:$C,3,0)),"")</f>
        <v/>
      </c>
      <c r="G358" s="1" t="str">
        <f t="shared" si="5"/>
        <v/>
      </c>
    </row>
    <row r="359" spans="3:7" x14ac:dyDescent="0.3">
      <c r="C359" t="str">
        <f>IFERROR(IF(B359="","",VLOOKUP(B359,CadProd!$A:$B,2,0)),"")</f>
        <v/>
      </c>
      <c r="D359" t="str">
        <f>IFERROR(IF(B359="","",VLOOKUP(B359,CadProd!$A:$C,3,0)),"")</f>
        <v/>
      </c>
      <c r="G359" s="1" t="str">
        <f t="shared" si="5"/>
        <v/>
      </c>
    </row>
    <row r="360" spans="3:7" x14ac:dyDescent="0.3">
      <c r="C360" t="str">
        <f>IFERROR(IF(B360="","",VLOOKUP(B360,CadProd!$A:$B,2,0)),"")</f>
        <v/>
      </c>
      <c r="D360" t="str">
        <f>IFERROR(IF(B360="","",VLOOKUP(B360,CadProd!$A:$C,3,0)),"")</f>
        <v/>
      </c>
      <c r="G360" s="1" t="str">
        <f t="shared" si="5"/>
        <v/>
      </c>
    </row>
    <row r="361" spans="3:7" x14ac:dyDescent="0.3">
      <c r="C361" t="str">
        <f>IFERROR(IF(B361="","",VLOOKUP(B361,CadProd!$A:$B,2,0)),"")</f>
        <v/>
      </c>
      <c r="D361" t="str">
        <f>IFERROR(IF(B361="","",VLOOKUP(B361,CadProd!$A:$C,3,0)),"")</f>
        <v/>
      </c>
      <c r="G361" s="1" t="str">
        <f t="shared" si="5"/>
        <v/>
      </c>
    </row>
    <row r="362" spans="3:7" x14ac:dyDescent="0.3">
      <c r="C362" t="str">
        <f>IFERROR(IF(B362="","",VLOOKUP(B362,CadProd!$A:$B,2,0)),"")</f>
        <v/>
      </c>
      <c r="D362" t="str">
        <f>IFERROR(IF(B362="","",VLOOKUP(B362,CadProd!$A:$C,3,0)),"")</f>
        <v/>
      </c>
      <c r="G362" s="1" t="str">
        <f t="shared" si="5"/>
        <v/>
      </c>
    </row>
    <row r="363" spans="3:7" x14ac:dyDescent="0.3">
      <c r="C363" t="str">
        <f>IFERROR(IF(B363="","",VLOOKUP(B363,CadProd!$A:$B,2,0)),"")</f>
        <v/>
      </c>
      <c r="D363" t="str">
        <f>IFERROR(IF(B363="","",VLOOKUP(B363,CadProd!$A:$C,3,0)),"")</f>
        <v/>
      </c>
      <c r="G363" s="1" t="str">
        <f t="shared" si="5"/>
        <v/>
      </c>
    </row>
    <row r="364" spans="3:7" x14ac:dyDescent="0.3">
      <c r="C364" t="str">
        <f>IFERROR(IF(B364="","",VLOOKUP(B364,CadProd!$A:$B,2,0)),"")</f>
        <v/>
      </c>
      <c r="D364" t="str">
        <f>IFERROR(IF(B364="","",VLOOKUP(B364,CadProd!$A:$C,3,0)),"")</f>
        <v/>
      </c>
      <c r="G364" s="1" t="str">
        <f t="shared" si="5"/>
        <v/>
      </c>
    </row>
    <row r="365" spans="3:7" x14ac:dyDescent="0.3">
      <c r="C365" t="str">
        <f>IFERROR(IF(B365="","",VLOOKUP(B365,CadProd!$A:$B,2,0)),"")</f>
        <v/>
      </c>
      <c r="D365" t="str">
        <f>IFERROR(IF(B365="","",VLOOKUP(B365,CadProd!$A:$C,3,0)),"")</f>
        <v/>
      </c>
      <c r="G365" s="1" t="str">
        <f t="shared" si="5"/>
        <v/>
      </c>
    </row>
    <row r="366" spans="3:7" x14ac:dyDescent="0.3">
      <c r="C366" t="str">
        <f>IFERROR(IF(B366="","",VLOOKUP(B366,CadProd!$A:$B,2,0)),"")</f>
        <v/>
      </c>
      <c r="D366" t="str">
        <f>IFERROR(IF(B366="","",VLOOKUP(B366,CadProd!$A:$C,3,0)),"")</f>
        <v/>
      </c>
      <c r="G366" s="1" t="str">
        <f t="shared" si="5"/>
        <v/>
      </c>
    </row>
    <row r="367" spans="3:7" x14ac:dyDescent="0.3">
      <c r="C367" t="str">
        <f>IFERROR(IF(B367="","",VLOOKUP(B367,CadProd!$A:$B,2,0)),"")</f>
        <v/>
      </c>
      <c r="D367" t="str">
        <f>IFERROR(IF(B367="","",VLOOKUP(B367,CadProd!$A:$C,3,0)),"")</f>
        <v/>
      </c>
      <c r="G367" s="1" t="str">
        <f t="shared" si="5"/>
        <v/>
      </c>
    </row>
    <row r="368" spans="3:7" x14ac:dyDescent="0.3">
      <c r="C368" t="str">
        <f>IFERROR(IF(B368="","",VLOOKUP(B368,CadProd!$A:$B,2,0)),"")</f>
        <v/>
      </c>
      <c r="D368" t="str">
        <f>IFERROR(IF(B368="","",VLOOKUP(B368,CadProd!$A:$C,3,0)),"")</f>
        <v/>
      </c>
      <c r="G368" s="1" t="str">
        <f t="shared" si="5"/>
        <v/>
      </c>
    </row>
    <row r="369" spans="3:7" x14ac:dyDescent="0.3">
      <c r="C369" t="str">
        <f>IFERROR(IF(B369="","",VLOOKUP(B369,CadProd!$A:$B,2,0)),"")</f>
        <v/>
      </c>
      <c r="D369" t="str">
        <f>IFERROR(IF(B369="","",VLOOKUP(B369,CadProd!$A:$C,3,0)),"")</f>
        <v/>
      </c>
      <c r="G369" s="1" t="str">
        <f t="shared" si="5"/>
        <v/>
      </c>
    </row>
    <row r="370" spans="3:7" x14ac:dyDescent="0.3">
      <c r="C370" t="str">
        <f>IFERROR(IF(B370="","",VLOOKUP(B370,CadProd!$A:$B,2,0)),"")</f>
        <v/>
      </c>
      <c r="D370" t="str">
        <f>IFERROR(IF(B370="","",VLOOKUP(B370,CadProd!$A:$C,3,0)),"")</f>
        <v/>
      </c>
      <c r="G370" s="1" t="str">
        <f t="shared" si="5"/>
        <v/>
      </c>
    </row>
    <row r="371" spans="3:7" x14ac:dyDescent="0.3">
      <c r="C371" t="str">
        <f>IFERROR(IF(B371="","",VLOOKUP(B371,CadProd!$A:$B,2,0)),"")</f>
        <v/>
      </c>
      <c r="D371" t="str">
        <f>IFERROR(IF(B371="","",VLOOKUP(B371,CadProd!$A:$C,3,0)),"")</f>
        <v/>
      </c>
      <c r="G371" s="1" t="str">
        <f t="shared" si="5"/>
        <v/>
      </c>
    </row>
    <row r="372" spans="3:7" x14ac:dyDescent="0.3">
      <c r="C372" t="str">
        <f>IFERROR(IF(B372="","",VLOOKUP(B372,CadProd!$A:$B,2,0)),"")</f>
        <v/>
      </c>
      <c r="D372" t="str">
        <f>IFERROR(IF(B372="","",VLOOKUP(B372,CadProd!$A:$C,3,0)),"")</f>
        <v/>
      </c>
      <c r="G372" s="1" t="str">
        <f t="shared" si="5"/>
        <v/>
      </c>
    </row>
    <row r="373" spans="3:7" x14ac:dyDescent="0.3">
      <c r="C373" t="str">
        <f>IFERROR(IF(B373="","",VLOOKUP(B373,CadProd!$A:$B,2,0)),"")</f>
        <v/>
      </c>
      <c r="D373" t="str">
        <f>IFERROR(IF(B373="","",VLOOKUP(B373,CadProd!$A:$C,3,0)),"")</f>
        <v/>
      </c>
      <c r="G373" s="1" t="str">
        <f t="shared" si="5"/>
        <v/>
      </c>
    </row>
    <row r="374" spans="3:7" x14ac:dyDescent="0.3">
      <c r="C374" t="str">
        <f>IFERROR(IF(B374="","",VLOOKUP(B374,CadProd!$A:$B,2,0)),"")</f>
        <v/>
      </c>
      <c r="D374" t="str">
        <f>IFERROR(IF(B374="","",VLOOKUP(B374,CadProd!$A:$C,3,0)),"")</f>
        <v/>
      </c>
      <c r="G374" s="1" t="str">
        <f t="shared" si="5"/>
        <v/>
      </c>
    </row>
    <row r="375" spans="3:7" x14ac:dyDescent="0.3">
      <c r="C375" t="str">
        <f>IFERROR(IF(B375="","",VLOOKUP(B375,CadProd!$A:$B,2,0)),"")</f>
        <v/>
      </c>
      <c r="D375" t="str">
        <f>IFERROR(IF(B375="","",VLOOKUP(B375,CadProd!$A:$C,3,0)),"")</f>
        <v/>
      </c>
      <c r="G375" s="1" t="str">
        <f t="shared" si="5"/>
        <v/>
      </c>
    </row>
    <row r="376" spans="3:7" x14ac:dyDescent="0.3">
      <c r="C376" t="str">
        <f>IFERROR(IF(B376="","",VLOOKUP(B376,CadProd!$A:$B,2,0)),"")</f>
        <v/>
      </c>
      <c r="D376" t="str">
        <f>IFERROR(IF(B376="","",VLOOKUP(B376,CadProd!$A:$C,3,0)),"")</f>
        <v/>
      </c>
      <c r="G376" s="1" t="str">
        <f t="shared" si="5"/>
        <v/>
      </c>
    </row>
    <row r="377" spans="3:7" x14ac:dyDescent="0.3">
      <c r="C377" t="str">
        <f>IFERROR(IF(B377="","",VLOOKUP(B377,CadProd!$A:$B,2,0)),"")</f>
        <v/>
      </c>
      <c r="D377" t="str">
        <f>IFERROR(IF(B377="","",VLOOKUP(B377,CadProd!$A:$C,3,0)),"")</f>
        <v/>
      </c>
      <c r="G377" s="1" t="str">
        <f t="shared" si="5"/>
        <v/>
      </c>
    </row>
    <row r="378" spans="3:7" x14ac:dyDescent="0.3">
      <c r="C378" t="str">
        <f>IFERROR(IF(B378="","",VLOOKUP(B378,CadProd!$A:$B,2,0)),"")</f>
        <v/>
      </c>
      <c r="D378" t="str">
        <f>IFERROR(IF(B378="","",VLOOKUP(B378,CadProd!$A:$C,3,0)),"")</f>
        <v/>
      </c>
      <c r="G378" s="1" t="str">
        <f t="shared" si="5"/>
        <v/>
      </c>
    </row>
    <row r="379" spans="3:7" x14ac:dyDescent="0.3">
      <c r="C379" t="str">
        <f>IFERROR(IF(B379="","",VLOOKUP(B379,CadProd!$A:$B,2,0)),"")</f>
        <v/>
      </c>
      <c r="D379" t="str">
        <f>IFERROR(IF(B379="","",VLOOKUP(B379,CadProd!$A:$C,3,0)),"")</f>
        <v/>
      </c>
      <c r="G379" s="1" t="str">
        <f t="shared" si="5"/>
        <v/>
      </c>
    </row>
    <row r="380" spans="3:7" x14ac:dyDescent="0.3">
      <c r="C380" t="str">
        <f>IFERROR(IF(B380="","",VLOOKUP(B380,CadProd!$A:$B,2,0)),"")</f>
        <v/>
      </c>
      <c r="D380" t="str">
        <f>IFERROR(IF(B380="","",VLOOKUP(B380,CadProd!$A:$C,3,0)),"")</f>
        <v/>
      </c>
      <c r="G380" s="1" t="str">
        <f t="shared" si="5"/>
        <v/>
      </c>
    </row>
    <row r="381" spans="3:7" x14ac:dyDescent="0.3">
      <c r="C381" t="str">
        <f>IFERROR(IF(B381="","",VLOOKUP(B381,CadProd!$A:$B,2,0)),"")</f>
        <v/>
      </c>
      <c r="D381" t="str">
        <f>IFERROR(IF(B381="","",VLOOKUP(B381,CadProd!$A:$C,3,0)),"")</f>
        <v/>
      </c>
      <c r="G381" s="1" t="str">
        <f t="shared" si="5"/>
        <v/>
      </c>
    </row>
    <row r="382" spans="3:7" x14ac:dyDescent="0.3">
      <c r="C382" t="str">
        <f>IFERROR(IF(B382="","",VLOOKUP(B382,CadProd!$A:$B,2,0)),"")</f>
        <v/>
      </c>
      <c r="D382" t="str">
        <f>IFERROR(IF(B382="","",VLOOKUP(B382,CadProd!$A:$C,3,0)),"")</f>
        <v/>
      </c>
      <c r="G382" s="1" t="str">
        <f t="shared" si="5"/>
        <v/>
      </c>
    </row>
    <row r="383" spans="3:7" x14ac:dyDescent="0.3">
      <c r="C383" t="str">
        <f>IFERROR(IF(B383="","",VLOOKUP(B383,CadProd!$A:$B,2,0)),"")</f>
        <v/>
      </c>
      <c r="D383" t="str">
        <f>IFERROR(IF(B383="","",VLOOKUP(B383,CadProd!$A:$C,3,0)),"")</f>
        <v/>
      </c>
      <c r="G383" s="1" t="str">
        <f t="shared" si="5"/>
        <v/>
      </c>
    </row>
    <row r="384" spans="3:7" x14ac:dyDescent="0.3">
      <c r="C384" t="str">
        <f>IFERROR(IF(B384="","",VLOOKUP(B384,CadProd!$A:$B,2,0)),"")</f>
        <v/>
      </c>
      <c r="D384" t="str">
        <f>IFERROR(IF(B384="","",VLOOKUP(B384,CadProd!$A:$C,3,0)),"")</f>
        <v/>
      </c>
      <c r="G384" s="1" t="str">
        <f t="shared" si="5"/>
        <v/>
      </c>
    </row>
    <row r="385" spans="3:7" x14ac:dyDescent="0.3">
      <c r="C385" t="str">
        <f>IFERROR(IF(B385="","",VLOOKUP(B385,CadProd!$A:$B,2,0)),"")</f>
        <v/>
      </c>
      <c r="D385" t="str">
        <f>IFERROR(IF(B385="","",VLOOKUP(B385,CadProd!$A:$C,3,0)),"")</f>
        <v/>
      </c>
      <c r="G385" s="1" t="str">
        <f t="shared" si="5"/>
        <v/>
      </c>
    </row>
    <row r="386" spans="3:7" x14ac:dyDescent="0.3">
      <c r="C386" t="str">
        <f>IFERROR(IF(B386="","",VLOOKUP(B386,CadProd!$A:$B,2,0)),"")</f>
        <v/>
      </c>
      <c r="D386" t="str">
        <f>IFERROR(IF(B386="","",VLOOKUP(B386,CadProd!$A:$C,3,0)),"")</f>
        <v/>
      </c>
      <c r="G386" s="1" t="str">
        <f t="shared" si="5"/>
        <v/>
      </c>
    </row>
    <row r="387" spans="3:7" x14ac:dyDescent="0.3">
      <c r="C387" t="str">
        <f>IFERROR(IF(B387="","",VLOOKUP(B387,CadProd!$A:$B,2,0)),"")</f>
        <v/>
      </c>
      <c r="D387" t="str">
        <f>IFERROR(IF(B387="","",VLOOKUP(B387,CadProd!$A:$C,3,0)),"")</f>
        <v/>
      </c>
      <c r="G387" s="1" t="str">
        <f t="shared" si="5"/>
        <v/>
      </c>
    </row>
    <row r="388" spans="3:7" x14ac:dyDescent="0.3">
      <c r="C388" t="str">
        <f>IFERROR(IF(B388="","",VLOOKUP(B388,CadProd!$A:$B,2,0)),"")</f>
        <v/>
      </c>
      <c r="D388" t="str">
        <f>IFERROR(IF(B388="","",VLOOKUP(B388,CadProd!$A:$C,3,0)),"")</f>
        <v/>
      </c>
      <c r="G388" s="1" t="str">
        <f t="shared" si="5"/>
        <v/>
      </c>
    </row>
    <row r="389" spans="3:7" x14ac:dyDescent="0.3">
      <c r="C389" t="str">
        <f>IFERROR(IF(B389="","",VLOOKUP(B389,CadProd!$A:$B,2,0)),"")</f>
        <v/>
      </c>
      <c r="D389" t="str">
        <f>IFERROR(IF(B389="","",VLOOKUP(B389,CadProd!$A:$C,3,0)),"")</f>
        <v/>
      </c>
      <c r="G389" s="1" t="str">
        <f t="shared" si="5"/>
        <v/>
      </c>
    </row>
    <row r="390" spans="3:7" x14ac:dyDescent="0.3">
      <c r="C390" t="str">
        <f>IFERROR(IF(B390="","",VLOOKUP(B390,CadProd!$A:$B,2,0)),"")</f>
        <v/>
      </c>
      <c r="D390" t="str">
        <f>IFERROR(IF(B390="","",VLOOKUP(B390,CadProd!$A:$C,3,0)),"")</f>
        <v/>
      </c>
      <c r="G390" s="1" t="str">
        <f t="shared" si="5"/>
        <v/>
      </c>
    </row>
    <row r="391" spans="3:7" x14ac:dyDescent="0.3">
      <c r="C391" t="str">
        <f>IFERROR(IF(B391="","",VLOOKUP(B391,CadProd!$A:$B,2,0)),"")</f>
        <v/>
      </c>
      <c r="D391" t="str">
        <f>IFERROR(IF(B391="","",VLOOKUP(B391,CadProd!$A:$C,3,0)),"")</f>
        <v/>
      </c>
      <c r="G391" s="1" t="str">
        <f t="shared" si="5"/>
        <v/>
      </c>
    </row>
    <row r="392" spans="3:7" x14ac:dyDescent="0.3">
      <c r="C392" t="str">
        <f>IFERROR(IF(B392="","",VLOOKUP(B392,CadProd!$A:$B,2,0)),"")</f>
        <v/>
      </c>
      <c r="D392" t="str">
        <f>IFERROR(IF(B392="","",VLOOKUP(B392,CadProd!$A:$C,3,0)),"")</f>
        <v/>
      </c>
      <c r="G392" s="1" t="str">
        <f t="shared" si="5"/>
        <v/>
      </c>
    </row>
    <row r="393" spans="3:7" x14ac:dyDescent="0.3">
      <c r="C393" t="str">
        <f>IFERROR(IF(B393="","",VLOOKUP(B393,CadProd!$A:$B,2,0)),"")</f>
        <v/>
      </c>
      <c r="D393" t="str">
        <f>IFERROR(IF(B393="","",VLOOKUP(B393,CadProd!$A:$C,3,0)),"")</f>
        <v/>
      </c>
      <c r="G393" s="1" t="str">
        <f t="shared" si="5"/>
        <v/>
      </c>
    </row>
    <row r="394" spans="3:7" x14ac:dyDescent="0.3">
      <c r="C394" t="str">
        <f>IFERROR(IF(B394="","",VLOOKUP(B394,CadProd!$A:$B,2,0)),"")</f>
        <v/>
      </c>
      <c r="D394" t="str">
        <f>IFERROR(IF(B394="","",VLOOKUP(B394,CadProd!$A:$C,3,0)),"")</f>
        <v/>
      </c>
      <c r="G394" s="1" t="str">
        <f t="shared" si="5"/>
        <v/>
      </c>
    </row>
    <row r="395" spans="3:7" x14ac:dyDescent="0.3">
      <c r="C395" t="str">
        <f>IFERROR(IF(B395="","",VLOOKUP(B395,CadProd!$A:$B,2,0)),"")</f>
        <v/>
      </c>
      <c r="D395" t="str">
        <f>IFERROR(IF(B395="","",VLOOKUP(B395,CadProd!$A:$C,3,0)),"")</f>
        <v/>
      </c>
      <c r="G395" s="1" t="str">
        <f t="shared" ref="G395:G458" si="6">IFERROR(IF(B395="","",F395*E395),"")</f>
        <v/>
      </c>
    </row>
    <row r="396" spans="3:7" x14ac:dyDescent="0.3">
      <c r="C396" t="str">
        <f>IFERROR(IF(B396="","",VLOOKUP(B396,CadProd!$A:$B,2,0)),"")</f>
        <v/>
      </c>
      <c r="D396" t="str">
        <f>IFERROR(IF(B396="","",VLOOKUP(B396,CadProd!$A:$C,3,0)),"")</f>
        <v/>
      </c>
      <c r="G396" s="1" t="str">
        <f t="shared" si="6"/>
        <v/>
      </c>
    </row>
    <row r="397" spans="3:7" x14ac:dyDescent="0.3">
      <c r="C397" t="str">
        <f>IFERROR(IF(B397="","",VLOOKUP(B397,CadProd!$A:$B,2,0)),"")</f>
        <v/>
      </c>
      <c r="D397" t="str">
        <f>IFERROR(IF(B397="","",VLOOKUP(B397,CadProd!$A:$C,3,0)),"")</f>
        <v/>
      </c>
      <c r="G397" s="1" t="str">
        <f t="shared" si="6"/>
        <v/>
      </c>
    </row>
    <row r="398" spans="3:7" x14ac:dyDescent="0.3">
      <c r="C398" t="str">
        <f>IFERROR(IF(B398="","",VLOOKUP(B398,CadProd!$A:$B,2,0)),"")</f>
        <v/>
      </c>
      <c r="D398" t="str">
        <f>IFERROR(IF(B398="","",VLOOKUP(B398,CadProd!$A:$C,3,0)),"")</f>
        <v/>
      </c>
      <c r="G398" s="1" t="str">
        <f t="shared" si="6"/>
        <v/>
      </c>
    </row>
    <row r="399" spans="3:7" x14ac:dyDescent="0.3">
      <c r="C399" t="str">
        <f>IFERROR(IF(B399="","",VLOOKUP(B399,CadProd!$A:$B,2,0)),"")</f>
        <v/>
      </c>
      <c r="D399" t="str">
        <f>IFERROR(IF(B399="","",VLOOKUP(B399,CadProd!$A:$C,3,0)),"")</f>
        <v/>
      </c>
      <c r="G399" s="1" t="str">
        <f t="shared" si="6"/>
        <v/>
      </c>
    </row>
    <row r="400" spans="3:7" x14ac:dyDescent="0.3">
      <c r="C400" t="str">
        <f>IFERROR(IF(B400="","",VLOOKUP(B400,CadProd!$A:$B,2,0)),"")</f>
        <v/>
      </c>
      <c r="D400" t="str">
        <f>IFERROR(IF(B400="","",VLOOKUP(B400,CadProd!$A:$C,3,0)),"")</f>
        <v/>
      </c>
      <c r="G400" s="1" t="str">
        <f t="shared" si="6"/>
        <v/>
      </c>
    </row>
    <row r="401" spans="3:7" x14ac:dyDescent="0.3">
      <c r="C401" t="str">
        <f>IFERROR(IF(B401="","",VLOOKUP(B401,CadProd!$A:$B,2,0)),"")</f>
        <v/>
      </c>
      <c r="D401" t="str">
        <f>IFERROR(IF(B401="","",VLOOKUP(B401,CadProd!$A:$C,3,0)),"")</f>
        <v/>
      </c>
      <c r="G401" s="1" t="str">
        <f t="shared" si="6"/>
        <v/>
      </c>
    </row>
    <row r="402" spans="3:7" x14ac:dyDescent="0.3">
      <c r="C402" t="str">
        <f>IFERROR(IF(B402="","",VLOOKUP(B402,CadProd!$A:$B,2,0)),"")</f>
        <v/>
      </c>
      <c r="D402" t="str">
        <f>IFERROR(IF(B402="","",VLOOKUP(B402,CadProd!$A:$C,3,0)),"")</f>
        <v/>
      </c>
      <c r="G402" s="1" t="str">
        <f t="shared" si="6"/>
        <v/>
      </c>
    </row>
    <row r="403" spans="3:7" x14ac:dyDescent="0.3">
      <c r="C403" t="str">
        <f>IFERROR(IF(B403="","",VLOOKUP(B403,CadProd!$A:$B,2,0)),"")</f>
        <v/>
      </c>
      <c r="D403" t="str">
        <f>IFERROR(IF(B403="","",VLOOKUP(B403,CadProd!$A:$C,3,0)),"")</f>
        <v/>
      </c>
      <c r="G403" s="1" t="str">
        <f t="shared" si="6"/>
        <v/>
      </c>
    </row>
    <row r="404" spans="3:7" x14ac:dyDescent="0.3">
      <c r="C404" t="str">
        <f>IFERROR(IF(B404="","",VLOOKUP(B404,CadProd!$A:$B,2,0)),"")</f>
        <v/>
      </c>
      <c r="D404" t="str">
        <f>IFERROR(IF(B404="","",VLOOKUP(B404,CadProd!$A:$C,3,0)),"")</f>
        <v/>
      </c>
      <c r="G404" s="1" t="str">
        <f t="shared" si="6"/>
        <v/>
      </c>
    </row>
    <row r="405" spans="3:7" x14ac:dyDescent="0.3">
      <c r="C405" t="str">
        <f>IFERROR(IF(B405="","",VLOOKUP(B405,CadProd!$A:$B,2,0)),"")</f>
        <v/>
      </c>
      <c r="D405" t="str">
        <f>IFERROR(IF(B405="","",VLOOKUP(B405,CadProd!$A:$C,3,0)),"")</f>
        <v/>
      </c>
      <c r="G405" s="1" t="str">
        <f t="shared" si="6"/>
        <v/>
      </c>
    </row>
    <row r="406" spans="3:7" x14ac:dyDescent="0.3">
      <c r="C406" t="str">
        <f>IFERROR(IF(B406="","",VLOOKUP(B406,CadProd!$A:$B,2,0)),"")</f>
        <v/>
      </c>
      <c r="D406" t="str">
        <f>IFERROR(IF(B406="","",VLOOKUP(B406,CadProd!$A:$C,3,0)),"")</f>
        <v/>
      </c>
      <c r="G406" s="1" t="str">
        <f t="shared" si="6"/>
        <v/>
      </c>
    </row>
    <row r="407" spans="3:7" x14ac:dyDescent="0.3">
      <c r="C407" t="str">
        <f>IFERROR(IF(B407="","",VLOOKUP(B407,CadProd!$A:$B,2,0)),"")</f>
        <v/>
      </c>
      <c r="D407" t="str">
        <f>IFERROR(IF(B407="","",VLOOKUP(B407,CadProd!$A:$C,3,0)),"")</f>
        <v/>
      </c>
      <c r="G407" s="1" t="str">
        <f t="shared" si="6"/>
        <v/>
      </c>
    </row>
    <row r="408" spans="3:7" x14ac:dyDescent="0.3">
      <c r="C408" t="str">
        <f>IFERROR(IF(B408="","",VLOOKUP(B408,CadProd!$A:$B,2,0)),"")</f>
        <v/>
      </c>
      <c r="D408" t="str">
        <f>IFERROR(IF(B408="","",VLOOKUP(B408,CadProd!$A:$C,3,0)),"")</f>
        <v/>
      </c>
      <c r="G408" s="1" t="str">
        <f t="shared" si="6"/>
        <v/>
      </c>
    </row>
    <row r="409" spans="3:7" x14ac:dyDescent="0.3">
      <c r="C409" t="str">
        <f>IFERROR(IF(B409="","",VLOOKUP(B409,CadProd!$A:$B,2,0)),"")</f>
        <v/>
      </c>
      <c r="D409" t="str">
        <f>IFERROR(IF(B409="","",VLOOKUP(B409,CadProd!$A:$C,3,0)),"")</f>
        <v/>
      </c>
      <c r="G409" s="1" t="str">
        <f t="shared" si="6"/>
        <v/>
      </c>
    </row>
    <row r="410" spans="3:7" x14ac:dyDescent="0.3">
      <c r="C410" t="str">
        <f>IFERROR(IF(B410="","",VLOOKUP(B410,CadProd!$A:$B,2,0)),"")</f>
        <v/>
      </c>
      <c r="D410" t="str">
        <f>IFERROR(IF(B410="","",VLOOKUP(B410,CadProd!$A:$C,3,0)),"")</f>
        <v/>
      </c>
      <c r="G410" s="1" t="str">
        <f t="shared" si="6"/>
        <v/>
      </c>
    </row>
    <row r="411" spans="3:7" x14ac:dyDescent="0.3">
      <c r="C411" t="str">
        <f>IFERROR(IF(B411="","",VLOOKUP(B411,CadProd!$A:$B,2,0)),"")</f>
        <v/>
      </c>
      <c r="D411" t="str">
        <f>IFERROR(IF(B411="","",VLOOKUP(B411,CadProd!$A:$C,3,0)),"")</f>
        <v/>
      </c>
      <c r="G411" s="1" t="str">
        <f t="shared" si="6"/>
        <v/>
      </c>
    </row>
    <row r="412" spans="3:7" x14ac:dyDescent="0.3">
      <c r="C412" t="str">
        <f>IFERROR(IF(B412="","",VLOOKUP(B412,CadProd!$A:$B,2,0)),"")</f>
        <v/>
      </c>
      <c r="D412" t="str">
        <f>IFERROR(IF(B412="","",VLOOKUP(B412,CadProd!$A:$C,3,0)),"")</f>
        <v/>
      </c>
      <c r="G412" s="1" t="str">
        <f t="shared" si="6"/>
        <v/>
      </c>
    </row>
    <row r="413" spans="3:7" x14ac:dyDescent="0.3">
      <c r="C413" t="str">
        <f>IFERROR(IF(B413="","",VLOOKUP(B413,CadProd!$A:$B,2,0)),"")</f>
        <v/>
      </c>
      <c r="D413" t="str">
        <f>IFERROR(IF(B413="","",VLOOKUP(B413,CadProd!$A:$C,3,0)),"")</f>
        <v/>
      </c>
      <c r="G413" s="1" t="str">
        <f t="shared" si="6"/>
        <v/>
      </c>
    </row>
    <row r="414" spans="3:7" x14ac:dyDescent="0.3">
      <c r="C414" t="str">
        <f>IFERROR(IF(B414="","",VLOOKUP(B414,CadProd!$A:$B,2,0)),"")</f>
        <v/>
      </c>
      <c r="D414" t="str">
        <f>IFERROR(IF(B414="","",VLOOKUP(B414,CadProd!$A:$C,3,0)),"")</f>
        <v/>
      </c>
      <c r="G414" s="1" t="str">
        <f t="shared" si="6"/>
        <v/>
      </c>
    </row>
    <row r="415" spans="3:7" x14ac:dyDescent="0.3">
      <c r="C415" t="str">
        <f>IFERROR(IF(B415="","",VLOOKUP(B415,CadProd!$A:$B,2,0)),"")</f>
        <v/>
      </c>
      <c r="D415" t="str">
        <f>IFERROR(IF(B415="","",VLOOKUP(B415,CadProd!$A:$C,3,0)),"")</f>
        <v/>
      </c>
      <c r="G415" s="1" t="str">
        <f t="shared" si="6"/>
        <v/>
      </c>
    </row>
    <row r="416" spans="3:7" x14ac:dyDescent="0.3">
      <c r="C416" t="str">
        <f>IFERROR(IF(B416="","",VLOOKUP(B416,CadProd!$A:$B,2,0)),"")</f>
        <v/>
      </c>
      <c r="D416" t="str">
        <f>IFERROR(IF(B416="","",VLOOKUP(B416,CadProd!$A:$C,3,0)),"")</f>
        <v/>
      </c>
      <c r="G416" s="1" t="str">
        <f t="shared" si="6"/>
        <v/>
      </c>
    </row>
    <row r="417" spans="3:7" x14ac:dyDescent="0.3">
      <c r="C417" t="str">
        <f>IFERROR(IF(B417="","",VLOOKUP(B417,CadProd!$A:$B,2,0)),"")</f>
        <v/>
      </c>
      <c r="D417" t="str">
        <f>IFERROR(IF(B417="","",VLOOKUP(B417,CadProd!$A:$C,3,0)),"")</f>
        <v/>
      </c>
      <c r="G417" s="1" t="str">
        <f t="shared" si="6"/>
        <v/>
      </c>
    </row>
    <row r="418" spans="3:7" x14ac:dyDescent="0.3">
      <c r="C418" t="str">
        <f>IFERROR(IF(B418="","",VLOOKUP(B418,CadProd!$A:$B,2,0)),"")</f>
        <v/>
      </c>
      <c r="D418" t="str">
        <f>IFERROR(IF(B418="","",VLOOKUP(B418,CadProd!$A:$C,3,0)),"")</f>
        <v/>
      </c>
      <c r="G418" s="1" t="str">
        <f t="shared" si="6"/>
        <v/>
      </c>
    </row>
    <row r="419" spans="3:7" x14ac:dyDescent="0.3">
      <c r="C419" t="str">
        <f>IFERROR(IF(B419="","",VLOOKUP(B419,CadProd!$A:$B,2,0)),"")</f>
        <v/>
      </c>
      <c r="D419" t="str">
        <f>IFERROR(IF(B419="","",VLOOKUP(B419,CadProd!$A:$C,3,0)),"")</f>
        <v/>
      </c>
      <c r="G419" s="1" t="str">
        <f t="shared" si="6"/>
        <v/>
      </c>
    </row>
    <row r="420" spans="3:7" x14ac:dyDescent="0.3">
      <c r="C420" t="str">
        <f>IFERROR(IF(B420="","",VLOOKUP(B420,CadProd!$A:$B,2,0)),"")</f>
        <v/>
      </c>
      <c r="D420" t="str">
        <f>IFERROR(IF(B420="","",VLOOKUP(B420,CadProd!$A:$C,3,0)),"")</f>
        <v/>
      </c>
      <c r="G420" s="1" t="str">
        <f t="shared" si="6"/>
        <v/>
      </c>
    </row>
    <row r="421" spans="3:7" x14ac:dyDescent="0.3">
      <c r="C421" t="str">
        <f>IFERROR(IF(B421="","",VLOOKUP(B421,CadProd!$A:$B,2,0)),"")</f>
        <v/>
      </c>
      <c r="D421" t="str">
        <f>IFERROR(IF(B421="","",VLOOKUP(B421,CadProd!$A:$C,3,0)),"")</f>
        <v/>
      </c>
      <c r="G421" s="1" t="str">
        <f t="shared" si="6"/>
        <v/>
      </c>
    </row>
    <row r="422" spans="3:7" x14ac:dyDescent="0.3">
      <c r="C422" t="str">
        <f>IFERROR(IF(B422="","",VLOOKUP(B422,CadProd!$A:$B,2,0)),"")</f>
        <v/>
      </c>
      <c r="D422" t="str">
        <f>IFERROR(IF(B422="","",VLOOKUP(B422,CadProd!$A:$C,3,0)),"")</f>
        <v/>
      </c>
      <c r="G422" s="1" t="str">
        <f t="shared" si="6"/>
        <v/>
      </c>
    </row>
    <row r="423" spans="3:7" x14ac:dyDescent="0.3">
      <c r="C423" t="str">
        <f>IFERROR(IF(B423="","",VLOOKUP(B423,CadProd!$A:$B,2,0)),"")</f>
        <v/>
      </c>
      <c r="D423" t="str">
        <f>IFERROR(IF(B423="","",VLOOKUP(B423,CadProd!$A:$C,3,0)),"")</f>
        <v/>
      </c>
      <c r="G423" s="1" t="str">
        <f t="shared" si="6"/>
        <v/>
      </c>
    </row>
    <row r="424" spans="3:7" x14ac:dyDescent="0.3">
      <c r="C424" t="str">
        <f>IFERROR(IF(B424="","",VLOOKUP(B424,CadProd!$A:$B,2,0)),"")</f>
        <v/>
      </c>
      <c r="D424" t="str">
        <f>IFERROR(IF(B424="","",VLOOKUP(B424,CadProd!$A:$C,3,0)),"")</f>
        <v/>
      </c>
      <c r="G424" s="1" t="str">
        <f t="shared" si="6"/>
        <v/>
      </c>
    </row>
    <row r="425" spans="3:7" x14ac:dyDescent="0.3">
      <c r="C425" t="str">
        <f>IFERROR(IF(B425="","",VLOOKUP(B425,CadProd!$A:$B,2,0)),"")</f>
        <v/>
      </c>
      <c r="D425" t="str">
        <f>IFERROR(IF(B425="","",VLOOKUP(B425,CadProd!$A:$C,3,0)),"")</f>
        <v/>
      </c>
      <c r="G425" s="1" t="str">
        <f t="shared" si="6"/>
        <v/>
      </c>
    </row>
    <row r="426" spans="3:7" x14ac:dyDescent="0.3">
      <c r="C426" t="str">
        <f>IFERROR(IF(B426="","",VLOOKUP(B426,CadProd!$A:$B,2,0)),"")</f>
        <v/>
      </c>
      <c r="D426" t="str">
        <f>IFERROR(IF(B426="","",VLOOKUP(B426,CadProd!$A:$C,3,0)),"")</f>
        <v/>
      </c>
      <c r="G426" s="1" t="str">
        <f t="shared" si="6"/>
        <v/>
      </c>
    </row>
    <row r="427" spans="3:7" x14ac:dyDescent="0.3">
      <c r="C427" t="str">
        <f>IFERROR(IF(B427="","",VLOOKUP(B427,CadProd!$A:$B,2,0)),"")</f>
        <v/>
      </c>
      <c r="D427" t="str">
        <f>IFERROR(IF(B427="","",VLOOKUP(B427,CadProd!$A:$C,3,0)),"")</f>
        <v/>
      </c>
      <c r="G427" s="1" t="str">
        <f t="shared" si="6"/>
        <v/>
      </c>
    </row>
    <row r="428" spans="3:7" x14ac:dyDescent="0.3">
      <c r="C428" t="str">
        <f>IFERROR(IF(B428="","",VLOOKUP(B428,CadProd!$A:$B,2,0)),"")</f>
        <v/>
      </c>
      <c r="D428" t="str">
        <f>IFERROR(IF(B428="","",VLOOKUP(B428,CadProd!$A:$C,3,0)),"")</f>
        <v/>
      </c>
      <c r="G428" s="1" t="str">
        <f t="shared" si="6"/>
        <v/>
      </c>
    </row>
    <row r="429" spans="3:7" x14ac:dyDescent="0.3">
      <c r="C429" t="str">
        <f>IFERROR(IF(B429="","",VLOOKUP(B429,CadProd!$A:$B,2,0)),"")</f>
        <v/>
      </c>
      <c r="D429" t="str">
        <f>IFERROR(IF(B429="","",VLOOKUP(B429,CadProd!$A:$C,3,0)),"")</f>
        <v/>
      </c>
      <c r="G429" s="1" t="str">
        <f t="shared" si="6"/>
        <v/>
      </c>
    </row>
    <row r="430" spans="3:7" x14ac:dyDescent="0.3">
      <c r="C430" t="str">
        <f>IFERROR(IF(B430="","",VLOOKUP(B430,CadProd!$A:$B,2,0)),"")</f>
        <v/>
      </c>
      <c r="D430" t="str">
        <f>IFERROR(IF(B430="","",VLOOKUP(B430,CadProd!$A:$C,3,0)),"")</f>
        <v/>
      </c>
      <c r="G430" s="1" t="str">
        <f t="shared" si="6"/>
        <v/>
      </c>
    </row>
    <row r="431" spans="3:7" x14ac:dyDescent="0.3">
      <c r="C431" t="str">
        <f>IFERROR(IF(B431="","",VLOOKUP(B431,CadProd!$A:$B,2,0)),"")</f>
        <v/>
      </c>
      <c r="D431" t="str">
        <f>IFERROR(IF(B431="","",VLOOKUP(B431,CadProd!$A:$C,3,0)),"")</f>
        <v/>
      </c>
      <c r="G431" s="1" t="str">
        <f t="shared" si="6"/>
        <v/>
      </c>
    </row>
    <row r="432" spans="3:7" x14ac:dyDescent="0.3">
      <c r="C432" t="str">
        <f>IFERROR(IF(B432="","",VLOOKUP(B432,CadProd!$A:$B,2,0)),"")</f>
        <v/>
      </c>
      <c r="D432" t="str">
        <f>IFERROR(IF(B432="","",VLOOKUP(B432,CadProd!$A:$C,3,0)),"")</f>
        <v/>
      </c>
      <c r="G432" s="1" t="str">
        <f t="shared" si="6"/>
        <v/>
      </c>
    </row>
    <row r="433" spans="3:7" x14ac:dyDescent="0.3">
      <c r="C433" t="str">
        <f>IFERROR(IF(B433="","",VLOOKUP(B433,CadProd!$A:$B,2,0)),"")</f>
        <v/>
      </c>
      <c r="D433" t="str">
        <f>IFERROR(IF(B433="","",VLOOKUP(B433,CadProd!$A:$C,3,0)),"")</f>
        <v/>
      </c>
      <c r="G433" s="1" t="str">
        <f t="shared" si="6"/>
        <v/>
      </c>
    </row>
    <row r="434" spans="3:7" x14ac:dyDescent="0.3">
      <c r="C434" t="str">
        <f>IFERROR(IF(B434="","",VLOOKUP(B434,CadProd!$A:$B,2,0)),"")</f>
        <v/>
      </c>
      <c r="D434" t="str">
        <f>IFERROR(IF(B434="","",VLOOKUP(B434,CadProd!$A:$C,3,0)),"")</f>
        <v/>
      </c>
      <c r="G434" s="1" t="str">
        <f t="shared" si="6"/>
        <v/>
      </c>
    </row>
    <row r="435" spans="3:7" x14ac:dyDescent="0.3">
      <c r="C435" t="str">
        <f>IFERROR(IF(B435="","",VLOOKUP(B435,CadProd!$A:$B,2,0)),"")</f>
        <v/>
      </c>
      <c r="D435" t="str">
        <f>IFERROR(IF(B435="","",VLOOKUP(B435,CadProd!$A:$C,3,0)),"")</f>
        <v/>
      </c>
      <c r="G435" s="1" t="str">
        <f t="shared" si="6"/>
        <v/>
      </c>
    </row>
    <row r="436" spans="3:7" x14ac:dyDescent="0.3">
      <c r="C436" t="str">
        <f>IFERROR(IF(B436="","",VLOOKUP(B436,CadProd!$A:$B,2,0)),"")</f>
        <v/>
      </c>
      <c r="D436" t="str">
        <f>IFERROR(IF(B436="","",VLOOKUP(B436,CadProd!$A:$C,3,0)),"")</f>
        <v/>
      </c>
      <c r="G436" s="1" t="str">
        <f t="shared" si="6"/>
        <v/>
      </c>
    </row>
    <row r="437" spans="3:7" x14ac:dyDescent="0.3">
      <c r="C437" t="str">
        <f>IFERROR(IF(B437="","",VLOOKUP(B437,CadProd!$A:$B,2,0)),"")</f>
        <v/>
      </c>
      <c r="D437" t="str">
        <f>IFERROR(IF(B437="","",VLOOKUP(B437,CadProd!$A:$C,3,0)),"")</f>
        <v/>
      </c>
      <c r="G437" s="1" t="str">
        <f t="shared" si="6"/>
        <v/>
      </c>
    </row>
    <row r="438" spans="3:7" x14ac:dyDescent="0.3">
      <c r="C438" t="str">
        <f>IFERROR(IF(B438="","",VLOOKUP(B438,CadProd!$A:$B,2,0)),"")</f>
        <v/>
      </c>
      <c r="D438" t="str">
        <f>IFERROR(IF(B438="","",VLOOKUP(B438,CadProd!$A:$C,3,0)),"")</f>
        <v/>
      </c>
      <c r="G438" s="1" t="str">
        <f t="shared" si="6"/>
        <v/>
      </c>
    </row>
    <row r="439" spans="3:7" x14ac:dyDescent="0.3">
      <c r="C439" t="str">
        <f>IFERROR(IF(B439="","",VLOOKUP(B439,CadProd!$A:$B,2,0)),"")</f>
        <v/>
      </c>
      <c r="D439" t="str">
        <f>IFERROR(IF(B439="","",VLOOKUP(B439,CadProd!$A:$C,3,0)),"")</f>
        <v/>
      </c>
      <c r="G439" s="1" t="str">
        <f t="shared" si="6"/>
        <v/>
      </c>
    </row>
    <row r="440" spans="3:7" x14ac:dyDescent="0.3">
      <c r="C440" t="str">
        <f>IFERROR(IF(B440="","",VLOOKUP(B440,CadProd!$A:$B,2,0)),"")</f>
        <v/>
      </c>
      <c r="D440" t="str">
        <f>IFERROR(IF(B440="","",VLOOKUP(B440,CadProd!$A:$C,3,0)),"")</f>
        <v/>
      </c>
      <c r="G440" s="1" t="str">
        <f t="shared" si="6"/>
        <v/>
      </c>
    </row>
    <row r="441" spans="3:7" x14ac:dyDescent="0.3">
      <c r="C441" t="str">
        <f>IFERROR(IF(B441="","",VLOOKUP(B441,CadProd!$A:$B,2,0)),"")</f>
        <v/>
      </c>
      <c r="D441" t="str">
        <f>IFERROR(IF(B441="","",VLOOKUP(B441,CadProd!$A:$C,3,0)),"")</f>
        <v/>
      </c>
      <c r="G441" s="1" t="str">
        <f t="shared" si="6"/>
        <v/>
      </c>
    </row>
    <row r="442" spans="3:7" x14ac:dyDescent="0.3">
      <c r="C442" t="str">
        <f>IFERROR(IF(B442="","",VLOOKUP(B442,CadProd!$A:$B,2,0)),"")</f>
        <v/>
      </c>
      <c r="D442" t="str">
        <f>IFERROR(IF(B442="","",VLOOKUP(B442,CadProd!$A:$C,3,0)),"")</f>
        <v/>
      </c>
      <c r="G442" s="1" t="str">
        <f t="shared" si="6"/>
        <v/>
      </c>
    </row>
    <row r="443" spans="3:7" x14ac:dyDescent="0.3">
      <c r="C443" t="str">
        <f>IFERROR(IF(B443="","",VLOOKUP(B443,CadProd!$A:$B,2,0)),"")</f>
        <v/>
      </c>
      <c r="D443" t="str">
        <f>IFERROR(IF(B443="","",VLOOKUP(B443,CadProd!$A:$C,3,0)),"")</f>
        <v/>
      </c>
      <c r="G443" s="1" t="str">
        <f t="shared" si="6"/>
        <v/>
      </c>
    </row>
    <row r="444" spans="3:7" x14ac:dyDescent="0.3">
      <c r="C444" t="str">
        <f>IFERROR(IF(B444="","",VLOOKUP(B444,CadProd!$A:$B,2,0)),"")</f>
        <v/>
      </c>
      <c r="D444" t="str">
        <f>IFERROR(IF(B444="","",VLOOKUP(B444,CadProd!$A:$C,3,0)),"")</f>
        <v/>
      </c>
      <c r="G444" s="1" t="str">
        <f t="shared" si="6"/>
        <v/>
      </c>
    </row>
    <row r="445" spans="3:7" x14ac:dyDescent="0.3">
      <c r="C445" t="str">
        <f>IFERROR(IF(B445="","",VLOOKUP(B445,CadProd!$A:$B,2,0)),"")</f>
        <v/>
      </c>
      <c r="D445" t="str">
        <f>IFERROR(IF(B445="","",VLOOKUP(B445,CadProd!$A:$C,3,0)),"")</f>
        <v/>
      </c>
      <c r="G445" s="1" t="str">
        <f t="shared" si="6"/>
        <v/>
      </c>
    </row>
    <row r="446" spans="3:7" x14ac:dyDescent="0.3">
      <c r="C446" t="str">
        <f>IFERROR(IF(B446="","",VLOOKUP(B446,CadProd!$A:$B,2,0)),"")</f>
        <v/>
      </c>
      <c r="D446" t="str">
        <f>IFERROR(IF(B446="","",VLOOKUP(B446,CadProd!$A:$C,3,0)),"")</f>
        <v/>
      </c>
      <c r="G446" s="1" t="str">
        <f t="shared" si="6"/>
        <v/>
      </c>
    </row>
    <row r="447" spans="3:7" x14ac:dyDescent="0.3">
      <c r="C447" t="str">
        <f>IFERROR(IF(B447="","",VLOOKUP(B447,CadProd!$A:$B,2,0)),"")</f>
        <v/>
      </c>
      <c r="D447" t="str">
        <f>IFERROR(IF(B447="","",VLOOKUP(B447,CadProd!$A:$C,3,0)),"")</f>
        <v/>
      </c>
      <c r="G447" s="1" t="str">
        <f t="shared" si="6"/>
        <v/>
      </c>
    </row>
    <row r="448" spans="3:7" x14ac:dyDescent="0.3">
      <c r="C448" t="str">
        <f>IFERROR(IF(B448="","",VLOOKUP(B448,CadProd!$A:$B,2,0)),"")</f>
        <v/>
      </c>
      <c r="D448" t="str">
        <f>IFERROR(IF(B448="","",VLOOKUP(B448,CadProd!$A:$C,3,0)),"")</f>
        <v/>
      </c>
      <c r="G448" s="1" t="str">
        <f t="shared" si="6"/>
        <v/>
      </c>
    </row>
    <row r="449" spans="3:7" x14ac:dyDescent="0.3">
      <c r="C449" t="str">
        <f>IFERROR(IF(B449="","",VLOOKUP(B449,CadProd!$A:$B,2,0)),"")</f>
        <v/>
      </c>
      <c r="D449" t="str">
        <f>IFERROR(IF(B449="","",VLOOKUP(B449,CadProd!$A:$C,3,0)),"")</f>
        <v/>
      </c>
      <c r="G449" s="1" t="str">
        <f t="shared" si="6"/>
        <v/>
      </c>
    </row>
    <row r="450" spans="3:7" x14ac:dyDescent="0.3">
      <c r="C450" t="str">
        <f>IFERROR(IF(B450="","",VLOOKUP(B450,CadProd!$A:$B,2,0)),"")</f>
        <v/>
      </c>
      <c r="D450" t="str">
        <f>IFERROR(IF(B450="","",VLOOKUP(B450,CadProd!$A:$C,3,0)),"")</f>
        <v/>
      </c>
      <c r="G450" s="1" t="str">
        <f t="shared" si="6"/>
        <v/>
      </c>
    </row>
    <row r="451" spans="3:7" x14ac:dyDescent="0.3">
      <c r="C451" t="str">
        <f>IFERROR(IF(B451="","",VLOOKUP(B451,CadProd!$A:$B,2,0)),"")</f>
        <v/>
      </c>
      <c r="D451" t="str">
        <f>IFERROR(IF(B451="","",VLOOKUP(B451,CadProd!$A:$C,3,0)),"")</f>
        <v/>
      </c>
      <c r="G451" s="1" t="str">
        <f t="shared" si="6"/>
        <v/>
      </c>
    </row>
    <row r="452" spans="3:7" x14ac:dyDescent="0.3">
      <c r="C452" t="str">
        <f>IFERROR(IF(B452="","",VLOOKUP(B452,CadProd!$A:$B,2,0)),"")</f>
        <v/>
      </c>
      <c r="D452" t="str">
        <f>IFERROR(IF(B452="","",VLOOKUP(B452,CadProd!$A:$C,3,0)),"")</f>
        <v/>
      </c>
      <c r="G452" s="1" t="str">
        <f t="shared" si="6"/>
        <v/>
      </c>
    </row>
    <row r="453" spans="3:7" x14ac:dyDescent="0.3">
      <c r="C453" t="str">
        <f>IFERROR(IF(B453="","",VLOOKUP(B453,CadProd!$A:$B,2,0)),"")</f>
        <v/>
      </c>
      <c r="D453" t="str">
        <f>IFERROR(IF(B453="","",VLOOKUP(B453,CadProd!$A:$C,3,0)),"")</f>
        <v/>
      </c>
      <c r="G453" s="1" t="str">
        <f t="shared" si="6"/>
        <v/>
      </c>
    </row>
    <row r="454" spans="3:7" x14ac:dyDescent="0.3">
      <c r="C454" t="str">
        <f>IFERROR(IF(B454="","",VLOOKUP(B454,CadProd!$A:$B,2,0)),"")</f>
        <v/>
      </c>
      <c r="D454" t="str">
        <f>IFERROR(IF(B454="","",VLOOKUP(B454,CadProd!$A:$C,3,0)),"")</f>
        <v/>
      </c>
      <c r="G454" s="1" t="str">
        <f t="shared" si="6"/>
        <v/>
      </c>
    </row>
    <row r="455" spans="3:7" x14ac:dyDescent="0.3">
      <c r="C455" t="str">
        <f>IFERROR(IF(B455="","",VLOOKUP(B455,CadProd!$A:$B,2,0)),"")</f>
        <v/>
      </c>
      <c r="D455" t="str">
        <f>IFERROR(IF(B455="","",VLOOKUP(B455,CadProd!$A:$C,3,0)),"")</f>
        <v/>
      </c>
      <c r="G455" s="1" t="str">
        <f t="shared" si="6"/>
        <v/>
      </c>
    </row>
    <row r="456" spans="3:7" x14ac:dyDescent="0.3">
      <c r="C456" t="str">
        <f>IFERROR(IF(B456="","",VLOOKUP(B456,CadProd!$A:$B,2,0)),"")</f>
        <v/>
      </c>
      <c r="D456" t="str">
        <f>IFERROR(IF(B456="","",VLOOKUP(B456,CadProd!$A:$C,3,0)),"")</f>
        <v/>
      </c>
      <c r="G456" s="1" t="str">
        <f t="shared" si="6"/>
        <v/>
      </c>
    </row>
    <row r="457" spans="3:7" x14ac:dyDescent="0.3">
      <c r="C457" t="str">
        <f>IFERROR(IF(B457="","",VLOOKUP(B457,CadProd!$A:$B,2,0)),"")</f>
        <v/>
      </c>
      <c r="D457" t="str">
        <f>IFERROR(IF(B457="","",VLOOKUP(B457,CadProd!$A:$C,3,0)),"")</f>
        <v/>
      </c>
      <c r="G457" s="1" t="str">
        <f t="shared" si="6"/>
        <v/>
      </c>
    </row>
    <row r="458" spans="3:7" x14ac:dyDescent="0.3">
      <c r="C458" t="str">
        <f>IFERROR(IF(B458="","",VLOOKUP(B458,CadProd!$A:$B,2,0)),"")</f>
        <v/>
      </c>
      <c r="D458" t="str">
        <f>IFERROR(IF(B458="","",VLOOKUP(B458,CadProd!$A:$C,3,0)),"")</f>
        <v/>
      </c>
      <c r="G458" s="1" t="str">
        <f t="shared" si="6"/>
        <v/>
      </c>
    </row>
    <row r="459" spans="3:7" x14ac:dyDescent="0.3">
      <c r="C459" t="str">
        <f>IFERROR(IF(B459="","",VLOOKUP(B459,CadProd!$A:$B,2,0)),"")</f>
        <v/>
      </c>
      <c r="D459" t="str">
        <f>IFERROR(IF(B459="","",VLOOKUP(B459,CadProd!$A:$C,3,0)),"")</f>
        <v/>
      </c>
      <c r="G459" s="1" t="str">
        <f t="shared" ref="G459:G522" si="7">IFERROR(IF(B459="","",F459*E459),"")</f>
        <v/>
      </c>
    </row>
    <row r="460" spans="3:7" x14ac:dyDescent="0.3">
      <c r="C460" t="str">
        <f>IFERROR(IF(B460="","",VLOOKUP(B460,CadProd!$A:$B,2,0)),"")</f>
        <v/>
      </c>
      <c r="D460" t="str">
        <f>IFERROR(IF(B460="","",VLOOKUP(B460,CadProd!$A:$C,3,0)),"")</f>
        <v/>
      </c>
      <c r="G460" s="1" t="str">
        <f t="shared" si="7"/>
        <v/>
      </c>
    </row>
    <row r="461" spans="3:7" x14ac:dyDescent="0.3">
      <c r="C461" t="str">
        <f>IFERROR(IF(B461="","",VLOOKUP(B461,CadProd!$A:$B,2,0)),"")</f>
        <v/>
      </c>
      <c r="D461" t="str">
        <f>IFERROR(IF(B461="","",VLOOKUP(B461,CadProd!$A:$C,3,0)),"")</f>
        <v/>
      </c>
      <c r="G461" s="1" t="str">
        <f t="shared" si="7"/>
        <v/>
      </c>
    </row>
    <row r="462" spans="3:7" x14ac:dyDescent="0.3">
      <c r="C462" t="str">
        <f>IFERROR(IF(B462="","",VLOOKUP(B462,CadProd!$A:$B,2,0)),"")</f>
        <v/>
      </c>
      <c r="D462" t="str">
        <f>IFERROR(IF(B462="","",VLOOKUP(B462,CadProd!$A:$C,3,0)),"")</f>
        <v/>
      </c>
      <c r="G462" s="1" t="str">
        <f t="shared" si="7"/>
        <v/>
      </c>
    </row>
    <row r="463" spans="3:7" x14ac:dyDescent="0.3">
      <c r="C463" t="str">
        <f>IFERROR(IF(B463="","",VLOOKUP(B463,CadProd!$A:$B,2,0)),"")</f>
        <v/>
      </c>
      <c r="D463" t="str">
        <f>IFERROR(IF(B463="","",VLOOKUP(B463,CadProd!$A:$C,3,0)),"")</f>
        <v/>
      </c>
      <c r="G463" s="1" t="str">
        <f t="shared" si="7"/>
        <v/>
      </c>
    </row>
    <row r="464" spans="3:7" x14ac:dyDescent="0.3">
      <c r="C464" t="str">
        <f>IFERROR(IF(B464="","",VLOOKUP(B464,CadProd!$A:$B,2,0)),"")</f>
        <v/>
      </c>
      <c r="D464" t="str">
        <f>IFERROR(IF(B464="","",VLOOKUP(B464,CadProd!$A:$C,3,0)),"")</f>
        <v/>
      </c>
      <c r="G464" s="1" t="str">
        <f t="shared" si="7"/>
        <v/>
      </c>
    </row>
    <row r="465" spans="3:7" x14ac:dyDescent="0.3">
      <c r="C465" t="str">
        <f>IFERROR(IF(B465="","",VLOOKUP(B465,CadProd!$A:$B,2,0)),"")</f>
        <v/>
      </c>
      <c r="D465" t="str">
        <f>IFERROR(IF(B465="","",VLOOKUP(B465,CadProd!$A:$C,3,0)),"")</f>
        <v/>
      </c>
      <c r="G465" s="1" t="str">
        <f t="shared" si="7"/>
        <v/>
      </c>
    </row>
    <row r="466" spans="3:7" x14ac:dyDescent="0.3">
      <c r="C466" t="str">
        <f>IFERROR(IF(B466="","",VLOOKUP(B466,CadProd!$A:$B,2,0)),"")</f>
        <v/>
      </c>
      <c r="D466" t="str">
        <f>IFERROR(IF(B466="","",VLOOKUP(B466,CadProd!$A:$C,3,0)),"")</f>
        <v/>
      </c>
      <c r="G466" s="1" t="str">
        <f t="shared" si="7"/>
        <v/>
      </c>
    </row>
    <row r="467" spans="3:7" x14ac:dyDescent="0.3">
      <c r="C467" t="str">
        <f>IFERROR(IF(B467="","",VLOOKUP(B467,CadProd!$A:$B,2,0)),"")</f>
        <v/>
      </c>
      <c r="D467" t="str">
        <f>IFERROR(IF(B467="","",VLOOKUP(B467,CadProd!$A:$C,3,0)),"")</f>
        <v/>
      </c>
      <c r="G467" s="1" t="str">
        <f t="shared" si="7"/>
        <v/>
      </c>
    </row>
    <row r="468" spans="3:7" x14ac:dyDescent="0.3">
      <c r="C468" t="str">
        <f>IFERROR(IF(B468="","",VLOOKUP(B468,CadProd!$A:$B,2,0)),"")</f>
        <v/>
      </c>
      <c r="D468" t="str">
        <f>IFERROR(IF(B468="","",VLOOKUP(B468,CadProd!$A:$C,3,0)),"")</f>
        <v/>
      </c>
      <c r="G468" s="1" t="str">
        <f t="shared" si="7"/>
        <v/>
      </c>
    </row>
    <row r="469" spans="3:7" x14ac:dyDescent="0.3">
      <c r="C469" t="str">
        <f>IFERROR(IF(B469="","",VLOOKUP(B469,CadProd!$A:$B,2,0)),"")</f>
        <v/>
      </c>
      <c r="D469" t="str">
        <f>IFERROR(IF(B469="","",VLOOKUP(B469,CadProd!$A:$C,3,0)),"")</f>
        <v/>
      </c>
      <c r="G469" s="1" t="str">
        <f t="shared" si="7"/>
        <v/>
      </c>
    </row>
    <row r="470" spans="3:7" x14ac:dyDescent="0.3">
      <c r="C470" t="str">
        <f>IFERROR(IF(B470="","",VLOOKUP(B470,CadProd!$A:$B,2,0)),"")</f>
        <v/>
      </c>
      <c r="D470" t="str">
        <f>IFERROR(IF(B470="","",VLOOKUP(B470,CadProd!$A:$C,3,0)),"")</f>
        <v/>
      </c>
      <c r="G470" s="1" t="str">
        <f t="shared" si="7"/>
        <v/>
      </c>
    </row>
    <row r="471" spans="3:7" x14ac:dyDescent="0.3">
      <c r="C471" t="str">
        <f>IFERROR(IF(B471="","",VLOOKUP(B471,CadProd!$A:$B,2,0)),"")</f>
        <v/>
      </c>
      <c r="D471" t="str">
        <f>IFERROR(IF(B471="","",VLOOKUP(B471,CadProd!$A:$C,3,0)),"")</f>
        <v/>
      </c>
      <c r="G471" s="1" t="str">
        <f t="shared" si="7"/>
        <v/>
      </c>
    </row>
    <row r="472" spans="3:7" x14ac:dyDescent="0.3">
      <c r="C472" t="str">
        <f>IFERROR(IF(B472="","",VLOOKUP(B472,CadProd!$A:$B,2,0)),"")</f>
        <v/>
      </c>
      <c r="D472" t="str">
        <f>IFERROR(IF(B472="","",VLOOKUP(B472,CadProd!$A:$C,3,0)),"")</f>
        <v/>
      </c>
      <c r="G472" s="1" t="str">
        <f t="shared" si="7"/>
        <v/>
      </c>
    </row>
    <row r="473" spans="3:7" x14ac:dyDescent="0.3">
      <c r="C473" t="str">
        <f>IFERROR(IF(B473="","",VLOOKUP(B473,CadProd!$A:$B,2,0)),"")</f>
        <v/>
      </c>
      <c r="D473" t="str">
        <f>IFERROR(IF(B473="","",VLOOKUP(B473,CadProd!$A:$C,3,0)),"")</f>
        <v/>
      </c>
      <c r="G473" s="1" t="str">
        <f t="shared" si="7"/>
        <v/>
      </c>
    </row>
    <row r="474" spans="3:7" x14ac:dyDescent="0.3">
      <c r="C474" t="str">
        <f>IFERROR(IF(B474="","",VLOOKUP(B474,CadProd!$A:$B,2,0)),"")</f>
        <v/>
      </c>
      <c r="D474" t="str">
        <f>IFERROR(IF(B474="","",VLOOKUP(B474,CadProd!$A:$C,3,0)),"")</f>
        <v/>
      </c>
      <c r="G474" s="1" t="str">
        <f t="shared" si="7"/>
        <v/>
      </c>
    </row>
    <row r="475" spans="3:7" x14ac:dyDescent="0.3">
      <c r="C475" t="str">
        <f>IFERROR(IF(B475="","",VLOOKUP(B475,CadProd!$A:$B,2,0)),"")</f>
        <v/>
      </c>
      <c r="D475" t="str">
        <f>IFERROR(IF(B475="","",VLOOKUP(B475,CadProd!$A:$C,3,0)),"")</f>
        <v/>
      </c>
      <c r="G475" s="1" t="str">
        <f t="shared" si="7"/>
        <v/>
      </c>
    </row>
    <row r="476" spans="3:7" x14ac:dyDescent="0.3">
      <c r="C476" t="str">
        <f>IFERROR(IF(B476="","",VLOOKUP(B476,CadProd!$A:$B,2,0)),"")</f>
        <v/>
      </c>
      <c r="D476" t="str">
        <f>IFERROR(IF(B476="","",VLOOKUP(B476,CadProd!$A:$C,3,0)),"")</f>
        <v/>
      </c>
      <c r="G476" s="1" t="str">
        <f t="shared" si="7"/>
        <v/>
      </c>
    </row>
    <row r="477" spans="3:7" x14ac:dyDescent="0.3">
      <c r="C477" t="str">
        <f>IFERROR(IF(B477="","",VLOOKUP(B477,CadProd!$A:$B,2,0)),"")</f>
        <v/>
      </c>
      <c r="D477" t="str">
        <f>IFERROR(IF(B477="","",VLOOKUP(B477,CadProd!$A:$C,3,0)),"")</f>
        <v/>
      </c>
      <c r="G477" s="1" t="str">
        <f t="shared" si="7"/>
        <v/>
      </c>
    </row>
    <row r="478" spans="3:7" x14ac:dyDescent="0.3">
      <c r="C478" t="str">
        <f>IFERROR(IF(B478="","",VLOOKUP(B478,CadProd!$A:$B,2,0)),"")</f>
        <v/>
      </c>
      <c r="D478" t="str">
        <f>IFERROR(IF(B478="","",VLOOKUP(B478,CadProd!$A:$C,3,0)),"")</f>
        <v/>
      </c>
      <c r="G478" s="1" t="str">
        <f t="shared" si="7"/>
        <v/>
      </c>
    </row>
    <row r="479" spans="3:7" x14ac:dyDescent="0.3">
      <c r="C479" t="str">
        <f>IFERROR(IF(B479="","",VLOOKUP(B479,CadProd!$A:$B,2,0)),"")</f>
        <v/>
      </c>
      <c r="D479" t="str">
        <f>IFERROR(IF(B479="","",VLOOKUP(B479,CadProd!$A:$C,3,0)),"")</f>
        <v/>
      </c>
      <c r="G479" s="1" t="str">
        <f t="shared" si="7"/>
        <v/>
      </c>
    </row>
    <row r="480" spans="3:7" x14ac:dyDescent="0.3">
      <c r="C480" t="str">
        <f>IFERROR(IF(B480="","",VLOOKUP(B480,CadProd!$A:$B,2,0)),"")</f>
        <v/>
      </c>
      <c r="D480" t="str">
        <f>IFERROR(IF(B480="","",VLOOKUP(B480,CadProd!$A:$C,3,0)),"")</f>
        <v/>
      </c>
      <c r="G480" s="1" t="str">
        <f t="shared" si="7"/>
        <v/>
      </c>
    </row>
    <row r="481" spans="3:7" x14ac:dyDescent="0.3">
      <c r="C481" t="str">
        <f>IFERROR(IF(B481="","",VLOOKUP(B481,CadProd!$A:$B,2,0)),"")</f>
        <v/>
      </c>
      <c r="D481" t="str">
        <f>IFERROR(IF(B481="","",VLOOKUP(B481,CadProd!$A:$C,3,0)),"")</f>
        <v/>
      </c>
      <c r="G481" s="1" t="str">
        <f t="shared" si="7"/>
        <v/>
      </c>
    </row>
    <row r="482" spans="3:7" x14ac:dyDescent="0.3">
      <c r="C482" t="str">
        <f>IFERROR(IF(B482="","",VLOOKUP(B482,CadProd!$A:$B,2,0)),"")</f>
        <v/>
      </c>
      <c r="D482" t="str">
        <f>IFERROR(IF(B482="","",VLOOKUP(B482,CadProd!$A:$C,3,0)),"")</f>
        <v/>
      </c>
      <c r="G482" s="1" t="str">
        <f t="shared" si="7"/>
        <v/>
      </c>
    </row>
    <row r="483" spans="3:7" x14ac:dyDescent="0.3">
      <c r="C483" t="str">
        <f>IFERROR(IF(B483="","",VLOOKUP(B483,CadProd!$A:$B,2,0)),"")</f>
        <v/>
      </c>
      <c r="D483" t="str">
        <f>IFERROR(IF(B483="","",VLOOKUP(B483,CadProd!$A:$C,3,0)),"")</f>
        <v/>
      </c>
      <c r="G483" s="1" t="str">
        <f t="shared" si="7"/>
        <v/>
      </c>
    </row>
    <row r="484" spans="3:7" x14ac:dyDescent="0.3">
      <c r="C484" t="str">
        <f>IFERROR(IF(B484="","",VLOOKUP(B484,CadProd!$A:$B,2,0)),"")</f>
        <v/>
      </c>
      <c r="D484" t="str">
        <f>IFERROR(IF(B484="","",VLOOKUP(B484,CadProd!$A:$C,3,0)),"")</f>
        <v/>
      </c>
      <c r="G484" s="1" t="str">
        <f t="shared" si="7"/>
        <v/>
      </c>
    </row>
    <row r="485" spans="3:7" x14ac:dyDescent="0.3">
      <c r="C485" t="str">
        <f>IFERROR(IF(B485="","",VLOOKUP(B485,CadProd!$A:$B,2,0)),"")</f>
        <v/>
      </c>
      <c r="D485" t="str">
        <f>IFERROR(IF(B485="","",VLOOKUP(B485,CadProd!$A:$C,3,0)),"")</f>
        <v/>
      </c>
      <c r="G485" s="1" t="str">
        <f t="shared" si="7"/>
        <v/>
      </c>
    </row>
    <row r="486" spans="3:7" x14ac:dyDescent="0.3">
      <c r="C486" t="str">
        <f>IFERROR(IF(B486="","",VLOOKUP(B486,CadProd!$A:$B,2,0)),"")</f>
        <v/>
      </c>
      <c r="D486" t="str">
        <f>IFERROR(IF(B486="","",VLOOKUP(B486,CadProd!$A:$C,3,0)),"")</f>
        <v/>
      </c>
      <c r="G486" s="1" t="str">
        <f t="shared" si="7"/>
        <v/>
      </c>
    </row>
    <row r="487" spans="3:7" x14ac:dyDescent="0.3">
      <c r="C487" t="str">
        <f>IFERROR(IF(B487="","",VLOOKUP(B487,CadProd!$A:$B,2,0)),"")</f>
        <v/>
      </c>
      <c r="D487" t="str">
        <f>IFERROR(IF(B487="","",VLOOKUP(B487,CadProd!$A:$C,3,0)),"")</f>
        <v/>
      </c>
      <c r="G487" s="1" t="str">
        <f t="shared" si="7"/>
        <v/>
      </c>
    </row>
    <row r="488" spans="3:7" x14ac:dyDescent="0.3">
      <c r="C488" t="str">
        <f>IFERROR(IF(B488="","",VLOOKUP(B488,CadProd!$A:$B,2,0)),"")</f>
        <v/>
      </c>
      <c r="D488" t="str">
        <f>IFERROR(IF(B488="","",VLOOKUP(B488,CadProd!$A:$C,3,0)),"")</f>
        <v/>
      </c>
      <c r="G488" s="1" t="str">
        <f t="shared" si="7"/>
        <v/>
      </c>
    </row>
    <row r="489" spans="3:7" x14ac:dyDescent="0.3">
      <c r="C489" t="str">
        <f>IFERROR(IF(B489="","",VLOOKUP(B489,CadProd!$A:$B,2,0)),"")</f>
        <v/>
      </c>
      <c r="D489" t="str">
        <f>IFERROR(IF(B489="","",VLOOKUP(B489,CadProd!$A:$C,3,0)),"")</f>
        <v/>
      </c>
      <c r="G489" s="1" t="str">
        <f t="shared" si="7"/>
        <v/>
      </c>
    </row>
    <row r="490" spans="3:7" x14ac:dyDescent="0.3">
      <c r="C490" t="str">
        <f>IFERROR(IF(B490="","",VLOOKUP(B490,CadProd!$A:$B,2,0)),"")</f>
        <v/>
      </c>
      <c r="D490" t="str">
        <f>IFERROR(IF(B490="","",VLOOKUP(B490,CadProd!$A:$C,3,0)),"")</f>
        <v/>
      </c>
      <c r="G490" s="1" t="str">
        <f t="shared" si="7"/>
        <v/>
      </c>
    </row>
    <row r="491" spans="3:7" x14ac:dyDescent="0.3">
      <c r="C491" t="str">
        <f>IFERROR(IF(B491="","",VLOOKUP(B491,CadProd!$A:$B,2,0)),"")</f>
        <v/>
      </c>
      <c r="D491" t="str">
        <f>IFERROR(IF(B491="","",VLOOKUP(B491,CadProd!$A:$C,3,0)),"")</f>
        <v/>
      </c>
      <c r="G491" s="1" t="str">
        <f t="shared" si="7"/>
        <v/>
      </c>
    </row>
    <row r="492" spans="3:7" x14ac:dyDescent="0.3">
      <c r="C492" t="str">
        <f>IFERROR(IF(B492="","",VLOOKUP(B492,CadProd!$A:$B,2,0)),"")</f>
        <v/>
      </c>
      <c r="D492" t="str">
        <f>IFERROR(IF(B492="","",VLOOKUP(B492,CadProd!$A:$C,3,0)),"")</f>
        <v/>
      </c>
      <c r="G492" s="1" t="str">
        <f t="shared" si="7"/>
        <v/>
      </c>
    </row>
    <row r="493" spans="3:7" x14ac:dyDescent="0.3">
      <c r="C493" t="str">
        <f>IFERROR(IF(B493="","",VLOOKUP(B493,CadProd!$A:$B,2,0)),"")</f>
        <v/>
      </c>
      <c r="D493" t="str">
        <f>IFERROR(IF(B493="","",VLOOKUP(B493,CadProd!$A:$C,3,0)),"")</f>
        <v/>
      </c>
      <c r="G493" s="1" t="str">
        <f t="shared" si="7"/>
        <v/>
      </c>
    </row>
    <row r="494" spans="3:7" x14ac:dyDescent="0.3">
      <c r="C494" t="str">
        <f>IFERROR(IF(B494="","",VLOOKUP(B494,CadProd!$A:$B,2,0)),"")</f>
        <v/>
      </c>
      <c r="D494" t="str">
        <f>IFERROR(IF(B494="","",VLOOKUP(B494,CadProd!$A:$C,3,0)),"")</f>
        <v/>
      </c>
      <c r="G494" s="1" t="str">
        <f t="shared" si="7"/>
        <v/>
      </c>
    </row>
    <row r="495" spans="3:7" x14ac:dyDescent="0.3">
      <c r="C495" t="str">
        <f>IFERROR(IF(B495="","",VLOOKUP(B495,CadProd!$A:$B,2,0)),"")</f>
        <v/>
      </c>
      <c r="D495" t="str">
        <f>IFERROR(IF(B495="","",VLOOKUP(B495,CadProd!$A:$C,3,0)),"")</f>
        <v/>
      </c>
      <c r="G495" s="1" t="str">
        <f t="shared" si="7"/>
        <v/>
      </c>
    </row>
    <row r="496" spans="3:7" x14ac:dyDescent="0.3">
      <c r="C496" t="str">
        <f>IFERROR(IF(B496="","",VLOOKUP(B496,CadProd!$A:$B,2,0)),"")</f>
        <v/>
      </c>
      <c r="D496" t="str">
        <f>IFERROR(IF(B496="","",VLOOKUP(B496,CadProd!$A:$C,3,0)),"")</f>
        <v/>
      </c>
      <c r="G496" s="1" t="str">
        <f t="shared" si="7"/>
        <v/>
      </c>
    </row>
    <row r="497" spans="3:7" x14ac:dyDescent="0.3">
      <c r="C497" t="str">
        <f>IFERROR(IF(B497="","",VLOOKUP(B497,CadProd!$A:$B,2,0)),"")</f>
        <v/>
      </c>
      <c r="D497" t="str">
        <f>IFERROR(IF(B497="","",VLOOKUP(B497,CadProd!$A:$C,3,0)),"")</f>
        <v/>
      </c>
      <c r="G497" s="1" t="str">
        <f t="shared" si="7"/>
        <v/>
      </c>
    </row>
    <row r="498" spans="3:7" x14ac:dyDescent="0.3">
      <c r="C498" t="str">
        <f>IFERROR(IF(B498="","",VLOOKUP(B498,CadProd!$A:$B,2,0)),"")</f>
        <v/>
      </c>
      <c r="D498" t="str">
        <f>IFERROR(IF(B498="","",VLOOKUP(B498,CadProd!$A:$C,3,0)),"")</f>
        <v/>
      </c>
      <c r="G498" s="1" t="str">
        <f t="shared" si="7"/>
        <v/>
      </c>
    </row>
    <row r="499" spans="3:7" x14ac:dyDescent="0.3">
      <c r="C499" t="str">
        <f>IFERROR(IF(B499="","",VLOOKUP(B499,CadProd!$A:$B,2,0)),"")</f>
        <v/>
      </c>
      <c r="D499" t="str">
        <f>IFERROR(IF(B499="","",VLOOKUP(B499,CadProd!$A:$C,3,0)),"")</f>
        <v/>
      </c>
      <c r="G499" s="1" t="str">
        <f t="shared" si="7"/>
        <v/>
      </c>
    </row>
    <row r="500" spans="3:7" x14ac:dyDescent="0.3">
      <c r="C500" t="str">
        <f>IFERROR(IF(B500="","",VLOOKUP(B500,CadProd!$A:$B,2,0)),"")</f>
        <v/>
      </c>
      <c r="D500" t="str">
        <f>IFERROR(IF(B500="","",VLOOKUP(B500,CadProd!$A:$C,3,0)),"")</f>
        <v/>
      </c>
      <c r="G500" s="1" t="str">
        <f t="shared" si="7"/>
        <v/>
      </c>
    </row>
    <row r="501" spans="3:7" x14ac:dyDescent="0.3">
      <c r="C501" t="str">
        <f>IFERROR(IF(B501="","",VLOOKUP(B501,CadProd!$A:$B,2,0)),"")</f>
        <v/>
      </c>
      <c r="D501" t="str">
        <f>IFERROR(IF(B501="","",VLOOKUP(B501,CadProd!$A:$C,3,0)),"")</f>
        <v/>
      </c>
      <c r="G501" s="1" t="str">
        <f t="shared" si="7"/>
        <v/>
      </c>
    </row>
    <row r="502" spans="3:7" x14ac:dyDescent="0.3">
      <c r="C502" t="str">
        <f>IFERROR(IF(B502="","",VLOOKUP(B502,CadProd!$A:$B,2,0)),"")</f>
        <v/>
      </c>
      <c r="D502" t="str">
        <f>IFERROR(IF(B502="","",VLOOKUP(B502,CadProd!$A:$C,3,0)),"")</f>
        <v/>
      </c>
      <c r="G502" s="1" t="str">
        <f t="shared" si="7"/>
        <v/>
      </c>
    </row>
    <row r="503" spans="3:7" x14ac:dyDescent="0.3">
      <c r="C503" t="str">
        <f>IFERROR(IF(B503="","",VLOOKUP(B503,CadProd!$A:$B,2,0)),"")</f>
        <v/>
      </c>
      <c r="D503" t="str">
        <f>IFERROR(IF(B503="","",VLOOKUP(B503,CadProd!$A:$C,3,0)),"")</f>
        <v/>
      </c>
      <c r="G503" s="1" t="str">
        <f t="shared" si="7"/>
        <v/>
      </c>
    </row>
    <row r="504" spans="3:7" x14ac:dyDescent="0.3">
      <c r="C504" t="str">
        <f>IFERROR(IF(B504="","",VLOOKUP(B504,CadProd!$A:$B,2,0)),"")</f>
        <v/>
      </c>
      <c r="D504" t="str">
        <f>IFERROR(IF(B504="","",VLOOKUP(B504,CadProd!$A:$C,3,0)),"")</f>
        <v/>
      </c>
      <c r="G504" s="1" t="str">
        <f t="shared" si="7"/>
        <v/>
      </c>
    </row>
    <row r="505" spans="3:7" x14ac:dyDescent="0.3">
      <c r="C505" t="str">
        <f>IFERROR(IF(B505="","",VLOOKUP(B505,CadProd!$A:$B,2,0)),"")</f>
        <v/>
      </c>
      <c r="D505" t="str">
        <f>IFERROR(IF(B505="","",VLOOKUP(B505,CadProd!$A:$C,3,0)),"")</f>
        <v/>
      </c>
      <c r="G505" s="1" t="str">
        <f t="shared" si="7"/>
        <v/>
      </c>
    </row>
    <row r="506" spans="3:7" x14ac:dyDescent="0.3">
      <c r="C506" t="str">
        <f>IFERROR(IF(B506="","",VLOOKUP(B506,CadProd!$A:$B,2,0)),"")</f>
        <v/>
      </c>
      <c r="D506" t="str">
        <f>IFERROR(IF(B506="","",VLOOKUP(B506,CadProd!$A:$C,3,0)),"")</f>
        <v/>
      </c>
      <c r="G506" s="1" t="str">
        <f t="shared" si="7"/>
        <v/>
      </c>
    </row>
    <row r="507" spans="3:7" x14ac:dyDescent="0.3">
      <c r="C507" t="str">
        <f>IFERROR(IF(B507="","",VLOOKUP(B507,CadProd!$A:$B,2,0)),"")</f>
        <v/>
      </c>
      <c r="D507" t="str">
        <f>IFERROR(IF(B507="","",VLOOKUP(B507,CadProd!$A:$C,3,0)),"")</f>
        <v/>
      </c>
      <c r="G507" s="1" t="str">
        <f t="shared" si="7"/>
        <v/>
      </c>
    </row>
    <row r="508" spans="3:7" x14ac:dyDescent="0.3">
      <c r="C508" t="str">
        <f>IFERROR(IF(B508="","",VLOOKUP(B508,CadProd!$A:$B,2,0)),"")</f>
        <v/>
      </c>
      <c r="D508" t="str">
        <f>IFERROR(IF(B508="","",VLOOKUP(B508,CadProd!$A:$C,3,0)),"")</f>
        <v/>
      </c>
      <c r="G508" s="1" t="str">
        <f t="shared" si="7"/>
        <v/>
      </c>
    </row>
    <row r="509" spans="3:7" x14ac:dyDescent="0.3">
      <c r="C509" t="str">
        <f>IFERROR(IF(B509="","",VLOOKUP(B509,CadProd!$A:$B,2,0)),"")</f>
        <v/>
      </c>
      <c r="D509" t="str">
        <f>IFERROR(IF(B509="","",VLOOKUP(B509,CadProd!$A:$C,3,0)),"")</f>
        <v/>
      </c>
      <c r="G509" s="1" t="str">
        <f t="shared" si="7"/>
        <v/>
      </c>
    </row>
    <row r="510" spans="3:7" x14ac:dyDescent="0.3">
      <c r="C510" t="str">
        <f>IFERROR(IF(B510="","",VLOOKUP(B510,CadProd!$A:$B,2,0)),"")</f>
        <v/>
      </c>
      <c r="D510" t="str">
        <f>IFERROR(IF(B510="","",VLOOKUP(B510,CadProd!$A:$C,3,0)),"")</f>
        <v/>
      </c>
      <c r="G510" s="1" t="str">
        <f t="shared" si="7"/>
        <v/>
      </c>
    </row>
    <row r="511" spans="3:7" x14ac:dyDescent="0.3">
      <c r="C511" t="str">
        <f>IFERROR(IF(B511="","",VLOOKUP(B511,CadProd!$A:$B,2,0)),"")</f>
        <v/>
      </c>
      <c r="D511" t="str">
        <f>IFERROR(IF(B511="","",VLOOKUP(B511,CadProd!$A:$C,3,0)),"")</f>
        <v/>
      </c>
      <c r="G511" s="1" t="str">
        <f t="shared" si="7"/>
        <v/>
      </c>
    </row>
    <row r="512" spans="3:7" x14ac:dyDescent="0.3">
      <c r="C512" t="str">
        <f>IFERROR(IF(B512="","",VLOOKUP(B512,CadProd!$A:$B,2,0)),"")</f>
        <v/>
      </c>
      <c r="D512" t="str">
        <f>IFERROR(IF(B512="","",VLOOKUP(B512,CadProd!$A:$C,3,0)),"")</f>
        <v/>
      </c>
      <c r="G512" s="1" t="str">
        <f t="shared" si="7"/>
        <v/>
      </c>
    </row>
    <row r="513" spans="3:7" x14ac:dyDescent="0.3">
      <c r="C513" t="str">
        <f>IFERROR(IF(B513="","",VLOOKUP(B513,CadProd!$A:$B,2,0)),"")</f>
        <v/>
      </c>
      <c r="D513" t="str">
        <f>IFERROR(IF(B513="","",VLOOKUP(B513,CadProd!$A:$C,3,0)),"")</f>
        <v/>
      </c>
      <c r="G513" s="1" t="str">
        <f t="shared" si="7"/>
        <v/>
      </c>
    </row>
    <row r="514" spans="3:7" x14ac:dyDescent="0.3">
      <c r="C514" t="str">
        <f>IFERROR(IF(B514="","",VLOOKUP(B514,CadProd!$A:$B,2,0)),"")</f>
        <v/>
      </c>
      <c r="D514" t="str">
        <f>IFERROR(IF(B514="","",VLOOKUP(B514,CadProd!$A:$C,3,0)),"")</f>
        <v/>
      </c>
      <c r="G514" s="1" t="str">
        <f t="shared" si="7"/>
        <v/>
      </c>
    </row>
    <row r="515" spans="3:7" x14ac:dyDescent="0.3">
      <c r="C515" t="str">
        <f>IFERROR(IF(B515="","",VLOOKUP(B515,CadProd!$A:$B,2,0)),"")</f>
        <v/>
      </c>
      <c r="D515" t="str">
        <f>IFERROR(IF(B515="","",VLOOKUP(B515,CadProd!$A:$C,3,0)),"")</f>
        <v/>
      </c>
      <c r="G515" s="1" t="str">
        <f t="shared" si="7"/>
        <v/>
      </c>
    </row>
    <row r="516" spans="3:7" x14ac:dyDescent="0.3">
      <c r="C516" t="str">
        <f>IFERROR(IF(B516="","",VLOOKUP(B516,CadProd!$A:$B,2,0)),"")</f>
        <v/>
      </c>
      <c r="D516" t="str">
        <f>IFERROR(IF(B516="","",VLOOKUP(B516,CadProd!$A:$C,3,0)),"")</f>
        <v/>
      </c>
      <c r="G516" s="1" t="str">
        <f t="shared" si="7"/>
        <v/>
      </c>
    </row>
    <row r="517" spans="3:7" x14ac:dyDescent="0.3">
      <c r="C517" t="str">
        <f>IFERROR(IF(B517="","",VLOOKUP(B517,CadProd!$A:$B,2,0)),"")</f>
        <v/>
      </c>
      <c r="D517" t="str">
        <f>IFERROR(IF(B517="","",VLOOKUP(B517,CadProd!$A:$C,3,0)),"")</f>
        <v/>
      </c>
      <c r="G517" s="1" t="str">
        <f t="shared" si="7"/>
        <v/>
      </c>
    </row>
    <row r="518" spans="3:7" x14ac:dyDescent="0.3">
      <c r="C518" t="str">
        <f>IFERROR(IF(B518="","",VLOOKUP(B518,CadProd!$A:$B,2,0)),"")</f>
        <v/>
      </c>
      <c r="D518" t="str">
        <f>IFERROR(IF(B518="","",VLOOKUP(B518,CadProd!$A:$C,3,0)),"")</f>
        <v/>
      </c>
      <c r="G518" s="1" t="str">
        <f t="shared" si="7"/>
        <v/>
      </c>
    </row>
    <row r="519" spans="3:7" x14ac:dyDescent="0.3">
      <c r="C519" t="str">
        <f>IFERROR(IF(B519="","",VLOOKUP(B519,CadProd!$A:$B,2,0)),"")</f>
        <v/>
      </c>
      <c r="D519" t="str">
        <f>IFERROR(IF(B519="","",VLOOKUP(B519,CadProd!$A:$C,3,0)),"")</f>
        <v/>
      </c>
      <c r="G519" s="1" t="str">
        <f t="shared" si="7"/>
        <v/>
      </c>
    </row>
    <row r="520" spans="3:7" x14ac:dyDescent="0.3">
      <c r="C520" t="str">
        <f>IFERROR(IF(B520="","",VLOOKUP(B520,CadProd!$A:$B,2,0)),"")</f>
        <v/>
      </c>
      <c r="D520" t="str">
        <f>IFERROR(IF(B520="","",VLOOKUP(B520,CadProd!$A:$C,3,0)),"")</f>
        <v/>
      </c>
      <c r="G520" s="1" t="str">
        <f t="shared" si="7"/>
        <v/>
      </c>
    </row>
    <row r="521" spans="3:7" x14ac:dyDescent="0.3">
      <c r="C521" t="str">
        <f>IFERROR(IF(B521="","",VLOOKUP(B521,CadProd!$A:$B,2,0)),"")</f>
        <v/>
      </c>
      <c r="D521" t="str">
        <f>IFERROR(IF(B521="","",VLOOKUP(B521,CadProd!$A:$C,3,0)),"")</f>
        <v/>
      </c>
      <c r="G521" s="1" t="str">
        <f t="shared" si="7"/>
        <v/>
      </c>
    </row>
    <row r="522" spans="3:7" x14ac:dyDescent="0.3">
      <c r="C522" t="str">
        <f>IFERROR(IF(B522="","",VLOOKUP(B522,CadProd!$A:$B,2,0)),"")</f>
        <v/>
      </c>
      <c r="D522" t="str">
        <f>IFERROR(IF(B522="","",VLOOKUP(B522,CadProd!$A:$C,3,0)),"")</f>
        <v/>
      </c>
      <c r="G522" s="1" t="str">
        <f t="shared" si="7"/>
        <v/>
      </c>
    </row>
    <row r="523" spans="3:7" x14ac:dyDescent="0.3">
      <c r="C523" t="str">
        <f>IFERROR(IF(B523="","",VLOOKUP(B523,CadProd!$A:$B,2,0)),"")</f>
        <v/>
      </c>
      <c r="D523" t="str">
        <f>IFERROR(IF(B523="","",VLOOKUP(B523,CadProd!$A:$C,3,0)),"")</f>
        <v/>
      </c>
      <c r="G523" s="1" t="str">
        <f t="shared" ref="G523:G586" si="8">IFERROR(IF(B523="","",F523*E523),"")</f>
        <v/>
      </c>
    </row>
    <row r="524" spans="3:7" x14ac:dyDescent="0.3">
      <c r="C524" t="str">
        <f>IFERROR(IF(B524="","",VLOOKUP(B524,CadProd!$A:$B,2,0)),"")</f>
        <v/>
      </c>
      <c r="D524" t="str">
        <f>IFERROR(IF(B524="","",VLOOKUP(B524,CadProd!$A:$C,3,0)),"")</f>
        <v/>
      </c>
      <c r="G524" s="1" t="str">
        <f t="shared" si="8"/>
        <v/>
      </c>
    </row>
    <row r="525" spans="3:7" x14ac:dyDescent="0.3">
      <c r="C525" t="str">
        <f>IFERROR(IF(B525="","",VLOOKUP(B525,CadProd!$A:$B,2,0)),"")</f>
        <v/>
      </c>
      <c r="D525" t="str">
        <f>IFERROR(IF(B525="","",VLOOKUP(B525,CadProd!$A:$C,3,0)),"")</f>
        <v/>
      </c>
      <c r="G525" s="1" t="str">
        <f t="shared" si="8"/>
        <v/>
      </c>
    </row>
    <row r="526" spans="3:7" x14ac:dyDescent="0.3">
      <c r="C526" t="str">
        <f>IFERROR(IF(B526="","",VLOOKUP(B526,CadProd!$A:$B,2,0)),"")</f>
        <v/>
      </c>
      <c r="D526" t="str">
        <f>IFERROR(IF(B526="","",VLOOKUP(B526,CadProd!$A:$C,3,0)),"")</f>
        <v/>
      </c>
      <c r="G526" s="1" t="str">
        <f t="shared" si="8"/>
        <v/>
      </c>
    </row>
    <row r="527" spans="3:7" x14ac:dyDescent="0.3">
      <c r="C527" t="str">
        <f>IFERROR(IF(B527="","",VLOOKUP(B527,CadProd!$A:$B,2,0)),"")</f>
        <v/>
      </c>
      <c r="D527" t="str">
        <f>IFERROR(IF(B527="","",VLOOKUP(B527,CadProd!$A:$C,3,0)),"")</f>
        <v/>
      </c>
      <c r="G527" s="1" t="str">
        <f t="shared" si="8"/>
        <v/>
      </c>
    </row>
    <row r="528" spans="3:7" x14ac:dyDescent="0.3">
      <c r="C528" t="str">
        <f>IFERROR(IF(B528="","",VLOOKUP(B528,CadProd!$A:$B,2,0)),"")</f>
        <v/>
      </c>
      <c r="D528" t="str">
        <f>IFERROR(IF(B528="","",VLOOKUP(B528,CadProd!$A:$C,3,0)),"")</f>
        <v/>
      </c>
      <c r="G528" s="1" t="str">
        <f t="shared" si="8"/>
        <v/>
      </c>
    </row>
    <row r="529" spans="3:7" x14ac:dyDescent="0.3">
      <c r="C529" t="str">
        <f>IFERROR(IF(B529="","",VLOOKUP(B529,CadProd!$A:$B,2,0)),"")</f>
        <v/>
      </c>
      <c r="D529" t="str">
        <f>IFERROR(IF(B529="","",VLOOKUP(B529,CadProd!$A:$C,3,0)),"")</f>
        <v/>
      </c>
      <c r="G529" s="1" t="str">
        <f t="shared" si="8"/>
        <v/>
      </c>
    </row>
    <row r="530" spans="3:7" x14ac:dyDescent="0.3">
      <c r="C530" t="str">
        <f>IFERROR(IF(B530="","",VLOOKUP(B530,CadProd!$A:$B,2,0)),"")</f>
        <v/>
      </c>
      <c r="D530" t="str">
        <f>IFERROR(IF(B530="","",VLOOKUP(B530,CadProd!$A:$C,3,0)),"")</f>
        <v/>
      </c>
      <c r="G530" s="1" t="str">
        <f t="shared" si="8"/>
        <v/>
      </c>
    </row>
    <row r="531" spans="3:7" x14ac:dyDescent="0.3">
      <c r="C531" t="str">
        <f>IFERROR(IF(B531="","",VLOOKUP(B531,CadProd!$A:$B,2,0)),"")</f>
        <v/>
      </c>
      <c r="D531" t="str">
        <f>IFERROR(IF(B531="","",VLOOKUP(B531,CadProd!$A:$C,3,0)),"")</f>
        <v/>
      </c>
      <c r="G531" s="1" t="str">
        <f t="shared" si="8"/>
        <v/>
      </c>
    </row>
    <row r="532" spans="3:7" x14ac:dyDescent="0.3">
      <c r="C532" t="str">
        <f>IFERROR(IF(B532="","",VLOOKUP(B532,CadProd!$A:$B,2,0)),"")</f>
        <v/>
      </c>
      <c r="D532" t="str">
        <f>IFERROR(IF(B532="","",VLOOKUP(B532,CadProd!$A:$C,3,0)),"")</f>
        <v/>
      </c>
      <c r="G532" s="1" t="str">
        <f t="shared" si="8"/>
        <v/>
      </c>
    </row>
    <row r="533" spans="3:7" x14ac:dyDescent="0.3">
      <c r="C533" t="str">
        <f>IFERROR(IF(B533="","",VLOOKUP(B533,CadProd!$A:$B,2,0)),"")</f>
        <v/>
      </c>
      <c r="D533" t="str">
        <f>IFERROR(IF(B533="","",VLOOKUP(B533,CadProd!$A:$C,3,0)),"")</f>
        <v/>
      </c>
      <c r="G533" s="1" t="str">
        <f t="shared" si="8"/>
        <v/>
      </c>
    </row>
    <row r="534" spans="3:7" x14ac:dyDescent="0.3">
      <c r="C534" t="str">
        <f>IFERROR(IF(B534="","",VLOOKUP(B534,CadProd!$A:$B,2,0)),"")</f>
        <v/>
      </c>
      <c r="D534" t="str">
        <f>IFERROR(IF(B534="","",VLOOKUP(B534,CadProd!$A:$C,3,0)),"")</f>
        <v/>
      </c>
      <c r="G534" s="1" t="str">
        <f t="shared" si="8"/>
        <v/>
      </c>
    </row>
    <row r="535" spans="3:7" x14ac:dyDescent="0.3">
      <c r="C535" t="str">
        <f>IFERROR(IF(B535="","",VLOOKUP(B535,CadProd!$A:$B,2,0)),"")</f>
        <v/>
      </c>
      <c r="D535" t="str">
        <f>IFERROR(IF(B535="","",VLOOKUP(B535,CadProd!$A:$C,3,0)),"")</f>
        <v/>
      </c>
      <c r="G535" s="1" t="str">
        <f t="shared" si="8"/>
        <v/>
      </c>
    </row>
    <row r="536" spans="3:7" x14ac:dyDescent="0.3">
      <c r="C536" t="str">
        <f>IFERROR(IF(B536="","",VLOOKUP(B536,CadProd!$A:$B,2,0)),"")</f>
        <v/>
      </c>
      <c r="D536" t="str">
        <f>IFERROR(IF(B536="","",VLOOKUP(B536,CadProd!$A:$C,3,0)),"")</f>
        <v/>
      </c>
      <c r="G536" s="1" t="str">
        <f t="shared" si="8"/>
        <v/>
      </c>
    </row>
    <row r="537" spans="3:7" x14ac:dyDescent="0.3">
      <c r="C537" t="str">
        <f>IFERROR(IF(B537="","",VLOOKUP(B537,CadProd!$A:$B,2,0)),"")</f>
        <v/>
      </c>
      <c r="D537" t="str">
        <f>IFERROR(IF(B537="","",VLOOKUP(B537,CadProd!$A:$C,3,0)),"")</f>
        <v/>
      </c>
      <c r="G537" s="1" t="str">
        <f t="shared" si="8"/>
        <v/>
      </c>
    </row>
    <row r="538" spans="3:7" x14ac:dyDescent="0.3">
      <c r="C538" t="str">
        <f>IFERROR(IF(B538="","",VLOOKUP(B538,CadProd!$A:$B,2,0)),"")</f>
        <v/>
      </c>
      <c r="D538" t="str">
        <f>IFERROR(IF(B538="","",VLOOKUP(B538,CadProd!$A:$C,3,0)),"")</f>
        <v/>
      </c>
      <c r="G538" s="1" t="str">
        <f t="shared" si="8"/>
        <v/>
      </c>
    </row>
    <row r="539" spans="3:7" x14ac:dyDescent="0.3">
      <c r="C539" t="str">
        <f>IFERROR(IF(B539="","",VLOOKUP(B539,CadProd!$A:$B,2,0)),"")</f>
        <v/>
      </c>
      <c r="D539" t="str">
        <f>IFERROR(IF(B539="","",VLOOKUP(B539,CadProd!$A:$C,3,0)),"")</f>
        <v/>
      </c>
      <c r="G539" s="1" t="str">
        <f t="shared" si="8"/>
        <v/>
      </c>
    </row>
    <row r="540" spans="3:7" x14ac:dyDescent="0.3">
      <c r="C540" t="str">
        <f>IFERROR(IF(B540="","",VLOOKUP(B540,CadProd!$A:$B,2,0)),"")</f>
        <v/>
      </c>
      <c r="D540" t="str">
        <f>IFERROR(IF(B540="","",VLOOKUP(B540,CadProd!$A:$C,3,0)),"")</f>
        <v/>
      </c>
      <c r="G540" s="1" t="str">
        <f t="shared" si="8"/>
        <v/>
      </c>
    </row>
    <row r="541" spans="3:7" x14ac:dyDescent="0.3">
      <c r="C541" t="str">
        <f>IFERROR(IF(B541="","",VLOOKUP(B541,CadProd!$A:$B,2,0)),"")</f>
        <v/>
      </c>
      <c r="D541" t="str">
        <f>IFERROR(IF(B541="","",VLOOKUP(B541,CadProd!$A:$C,3,0)),"")</f>
        <v/>
      </c>
      <c r="G541" s="1" t="str">
        <f t="shared" si="8"/>
        <v/>
      </c>
    </row>
    <row r="542" spans="3:7" x14ac:dyDescent="0.3">
      <c r="C542" t="str">
        <f>IFERROR(IF(B542="","",VLOOKUP(B542,CadProd!$A:$B,2,0)),"")</f>
        <v/>
      </c>
      <c r="D542" t="str">
        <f>IFERROR(IF(B542="","",VLOOKUP(B542,CadProd!$A:$C,3,0)),"")</f>
        <v/>
      </c>
      <c r="G542" s="1" t="str">
        <f t="shared" si="8"/>
        <v/>
      </c>
    </row>
    <row r="543" spans="3:7" x14ac:dyDescent="0.3">
      <c r="C543" t="str">
        <f>IFERROR(IF(B543="","",VLOOKUP(B543,CadProd!$A:$B,2,0)),"")</f>
        <v/>
      </c>
      <c r="D543" t="str">
        <f>IFERROR(IF(B543="","",VLOOKUP(B543,CadProd!$A:$C,3,0)),"")</f>
        <v/>
      </c>
      <c r="G543" s="1" t="str">
        <f t="shared" si="8"/>
        <v/>
      </c>
    </row>
    <row r="544" spans="3:7" x14ac:dyDescent="0.3">
      <c r="C544" t="str">
        <f>IFERROR(IF(B544="","",VLOOKUP(B544,CadProd!$A:$B,2,0)),"")</f>
        <v/>
      </c>
      <c r="D544" t="str">
        <f>IFERROR(IF(B544="","",VLOOKUP(B544,CadProd!$A:$C,3,0)),"")</f>
        <v/>
      </c>
      <c r="G544" s="1" t="str">
        <f t="shared" si="8"/>
        <v/>
      </c>
    </row>
    <row r="545" spans="3:7" x14ac:dyDescent="0.3">
      <c r="C545" t="str">
        <f>IFERROR(IF(B545="","",VLOOKUP(B545,CadProd!$A:$B,2,0)),"")</f>
        <v/>
      </c>
      <c r="D545" t="str">
        <f>IFERROR(IF(B545="","",VLOOKUP(B545,CadProd!$A:$C,3,0)),"")</f>
        <v/>
      </c>
      <c r="G545" s="1" t="str">
        <f t="shared" si="8"/>
        <v/>
      </c>
    </row>
    <row r="546" spans="3:7" x14ac:dyDescent="0.3">
      <c r="C546" t="str">
        <f>IFERROR(IF(B546="","",VLOOKUP(B546,CadProd!$A:$B,2,0)),"")</f>
        <v/>
      </c>
      <c r="D546" t="str">
        <f>IFERROR(IF(B546="","",VLOOKUP(B546,CadProd!$A:$C,3,0)),"")</f>
        <v/>
      </c>
      <c r="G546" s="1" t="str">
        <f t="shared" si="8"/>
        <v/>
      </c>
    </row>
    <row r="547" spans="3:7" x14ac:dyDescent="0.3">
      <c r="C547" t="str">
        <f>IFERROR(IF(B547="","",VLOOKUP(B547,CadProd!$A:$B,2,0)),"")</f>
        <v/>
      </c>
      <c r="D547" t="str">
        <f>IFERROR(IF(B547="","",VLOOKUP(B547,CadProd!$A:$C,3,0)),"")</f>
        <v/>
      </c>
      <c r="G547" s="1" t="str">
        <f t="shared" si="8"/>
        <v/>
      </c>
    </row>
    <row r="548" spans="3:7" x14ac:dyDescent="0.3">
      <c r="C548" t="str">
        <f>IFERROR(IF(B548="","",VLOOKUP(B548,CadProd!$A:$B,2,0)),"")</f>
        <v/>
      </c>
      <c r="D548" t="str">
        <f>IFERROR(IF(B548="","",VLOOKUP(B548,CadProd!$A:$C,3,0)),"")</f>
        <v/>
      </c>
      <c r="G548" s="1" t="str">
        <f t="shared" si="8"/>
        <v/>
      </c>
    </row>
    <row r="549" spans="3:7" x14ac:dyDescent="0.3">
      <c r="C549" t="str">
        <f>IFERROR(IF(B549="","",VLOOKUP(B549,CadProd!$A:$B,2,0)),"")</f>
        <v/>
      </c>
      <c r="D549" t="str">
        <f>IFERROR(IF(B549="","",VLOOKUP(B549,CadProd!$A:$C,3,0)),"")</f>
        <v/>
      </c>
      <c r="G549" s="1" t="str">
        <f t="shared" si="8"/>
        <v/>
      </c>
    </row>
    <row r="550" spans="3:7" x14ac:dyDescent="0.3">
      <c r="C550" t="str">
        <f>IFERROR(IF(B550="","",VLOOKUP(B550,CadProd!$A:$B,2,0)),"")</f>
        <v/>
      </c>
      <c r="D550" t="str">
        <f>IFERROR(IF(B550="","",VLOOKUP(B550,CadProd!$A:$C,3,0)),"")</f>
        <v/>
      </c>
      <c r="G550" s="1" t="str">
        <f t="shared" si="8"/>
        <v/>
      </c>
    </row>
    <row r="551" spans="3:7" x14ac:dyDescent="0.3">
      <c r="C551" t="str">
        <f>IFERROR(IF(B551="","",VLOOKUP(B551,CadProd!$A:$B,2,0)),"")</f>
        <v/>
      </c>
      <c r="D551" t="str">
        <f>IFERROR(IF(B551="","",VLOOKUP(B551,CadProd!$A:$C,3,0)),"")</f>
        <v/>
      </c>
      <c r="G551" s="1" t="str">
        <f t="shared" si="8"/>
        <v/>
      </c>
    </row>
    <row r="552" spans="3:7" x14ac:dyDescent="0.3">
      <c r="C552" t="str">
        <f>IFERROR(IF(B552="","",VLOOKUP(B552,CadProd!$A:$B,2,0)),"")</f>
        <v/>
      </c>
      <c r="D552" t="str">
        <f>IFERROR(IF(B552="","",VLOOKUP(B552,CadProd!$A:$C,3,0)),"")</f>
        <v/>
      </c>
      <c r="G552" s="1" t="str">
        <f t="shared" si="8"/>
        <v/>
      </c>
    </row>
    <row r="553" spans="3:7" x14ac:dyDescent="0.3">
      <c r="C553" t="str">
        <f>IFERROR(IF(B553="","",VLOOKUP(B553,CadProd!$A:$B,2,0)),"")</f>
        <v/>
      </c>
      <c r="D553" t="str">
        <f>IFERROR(IF(B553="","",VLOOKUP(B553,CadProd!$A:$C,3,0)),"")</f>
        <v/>
      </c>
      <c r="G553" s="1" t="str">
        <f t="shared" si="8"/>
        <v/>
      </c>
    </row>
    <row r="554" spans="3:7" x14ac:dyDescent="0.3">
      <c r="C554" t="str">
        <f>IFERROR(IF(B554="","",VLOOKUP(B554,CadProd!$A:$B,2,0)),"")</f>
        <v/>
      </c>
      <c r="D554" t="str">
        <f>IFERROR(IF(B554="","",VLOOKUP(B554,CadProd!$A:$C,3,0)),"")</f>
        <v/>
      </c>
      <c r="G554" s="1" t="str">
        <f t="shared" si="8"/>
        <v/>
      </c>
    </row>
    <row r="555" spans="3:7" x14ac:dyDescent="0.3">
      <c r="C555" t="str">
        <f>IFERROR(IF(B555="","",VLOOKUP(B555,CadProd!$A:$B,2,0)),"")</f>
        <v/>
      </c>
      <c r="D555" t="str">
        <f>IFERROR(IF(B555="","",VLOOKUP(B555,CadProd!$A:$C,3,0)),"")</f>
        <v/>
      </c>
      <c r="G555" s="1" t="str">
        <f t="shared" si="8"/>
        <v/>
      </c>
    </row>
    <row r="556" spans="3:7" x14ac:dyDescent="0.3">
      <c r="C556" t="str">
        <f>IFERROR(IF(B556="","",VLOOKUP(B556,CadProd!$A:$B,2,0)),"")</f>
        <v/>
      </c>
      <c r="D556" t="str">
        <f>IFERROR(IF(B556="","",VLOOKUP(B556,CadProd!$A:$C,3,0)),"")</f>
        <v/>
      </c>
      <c r="G556" s="1" t="str">
        <f t="shared" si="8"/>
        <v/>
      </c>
    </row>
    <row r="557" spans="3:7" x14ac:dyDescent="0.3">
      <c r="C557" t="str">
        <f>IFERROR(IF(B557="","",VLOOKUP(B557,CadProd!$A:$B,2,0)),"")</f>
        <v/>
      </c>
      <c r="D557" t="str">
        <f>IFERROR(IF(B557="","",VLOOKUP(B557,CadProd!$A:$C,3,0)),"")</f>
        <v/>
      </c>
      <c r="G557" s="1" t="str">
        <f t="shared" si="8"/>
        <v/>
      </c>
    </row>
    <row r="558" spans="3:7" x14ac:dyDescent="0.3">
      <c r="C558" t="str">
        <f>IFERROR(IF(B558="","",VLOOKUP(B558,CadProd!$A:$B,2,0)),"")</f>
        <v/>
      </c>
      <c r="D558" t="str">
        <f>IFERROR(IF(B558="","",VLOOKUP(B558,CadProd!$A:$C,3,0)),"")</f>
        <v/>
      </c>
      <c r="G558" s="1" t="str">
        <f t="shared" si="8"/>
        <v/>
      </c>
    </row>
    <row r="559" spans="3:7" x14ac:dyDescent="0.3">
      <c r="C559" t="str">
        <f>IFERROR(IF(B559="","",VLOOKUP(B559,CadProd!$A:$B,2,0)),"")</f>
        <v/>
      </c>
      <c r="D559" t="str">
        <f>IFERROR(IF(B559="","",VLOOKUP(B559,CadProd!$A:$C,3,0)),"")</f>
        <v/>
      </c>
      <c r="G559" s="1" t="str">
        <f t="shared" si="8"/>
        <v/>
      </c>
    </row>
    <row r="560" spans="3:7" x14ac:dyDescent="0.3">
      <c r="C560" t="str">
        <f>IFERROR(IF(B560="","",VLOOKUP(B560,CadProd!$A:$B,2,0)),"")</f>
        <v/>
      </c>
      <c r="D560" t="str">
        <f>IFERROR(IF(B560="","",VLOOKUP(B560,CadProd!$A:$C,3,0)),"")</f>
        <v/>
      </c>
      <c r="G560" s="1" t="str">
        <f t="shared" si="8"/>
        <v/>
      </c>
    </row>
    <row r="561" spans="3:7" x14ac:dyDescent="0.3">
      <c r="C561" t="str">
        <f>IFERROR(IF(B561="","",VLOOKUP(B561,CadProd!$A:$B,2,0)),"")</f>
        <v/>
      </c>
      <c r="D561" t="str">
        <f>IFERROR(IF(B561="","",VLOOKUP(B561,CadProd!$A:$C,3,0)),"")</f>
        <v/>
      </c>
      <c r="G561" s="1" t="str">
        <f t="shared" si="8"/>
        <v/>
      </c>
    </row>
    <row r="562" spans="3:7" x14ac:dyDescent="0.3">
      <c r="C562" t="str">
        <f>IFERROR(IF(B562="","",VLOOKUP(B562,CadProd!$A:$B,2,0)),"")</f>
        <v/>
      </c>
      <c r="D562" t="str">
        <f>IFERROR(IF(B562="","",VLOOKUP(B562,CadProd!$A:$C,3,0)),"")</f>
        <v/>
      </c>
      <c r="G562" s="1" t="str">
        <f t="shared" si="8"/>
        <v/>
      </c>
    </row>
    <row r="563" spans="3:7" x14ac:dyDescent="0.3">
      <c r="C563" t="str">
        <f>IFERROR(IF(B563="","",VLOOKUP(B563,CadProd!$A:$B,2,0)),"")</f>
        <v/>
      </c>
      <c r="D563" t="str">
        <f>IFERROR(IF(B563="","",VLOOKUP(B563,CadProd!$A:$C,3,0)),"")</f>
        <v/>
      </c>
      <c r="G563" s="1" t="str">
        <f t="shared" si="8"/>
        <v/>
      </c>
    </row>
    <row r="564" spans="3:7" x14ac:dyDescent="0.3">
      <c r="C564" t="str">
        <f>IFERROR(IF(B564="","",VLOOKUP(B564,CadProd!$A:$B,2,0)),"")</f>
        <v/>
      </c>
      <c r="D564" t="str">
        <f>IFERROR(IF(B564="","",VLOOKUP(B564,CadProd!$A:$C,3,0)),"")</f>
        <v/>
      </c>
      <c r="G564" s="1" t="str">
        <f t="shared" si="8"/>
        <v/>
      </c>
    </row>
    <row r="565" spans="3:7" x14ac:dyDescent="0.3">
      <c r="C565" t="str">
        <f>IFERROR(IF(B565="","",VLOOKUP(B565,CadProd!$A:$B,2,0)),"")</f>
        <v/>
      </c>
      <c r="D565" t="str">
        <f>IFERROR(IF(B565="","",VLOOKUP(B565,CadProd!$A:$C,3,0)),"")</f>
        <v/>
      </c>
      <c r="G565" s="1" t="str">
        <f t="shared" si="8"/>
        <v/>
      </c>
    </row>
    <row r="566" spans="3:7" x14ac:dyDescent="0.3">
      <c r="C566" t="str">
        <f>IFERROR(IF(B566="","",VLOOKUP(B566,CadProd!$A:$B,2,0)),"")</f>
        <v/>
      </c>
      <c r="D566" t="str">
        <f>IFERROR(IF(B566="","",VLOOKUP(B566,CadProd!$A:$C,3,0)),"")</f>
        <v/>
      </c>
      <c r="G566" s="1" t="str">
        <f t="shared" si="8"/>
        <v/>
      </c>
    </row>
    <row r="567" spans="3:7" x14ac:dyDescent="0.3">
      <c r="C567" t="str">
        <f>IFERROR(IF(B567="","",VLOOKUP(B567,CadProd!$A:$B,2,0)),"")</f>
        <v/>
      </c>
      <c r="D567" t="str">
        <f>IFERROR(IF(B567="","",VLOOKUP(B567,CadProd!$A:$C,3,0)),"")</f>
        <v/>
      </c>
      <c r="G567" s="1" t="str">
        <f t="shared" si="8"/>
        <v/>
      </c>
    </row>
    <row r="568" spans="3:7" x14ac:dyDescent="0.3">
      <c r="C568" t="str">
        <f>IFERROR(IF(B568="","",VLOOKUP(B568,CadProd!$A:$B,2,0)),"")</f>
        <v/>
      </c>
      <c r="D568" t="str">
        <f>IFERROR(IF(B568="","",VLOOKUP(B568,CadProd!$A:$C,3,0)),"")</f>
        <v/>
      </c>
      <c r="G568" s="1" t="str">
        <f t="shared" si="8"/>
        <v/>
      </c>
    </row>
    <row r="569" spans="3:7" x14ac:dyDescent="0.3">
      <c r="C569" t="str">
        <f>IFERROR(IF(B569="","",VLOOKUP(B569,CadProd!$A:$B,2,0)),"")</f>
        <v/>
      </c>
      <c r="D569" t="str">
        <f>IFERROR(IF(B569="","",VLOOKUP(B569,CadProd!$A:$C,3,0)),"")</f>
        <v/>
      </c>
      <c r="G569" s="1" t="str">
        <f t="shared" si="8"/>
        <v/>
      </c>
    </row>
    <row r="570" spans="3:7" x14ac:dyDescent="0.3">
      <c r="C570" t="str">
        <f>IFERROR(IF(B570="","",VLOOKUP(B570,CadProd!$A:$B,2,0)),"")</f>
        <v/>
      </c>
      <c r="D570" t="str">
        <f>IFERROR(IF(B570="","",VLOOKUP(B570,CadProd!$A:$C,3,0)),"")</f>
        <v/>
      </c>
      <c r="G570" s="1" t="str">
        <f t="shared" si="8"/>
        <v/>
      </c>
    </row>
    <row r="571" spans="3:7" x14ac:dyDescent="0.3">
      <c r="C571" t="str">
        <f>IFERROR(IF(B571="","",VLOOKUP(B571,CadProd!$A:$B,2,0)),"")</f>
        <v/>
      </c>
      <c r="D571" t="str">
        <f>IFERROR(IF(B571="","",VLOOKUP(B571,CadProd!$A:$C,3,0)),"")</f>
        <v/>
      </c>
      <c r="G571" s="1" t="str">
        <f t="shared" si="8"/>
        <v/>
      </c>
    </row>
    <row r="572" spans="3:7" x14ac:dyDescent="0.3">
      <c r="C572" t="str">
        <f>IFERROR(IF(B572="","",VLOOKUP(B572,CadProd!$A:$B,2,0)),"")</f>
        <v/>
      </c>
      <c r="D572" t="str">
        <f>IFERROR(IF(B572="","",VLOOKUP(B572,CadProd!$A:$C,3,0)),"")</f>
        <v/>
      </c>
      <c r="G572" s="1" t="str">
        <f t="shared" si="8"/>
        <v/>
      </c>
    </row>
    <row r="573" spans="3:7" x14ac:dyDescent="0.3">
      <c r="C573" t="str">
        <f>IFERROR(IF(B573="","",VLOOKUP(B573,CadProd!$A:$B,2,0)),"")</f>
        <v/>
      </c>
      <c r="D573" t="str">
        <f>IFERROR(IF(B573="","",VLOOKUP(B573,CadProd!$A:$C,3,0)),"")</f>
        <v/>
      </c>
      <c r="G573" s="1" t="str">
        <f t="shared" si="8"/>
        <v/>
      </c>
    </row>
    <row r="574" spans="3:7" x14ac:dyDescent="0.3">
      <c r="C574" t="str">
        <f>IFERROR(IF(B574="","",VLOOKUP(B574,CadProd!$A:$B,2,0)),"")</f>
        <v/>
      </c>
      <c r="D574" t="str">
        <f>IFERROR(IF(B574="","",VLOOKUP(B574,CadProd!$A:$C,3,0)),"")</f>
        <v/>
      </c>
      <c r="G574" s="1" t="str">
        <f t="shared" si="8"/>
        <v/>
      </c>
    </row>
    <row r="575" spans="3:7" x14ac:dyDescent="0.3">
      <c r="C575" t="str">
        <f>IFERROR(IF(B575="","",VLOOKUP(B575,CadProd!$A:$B,2,0)),"")</f>
        <v/>
      </c>
      <c r="D575" t="str">
        <f>IFERROR(IF(B575="","",VLOOKUP(B575,CadProd!$A:$C,3,0)),"")</f>
        <v/>
      </c>
      <c r="G575" s="1" t="str">
        <f t="shared" si="8"/>
        <v/>
      </c>
    </row>
    <row r="576" spans="3:7" x14ac:dyDescent="0.3">
      <c r="C576" t="str">
        <f>IFERROR(IF(B576="","",VLOOKUP(B576,CadProd!$A:$B,2,0)),"")</f>
        <v/>
      </c>
      <c r="D576" t="str">
        <f>IFERROR(IF(B576="","",VLOOKUP(B576,CadProd!$A:$C,3,0)),"")</f>
        <v/>
      </c>
      <c r="G576" s="1" t="str">
        <f t="shared" si="8"/>
        <v/>
      </c>
    </row>
    <row r="577" spans="3:7" x14ac:dyDescent="0.3">
      <c r="C577" t="str">
        <f>IFERROR(IF(B577="","",VLOOKUP(B577,CadProd!$A:$B,2,0)),"")</f>
        <v/>
      </c>
      <c r="D577" t="str">
        <f>IFERROR(IF(B577="","",VLOOKUP(B577,CadProd!$A:$C,3,0)),"")</f>
        <v/>
      </c>
      <c r="G577" s="1" t="str">
        <f t="shared" si="8"/>
        <v/>
      </c>
    </row>
    <row r="578" spans="3:7" x14ac:dyDescent="0.3">
      <c r="C578" t="str">
        <f>IFERROR(IF(B578="","",VLOOKUP(B578,CadProd!$A:$B,2,0)),"")</f>
        <v/>
      </c>
      <c r="D578" t="str">
        <f>IFERROR(IF(B578="","",VLOOKUP(B578,CadProd!$A:$C,3,0)),"")</f>
        <v/>
      </c>
      <c r="G578" s="1" t="str">
        <f t="shared" si="8"/>
        <v/>
      </c>
    </row>
    <row r="579" spans="3:7" x14ac:dyDescent="0.3">
      <c r="C579" t="str">
        <f>IFERROR(IF(B579="","",VLOOKUP(B579,CadProd!$A:$B,2,0)),"")</f>
        <v/>
      </c>
      <c r="D579" t="str">
        <f>IFERROR(IF(B579="","",VLOOKUP(B579,CadProd!$A:$C,3,0)),"")</f>
        <v/>
      </c>
      <c r="G579" s="1" t="str">
        <f t="shared" si="8"/>
        <v/>
      </c>
    </row>
    <row r="580" spans="3:7" x14ac:dyDescent="0.3">
      <c r="C580" t="str">
        <f>IFERROR(IF(B580="","",VLOOKUP(B580,CadProd!$A:$B,2,0)),"")</f>
        <v/>
      </c>
      <c r="D580" t="str">
        <f>IFERROR(IF(B580="","",VLOOKUP(B580,CadProd!$A:$C,3,0)),"")</f>
        <v/>
      </c>
      <c r="G580" s="1" t="str">
        <f t="shared" si="8"/>
        <v/>
      </c>
    </row>
    <row r="581" spans="3:7" x14ac:dyDescent="0.3">
      <c r="C581" t="str">
        <f>IFERROR(IF(B581="","",VLOOKUP(B581,CadProd!$A:$B,2,0)),"")</f>
        <v/>
      </c>
      <c r="D581" t="str">
        <f>IFERROR(IF(B581="","",VLOOKUP(B581,CadProd!$A:$C,3,0)),"")</f>
        <v/>
      </c>
      <c r="G581" s="1" t="str">
        <f t="shared" si="8"/>
        <v/>
      </c>
    </row>
    <row r="582" spans="3:7" x14ac:dyDescent="0.3">
      <c r="C582" t="str">
        <f>IFERROR(IF(B582="","",VLOOKUP(B582,CadProd!$A:$B,2,0)),"")</f>
        <v/>
      </c>
      <c r="D582" t="str">
        <f>IFERROR(IF(B582="","",VLOOKUP(B582,CadProd!$A:$C,3,0)),"")</f>
        <v/>
      </c>
      <c r="G582" s="1" t="str">
        <f t="shared" si="8"/>
        <v/>
      </c>
    </row>
    <row r="583" spans="3:7" x14ac:dyDescent="0.3">
      <c r="C583" t="str">
        <f>IFERROR(IF(B583="","",VLOOKUP(B583,CadProd!$A:$B,2,0)),"")</f>
        <v/>
      </c>
      <c r="D583" t="str">
        <f>IFERROR(IF(B583="","",VLOOKUP(B583,CadProd!$A:$C,3,0)),"")</f>
        <v/>
      </c>
      <c r="G583" s="1" t="str">
        <f t="shared" si="8"/>
        <v/>
      </c>
    </row>
    <row r="584" spans="3:7" x14ac:dyDescent="0.3">
      <c r="C584" t="str">
        <f>IFERROR(IF(B584="","",VLOOKUP(B584,CadProd!$A:$B,2,0)),"")</f>
        <v/>
      </c>
      <c r="D584" t="str">
        <f>IFERROR(IF(B584="","",VLOOKUP(B584,CadProd!$A:$C,3,0)),"")</f>
        <v/>
      </c>
      <c r="G584" s="1" t="str">
        <f t="shared" si="8"/>
        <v/>
      </c>
    </row>
    <row r="585" spans="3:7" x14ac:dyDescent="0.3">
      <c r="C585" t="str">
        <f>IFERROR(IF(B585="","",VLOOKUP(B585,CadProd!$A:$B,2,0)),"")</f>
        <v/>
      </c>
      <c r="D585" t="str">
        <f>IFERROR(IF(B585="","",VLOOKUP(B585,CadProd!$A:$C,3,0)),"")</f>
        <v/>
      </c>
      <c r="G585" s="1" t="str">
        <f t="shared" si="8"/>
        <v/>
      </c>
    </row>
    <row r="586" spans="3:7" x14ac:dyDescent="0.3">
      <c r="C586" t="str">
        <f>IFERROR(IF(B586="","",VLOOKUP(B586,CadProd!$A:$B,2,0)),"")</f>
        <v/>
      </c>
      <c r="D586" t="str">
        <f>IFERROR(IF(B586="","",VLOOKUP(B586,CadProd!$A:$C,3,0)),"")</f>
        <v/>
      </c>
      <c r="G586" s="1" t="str">
        <f t="shared" si="8"/>
        <v/>
      </c>
    </row>
    <row r="587" spans="3:7" x14ac:dyDescent="0.3">
      <c r="C587" t="str">
        <f>IFERROR(IF(B587="","",VLOOKUP(B587,CadProd!$A:$B,2,0)),"")</f>
        <v/>
      </c>
      <c r="D587" t="str">
        <f>IFERROR(IF(B587="","",VLOOKUP(B587,CadProd!$A:$C,3,0)),"")</f>
        <v/>
      </c>
      <c r="G587" s="1" t="str">
        <f t="shared" ref="G587:G650" si="9">IFERROR(IF(B587="","",F587*E587),"")</f>
        <v/>
      </c>
    </row>
    <row r="588" spans="3:7" x14ac:dyDescent="0.3">
      <c r="C588" t="str">
        <f>IFERROR(IF(B588="","",VLOOKUP(B588,CadProd!$A:$B,2,0)),"")</f>
        <v/>
      </c>
      <c r="D588" t="str">
        <f>IFERROR(IF(B588="","",VLOOKUP(B588,CadProd!$A:$C,3,0)),"")</f>
        <v/>
      </c>
      <c r="G588" s="1" t="str">
        <f t="shared" si="9"/>
        <v/>
      </c>
    </row>
    <row r="589" spans="3:7" x14ac:dyDescent="0.3">
      <c r="C589" t="str">
        <f>IFERROR(IF(B589="","",VLOOKUP(B589,CadProd!$A:$B,2,0)),"")</f>
        <v/>
      </c>
      <c r="D589" t="str">
        <f>IFERROR(IF(B589="","",VLOOKUP(B589,CadProd!$A:$C,3,0)),"")</f>
        <v/>
      </c>
      <c r="G589" s="1" t="str">
        <f t="shared" si="9"/>
        <v/>
      </c>
    </row>
    <row r="590" spans="3:7" x14ac:dyDescent="0.3">
      <c r="C590" t="str">
        <f>IFERROR(IF(B590="","",VLOOKUP(B590,CadProd!$A:$B,2,0)),"")</f>
        <v/>
      </c>
      <c r="D590" t="str">
        <f>IFERROR(IF(B590="","",VLOOKUP(B590,CadProd!$A:$C,3,0)),"")</f>
        <v/>
      </c>
      <c r="G590" s="1" t="str">
        <f t="shared" si="9"/>
        <v/>
      </c>
    </row>
    <row r="591" spans="3:7" x14ac:dyDescent="0.3">
      <c r="C591" t="str">
        <f>IFERROR(IF(B591="","",VLOOKUP(B591,CadProd!$A:$B,2,0)),"")</f>
        <v/>
      </c>
      <c r="D591" t="str">
        <f>IFERROR(IF(B591="","",VLOOKUP(B591,CadProd!$A:$C,3,0)),"")</f>
        <v/>
      </c>
      <c r="G591" s="1" t="str">
        <f t="shared" si="9"/>
        <v/>
      </c>
    </row>
    <row r="592" spans="3:7" x14ac:dyDescent="0.3">
      <c r="C592" t="str">
        <f>IFERROR(IF(B592="","",VLOOKUP(B592,CadProd!$A:$B,2,0)),"")</f>
        <v/>
      </c>
      <c r="D592" t="str">
        <f>IFERROR(IF(B592="","",VLOOKUP(B592,CadProd!$A:$C,3,0)),"")</f>
        <v/>
      </c>
      <c r="G592" s="1" t="str">
        <f t="shared" si="9"/>
        <v/>
      </c>
    </row>
    <row r="593" spans="3:7" x14ac:dyDescent="0.3">
      <c r="C593" t="str">
        <f>IFERROR(IF(B593="","",VLOOKUP(B593,CadProd!$A:$B,2,0)),"")</f>
        <v/>
      </c>
      <c r="D593" t="str">
        <f>IFERROR(IF(B593="","",VLOOKUP(B593,CadProd!$A:$C,3,0)),"")</f>
        <v/>
      </c>
      <c r="G593" s="1" t="str">
        <f t="shared" si="9"/>
        <v/>
      </c>
    </row>
    <row r="594" spans="3:7" x14ac:dyDescent="0.3">
      <c r="C594" t="str">
        <f>IFERROR(IF(B594="","",VLOOKUP(B594,CadProd!$A:$B,2,0)),"")</f>
        <v/>
      </c>
      <c r="D594" t="str">
        <f>IFERROR(IF(B594="","",VLOOKUP(B594,CadProd!$A:$C,3,0)),"")</f>
        <v/>
      </c>
      <c r="G594" s="1" t="str">
        <f t="shared" si="9"/>
        <v/>
      </c>
    </row>
    <row r="595" spans="3:7" x14ac:dyDescent="0.3">
      <c r="C595" t="str">
        <f>IFERROR(IF(B595="","",VLOOKUP(B595,CadProd!$A:$B,2,0)),"")</f>
        <v/>
      </c>
      <c r="D595" t="str">
        <f>IFERROR(IF(B595="","",VLOOKUP(B595,CadProd!$A:$C,3,0)),"")</f>
        <v/>
      </c>
      <c r="G595" s="1" t="str">
        <f t="shared" si="9"/>
        <v/>
      </c>
    </row>
    <row r="596" spans="3:7" x14ac:dyDescent="0.3">
      <c r="C596" t="str">
        <f>IFERROR(IF(B596="","",VLOOKUP(B596,CadProd!$A:$B,2,0)),"")</f>
        <v/>
      </c>
      <c r="D596" t="str">
        <f>IFERROR(IF(B596="","",VLOOKUP(B596,CadProd!$A:$C,3,0)),"")</f>
        <v/>
      </c>
      <c r="G596" s="1" t="str">
        <f t="shared" si="9"/>
        <v/>
      </c>
    </row>
    <row r="597" spans="3:7" x14ac:dyDescent="0.3">
      <c r="C597" t="str">
        <f>IFERROR(IF(B597="","",VLOOKUP(B597,CadProd!$A:$B,2,0)),"")</f>
        <v/>
      </c>
      <c r="D597" t="str">
        <f>IFERROR(IF(B597="","",VLOOKUP(B597,CadProd!$A:$C,3,0)),"")</f>
        <v/>
      </c>
      <c r="G597" s="1" t="str">
        <f t="shared" si="9"/>
        <v/>
      </c>
    </row>
    <row r="598" spans="3:7" x14ac:dyDescent="0.3">
      <c r="C598" t="str">
        <f>IFERROR(IF(B598="","",VLOOKUP(B598,CadProd!$A:$B,2,0)),"")</f>
        <v/>
      </c>
      <c r="D598" t="str">
        <f>IFERROR(IF(B598="","",VLOOKUP(B598,CadProd!$A:$C,3,0)),"")</f>
        <v/>
      </c>
      <c r="G598" s="1" t="str">
        <f t="shared" si="9"/>
        <v/>
      </c>
    </row>
    <row r="599" spans="3:7" x14ac:dyDescent="0.3">
      <c r="C599" t="str">
        <f>IFERROR(IF(B599="","",VLOOKUP(B599,CadProd!$A:$B,2,0)),"")</f>
        <v/>
      </c>
      <c r="D599" t="str">
        <f>IFERROR(IF(B599="","",VLOOKUP(B599,CadProd!$A:$C,3,0)),"")</f>
        <v/>
      </c>
      <c r="G599" s="1" t="str">
        <f t="shared" si="9"/>
        <v/>
      </c>
    </row>
    <row r="600" spans="3:7" x14ac:dyDescent="0.3">
      <c r="C600" t="str">
        <f>IFERROR(IF(B600="","",VLOOKUP(B600,CadProd!$A:$B,2,0)),"")</f>
        <v/>
      </c>
      <c r="D600" t="str">
        <f>IFERROR(IF(B600="","",VLOOKUP(B600,CadProd!$A:$C,3,0)),"")</f>
        <v/>
      </c>
      <c r="G600" s="1" t="str">
        <f t="shared" si="9"/>
        <v/>
      </c>
    </row>
    <row r="601" spans="3:7" x14ac:dyDescent="0.3">
      <c r="C601" t="str">
        <f>IFERROR(IF(B601="","",VLOOKUP(B601,CadProd!$A:$B,2,0)),"")</f>
        <v/>
      </c>
      <c r="D601" t="str">
        <f>IFERROR(IF(B601="","",VLOOKUP(B601,CadProd!$A:$C,3,0)),"")</f>
        <v/>
      </c>
      <c r="G601" s="1" t="str">
        <f t="shared" si="9"/>
        <v/>
      </c>
    </row>
    <row r="602" spans="3:7" x14ac:dyDescent="0.3">
      <c r="C602" t="str">
        <f>IFERROR(IF(B602="","",VLOOKUP(B602,CadProd!$A:$B,2,0)),"")</f>
        <v/>
      </c>
      <c r="D602" t="str">
        <f>IFERROR(IF(B602="","",VLOOKUP(B602,CadProd!$A:$C,3,0)),"")</f>
        <v/>
      </c>
      <c r="G602" s="1" t="str">
        <f t="shared" si="9"/>
        <v/>
      </c>
    </row>
    <row r="603" spans="3:7" x14ac:dyDescent="0.3">
      <c r="C603" t="str">
        <f>IFERROR(IF(B603="","",VLOOKUP(B603,CadProd!$A:$B,2,0)),"")</f>
        <v/>
      </c>
      <c r="D603" t="str">
        <f>IFERROR(IF(B603="","",VLOOKUP(B603,CadProd!$A:$C,3,0)),"")</f>
        <v/>
      </c>
      <c r="G603" s="1" t="str">
        <f t="shared" si="9"/>
        <v/>
      </c>
    </row>
    <row r="604" spans="3:7" x14ac:dyDescent="0.3">
      <c r="C604" t="str">
        <f>IFERROR(IF(B604="","",VLOOKUP(B604,CadProd!$A:$B,2,0)),"")</f>
        <v/>
      </c>
      <c r="D604" t="str">
        <f>IFERROR(IF(B604="","",VLOOKUP(B604,CadProd!$A:$C,3,0)),"")</f>
        <v/>
      </c>
      <c r="G604" s="1" t="str">
        <f t="shared" si="9"/>
        <v/>
      </c>
    </row>
    <row r="605" spans="3:7" x14ac:dyDescent="0.3">
      <c r="C605" t="str">
        <f>IFERROR(IF(B605="","",VLOOKUP(B605,CadProd!$A:$B,2,0)),"")</f>
        <v/>
      </c>
      <c r="D605" t="str">
        <f>IFERROR(IF(B605="","",VLOOKUP(B605,CadProd!$A:$C,3,0)),"")</f>
        <v/>
      </c>
      <c r="G605" s="1" t="str">
        <f t="shared" si="9"/>
        <v/>
      </c>
    </row>
    <row r="606" spans="3:7" x14ac:dyDescent="0.3">
      <c r="C606" t="str">
        <f>IFERROR(IF(B606="","",VLOOKUP(B606,CadProd!$A:$B,2,0)),"")</f>
        <v/>
      </c>
      <c r="D606" t="str">
        <f>IFERROR(IF(B606="","",VLOOKUP(B606,CadProd!$A:$C,3,0)),"")</f>
        <v/>
      </c>
      <c r="G606" s="1" t="str">
        <f t="shared" si="9"/>
        <v/>
      </c>
    </row>
    <row r="607" spans="3:7" x14ac:dyDescent="0.3">
      <c r="C607" t="str">
        <f>IFERROR(IF(B607="","",VLOOKUP(B607,CadProd!$A:$B,2,0)),"")</f>
        <v/>
      </c>
      <c r="D607" t="str">
        <f>IFERROR(IF(B607="","",VLOOKUP(B607,CadProd!$A:$C,3,0)),"")</f>
        <v/>
      </c>
      <c r="G607" s="1" t="str">
        <f t="shared" si="9"/>
        <v/>
      </c>
    </row>
    <row r="608" spans="3:7" x14ac:dyDescent="0.3">
      <c r="C608" t="str">
        <f>IFERROR(IF(B608="","",VLOOKUP(B608,CadProd!$A:$B,2,0)),"")</f>
        <v/>
      </c>
      <c r="D608" t="str">
        <f>IFERROR(IF(B608="","",VLOOKUP(B608,CadProd!$A:$C,3,0)),"")</f>
        <v/>
      </c>
      <c r="G608" s="1" t="str">
        <f t="shared" si="9"/>
        <v/>
      </c>
    </row>
    <row r="609" spans="3:7" x14ac:dyDescent="0.3">
      <c r="C609" t="str">
        <f>IFERROR(IF(B609="","",VLOOKUP(B609,CadProd!$A:$B,2,0)),"")</f>
        <v/>
      </c>
      <c r="D609" t="str">
        <f>IFERROR(IF(B609="","",VLOOKUP(B609,CadProd!$A:$C,3,0)),"")</f>
        <v/>
      </c>
      <c r="G609" s="1" t="str">
        <f t="shared" si="9"/>
        <v/>
      </c>
    </row>
    <row r="610" spans="3:7" x14ac:dyDescent="0.3">
      <c r="C610" t="str">
        <f>IFERROR(IF(B610="","",VLOOKUP(B610,CadProd!$A:$B,2,0)),"")</f>
        <v/>
      </c>
      <c r="D610" t="str">
        <f>IFERROR(IF(B610="","",VLOOKUP(B610,CadProd!$A:$C,3,0)),"")</f>
        <v/>
      </c>
      <c r="G610" s="1" t="str">
        <f t="shared" si="9"/>
        <v/>
      </c>
    </row>
    <row r="611" spans="3:7" x14ac:dyDescent="0.3">
      <c r="C611" t="str">
        <f>IFERROR(IF(B611="","",VLOOKUP(B611,CadProd!$A:$B,2,0)),"")</f>
        <v/>
      </c>
      <c r="D611" t="str">
        <f>IFERROR(IF(B611="","",VLOOKUP(B611,CadProd!$A:$C,3,0)),"")</f>
        <v/>
      </c>
      <c r="G611" s="1" t="str">
        <f t="shared" si="9"/>
        <v/>
      </c>
    </row>
    <row r="612" spans="3:7" x14ac:dyDescent="0.3">
      <c r="C612" t="str">
        <f>IFERROR(IF(B612="","",VLOOKUP(B612,CadProd!$A:$B,2,0)),"")</f>
        <v/>
      </c>
      <c r="D612" t="str">
        <f>IFERROR(IF(B612="","",VLOOKUP(B612,CadProd!$A:$C,3,0)),"")</f>
        <v/>
      </c>
      <c r="G612" s="1" t="str">
        <f t="shared" si="9"/>
        <v/>
      </c>
    </row>
    <row r="613" spans="3:7" x14ac:dyDescent="0.3">
      <c r="C613" t="str">
        <f>IFERROR(IF(B613="","",VLOOKUP(B613,CadProd!$A:$B,2,0)),"")</f>
        <v/>
      </c>
      <c r="D613" t="str">
        <f>IFERROR(IF(B613="","",VLOOKUP(B613,CadProd!$A:$C,3,0)),"")</f>
        <v/>
      </c>
      <c r="G613" s="1" t="str">
        <f t="shared" si="9"/>
        <v/>
      </c>
    </row>
    <row r="614" spans="3:7" x14ac:dyDescent="0.3">
      <c r="C614" t="str">
        <f>IFERROR(IF(B614="","",VLOOKUP(B614,CadProd!$A:$B,2,0)),"")</f>
        <v/>
      </c>
      <c r="D614" t="str">
        <f>IFERROR(IF(B614="","",VLOOKUP(B614,CadProd!$A:$C,3,0)),"")</f>
        <v/>
      </c>
      <c r="G614" s="1" t="str">
        <f t="shared" si="9"/>
        <v/>
      </c>
    </row>
    <row r="615" spans="3:7" x14ac:dyDescent="0.3">
      <c r="C615" t="str">
        <f>IFERROR(IF(B615="","",VLOOKUP(B615,CadProd!$A:$B,2,0)),"")</f>
        <v/>
      </c>
      <c r="D615" t="str">
        <f>IFERROR(IF(B615="","",VLOOKUP(B615,CadProd!$A:$C,3,0)),"")</f>
        <v/>
      </c>
      <c r="G615" s="1" t="str">
        <f t="shared" si="9"/>
        <v/>
      </c>
    </row>
    <row r="616" spans="3:7" x14ac:dyDescent="0.3">
      <c r="C616" t="str">
        <f>IFERROR(IF(B616="","",VLOOKUP(B616,CadProd!$A:$B,2,0)),"")</f>
        <v/>
      </c>
      <c r="D616" t="str">
        <f>IFERROR(IF(B616="","",VLOOKUP(B616,CadProd!$A:$C,3,0)),"")</f>
        <v/>
      </c>
      <c r="G616" s="1" t="str">
        <f t="shared" si="9"/>
        <v/>
      </c>
    </row>
    <row r="617" spans="3:7" x14ac:dyDescent="0.3">
      <c r="C617" t="str">
        <f>IFERROR(IF(B617="","",VLOOKUP(B617,CadProd!$A:$B,2,0)),"")</f>
        <v/>
      </c>
      <c r="D617" t="str">
        <f>IFERROR(IF(B617="","",VLOOKUP(B617,CadProd!$A:$C,3,0)),"")</f>
        <v/>
      </c>
      <c r="G617" s="1" t="str">
        <f t="shared" si="9"/>
        <v/>
      </c>
    </row>
    <row r="618" spans="3:7" x14ac:dyDescent="0.3">
      <c r="C618" t="str">
        <f>IFERROR(IF(B618="","",VLOOKUP(B618,CadProd!$A:$B,2,0)),"")</f>
        <v/>
      </c>
      <c r="D618" t="str">
        <f>IFERROR(IF(B618="","",VLOOKUP(B618,CadProd!$A:$C,3,0)),"")</f>
        <v/>
      </c>
      <c r="G618" s="1" t="str">
        <f t="shared" si="9"/>
        <v/>
      </c>
    </row>
    <row r="619" spans="3:7" x14ac:dyDescent="0.3">
      <c r="C619" t="str">
        <f>IFERROR(IF(B619="","",VLOOKUP(B619,CadProd!$A:$B,2,0)),"")</f>
        <v/>
      </c>
      <c r="D619" t="str">
        <f>IFERROR(IF(B619="","",VLOOKUP(B619,CadProd!$A:$C,3,0)),"")</f>
        <v/>
      </c>
      <c r="G619" s="1" t="str">
        <f t="shared" si="9"/>
        <v/>
      </c>
    </row>
    <row r="620" spans="3:7" x14ac:dyDescent="0.3">
      <c r="C620" t="str">
        <f>IFERROR(IF(B620="","",VLOOKUP(B620,CadProd!$A:$B,2,0)),"")</f>
        <v/>
      </c>
      <c r="D620" t="str">
        <f>IFERROR(IF(B620="","",VLOOKUP(B620,CadProd!$A:$C,3,0)),"")</f>
        <v/>
      </c>
      <c r="G620" s="1" t="str">
        <f t="shared" si="9"/>
        <v/>
      </c>
    </row>
    <row r="621" spans="3:7" x14ac:dyDescent="0.3">
      <c r="C621" t="str">
        <f>IFERROR(IF(B621="","",VLOOKUP(B621,CadProd!$A:$B,2,0)),"")</f>
        <v/>
      </c>
      <c r="D621" t="str">
        <f>IFERROR(IF(B621="","",VLOOKUP(B621,CadProd!$A:$C,3,0)),"")</f>
        <v/>
      </c>
      <c r="G621" s="1" t="str">
        <f t="shared" si="9"/>
        <v/>
      </c>
    </row>
    <row r="622" spans="3:7" x14ac:dyDescent="0.3">
      <c r="C622" t="str">
        <f>IFERROR(IF(B622="","",VLOOKUP(B622,CadProd!$A:$B,2,0)),"")</f>
        <v/>
      </c>
      <c r="D622" t="str">
        <f>IFERROR(IF(B622="","",VLOOKUP(B622,CadProd!$A:$C,3,0)),"")</f>
        <v/>
      </c>
      <c r="G622" s="1" t="str">
        <f t="shared" si="9"/>
        <v/>
      </c>
    </row>
    <row r="623" spans="3:7" x14ac:dyDescent="0.3">
      <c r="C623" t="str">
        <f>IFERROR(IF(B623="","",VLOOKUP(B623,CadProd!$A:$B,2,0)),"")</f>
        <v/>
      </c>
      <c r="D623" t="str">
        <f>IFERROR(IF(B623="","",VLOOKUP(B623,CadProd!$A:$C,3,0)),"")</f>
        <v/>
      </c>
      <c r="G623" s="1" t="str">
        <f t="shared" si="9"/>
        <v/>
      </c>
    </row>
    <row r="624" spans="3:7" x14ac:dyDescent="0.3">
      <c r="C624" t="str">
        <f>IFERROR(IF(B624="","",VLOOKUP(B624,CadProd!$A:$B,2,0)),"")</f>
        <v/>
      </c>
      <c r="D624" t="str">
        <f>IFERROR(IF(B624="","",VLOOKUP(B624,CadProd!$A:$C,3,0)),"")</f>
        <v/>
      </c>
      <c r="G624" s="1" t="str">
        <f t="shared" si="9"/>
        <v/>
      </c>
    </row>
    <row r="625" spans="3:7" x14ac:dyDescent="0.3">
      <c r="C625" t="str">
        <f>IFERROR(IF(B625="","",VLOOKUP(B625,CadProd!$A:$B,2,0)),"")</f>
        <v/>
      </c>
      <c r="D625" t="str">
        <f>IFERROR(IF(B625="","",VLOOKUP(B625,CadProd!$A:$C,3,0)),"")</f>
        <v/>
      </c>
      <c r="G625" s="1" t="str">
        <f t="shared" si="9"/>
        <v/>
      </c>
    </row>
    <row r="626" spans="3:7" x14ac:dyDescent="0.3">
      <c r="C626" t="str">
        <f>IFERROR(IF(B626="","",VLOOKUP(B626,CadProd!$A:$B,2,0)),"")</f>
        <v/>
      </c>
      <c r="D626" t="str">
        <f>IFERROR(IF(B626="","",VLOOKUP(B626,CadProd!$A:$C,3,0)),"")</f>
        <v/>
      </c>
      <c r="G626" s="1" t="str">
        <f t="shared" si="9"/>
        <v/>
      </c>
    </row>
    <row r="627" spans="3:7" x14ac:dyDescent="0.3">
      <c r="C627" t="str">
        <f>IFERROR(IF(B627="","",VLOOKUP(B627,CadProd!$A:$B,2,0)),"")</f>
        <v/>
      </c>
      <c r="D627" t="str">
        <f>IFERROR(IF(B627="","",VLOOKUP(B627,CadProd!$A:$C,3,0)),"")</f>
        <v/>
      </c>
      <c r="G627" s="1" t="str">
        <f t="shared" si="9"/>
        <v/>
      </c>
    </row>
    <row r="628" spans="3:7" x14ac:dyDescent="0.3">
      <c r="C628" t="str">
        <f>IFERROR(IF(B628="","",VLOOKUP(B628,CadProd!$A:$B,2,0)),"")</f>
        <v/>
      </c>
      <c r="D628" t="str">
        <f>IFERROR(IF(B628="","",VLOOKUP(B628,CadProd!$A:$C,3,0)),"")</f>
        <v/>
      </c>
      <c r="G628" s="1" t="str">
        <f t="shared" si="9"/>
        <v/>
      </c>
    </row>
    <row r="629" spans="3:7" x14ac:dyDescent="0.3">
      <c r="C629" t="str">
        <f>IFERROR(IF(B629="","",VLOOKUP(B629,CadProd!$A:$B,2,0)),"")</f>
        <v/>
      </c>
      <c r="D629" t="str">
        <f>IFERROR(IF(B629="","",VLOOKUP(B629,CadProd!$A:$C,3,0)),"")</f>
        <v/>
      </c>
      <c r="G629" s="1" t="str">
        <f t="shared" si="9"/>
        <v/>
      </c>
    </row>
    <row r="630" spans="3:7" x14ac:dyDescent="0.3">
      <c r="C630" t="str">
        <f>IFERROR(IF(B630="","",VLOOKUP(B630,CadProd!$A:$B,2,0)),"")</f>
        <v/>
      </c>
      <c r="D630" t="str">
        <f>IFERROR(IF(B630="","",VLOOKUP(B630,CadProd!$A:$C,3,0)),"")</f>
        <v/>
      </c>
      <c r="G630" s="1" t="str">
        <f t="shared" si="9"/>
        <v/>
      </c>
    </row>
    <row r="631" spans="3:7" x14ac:dyDescent="0.3">
      <c r="C631" t="str">
        <f>IFERROR(IF(B631="","",VLOOKUP(B631,CadProd!$A:$B,2,0)),"")</f>
        <v/>
      </c>
      <c r="D631" t="str">
        <f>IFERROR(IF(B631="","",VLOOKUP(B631,CadProd!$A:$C,3,0)),"")</f>
        <v/>
      </c>
      <c r="G631" s="1" t="str">
        <f t="shared" si="9"/>
        <v/>
      </c>
    </row>
    <row r="632" spans="3:7" x14ac:dyDescent="0.3">
      <c r="C632" t="str">
        <f>IFERROR(IF(B632="","",VLOOKUP(B632,CadProd!$A:$B,2,0)),"")</f>
        <v/>
      </c>
      <c r="D632" t="str">
        <f>IFERROR(IF(B632="","",VLOOKUP(B632,CadProd!$A:$C,3,0)),"")</f>
        <v/>
      </c>
      <c r="G632" s="1" t="str">
        <f t="shared" si="9"/>
        <v/>
      </c>
    </row>
    <row r="633" spans="3:7" x14ac:dyDescent="0.3">
      <c r="C633" t="str">
        <f>IFERROR(IF(B633="","",VLOOKUP(B633,CadProd!$A:$B,2,0)),"")</f>
        <v/>
      </c>
      <c r="D633" t="str">
        <f>IFERROR(IF(B633="","",VLOOKUP(B633,CadProd!$A:$C,3,0)),"")</f>
        <v/>
      </c>
      <c r="G633" s="1" t="str">
        <f t="shared" si="9"/>
        <v/>
      </c>
    </row>
    <row r="634" spans="3:7" x14ac:dyDescent="0.3">
      <c r="C634" t="str">
        <f>IFERROR(IF(B634="","",VLOOKUP(B634,CadProd!$A:$B,2,0)),"")</f>
        <v/>
      </c>
      <c r="D634" t="str">
        <f>IFERROR(IF(B634="","",VLOOKUP(B634,CadProd!$A:$C,3,0)),"")</f>
        <v/>
      </c>
      <c r="G634" s="1" t="str">
        <f t="shared" si="9"/>
        <v/>
      </c>
    </row>
    <row r="635" spans="3:7" x14ac:dyDescent="0.3">
      <c r="C635" t="str">
        <f>IFERROR(IF(B635="","",VLOOKUP(B635,CadProd!$A:$B,2,0)),"")</f>
        <v/>
      </c>
      <c r="D635" t="str">
        <f>IFERROR(IF(B635="","",VLOOKUP(B635,CadProd!$A:$C,3,0)),"")</f>
        <v/>
      </c>
      <c r="G635" s="1" t="str">
        <f t="shared" si="9"/>
        <v/>
      </c>
    </row>
    <row r="636" spans="3:7" x14ac:dyDescent="0.3">
      <c r="C636" t="str">
        <f>IFERROR(IF(B636="","",VLOOKUP(B636,CadProd!$A:$B,2,0)),"")</f>
        <v/>
      </c>
      <c r="D636" t="str">
        <f>IFERROR(IF(B636="","",VLOOKUP(B636,CadProd!$A:$C,3,0)),"")</f>
        <v/>
      </c>
      <c r="G636" s="1" t="str">
        <f t="shared" si="9"/>
        <v/>
      </c>
    </row>
    <row r="637" spans="3:7" x14ac:dyDescent="0.3">
      <c r="C637" t="str">
        <f>IFERROR(IF(B637="","",VLOOKUP(B637,CadProd!$A:$B,2,0)),"")</f>
        <v/>
      </c>
      <c r="D637" t="str">
        <f>IFERROR(IF(B637="","",VLOOKUP(B637,CadProd!$A:$C,3,0)),"")</f>
        <v/>
      </c>
      <c r="G637" s="1" t="str">
        <f t="shared" si="9"/>
        <v/>
      </c>
    </row>
    <row r="638" spans="3:7" x14ac:dyDescent="0.3">
      <c r="C638" t="str">
        <f>IFERROR(IF(B638="","",VLOOKUP(B638,CadProd!$A:$B,2,0)),"")</f>
        <v/>
      </c>
      <c r="D638" t="str">
        <f>IFERROR(IF(B638="","",VLOOKUP(B638,CadProd!$A:$C,3,0)),"")</f>
        <v/>
      </c>
      <c r="G638" s="1" t="str">
        <f t="shared" si="9"/>
        <v/>
      </c>
    </row>
    <row r="639" spans="3:7" x14ac:dyDescent="0.3">
      <c r="C639" t="str">
        <f>IFERROR(IF(B639="","",VLOOKUP(B639,CadProd!$A:$B,2,0)),"")</f>
        <v/>
      </c>
      <c r="D639" t="str">
        <f>IFERROR(IF(B639="","",VLOOKUP(B639,CadProd!$A:$C,3,0)),"")</f>
        <v/>
      </c>
      <c r="G639" s="1" t="str">
        <f t="shared" si="9"/>
        <v/>
      </c>
    </row>
    <row r="640" spans="3:7" x14ac:dyDescent="0.3">
      <c r="C640" t="str">
        <f>IFERROR(IF(B640="","",VLOOKUP(B640,CadProd!$A:$B,2,0)),"")</f>
        <v/>
      </c>
      <c r="D640" t="str">
        <f>IFERROR(IF(B640="","",VLOOKUP(B640,CadProd!$A:$C,3,0)),"")</f>
        <v/>
      </c>
      <c r="G640" s="1" t="str">
        <f t="shared" si="9"/>
        <v/>
      </c>
    </row>
    <row r="641" spans="3:7" x14ac:dyDescent="0.3">
      <c r="C641" t="str">
        <f>IFERROR(IF(B641="","",VLOOKUP(B641,CadProd!$A:$B,2,0)),"")</f>
        <v/>
      </c>
      <c r="D641" t="str">
        <f>IFERROR(IF(B641="","",VLOOKUP(B641,CadProd!$A:$C,3,0)),"")</f>
        <v/>
      </c>
      <c r="G641" s="1" t="str">
        <f t="shared" si="9"/>
        <v/>
      </c>
    </row>
    <row r="642" spans="3:7" x14ac:dyDescent="0.3">
      <c r="C642" t="str">
        <f>IFERROR(IF(B642="","",VLOOKUP(B642,CadProd!$A:$B,2,0)),"")</f>
        <v/>
      </c>
      <c r="D642" t="str">
        <f>IFERROR(IF(B642="","",VLOOKUP(B642,CadProd!$A:$C,3,0)),"")</f>
        <v/>
      </c>
      <c r="G642" s="1" t="str">
        <f t="shared" si="9"/>
        <v/>
      </c>
    </row>
    <row r="643" spans="3:7" x14ac:dyDescent="0.3">
      <c r="C643" t="str">
        <f>IFERROR(IF(B643="","",VLOOKUP(B643,CadProd!$A:$B,2,0)),"")</f>
        <v/>
      </c>
      <c r="D643" t="str">
        <f>IFERROR(IF(B643="","",VLOOKUP(B643,CadProd!$A:$C,3,0)),"")</f>
        <v/>
      </c>
      <c r="G643" s="1" t="str">
        <f t="shared" si="9"/>
        <v/>
      </c>
    </row>
    <row r="644" spans="3:7" x14ac:dyDescent="0.3">
      <c r="C644" t="str">
        <f>IFERROR(IF(B644="","",VLOOKUP(B644,CadProd!$A:$B,2,0)),"")</f>
        <v/>
      </c>
      <c r="D644" t="str">
        <f>IFERROR(IF(B644="","",VLOOKUP(B644,CadProd!$A:$C,3,0)),"")</f>
        <v/>
      </c>
      <c r="G644" s="1" t="str">
        <f t="shared" si="9"/>
        <v/>
      </c>
    </row>
    <row r="645" spans="3:7" x14ac:dyDescent="0.3">
      <c r="C645" t="str">
        <f>IFERROR(IF(B645="","",VLOOKUP(B645,CadProd!$A:$B,2,0)),"")</f>
        <v/>
      </c>
      <c r="D645" t="str">
        <f>IFERROR(IF(B645="","",VLOOKUP(B645,CadProd!$A:$C,3,0)),"")</f>
        <v/>
      </c>
      <c r="G645" s="1" t="str">
        <f t="shared" si="9"/>
        <v/>
      </c>
    </row>
    <row r="646" spans="3:7" x14ac:dyDescent="0.3">
      <c r="C646" t="str">
        <f>IFERROR(IF(B646="","",VLOOKUP(B646,CadProd!$A:$B,2,0)),"")</f>
        <v/>
      </c>
      <c r="D646" t="str">
        <f>IFERROR(IF(B646="","",VLOOKUP(B646,CadProd!$A:$C,3,0)),"")</f>
        <v/>
      </c>
      <c r="G646" s="1" t="str">
        <f t="shared" si="9"/>
        <v/>
      </c>
    </row>
    <row r="647" spans="3:7" x14ac:dyDescent="0.3">
      <c r="C647" t="str">
        <f>IFERROR(IF(B647="","",VLOOKUP(B647,CadProd!$A:$B,2,0)),"")</f>
        <v/>
      </c>
      <c r="D647" t="str">
        <f>IFERROR(IF(B647="","",VLOOKUP(B647,CadProd!$A:$C,3,0)),"")</f>
        <v/>
      </c>
      <c r="G647" s="1" t="str">
        <f t="shared" si="9"/>
        <v/>
      </c>
    </row>
    <row r="648" spans="3:7" x14ac:dyDescent="0.3">
      <c r="C648" t="str">
        <f>IFERROR(IF(B648="","",VLOOKUP(B648,CadProd!$A:$B,2,0)),"")</f>
        <v/>
      </c>
      <c r="D648" t="str">
        <f>IFERROR(IF(B648="","",VLOOKUP(B648,CadProd!$A:$C,3,0)),"")</f>
        <v/>
      </c>
      <c r="G648" s="1" t="str">
        <f t="shared" si="9"/>
        <v/>
      </c>
    </row>
    <row r="649" spans="3:7" x14ac:dyDescent="0.3">
      <c r="C649" t="str">
        <f>IFERROR(IF(B649="","",VLOOKUP(B649,CadProd!$A:$B,2,0)),"")</f>
        <v/>
      </c>
      <c r="D649" t="str">
        <f>IFERROR(IF(B649="","",VLOOKUP(B649,CadProd!$A:$C,3,0)),"")</f>
        <v/>
      </c>
      <c r="G649" s="1" t="str">
        <f t="shared" si="9"/>
        <v/>
      </c>
    </row>
    <row r="650" spans="3:7" x14ac:dyDescent="0.3">
      <c r="C650" t="str">
        <f>IFERROR(IF(B650="","",VLOOKUP(B650,CadProd!$A:$B,2,0)),"")</f>
        <v/>
      </c>
      <c r="D650" t="str">
        <f>IFERROR(IF(B650="","",VLOOKUP(B650,CadProd!$A:$C,3,0)),"")</f>
        <v/>
      </c>
      <c r="G650" s="1" t="str">
        <f t="shared" si="9"/>
        <v/>
      </c>
    </row>
    <row r="651" spans="3:7" x14ac:dyDescent="0.3">
      <c r="C651" t="str">
        <f>IFERROR(IF(B651="","",VLOOKUP(B651,CadProd!$A:$B,2,0)),"")</f>
        <v/>
      </c>
      <c r="D651" t="str">
        <f>IFERROR(IF(B651="","",VLOOKUP(B651,CadProd!$A:$C,3,0)),"")</f>
        <v/>
      </c>
      <c r="G651" s="1" t="str">
        <f t="shared" ref="G651:G714" si="10">IFERROR(IF(B651="","",F651*E651),"")</f>
        <v/>
      </c>
    </row>
    <row r="652" spans="3:7" x14ac:dyDescent="0.3">
      <c r="C652" t="str">
        <f>IFERROR(IF(B652="","",VLOOKUP(B652,CadProd!$A:$B,2,0)),"")</f>
        <v/>
      </c>
      <c r="D652" t="str">
        <f>IFERROR(IF(B652="","",VLOOKUP(B652,CadProd!$A:$C,3,0)),"")</f>
        <v/>
      </c>
      <c r="G652" s="1" t="str">
        <f t="shared" si="10"/>
        <v/>
      </c>
    </row>
    <row r="653" spans="3:7" x14ac:dyDescent="0.3">
      <c r="C653" t="str">
        <f>IFERROR(IF(B653="","",VLOOKUP(B653,CadProd!$A:$B,2,0)),"")</f>
        <v/>
      </c>
      <c r="D653" t="str">
        <f>IFERROR(IF(B653="","",VLOOKUP(B653,CadProd!$A:$C,3,0)),"")</f>
        <v/>
      </c>
      <c r="G653" s="1" t="str">
        <f t="shared" si="10"/>
        <v/>
      </c>
    </row>
    <row r="654" spans="3:7" x14ac:dyDescent="0.3">
      <c r="C654" t="str">
        <f>IFERROR(IF(B654="","",VLOOKUP(B654,CadProd!$A:$B,2,0)),"")</f>
        <v/>
      </c>
      <c r="D654" t="str">
        <f>IFERROR(IF(B654="","",VLOOKUP(B654,CadProd!$A:$C,3,0)),"")</f>
        <v/>
      </c>
      <c r="G654" s="1" t="str">
        <f t="shared" si="10"/>
        <v/>
      </c>
    </row>
    <row r="655" spans="3:7" x14ac:dyDescent="0.3">
      <c r="C655" t="str">
        <f>IFERROR(IF(B655="","",VLOOKUP(B655,CadProd!$A:$B,2,0)),"")</f>
        <v/>
      </c>
      <c r="D655" t="str">
        <f>IFERROR(IF(B655="","",VLOOKUP(B655,CadProd!$A:$C,3,0)),"")</f>
        <v/>
      </c>
      <c r="G655" s="1" t="str">
        <f t="shared" si="10"/>
        <v/>
      </c>
    </row>
    <row r="656" spans="3:7" x14ac:dyDescent="0.3">
      <c r="C656" t="str">
        <f>IFERROR(IF(B656="","",VLOOKUP(B656,CadProd!$A:$B,2,0)),"")</f>
        <v/>
      </c>
      <c r="D656" t="str">
        <f>IFERROR(IF(B656="","",VLOOKUP(B656,CadProd!$A:$C,3,0)),"")</f>
        <v/>
      </c>
      <c r="G656" s="1" t="str">
        <f t="shared" si="10"/>
        <v/>
      </c>
    </row>
    <row r="657" spans="3:7" x14ac:dyDescent="0.3">
      <c r="C657" t="str">
        <f>IFERROR(IF(B657="","",VLOOKUP(B657,CadProd!$A:$B,2,0)),"")</f>
        <v/>
      </c>
      <c r="D657" t="str">
        <f>IFERROR(IF(B657="","",VLOOKUP(B657,CadProd!$A:$C,3,0)),"")</f>
        <v/>
      </c>
      <c r="G657" s="1" t="str">
        <f t="shared" si="10"/>
        <v/>
      </c>
    </row>
    <row r="658" spans="3:7" x14ac:dyDescent="0.3">
      <c r="C658" t="str">
        <f>IFERROR(IF(B658="","",VLOOKUP(B658,CadProd!$A:$B,2,0)),"")</f>
        <v/>
      </c>
      <c r="D658" t="str">
        <f>IFERROR(IF(B658="","",VLOOKUP(B658,CadProd!$A:$C,3,0)),"")</f>
        <v/>
      </c>
      <c r="G658" s="1" t="str">
        <f t="shared" si="10"/>
        <v/>
      </c>
    </row>
    <row r="659" spans="3:7" x14ac:dyDescent="0.3">
      <c r="C659" t="str">
        <f>IFERROR(IF(B659="","",VLOOKUP(B659,CadProd!$A:$B,2,0)),"")</f>
        <v/>
      </c>
      <c r="D659" t="str">
        <f>IFERROR(IF(B659="","",VLOOKUP(B659,CadProd!$A:$C,3,0)),"")</f>
        <v/>
      </c>
      <c r="G659" s="1" t="str">
        <f t="shared" si="10"/>
        <v/>
      </c>
    </row>
    <row r="660" spans="3:7" x14ac:dyDescent="0.3">
      <c r="C660" t="str">
        <f>IFERROR(IF(B660="","",VLOOKUP(B660,CadProd!$A:$B,2,0)),"")</f>
        <v/>
      </c>
      <c r="D660" t="str">
        <f>IFERROR(IF(B660="","",VLOOKUP(B660,CadProd!$A:$C,3,0)),"")</f>
        <v/>
      </c>
      <c r="G660" s="1" t="str">
        <f t="shared" si="10"/>
        <v/>
      </c>
    </row>
    <row r="661" spans="3:7" x14ac:dyDescent="0.3">
      <c r="C661" t="str">
        <f>IFERROR(IF(B661="","",VLOOKUP(B661,CadProd!$A:$B,2,0)),"")</f>
        <v/>
      </c>
      <c r="D661" t="str">
        <f>IFERROR(IF(B661="","",VLOOKUP(B661,CadProd!$A:$C,3,0)),"")</f>
        <v/>
      </c>
      <c r="G661" s="1" t="str">
        <f t="shared" si="10"/>
        <v/>
      </c>
    </row>
    <row r="662" spans="3:7" x14ac:dyDescent="0.3">
      <c r="C662" t="str">
        <f>IFERROR(IF(B662="","",VLOOKUP(B662,CadProd!$A:$B,2,0)),"")</f>
        <v/>
      </c>
      <c r="D662" t="str">
        <f>IFERROR(IF(B662="","",VLOOKUP(B662,CadProd!$A:$C,3,0)),"")</f>
        <v/>
      </c>
      <c r="G662" s="1" t="str">
        <f t="shared" si="10"/>
        <v/>
      </c>
    </row>
    <row r="663" spans="3:7" x14ac:dyDescent="0.3">
      <c r="C663" t="str">
        <f>IFERROR(IF(B663="","",VLOOKUP(B663,CadProd!$A:$B,2,0)),"")</f>
        <v/>
      </c>
      <c r="D663" t="str">
        <f>IFERROR(IF(B663="","",VLOOKUP(B663,CadProd!$A:$C,3,0)),"")</f>
        <v/>
      </c>
      <c r="G663" s="1" t="str">
        <f t="shared" si="10"/>
        <v/>
      </c>
    </row>
    <row r="664" spans="3:7" x14ac:dyDescent="0.3">
      <c r="C664" t="str">
        <f>IFERROR(IF(B664="","",VLOOKUP(B664,CadProd!$A:$B,2,0)),"")</f>
        <v/>
      </c>
      <c r="D664" t="str">
        <f>IFERROR(IF(B664="","",VLOOKUP(B664,CadProd!$A:$C,3,0)),"")</f>
        <v/>
      </c>
      <c r="G664" s="1" t="str">
        <f t="shared" si="10"/>
        <v/>
      </c>
    </row>
    <row r="665" spans="3:7" x14ac:dyDescent="0.3">
      <c r="C665" t="str">
        <f>IFERROR(IF(B665="","",VLOOKUP(B665,CadProd!$A:$B,2,0)),"")</f>
        <v/>
      </c>
      <c r="D665" t="str">
        <f>IFERROR(IF(B665="","",VLOOKUP(B665,CadProd!$A:$C,3,0)),"")</f>
        <v/>
      </c>
      <c r="G665" s="1" t="str">
        <f t="shared" si="10"/>
        <v/>
      </c>
    </row>
    <row r="666" spans="3:7" x14ac:dyDescent="0.3">
      <c r="C666" t="str">
        <f>IFERROR(IF(B666="","",VLOOKUP(B666,CadProd!$A:$B,2,0)),"")</f>
        <v/>
      </c>
      <c r="D666" t="str">
        <f>IFERROR(IF(B666="","",VLOOKUP(B666,CadProd!$A:$C,3,0)),"")</f>
        <v/>
      </c>
      <c r="G666" s="1" t="str">
        <f t="shared" si="10"/>
        <v/>
      </c>
    </row>
    <row r="667" spans="3:7" x14ac:dyDescent="0.3">
      <c r="C667" t="str">
        <f>IFERROR(IF(B667="","",VLOOKUP(B667,CadProd!$A:$B,2,0)),"")</f>
        <v/>
      </c>
      <c r="D667" t="str">
        <f>IFERROR(IF(B667="","",VLOOKUP(B667,CadProd!$A:$C,3,0)),"")</f>
        <v/>
      </c>
      <c r="G667" s="1" t="str">
        <f t="shared" si="10"/>
        <v/>
      </c>
    </row>
    <row r="668" spans="3:7" x14ac:dyDescent="0.3">
      <c r="C668" t="str">
        <f>IFERROR(IF(B668="","",VLOOKUP(B668,CadProd!$A:$B,2,0)),"")</f>
        <v/>
      </c>
      <c r="D668" t="str">
        <f>IFERROR(IF(B668="","",VLOOKUP(B668,CadProd!$A:$C,3,0)),"")</f>
        <v/>
      </c>
      <c r="G668" s="1" t="str">
        <f t="shared" si="10"/>
        <v/>
      </c>
    </row>
    <row r="669" spans="3:7" x14ac:dyDescent="0.3">
      <c r="C669" t="str">
        <f>IFERROR(IF(B669="","",VLOOKUP(B669,CadProd!$A:$B,2,0)),"")</f>
        <v/>
      </c>
      <c r="D669" t="str">
        <f>IFERROR(IF(B669="","",VLOOKUP(B669,CadProd!$A:$C,3,0)),"")</f>
        <v/>
      </c>
      <c r="G669" s="1" t="str">
        <f t="shared" si="10"/>
        <v/>
      </c>
    </row>
    <row r="670" spans="3:7" x14ac:dyDescent="0.3">
      <c r="C670" t="str">
        <f>IFERROR(IF(B670="","",VLOOKUP(B670,CadProd!$A:$B,2,0)),"")</f>
        <v/>
      </c>
      <c r="D670" t="str">
        <f>IFERROR(IF(B670="","",VLOOKUP(B670,CadProd!$A:$C,3,0)),"")</f>
        <v/>
      </c>
      <c r="G670" s="1" t="str">
        <f t="shared" si="10"/>
        <v/>
      </c>
    </row>
    <row r="671" spans="3:7" x14ac:dyDescent="0.3">
      <c r="C671" t="str">
        <f>IFERROR(IF(B671="","",VLOOKUP(B671,CadProd!$A:$B,2,0)),"")</f>
        <v/>
      </c>
      <c r="D671" t="str">
        <f>IFERROR(IF(B671="","",VLOOKUP(B671,CadProd!$A:$C,3,0)),"")</f>
        <v/>
      </c>
      <c r="G671" s="1" t="str">
        <f t="shared" si="10"/>
        <v/>
      </c>
    </row>
    <row r="672" spans="3:7" x14ac:dyDescent="0.3">
      <c r="C672" t="str">
        <f>IFERROR(IF(B672="","",VLOOKUP(B672,CadProd!$A:$B,2,0)),"")</f>
        <v/>
      </c>
      <c r="D672" t="str">
        <f>IFERROR(IF(B672="","",VLOOKUP(B672,CadProd!$A:$C,3,0)),"")</f>
        <v/>
      </c>
      <c r="G672" s="1" t="str">
        <f t="shared" si="10"/>
        <v/>
      </c>
    </row>
    <row r="673" spans="3:7" x14ac:dyDescent="0.3">
      <c r="C673" t="str">
        <f>IFERROR(IF(B673="","",VLOOKUP(B673,CadProd!$A:$B,2,0)),"")</f>
        <v/>
      </c>
      <c r="D673" t="str">
        <f>IFERROR(IF(B673="","",VLOOKUP(B673,CadProd!$A:$C,3,0)),"")</f>
        <v/>
      </c>
      <c r="G673" s="1" t="str">
        <f t="shared" si="10"/>
        <v/>
      </c>
    </row>
    <row r="674" spans="3:7" x14ac:dyDescent="0.3">
      <c r="C674" t="str">
        <f>IFERROR(IF(B674="","",VLOOKUP(B674,CadProd!$A:$B,2,0)),"")</f>
        <v/>
      </c>
      <c r="D674" t="str">
        <f>IFERROR(IF(B674="","",VLOOKUP(B674,CadProd!$A:$C,3,0)),"")</f>
        <v/>
      </c>
      <c r="G674" s="1" t="str">
        <f t="shared" si="10"/>
        <v/>
      </c>
    </row>
    <row r="675" spans="3:7" x14ac:dyDescent="0.3">
      <c r="C675" t="str">
        <f>IFERROR(IF(B675="","",VLOOKUP(B675,CadProd!$A:$B,2,0)),"")</f>
        <v/>
      </c>
      <c r="D675" t="str">
        <f>IFERROR(IF(B675="","",VLOOKUP(B675,CadProd!$A:$C,3,0)),"")</f>
        <v/>
      </c>
      <c r="G675" s="1" t="str">
        <f t="shared" si="10"/>
        <v/>
      </c>
    </row>
    <row r="676" spans="3:7" x14ac:dyDescent="0.3">
      <c r="C676" t="str">
        <f>IFERROR(IF(B676="","",VLOOKUP(B676,CadProd!$A:$B,2,0)),"")</f>
        <v/>
      </c>
      <c r="D676" t="str">
        <f>IFERROR(IF(B676="","",VLOOKUP(B676,CadProd!$A:$C,3,0)),"")</f>
        <v/>
      </c>
      <c r="G676" s="1" t="str">
        <f t="shared" si="10"/>
        <v/>
      </c>
    </row>
    <row r="677" spans="3:7" x14ac:dyDescent="0.3">
      <c r="C677" t="str">
        <f>IFERROR(IF(B677="","",VLOOKUP(B677,CadProd!$A:$B,2,0)),"")</f>
        <v/>
      </c>
      <c r="D677" t="str">
        <f>IFERROR(IF(B677="","",VLOOKUP(B677,CadProd!$A:$C,3,0)),"")</f>
        <v/>
      </c>
      <c r="G677" s="1" t="str">
        <f t="shared" si="10"/>
        <v/>
      </c>
    </row>
    <row r="678" spans="3:7" x14ac:dyDescent="0.3">
      <c r="C678" t="str">
        <f>IFERROR(IF(B678="","",VLOOKUP(B678,CadProd!$A:$B,2,0)),"")</f>
        <v/>
      </c>
      <c r="D678" t="str">
        <f>IFERROR(IF(B678="","",VLOOKUP(B678,CadProd!$A:$C,3,0)),"")</f>
        <v/>
      </c>
      <c r="G678" s="1" t="str">
        <f t="shared" si="10"/>
        <v/>
      </c>
    </row>
    <row r="679" spans="3:7" x14ac:dyDescent="0.3">
      <c r="C679" t="str">
        <f>IFERROR(IF(B679="","",VLOOKUP(B679,CadProd!$A:$B,2,0)),"")</f>
        <v/>
      </c>
      <c r="D679" t="str">
        <f>IFERROR(IF(B679="","",VLOOKUP(B679,CadProd!$A:$C,3,0)),"")</f>
        <v/>
      </c>
      <c r="G679" s="1" t="str">
        <f t="shared" si="10"/>
        <v/>
      </c>
    </row>
    <row r="680" spans="3:7" x14ac:dyDescent="0.3">
      <c r="C680" t="str">
        <f>IFERROR(IF(B680="","",VLOOKUP(B680,CadProd!$A:$B,2,0)),"")</f>
        <v/>
      </c>
      <c r="D680" t="str">
        <f>IFERROR(IF(B680="","",VLOOKUP(B680,CadProd!$A:$C,3,0)),"")</f>
        <v/>
      </c>
      <c r="G680" s="1" t="str">
        <f t="shared" si="10"/>
        <v/>
      </c>
    </row>
    <row r="681" spans="3:7" x14ac:dyDescent="0.3">
      <c r="C681" t="str">
        <f>IFERROR(IF(B681="","",VLOOKUP(B681,CadProd!$A:$B,2,0)),"")</f>
        <v/>
      </c>
      <c r="D681" t="str">
        <f>IFERROR(IF(B681="","",VLOOKUP(B681,CadProd!$A:$C,3,0)),"")</f>
        <v/>
      </c>
      <c r="G681" s="1" t="str">
        <f t="shared" si="10"/>
        <v/>
      </c>
    </row>
    <row r="682" spans="3:7" x14ac:dyDescent="0.3">
      <c r="C682" t="str">
        <f>IFERROR(IF(B682="","",VLOOKUP(B682,CadProd!$A:$B,2,0)),"")</f>
        <v/>
      </c>
      <c r="D682" t="str">
        <f>IFERROR(IF(B682="","",VLOOKUP(B682,CadProd!$A:$C,3,0)),"")</f>
        <v/>
      </c>
      <c r="G682" s="1" t="str">
        <f t="shared" si="10"/>
        <v/>
      </c>
    </row>
    <row r="683" spans="3:7" x14ac:dyDescent="0.3">
      <c r="C683" t="str">
        <f>IFERROR(IF(B683="","",VLOOKUP(B683,CadProd!$A:$B,2,0)),"")</f>
        <v/>
      </c>
      <c r="D683" t="str">
        <f>IFERROR(IF(B683="","",VLOOKUP(B683,CadProd!$A:$C,3,0)),"")</f>
        <v/>
      </c>
      <c r="G683" s="1" t="str">
        <f t="shared" si="10"/>
        <v/>
      </c>
    </row>
    <row r="684" spans="3:7" x14ac:dyDescent="0.3">
      <c r="C684" t="str">
        <f>IFERROR(IF(B684="","",VLOOKUP(B684,CadProd!$A:$B,2,0)),"")</f>
        <v/>
      </c>
      <c r="D684" t="str">
        <f>IFERROR(IF(B684="","",VLOOKUP(B684,CadProd!$A:$C,3,0)),"")</f>
        <v/>
      </c>
      <c r="G684" s="1" t="str">
        <f t="shared" si="10"/>
        <v/>
      </c>
    </row>
    <row r="685" spans="3:7" x14ac:dyDescent="0.3">
      <c r="C685" t="str">
        <f>IFERROR(IF(B685="","",VLOOKUP(B685,CadProd!$A:$B,2,0)),"")</f>
        <v/>
      </c>
      <c r="D685" t="str">
        <f>IFERROR(IF(B685="","",VLOOKUP(B685,CadProd!$A:$C,3,0)),"")</f>
        <v/>
      </c>
      <c r="G685" s="1" t="str">
        <f t="shared" si="10"/>
        <v/>
      </c>
    </row>
    <row r="686" spans="3:7" x14ac:dyDescent="0.3">
      <c r="C686" t="str">
        <f>IFERROR(IF(B686="","",VLOOKUP(B686,CadProd!$A:$B,2,0)),"")</f>
        <v/>
      </c>
      <c r="D686" t="str">
        <f>IFERROR(IF(B686="","",VLOOKUP(B686,CadProd!$A:$C,3,0)),"")</f>
        <v/>
      </c>
      <c r="G686" s="1" t="str">
        <f t="shared" si="10"/>
        <v/>
      </c>
    </row>
    <row r="687" spans="3:7" x14ac:dyDescent="0.3">
      <c r="C687" t="str">
        <f>IFERROR(IF(B687="","",VLOOKUP(B687,CadProd!$A:$B,2,0)),"")</f>
        <v/>
      </c>
      <c r="D687" t="str">
        <f>IFERROR(IF(B687="","",VLOOKUP(B687,CadProd!$A:$C,3,0)),"")</f>
        <v/>
      </c>
      <c r="G687" s="1" t="str">
        <f t="shared" si="10"/>
        <v/>
      </c>
    </row>
    <row r="688" spans="3:7" x14ac:dyDescent="0.3">
      <c r="C688" t="str">
        <f>IFERROR(IF(B688="","",VLOOKUP(B688,CadProd!$A:$B,2,0)),"")</f>
        <v/>
      </c>
      <c r="D688" t="str">
        <f>IFERROR(IF(B688="","",VLOOKUP(B688,CadProd!$A:$C,3,0)),"")</f>
        <v/>
      </c>
      <c r="G688" s="1" t="str">
        <f t="shared" si="10"/>
        <v/>
      </c>
    </row>
    <row r="689" spans="3:7" x14ac:dyDescent="0.3">
      <c r="C689" t="str">
        <f>IFERROR(IF(B689="","",VLOOKUP(B689,CadProd!$A:$B,2,0)),"")</f>
        <v/>
      </c>
      <c r="D689" t="str">
        <f>IFERROR(IF(B689="","",VLOOKUP(B689,CadProd!$A:$C,3,0)),"")</f>
        <v/>
      </c>
      <c r="G689" s="1" t="str">
        <f t="shared" si="10"/>
        <v/>
      </c>
    </row>
    <row r="690" spans="3:7" x14ac:dyDescent="0.3">
      <c r="C690" t="str">
        <f>IFERROR(IF(B690="","",VLOOKUP(B690,CadProd!$A:$B,2,0)),"")</f>
        <v/>
      </c>
      <c r="D690" t="str">
        <f>IFERROR(IF(B690="","",VLOOKUP(B690,CadProd!$A:$C,3,0)),"")</f>
        <v/>
      </c>
      <c r="G690" s="1" t="str">
        <f t="shared" si="10"/>
        <v/>
      </c>
    </row>
    <row r="691" spans="3:7" x14ac:dyDescent="0.3">
      <c r="C691" t="str">
        <f>IFERROR(IF(B691="","",VLOOKUP(B691,CadProd!$A:$B,2,0)),"")</f>
        <v/>
      </c>
      <c r="D691" t="str">
        <f>IFERROR(IF(B691="","",VLOOKUP(B691,CadProd!$A:$C,3,0)),"")</f>
        <v/>
      </c>
      <c r="G691" s="1" t="str">
        <f t="shared" si="10"/>
        <v/>
      </c>
    </row>
    <row r="692" spans="3:7" x14ac:dyDescent="0.3">
      <c r="C692" t="str">
        <f>IFERROR(IF(B692="","",VLOOKUP(B692,CadProd!$A:$B,2,0)),"")</f>
        <v/>
      </c>
      <c r="D692" t="str">
        <f>IFERROR(IF(B692="","",VLOOKUP(B692,CadProd!$A:$C,3,0)),"")</f>
        <v/>
      </c>
      <c r="G692" s="1" t="str">
        <f t="shared" si="10"/>
        <v/>
      </c>
    </row>
    <row r="693" spans="3:7" x14ac:dyDescent="0.3">
      <c r="C693" t="str">
        <f>IFERROR(IF(B693="","",VLOOKUP(B693,CadProd!$A:$B,2,0)),"")</f>
        <v/>
      </c>
      <c r="D693" t="str">
        <f>IFERROR(IF(B693="","",VLOOKUP(B693,CadProd!$A:$C,3,0)),"")</f>
        <v/>
      </c>
      <c r="G693" s="1" t="str">
        <f t="shared" si="10"/>
        <v/>
      </c>
    </row>
    <row r="694" spans="3:7" x14ac:dyDescent="0.3">
      <c r="C694" t="str">
        <f>IFERROR(IF(B694="","",VLOOKUP(B694,CadProd!$A:$B,2,0)),"")</f>
        <v/>
      </c>
      <c r="D694" t="str">
        <f>IFERROR(IF(B694="","",VLOOKUP(B694,CadProd!$A:$C,3,0)),"")</f>
        <v/>
      </c>
      <c r="G694" s="1" t="str">
        <f t="shared" si="10"/>
        <v/>
      </c>
    </row>
    <row r="695" spans="3:7" x14ac:dyDescent="0.3">
      <c r="C695" t="str">
        <f>IFERROR(IF(B695="","",VLOOKUP(B695,CadProd!$A:$B,2,0)),"")</f>
        <v/>
      </c>
      <c r="D695" t="str">
        <f>IFERROR(IF(B695="","",VLOOKUP(B695,CadProd!$A:$C,3,0)),"")</f>
        <v/>
      </c>
      <c r="G695" s="1" t="str">
        <f t="shared" si="10"/>
        <v/>
      </c>
    </row>
    <row r="696" spans="3:7" x14ac:dyDescent="0.3">
      <c r="C696" t="str">
        <f>IFERROR(IF(B696="","",VLOOKUP(B696,CadProd!$A:$B,2,0)),"")</f>
        <v/>
      </c>
      <c r="D696" t="str">
        <f>IFERROR(IF(B696="","",VLOOKUP(B696,CadProd!$A:$C,3,0)),"")</f>
        <v/>
      </c>
      <c r="G696" s="1" t="str">
        <f t="shared" si="10"/>
        <v/>
      </c>
    </row>
    <row r="697" spans="3:7" x14ac:dyDescent="0.3">
      <c r="C697" t="str">
        <f>IFERROR(IF(B697="","",VLOOKUP(B697,CadProd!$A:$B,2,0)),"")</f>
        <v/>
      </c>
      <c r="D697" t="str">
        <f>IFERROR(IF(B697="","",VLOOKUP(B697,CadProd!$A:$C,3,0)),"")</f>
        <v/>
      </c>
      <c r="G697" s="1" t="str">
        <f t="shared" si="10"/>
        <v/>
      </c>
    </row>
    <row r="698" spans="3:7" x14ac:dyDescent="0.3">
      <c r="C698" t="str">
        <f>IFERROR(IF(B698="","",VLOOKUP(B698,CadProd!$A:$B,2,0)),"")</f>
        <v/>
      </c>
      <c r="D698" t="str">
        <f>IFERROR(IF(B698="","",VLOOKUP(B698,CadProd!$A:$C,3,0)),"")</f>
        <v/>
      </c>
      <c r="G698" s="1" t="str">
        <f t="shared" si="10"/>
        <v/>
      </c>
    </row>
    <row r="699" spans="3:7" x14ac:dyDescent="0.3">
      <c r="C699" t="str">
        <f>IFERROR(IF(B699="","",VLOOKUP(B699,CadProd!$A:$B,2,0)),"")</f>
        <v/>
      </c>
      <c r="D699" t="str">
        <f>IFERROR(IF(B699="","",VLOOKUP(B699,CadProd!$A:$C,3,0)),"")</f>
        <v/>
      </c>
      <c r="G699" s="1" t="str">
        <f t="shared" si="10"/>
        <v/>
      </c>
    </row>
    <row r="700" spans="3:7" x14ac:dyDescent="0.3">
      <c r="C700" t="str">
        <f>IFERROR(IF(B700="","",VLOOKUP(B700,CadProd!$A:$B,2,0)),"")</f>
        <v/>
      </c>
      <c r="D700" t="str">
        <f>IFERROR(IF(B700="","",VLOOKUP(B700,CadProd!$A:$C,3,0)),"")</f>
        <v/>
      </c>
      <c r="G700" s="1" t="str">
        <f t="shared" si="10"/>
        <v/>
      </c>
    </row>
    <row r="701" spans="3:7" x14ac:dyDescent="0.3">
      <c r="C701" t="str">
        <f>IFERROR(IF(B701="","",VLOOKUP(B701,CadProd!$A:$B,2,0)),"")</f>
        <v/>
      </c>
      <c r="D701" t="str">
        <f>IFERROR(IF(B701="","",VLOOKUP(B701,CadProd!$A:$C,3,0)),"")</f>
        <v/>
      </c>
      <c r="G701" s="1" t="str">
        <f t="shared" si="10"/>
        <v/>
      </c>
    </row>
    <row r="702" spans="3:7" x14ac:dyDescent="0.3">
      <c r="C702" t="str">
        <f>IFERROR(IF(B702="","",VLOOKUP(B702,CadProd!$A:$B,2,0)),"")</f>
        <v/>
      </c>
      <c r="D702" t="str">
        <f>IFERROR(IF(B702="","",VLOOKUP(B702,CadProd!$A:$C,3,0)),"")</f>
        <v/>
      </c>
      <c r="G702" s="1" t="str">
        <f t="shared" si="10"/>
        <v/>
      </c>
    </row>
    <row r="703" spans="3:7" x14ac:dyDescent="0.3">
      <c r="C703" t="str">
        <f>IFERROR(IF(B703="","",VLOOKUP(B703,CadProd!$A:$B,2,0)),"")</f>
        <v/>
      </c>
      <c r="D703" t="str">
        <f>IFERROR(IF(B703="","",VLOOKUP(B703,CadProd!$A:$C,3,0)),"")</f>
        <v/>
      </c>
      <c r="G703" s="1" t="str">
        <f t="shared" si="10"/>
        <v/>
      </c>
    </row>
    <row r="704" spans="3:7" x14ac:dyDescent="0.3">
      <c r="C704" t="str">
        <f>IFERROR(IF(B704="","",VLOOKUP(B704,CadProd!$A:$B,2,0)),"")</f>
        <v/>
      </c>
      <c r="D704" t="str">
        <f>IFERROR(IF(B704="","",VLOOKUP(B704,CadProd!$A:$C,3,0)),"")</f>
        <v/>
      </c>
      <c r="G704" s="1" t="str">
        <f t="shared" si="10"/>
        <v/>
      </c>
    </row>
    <row r="705" spans="3:7" x14ac:dyDescent="0.3">
      <c r="C705" t="str">
        <f>IFERROR(IF(B705="","",VLOOKUP(B705,CadProd!$A:$B,2,0)),"")</f>
        <v/>
      </c>
      <c r="D705" t="str">
        <f>IFERROR(IF(B705="","",VLOOKUP(B705,CadProd!$A:$C,3,0)),"")</f>
        <v/>
      </c>
      <c r="G705" s="1" t="str">
        <f t="shared" si="10"/>
        <v/>
      </c>
    </row>
    <row r="706" spans="3:7" x14ac:dyDescent="0.3">
      <c r="C706" t="str">
        <f>IFERROR(IF(B706="","",VLOOKUP(B706,CadProd!$A:$B,2,0)),"")</f>
        <v/>
      </c>
      <c r="D706" t="str">
        <f>IFERROR(IF(B706="","",VLOOKUP(B706,CadProd!$A:$C,3,0)),"")</f>
        <v/>
      </c>
      <c r="G706" s="1" t="str">
        <f t="shared" si="10"/>
        <v/>
      </c>
    </row>
    <row r="707" spans="3:7" x14ac:dyDescent="0.3">
      <c r="C707" t="str">
        <f>IFERROR(IF(B707="","",VLOOKUP(B707,CadProd!$A:$B,2,0)),"")</f>
        <v/>
      </c>
      <c r="D707" t="str">
        <f>IFERROR(IF(B707="","",VLOOKUP(B707,CadProd!$A:$C,3,0)),"")</f>
        <v/>
      </c>
      <c r="G707" s="1" t="str">
        <f t="shared" si="10"/>
        <v/>
      </c>
    </row>
    <row r="708" spans="3:7" x14ac:dyDescent="0.3">
      <c r="C708" t="str">
        <f>IFERROR(IF(B708="","",VLOOKUP(B708,CadProd!$A:$B,2,0)),"")</f>
        <v/>
      </c>
      <c r="D708" t="str">
        <f>IFERROR(IF(B708="","",VLOOKUP(B708,CadProd!$A:$C,3,0)),"")</f>
        <v/>
      </c>
      <c r="G708" s="1" t="str">
        <f t="shared" si="10"/>
        <v/>
      </c>
    </row>
    <row r="709" spans="3:7" x14ac:dyDescent="0.3">
      <c r="C709" t="str">
        <f>IFERROR(IF(B709="","",VLOOKUP(B709,CadProd!$A:$B,2,0)),"")</f>
        <v/>
      </c>
      <c r="D709" t="str">
        <f>IFERROR(IF(B709="","",VLOOKUP(B709,CadProd!$A:$C,3,0)),"")</f>
        <v/>
      </c>
      <c r="G709" s="1" t="str">
        <f t="shared" si="10"/>
        <v/>
      </c>
    </row>
    <row r="710" spans="3:7" x14ac:dyDescent="0.3">
      <c r="C710" t="str">
        <f>IFERROR(IF(B710="","",VLOOKUP(B710,CadProd!$A:$B,2,0)),"")</f>
        <v/>
      </c>
      <c r="D710" t="str">
        <f>IFERROR(IF(B710="","",VLOOKUP(B710,CadProd!$A:$C,3,0)),"")</f>
        <v/>
      </c>
      <c r="G710" s="1" t="str">
        <f t="shared" si="10"/>
        <v/>
      </c>
    </row>
    <row r="711" spans="3:7" x14ac:dyDescent="0.3">
      <c r="C711" t="str">
        <f>IFERROR(IF(B711="","",VLOOKUP(B711,CadProd!$A:$B,2,0)),"")</f>
        <v/>
      </c>
      <c r="D711" t="str">
        <f>IFERROR(IF(B711="","",VLOOKUP(B711,CadProd!$A:$C,3,0)),"")</f>
        <v/>
      </c>
      <c r="G711" s="1" t="str">
        <f t="shared" si="10"/>
        <v/>
      </c>
    </row>
    <row r="712" spans="3:7" x14ac:dyDescent="0.3">
      <c r="C712" t="str">
        <f>IFERROR(IF(B712="","",VLOOKUP(B712,CadProd!$A:$B,2,0)),"")</f>
        <v/>
      </c>
      <c r="D712" t="str">
        <f>IFERROR(IF(B712="","",VLOOKUP(B712,CadProd!$A:$C,3,0)),"")</f>
        <v/>
      </c>
      <c r="G712" s="1" t="str">
        <f t="shared" si="10"/>
        <v/>
      </c>
    </row>
    <row r="713" spans="3:7" x14ac:dyDescent="0.3">
      <c r="C713" t="str">
        <f>IFERROR(IF(B713="","",VLOOKUP(B713,CadProd!$A:$B,2,0)),"")</f>
        <v/>
      </c>
      <c r="D713" t="str">
        <f>IFERROR(IF(B713="","",VLOOKUP(B713,CadProd!$A:$C,3,0)),"")</f>
        <v/>
      </c>
      <c r="G713" s="1" t="str">
        <f t="shared" si="10"/>
        <v/>
      </c>
    </row>
    <row r="714" spans="3:7" x14ac:dyDescent="0.3">
      <c r="C714" t="str">
        <f>IFERROR(IF(B714="","",VLOOKUP(B714,CadProd!$A:$B,2,0)),"")</f>
        <v/>
      </c>
      <c r="D714" t="str">
        <f>IFERROR(IF(B714="","",VLOOKUP(B714,CadProd!$A:$C,3,0)),"")</f>
        <v/>
      </c>
      <c r="G714" s="1" t="str">
        <f t="shared" si="10"/>
        <v/>
      </c>
    </row>
    <row r="715" spans="3:7" x14ac:dyDescent="0.3">
      <c r="C715" t="str">
        <f>IFERROR(IF(B715="","",VLOOKUP(B715,CadProd!$A:$B,2,0)),"")</f>
        <v/>
      </c>
      <c r="D715" t="str">
        <f>IFERROR(IF(B715="","",VLOOKUP(B715,CadProd!$A:$C,3,0)),"")</f>
        <v/>
      </c>
      <c r="G715" s="1" t="str">
        <f t="shared" ref="G715:G778" si="11">IFERROR(IF(B715="","",F715*E715),"")</f>
        <v/>
      </c>
    </row>
    <row r="716" spans="3:7" x14ac:dyDescent="0.3">
      <c r="C716" t="str">
        <f>IFERROR(IF(B716="","",VLOOKUP(B716,CadProd!$A:$B,2,0)),"")</f>
        <v/>
      </c>
      <c r="D716" t="str">
        <f>IFERROR(IF(B716="","",VLOOKUP(B716,CadProd!$A:$C,3,0)),"")</f>
        <v/>
      </c>
      <c r="G716" s="1" t="str">
        <f t="shared" si="11"/>
        <v/>
      </c>
    </row>
    <row r="717" spans="3:7" x14ac:dyDescent="0.3">
      <c r="C717" t="str">
        <f>IFERROR(IF(B717="","",VLOOKUP(B717,CadProd!$A:$B,2,0)),"")</f>
        <v/>
      </c>
      <c r="D717" t="str">
        <f>IFERROR(IF(B717="","",VLOOKUP(B717,CadProd!$A:$C,3,0)),"")</f>
        <v/>
      </c>
      <c r="G717" s="1" t="str">
        <f t="shared" si="11"/>
        <v/>
      </c>
    </row>
    <row r="718" spans="3:7" x14ac:dyDescent="0.3">
      <c r="C718" t="str">
        <f>IFERROR(IF(B718="","",VLOOKUP(B718,CadProd!$A:$B,2,0)),"")</f>
        <v/>
      </c>
      <c r="D718" t="str">
        <f>IFERROR(IF(B718="","",VLOOKUP(B718,CadProd!$A:$C,3,0)),"")</f>
        <v/>
      </c>
      <c r="G718" s="1" t="str">
        <f t="shared" si="11"/>
        <v/>
      </c>
    </row>
    <row r="719" spans="3:7" x14ac:dyDescent="0.3">
      <c r="C719" t="str">
        <f>IFERROR(IF(B719="","",VLOOKUP(B719,CadProd!$A:$B,2,0)),"")</f>
        <v/>
      </c>
      <c r="D719" t="str">
        <f>IFERROR(IF(B719="","",VLOOKUP(B719,CadProd!$A:$C,3,0)),"")</f>
        <v/>
      </c>
      <c r="G719" s="1" t="str">
        <f t="shared" si="11"/>
        <v/>
      </c>
    </row>
    <row r="720" spans="3:7" x14ac:dyDescent="0.3">
      <c r="C720" t="str">
        <f>IFERROR(IF(B720="","",VLOOKUP(B720,CadProd!$A:$B,2,0)),"")</f>
        <v/>
      </c>
      <c r="D720" t="str">
        <f>IFERROR(IF(B720="","",VLOOKUP(B720,CadProd!$A:$C,3,0)),"")</f>
        <v/>
      </c>
      <c r="G720" s="1" t="str">
        <f t="shared" si="11"/>
        <v/>
      </c>
    </row>
    <row r="721" spans="3:7" x14ac:dyDescent="0.3">
      <c r="C721" t="str">
        <f>IFERROR(IF(B721="","",VLOOKUP(B721,CadProd!$A:$B,2,0)),"")</f>
        <v/>
      </c>
      <c r="D721" t="str">
        <f>IFERROR(IF(B721="","",VLOOKUP(B721,CadProd!$A:$C,3,0)),"")</f>
        <v/>
      </c>
      <c r="G721" s="1" t="str">
        <f t="shared" si="11"/>
        <v/>
      </c>
    </row>
    <row r="722" spans="3:7" x14ac:dyDescent="0.3">
      <c r="C722" t="str">
        <f>IFERROR(IF(B722="","",VLOOKUP(B722,CadProd!$A:$B,2,0)),"")</f>
        <v/>
      </c>
      <c r="D722" t="str">
        <f>IFERROR(IF(B722="","",VLOOKUP(B722,CadProd!$A:$C,3,0)),"")</f>
        <v/>
      </c>
      <c r="G722" s="1" t="str">
        <f t="shared" si="11"/>
        <v/>
      </c>
    </row>
    <row r="723" spans="3:7" x14ac:dyDescent="0.3">
      <c r="C723" t="str">
        <f>IFERROR(IF(B723="","",VLOOKUP(B723,CadProd!$A:$B,2,0)),"")</f>
        <v/>
      </c>
      <c r="D723" t="str">
        <f>IFERROR(IF(B723="","",VLOOKUP(B723,CadProd!$A:$C,3,0)),"")</f>
        <v/>
      </c>
      <c r="G723" s="1" t="str">
        <f t="shared" si="11"/>
        <v/>
      </c>
    </row>
    <row r="724" spans="3:7" x14ac:dyDescent="0.3">
      <c r="C724" t="str">
        <f>IFERROR(IF(B724="","",VLOOKUP(B724,CadProd!$A:$B,2,0)),"")</f>
        <v/>
      </c>
      <c r="D724" t="str">
        <f>IFERROR(IF(B724="","",VLOOKUP(B724,CadProd!$A:$C,3,0)),"")</f>
        <v/>
      </c>
      <c r="G724" s="1" t="str">
        <f t="shared" si="11"/>
        <v/>
      </c>
    </row>
    <row r="725" spans="3:7" x14ac:dyDescent="0.3">
      <c r="C725" t="str">
        <f>IFERROR(IF(B725="","",VLOOKUP(B725,CadProd!$A:$B,2,0)),"")</f>
        <v/>
      </c>
      <c r="D725" t="str">
        <f>IFERROR(IF(B725="","",VLOOKUP(B725,CadProd!$A:$C,3,0)),"")</f>
        <v/>
      </c>
      <c r="G725" s="1" t="str">
        <f t="shared" si="11"/>
        <v/>
      </c>
    </row>
    <row r="726" spans="3:7" x14ac:dyDescent="0.3">
      <c r="C726" t="str">
        <f>IFERROR(IF(B726="","",VLOOKUP(B726,CadProd!$A:$B,2,0)),"")</f>
        <v/>
      </c>
      <c r="D726" t="str">
        <f>IFERROR(IF(B726="","",VLOOKUP(B726,CadProd!$A:$C,3,0)),"")</f>
        <v/>
      </c>
      <c r="G726" s="1" t="str">
        <f t="shared" si="11"/>
        <v/>
      </c>
    </row>
    <row r="727" spans="3:7" x14ac:dyDescent="0.3">
      <c r="C727" t="str">
        <f>IFERROR(IF(B727="","",VLOOKUP(B727,CadProd!$A:$B,2,0)),"")</f>
        <v/>
      </c>
      <c r="D727" t="str">
        <f>IFERROR(IF(B727="","",VLOOKUP(B727,CadProd!$A:$C,3,0)),"")</f>
        <v/>
      </c>
      <c r="G727" s="1" t="str">
        <f t="shared" si="11"/>
        <v/>
      </c>
    </row>
    <row r="728" spans="3:7" x14ac:dyDescent="0.3">
      <c r="C728" t="str">
        <f>IFERROR(IF(B728="","",VLOOKUP(B728,CadProd!$A:$B,2,0)),"")</f>
        <v/>
      </c>
      <c r="D728" t="str">
        <f>IFERROR(IF(B728="","",VLOOKUP(B728,CadProd!$A:$C,3,0)),"")</f>
        <v/>
      </c>
      <c r="G728" s="1" t="str">
        <f t="shared" si="11"/>
        <v/>
      </c>
    </row>
    <row r="729" spans="3:7" x14ac:dyDescent="0.3">
      <c r="C729" t="str">
        <f>IFERROR(IF(B729="","",VLOOKUP(B729,CadProd!$A:$B,2,0)),"")</f>
        <v/>
      </c>
      <c r="D729" t="str">
        <f>IFERROR(IF(B729="","",VLOOKUP(B729,CadProd!$A:$C,3,0)),"")</f>
        <v/>
      </c>
      <c r="G729" s="1" t="str">
        <f t="shared" si="11"/>
        <v/>
      </c>
    </row>
    <row r="730" spans="3:7" x14ac:dyDescent="0.3">
      <c r="C730" t="str">
        <f>IFERROR(IF(B730="","",VLOOKUP(B730,CadProd!$A:$B,2,0)),"")</f>
        <v/>
      </c>
      <c r="D730" t="str">
        <f>IFERROR(IF(B730="","",VLOOKUP(B730,CadProd!$A:$C,3,0)),"")</f>
        <v/>
      </c>
      <c r="G730" s="1" t="str">
        <f t="shared" si="11"/>
        <v/>
      </c>
    </row>
    <row r="731" spans="3:7" x14ac:dyDescent="0.3">
      <c r="C731" t="str">
        <f>IFERROR(IF(B731="","",VLOOKUP(B731,CadProd!$A:$B,2,0)),"")</f>
        <v/>
      </c>
      <c r="D731" t="str">
        <f>IFERROR(IF(B731="","",VLOOKUP(B731,CadProd!$A:$C,3,0)),"")</f>
        <v/>
      </c>
      <c r="G731" s="1" t="str">
        <f t="shared" si="11"/>
        <v/>
      </c>
    </row>
    <row r="732" spans="3:7" x14ac:dyDescent="0.3">
      <c r="C732" t="str">
        <f>IFERROR(IF(B732="","",VLOOKUP(B732,CadProd!$A:$B,2,0)),"")</f>
        <v/>
      </c>
      <c r="D732" t="str">
        <f>IFERROR(IF(B732="","",VLOOKUP(B732,CadProd!$A:$C,3,0)),"")</f>
        <v/>
      </c>
      <c r="G732" s="1" t="str">
        <f t="shared" si="11"/>
        <v/>
      </c>
    </row>
    <row r="733" spans="3:7" x14ac:dyDescent="0.3">
      <c r="C733" t="str">
        <f>IFERROR(IF(B733="","",VLOOKUP(B733,CadProd!$A:$B,2,0)),"")</f>
        <v/>
      </c>
      <c r="D733" t="str">
        <f>IFERROR(IF(B733="","",VLOOKUP(B733,CadProd!$A:$C,3,0)),"")</f>
        <v/>
      </c>
      <c r="G733" s="1" t="str">
        <f t="shared" si="11"/>
        <v/>
      </c>
    </row>
    <row r="734" spans="3:7" x14ac:dyDescent="0.3">
      <c r="C734" t="str">
        <f>IFERROR(IF(B734="","",VLOOKUP(B734,CadProd!$A:$B,2,0)),"")</f>
        <v/>
      </c>
      <c r="D734" t="str">
        <f>IFERROR(IF(B734="","",VLOOKUP(B734,CadProd!$A:$C,3,0)),"")</f>
        <v/>
      </c>
      <c r="G734" s="1" t="str">
        <f t="shared" si="11"/>
        <v/>
      </c>
    </row>
    <row r="735" spans="3:7" x14ac:dyDescent="0.3">
      <c r="C735" t="str">
        <f>IFERROR(IF(B735="","",VLOOKUP(B735,CadProd!$A:$B,2,0)),"")</f>
        <v/>
      </c>
      <c r="D735" t="str">
        <f>IFERROR(IF(B735="","",VLOOKUP(B735,CadProd!$A:$C,3,0)),"")</f>
        <v/>
      </c>
      <c r="G735" s="1" t="str">
        <f t="shared" si="11"/>
        <v/>
      </c>
    </row>
    <row r="736" spans="3:7" x14ac:dyDescent="0.3">
      <c r="C736" t="str">
        <f>IFERROR(IF(B736="","",VLOOKUP(B736,CadProd!$A:$B,2,0)),"")</f>
        <v/>
      </c>
      <c r="D736" t="str">
        <f>IFERROR(IF(B736="","",VLOOKUP(B736,CadProd!$A:$C,3,0)),"")</f>
        <v/>
      </c>
      <c r="G736" s="1" t="str">
        <f t="shared" si="11"/>
        <v/>
      </c>
    </row>
    <row r="737" spans="3:7" x14ac:dyDescent="0.3">
      <c r="C737" t="str">
        <f>IFERROR(IF(B737="","",VLOOKUP(B737,CadProd!$A:$B,2,0)),"")</f>
        <v/>
      </c>
      <c r="D737" t="str">
        <f>IFERROR(IF(B737="","",VLOOKUP(B737,CadProd!$A:$C,3,0)),"")</f>
        <v/>
      </c>
      <c r="G737" s="1" t="str">
        <f t="shared" si="11"/>
        <v/>
      </c>
    </row>
    <row r="738" spans="3:7" x14ac:dyDescent="0.3">
      <c r="C738" t="str">
        <f>IFERROR(IF(B738="","",VLOOKUP(B738,CadProd!$A:$B,2,0)),"")</f>
        <v/>
      </c>
      <c r="D738" t="str">
        <f>IFERROR(IF(B738="","",VLOOKUP(B738,CadProd!$A:$C,3,0)),"")</f>
        <v/>
      </c>
      <c r="G738" s="1" t="str">
        <f t="shared" si="11"/>
        <v/>
      </c>
    </row>
    <row r="739" spans="3:7" x14ac:dyDescent="0.3">
      <c r="C739" t="str">
        <f>IFERROR(IF(B739="","",VLOOKUP(B739,CadProd!$A:$B,2,0)),"")</f>
        <v/>
      </c>
      <c r="D739" t="str">
        <f>IFERROR(IF(B739="","",VLOOKUP(B739,CadProd!$A:$C,3,0)),"")</f>
        <v/>
      </c>
      <c r="G739" s="1" t="str">
        <f t="shared" si="11"/>
        <v/>
      </c>
    </row>
    <row r="740" spans="3:7" x14ac:dyDescent="0.3">
      <c r="C740" t="str">
        <f>IFERROR(IF(B740="","",VLOOKUP(B740,CadProd!$A:$B,2,0)),"")</f>
        <v/>
      </c>
      <c r="D740" t="str">
        <f>IFERROR(IF(B740="","",VLOOKUP(B740,CadProd!$A:$C,3,0)),"")</f>
        <v/>
      </c>
      <c r="G740" s="1" t="str">
        <f t="shared" si="11"/>
        <v/>
      </c>
    </row>
    <row r="741" spans="3:7" x14ac:dyDescent="0.3">
      <c r="C741" t="str">
        <f>IFERROR(IF(B741="","",VLOOKUP(B741,CadProd!$A:$B,2,0)),"")</f>
        <v/>
      </c>
      <c r="D741" t="str">
        <f>IFERROR(IF(B741="","",VLOOKUP(B741,CadProd!$A:$C,3,0)),"")</f>
        <v/>
      </c>
      <c r="G741" s="1" t="str">
        <f t="shared" si="11"/>
        <v/>
      </c>
    </row>
    <row r="742" spans="3:7" x14ac:dyDescent="0.3">
      <c r="C742" t="str">
        <f>IFERROR(IF(B742="","",VLOOKUP(B742,CadProd!$A:$B,2,0)),"")</f>
        <v/>
      </c>
      <c r="D742" t="str">
        <f>IFERROR(IF(B742="","",VLOOKUP(B742,CadProd!$A:$C,3,0)),"")</f>
        <v/>
      </c>
      <c r="G742" s="1" t="str">
        <f t="shared" si="11"/>
        <v/>
      </c>
    </row>
    <row r="743" spans="3:7" x14ac:dyDescent="0.3">
      <c r="C743" t="str">
        <f>IFERROR(IF(B743="","",VLOOKUP(B743,CadProd!$A:$B,2,0)),"")</f>
        <v/>
      </c>
      <c r="D743" t="str">
        <f>IFERROR(IF(B743="","",VLOOKUP(B743,CadProd!$A:$C,3,0)),"")</f>
        <v/>
      </c>
      <c r="G743" s="1" t="str">
        <f t="shared" si="11"/>
        <v/>
      </c>
    </row>
    <row r="744" spans="3:7" x14ac:dyDescent="0.3">
      <c r="C744" t="str">
        <f>IFERROR(IF(B744="","",VLOOKUP(B744,CadProd!$A:$B,2,0)),"")</f>
        <v/>
      </c>
      <c r="D744" t="str">
        <f>IFERROR(IF(B744="","",VLOOKUP(B744,CadProd!$A:$C,3,0)),"")</f>
        <v/>
      </c>
      <c r="G744" s="1" t="str">
        <f t="shared" si="11"/>
        <v/>
      </c>
    </row>
    <row r="745" spans="3:7" x14ac:dyDescent="0.3">
      <c r="C745" t="str">
        <f>IFERROR(IF(B745="","",VLOOKUP(B745,CadProd!$A:$B,2,0)),"")</f>
        <v/>
      </c>
      <c r="D745" t="str">
        <f>IFERROR(IF(B745="","",VLOOKUP(B745,CadProd!$A:$C,3,0)),"")</f>
        <v/>
      </c>
      <c r="G745" s="1" t="str">
        <f t="shared" si="11"/>
        <v/>
      </c>
    </row>
    <row r="746" spans="3:7" x14ac:dyDescent="0.3">
      <c r="C746" t="str">
        <f>IFERROR(IF(B746="","",VLOOKUP(B746,CadProd!$A:$B,2,0)),"")</f>
        <v/>
      </c>
      <c r="D746" t="str">
        <f>IFERROR(IF(B746="","",VLOOKUP(B746,CadProd!$A:$C,3,0)),"")</f>
        <v/>
      </c>
      <c r="G746" s="1" t="str">
        <f t="shared" si="11"/>
        <v/>
      </c>
    </row>
    <row r="747" spans="3:7" x14ac:dyDescent="0.3">
      <c r="C747" t="str">
        <f>IFERROR(IF(B747="","",VLOOKUP(B747,CadProd!$A:$B,2,0)),"")</f>
        <v/>
      </c>
      <c r="D747" t="str">
        <f>IFERROR(IF(B747="","",VLOOKUP(B747,CadProd!$A:$C,3,0)),"")</f>
        <v/>
      </c>
      <c r="G747" s="1" t="str">
        <f t="shared" si="11"/>
        <v/>
      </c>
    </row>
    <row r="748" spans="3:7" x14ac:dyDescent="0.3">
      <c r="C748" t="str">
        <f>IFERROR(IF(B748="","",VLOOKUP(B748,CadProd!$A:$B,2,0)),"")</f>
        <v/>
      </c>
      <c r="D748" t="str">
        <f>IFERROR(IF(B748="","",VLOOKUP(B748,CadProd!$A:$C,3,0)),"")</f>
        <v/>
      </c>
      <c r="G748" s="1" t="str">
        <f t="shared" si="11"/>
        <v/>
      </c>
    </row>
    <row r="749" spans="3:7" x14ac:dyDescent="0.3">
      <c r="C749" t="str">
        <f>IFERROR(IF(B749="","",VLOOKUP(B749,CadProd!$A:$B,2,0)),"")</f>
        <v/>
      </c>
      <c r="D749" t="str">
        <f>IFERROR(IF(B749="","",VLOOKUP(B749,CadProd!$A:$C,3,0)),"")</f>
        <v/>
      </c>
      <c r="G749" s="1" t="str">
        <f t="shared" si="11"/>
        <v/>
      </c>
    </row>
    <row r="750" spans="3:7" x14ac:dyDescent="0.3">
      <c r="C750" t="str">
        <f>IFERROR(IF(B750="","",VLOOKUP(B750,CadProd!$A:$B,2,0)),"")</f>
        <v/>
      </c>
      <c r="D750" t="str">
        <f>IFERROR(IF(B750="","",VLOOKUP(B750,CadProd!$A:$C,3,0)),"")</f>
        <v/>
      </c>
      <c r="G750" s="1" t="str">
        <f t="shared" si="11"/>
        <v/>
      </c>
    </row>
    <row r="751" spans="3:7" x14ac:dyDescent="0.3">
      <c r="C751" t="str">
        <f>IFERROR(IF(B751="","",VLOOKUP(B751,CadProd!$A:$B,2,0)),"")</f>
        <v/>
      </c>
      <c r="D751" t="str">
        <f>IFERROR(IF(B751="","",VLOOKUP(B751,CadProd!$A:$C,3,0)),"")</f>
        <v/>
      </c>
      <c r="G751" s="1" t="str">
        <f t="shared" si="11"/>
        <v/>
      </c>
    </row>
    <row r="752" spans="3:7" x14ac:dyDescent="0.3">
      <c r="C752" t="str">
        <f>IFERROR(IF(B752="","",VLOOKUP(B752,CadProd!$A:$B,2,0)),"")</f>
        <v/>
      </c>
      <c r="D752" t="str">
        <f>IFERROR(IF(B752="","",VLOOKUP(B752,CadProd!$A:$C,3,0)),"")</f>
        <v/>
      </c>
      <c r="G752" s="1" t="str">
        <f t="shared" si="11"/>
        <v/>
      </c>
    </row>
    <row r="753" spans="3:7" x14ac:dyDescent="0.3">
      <c r="C753" t="str">
        <f>IFERROR(IF(B753="","",VLOOKUP(B753,CadProd!$A:$B,2,0)),"")</f>
        <v/>
      </c>
      <c r="D753" t="str">
        <f>IFERROR(IF(B753="","",VLOOKUP(B753,CadProd!$A:$C,3,0)),"")</f>
        <v/>
      </c>
      <c r="G753" s="1" t="str">
        <f t="shared" si="11"/>
        <v/>
      </c>
    </row>
    <row r="754" spans="3:7" x14ac:dyDescent="0.3">
      <c r="C754" t="str">
        <f>IFERROR(IF(B754="","",VLOOKUP(B754,CadProd!$A:$B,2,0)),"")</f>
        <v/>
      </c>
      <c r="D754" t="str">
        <f>IFERROR(IF(B754="","",VLOOKUP(B754,CadProd!$A:$C,3,0)),"")</f>
        <v/>
      </c>
      <c r="G754" s="1" t="str">
        <f t="shared" si="11"/>
        <v/>
      </c>
    </row>
    <row r="755" spans="3:7" x14ac:dyDescent="0.3">
      <c r="C755" t="str">
        <f>IFERROR(IF(B755="","",VLOOKUP(B755,CadProd!$A:$B,2,0)),"")</f>
        <v/>
      </c>
      <c r="D755" t="str">
        <f>IFERROR(IF(B755="","",VLOOKUP(B755,CadProd!$A:$C,3,0)),"")</f>
        <v/>
      </c>
      <c r="G755" s="1" t="str">
        <f t="shared" si="11"/>
        <v/>
      </c>
    </row>
    <row r="756" spans="3:7" x14ac:dyDescent="0.3">
      <c r="C756" t="str">
        <f>IFERROR(IF(B756="","",VLOOKUP(B756,CadProd!$A:$B,2,0)),"")</f>
        <v/>
      </c>
      <c r="D756" t="str">
        <f>IFERROR(IF(B756="","",VLOOKUP(B756,CadProd!$A:$C,3,0)),"")</f>
        <v/>
      </c>
      <c r="G756" s="1" t="str">
        <f t="shared" si="11"/>
        <v/>
      </c>
    </row>
    <row r="757" spans="3:7" x14ac:dyDescent="0.3">
      <c r="C757" t="str">
        <f>IFERROR(IF(B757="","",VLOOKUP(B757,CadProd!$A:$B,2,0)),"")</f>
        <v/>
      </c>
      <c r="D757" t="str">
        <f>IFERROR(IF(B757="","",VLOOKUP(B757,CadProd!$A:$C,3,0)),"")</f>
        <v/>
      </c>
      <c r="G757" s="1" t="str">
        <f t="shared" si="11"/>
        <v/>
      </c>
    </row>
    <row r="758" spans="3:7" x14ac:dyDescent="0.3">
      <c r="C758" t="str">
        <f>IFERROR(IF(B758="","",VLOOKUP(B758,CadProd!$A:$B,2,0)),"")</f>
        <v/>
      </c>
      <c r="D758" t="str">
        <f>IFERROR(IF(B758="","",VLOOKUP(B758,CadProd!$A:$C,3,0)),"")</f>
        <v/>
      </c>
      <c r="G758" s="1" t="str">
        <f t="shared" si="11"/>
        <v/>
      </c>
    </row>
    <row r="759" spans="3:7" x14ac:dyDescent="0.3">
      <c r="C759" t="str">
        <f>IFERROR(IF(B759="","",VLOOKUP(B759,CadProd!$A:$B,2,0)),"")</f>
        <v/>
      </c>
      <c r="D759" t="str">
        <f>IFERROR(IF(B759="","",VLOOKUP(B759,CadProd!$A:$C,3,0)),"")</f>
        <v/>
      </c>
      <c r="G759" s="1" t="str">
        <f t="shared" si="11"/>
        <v/>
      </c>
    </row>
    <row r="760" spans="3:7" x14ac:dyDescent="0.3">
      <c r="C760" t="str">
        <f>IFERROR(IF(B760="","",VLOOKUP(B760,CadProd!$A:$B,2,0)),"")</f>
        <v/>
      </c>
      <c r="D760" t="str">
        <f>IFERROR(IF(B760="","",VLOOKUP(B760,CadProd!$A:$C,3,0)),"")</f>
        <v/>
      </c>
      <c r="G760" s="1" t="str">
        <f t="shared" si="11"/>
        <v/>
      </c>
    </row>
    <row r="761" spans="3:7" x14ac:dyDescent="0.3">
      <c r="C761" t="str">
        <f>IFERROR(IF(B761="","",VLOOKUP(B761,CadProd!$A:$B,2,0)),"")</f>
        <v/>
      </c>
      <c r="D761" t="str">
        <f>IFERROR(IF(B761="","",VLOOKUP(B761,CadProd!$A:$C,3,0)),"")</f>
        <v/>
      </c>
      <c r="G761" s="1" t="str">
        <f t="shared" si="11"/>
        <v/>
      </c>
    </row>
    <row r="762" spans="3:7" x14ac:dyDescent="0.3">
      <c r="C762" t="str">
        <f>IFERROR(IF(B762="","",VLOOKUP(B762,CadProd!$A:$B,2,0)),"")</f>
        <v/>
      </c>
      <c r="D762" t="str">
        <f>IFERROR(IF(B762="","",VLOOKUP(B762,CadProd!$A:$C,3,0)),"")</f>
        <v/>
      </c>
      <c r="G762" s="1" t="str">
        <f t="shared" si="11"/>
        <v/>
      </c>
    </row>
    <row r="763" spans="3:7" x14ac:dyDescent="0.3">
      <c r="C763" t="str">
        <f>IFERROR(IF(B763="","",VLOOKUP(B763,CadProd!$A:$B,2,0)),"")</f>
        <v/>
      </c>
      <c r="D763" t="str">
        <f>IFERROR(IF(B763="","",VLOOKUP(B763,CadProd!$A:$C,3,0)),"")</f>
        <v/>
      </c>
      <c r="G763" s="1" t="str">
        <f t="shared" si="11"/>
        <v/>
      </c>
    </row>
    <row r="764" spans="3:7" x14ac:dyDescent="0.3">
      <c r="C764" t="str">
        <f>IFERROR(IF(B764="","",VLOOKUP(B764,CadProd!$A:$B,2,0)),"")</f>
        <v/>
      </c>
      <c r="D764" t="str">
        <f>IFERROR(IF(B764="","",VLOOKUP(B764,CadProd!$A:$C,3,0)),"")</f>
        <v/>
      </c>
      <c r="G764" s="1" t="str">
        <f t="shared" si="11"/>
        <v/>
      </c>
    </row>
    <row r="765" spans="3:7" x14ac:dyDescent="0.3">
      <c r="C765" t="str">
        <f>IFERROR(IF(B765="","",VLOOKUP(B765,CadProd!$A:$B,2,0)),"")</f>
        <v/>
      </c>
      <c r="D765" t="str">
        <f>IFERROR(IF(B765="","",VLOOKUP(B765,CadProd!$A:$C,3,0)),"")</f>
        <v/>
      </c>
      <c r="G765" s="1" t="str">
        <f t="shared" si="11"/>
        <v/>
      </c>
    </row>
    <row r="766" spans="3:7" x14ac:dyDescent="0.3">
      <c r="C766" t="str">
        <f>IFERROR(IF(B766="","",VLOOKUP(B766,CadProd!$A:$B,2,0)),"")</f>
        <v/>
      </c>
      <c r="D766" t="str">
        <f>IFERROR(IF(B766="","",VLOOKUP(B766,CadProd!$A:$C,3,0)),"")</f>
        <v/>
      </c>
      <c r="G766" s="1" t="str">
        <f t="shared" si="11"/>
        <v/>
      </c>
    </row>
    <row r="767" spans="3:7" x14ac:dyDescent="0.3">
      <c r="C767" t="str">
        <f>IFERROR(IF(B767="","",VLOOKUP(B767,CadProd!$A:$B,2,0)),"")</f>
        <v/>
      </c>
      <c r="D767" t="str">
        <f>IFERROR(IF(B767="","",VLOOKUP(B767,CadProd!$A:$C,3,0)),"")</f>
        <v/>
      </c>
      <c r="G767" s="1" t="str">
        <f t="shared" si="11"/>
        <v/>
      </c>
    </row>
    <row r="768" spans="3:7" x14ac:dyDescent="0.3">
      <c r="C768" t="str">
        <f>IFERROR(IF(B768="","",VLOOKUP(B768,CadProd!$A:$B,2,0)),"")</f>
        <v/>
      </c>
      <c r="D768" t="str">
        <f>IFERROR(IF(B768="","",VLOOKUP(B768,CadProd!$A:$C,3,0)),"")</f>
        <v/>
      </c>
      <c r="G768" s="1" t="str">
        <f t="shared" si="11"/>
        <v/>
      </c>
    </row>
    <row r="769" spans="3:7" x14ac:dyDescent="0.3">
      <c r="C769" t="str">
        <f>IFERROR(IF(B769="","",VLOOKUP(B769,CadProd!$A:$B,2,0)),"")</f>
        <v/>
      </c>
      <c r="D769" t="str">
        <f>IFERROR(IF(B769="","",VLOOKUP(B769,CadProd!$A:$C,3,0)),"")</f>
        <v/>
      </c>
      <c r="G769" s="1" t="str">
        <f t="shared" si="11"/>
        <v/>
      </c>
    </row>
    <row r="770" spans="3:7" x14ac:dyDescent="0.3">
      <c r="C770" t="str">
        <f>IFERROR(IF(B770="","",VLOOKUP(B770,CadProd!$A:$B,2,0)),"")</f>
        <v/>
      </c>
      <c r="D770" t="str">
        <f>IFERROR(IF(B770="","",VLOOKUP(B770,CadProd!$A:$C,3,0)),"")</f>
        <v/>
      </c>
      <c r="G770" s="1" t="str">
        <f t="shared" si="11"/>
        <v/>
      </c>
    </row>
    <row r="771" spans="3:7" x14ac:dyDescent="0.3">
      <c r="C771" t="str">
        <f>IFERROR(IF(B771="","",VLOOKUP(B771,CadProd!$A:$B,2,0)),"")</f>
        <v/>
      </c>
      <c r="D771" t="str">
        <f>IFERROR(IF(B771="","",VLOOKUP(B771,CadProd!$A:$C,3,0)),"")</f>
        <v/>
      </c>
      <c r="G771" s="1" t="str">
        <f t="shared" si="11"/>
        <v/>
      </c>
    </row>
    <row r="772" spans="3:7" x14ac:dyDescent="0.3">
      <c r="C772" t="str">
        <f>IFERROR(IF(B772="","",VLOOKUP(B772,CadProd!$A:$B,2,0)),"")</f>
        <v/>
      </c>
      <c r="D772" t="str">
        <f>IFERROR(IF(B772="","",VLOOKUP(B772,CadProd!$A:$C,3,0)),"")</f>
        <v/>
      </c>
      <c r="G772" s="1" t="str">
        <f t="shared" si="11"/>
        <v/>
      </c>
    </row>
    <row r="773" spans="3:7" x14ac:dyDescent="0.3">
      <c r="C773" t="str">
        <f>IFERROR(IF(B773="","",VLOOKUP(B773,CadProd!$A:$B,2,0)),"")</f>
        <v/>
      </c>
      <c r="D773" t="str">
        <f>IFERROR(IF(B773="","",VLOOKUP(B773,CadProd!$A:$C,3,0)),"")</f>
        <v/>
      </c>
      <c r="G773" s="1" t="str">
        <f t="shared" si="11"/>
        <v/>
      </c>
    </row>
    <row r="774" spans="3:7" x14ac:dyDescent="0.3">
      <c r="C774" t="str">
        <f>IFERROR(IF(B774="","",VLOOKUP(B774,CadProd!$A:$B,2,0)),"")</f>
        <v/>
      </c>
      <c r="D774" t="str">
        <f>IFERROR(IF(B774="","",VLOOKUP(B774,CadProd!$A:$C,3,0)),"")</f>
        <v/>
      </c>
      <c r="G774" s="1" t="str">
        <f t="shared" si="11"/>
        <v/>
      </c>
    </row>
    <row r="775" spans="3:7" x14ac:dyDescent="0.3">
      <c r="C775" t="str">
        <f>IFERROR(IF(B775="","",VLOOKUP(B775,CadProd!$A:$B,2,0)),"")</f>
        <v/>
      </c>
      <c r="D775" t="str">
        <f>IFERROR(IF(B775="","",VLOOKUP(B775,CadProd!$A:$C,3,0)),"")</f>
        <v/>
      </c>
      <c r="G775" s="1" t="str">
        <f t="shared" si="11"/>
        <v/>
      </c>
    </row>
    <row r="776" spans="3:7" x14ac:dyDescent="0.3">
      <c r="C776" t="str">
        <f>IFERROR(IF(B776="","",VLOOKUP(B776,CadProd!$A:$B,2,0)),"")</f>
        <v/>
      </c>
      <c r="D776" t="str">
        <f>IFERROR(IF(B776="","",VLOOKUP(B776,CadProd!$A:$C,3,0)),"")</f>
        <v/>
      </c>
      <c r="G776" s="1" t="str">
        <f t="shared" si="11"/>
        <v/>
      </c>
    </row>
    <row r="777" spans="3:7" x14ac:dyDescent="0.3">
      <c r="C777" t="str">
        <f>IFERROR(IF(B777="","",VLOOKUP(B777,CadProd!$A:$B,2,0)),"")</f>
        <v/>
      </c>
      <c r="D777" t="str">
        <f>IFERROR(IF(B777="","",VLOOKUP(B777,CadProd!$A:$C,3,0)),"")</f>
        <v/>
      </c>
      <c r="G777" s="1" t="str">
        <f t="shared" si="11"/>
        <v/>
      </c>
    </row>
    <row r="778" spans="3:7" x14ac:dyDescent="0.3">
      <c r="C778" t="str">
        <f>IFERROR(IF(B778="","",VLOOKUP(B778,CadProd!$A:$B,2,0)),"")</f>
        <v/>
      </c>
      <c r="D778" t="str">
        <f>IFERROR(IF(B778="","",VLOOKUP(B778,CadProd!$A:$C,3,0)),"")</f>
        <v/>
      </c>
      <c r="G778" s="1" t="str">
        <f t="shared" si="11"/>
        <v/>
      </c>
    </row>
    <row r="779" spans="3:7" x14ac:dyDescent="0.3">
      <c r="C779" t="str">
        <f>IFERROR(IF(B779="","",VLOOKUP(B779,CadProd!$A:$B,2,0)),"")</f>
        <v/>
      </c>
      <c r="D779" t="str">
        <f>IFERROR(IF(B779="","",VLOOKUP(B779,CadProd!$A:$C,3,0)),"")</f>
        <v/>
      </c>
      <c r="G779" s="1" t="str">
        <f t="shared" ref="G779:G842" si="12">IFERROR(IF(B779="","",F779*E779),"")</f>
        <v/>
      </c>
    </row>
    <row r="780" spans="3:7" x14ac:dyDescent="0.3">
      <c r="C780" t="str">
        <f>IFERROR(IF(B780="","",VLOOKUP(B780,CadProd!$A:$B,2,0)),"")</f>
        <v/>
      </c>
      <c r="D780" t="str">
        <f>IFERROR(IF(B780="","",VLOOKUP(B780,CadProd!$A:$C,3,0)),"")</f>
        <v/>
      </c>
      <c r="G780" s="1" t="str">
        <f t="shared" si="12"/>
        <v/>
      </c>
    </row>
    <row r="781" spans="3:7" x14ac:dyDescent="0.3">
      <c r="C781" t="str">
        <f>IFERROR(IF(B781="","",VLOOKUP(B781,CadProd!$A:$B,2,0)),"")</f>
        <v/>
      </c>
      <c r="D781" t="str">
        <f>IFERROR(IF(B781="","",VLOOKUP(B781,CadProd!$A:$C,3,0)),"")</f>
        <v/>
      </c>
      <c r="G781" s="1" t="str">
        <f t="shared" si="12"/>
        <v/>
      </c>
    </row>
    <row r="782" spans="3:7" x14ac:dyDescent="0.3">
      <c r="C782" t="str">
        <f>IFERROR(IF(B782="","",VLOOKUP(B782,CadProd!$A:$B,2,0)),"")</f>
        <v/>
      </c>
      <c r="D782" t="str">
        <f>IFERROR(IF(B782="","",VLOOKUP(B782,CadProd!$A:$C,3,0)),"")</f>
        <v/>
      </c>
      <c r="G782" s="1" t="str">
        <f t="shared" si="12"/>
        <v/>
      </c>
    </row>
    <row r="783" spans="3:7" x14ac:dyDescent="0.3">
      <c r="C783" t="str">
        <f>IFERROR(IF(B783="","",VLOOKUP(B783,CadProd!$A:$B,2,0)),"")</f>
        <v/>
      </c>
      <c r="D783" t="str">
        <f>IFERROR(IF(B783="","",VLOOKUP(B783,CadProd!$A:$C,3,0)),"")</f>
        <v/>
      </c>
      <c r="G783" s="1" t="str">
        <f t="shared" si="12"/>
        <v/>
      </c>
    </row>
    <row r="784" spans="3:7" x14ac:dyDescent="0.3">
      <c r="C784" t="str">
        <f>IFERROR(IF(B784="","",VLOOKUP(B784,CadProd!$A:$B,2,0)),"")</f>
        <v/>
      </c>
      <c r="D784" t="str">
        <f>IFERROR(IF(B784="","",VLOOKUP(B784,CadProd!$A:$C,3,0)),"")</f>
        <v/>
      </c>
      <c r="G784" s="1" t="str">
        <f t="shared" si="12"/>
        <v/>
      </c>
    </row>
    <row r="785" spans="3:7" x14ac:dyDescent="0.3">
      <c r="C785" t="str">
        <f>IFERROR(IF(B785="","",VLOOKUP(B785,CadProd!$A:$B,2,0)),"")</f>
        <v/>
      </c>
      <c r="D785" t="str">
        <f>IFERROR(IF(B785="","",VLOOKUP(B785,CadProd!$A:$C,3,0)),"")</f>
        <v/>
      </c>
      <c r="G785" s="1" t="str">
        <f t="shared" si="12"/>
        <v/>
      </c>
    </row>
    <row r="786" spans="3:7" x14ac:dyDescent="0.3">
      <c r="C786" t="str">
        <f>IFERROR(IF(B786="","",VLOOKUP(B786,CadProd!$A:$B,2,0)),"")</f>
        <v/>
      </c>
      <c r="D786" t="str">
        <f>IFERROR(IF(B786="","",VLOOKUP(B786,CadProd!$A:$C,3,0)),"")</f>
        <v/>
      </c>
      <c r="G786" s="1" t="str">
        <f t="shared" si="12"/>
        <v/>
      </c>
    </row>
    <row r="787" spans="3:7" x14ac:dyDescent="0.3">
      <c r="C787" t="str">
        <f>IFERROR(IF(B787="","",VLOOKUP(B787,CadProd!$A:$B,2,0)),"")</f>
        <v/>
      </c>
      <c r="D787" t="str">
        <f>IFERROR(IF(B787="","",VLOOKUP(B787,CadProd!$A:$C,3,0)),"")</f>
        <v/>
      </c>
      <c r="G787" s="1" t="str">
        <f t="shared" si="12"/>
        <v/>
      </c>
    </row>
    <row r="788" spans="3:7" x14ac:dyDescent="0.3">
      <c r="C788" t="str">
        <f>IFERROR(IF(B788="","",VLOOKUP(B788,CadProd!$A:$B,2,0)),"")</f>
        <v/>
      </c>
      <c r="D788" t="str">
        <f>IFERROR(IF(B788="","",VLOOKUP(B788,CadProd!$A:$C,3,0)),"")</f>
        <v/>
      </c>
      <c r="G788" s="1" t="str">
        <f t="shared" si="12"/>
        <v/>
      </c>
    </row>
    <row r="789" spans="3:7" x14ac:dyDescent="0.3">
      <c r="C789" t="str">
        <f>IFERROR(IF(B789="","",VLOOKUP(B789,CadProd!$A:$B,2,0)),"")</f>
        <v/>
      </c>
      <c r="D789" t="str">
        <f>IFERROR(IF(B789="","",VLOOKUP(B789,CadProd!$A:$C,3,0)),"")</f>
        <v/>
      </c>
      <c r="G789" s="1" t="str">
        <f t="shared" si="12"/>
        <v/>
      </c>
    </row>
    <row r="790" spans="3:7" x14ac:dyDescent="0.3">
      <c r="C790" t="str">
        <f>IFERROR(IF(B790="","",VLOOKUP(B790,CadProd!$A:$B,2,0)),"")</f>
        <v/>
      </c>
      <c r="D790" t="str">
        <f>IFERROR(IF(B790="","",VLOOKUP(B790,CadProd!$A:$C,3,0)),"")</f>
        <v/>
      </c>
      <c r="G790" s="1" t="str">
        <f t="shared" si="12"/>
        <v/>
      </c>
    </row>
    <row r="791" spans="3:7" x14ac:dyDescent="0.3">
      <c r="C791" t="str">
        <f>IFERROR(IF(B791="","",VLOOKUP(B791,CadProd!$A:$B,2,0)),"")</f>
        <v/>
      </c>
      <c r="D791" t="str">
        <f>IFERROR(IF(B791="","",VLOOKUP(B791,CadProd!$A:$C,3,0)),"")</f>
        <v/>
      </c>
      <c r="G791" s="1" t="str">
        <f t="shared" si="12"/>
        <v/>
      </c>
    </row>
    <row r="792" spans="3:7" x14ac:dyDescent="0.3">
      <c r="C792" t="str">
        <f>IFERROR(IF(B792="","",VLOOKUP(B792,CadProd!$A:$B,2,0)),"")</f>
        <v/>
      </c>
      <c r="D792" t="str">
        <f>IFERROR(IF(B792="","",VLOOKUP(B792,CadProd!$A:$C,3,0)),"")</f>
        <v/>
      </c>
      <c r="G792" s="1" t="str">
        <f t="shared" si="12"/>
        <v/>
      </c>
    </row>
    <row r="793" spans="3:7" x14ac:dyDescent="0.3">
      <c r="C793" t="str">
        <f>IFERROR(IF(B793="","",VLOOKUP(B793,CadProd!$A:$B,2,0)),"")</f>
        <v/>
      </c>
      <c r="D793" t="str">
        <f>IFERROR(IF(B793="","",VLOOKUP(B793,CadProd!$A:$C,3,0)),"")</f>
        <v/>
      </c>
      <c r="G793" s="1" t="str">
        <f t="shared" si="12"/>
        <v/>
      </c>
    </row>
    <row r="794" spans="3:7" x14ac:dyDescent="0.3">
      <c r="C794" t="str">
        <f>IFERROR(IF(B794="","",VLOOKUP(B794,CadProd!$A:$B,2,0)),"")</f>
        <v/>
      </c>
      <c r="D794" t="str">
        <f>IFERROR(IF(B794="","",VLOOKUP(B794,CadProd!$A:$C,3,0)),"")</f>
        <v/>
      </c>
      <c r="G794" s="1" t="str">
        <f t="shared" si="12"/>
        <v/>
      </c>
    </row>
    <row r="795" spans="3:7" x14ac:dyDescent="0.3">
      <c r="C795" t="str">
        <f>IFERROR(IF(B795="","",VLOOKUP(B795,CadProd!$A:$B,2,0)),"")</f>
        <v/>
      </c>
      <c r="D795" t="str">
        <f>IFERROR(IF(B795="","",VLOOKUP(B795,CadProd!$A:$C,3,0)),"")</f>
        <v/>
      </c>
      <c r="G795" s="1" t="str">
        <f t="shared" si="12"/>
        <v/>
      </c>
    </row>
    <row r="796" spans="3:7" x14ac:dyDescent="0.3">
      <c r="C796" t="str">
        <f>IFERROR(IF(B796="","",VLOOKUP(B796,CadProd!$A:$B,2,0)),"")</f>
        <v/>
      </c>
      <c r="D796" t="str">
        <f>IFERROR(IF(B796="","",VLOOKUP(B796,CadProd!$A:$C,3,0)),"")</f>
        <v/>
      </c>
      <c r="G796" s="1" t="str">
        <f t="shared" si="12"/>
        <v/>
      </c>
    </row>
    <row r="797" spans="3:7" x14ac:dyDescent="0.3">
      <c r="C797" t="str">
        <f>IFERROR(IF(B797="","",VLOOKUP(B797,CadProd!$A:$B,2,0)),"")</f>
        <v/>
      </c>
      <c r="D797" t="str">
        <f>IFERROR(IF(B797="","",VLOOKUP(B797,CadProd!$A:$C,3,0)),"")</f>
        <v/>
      </c>
      <c r="G797" s="1" t="str">
        <f t="shared" si="12"/>
        <v/>
      </c>
    </row>
    <row r="798" spans="3:7" x14ac:dyDescent="0.3">
      <c r="C798" t="str">
        <f>IFERROR(IF(B798="","",VLOOKUP(B798,CadProd!$A:$B,2,0)),"")</f>
        <v/>
      </c>
      <c r="D798" t="str">
        <f>IFERROR(IF(B798="","",VLOOKUP(B798,CadProd!$A:$C,3,0)),"")</f>
        <v/>
      </c>
      <c r="G798" s="1" t="str">
        <f t="shared" si="12"/>
        <v/>
      </c>
    </row>
    <row r="799" spans="3:7" x14ac:dyDescent="0.3">
      <c r="C799" t="str">
        <f>IFERROR(IF(B799="","",VLOOKUP(B799,CadProd!$A:$B,2,0)),"")</f>
        <v/>
      </c>
      <c r="D799" t="str">
        <f>IFERROR(IF(B799="","",VLOOKUP(B799,CadProd!$A:$C,3,0)),"")</f>
        <v/>
      </c>
      <c r="G799" s="1" t="str">
        <f t="shared" si="12"/>
        <v/>
      </c>
    </row>
    <row r="800" spans="3:7" x14ac:dyDescent="0.3">
      <c r="C800" t="str">
        <f>IFERROR(IF(B800="","",VLOOKUP(B800,CadProd!$A:$B,2,0)),"")</f>
        <v/>
      </c>
      <c r="D800" t="str">
        <f>IFERROR(IF(B800="","",VLOOKUP(B800,CadProd!$A:$C,3,0)),"")</f>
        <v/>
      </c>
      <c r="G800" s="1" t="str">
        <f t="shared" si="12"/>
        <v/>
      </c>
    </row>
    <row r="801" spans="3:7" x14ac:dyDescent="0.3">
      <c r="C801" t="str">
        <f>IFERROR(IF(B801="","",VLOOKUP(B801,CadProd!$A:$B,2,0)),"")</f>
        <v/>
      </c>
      <c r="D801" t="str">
        <f>IFERROR(IF(B801="","",VLOOKUP(B801,CadProd!$A:$C,3,0)),"")</f>
        <v/>
      </c>
      <c r="G801" s="1" t="str">
        <f t="shared" si="12"/>
        <v/>
      </c>
    </row>
    <row r="802" spans="3:7" x14ac:dyDescent="0.3">
      <c r="C802" t="str">
        <f>IFERROR(IF(B802="","",VLOOKUP(B802,CadProd!$A:$B,2,0)),"")</f>
        <v/>
      </c>
      <c r="D802" t="str">
        <f>IFERROR(IF(B802="","",VLOOKUP(B802,CadProd!$A:$C,3,0)),"")</f>
        <v/>
      </c>
      <c r="G802" s="1" t="str">
        <f t="shared" si="12"/>
        <v/>
      </c>
    </row>
    <row r="803" spans="3:7" x14ac:dyDescent="0.3">
      <c r="C803" t="str">
        <f>IFERROR(IF(B803="","",VLOOKUP(B803,CadProd!$A:$B,2,0)),"")</f>
        <v/>
      </c>
      <c r="D803" t="str">
        <f>IFERROR(IF(B803="","",VLOOKUP(B803,CadProd!$A:$C,3,0)),"")</f>
        <v/>
      </c>
      <c r="G803" s="1" t="str">
        <f t="shared" si="12"/>
        <v/>
      </c>
    </row>
    <row r="804" spans="3:7" x14ac:dyDescent="0.3">
      <c r="C804" t="str">
        <f>IFERROR(IF(B804="","",VLOOKUP(B804,CadProd!$A:$B,2,0)),"")</f>
        <v/>
      </c>
      <c r="D804" t="str">
        <f>IFERROR(IF(B804="","",VLOOKUP(B804,CadProd!$A:$C,3,0)),"")</f>
        <v/>
      </c>
      <c r="G804" s="1" t="str">
        <f t="shared" si="12"/>
        <v/>
      </c>
    </row>
    <row r="805" spans="3:7" x14ac:dyDescent="0.3">
      <c r="C805" t="str">
        <f>IFERROR(IF(B805="","",VLOOKUP(B805,CadProd!$A:$B,2,0)),"")</f>
        <v/>
      </c>
      <c r="D805" t="str">
        <f>IFERROR(IF(B805="","",VLOOKUP(B805,CadProd!$A:$C,3,0)),"")</f>
        <v/>
      </c>
      <c r="G805" s="1" t="str">
        <f t="shared" si="12"/>
        <v/>
      </c>
    </row>
    <row r="806" spans="3:7" x14ac:dyDescent="0.3">
      <c r="C806" t="str">
        <f>IFERROR(IF(B806="","",VLOOKUP(B806,CadProd!$A:$B,2,0)),"")</f>
        <v/>
      </c>
      <c r="D806" t="str">
        <f>IFERROR(IF(B806="","",VLOOKUP(B806,CadProd!$A:$C,3,0)),"")</f>
        <v/>
      </c>
      <c r="G806" s="1" t="str">
        <f t="shared" si="12"/>
        <v/>
      </c>
    </row>
    <row r="807" spans="3:7" x14ac:dyDescent="0.3">
      <c r="C807" t="str">
        <f>IFERROR(IF(B807="","",VLOOKUP(B807,CadProd!$A:$B,2,0)),"")</f>
        <v/>
      </c>
      <c r="D807" t="str">
        <f>IFERROR(IF(B807="","",VLOOKUP(B807,CadProd!$A:$C,3,0)),"")</f>
        <v/>
      </c>
      <c r="G807" s="1" t="str">
        <f t="shared" si="12"/>
        <v/>
      </c>
    </row>
    <row r="808" spans="3:7" x14ac:dyDescent="0.3">
      <c r="C808" t="str">
        <f>IFERROR(IF(B808="","",VLOOKUP(B808,CadProd!$A:$B,2,0)),"")</f>
        <v/>
      </c>
      <c r="D808" t="str">
        <f>IFERROR(IF(B808="","",VLOOKUP(B808,CadProd!$A:$C,3,0)),"")</f>
        <v/>
      </c>
      <c r="G808" s="1" t="str">
        <f t="shared" si="12"/>
        <v/>
      </c>
    </row>
    <row r="809" spans="3:7" x14ac:dyDescent="0.3">
      <c r="C809" t="str">
        <f>IFERROR(IF(B809="","",VLOOKUP(B809,CadProd!$A:$B,2,0)),"")</f>
        <v/>
      </c>
      <c r="D809" t="str">
        <f>IFERROR(IF(B809="","",VLOOKUP(B809,CadProd!$A:$C,3,0)),"")</f>
        <v/>
      </c>
      <c r="G809" s="1" t="str">
        <f t="shared" si="12"/>
        <v/>
      </c>
    </row>
    <row r="810" spans="3:7" x14ac:dyDescent="0.3">
      <c r="C810" t="str">
        <f>IFERROR(IF(B810="","",VLOOKUP(B810,CadProd!$A:$B,2,0)),"")</f>
        <v/>
      </c>
      <c r="D810" t="str">
        <f>IFERROR(IF(B810="","",VLOOKUP(B810,CadProd!$A:$C,3,0)),"")</f>
        <v/>
      </c>
      <c r="G810" s="1" t="str">
        <f t="shared" si="12"/>
        <v/>
      </c>
    </row>
    <row r="811" spans="3:7" x14ac:dyDescent="0.3">
      <c r="C811" t="str">
        <f>IFERROR(IF(B811="","",VLOOKUP(B811,CadProd!$A:$B,2,0)),"")</f>
        <v/>
      </c>
      <c r="D811" t="str">
        <f>IFERROR(IF(B811="","",VLOOKUP(B811,CadProd!$A:$C,3,0)),"")</f>
        <v/>
      </c>
      <c r="G811" s="1" t="str">
        <f t="shared" si="12"/>
        <v/>
      </c>
    </row>
    <row r="812" spans="3:7" x14ac:dyDescent="0.3">
      <c r="C812" t="str">
        <f>IFERROR(IF(B812="","",VLOOKUP(B812,CadProd!$A:$B,2,0)),"")</f>
        <v/>
      </c>
      <c r="D812" t="str">
        <f>IFERROR(IF(B812="","",VLOOKUP(B812,CadProd!$A:$C,3,0)),"")</f>
        <v/>
      </c>
      <c r="G812" s="1" t="str">
        <f t="shared" si="12"/>
        <v/>
      </c>
    </row>
    <row r="813" spans="3:7" x14ac:dyDescent="0.3">
      <c r="C813" t="str">
        <f>IFERROR(IF(B813="","",VLOOKUP(B813,CadProd!$A:$B,2,0)),"")</f>
        <v/>
      </c>
      <c r="D813" t="str">
        <f>IFERROR(IF(B813="","",VLOOKUP(B813,CadProd!$A:$C,3,0)),"")</f>
        <v/>
      </c>
      <c r="G813" s="1" t="str">
        <f t="shared" si="12"/>
        <v/>
      </c>
    </row>
    <row r="814" spans="3:7" x14ac:dyDescent="0.3">
      <c r="C814" t="str">
        <f>IFERROR(IF(B814="","",VLOOKUP(B814,CadProd!$A:$B,2,0)),"")</f>
        <v/>
      </c>
      <c r="D814" t="str">
        <f>IFERROR(IF(B814="","",VLOOKUP(B814,CadProd!$A:$C,3,0)),"")</f>
        <v/>
      </c>
      <c r="G814" s="1" t="str">
        <f t="shared" si="12"/>
        <v/>
      </c>
    </row>
    <row r="815" spans="3:7" x14ac:dyDescent="0.3">
      <c r="C815" t="str">
        <f>IFERROR(IF(B815="","",VLOOKUP(B815,CadProd!$A:$B,2,0)),"")</f>
        <v/>
      </c>
      <c r="D815" t="str">
        <f>IFERROR(IF(B815="","",VLOOKUP(B815,CadProd!$A:$C,3,0)),"")</f>
        <v/>
      </c>
      <c r="G815" s="1" t="str">
        <f t="shared" si="12"/>
        <v/>
      </c>
    </row>
    <row r="816" spans="3:7" x14ac:dyDescent="0.3">
      <c r="C816" t="str">
        <f>IFERROR(IF(B816="","",VLOOKUP(B816,CadProd!$A:$B,2,0)),"")</f>
        <v/>
      </c>
      <c r="D816" t="str">
        <f>IFERROR(IF(B816="","",VLOOKUP(B816,CadProd!$A:$C,3,0)),"")</f>
        <v/>
      </c>
      <c r="G816" s="1" t="str">
        <f t="shared" si="12"/>
        <v/>
      </c>
    </row>
    <row r="817" spans="3:7" x14ac:dyDescent="0.3">
      <c r="C817" t="str">
        <f>IFERROR(IF(B817="","",VLOOKUP(B817,CadProd!$A:$B,2,0)),"")</f>
        <v/>
      </c>
      <c r="D817" t="str">
        <f>IFERROR(IF(B817="","",VLOOKUP(B817,CadProd!$A:$C,3,0)),"")</f>
        <v/>
      </c>
      <c r="G817" s="1" t="str">
        <f t="shared" si="12"/>
        <v/>
      </c>
    </row>
    <row r="818" spans="3:7" x14ac:dyDescent="0.3">
      <c r="C818" t="str">
        <f>IFERROR(IF(B818="","",VLOOKUP(B818,CadProd!$A:$B,2,0)),"")</f>
        <v/>
      </c>
      <c r="D818" t="str">
        <f>IFERROR(IF(B818="","",VLOOKUP(B818,CadProd!$A:$C,3,0)),"")</f>
        <v/>
      </c>
      <c r="G818" s="1" t="str">
        <f t="shared" si="12"/>
        <v/>
      </c>
    </row>
    <row r="819" spans="3:7" x14ac:dyDescent="0.3">
      <c r="C819" t="str">
        <f>IFERROR(IF(B819="","",VLOOKUP(B819,CadProd!$A:$B,2,0)),"")</f>
        <v/>
      </c>
      <c r="D819" t="str">
        <f>IFERROR(IF(B819="","",VLOOKUP(B819,CadProd!$A:$C,3,0)),"")</f>
        <v/>
      </c>
      <c r="G819" s="1" t="str">
        <f t="shared" si="12"/>
        <v/>
      </c>
    </row>
    <row r="820" spans="3:7" x14ac:dyDescent="0.3">
      <c r="C820" t="str">
        <f>IFERROR(IF(B820="","",VLOOKUP(B820,CadProd!$A:$B,2,0)),"")</f>
        <v/>
      </c>
      <c r="D820" t="str">
        <f>IFERROR(IF(B820="","",VLOOKUP(B820,CadProd!$A:$C,3,0)),"")</f>
        <v/>
      </c>
      <c r="G820" s="1" t="str">
        <f t="shared" si="12"/>
        <v/>
      </c>
    </row>
    <row r="821" spans="3:7" x14ac:dyDescent="0.3">
      <c r="C821" t="str">
        <f>IFERROR(IF(B821="","",VLOOKUP(B821,CadProd!$A:$B,2,0)),"")</f>
        <v/>
      </c>
      <c r="D821" t="str">
        <f>IFERROR(IF(B821="","",VLOOKUP(B821,CadProd!$A:$C,3,0)),"")</f>
        <v/>
      </c>
      <c r="G821" s="1" t="str">
        <f t="shared" si="12"/>
        <v/>
      </c>
    </row>
    <row r="822" spans="3:7" x14ac:dyDescent="0.3">
      <c r="C822" t="str">
        <f>IFERROR(IF(B822="","",VLOOKUP(B822,CadProd!$A:$B,2,0)),"")</f>
        <v/>
      </c>
      <c r="D822" t="str">
        <f>IFERROR(IF(B822="","",VLOOKUP(B822,CadProd!$A:$C,3,0)),"")</f>
        <v/>
      </c>
      <c r="G822" s="1" t="str">
        <f t="shared" si="12"/>
        <v/>
      </c>
    </row>
    <row r="823" spans="3:7" x14ac:dyDescent="0.3">
      <c r="C823" t="str">
        <f>IFERROR(IF(B823="","",VLOOKUP(B823,CadProd!$A:$B,2,0)),"")</f>
        <v/>
      </c>
      <c r="D823" t="str">
        <f>IFERROR(IF(B823="","",VLOOKUP(B823,CadProd!$A:$C,3,0)),"")</f>
        <v/>
      </c>
      <c r="G823" s="1" t="str">
        <f t="shared" si="12"/>
        <v/>
      </c>
    </row>
    <row r="824" spans="3:7" x14ac:dyDescent="0.3">
      <c r="C824" t="str">
        <f>IFERROR(IF(B824="","",VLOOKUP(B824,CadProd!$A:$B,2,0)),"")</f>
        <v/>
      </c>
      <c r="D824" t="str">
        <f>IFERROR(IF(B824="","",VLOOKUP(B824,CadProd!$A:$C,3,0)),"")</f>
        <v/>
      </c>
      <c r="G824" s="1" t="str">
        <f t="shared" si="12"/>
        <v/>
      </c>
    </row>
    <row r="825" spans="3:7" x14ac:dyDescent="0.3">
      <c r="C825" t="str">
        <f>IFERROR(IF(B825="","",VLOOKUP(B825,CadProd!$A:$B,2,0)),"")</f>
        <v/>
      </c>
      <c r="D825" t="str">
        <f>IFERROR(IF(B825="","",VLOOKUP(B825,CadProd!$A:$C,3,0)),"")</f>
        <v/>
      </c>
      <c r="G825" s="1" t="str">
        <f t="shared" si="12"/>
        <v/>
      </c>
    </row>
    <row r="826" spans="3:7" x14ac:dyDescent="0.3">
      <c r="C826" t="str">
        <f>IFERROR(IF(B826="","",VLOOKUP(B826,CadProd!$A:$B,2,0)),"")</f>
        <v/>
      </c>
      <c r="D826" t="str">
        <f>IFERROR(IF(B826="","",VLOOKUP(B826,CadProd!$A:$C,3,0)),"")</f>
        <v/>
      </c>
      <c r="G826" s="1" t="str">
        <f t="shared" si="12"/>
        <v/>
      </c>
    </row>
    <row r="827" spans="3:7" x14ac:dyDescent="0.3">
      <c r="C827" t="str">
        <f>IFERROR(IF(B827="","",VLOOKUP(B827,CadProd!$A:$B,2,0)),"")</f>
        <v/>
      </c>
      <c r="D827" t="str">
        <f>IFERROR(IF(B827="","",VLOOKUP(B827,CadProd!$A:$C,3,0)),"")</f>
        <v/>
      </c>
      <c r="G827" s="1" t="str">
        <f t="shared" si="12"/>
        <v/>
      </c>
    </row>
    <row r="828" spans="3:7" x14ac:dyDescent="0.3">
      <c r="C828" t="str">
        <f>IFERROR(IF(B828="","",VLOOKUP(B828,CadProd!$A:$B,2,0)),"")</f>
        <v/>
      </c>
      <c r="D828" t="str">
        <f>IFERROR(IF(B828="","",VLOOKUP(B828,CadProd!$A:$C,3,0)),"")</f>
        <v/>
      </c>
      <c r="G828" s="1" t="str">
        <f t="shared" si="12"/>
        <v/>
      </c>
    </row>
    <row r="829" spans="3:7" x14ac:dyDescent="0.3">
      <c r="C829" t="str">
        <f>IFERROR(IF(B829="","",VLOOKUP(B829,CadProd!$A:$B,2,0)),"")</f>
        <v/>
      </c>
      <c r="D829" t="str">
        <f>IFERROR(IF(B829="","",VLOOKUP(B829,CadProd!$A:$C,3,0)),"")</f>
        <v/>
      </c>
      <c r="G829" s="1" t="str">
        <f t="shared" si="12"/>
        <v/>
      </c>
    </row>
    <row r="830" spans="3:7" x14ac:dyDescent="0.3">
      <c r="C830" t="str">
        <f>IFERROR(IF(B830="","",VLOOKUP(B830,CadProd!$A:$B,2,0)),"")</f>
        <v/>
      </c>
      <c r="D830" t="str">
        <f>IFERROR(IF(B830="","",VLOOKUP(B830,CadProd!$A:$C,3,0)),"")</f>
        <v/>
      </c>
      <c r="G830" s="1" t="str">
        <f t="shared" si="12"/>
        <v/>
      </c>
    </row>
    <row r="831" spans="3:7" x14ac:dyDescent="0.3">
      <c r="C831" t="str">
        <f>IFERROR(IF(B831="","",VLOOKUP(B831,CadProd!$A:$B,2,0)),"")</f>
        <v/>
      </c>
      <c r="D831" t="str">
        <f>IFERROR(IF(B831="","",VLOOKUP(B831,CadProd!$A:$C,3,0)),"")</f>
        <v/>
      </c>
      <c r="G831" s="1" t="str">
        <f t="shared" si="12"/>
        <v/>
      </c>
    </row>
    <row r="832" spans="3:7" x14ac:dyDescent="0.3">
      <c r="C832" t="str">
        <f>IFERROR(IF(B832="","",VLOOKUP(B832,CadProd!$A:$B,2,0)),"")</f>
        <v/>
      </c>
      <c r="D832" t="str">
        <f>IFERROR(IF(B832="","",VLOOKUP(B832,CadProd!$A:$C,3,0)),"")</f>
        <v/>
      </c>
      <c r="G832" s="1" t="str">
        <f t="shared" si="12"/>
        <v/>
      </c>
    </row>
    <row r="833" spans="3:7" x14ac:dyDescent="0.3">
      <c r="C833" t="str">
        <f>IFERROR(IF(B833="","",VLOOKUP(B833,CadProd!$A:$B,2,0)),"")</f>
        <v/>
      </c>
      <c r="D833" t="str">
        <f>IFERROR(IF(B833="","",VLOOKUP(B833,CadProd!$A:$C,3,0)),"")</f>
        <v/>
      </c>
      <c r="G833" s="1" t="str">
        <f t="shared" si="12"/>
        <v/>
      </c>
    </row>
    <row r="834" spans="3:7" x14ac:dyDescent="0.3">
      <c r="C834" t="str">
        <f>IFERROR(IF(B834="","",VLOOKUP(B834,CadProd!$A:$B,2,0)),"")</f>
        <v/>
      </c>
      <c r="D834" t="str">
        <f>IFERROR(IF(B834="","",VLOOKUP(B834,CadProd!$A:$C,3,0)),"")</f>
        <v/>
      </c>
      <c r="G834" s="1" t="str">
        <f t="shared" si="12"/>
        <v/>
      </c>
    </row>
    <row r="835" spans="3:7" x14ac:dyDescent="0.3">
      <c r="C835" t="str">
        <f>IFERROR(IF(B835="","",VLOOKUP(B835,CadProd!$A:$B,2,0)),"")</f>
        <v/>
      </c>
      <c r="D835" t="str">
        <f>IFERROR(IF(B835="","",VLOOKUP(B835,CadProd!$A:$C,3,0)),"")</f>
        <v/>
      </c>
      <c r="G835" s="1" t="str">
        <f t="shared" si="12"/>
        <v/>
      </c>
    </row>
    <row r="836" spans="3:7" x14ac:dyDescent="0.3">
      <c r="C836" t="str">
        <f>IFERROR(IF(B836="","",VLOOKUP(B836,CadProd!$A:$B,2,0)),"")</f>
        <v/>
      </c>
      <c r="D836" t="str">
        <f>IFERROR(IF(B836="","",VLOOKUP(B836,CadProd!$A:$C,3,0)),"")</f>
        <v/>
      </c>
      <c r="G836" s="1" t="str">
        <f t="shared" si="12"/>
        <v/>
      </c>
    </row>
    <row r="837" spans="3:7" x14ac:dyDescent="0.3">
      <c r="C837" t="str">
        <f>IFERROR(IF(B837="","",VLOOKUP(B837,CadProd!$A:$B,2,0)),"")</f>
        <v/>
      </c>
      <c r="D837" t="str">
        <f>IFERROR(IF(B837="","",VLOOKUP(B837,CadProd!$A:$C,3,0)),"")</f>
        <v/>
      </c>
      <c r="G837" s="1" t="str">
        <f t="shared" si="12"/>
        <v/>
      </c>
    </row>
    <row r="838" spans="3:7" x14ac:dyDescent="0.3">
      <c r="C838" t="str">
        <f>IFERROR(IF(B838="","",VLOOKUP(B838,CadProd!$A:$B,2,0)),"")</f>
        <v/>
      </c>
      <c r="D838" t="str">
        <f>IFERROR(IF(B838="","",VLOOKUP(B838,CadProd!$A:$C,3,0)),"")</f>
        <v/>
      </c>
      <c r="G838" s="1" t="str">
        <f t="shared" si="12"/>
        <v/>
      </c>
    </row>
    <row r="839" spans="3:7" x14ac:dyDescent="0.3">
      <c r="C839" t="str">
        <f>IFERROR(IF(B839="","",VLOOKUP(B839,CadProd!$A:$B,2,0)),"")</f>
        <v/>
      </c>
      <c r="D839" t="str">
        <f>IFERROR(IF(B839="","",VLOOKUP(B839,CadProd!$A:$C,3,0)),"")</f>
        <v/>
      </c>
      <c r="G839" s="1" t="str">
        <f t="shared" si="12"/>
        <v/>
      </c>
    </row>
    <row r="840" spans="3:7" x14ac:dyDescent="0.3">
      <c r="C840" t="str">
        <f>IFERROR(IF(B840="","",VLOOKUP(B840,CadProd!$A:$B,2,0)),"")</f>
        <v/>
      </c>
      <c r="D840" t="str">
        <f>IFERROR(IF(B840="","",VLOOKUP(B840,CadProd!$A:$C,3,0)),"")</f>
        <v/>
      </c>
      <c r="G840" s="1" t="str">
        <f t="shared" si="12"/>
        <v/>
      </c>
    </row>
    <row r="841" spans="3:7" x14ac:dyDescent="0.3">
      <c r="C841" t="str">
        <f>IFERROR(IF(B841="","",VLOOKUP(B841,CadProd!$A:$B,2,0)),"")</f>
        <v/>
      </c>
      <c r="D841" t="str">
        <f>IFERROR(IF(B841="","",VLOOKUP(B841,CadProd!$A:$C,3,0)),"")</f>
        <v/>
      </c>
      <c r="G841" s="1" t="str">
        <f t="shared" si="12"/>
        <v/>
      </c>
    </row>
    <row r="842" spans="3:7" x14ac:dyDescent="0.3">
      <c r="C842" t="str">
        <f>IFERROR(IF(B842="","",VLOOKUP(B842,CadProd!$A:$B,2,0)),"")</f>
        <v/>
      </c>
      <c r="D842" t="str">
        <f>IFERROR(IF(B842="","",VLOOKUP(B842,CadProd!$A:$C,3,0)),"")</f>
        <v/>
      </c>
      <c r="G842" s="1" t="str">
        <f t="shared" si="12"/>
        <v/>
      </c>
    </row>
    <row r="843" spans="3:7" x14ac:dyDescent="0.3">
      <c r="C843" t="str">
        <f>IFERROR(IF(B843="","",VLOOKUP(B843,CadProd!$A:$B,2,0)),"")</f>
        <v/>
      </c>
      <c r="D843" t="str">
        <f>IFERROR(IF(B843="","",VLOOKUP(B843,CadProd!$A:$C,3,0)),"")</f>
        <v/>
      </c>
      <c r="G843" s="1" t="str">
        <f t="shared" ref="G843:G906" si="13">IFERROR(IF(B843="","",F843*E843),"")</f>
        <v/>
      </c>
    </row>
    <row r="844" spans="3:7" x14ac:dyDescent="0.3">
      <c r="C844" t="str">
        <f>IFERROR(IF(B844="","",VLOOKUP(B844,CadProd!$A:$B,2,0)),"")</f>
        <v/>
      </c>
      <c r="D844" t="str">
        <f>IFERROR(IF(B844="","",VLOOKUP(B844,CadProd!$A:$C,3,0)),"")</f>
        <v/>
      </c>
      <c r="G844" s="1" t="str">
        <f t="shared" si="13"/>
        <v/>
      </c>
    </row>
    <row r="845" spans="3:7" x14ac:dyDescent="0.3">
      <c r="C845" t="str">
        <f>IFERROR(IF(B845="","",VLOOKUP(B845,CadProd!$A:$B,2,0)),"")</f>
        <v/>
      </c>
      <c r="D845" t="str">
        <f>IFERROR(IF(B845="","",VLOOKUP(B845,CadProd!$A:$C,3,0)),"")</f>
        <v/>
      </c>
      <c r="G845" s="1" t="str">
        <f t="shared" si="13"/>
        <v/>
      </c>
    </row>
    <row r="846" spans="3:7" x14ac:dyDescent="0.3">
      <c r="C846" t="str">
        <f>IFERROR(IF(B846="","",VLOOKUP(B846,CadProd!$A:$B,2,0)),"")</f>
        <v/>
      </c>
      <c r="D846" t="str">
        <f>IFERROR(IF(B846="","",VLOOKUP(B846,CadProd!$A:$C,3,0)),"")</f>
        <v/>
      </c>
      <c r="G846" s="1" t="str">
        <f t="shared" si="13"/>
        <v/>
      </c>
    </row>
    <row r="847" spans="3:7" x14ac:dyDescent="0.3">
      <c r="C847" t="str">
        <f>IFERROR(IF(B847="","",VLOOKUP(B847,CadProd!$A:$B,2,0)),"")</f>
        <v/>
      </c>
      <c r="D847" t="str">
        <f>IFERROR(IF(B847="","",VLOOKUP(B847,CadProd!$A:$C,3,0)),"")</f>
        <v/>
      </c>
      <c r="G847" s="1" t="str">
        <f t="shared" si="13"/>
        <v/>
      </c>
    </row>
    <row r="848" spans="3:7" x14ac:dyDescent="0.3">
      <c r="C848" t="str">
        <f>IFERROR(IF(B848="","",VLOOKUP(B848,CadProd!$A:$B,2,0)),"")</f>
        <v/>
      </c>
      <c r="D848" t="str">
        <f>IFERROR(IF(B848="","",VLOOKUP(B848,CadProd!$A:$C,3,0)),"")</f>
        <v/>
      </c>
      <c r="G848" s="1" t="str">
        <f t="shared" si="13"/>
        <v/>
      </c>
    </row>
    <row r="849" spans="3:7" x14ac:dyDescent="0.3">
      <c r="C849" t="str">
        <f>IFERROR(IF(B849="","",VLOOKUP(B849,CadProd!$A:$B,2,0)),"")</f>
        <v/>
      </c>
      <c r="D849" t="str">
        <f>IFERROR(IF(B849="","",VLOOKUP(B849,CadProd!$A:$C,3,0)),"")</f>
        <v/>
      </c>
      <c r="G849" s="1" t="str">
        <f t="shared" si="13"/>
        <v/>
      </c>
    </row>
    <row r="850" spans="3:7" x14ac:dyDescent="0.3">
      <c r="C850" t="str">
        <f>IFERROR(IF(B850="","",VLOOKUP(B850,CadProd!$A:$B,2,0)),"")</f>
        <v/>
      </c>
      <c r="D850" t="str">
        <f>IFERROR(IF(B850="","",VLOOKUP(B850,CadProd!$A:$C,3,0)),"")</f>
        <v/>
      </c>
      <c r="G850" s="1" t="str">
        <f t="shared" si="13"/>
        <v/>
      </c>
    </row>
    <row r="851" spans="3:7" x14ac:dyDescent="0.3">
      <c r="C851" t="str">
        <f>IFERROR(IF(B851="","",VLOOKUP(B851,CadProd!$A:$B,2,0)),"")</f>
        <v/>
      </c>
      <c r="D851" t="str">
        <f>IFERROR(IF(B851="","",VLOOKUP(B851,CadProd!$A:$C,3,0)),"")</f>
        <v/>
      </c>
      <c r="G851" s="1" t="str">
        <f t="shared" si="13"/>
        <v/>
      </c>
    </row>
    <row r="852" spans="3:7" x14ac:dyDescent="0.3">
      <c r="C852" t="str">
        <f>IFERROR(IF(B852="","",VLOOKUP(B852,CadProd!$A:$B,2,0)),"")</f>
        <v/>
      </c>
      <c r="D852" t="str">
        <f>IFERROR(IF(B852="","",VLOOKUP(B852,CadProd!$A:$C,3,0)),"")</f>
        <v/>
      </c>
      <c r="G852" s="1" t="str">
        <f t="shared" si="13"/>
        <v/>
      </c>
    </row>
    <row r="853" spans="3:7" x14ac:dyDescent="0.3">
      <c r="C853" t="str">
        <f>IFERROR(IF(B853="","",VLOOKUP(B853,CadProd!$A:$B,2,0)),"")</f>
        <v/>
      </c>
      <c r="D853" t="str">
        <f>IFERROR(IF(B853="","",VLOOKUP(B853,CadProd!$A:$C,3,0)),"")</f>
        <v/>
      </c>
      <c r="G853" s="1" t="str">
        <f t="shared" si="13"/>
        <v/>
      </c>
    </row>
    <row r="854" spans="3:7" x14ac:dyDescent="0.3">
      <c r="C854" t="str">
        <f>IFERROR(IF(B854="","",VLOOKUP(B854,CadProd!$A:$B,2,0)),"")</f>
        <v/>
      </c>
      <c r="D854" t="str">
        <f>IFERROR(IF(B854="","",VLOOKUP(B854,CadProd!$A:$C,3,0)),"")</f>
        <v/>
      </c>
      <c r="G854" s="1" t="str">
        <f t="shared" si="13"/>
        <v/>
      </c>
    </row>
    <row r="855" spans="3:7" x14ac:dyDescent="0.3">
      <c r="C855" t="str">
        <f>IFERROR(IF(B855="","",VLOOKUP(B855,CadProd!$A:$B,2,0)),"")</f>
        <v/>
      </c>
      <c r="D855" t="str">
        <f>IFERROR(IF(B855="","",VLOOKUP(B855,CadProd!$A:$C,3,0)),"")</f>
        <v/>
      </c>
      <c r="G855" s="1" t="str">
        <f t="shared" si="13"/>
        <v/>
      </c>
    </row>
    <row r="856" spans="3:7" x14ac:dyDescent="0.3">
      <c r="C856" t="str">
        <f>IFERROR(IF(B856="","",VLOOKUP(B856,CadProd!$A:$B,2,0)),"")</f>
        <v/>
      </c>
      <c r="D856" t="str">
        <f>IFERROR(IF(B856="","",VLOOKUP(B856,CadProd!$A:$C,3,0)),"")</f>
        <v/>
      </c>
      <c r="G856" s="1" t="str">
        <f t="shared" si="13"/>
        <v/>
      </c>
    </row>
    <row r="857" spans="3:7" x14ac:dyDescent="0.3">
      <c r="C857" t="str">
        <f>IFERROR(IF(B857="","",VLOOKUP(B857,CadProd!$A:$B,2,0)),"")</f>
        <v/>
      </c>
      <c r="D857" t="str">
        <f>IFERROR(IF(B857="","",VLOOKUP(B857,CadProd!$A:$C,3,0)),"")</f>
        <v/>
      </c>
      <c r="G857" s="1" t="str">
        <f t="shared" si="13"/>
        <v/>
      </c>
    </row>
    <row r="858" spans="3:7" x14ac:dyDescent="0.3">
      <c r="C858" t="str">
        <f>IFERROR(IF(B858="","",VLOOKUP(B858,CadProd!$A:$B,2,0)),"")</f>
        <v/>
      </c>
      <c r="D858" t="str">
        <f>IFERROR(IF(B858="","",VLOOKUP(B858,CadProd!$A:$C,3,0)),"")</f>
        <v/>
      </c>
      <c r="G858" s="1" t="str">
        <f t="shared" si="13"/>
        <v/>
      </c>
    </row>
    <row r="859" spans="3:7" x14ac:dyDescent="0.3">
      <c r="C859" t="str">
        <f>IFERROR(IF(B859="","",VLOOKUP(B859,CadProd!$A:$B,2,0)),"")</f>
        <v/>
      </c>
      <c r="D859" t="str">
        <f>IFERROR(IF(B859="","",VLOOKUP(B859,CadProd!$A:$C,3,0)),"")</f>
        <v/>
      </c>
      <c r="G859" s="1" t="str">
        <f t="shared" si="13"/>
        <v/>
      </c>
    </row>
    <row r="860" spans="3:7" x14ac:dyDescent="0.3">
      <c r="C860" t="str">
        <f>IFERROR(IF(B860="","",VLOOKUP(B860,CadProd!$A:$B,2,0)),"")</f>
        <v/>
      </c>
      <c r="D860" t="str">
        <f>IFERROR(IF(B860="","",VLOOKUP(B860,CadProd!$A:$C,3,0)),"")</f>
        <v/>
      </c>
      <c r="G860" s="1" t="str">
        <f t="shared" si="13"/>
        <v/>
      </c>
    </row>
    <row r="861" spans="3:7" x14ac:dyDescent="0.3">
      <c r="C861" t="str">
        <f>IFERROR(IF(B861="","",VLOOKUP(B861,CadProd!$A:$B,2,0)),"")</f>
        <v/>
      </c>
      <c r="D861" t="str">
        <f>IFERROR(IF(B861="","",VLOOKUP(B861,CadProd!$A:$C,3,0)),"")</f>
        <v/>
      </c>
      <c r="G861" s="1" t="str">
        <f t="shared" si="13"/>
        <v/>
      </c>
    </row>
    <row r="862" spans="3:7" x14ac:dyDescent="0.3">
      <c r="C862" t="str">
        <f>IFERROR(IF(B862="","",VLOOKUP(B862,CadProd!$A:$B,2,0)),"")</f>
        <v/>
      </c>
      <c r="D862" t="str">
        <f>IFERROR(IF(B862="","",VLOOKUP(B862,CadProd!$A:$C,3,0)),"")</f>
        <v/>
      </c>
      <c r="G862" s="1" t="str">
        <f t="shared" si="13"/>
        <v/>
      </c>
    </row>
    <row r="863" spans="3:7" x14ac:dyDescent="0.3">
      <c r="C863" t="str">
        <f>IFERROR(IF(B863="","",VLOOKUP(B863,CadProd!$A:$B,2,0)),"")</f>
        <v/>
      </c>
      <c r="D863" t="str">
        <f>IFERROR(IF(B863="","",VLOOKUP(B863,CadProd!$A:$C,3,0)),"")</f>
        <v/>
      </c>
      <c r="G863" s="1" t="str">
        <f t="shared" si="13"/>
        <v/>
      </c>
    </row>
    <row r="864" spans="3:7" x14ac:dyDescent="0.3">
      <c r="C864" t="str">
        <f>IFERROR(IF(B864="","",VLOOKUP(B864,CadProd!$A:$B,2,0)),"")</f>
        <v/>
      </c>
      <c r="D864" t="str">
        <f>IFERROR(IF(B864="","",VLOOKUP(B864,CadProd!$A:$C,3,0)),"")</f>
        <v/>
      </c>
      <c r="G864" s="1" t="str">
        <f t="shared" si="13"/>
        <v/>
      </c>
    </row>
    <row r="865" spans="3:7" x14ac:dyDescent="0.3">
      <c r="C865" t="str">
        <f>IFERROR(IF(B865="","",VLOOKUP(B865,CadProd!$A:$B,2,0)),"")</f>
        <v/>
      </c>
      <c r="D865" t="str">
        <f>IFERROR(IF(B865="","",VLOOKUP(B865,CadProd!$A:$C,3,0)),"")</f>
        <v/>
      </c>
      <c r="G865" s="1" t="str">
        <f t="shared" si="13"/>
        <v/>
      </c>
    </row>
    <row r="866" spans="3:7" x14ac:dyDescent="0.3">
      <c r="C866" t="str">
        <f>IFERROR(IF(B866="","",VLOOKUP(B866,CadProd!$A:$B,2,0)),"")</f>
        <v/>
      </c>
      <c r="D866" t="str">
        <f>IFERROR(IF(B866="","",VLOOKUP(B866,CadProd!$A:$C,3,0)),"")</f>
        <v/>
      </c>
      <c r="G866" s="1" t="str">
        <f t="shared" si="13"/>
        <v/>
      </c>
    </row>
    <row r="867" spans="3:7" x14ac:dyDescent="0.3">
      <c r="C867" t="str">
        <f>IFERROR(IF(B867="","",VLOOKUP(B867,CadProd!$A:$B,2,0)),"")</f>
        <v/>
      </c>
      <c r="D867" t="str">
        <f>IFERROR(IF(B867="","",VLOOKUP(B867,CadProd!$A:$C,3,0)),"")</f>
        <v/>
      </c>
      <c r="G867" s="1" t="str">
        <f t="shared" si="13"/>
        <v/>
      </c>
    </row>
    <row r="868" spans="3:7" x14ac:dyDescent="0.3">
      <c r="C868" t="str">
        <f>IFERROR(IF(B868="","",VLOOKUP(B868,CadProd!$A:$B,2,0)),"")</f>
        <v/>
      </c>
      <c r="D868" t="str">
        <f>IFERROR(IF(B868="","",VLOOKUP(B868,CadProd!$A:$C,3,0)),"")</f>
        <v/>
      </c>
      <c r="G868" s="1" t="str">
        <f t="shared" si="13"/>
        <v/>
      </c>
    </row>
    <row r="869" spans="3:7" x14ac:dyDescent="0.3">
      <c r="C869" t="str">
        <f>IFERROR(IF(B869="","",VLOOKUP(B869,CadProd!$A:$B,2,0)),"")</f>
        <v/>
      </c>
      <c r="D869" t="str">
        <f>IFERROR(IF(B869="","",VLOOKUP(B869,CadProd!$A:$C,3,0)),"")</f>
        <v/>
      </c>
      <c r="G869" s="1" t="str">
        <f t="shared" si="13"/>
        <v/>
      </c>
    </row>
    <row r="870" spans="3:7" x14ac:dyDescent="0.3">
      <c r="C870" t="str">
        <f>IFERROR(IF(B870="","",VLOOKUP(B870,CadProd!$A:$B,2,0)),"")</f>
        <v/>
      </c>
      <c r="D870" t="str">
        <f>IFERROR(IF(B870="","",VLOOKUP(B870,CadProd!$A:$C,3,0)),"")</f>
        <v/>
      </c>
      <c r="G870" s="1" t="str">
        <f t="shared" si="13"/>
        <v/>
      </c>
    </row>
    <row r="871" spans="3:7" x14ac:dyDescent="0.3">
      <c r="C871" t="str">
        <f>IFERROR(IF(B871="","",VLOOKUP(B871,CadProd!$A:$B,2,0)),"")</f>
        <v/>
      </c>
      <c r="D871" t="str">
        <f>IFERROR(IF(B871="","",VLOOKUP(B871,CadProd!$A:$C,3,0)),"")</f>
        <v/>
      </c>
      <c r="G871" s="1" t="str">
        <f t="shared" si="13"/>
        <v/>
      </c>
    </row>
    <row r="872" spans="3:7" x14ac:dyDescent="0.3">
      <c r="C872" t="str">
        <f>IFERROR(IF(B872="","",VLOOKUP(B872,CadProd!$A:$B,2,0)),"")</f>
        <v/>
      </c>
      <c r="D872" t="str">
        <f>IFERROR(IF(B872="","",VLOOKUP(B872,CadProd!$A:$C,3,0)),"")</f>
        <v/>
      </c>
      <c r="G872" s="1" t="str">
        <f t="shared" si="13"/>
        <v/>
      </c>
    </row>
    <row r="873" spans="3:7" x14ac:dyDescent="0.3">
      <c r="C873" t="str">
        <f>IFERROR(IF(B873="","",VLOOKUP(B873,CadProd!$A:$B,2,0)),"")</f>
        <v/>
      </c>
      <c r="D873" t="str">
        <f>IFERROR(IF(B873="","",VLOOKUP(B873,CadProd!$A:$C,3,0)),"")</f>
        <v/>
      </c>
      <c r="G873" s="1" t="str">
        <f t="shared" si="13"/>
        <v/>
      </c>
    </row>
    <row r="874" spans="3:7" x14ac:dyDescent="0.3">
      <c r="C874" t="str">
        <f>IFERROR(IF(B874="","",VLOOKUP(B874,CadProd!$A:$B,2,0)),"")</f>
        <v/>
      </c>
      <c r="D874" t="str">
        <f>IFERROR(IF(B874="","",VLOOKUP(B874,CadProd!$A:$C,3,0)),"")</f>
        <v/>
      </c>
      <c r="G874" s="1" t="str">
        <f t="shared" si="13"/>
        <v/>
      </c>
    </row>
    <row r="875" spans="3:7" x14ac:dyDescent="0.3">
      <c r="C875" t="str">
        <f>IFERROR(IF(B875="","",VLOOKUP(B875,CadProd!$A:$B,2,0)),"")</f>
        <v/>
      </c>
      <c r="D875" t="str">
        <f>IFERROR(IF(B875="","",VLOOKUP(B875,CadProd!$A:$C,3,0)),"")</f>
        <v/>
      </c>
      <c r="G875" s="1" t="str">
        <f t="shared" si="13"/>
        <v/>
      </c>
    </row>
    <row r="876" spans="3:7" x14ac:dyDescent="0.3">
      <c r="C876" t="str">
        <f>IFERROR(IF(B876="","",VLOOKUP(B876,CadProd!$A:$B,2,0)),"")</f>
        <v/>
      </c>
      <c r="D876" t="str">
        <f>IFERROR(IF(B876="","",VLOOKUP(B876,CadProd!$A:$C,3,0)),"")</f>
        <v/>
      </c>
      <c r="G876" s="1" t="str">
        <f t="shared" si="13"/>
        <v/>
      </c>
    </row>
    <row r="877" spans="3:7" x14ac:dyDescent="0.3">
      <c r="C877" t="str">
        <f>IFERROR(IF(B877="","",VLOOKUP(B877,CadProd!$A:$B,2,0)),"")</f>
        <v/>
      </c>
      <c r="D877" t="str">
        <f>IFERROR(IF(B877="","",VLOOKUP(B877,CadProd!$A:$C,3,0)),"")</f>
        <v/>
      </c>
      <c r="G877" s="1" t="str">
        <f t="shared" si="13"/>
        <v/>
      </c>
    </row>
    <row r="878" spans="3:7" x14ac:dyDescent="0.3">
      <c r="C878" t="str">
        <f>IFERROR(IF(B878="","",VLOOKUP(B878,CadProd!$A:$B,2,0)),"")</f>
        <v/>
      </c>
      <c r="D878" t="str">
        <f>IFERROR(IF(B878="","",VLOOKUP(B878,CadProd!$A:$C,3,0)),"")</f>
        <v/>
      </c>
      <c r="G878" s="1" t="str">
        <f t="shared" si="13"/>
        <v/>
      </c>
    </row>
    <row r="879" spans="3:7" x14ac:dyDescent="0.3">
      <c r="C879" t="str">
        <f>IFERROR(IF(B879="","",VLOOKUP(B879,CadProd!$A:$B,2,0)),"")</f>
        <v/>
      </c>
      <c r="D879" t="str">
        <f>IFERROR(IF(B879="","",VLOOKUP(B879,CadProd!$A:$C,3,0)),"")</f>
        <v/>
      </c>
      <c r="G879" s="1" t="str">
        <f t="shared" si="13"/>
        <v/>
      </c>
    </row>
    <row r="880" spans="3:7" x14ac:dyDescent="0.3">
      <c r="C880" t="str">
        <f>IFERROR(IF(B880="","",VLOOKUP(B880,CadProd!$A:$B,2,0)),"")</f>
        <v/>
      </c>
      <c r="D880" t="str">
        <f>IFERROR(IF(B880="","",VLOOKUP(B880,CadProd!$A:$C,3,0)),"")</f>
        <v/>
      </c>
      <c r="G880" s="1" t="str">
        <f t="shared" si="13"/>
        <v/>
      </c>
    </row>
    <row r="881" spans="3:7" x14ac:dyDescent="0.3">
      <c r="C881" t="str">
        <f>IFERROR(IF(B881="","",VLOOKUP(B881,CadProd!$A:$B,2,0)),"")</f>
        <v/>
      </c>
      <c r="D881" t="str">
        <f>IFERROR(IF(B881="","",VLOOKUP(B881,CadProd!$A:$C,3,0)),"")</f>
        <v/>
      </c>
      <c r="G881" s="1" t="str">
        <f t="shared" si="13"/>
        <v/>
      </c>
    </row>
    <row r="882" spans="3:7" x14ac:dyDescent="0.3">
      <c r="C882" t="str">
        <f>IFERROR(IF(B882="","",VLOOKUP(B882,CadProd!$A:$B,2,0)),"")</f>
        <v/>
      </c>
      <c r="D882" t="str">
        <f>IFERROR(IF(B882="","",VLOOKUP(B882,CadProd!$A:$C,3,0)),"")</f>
        <v/>
      </c>
      <c r="G882" s="1" t="str">
        <f t="shared" si="13"/>
        <v/>
      </c>
    </row>
    <row r="883" spans="3:7" x14ac:dyDescent="0.3">
      <c r="C883" t="str">
        <f>IFERROR(IF(B883="","",VLOOKUP(B883,CadProd!$A:$B,2,0)),"")</f>
        <v/>
      </c>
      <c r="D883" t="str">
        <f>IFERROR(IF(B883="","",VLOOKUP(B883,CadProd!$A:$C,3,0)),"")</f>
        <v/>
      </c>
      <c r="G883" s="1" t="str">
        <f t="shared" si="13"/>
        <v/>
      </c>
    </row>
    <row r="884" spans="3:7" x14ac:dyDescent="0.3">
      <c r="C884" t="str">
        <f>IFERROR(IF(B884="","",VLOOKUP(B884,CadProd!$A:$B,2,0)),"")</f>
        <v/>
      </c>
      <c r="D884" t="str">
        <f>IFERROR(IF(B884="","",VLOOKUP(B884,CadProd!$A:$C,3,0)),"")</f>
        <v/>
      </c>
      <c r="G884" s="1" t="str">
        <f t="shared" si="13"/>
        <v/>
      </c>
    </row>
    <row r="885" spans="3:7" x14ac:dyDescent="0.3">
      <c r="C885" t="str">
        <f>IFERROR(IF(B885="","",VLOOKUP(B885,CadProd!$A:$B,2,0)),"")</f>
        <v/>
      </c>
      <c r="D885" t="str">
        <f>IFERROR(IF(B885="","",VLOOKUP(B885,CadProd!$A:$C,3,0)),"")</f>
        <v/>
      </c>
      <c r="G885" s="1" t="str">
        <f t="shared" si="13"/>
        <v/>
      </c>
    </row>
    <row r="886" spans="3:7" x14ac:dyDescent="0.3">
      <c r="C886" t="str">
        <f>IFERROR(IF(B886="","",VLOOKUP(B886,CadProd!$A:$B,2,0)),"")</f>
        <v/>
      </c>
      <c r="D886" t="str">
        <f>IFERROR(IF(B886="","",VLOOKUP(B886,CadProd!$A:$C,3,0)),"")</f>
        <v/>
      </c>
      <c r="G886" s="1" t="str">
        <f t="shared" si="13"/>
        <v/>
      </c>
    </row>
    <row r="887" spans="3:7" x14ac:dyDescent="0.3">
      <c r="C887" t="str">
        <f>IFERROR(IF(B887="","",VLOOKUP(B887,CadProd!$A:$B,2,0)),"")</f>
        <v/>
      </c>
      <c r="D887" t="str">
        <f>IFERROR(IF(B887="","",VLOOKUP(B887,CadProd!$A:$C,3,0)),"")</f>
        <v/>
      </c>
      <c r="G887" s="1" t="str">
        <f t="shared" si="13"/>
        <v/>
      </c>
    </row>
    <row r="888" spans="3:7" x14ac:dyDescent="0.3">
      <c r="C888" t="str">
        <f>IFERROR(IF(B888="","",VLOOKUP(B888,CadProd!$A:$B,2,0)),"")</f>
        <v/>
      </c>
      <c r="D888" t="str">
        <f>IFERROR(IF(B888="","",VLOOKUP(B888,CadProd!$A:$C,3,0)),"")</f>
        <v/>
      </c>
      <c r="G888" s="1" t="str">
        <f t="shared" si="13"/>
        <v/>
      </c>
    </row>
    <row r="889" spans="3:7" x14ac:dyDescent="0.3">
      <c r="C889" t="str">
        <f>IFERROR(IF(B889="","",VLOOKUP(B889,CadProd!$A:$B,2,0)),"")</f>
        <v/>
      </c>
      <c r="D889" t="str">
        <f>IFERROR(IF(B889="","",VLOOKUP(B889,CadProd!$A:$C,3,0)),"")</f>
        <v/>
      </c>
      <c r="G889" s="1" t="str">
        <f t="shared" si="13"/>
        <v/>
      </c>
    </row>
    <row r="890" spans="3:7" x14ac:dyDescent="0.3">
      <c r="C890" t="str">
        <f>IFERROR(IF(B890="","",VLOOKUP(B890,CadProd!$A:$B,2,0)),"")</f>
        <v/>
      </c>
      <c r="D890" t="str">
        <f>IFERROR(IF(B890="","",VLOOKUP(B890,CadProd!$A:$C,3,0)),"")</f>
        <v/>
      </c>
      <c r="G890" s="1" t="str">
        <f t="shared" si="13"/>
        <v/>
      </c>
    </row>
    <row r="891" spans="3:7" x14ac:dyDescent="0.3">
      <c r="C891" t="str">
        <f>IFERROR(IF(B891="","",VLOOKUP(B891,CadProd!$A:$B,2,0)),"")</f>
        <v/>
      </c>
      <c r="D891" t="str">
        <f>IFERROR(IF(B891="","",VLOOKUP(B891,CadProd!$A:$C,3,0)),"")</f>
        <v/>
      </c>
      <c r="G891" s="1" t="str">
        <f t="shared" si="13"/>
        <v/>
      </c>
    </row>
    <row r="892" spans="3:7" x14ac:dyDescent="0.3">
      <c r="C892" t="str">
        <f>IFERROR(IF(B892="","",VLOOKUP(B892,CadProd!$A:$B,2,0)),"")</f>
        <v/>
      </c>
      <c r="D892" t="str">
        <f>IFERROR(IF(B892="","",VLOOKUP(B892,CadProd!$A:$C,3,0)),"")</f>
        <v/>
      </c>
      <c r="G892" s="1" t="str">
        <f t="shared" si="13"/>
        <v/>
      </c>
    </row>
    <row r="893" spans="3:7" x14ac:dyDescent="0.3">
      <c r="C893" t="str">
        <f>IFERROR(IF(B893="","",VLOOKUP(B893,CadProd!$A:$B,2,0)),"")</f>
        <v/>
      </c>
      <c r="D893" t="str">
        <f>IFERROR(IF(B893="","",VLOOKUP(B893,CadProd!$A:$C,3,0)),"")</f>
        <v/>
      </c>
      <c r="G893" s="1" t="str">
        <f t="shared" si="13"/>
        <v/>
      </c>
    </row>
    <row r="894" spans="3:7" x14ac:dyDescent="0.3">
      <c r="C894" t="str">
        <f>IFERROR(IF(B894="","",VLOOKUP(B894,CadProd!$A:$B,2,0)),"")</f>
        <v/>
      </c>
      <c r="D894" t="str">
        <f>IFERROR(IF(B894="","",VLOOKUP(B894,CadProd!$A:$C,3,0)),"")</f>
        <v/>
      </c>
      <c r="G894" s="1" t="str">
        <f t="shared" si="13"/>
        <v/>
      </c>
    </row>
    <row r="895" spans="3:7" x14ac:dyDescent="0.3">
      <c r="C895" t="str">
        <f>IFERROR(IF(B895="","",VLOOKUP(B895,CadProd!$A:$B,2,0)),"")</f>
        <v/>
      </c>
      <c r="D895" t="str">
        <f>IFERROR(IF(B895="","",VLOOKUP(B895,CadProd!$A:$C,3,0)),"")</f>
        <v/>
      </c>
      <c r="G895" s="1" t="str">
        <f t="shared" si="13"/>
        <v/>
      </c>
    </row>
    <row r="896" spans="3:7" x14ac:dyDescent="0.3">
      <c r="C896" t="str">
        <f>IFERROR(IF(B896="","",VLOOKUP(B896,CadProd!$A:$B,2,0)),"")</f>
        <v/>
      </c>
      <c r="D896" t="str">
        <f>IFERROR(IF(B896="","",VLOOKUP(B896,CadProd!$A:$C,3,0)),"")</f>
        <v/>
      </c>
      <c r="G896" s="1" t="str">
        <f t="shared" si="13"/>
        <v/>
      </c>
    </row>
    <row r="897" spans="3:7" x14ac:dyDescent="0.3">
      <c r="C897" t="str">
        <f>IFERROR(IF(B897="","",VLOOKUP(B897,CadProd!$A:$B,2,0)),"")</f>
        <v/>
      </c>
      <c r="D897" t="str">
        <f>IFERROR(IF(B897="","",VLOOKUP(B897,CadProd!$A:$C,3,0)),"")</f>
        <v/>
      </c>
      <c r="G897" s="1" t="str">
        <f t="shared" si="13"/>
        <v/>
      </c>
    </row>
    <row r="898" spans="3:7" x14ac:dyDescent="0.3">
      <c r="C898" t="str">
        <f>IFERROR(IF(B898="","",VLOOKUP(B898,CadProd!$A:$B,2,0)),"")</f>
        <v/>
      </c>
      <c r="D898" t="str">
        <f>IFERROR(IF(B898="","",VLOOKUP(B898,CadProd!$A:$C,3,0)),"")</f>
        <v/>
      </c>
      <c r="G898" s="1" t="str">
        <f t="shared" si="13"/>
        <v/>
      </c>
    </row>
    <row r="899" spans="3:7" x14ac:dyDescent="0.3">
      <c r="C899" t="str">
        <f>IFERROR(IF(B899="","",VLOOKUP(B899,CadProd!$A:$B,2,0)),"")</f>
        <v/>
      </c>
      <c r="D899" t="str">
        <f>IFERROR(IF(B899="","",VLOOKUP(B899,CadProd!$A:$C,3,0)),"")</f>
        <v/>
      </c>
      <c r="G899" s="1" t="str">
        <f t="shared" si="13"/>
        <v/>
      </c>
    </row>
    <row r="900" spans="3:7" x14ac:dyDescent="0.3">
      <c r="C900" t="str">
        <f>IFERROR(IF(B900="","",VLOOKUP(B900,CadProd!$A:$B,2,0)),"")</f>
        <v/>
      </c>
      <c r="D900" t="str">
        <f>IFERROR(IF(B900="","",VLOOKUP(B900,CadProd!$A:$C,3,0)),"")</f>
        <v/>
      </c>
      <c r="G900" s="1" t="str">
        <f t="shared" si="13"/>
        <v/>
      </c>
    </row>
    <row r="901" spans="3:7" x14ac:dyDescent="0.3">
      <c r="C901" t="str">
        <f>IFERROR(IF(B901="","",VLOOKUP(B901,CadProd!$A:$B,2,0)),"")</f>
        <v/>
      </c>
      <c r="D901" t="str">
        <f>IFERROR(IF(B901="","",VLOOKUP(B901,CadProd!$A:$C,3,0)),"")</f>
        <v/>
      </c>
      <c r="G901" s="1" t="str">
        <f t="shared" si="13"/>
        <v/>
      </c>
    </row>
    <row r="902" spans="3:7" x14ac:dyDescent="0.3">
      <c r="C902" t="str">
        <f>IFERROR(IF(B902="","",VLOOKUP(B902,CadProd!$A:$B,2,0)),"")</f>
        <v/>
      </c>
      <c r="D902" t="str">
        <f>IFERROR(IF(B902="","",VLOOKUP(B902,CadProd!$A:$C,3,0)),"")</f>
        <v/>
      </c>
      <c r="G902" s="1" t="str">
        <f t="shared" si="13"/>
        <v/>
      </c>
    </row>
    <row r="903" spans="3:7" x14ac:dyDescent="0.3">
      <c r="C903" t="str">
        <f>IFERROR(IF(B903="","",VLOOKUP(B903,CadProd!$A:$B,2,0)),"")</f>
        <v/>
      </c>
      <c r="D903" t="str">
        <f>IFERROR(IF(B903="","",VLOOKUP(B903,CadProd!$A:$C,3,0)),"")</f>
        <v/>
      </c>
      <c r="G903" s="1" t="str">
        <f t="shared" si="13"/>
        <v/>
      </c>
    </row>
    <row r="904" spans="3:7" x14ac:dyDescent="0.3">
      <c r="C904" t="str">
        <f>IFERROR(IF(B904="","",VLOOKUP(B904,CadProd!$A:$B,2,0)),"")</f>
        <v/>
      </c>
      <c r="D904" t="str">
        <f>IFERROR(IF(B904="","",VLOOKUP(B904,CadProd!$A:$C,3,0)),"")</f>
        <v/>
      </c>
      <c r="G904" s="1" t="str">
        <f t="shared" si="13"/>
        <v/>
      </c>
    </row>
    <row r="905" spans="3:7" x14ac:dyDescent="0.3">
      <c r="C905" t="str">
        <f>IFERROR(IF(B905="","",VLOOKUP(B905,CadProd!$A:$B,2,0)),"")</f>
        <v/>
      </c>
      <c r="D905" t="str">
        <f>IFERROR(IF(B905="","",VLOOKUP(B905,CadProd!$A:$C,3,0)),"")</f>
        <v/>
      </c>
      <c r="G905" s="1" t="str">
        <f t="shared" si="13"/>
        <v/>
      </c>
    </row>
    <row r="906" spans="3:7" x14ac:dyDescent="0.3">
      <c r="C906" t="str">
        <f>IFERROR(IF(B906="","",VLOOKUP(B906,CadProd!$A:$B,2,0)),"")</f>
        <v/>
      </c>
      <c r="D906" t="str">
        <f>IFERROR(IF(B906="","",VLOOKUP(B906,CadProd!$A:$C,3,0)),"")</f>
        <v/>
      </c>
      <c r="G906" s="1" t="str">
        <f t="shared" si="13"/>
        <v/>
      </c>
    </row>
    <row r="907" spans="3:7" x14ac:dyDescent="0.3">
      <c r="C907" t="str">
        <f>IFERROR(IF(B907="","",VLOOKUP(B907,CadProd!$A:$B,2,0)),"")</f>
        <v/>
      </c>
      <c r="D907" t="str">
        <f>IFERROR(IF(B907="","",VLOOKUP(B907,CadProd!$A:$C,3,0)),"")</f>
        <v/>
      </c>
      <c r="G907" s="1" t="str">
        <f t="shared" ref="G907:G970" si="14">IFERROR(IF(B907="","",F907*E907),"")</f>
        <v/>
      </c>
    </row>
    <row r="908" spans="3:7" x14ac:dyDescent="0.3">
      <c r="C908" t="str">
        <f>IFERROR(IF(B908="","",VLOOKUP(B908,CadProd!$A:$B,2,0)),"")</f>
        <v/>
      </c>
      <c r="D908" t="str">
        <f>IFERROR(IF(B908="","",VLOOKUP(B908,CadProd!$A:$C,3,0)),"")</f>
        <v/>
      </c>
      <c r="G908" s="1" t="str">
        <f t="shared" si="14"/>
        <v/>
      </c>
    </row>
    <row r="909" spans="3:7" x14ac:dyDescent="0.3">
      <c r="C909" t="str">
        <f>IFERROR(IF(B909="","",VLOOKUP(B909,CadProd!$A:$B,2,0)),"")</f>
        <v/>
      </c>
      <c r="D909" t="str">
        <f>IFERROR(IF(B909="","",VLOOKUP(B909,CadProd!$A:$C,3,0)),"")</f>
        <v/>
      </c>
      <c r="G909" s="1" t="str">
        <f t="shared" si="14"/>
        <v/>
      </c>
    </row>
    <row r="910" spans="3:7" x14ac:dyDescent="0.3">
      <c r="C910" t="str">
        <f>IFERROR(IF(B910="","",VLOOKUP(B910,CadProd!$A:$B,2,0)),"")</f>
        <v/>
      </c>
      <c r="D910" t="str">
        <f>IFERROR(IF(B910="","",VLOOKUP(B910,CadProd!$A:$C,3,0)),"")</f>
        <v/>
      </c>
      <c r="G910" s="1" t="str">
        <f t="shared" si="14"/>
        <v/>
      </c>
    </row>
    <row r="911" spans="3:7" x14ac:dyDescent="0.3">
      <c r="C911" t="str">
        <f>IFERROR(IF(B911="","",VLOOKUP(B911,CadProd!$A:$B,2,0)),"")</f>
        <v/>
      </c>
      <c r="D911" t="str">
        <f>IFERROR(IF(B911="","",VLOOKUP(B911,CadProd!$A:$C,3,0)),"")</f>
        <v/>
      </c>
      <c r="G911" s="1" t="str">
        <f t="shared" si="14"/>
        <v/>
      </c>
    </row>
    <row r="912" spans="3:7" x14ac:dyDescent="0.3">
      <c r="C912" t="str">
        <f>IFERROR(IF(B912="","",VLOOKUP(B912,CadProd!$A:$B,2,0)),"")</f>
        <v/>
      </c>
      <c r="D912" t="str">
        <f>IFERROR(IF(B912="","",VLOOKUP(B912,CadProd!$A:$C,3,0)),"")</f>
        <v/>
      </c>
      <c r="G912" s="1" t="str">
        <f t="shared" si="14"/>
        <v/>
      </c>
    </row>
    <row r="913" spans="3:7" x14ac:dyDescent="0.3">
      <c r="C913" t="str">
        <f>IFERROR(IF(B913="","",VLOOKUP(B913,CadProd!$A:$B,2,0)),"")</f>
        <v/>
      </c>
      <c r="D913" t="str">
        <f>IFERROR(IF(B913="","",VLOOKUP(B913,CadProd!$A:$C,3,0)),"")</f>
        <v/>
      </c>
      <c r="G913" s="1" t="str">
        <f t="shared" si="14"/>
        <v/>
      </c>
    </row>
    <row r="914" spans="3:7" x14ac:dyDescent="0.3">
      <c r="C914" t="str">
        <f>IFERROR(IF(B914="","",VLOOKUP(B914,CadProd!$A:$B,2,0)),"")</f>
        <v/>
      </c>
      <c r="D914" t="str">
        <f>IFERROR(IF(B914="","",VLOOKUP(B914,CadProd!$A:$C,3,0)),"")</f>
        <v/>
      </c>
      <c r="G914" s="1" t="str">
        <f t="shared" si="14"/>
        <v/>
      </c>
    </row>
    <row r="915" spans="3:7" x14ac:dyDescent="0.3">
      <c r="C915" t="str">
        <f>IFERROR(IF(B915="","",VLOOKUP(B915,CadProd!$A:$B,2,0)),"")</f>
        <v/>
      </c>
      <c r="D915" t="str">
        <f>IFERROR(IF(B915="","",VLOOKUP(B915,CadProd!$A:$C,3,0)),"")</f>
        <v/>
      </c>
      <c r="G915" s="1" t="str">
        <f t="shared" si="14"/>
        <v/>
      </c>
    </row>
    <row r="916" spans="3:7" x14ac:dyDescent="0.3">
      <c r="C916" t="str">
        <f>IFERROR(IF(B916="","",VLOOKUP(B916,CadProd!$A:$B,2,0)),"")</f>
        <v/>
      </c>
      <c r="D916" t="str">
        <f>IFERROR(IF(B916="","",VLOOKUP(B916,CadProd!$A:$C,3,0)),"")</f>
        <v/>
      </c>
      <c r="G916" s="1" t="str">
        <f t="shared" si="14"/>
        <v/>
      </c>
    </row>
    <row r="917" spans="3:7" x14ac:dyDescent="0.3">
      <c r="C917" t="str">
        <f>IFERROR(IF(B917="","",VLOOKUP(B917,CadProd!$A:$B,2,0)),"")</f>
        <v/>
      </c>
      <c r="D917" t="str">
        <f>IFERROR(IF(B917="","",VLOOKUP(B917,CadProd!$A:$C,3,0)),"")</f>
        <v/>
      </c>
      <c r="G917" s="1" t="str">
        <f t="shared" si="14"/>
        <v/>
      </c>
    </row>
    <row r="918" spans="3:7" x14ac:dyDescent="0.3">
      <c r="C918" t="str">
        <f>IFERROR(IF(B918="","",VLOOKUP(B918,CadProd!$A:$B,2,0)),"")</f>
        <v/>
      </c>
      <c r="D918" t="str">
        <f>IFERROR(IF(B918="","",VLOOKUP(B918,CadProd!$A:$C,3,0)),"")</f>
        <v/>
      </c>
      <c r="G918" s="1" t="str">
        <f t="shared" si="14"/>
        <v/>
      </c>
    </row>
    <row r="919" spans="3:7" x14ac:dyDescent="0.3">
      <c r="C919" t="str">
        <f>IFERROR(IF(B919="","",VLOOKUP(B919,CadProd!$A:$B,2,0)),"")</f>
        <v/>
      </c>
      <c r="D919" t="str">
        <f>IFERROR(IF(B919="","",VLOOKUP(B919,CadProd!$A:$C,3,0)),"")</f>
        <v/>
      </c>
      <c r="G919" s="1" t="str">
        <f t="shared" si="14"/>
        <v/>
      </c>
    </row>
    <row r="920" spans="3:7" x14ac:dyDescent="0.3">
      <c r="C920" t="str">
        <f>IFERROR(IF(B920="","",VLOOKUP(B920,CadProd!$A:$B,2,0)),"")</f>
        <v/>
      </c>
      <c r="D920" t="str">
        <f>IFERROR(IF(B920="","",VLOOKUP(B920,CadProd!$A:$C,3,0)),"")</f>
        <v/>
      </c>
      <c r="G920" s="1" t="str">
        <f t="shared" si="14"/>
        <v/>
      </c>
    </row>
    <row r="921" spans="3:7" x14ac:dyDescent="0.3">
      <c r="C921" t="str">
        <f>IFERROR(IF(B921="","",VLOOKUP(B921,CadProd!$A:$B,2,0)),"")</f>
        <v/>
      </c>
      <c r="D921" t="str">
        <f>IFERROR(IF(B921="","",VLOOKUP(B921,CadProd!$A:$C,3,0)),"")</f>
        <v/>
      </c>
      <c r="G921" s="1" t="str">
        <f t="shared" si="14"/>
        <v/>
      </c>
    </row>
    <row r="922" spans="3:7" x14ac:dyDescent="0.3">
      <c r="C922" t="str">
        <f>IFERROR(IF(B922="","",VLOOKUP(B922,CadProd!$A:$B,2,0)),"")</f>
        <v/>
      </c>
      <c r="D922" t="str">
        <f>IFERROR(IF(B922="","",VLOOKUP(B922,CadProd!$A:$C,3,0)),"")</f>
        <v/>
      </c>
      <c r="G922" s="1" t="str">
        <f t="shared" si="14"/>
        <v/>
      </c>
    </row>
    <row r="923" spans="3:7" x14ac:dyDescent="0.3">
      <c r="C923" t="str">
        <f>IFERROR(IF(B923="","",VLOOKUP(B923,CadProd!$A:$B,2,0)),"")</f>
        <v/>
      </c>
      <c r="D923" t="str">
        <f>IFERROR(IF(B923="","",VLOOKUP(B923,CadProd!$A:$C,3,0)),"")</f>
        <v/>
      </c>
      <c r="G923" s="1" t="str">
        <f t="shared" si="14"/>
        <v/>
      </c>
    </row>
    <row r="924" spans="3:7" x14ac:dyDescent="0.3">
      <c r="C924" t="str">
        <f>IFERROR(IF(B924="","",VLOOKUP(B924,CadProd!$A:$B,2,0)),"")</f>
        <v/>
      </c>
      <c r="D924" t="str">
        <f>IFERROR(IF(B924="","",VLOOKUP(B924,CadProd!$A:$C,3,0)),"")</f>
        <v/>
      </c>
      <c r="G924" s="1" t="str">
        <f t="shared" si="14"/>
        <v/>
      </c>
    </row>
    <row r="925" spans="3:7" x14ac:dyDescent="0.3">
      <c r="C925" t="str">
        <f>IFERROR(IF(B925="","",VLOOKUP(B925,CadProd!$A:$B,2,0)),"")</f>
        <v/>
      </c>
      <c r="D925" t="str">
        <f>IFERROR(IF(B925="","",VLOOKUP(B925,CadProd!$A:$C,3,0)),"")</f>
        <v/>
      </c>
      <c r="G925" s="1" t="str">
        <f t="shared" si="14"/>
        <v/>
      </c>
    </row>
    <row r="926" spans="3:7" x14ac:dyDescent="0.3">
      <c r="C926" t="str">
        <f>IFERROR(IF(B926="","",VLOOKUP(B926,CadProd!$A:$B,2,0)),"")</f>
        <v/>
      </c>
      <c r="D926" t="str">
        <f>IFERROR(IF(B926="","",VLOOKUP(B926,CadProd!$A:$C,3,0)),"")</f>
        <v/>
      </c>
      <c r="G926" s="1" t="str">
        <f t="shared" si="14"/>
        <v/>
      </c>
    </row>
    <row r="927" spans="3:7" x14ac:dyDescent="0.3">
      <c r="C927" t="str">
        <f>IFERROR(IF(B927="","",VLOOKUP(B927,CadProd!$A:$B,2,0)),"")</f>
        <v/>
      </c>
      <c r="D927" t="str">
        <f>IFERROR(IF(B927="","",VLOOKUP(B927,CadProd!$A:$C,3,0)),"")</f>
        <v/>
      </c>
      <c r="G927" s="1" t="str">
        <f t="shared" si="14"/>
        <v/>
      </c>
    </row>
    <row r="928" spans="3:7" x14ac:dyDescent="0.3">
      <c r="C928" t="str">
        <f>IFERROR(IF(B928="","",VLOOKUP(B928,CadProd!$A:$B,2,0)),"")</f>
        <v/>
      </c>
      <c r="D928" t="str">
        <f>IFERROR(IF(B928="","",VLOOKUP(B928,CadProd!$A:$C,3,0)),"")</f>
        <v/>
      </c>
      <c r="G928" s="1" t="str">
        <f t="shared" si="14"/>
        <v/>
      </c>
    </row>
    <row r="929" spans="3:7" x14ac:dyDescent="0.3">
      <c r="C929" t="str">
        <f>IFERROR(IF(B929="","",VLOOKUP(B929,CadProd!$A:$B,2,0)),"")</f>
        <v/>
      </c>
      <c r="D929" t="str">
        <f>IFERROR(IF(B929="","",VLOOKUP(B929,CadProd!$A:$C,3,0)),"")</f>
        <v/>
      </c>
      <c r="G929" s="1" t="str">
        <f t="shared" si="14"/>
        <v/>
      </c>
    </row>
    <row r="930" spans="3:7" x14ac:dyDescent="0.3">
      <c r="C930" t="str">
        <f>IFERROR(IF(B930="","",VLOOKUP(B930,CadProd!$A:$B,2,0)),"")</f>
        <v/>
      </c>
      <c r="D930" t="str">
        <f>IFERROR(IF(B930="","",VLOOKUP(B930,CadProd!$A:$C,3,0)),"")</f>
        <v/>
      </c>
      <c r="G930" s="1" t="str">
        <f t="shared" si="14"/>
        <v/>
      </c>
    </row>
    <row r="931" spans="3:7" x14ac:dyDescent="0.3">
      <c r="C931" t="str">
        <f>IFERROR(IF(B931="","",VLOOKUP(B931,CadProd!$A:$B,2,0)),"")</f>
        <v/>
      </c>
      <c r="D931" t="str">
        <f>IFERROR(IF(B931="","",VLOOKUP(B931,CadProd!$A:$C,3,0)),"")</f>
        <v/>
      </c>
      <c r="G931" s="1" t="str">
        <f t="shared" si="14"/>
        <v/>
      </c>
    </row>
    <row r="932" spans="3:7" x14ac:dyDescent="0.3">
      <c r="C932" t="str">
        <f>IFERROR(IF(B932="","",VLOOKUP(B932,CadProd!$A:$B,2,0)),"")</f>
        <v/>
      </c>
      <c r="D932" t="str">
        <f>IFERROR(IF(B932="","",VLOOKUP(B932,CadProd!$A:$C,3,0)),"")</f>
        <v/>
      </c>
      <c r="G932" s="1" t="str">
        <f t="shared" si="14"/>
        <v/>
      </c>
    </row>
    <row r="933" spans="3:7" x14ac:dyDescent="0.3">
      <c r="C933" t="str">
        <f>IFERROR(IF(B933="","",VLOOKUP(B933,CadProd!$A:$B,2,0)),"")</f>
        <v/>
      </c>
      <c r="D933" t="str">
        <f>IFERROR(IF(B933="","",VLOOKUP(B933,CadProd!$A:$C,3,0)),"")</f>
        <v/>
      </c>
      <c r="G933" s="1" t="str">
        <f t="shared" si="14"/>
        <v/>
      </c>
    </row>
    <row r="934" spans="3:7" x14ac:dyDescent="0.3">
      <c r="C934" t="str">
        <f>IFERROR(IF(B934="","",VLOOKUP(B934,CadProd!$A:$B,2,0)),"")</f>
        <v/>
      </c>
      <c r="D934" t="str">
        <f>IFERROR(IF(B934="","",VLOOKUP(B934,CadProd!$A:$C,3,0)),"")</f>
        <v/>
      </c>
      <c r="G934" s="1" t="str">
        <f t="shared" si="14"/>
        <v/>
      </c>
    </row>
    <row r="935" spans="3:7" x14ac:dyDescent="0.3">
      <c r="C935" t="str">
        <f>IFERROR(IF(B935="","",VLOOKUP(B935,CadProd!$A:$B,2,0)),"")</f>
        <v/>
      </c>
      <c r="D935" t="str">
        <f>IFERROR(IF(B935="","",VLOOKUP(B935,CadProd!$A:$C,3,0)),"")</f>
        <v/>
      </c>
      <c r="G935" s="1" t="str">
        <f t="shared" si="14"/>
        <v/>
      </c>
    </row>
    <row r="936" spans="3:7" x14ac:dyDescent="0.3">
      <c r="C936" t="str">
        <f>IFERROR(IF(B936="","",VLOOKUP(B936,CadProd!$A:$B,2,0)),"")</f>
        <v/>
      </c>
      <c r="D936" t="str">
        <f>IFERROR(IF(B936="","",VLOOKUP(B936,CadProd!$A:$C,3,0)),"")</f>
        <v/>
      </c>
      <c r="G936" s="1" t="str">
        <f t="shared" si="14"/>
        <v/>
      </c>
    </row>
    <row r="937" spans="3:7" x14ac:dyDescent="0.3">
      <c r="C937" t="str">
        <f>IFERROR(IF(B937="","",VLOOKUP(B937,CadProd!$A:$B,2,0)),"")</f>
        <v/>
      </c>
      <c r="D937" t="str">
        <f>IFERROR(IF(B937="","",VLOOKUP(B937,CadProd!$A:$C,3,0)),"")</f>
        <v/>
      </c>
      <c r="G937" s="1" t="str">
        <f t="shared" si="14"/>
        <v/>
      </c>
    </row>
    <row r="938" spans="3:7" x14ac:dyDescent="0.3">
      <c r="C938" t="str">
        <f>IFERROR(IF(B938="","",VLOOKUP(B938,CadProd!$A:$B,2,0)),"")</f>
        <v/>
      </c>
      <c r="D938" t="str">
        <f>IFERROR(IF(B938="","",VLOOKUP(B938,CadProd!$A:$C,3,0)),"")</f>
        <v/>
      </c>
      <c r="G938" s="1" t="str">
        <f t="shared" si="14"/>
        <v/>
      </c>
    </row>
    <row r="939" spans="3:7" x14ac:dyDescent="0.3">
      <c r="C939" t="str">
        <f>IFERROR(IF(B939="","",VLOOKUP(B939,CadProd!$A:$B,2,0)),"")</f>
        <v/>
      </c>
      <c r="D939" t="str">
        <f>IFERROR(IF(B939="","",VLOOKUP(B939,CadProd!$A:$C,3,0)),"")</f>
        <v/>
      </c>
      <c r="G939" s="1" t="str">
        <f t="shared" si="14"/>
        <v/>
      </c>
    </row>
    <row r="940" spans="3:7" x14ac:dyDescent="0.3">
      <c r="C940" t="str">
        <f>IFERROR(IF(B940="","",VLOOKUP(B940,CadProd!$A:$B,2,0)),"")</f>
        <v/>
      </c>
      <c r="D940" t="str">
        <f>IFERROR(IF(B940="","",VLOOKUP(B940,CadProd!$A:$C,3,0)),"")</f>
        <v/>
      </c>
      <c r="G940" s="1" t="str">
        <f t="shared" si="14"/>
        <v/>
      </c>
    </row>
    <row r="941" spans="3:7" x14ac:dyDescent="0.3">
      <c r="C941" t="str">
        <f>IFERROR(IF(B941="","",VLOOKUP(B941,CadProd!$A:$B,2,0)),"")</f>
        <v/>
      </c>
      <c r="D941" t="str">
        <f>IFERROR(IF(B941="","",VLOOKUP(B941,CadProd!$A:$C,3,0)),"")</f>
        <v/>
      </c>
      <c r="G941" s="1" t="str">
        <f t="shared" si="14"/>
        <v/>
      </c>
    </row>
    <row r="942" spans="3:7" x14ac:dyDescent="0.3">
      <c r="C942" t="str">
        <f>IFERROR(IF(B942="","",VLOOKUP(B942,CadProd!$A:$B,2,0)),"")</f>
        <v/>
      </c>
      <c r="D942" t="str">
        <f>IFERROR(IF(B942="","",VLOOKUP(B942,CadProd!$A:$C,3,0)),"")</f>
        <v/>
      </c>
      <c r="G942" s="1" t="str">
        <f t="shared" si="14"/>
        <v/>
      </c>
    </row>
    <row r="943" spans="3:7" x14ac:dyDescent="0.3">
      <c r="C943" t="str">
        <f>IFERROR(IF(B943="","",VLOOKUP(B943,CadProd!$A:$B,2,0)),"")</f>
        <v/>
      </c>
      <c r="D943" t="str">
        <f>IFERROR(IF(B943="","",VLOOKUP(B943,CadProd!$A:$C,3,0)),"")</f>
        <v/>
      </c>
      <c r="G943" s="1" t="str">
        <f t="shared" si="14"/>
        <v/>
      </c>
    </row>
    <row r="944" spans="3:7" x14ac:dyDescent="0.3">
      <c r="C944" t="str">
        <f>IFERROR(IF(B944="","",VLOOKUP(B944,CadProd!$A:$B,2,0)),"")</f>
        <v/>
      </c>
      <c r="D944" t="str">
        <f>IFERROR(IF(B944="","",VLOOKUP(B944,CadProd!$A:$C,3,0)),"")</f>
        <v/>
      </c>
      <c r="G944" s="1" t="str">
        <f t="shared" si="14"/>
        <v/>
      </c>
    </row>
    <row r="945" spans="3:7" x14ac:dyDescent="0.3">
      <c r="C945" t="str">
        <f>IFERROR(IF(B945="","",VLOOKUP(B945,CadProd!$A:$B,2,0)),"")</f>
        <v/>
      </c>
      <c r="D945" t="str">
        <f>IFERROR(IF(B945="","",VLOOKUP(B945,CadProd!$A:$C,3,0)),"")</f>
        <v/>
      </c>
      <c r="G945" s="1" t="str">
        <f t="shared" si="14"/>
        <v/>
      </c>
    </row>
    <row r="946" spans="3:7" x14ac:dyDescent="0.3">
      <c r="C946" t="str">
        <f>IFERROR(IF(B946="","",VLOOKUP(B946,CadProd!$A:$B,2,0)),"")</f>
        <v/>
      </c>
      <c r="D946" t="str">
        <f>IFERROR(IF(B946="","",VLOOKUP(B946,CadProd!$A:$C,3,0)),"")</f>
        <v/>
      </c>
      <c r="G946" s="1" t="str">
        <f t="shared" si="14"/>
        <v/>
      </c>
    </row>
    <row r="947" spans="3:7" x14ac:dyDescent="0.3">
      <c r="C947" t="str">
        <f>IFERROR(IF(B947="","",VLOOKUP(B947,CadProd!$A:$B,2,0)),"")</f>
        <v/>
      </c>
      <c r="D947" t="str">
        <f>IFERROR(IF(B947="","",VLOOKUP(B947,CadProd!$A:$C,3,0)),"")</f>
        <v/>
      </c>
      <c r="G947" s="1" t="str">
        <f t="shared" si="14"/>
        <v/>
      </c>
    </row>
    <row r="948" spans="3:7" x14ac:dyDescent="0.3">
      <c r="C948" t="str">
        <f>IFERROR(IF(B948="","",VLOOKUP(B948,CadProd!$A:$B,2,0)),"")</f>
        <v/>
      </c>
      <c r="D948" t="str">
        <f>IFERROR(IF(B948="","",VLOOKUP(B948,CadProd!$A:$C,3,0)),"")</f>
        <v/>
      </c>
      <c r="G948" s="1" t="str">
        <f t="shared" si="14"/>
        <v/>
      </c>
    </row>
    <row r="949" spans="3:7" x14ac:dyDescent="0.3">
      <c r="C949" t="str">
        <f>IFERROR(IF(B949="","",VLOOKUP(B949,CadProd!$A:$B,2,0)),"")</f>
        <v/>
      </c>
      <c r="D949" t="str">
        <f>IFERROR(IF(B949="","",VLOOKUP(B949,CadProd!$A:$C,3,0)),"")</f>
        <v/>
      </c>
      <c r="G949" s="1" t="str">
        <f t="shared" si="14"/>
        <v/>
      </c>
    </row>
    <row r="950" spans="3:7" x14ac:dyDescent="0.3">
      <c r="C950" t="str">
        <f>IFERROR(IF(B950="","",VLOOKUP(B950,CadProd!$A:$B,2,0)),"")</f>
        <v/>
      </c>
      <c r="D950" t="str">
        <f>IFERROR(IF(B950="","",VLOOKUP(B950,CadProd!$A:$C,3,0)),"")</f>
        <v/>
      </c>
      <c r="G950" s="1" t="str">
        <f t="shared" si="14"/>
        <v/>
      </c>
    </row>
    <row r="951" spans="3:7" x14ac:dyDescent="0.3">
      <c r="C951" t="str">
        <f>IFERROR(IF(B951="","",VLOOKUP(B951,CadProd!$A:$B,2,0)),"")</f>
        <v/>
      </c>
      <c r="D951" t="str">
        <f>IFERROR(IF(B951="","",VLOOKUP(B951,CadProd!$A:$C,3,0)),"")</f>
        <v/>
      </c>
      <c r="G951" s="1" t="str">
        <f t="shared" si="14"/>
        <v/>
      </c>
    </row>
    <row r="952" spans="3:7" x14ac:dyDescent="0.3">
      <c r="C952" t="str">
        <f>IFERROR(IF(B952="","",VLOOKUP(B952,CadProd!$A:$B,2,0)),"")</f>
        <v/>
      </c>
      <c r="D952" t="str">
        <f>IFERROR(IF(B952="","",VLOOKUP(B952,CadProd!$A:$C,3,0)),"")</f>
        <v/>
      </c>
      <c r="G952" s="1" t="str">
        <f t="shared" si="14"/>
        <v/>
      </c>
    </row>
    <row r="953" spans="3:7" x14ac:dyDescent="0.3">
      <c r="C953" t="str">
        <f>IFERROR(IF(B953="","",VLOOKUP(B953,CadProd!$A:$B,2,0)),"")</f>
        <v/>
      </c>
      <c r="D953" t="str">
        <f>IFERROR(IF(B953="","",VLOOKUP(B953,CadProd!$A:$C,3,0)),"")</f>
        <v/>
      </c>
      <c r="G953" s="1" t="str">
        <f t="shared" si="14"/>
        <v/>
      </c>
    </row>
    <row r="954" spans="3:7" x14ac:dyDescent="0.3">
      <c r="C954" t="str">
        <f>IFERROR(IF(B954="","",VLOOKUP(B954,CadProd!$A:$B,2,0)),"")</f>
        <v/>
      </c>
      <c r="D954" t="str">
        <f>IFERROR(IF(B954="","",VLOOKUP(B954,CadProd!$A:$C,3,0)),"")</f>
        <v/>
      </c>
      <c r="G954" s="1" t="str">
        <f t="shared" si="14"/>
        <v/>
      </c>
    </row>
    <row r="955" spans="3:7" x14ac:dyDescent="0.3">
      <c r="C955" t="str">
        <f>IFERROR(IF(B955="","",VLOOKUP(B955,CadProd!$A:$B,2,0)),"")</f>
        <v/>
      </c>
      <c r="D955" t="str">
        <f>IFERROR(IF(B955="","",VLOOKUP(B955,CadProd!$A:$C,3,0)),"")</f>
        <v/>
      </c>
      <c r="G955" s="1" t="str">
        <f t="shared" si="14"/>
        <v/>
      </c>
    </row>
    <row r="956" spans="3:7" x14ac:dyDescent="0.3">
      <c r="C956" t="str">
        <f>IFERROR(IF(B956="","",VLOOKUP(B956,CadProd!$A:$B,2,0)),"")</f>
        <v/>
      </c>
      <c r="D956" t="str">
        <f>IFERROR(IF(B956="","",VLOOKUP(B956,CadProd!$A:$C,3,0)),"")</f>
        <v/>
      </c>
      <c r="G956" s="1" t="str">
        <f t="shared" si="14"/>
        <v/>
      </c>
    </row>
    <row r="957" spans="3:7" x14ac:dyDescent="0.3">
      <c r="C957" t="str">
        <f>IFERROR(IF(B957="","",VLOOKUP(B957,CadProd!$A:$B,2,0)),"")</f>
        <v/>
      </c>
      <c r="D957" t="str">
        <f>IFERROR(IF(B957="","",VLOOKUP(B957,CadProd!$A:$C,3,0)),"")</f>
        <v/>
      </c>
      <c r="G957" s="1" t="str">
        <f t="shared" si="14"/>
        <v/>
      </c>
    </row>
    <row r="958" spans="3:7" x14ac:dyDescent="0.3">
      <c r="C958" t="str">
        <f>IFERROR(IF(B958="","",VLOOKUP(B958,CadProd!$A:$B,2,0)),"")</f>
        <v/>
      </c>
      <c r="D958" t="str">
        <f>IFERROR(IF(B958="","",VLOOKUP(B958,CadProd!$A:$C,3,0)),"")</f>
        <v/>
      </c>
      <c r="G958" s="1" t="str">
        <f t="shared" si="14"/>
        <v/>
      </c>
    </row>
    <row r="959" spans="3:7" x14ac:dyDescent="0.3">
      <c r="C959" t="str">
        <f>IFERROR(IF(B959="","",VLOOKUP(B959,CadProd!$A:$B,2,0)),"")</f>
        <v/>
      </c>
      <c r="D959" t="str">
        <f>IFERROR(IF(B959="","",VLOOKUP(B959,CadProd!$A:$C,3,0)),"")</f>
        <v/>
      </c>
      <c r="G959" s="1" t="str">
        <f t="shared" si="14"/>
        <v/>
      </c>
    </row>
    <row r="960" spans="3:7" x14ac:dyDescent="0.3">
      <c r="C960" t="str">
        <f>IFERROR(IF(B960="","",VLOOKUP(B960,CadProd!$A:$B,2,0)),"")</f>
        <v/>
      </c>
      <c r="D960" t="str">
        <f>IFERROR(IF(B960="","",VLOOKUP(B960,CadProd!$A:$C,3,0)),"")</f>
        <v/>
      </c>
      <c r="G960" s="1" t="str">
        <f t="shared" si="14"/>
        <v/>
      </c>
    </row>
    <row r="961" spans="3:7" x14ac:dyDescent="0.3">
      <c r="C961" t="str">
        <f>IFERROR(IF(B961="","",VLOOKUP(B961,CadProd!$A:$B,2,0)),"")</f>
        <v/>
      </c>
      <c r="D961" t="str">
        <f>IFERROR(IF(B961="","",VLOOKUP(B961,CadProd!$A:$C,3,0)),"")</f>
        <v/>
      </c>
      <c r="G961" s="1" t="str">
        <f t="shared" si="14"/>
        <v/>
      </c>
    </row>
    <row r="962" spans="3:7" x14ac:dyDescent="0.3">
      <c r="C962" t="str">
        <f>IFERROR(IF(B962="","",VLOOKUP(B962,CadProd!$A:$B,2,0)),"")</f>
        <v/>
      </c>
      <c r="D962" t="str">
        <f>IFERROR(IF(B962="","",VLOOKUP(B962,CadProd!$A:$C,3,0)),"")</f>
        <v/>
      </c>
      <c r="G962" s="1" t="str">
        <f t="shared" si="14"/>
        <v/>
      </c>
    </row>
    <row r="963" spans="3:7" x14ac:dyDescent="0.3">
      <c r="C963" t="str">
        <f>IFERROR(IF(B963="","",VLOOKUP(B963,CadProd!$A:$B,2,0)),"")</f>
        <v/>
      </c>
      <c r="D963" t="str">
        <f>IFERROR(IF(B963="","",VLOOKUP(B963,CadProd!$A:$C,3,0)),"")</f>
        <v/>
      </c>
      <c r="G963" s="1" t="str">
        <f t="shared" si="14"/>
        <v/>
      </c>
    </row>
    <row r="964" spans="3:7" x14ac:dyDescent="0.3">
      <c r="C964" t="str">
        <f>IFERROR(IF(B964="","",VLOOKUP(B964,CadProd!$A:$B,2,0)),"")</f>
        <v/>
      </c>
      <c r="D964" t="str">
        <f>IFERROR(IF(B964="","",VLOOKUP(B964,CadProd!$A:$C,3,0)),"")</f>
        <v/>
      </c>
      <c r="G964" s="1" t="str">
        <f t="shared" si="14"/>
        <v/>
      </c>
    </row>
    <row r="965" spans="3:7" x14ac:dyDescent="0.3">
      <c r="C965" t="str">
        <f>IFERROR(IF(B965="","",VLOOKUP(B965,CadProd!$A:$B,2,0)),"")</f>
        <v/>
      </c>
      <c r="D965" t="str">
        <f>IFERROR(IF(B965="","",VLOOKUP(B965,CadProd!$A:$C,3,0)),"")</f>
        <v/>
      </c>
      <c r="G965" s="1" t="str">
        <f t="shared" si="14"/>
        <v/>
      </c>
    </row>
    <row r="966" spans="3:7" x14ac:dyDescent="0.3">
      <c r="C966" t="str">
        <f>IFERROR(IF(B966="","",VLOOKUP(B966,CadProd!$A:$B,2,0)),"")</f>
        <v/>
      </c>
      <c r="D966" t="str">
        <f>IFERROR(IF(B966="","",VLOOKUP(B966,CadProd!$A:$C,3,0)),"")</f>
        <v/>
      </c>
      <c r="G966" s="1" t="str">
        <f t="shared" si="14"/>
        <v/>
      </c>
    </row>
    <row r="967" spans="3:7" x14ac:dyDescent="0.3">
      <c r="C967" t="str">
        <f>IFERROR(IF(B967="","",VLOOKUP(B967,CadProd!$A:$B,2,0)),"")</f>
        <v/>
      </c>
      <c r="D967" t="str">
        <f>IFERROR(IF(B967="","",VLOOKUP(B967,CadProd!$A:$C,3,0)),"")</f>
        <v/>
      </c>
      <c r="G967" s="1" t="str">
        <f t="shared" si="14"/>
        <v/>
      </c>
    </row>
    <row r="968" spans="3:7" x14ac:dyDescent="0.3">
      <c r="C968" t="str">
        <f>IFERROR(IF(B968="","",VLOOKUP(B968,CadProd!$A:$B,2,0)),"")</f>
        <v/>
      </c>
      <c r="D968" t="str">
        <f>IFERROR(IF(B968="","",VLOOKUP(B968,CadProd!$A:$C,3,0)),"")</f>
        <v/>
      </c>
      <c r="G968" s="1" t="str">
        <f t="shared" si="14"/>
        <v/>
      </c>
    </row>
    <row r="969" spans="3:7" x14ac:dyDescent="0.3">
      <c r="C969" t="str">
        <f>IFERROR(IF(B969="","",VLOOKUP(B969,CadProd!$A:$B,2,0)),"")</f>
        <v/>
      </c>
      <c r="D969" t="str">
        <f>IFERROR(IF(B969="","",VLOOKUP(B969,CadProd!$A:$C,3,0)),"")</f>
        <v/>
      </c>
      <c r="G969" s="1" t="str">
        <f t="shared" si="14"/>
        <v/>
      </c>
    </row>
    <row r="970" spans="3:7" x14ac:dyDescent="0.3">
      <c r="C970" t="str">
        <f>IFERROR(IF(B970="","",VLOOKUP(B970,CadProd!$A:$B,2,0)),"")</f>
        <v/>
      </c>
      <c r="D970" t="str">
        <f>IFERROR(IF(B970="","",VLOOKUP(B970,CadProd!$A:$C,3,0)),"")</f>
        <v/>
      </c>
      <c r="G970" s="1" t="str">
        <f t="shared" si="14"/>
        <v/>
      </c>
    </row>
    <row r="971" spans="3:7" x14ac:dyDescent="0.3">
      <c r="C971" t="str">
        <f>IFERROR(IF(B971="","",VLOOKUP(B971,CadProd!$A:$B,2,0)),"")</f>
        <v/>
      </c>
      <c r="D971" t="str">
        <f>IFERROR(IF(B971="","",VLOOKUP(B971,CadProd!$A:$C,3,0)),"")</f>
        <v/>
      </c>
      <c r="G971" s="1" t="str">
        <f t="shared" ref="G971:G1034" si="15">IFERROR(IF(B971="","",F971*E971),"")</f>
        <v/>
      </c>
    </row>
    <row r="972" spans="3:7" x14ac:dyDescent="0.3">
      <c r="C972" t="str">
        <f>IFERROR(IF(B972="","",VLOOKUP(B972,CadProd!$A:$B,2,0)),"")</f>
        <v/>
      </c>
      <c r="D972" t="str">
        <f>IFERROR(IF(B972="","",VLOOKUP(B972,CadProd!$A:$C,3,0)),"")</f>
        <v/>
      </c>
      <c r="G972" s="1" t="str">
        <f t="shared" si="15"/>
        <v/>
      </c>
    </row>
    <row r="973" spans="3:7" x14ac:dyDescent="0.3">
      <c r="C973" t="str">
        <f>IFERROR(IF(B973="","",VLOOKUP(B973,CadProd!$A:$B,2,0)),"")</f>
        <v/>
      </c>
      <c r="D973" t="str">
        <f>IFERROR(IF(B973="","",VLOOKUP(B973,CadProd!$A:$C,3,0)),"")</f>
        <v/>
      </c>
      <c r="G973" s="1" t="str">
        <f t="shared" si="15"/>
        <v/>
      </c>
    </row>
    <row r="974" spans="3:7" x14ac:dyDescent="0.3">
      <c r="C974" t="str">
        <f>IFERROR(IF(B974="","",VLOOKUP(B974,CadProd!$A:$B,2,0)),"")</f>
        <v/>
      </c>
      <c r="D974" t="str">
        <f>IFERROR(IF(B974="","",VLOOKUP(B974,CadProd!$A:$C,3,0)),"")</f>
        <v/>
      </c>
      <c r="G974" s="1" t="str">
        <f t="shared" si="15"/>
        <v/>
      </c>
    </row>
    <row r="975" spans="3:7" x14ac:dyDescent="0.3">
      <c r="C975" t="str">
        <f>IFERROR(IF(B975="","",VLOOKUP(B975,CadProd!$A:$B,2,0)),"")</f>
        <v/>
      </c>
      <c r="D975" t="str">
        <f>IFERROR(IF(B975="","",VLOOKUP(B975,CadProd!$A:$C,3,0)),"")</f>
        <v/>
      </c>
      <c r="G975" s="1" t="str">
        <f t="shared" si="15"/>
        <v/>
      </c>
    </row>
    <row r="976" spans="3:7" x14ac:dyDescent="0.3">
      <c r="C976" t="str">
        <f>IFERROR(IF(B976="","",VLOOKUP(B976,CadProd!$A:$B,2,0)),"")</f>
        <v/>
      </c>
      <c r="D976" t="str">
        <f>IFERROR(IF(B976="","",VLOOKUP(B976,CadProd!$A:$C,3,0)),"")</f>
        <v/>
      </c>
      <c r="G976" s="1" t="str">
        <f t="shared" si="15"/>
        <v/>
      </c>
    </row>
    <row r="977" spans="3:7" x14ac:dyDescent="0.3">
      <c r="C977" t="str">
        <f>IFERROR(IF(B977="","",VLOOKUP(B977,CadProd!$A:$B,2,0)),"")</f>
        <v/>
      </c>
      <c r="D977" t="str">
        <f>IFERROR(IF(B977="","",VLOOKUP(B977,CadProd!$A:$C,3,0)),"")</f>
        <v/>
      </c>
      <c r="G977" s="1" t="str">
        <f t="shared" si="15"/>
        <v/>
      </c>
    </row>
    <row r="978" spans="3:7" x14ac:dyDescent="0.3">
      <c r="C978" t="str">
        <f>IFERROR(IF(B978="","",VLOOKUP(B978,CadProd!$A:$B,2,0)),"")</f>
        <v/>
      </c>
      <c r="D978" t="str">
        <f>IFERROR(IF(B978="","",VLOOKUP(B978,CadProd!$A:$C,3,0)),"")</f>
        <v/>
      </c>
      <c r="G978" s="1" t="str">
        <f t="shared" si="15"/>
        <v/>
      </c>
    </row>
    <row r="979" spans="3:7" x14ac:dyDescent="0.3">
      <c r="C979" t="str">
        <f>IFERROR(IF(B979="","",VLOOKUP(B979,CadProd!$A:$B,2,0)),"")</f>
        <v/>
      </c>
      <c r="D979" t="str">
        <f>IFERROR(IF(B979="","",VLOOKUP(B979,CadProd!$A:$C,3,0)),"")</f>
        <v/>
      </c>
      <c r="G979" s="1" t="str">
        <f t="shared" si="15"/>
        <v/>
      </c>
    </row>
    <row r="980" spans="3:7" x14ac:dyDescent="0.3">
      <c r="C980" t="str">
        <f>IFERROR(IF(B980="","",VLOOKUP(B980,CadProd!$A:$B,2,0)),"")</f>
        <v/>
      </c>
      <c r="D980" t="str">
        <f>IFERROR(IF(B980="","",VLOOKUP(B980,CadProd!$A:$C,3,0)),"")</f>
        <v/>
      </c>
      <c r="G980" s="1" t="str">
        <f t="shared" si="15"/>
        <v/>
      </c>
    </row>
    <row r="981" spans="3:7" x14ac:dyDescent="0.3">
      <c r="C981" t="str">
        <f>IFERROR(IF(B981="","",VLOOKUP(B981,CadProd!$A:$B,2,0)),"")</f>
        <v/>
      </c>
      <c r="D981" t="str">
        <f>IFERROR(IF(B981="","",VLOOKUP(B981,CadProd!$A:$C,3,0)),"")</f>
        <v/>
      </c>
      <c r="G981" s="1" t="str">
        <f t="shared" si="15"/>
        <v/>
      </c>
    </row>
    <row r="982" spans="3:7" x14ac:dyDescent="0.3">
      <c r="C982" t="str">
        <f>IFERROR(IF(B982="","",VLOOKUP(B982,CadProd!$A:$B,2,0)),"")</f>
        <v/>
      </c>
      <c r="D982" t="str">
        <f>IFERROR(IF(B982="","",VLOOKUP(B982,CadProd!$A:$C,3,0)),"")</f>
        <v/>
      </c>
      <c r="G982" s="1" t="str">
        <f t="shared" si="15"/>
        <v/>
      </c>
    </row>
    <row r="983" spans="3:7" x14ac:dyDescent="0.3">
      <c r="C983" t="str">
        <f>IFERROR(IF(B983="","",VLOOKUP(B983,CadProd!$A:$B,2,0)),"")</f>
        <v/>
      </c>
      <c r="D983" t="str">
        <f>IFERROR(IF(B983="","",VLOOKUP(B983,CadProd!$A:$C,3,0)),"")</f>
        <v/>
      </c>
      <c r="G983" s="1" t="str">
        <f t="shared" si="15"/>
        <v/>
      </c>
    </row>
    <row r="984" spans="3:7" x14ac:dyDescent="0.3">
      <c r="C984" t="str">
        <f>IFERROR(IF(B984="","",VLOOKUP(B984,CadProd!$A:$B,2,0)),"")</f>
        <v/>
      </c>
      <c r="D984" t="str">
        <f>IFERROR(IF(B984="","",VLOOKUP(B984,CadProd!$A:$C,3,0)),"")</f>
        <v/>
      </c>
      <c r="G984" s="1" t="str">
        <f t="shared" si="15"/>
        <v/>
      </c>
    </row>
    <row r="985" spans="3:7" x14ac:dyDescent="0.3">
      <c r="C985" t="str">
        <f>IFERROR(IF(B985="","",VLOOKUP(B985,CadProd!$A:$B,2,0)),"")</f>
        <v/>
      </c>
      <c r="D985" t="str">
        <f>IFERROR(IF(B985="","",VLOOKUP(B985,CadProd!$A:$C,3,0)),"")</f>
        <v/>
      </c>
      <c r="G985" s="1" t="str">
        <f t="shared" si="15"/>
        <v/>
      </c>
    </row>
    <row r="986" spans="3:7" x14ac:dyDescent="0.3">
      <c r="C986" t="str">
        <f>IFERROR(IF(B986="","",VLOOKUP(B986,CadProd!$A:$B,2,0)),"")</f>
        <v/>
      </c>
      <c r="D986" t="str">
        <f>IFERROR(IF(B986="","",VLOOKUP(B986,CadProd!$A:$C,3,0)),"")</f>
        <v/>
      </c>
      <c r="G986" s="1" t="str">
        <f t="shared" si="15"/>
        <v/>
      </c>
    </row>
    <row r="987" spans="3:7" x14ac:dyDescent="0.3">
      <c r="C987" t="str">
        <f>IFERROR(IF(B987="","",VLOOKUP(B987,CadProd!$A:$B,2,0)),"")</f>
        <v/>
      </c>
      <c r="D987" t="str">
        <f>IFERROR(IF(B987="","",VLOOKUP(B987,CadProd!$A:$C,3,0)),"")</f>
        <v/>
      </c>
      <c r="G987" s="1" t="str">
        <f t="shared" si="15"/>
        <v/>
      </c>
    </row>
    <row r="988" spans="3:7" x14ac:dyDescent="0.3">
      <c r="C988" t="str">
        <f>IFERROR(IF(B988="","",VLOOKUP(B988,CadProd!$A:$B,2,0)),"")</f>
        <v/>
      </c>
      <c r="D988" t="str">
        <f>IFERROR(IF(B988="","",VLOOKUP(B988,CadProd!$A:$C,3,0)),"")</f>
        <v/>
      </c>
      <c r="G988" s="1" t="str">
        <f t="shared" si="15"/>
        <v/>
      </c>
    </row>
    <row r="989" spans="3:7" x14ac:dyDescent="0.3">
      <c r="C989" t="str">
        <f>IFERROR(IF(B989="","",VLOOKUP(B989,CadProd!$A:$B,2,0)),"")</f>
        <v/>
      </c>
      <c r="D989" t="str">
        <f>IFERROR(IF(B989="","",VLOOKUP(B989,CadProd!$A:$C,3,0)),"")</f>
        <v/>
      </c>
      <c r="G989" s="1" t="str">
        <f t="shared" si="15"/>
        <v/>
      </c>
    </row>
    <row r="990" spans="3:7" x14ac:dyDescent="0.3">
      <c r="C990" t="str">
        <f>IFERROR(IF(B990="","",VLOOKUP(B990,CadProd!$A:$B,2,0)),"")</f>
        <v/>
      </c>
      <c r="D990" t="str">
        <f>IFERROR(IF(B990="","",VLOOKUP(B990,CadProd!$A:$C,3,0)),"")</f>
        <v/>
      </c>
      <c r="G990" s="1" t="str">
        <f t="shared" si="15"/>
        <v/>
      </c>
    </row>
    <row r="991" spans="3:7" x14ac:dyDescent="0.3">
      <c r="C991" t="str">
        <f>IFERROR(IF(B991="","",VLOOKUP(B991,CadProd!$A:$B,2,0)),"")</f>
        <v/>
      </c>
      <c r="D991" t="str">
        <f>IFERROR(IF(B991="","",VLOOKUP(B991,CadProd!$A:$C,3,0)),"")</f>
        <v/>
      </c>
      <c r="G991" s="1" t="str">
        <f t="shared" si="15"/>
        <v/>
      </c>
    </row>
    <row r="992" spans="3:7" x14ac:dyDescent="0.3">
      <c r="C992" t="str">
        <f>IFERROR(IF(B992="","",VLOOKUP(B992,CadProd!$A:$B,2,0)),"")</f>
        <v/>
      </c>
      <c r="D992" t="str">
        <f>IFERROR(IF(B992="","",VLOOKUP(B992,CadProd!$A:$C,3,0)),"")</f>
        <v/>
      </c>
      <c r="G992" s="1" t="str">
        <f t="shared" si="15"/>
        <v/>
      </c>
    </row>
    <row r="993" spans="3:7" x14ac:dyDescent="0.3">
      <c r="C993" t="str">
        <f>IFERROR(IF(B993="","",VLOOKUP(B993,CadProd!$A:$B,2,0)),"")</f>
        <v/>
      </c>
      <c r="D993" t="str">
        <f>IFERROR(IF(B993="","",VLOOKUP(B993,CadProd!$A:$C,3,0)),"")</f>
        <v/>
      </c>
      <c r="G993" s="1" t="str">
        <f t="shared" si="15"/>
        <v/>
      </c>
    </row>
    <row r="994" spans="3:7" x14ac:dyDescent="0.3">
      <c r="C994" t="str">
        <f>IFERROR(IF(B994="","",VLOOKUP(B994,CadProd!$A:$B,2,0)),"")</f>
        <v/>
      </c>
      <c r="D994" t="str">
        <f>IFERROR(IF(B994="","",VLOOKUP(B994,CadProd!$A:$C,3,0)),"")</f>
        <v/>
      </c>
      <c r="G994" s="1" t="str">
        <f t="shared" si="15"/>
        <v/>
      </c>
    </row>
    <row r="995" spans="3:7" x14ac:dyDescent="0.3">
      <c r="C995" t="str">
        <f>IFERROR(IF(B995="","",VLOOKUP(B995,CadProd!$A:$B,2,0)),"")</f>
        <v/>
      </c>
      <c r="D995" t="str">
        <f>IFERROR(IF(B995="","",VLOOKUP(B995,CadProd!$A:$C,3,0)),"")</f>
        <v/>
      </c>
      <c r="G995" s="1" t="str">
        <f t="shared" si="15"/>
        <v/>
      </c>
    </row>
    <row r="996" spans="3:7" x14ac:dyDescent="0.3">
      <c r="C996" t="str">
        <f>IFERROR(IF(B996="","",VLOOKUP(B996,CadProd!$A:$B,2,0)),"")</f>
        <v/>
      </c>
      <c r="D996" t="str">
        <f>IFERROR(IF(B996="","",VLOOKUP(B996,CadProd!$A:$C,3,0)),"")</f>
        <v/>
      </c>
      <c r="G996" s="1" t="str">
        <f t="shared" si="15"/>
        <v/>
      </c>
    </row>
    <row r="997" spans="3:7" x14ac:dyDescent="0.3">
      <c r="C997" t="str">
        <f>IFERROR(IF(B997="","",VLOOKUP(B997,CadProd!$A:$B,2,0)),"")</f>
        <v/>
      </c>
      <c r="D997" t="str">
        <f>IFERROR(IF(B997="","",VLOOKUP(B997,CadProd!$A:$C,3,0)),"")</f>
        <v/>
      </c>
      <c r="G997" s="1" t="str">
        <f t="shared" si="15"/>
        <v/>
      </c>
    </row>
    <row r="998" spans="3:7" x14ac:dyDescent="0.3">
      <c r="C998" t="str">
        <f>IFERROR(IF(B998="","",VLOOKUP(B998,CadProd!$A:$B,2,0)),"")</f>
        <v/>
      </c>
      <c r="D998" t="str">
        <f>IFERROR(IF(B998="","",VLOOKUP(B998,CadProd!$A:$C,3,0)),"")</f>
        <v/>
      </c>
      <c r="G998" s="1" t="str">
        <f t="shared" si="15"/>
        <v/>
      </c>
    </row>
    <row r="999" spans="3:7" x14ac:dyDescent="0.3">
      <c r="C999" t="str">
        <f>IFERROR(IF(B999="","",VLOOKUP(B999,CadProd!$A:$B,2,0)),"")</f>
        <v/>
      </c>
      <c r="D999" t="str">
        <f>IFERROR(IF(B999="","",VLOOKUP(B999,CadProd!$A:$C,3,0)),"")</f>
        <v/>
      </c>
      <c r="G999" s="1" t="str">
        <f t="shared" si="15"/>
        <v/>
      </c>
    </row>
    <row r="1000" spans="3:7" x14ac:dyDescent="0.3">
      <c r="C1000" t="str">
        <f>IFERROR(IF(B1000="","",VLOOKUP(B1000,CadProd!$A:$B,2,0)),"")</f>
        <v/>
      </c>
      <c r="D1000" t="str">
        <f>IFERROR(IF(B1000="","",VLOOKUP(B1000,CadProd!$A:$C,3,0)),"")</f>
        <v/>
      </c>
      <c r="G1000" s="1" t="str">
        <f t="shared" si="15"/>
        <v/>
      </c>
    </row>
    <row r="1001" spans="3:7" x14ac:dyDescent="0.3">
      <c r="C1001" t="str">
        <f>IFERROR(IF(B1001="","",VLOOKUP(B1001,CadProd!$A:$B,2,0)),"")</f>
        <v/>
      </c>
      <c r="D1001" t="str">
        <f>IFERROR(IF(B1001="","",VLOOKUP(B1001,CadProd!$A:$C,3,0)),"")</f>
        <v/>
      </c>
      <c r="G1001" s="1" t="str">
        <f t="shared" si="15"/>
        <v/>
      </c>
    </row>
    <row r="1002" spans="3:7" x14ac:dyDescent="0.3">
      <c r="C1002" t="str">
        <f>IFERROR(IF(B1002="","",VLOOKUP(B1002,CadProd!$A:$B,2,0)),"")</f>
        <v/>
      </c>
      <c r="D1002" t="str">
        <f>IFERROR(IF(B1002="","",VLOOKUP(B1002,CadProd!$A:$C,3,0)),"")</f>
        <v/>
      </c>
      <c r="G1002" s="1" t="str">
        <f t="shared" si="15"/>
        <v/>
      </c>
    </row>
    <row r="1003" spans="3:7" x14ac:dyDescent="0.3">
      <c r="C1003" t="str">
        <f>IFERROR(IF(B1003="","",VLOOKUP(B1003,CadProd!$A:$B,2,0)),"")</f>
        <v/>
      </c>
      <c r="D1003" t="str">
        <f>IFERROR(IF(B1003="","",VLOOKUP(B1003,CadProd!$A:$C,3,0)),"")</f>
        <v/>
      </c>
      <c r="G1003" s="1" t="str">
        <f t="shared" si="15"/>
        <v/>
      </c>
    </row>
    <row r="1004" spans="3:7" x14ac:dyDescent="0.3">
      <c r="C1004" t="str">
        <f>IFERROR(IF(B1004="","",VLOOKUP(B1004,CadProd!$A:$B,2,0)),"")</f>
        <v/>
      </c>
      <c r="D1004" t="str">
        <f>IFERROR(IF(B1004="","",VLOOKUP(B1004,CadProd!$A:$C,3,0)),"")</f>
        <v/>
      </c>
      <c r="G1004" s="1" t="str">
        <f t="shared" si="15"/>
        <v/>
      </c>
    </row>
    <row r="1005" spans="3:7" x14ac:dyDescent="0.3">
      <c r="C1005" t="str">
        <f>IFERROR(IF(B1005="","",VLOOKUP(B1005,CadProd!$A:$B,2,0)),"")</f>
        <v/>
      </c>
      <c r="D1005" t="str">
        <f>IFERROR(IF(B1005="","",VLOOKUP(B1005,CadProd!$A:$C,3,0)),"")</f>
        <v/>
      </c>
      <c r="G1005" s="1" t="str">
        <f t="shared" si="15"/>
        <v/>
      </c>
    </row>
    <row r="1006" spans="3:7" x14ac:dyDescent="0.3">
      <c r="C1006" t="str">
        <f>IFERROR(IF(B1006="","",VLOOKUP(B1006,CadProd!$A:$B,2,0)),"")</f>
        <v/>
      </c>
      <c r="D1006" t="str">
        <f>IFERROR(IF(B1006="","",VLOOKUP(B1006,CadProd!$A:$C,3,0)),"")</f>
        <v/>
      </c>
      <c r="G1006" s="1" t="str">
        <f t="shared" si="15"/>
        <v/>
      </c>
    </row>
    <row r="1007" spans="3:7" x14ac:dyDescent="0.3">
      <c r="C1007" t="str">
        <f>IFERROR(IF(B1007="","",VLOOKUP(B1007,CadProd!$A:$B,2,0)),"")</f>
        <v/>
      </c>
      <c r="D1007" t="str">
        <f>IFERROR(IF(B1007="","",VLOOKUP(B1007,CadProd!$A:$C,3,0)),"")</f>
        <v/>
      </c>
      <c r="G1007" s="1" t="str">
        <f t="shared" si="15"/>
        <v/>
      </c>
    </row>
    <row r="1008" spans="3:7" x14ac:dyDescent="0.3">
      <c r="C1008" t="str">
        <f>IFERROR(IF(B1008="","",VLOOKUP(B1008,CadProd!$A:$B,2,0)),"")</f>
        <v/>
      </c>
      <c r="D1008" t="str">
        <f>IFERROR(IF(B1008="","",VLOOKUP(B1008,CadProd!$A:$C,3,0)),"")</f>
        <v/>
      </c>
      <c r="G1008" s="1" t="str">
        <f t="shared" si="15"/>
        <v/>
      </c>
    </row>
    <row r="1009" spans="3:7" x14ac:dyDescent="0.3">
      <c r="C1009" t="str">
        <f>IFERROR(IF(B1009="","",VLOOKUP(B1009,CadProd!$A:$B,2,0)),"")</f>
        <v/>
      </c>
      <c r="D1009" t="str">
        <f>IFERROR(IF(B1009="","",VLOOKUP(B1009,CadProd!$A:$C,3,0)),"")</f>
        <v/>
      </c>
      <c r="G1009" s="1" t="str">
        <f t="shared" si="15"/>
        <v/>
      </c>
    </row>
    <row r="1010" spans="3:7" x14ac:dyDescent="0.3">
      <c r="C1010" t="str">
        <f>IFERROR(IF(B1010="","",VLOOKUP(B1010,CadProd!$A:$B,2,0)),"")</f>
        <v/>
      </c>
      <c r="D1010" t="str">
        <f>IFERROR(IF(B1010="","",VLOOKUP(B1010,CadProd!$A:$C,3,0)),"")</f>
        <v/>
      </c>
      <c r="G1010" s="1" t="str">
        <f t="shared" si="15"/>
        <v/>
      </c>
    </row>
    <row r="1011" spans="3:7" x14ac:dyDescent="0.3">
      <c r="C1011" t="str">
        <f>IFERROR(IF(B1011="","",VLOOKUP(B1011,CadProd!$A:$B,2,0)),"")</f>
        <v/>
      </c>
      <c r="D1011" t="str">
        <f>IFERROR(IF(B1011="","",VLOOKUP(B1011,CadProd!$A:$C,3,0)),"")</f>
        <v/>
      </c>
      <c r="G1011" s="1" t="str">
        <f t="shared" si="15"/>
        <v/>
      </c>
    </row>
    <row r="1012" spans="3:7" x14ac:dyDescent="0.3">
      <c r="C1012" t="str">
        <f>IFERROR(IF(B1012="","",VLOOKUP(B1012,CadProd!$A:$B,2,0)),"")</f>
        <v/>
      </c>
      <c r="D1012" t="str">
        <f>IFERROR(IF(B1012="","",VLOOKUP(B1012,CadProd!$A:$C,3,0)),"")</f>
        <v/>
      </c>
      <c r="G1012" s="1" t="str">
        <f t="shared" si="15"/>
        <v/>
      </c>
    </row>
    <row r="1013" spans="3:7" x14ac:dyDescent="0.3">
      <c r="C1013" t="str">
        <f>IFERROR(IF(B1013="","",VLOOKUP(B1013,CadProd!$A:$B,2,0)),"")</f>
        <v/>
      </c>
      <c r="D1013" t="str">
        <f>IFERROR(IF(B1013="","",VLOOKUP(B1013,CadProd!$A:$C,3,0)),"")</f>
        <v/>
      </c>
      <c r="G1013" s="1" t="str">
        <f t="shared" si="15"/>
        <v/>
      </c>
    </row>
    <row r="1014" spans="3:7" x14ac:dyDescent="0.3">
      <c r="C1014" t="str">
        <f>IFERROR(IF(B1014="","",VLOOKUP(B1014,CadProd!$A:$B,2,0)),"")</f>
        <v/>
      </c>
      <c r="D1014" t="str">
        <f>IFERROR(IF(B1014="","",VLOOKUP(B1014,CadProd!$A:$C,3,0)),"")</f>
        <v/>
      </c>
      <c r="G1014" s="1" t="str">
        <f t="shared" si="15"/>
        <v/>
      </c>
    </row>
    <row r="1015" spans="3:7" x14ac:dyDescent="0.3">
      <c r="C1015" t="str">
        <f>IFERROR(IF(B1015="","",VLOOKUP(B1015,CadProd!$A:$B,2,0)),"")</f>
        <v/>
      </c>
      <c r="D1015" t="str">
        <f>IFERROR(IF(B1015="","",VLOOKUP(B1015,CadProd!$A:$C,3,0)),"")</f>
        <v/>
      </c>
      <c r="G1015" s="1" t="str">
        <f t="shared" si="15"/>
        <v/>
      </c>
    </row>
    <row r="1016" spans="3:7" x14ac:dyDescent="0.3">
      <c r="C1016" t="str">
        <f>IFERROR(IF(B1016="","",VLOOKUP(B1016,CadProd!$A:$B,2,0)),"")</f>
        <v/>
      </c>
      <c r="D1016" t="str">
        <f>IFERROR(IF(B1016="","",VLOOKUP(B1016,CadProd!$A:$C,3,0)),"")</f>
        <v/>
      </c>
      <c r="G1016" s="1" t="str">
        <f t="shared" si="15"/>
        <v/>
      </c>
    </row>
    <row r="1017" spans="3:7" x14ac:dyDescent="0.3">
      <c r="C1017" t="str">
        <f>IFERROR(IF(B1017="","",VLOOKUP(B1017,CadProd!$A:$B,2,0)),"")</f>
        <v/>
      </c>
      <c r="D1017" t="str">
        <f>IFERROR(IF(B1017="","",VLOOKUP(B1017,CadProd!$A:$C,3,0)),"")</f>
        <v/>
      </c>
      <c r="G1017" s="1" t="str">
        <f t="shared" si="15"/>
        <v/>
      </c>
    </row>
    <row r="1018" spans="3:7" x14ac:dyDescent="0.3">
      <c r="C1018" t="str">
        <f>IFERROR(IF(B1018="","",VLOOKUP(B1018,CadProd!$A:$B,2,0)),"")</f>
        <v/>
      </c>
      <c r="D1018" t="str">
        <f>IFERROR(IF(B1018="","",VLOOKUP(B1018,CadProd!$A:$C,3,0)),"")</f>
        <v/>
      </c>
      <c r="G1018" s="1" t="str">
        <f t="shared" si="15"/>
        <v/>
      </c>
    </row>
    <row r="1019" spans="3:7" x14ac:dyDescent="0.3">
      <c r="C1019" t="str">
        <f>IFERROR(IF(B1019="","",VLOOKUP(B1019,CadProd!$A:$B,2,0)),"")</f>
        <v/>
      </c>
      <c r="D1019" t="str">
        <f>IFERROR(IF(B1019="","",VLOOKUP(B1019,CadProd!$A:$C,3,0)),"")</f>
        <v/>
      </c>
      <c r="G1019" s="1" t="str">
        <f t="shared" si="15"/>
        <v/>
      </c>
    </row>
    <row r="1020" spans="3:7" x14ac:dyDescent="0.3">
      <c r="C1020" t="str">
        <f>IFERROR(IF(B1020="","",VLOOKUP(B1020,CadProd!$A:$B,2,0)),"")</f>
        <v/>
      </c>
      <c r="D1020" t="str">
        <f>IFERROR(IF(B1020="","",VLOOKUP(B1020,CadProd!$A:$C,3,0)),"")</f>
        <v/>
      </c>
      <c r="G1020" s="1" t="str">
        <f t="shared" si="15"/>
        <v/>
      </c>
    </row>
    <row r="1021" spans="3:7" x14ac:dyDescent="0.3">
      <c r="C1021" t="str">
        <f>IFERROR(IF(B1021="","",VLOOKUP(B1021,CadProd!$A:$B,2,0)),"")</f>
        <v/>
      </c>
      <c r="D1021" t="str">
        <f>IFERROR(IF(B1021="","",VLOOKUP(B1021,CadProd!$A:$C,3,0)),"")</f>
        <v/>
      </c>
      <c r="G1021" s="1" t="str">
        <f t="shared" si="15"/>
        <v/>
      </c>
    </row>
    <row r="1022" spans="3:7" x14ac:dyDescent="0.3">
      <c r="C1022" t="str">
        <f>IFERROR(IF(B1022="","",VLOOKUP(B1022,CadProd!$A:$B,2,0)),"")</f>
        <v/>
      </c>
      <c r="D1022" t="str">
        <f>IFERROR(IF(B1022="","",VLOOKUP(B1022,CadProd!$A:$C,3,0)),"")</f>
        <v/>
      </c>
      <c r="G1022" s="1" t="str">
        <f t="shared" si="15"/>
        <v/>
      </c>
    </row>
    <row r="1023" spans="3:7" x14ac:dyDescent="0.3">
      <c r="C1023" t="str">
        <f>IFERROR(IF(B1023="","",VLOOKUP(B1023,CadProd!$A:$B,2,0)),"")</f>
        <v/>
      </c>
      <c r="D1023" t="str">
        <f>IFERROR(IF(B1023="","",VLOOKUP(B1023,CadProd!$A:$C,3,0)),"")</f>
        <v/>
      </c>
      <c r="G1023" s="1" t="str">
        <f t="shared" si="15"/>
        <v/>
      </c>
    </row>
    <row r="1024" spans="3:7" x14ac:dyDescent="0.3">
      <c r="C1024" t="str">
        <f>IFERROR(IF(B1024="","",VLOOKUP(B1024,CadProd!$A:$B,2,0)),"")</f>
        <v/>
      </c>
      <c r="D1024" t="str">
        <f>IFERROR(IF(B1024="","",VLOOKUP(B1024,CadProd!$A:$C,3,0)),"")</f>
        <v/>
      </c>
      <c r="G1024" s="1" t="str">
        <f t="shared" si="15"/>
        <v/>
      </c>
    </row>
    <row r="1025" spans="3:7" x14ac:dyDescent="0.3">
      <c r="C1025" t="str">
        <f>IFERROR(IF(B1025="","",VLOOKUP(B1025,CadProd!$A:$B,2,0)),"")</f>
        <v/>
      </c>
      <c r="D1025" t="str">
        <f>IFERROR(IF(B1025="","",VLOOKUP(B1025,CadProd!$A:$C,3,0)),"")</f>
        <v/>
      </c>
      <c r="G1025" s="1" t="str">
        <f t="shared" si="15"/>
        <v/>
      </c>
    </row>
    <row r="1026" spans="3:7" x14ac:dyDescent="0.3">
      <c r="C1026" t="str">
        <f>IFERROR(IF(B1026="","",VLOOKUP(B1026,CadProd!$A:$B,2,0)),"")</f>
        <v/>
      </c>
      <c r="D1026" t="str">
        <f>IFERROR(IF(B1026="","",VLOOKUP(B1026,CadProd!$A:$C,3,0)),"")</f>
        <v/>
      </c>
      <c r="G1026" s="1" t="str">
        <f t="shared" si="15"/>
        <v/>
      </c>
    </row>
    <row r="1027" spans="3:7" x14ac:dyDescent="0.3">
      <c r="C1027" t="str">
        <f>IFERROR(IF(B1027="","",VLOOKUP(B1027,CadProd!$A:$B,2,0)),"")</f>
        <v/>
      </c>
      <c r="D1027" t="str">
        <f>IFERROR(IF(B1027="","",VLOOKUP(B1027,CadProd!$A:$C,3,0)),"")</f>
        <v/>
      </c>
      <c r="G1027" s="1" t="str">
        <f t="shared" si="15"/>
        <v/>
      </c>
    </row>
    <row r="1028" spans="3:7" x14ac:dyDescent="0.3">
      <c r="C1028" t="str">
        <f>IFERROR(IF(B1028="","",VLOOKUP(B1028,CadProd!$A:$B,2,0)),"")</f>
        <v/>
      </c>
      <c r="D1028" t="str">
        <f>IFERROR(IF(B1028="","",VLOOKUP(B1028,CadProd!$A:$C,3,0)),"")</f>
        <v/>
      </c>
      <c r="G1028" s="1" t="str">
        <f t="shared" si="15"/>
        <v/>
      </c>
    </row>
    <row r="1029" spans="3:7" x14ac:dyDescent="0.3">
      <c r="C1029" t="str">
        <f>IFERROR(IF(B1029="","",VLOOKUP(B1029,CadProd!$A:$B,2,0)),"")</f>
        <v/>
      </c>
      <c r="D1029" t="str">
        <f>IFERROR(IF(B1029="","",VLOOKUP(B1029,CadProd!$A:$C,3,0)),"")</f>
        <v/>
      </c>
      <c r="G1029" s="1" t="str">
        <f t="shared" si="15"/>
        <v/>
      </c>
    </row>
    <row r="1030" spans="3:7" x14ac:dyDescent="0.3">
      <c r="C1030" t="str">
        <f>IFERROR(IF(B1030="","",VLOOKUP(B1030,CadProd!$A:$B,2,0)),"")</f>
        <v/>
      </c>
      <c r="D1030" t="str">
        <f>IFERROR(IF(B1030="","",VLOOKUP(B1030,CadProd!$A:$C,3,0)),"")</f>
        <v/>
      </c>
      <c r="G1030" s="1" t="str">
        <f t="shared" si="15"/>
        <v/>
      </c>
    </row>
    <row r="1031" spans="3:7" x14ac:dyDescent="0.3">
      <c r="C1031" t="str">
        <f>IFERROR(IF(B1031="","",VLOOKUP(B1031,CadProd!$A:$B,2,0)),"")</f>
        <v/>
      </c>
      <c r="D1031" t="str">
        <f>IFERROR(IF(B1031="","",VLOOKUP(B1031,CadProd!$A:$C,3,0)),"")</f>
        <v/>
      </c>
      <c r="G1031" s="1" t="str">
        <f t="shared" si="15"/>
        <v/>
      </c>
    </row>
    <row r="1032" spans="3:7" x14ac:dyDescent="0.3">
      <c r="C1032" t="str">
        <f>IFERROR(IF(B1032="","",VLOOKUP(B1032,CadProd!$A:$B,2,0)),"")</f>
        <v/>
      </c>
      <c r="D1032" t="str">
        <f>IFERROR(IF(B1032="","",VLOOKUP(B1032,CadProd!$A:$C,3,0)),"")</f>
        <v/>
      </c>
      <c r="G1032" s="1" t="str">
        <f t="shared" si="15"/>
        <v/>
      </c>
    </row>
    <row r="1033" spans="3:7" x14ac:dyDescent="0.3">
      <c r="C1033" t="str">
        <f>IFERROR(IF(B1033="","",VLOOKUP(B1033,CadProd!$A:$B,2,0)),"")</f>
        <v/>
      </c>
      <c r="D1033" t="str">
        <f>IFERROR(IF(B1033="","",VLOOKUP(B1033,CadProd!$A:$C,3,0)),"")</f>
        <v/>
      </c>
      <c r="G1033" s="1" t="str">
        <f t="shared" si="15"/>
        <v/>
      </c>
    </row>
    <row r="1034" spans="3:7" x14ac:dyDescent="0.3">
      <c r="C1034" t="str">
        <f>IFERROR(IF(B1034="","",VLOOKUP(B1034,CadProd!$A:$B,2,0)),"")</f>
        <v/>
      </c>
      <c r="D1034" t="str">
        <f>IFERROR(IF(B1034="","",VLOOKUP(B1034,CadProd!$A:$C,3,0)),"")</f>
        <v/>
      </c>
      <c r="G1034" s="1" t="str">
        <f t="shared" si="15"/>
        <v/>
      </c>
    </row>
    <row r="1035" spans="3:7" x14ac:dyDescent="0.3">
      <c r="C1035" t="str">
        <f>IFERROR(IF(B1035="","",VLOOKUP(B1035,CadProd!$A:$B,2,0)),"")</f>
        <v/>
      </c>
      <c r="D1035" t="str">
        <f>IFERROR(IF(B1035="","",VLOOKUP(B1035,CadProd!$A:$C,3,0)),"")</f>
        <v/>
      </c>
      <c r="G1035" s="1" t="str">
        <f t="shared" ref="G1035:G1098" si="16">IFERROR(IF(B1035="","",F1035*E1035),"")</f>
        <v/>
      </c>
    </row>
    <row r="1036" spans="3:7" x14ac:dyDescent="0.3">
      <c r="C1036" t="str">
        <f>IFERROR(IF(B1036="","",VLOOKUP(B1036,CadProd!$A:$B,2,0)),"")</f>
        <v/>
      </c>
      <c r="D1036" t="str">
        <f>IFERROR(IF(B1036="","",VLOOKUP(B1036,CadProd!$A:$C,3,0)),"")</f>
        <v/>
      </c>
      <c r="G1036" s="1" t="str">
        <f t="shared" si="16"/>
        <v/>
      </c>
    </row>
    <row r="1037" spans="3:7" x14ac:dyDescent="0.3">
      <c r="C1037" t="str">
        <f>IFERROR(IF(B1037="","",VLOOKUP(B1037,CadProd!$A:$B,2,0)),"")</f>
        <v/>
      </c>
      <c r="D1037" t="str">
        <f>IFERROR(IF(B1037="","",VLOOKUP(B1037,CadProd!$A:$C,3,0)),"")</f>
        <v/>
      </c>
      <c r="G1037" s="1" t="str">
        <f t="shared" si="16"/>
        <v/>
      </c>
    </row>
    <row r="1038" spans="3:7" x14ac:dyDescent="0.3">
      <c r="C1038" t="str">
        <f>IFERROR(IF(B1038="","",VLOOKUP(B1038,CadProd!$A:$B,2,0)),"")</f>
        <v/>
      </c>
      <c r="D1038" t="str">
        <f>IFERROR(IF(B1038="","",VLOOKUP(B1038,CadProd!$A:$C,3,0)),"")</f>
        <v/>
      </c>
      <c r="G1038" s="1" t="str">
        <f t="shared" si="16"/>
        <v/>
      </c>
    </row>
    <row r="1039" spans="3:7" x14ac:dyDescent="0.3">
      <c r="C1039" t="str">
        <f>IFERROR(IF(B1039="","",VLOOKUP(B1039,CadProd!$A:$B,2,0)),"")</f>
        <v/>
      </c>
      <c r="D1039" t="str">
        <f>IFERROR(IF(B1039="","",VLOOKUP(B1039,CadProd!$A:$C,3,0)),"")</f>
        <v/>
      </c>
      <c r="G1039" s="1" t="str">
        <f t="shared" si="16"/>
        <v/>
      </c>
    </row>
    <row r="1040" spans="3:7" x14ac:dyDescent="0.3">
      <c r="C1040" t="str">
        <f>IFERROR(IF(B1040="","",VLOOKUP(B1040,CadProd!$A:$B,2,0)),"")</f>
        <v/>
      </c>
      <c r="D1040" t="str">
        <f>IFERROR(IF(B1040="","",VLOOKUP(B1040,CadProd!$A:$C,3,0)),"")</f>
        <v/>
      </c>
      <c r="G1040" s="1" t="str">
        <f t="shared" si="16"/>
        <v/>
      </c>
    </row>
    <row r="1041" spans="3:7" x14ac:dyDescent="0.3">
      <c r="C1041" t="str">
        <f>IFERROR(IF(B1041="","",VLOOKUP(B1041,CadProd!$A:$B,2,0)),"")</f>
        <v/>
      </c>
      <c r="D1041" t="str">
        <f>IFERROR(IF(B1041="","",VLOOKUP(B1041,CadProd!$A:$C,3,0)),"")</f>
        <v/>
      </c>
      <c r="G1041" s="1" t="str">
        <f t="shared" si="16"/>
        <v/>
      </c>
    </row>
    <row r="1042" spans="3:7" x14ac:dyDescent="0.3">
      <c r="C1042" t="str">
        <f>IFERROR(IF(B1042="","",VLOOKUP(B1042,CadProd!$A:$B,2,0)),"")</f>
        <v/>
      </c>
      <c r="D1042" t="str">
        <f>IFERROR(IF(B1042="","",VLOOKUP(B1042,CadProd!$A:$C,3,0)),"")</f>
        <v/>
      </c>
      <c r="G1042" s="1" t="str">
        <f t="shared" si="16"/>
        <v/>
      </c>
    </row>
    <row r="1043" spans="3:7" x14ac:dyDescent="0.3">
      <c r="C1043" t="str">
        <f>IFERROR(IF(B1043="","",VLOOKUP(B1043,CadProd!$A:$B,2,0)),"")</f>
        <v/>
      </c>
      <c r="D1043" t="str">
        <f>IFERROR(IF(B1043="","",VLOOKUP(B1043,CadProd!$A:$C,3,0)),"")</f>
        <v/>
      </c>
      <c r="G1043" s="1" t="str">
        <f t="shared" si="16"/>
        <v/>
      </c>
    </row>
    <row r="1044" spans="3:7" x14ac:dyDescent="0.3">
      <c r="C1044" t="str">
        <f>IFERROR(IF(B1044="","",VLOOKUP(B1044,CadProd!$A:$B,2,0)),"")</f>
        <v/>
      </c>
      <c r="D1044" t="str">
        <f>IFERROR(IF(B1044="","",VLOOKUP(B1044,CadProd!$A:$C,3,0)),"")</f>
        <v/>
      </c>
      <c r="G1044" s="1" t="str">
        <f t="shared" si="16"/>
        <v/>
      </c>
    </row>
    <row r="1045" spans="3:7" x14ac:dyDescent="0.3">
      <c r="C1045" t="str">
        <f>IFERROR(IF(B1045="","",VLOOKUP(B1045,CadProd!$A:$B,2,0)),"")</f>
        <v/>
      </c>
      <c r="D1045" t="str">
        <f>IFERROR(IF(B1045="","",VLOOKUP(B1045,CadProd!$A:$C,3,0)),"")</f>
        <v/>
      </c>
      <c r="G1045" s="1" t="str">
        <f t="shared" si="16"/>
        <v/>
      </c>
    </row>
    <row r="1046" spans="3:7" x14ac:dyDescent="0.3">
      <c r="C1046" t="str">
        <f>IFERROR(IF(B1046="","",VLOOKUP(B1046,CadProd!$A:$B,2,0)),"")</f>
        <v/>
      </c>
      <c r="D1046" t="str">
        <f>IFERROR(IF(B1046="","",VLOOKUP(B1046,CadProd!$A:$C,3,0)),"")</f>
        <v/>
      </c>
      <c r="G1046" s="1" t="str">
        <f t="shared" si="16"/>
        <v/>
      </c>
    </row>
    <row r="1047" spans="3:7" x14ac:dyDescent="0.3">
      <c r="C1047" t="str">
        <f>IFERROR(IF(B1047="","",VLOOKUP(B1047,CadProd!$A:$B,2,0)),"")</f>
        <v/>
      </c>
      <c r="D1047" t="str">
        <f>IFERROR(IF(B1047="","",VLOOKUP(B1047,CadProd!$A:$C,3,0)),"")</f>
        <v/>
      </c>
      <c r="G1047" s="1" t="str">
        <f t="shared" si="16"/>
        <v/>
      </c>
    </row>
    <row r="1048" spans="3:7" x14ac:dyDescent="0.3">
      <c r="C1048" t="str">
        <f>IFERROR(IF(B1048="","",VLOOKUP(B1048,CadProd!$A:$B,2,0)),"")</f>
        <v/>
      </c>
      <c r="D1048" t="str">
        <f>IFERROR(IF(B1048="","",VLOOKUP(B1048,CadProd!$A:$C,3,0)),"")</f>
        <v/>
      </c>
      <c r="G1048" s="1" t="str">
        <f t="shared" si="16"/>
        <v/>
      </c>
    </row>
    <row r="1049" spans="3:7" x14ac:dyDescent="0.3">
      <c r="C1049" t="str">
        <f>IFERROR(IF(B1049="","",VLOOKUP(B1049,CadProd!$A:$B,2,0)),"")</f>
        <v/>
      </c>
      <c r="D1049" t="str">
        <f>IFERROR(IF(B1049="","",VLOOKUP(B1049,CadProd!$A:$C,3,0)),"")</f>
        <v/>
      </c>
      <c r="G1049" s="1" t="str">
        <f t="shared" si="16"/>
        <v/>
      </c>
    </row>
    <row r="1050" spans="3:7" x14ac:dyDescent="0.3">
      <c r="C1050" t="str">
        <f>IFERROR(IF(B1050="","",VLOOKUP(B1050,CadProd!$A:$B,2,0)),"")</f>
        <v/>
      </c>
      <c r="D1050" t="str">
        <f>IFERROR(IF(B1050="","",VLOOKUP(B1050,CadProd!$A:$C,3,0)),"")</f>
        <v/>
      </c>
      <c r="G1050" s="1" t="str">
        <f t="shared" si="16"/>
        <v/>
      </c>
    </row>
    <row r="1051" spans="3:7" x14ac:dyDescent="0.3">
      <c r="C1051" t="str">
        <f>IFERROR(IF(B1051="","",VLOOKUP(B1051,CadProd!$A:$B,2,0)),"")</f>
        <v/>
      </c>
      <c r="D1051" t="str">
        <f>IFERROR(IF(B1051="","",VLOOKUP(B1051,CadProd!$A:$C,3,0)),"")</f>
        <v/>
      </c>
      <c r="G1051" s="1" t="str">
        <f t="shared" si="16"/>
        <v/>
      </c>
    </row>
    <row r="1052" spans="3:7" x14ac:dyDescent="0.3">
      <c r="C1052" t="str">
        <f>IFERROR(IF(B1052="","",VLOOKUP(B1052,CadProd!$A:$B,2,0)),"")</f>
        <v/>
      </c>
      <c r="D1052" t="str">
        <f>IFERROR(IF(B1052="","",VLOOKUP(B1052,CadProd!$A:$C,3,0)),"")</f>
        <v/>
      </c>
      <c r="G1052" s="1" t="str">
        <f t="shared" si="16"/>
        <v/>
      </c>
    </row>
    <row r="1053" spans="3:7" x14ac:dyDescent="0.3">
      <c r="C1053" t="str">
        <f>IFERROR(IF(B1053="","",VLOOKUP(B1053,CadProd!$A:$B,2,0)),"")</f>
        <v/>
      </c>
      <c r="D1053" t="str">
        <f>IFERROR(IF(B1053="","",VLOOKUP(B1053,CadProd!$A:$C,3,0)),"")</f>
        <v/>
      </c>
      <c r="G1053" s="1" t="str">
        <f t="shared" si="16"/>
        <v/>
      </c>
    </row>
    <row r="1054" spans="3:7" x14ac:dyDescent="0.3">
      <c r="C1054" t="str">
        <f>IFERROR(IF(B1054="","",VLOOKUP(B1054,CadProd!$A:$B,2,0)),"")</f>
        <v/>
      </c>
      <c r="D1054" t="str">
        <f>IFERROR(IF(B1054="","",VLOOKUP(B1054,CadProd!$A:$C,3,0)),"")</f>
        <v/>
      </c>
      <c r="G1054" s="1" t="str">
        <f t="shared" si="16"/>
        <v/>
      </c>
    </row>
    <row r="1055" spans="3:7" x14ac:dyDescent="0.3">
      <c r="C1055" t="str">
        <f>IFERROR(IF(B1055="","",VLOOKUP(B1055,CadProd!$A:$B,2,0)),"")</f>
        <v/>
      </c>
      <c r="D1055" t="str">
        <f>IFERROR(IF(B1055="","",VLOOKUP(B1055,CadProd!$A:$C,3,0)),"")</f>
        <v/>
      </c>
      <c r="G1055" s="1" t="str">
        <f t="shared" si="16"/>
        <v/>
      </c>
    </row>
    <row r="1056" spans="3:7" x14ac:dyDescent="0.3">
      <c r="C1056" t="str">
        <f>IFERROR(IF(B1056="","",VLOOKUP(B1056,CadProd!$A:$B,2,0)),"")</f>
        <v/>
      </c>
      <c r="D1056" t="str">
        <f>IFERROR(IF(B1056="","",VLOOKUP(B1056,CadProd!$A:$C,3,0)),"")</f>
        <v/>
      </c>
      <c r="G1056" s="1" t="str">
        <f t="shared" si="16"/>
        <v/>
      </c>
    </row>
    <row r="1057" spans="3:7" x14ac:dyDescent="0.3">
      <c r="C1057" t="str">
        <f>IFERROR(IF(B1057="","",VLOOKUP(B1057,CadProd!$A:$B,2,0)),"")</f>
        <v/>
      </c>
      <c r="D1057" t="str">
        <f>IFERROR(IF(B1057="","",VLOOKUP(B1057,CadProd!$A:$C,3,0)),"")</f>
        <v/>
      </c>
      <c r="G1057" s="1" t="str">
        <f t="shared" si="16"/>
        <v/>
      </c>
    </row>
    <row r="1058" spans="3:7" x14ac:dyDescent="0.3">
      <c r="C1058" t="str">
        <f>IFERROR(IF(B1058="","",VLOOKUP(B1058,CadProd!$A:$B,2,0)),"")</f>
        <v/>
      </c>
      <c r="D1058" t="str">
        <f>IFERROR(IF(B1058="","",VLOOKUP(B1058,CadProd!$A:$C,3,0)),"")</f>
        <v/>
      </c>
      <c r="G1058" s="1" t="str">
        <f t="shared" si="16"/>
        <v/>
      </c>
    </row>
    <row r="1059" spans="3:7" x14ac:dyDescent="0.3">
      <c r="C1059" t="str">
        <f>IFERROR(IF(B1059="","",VLOOKUP(B1059,CadProd!$A:$B,2,0)),"")</f>
        <v/>
      </c>
      <c r="D1059" t="str">
        <f>IFERROR(IF(B1059="","",VLOOKUP(B1059,CadProd!$A:$C,3,0)),"")</f>
        <v/>
      </c>
      <c r="G1059" s="1" t="str">
        <f t="shared" si="16"/>
        <v/>
      </c>
    </row>
    <row r="1060" spans="3:7" x14ac:dyDescent="0.3">
      <c r="C1060" t="str">
        <f>IFERROR(IF(B1060="","",VLOOKUP(B1060,CadProd!$A:$B,2,0)),"")</f>
        <v/>
      </c>
      <c r="D1060" t="str">
        <f>IFERROR(IF(B1060="","",VLOOKUP(B1060,CadProd!$A:$C,3,0)),"")</f>
        <v/>
      </c>
      <c r="G1060" s="1" t="str">
        <f t="shared" si="16"/>
        <v/>
      </c>
    </row>
    <row r="1061" spans="3:7" x14ac:dyDescent="0.3">
      <c r="C1061" t="str">
        <f>IFERROR(IF(B1061="","",VLOOKUP(B1061,CadProd!$A:$B,2,0)),"")</f>
        <v/>
      </c>
      <c r="D1061" t="str">
        <f>IFERROR(IF(B1061="","",VLOOKUP(B1061,CadProd!$A:$C,3,0)),"")</f>
        <v/>
      </c>
      <c r="G1061" s="1" t="str">
        <f t="shared" si="16"/>
        <v/>
      </c>
    </row>
    <row r="1062" spans="3:7" x14ac:dyDescent="0.3">
      <c r="C1062" t="str">
        <f>IFERROR(IF(B1062="","",VLOOKUP(B1062,CadProd!$A:$B,2,0)),"")</f>
        <v/>
      </c>
      <c r="D1062" t="str">
        <f>IFERROR(IF(B1062="","",VLOOKUP(B1062,CadProd!$A:$C,3,0)),"")</f>
        <v/>
      </c>
      <c r="G1062" s="1" t="str">
        <f t="shared" si="16"/>
        <v/>
      </c>
    </row>
    <row r="1063" spans="3:7" x14ac:dyDescent="0.3">
      <c r="C1063" t="str">
        <f>IFERROR(IF(B1063="","",VLOOKUP(B1063,CadProd!$A:$B,2,0)),"")</f>
        <v/>
      </c>
      <c r="D1063" t="str">
        <f>IFERROR(IF(B1063="","",VLOOKUP(B1063,CadProd!$A:$C,3,0)),"")</f>
        <v/>
      </c>
      <c r="G1063" s="1" t="str">
        <f t="shared" si="16"/>
        <v/>
      </c>
    </row>
    <row r="1064" spans="3:7" x14ac:dyDescent="0.3">
      <c r="C1064" t="str">
        <f>IFERROR(IF(B1064="","",VLOOKUP(B1064,CadProd!$A:$B,2,0)),"")</f>
        <v/>
      </c>
      <c r="D1064" t="str">
        <f>IFERROR(IF(B1064="","",VLOOKUP(B1064,CadProd!$A:$C,3,0)),"")</f>
        <v/>
      </c>
      <c r="G1064" s="1" t="str">
        <f t="shared" si="16"/>
        <v/>
      </c>
    </row>
    <row r="1065" spans="3:7" x14ac:dyDescent="0.3">
      <c r="C1065" t="str">
        <f>IFERROR(IF(B1065="","",VLOOKUP(B1065,CadProd!$A:$B,2,0)),"")</f>
        <v/>
      </c>
      <c r="D1065" t="str">
        <f>IFERROR(IF(B1065="","",VLOOKUP(B1065,CadProd!$A:$C,3,0)),"")</f>
        <v/>
      </c>
      <c r="G1065" s="1" t="str">
        <f t="shared" si="16"/>
        <v/>
      </c>
    </row>
    <row r="1066" spans="3:7" x14ac:dyDescent="0.3">
      <c r="C1066" t="str">
        <f>IFERROR(IF(B1066="","",VLOOKUP(B1066,CadProd!$A:$B,2,0)),"")</f>
        <v/>
      </c>
      <c r="D1066" t="str">
        <f>IFERROR(IF(B1066="","",VLOOKUP(B1066,CadProd!$A:$C,3,0)),"")</f>
        <v/>
      </c>
      <c r="G1066" s="1" t="str">
        <f t="shared" si="16"/>
        <v/>
      </c>
    </row>
    <row r="1067" spans="3:7" x14ac:dyDescent="0.3">
      <c r="C1067" t="str">
        <f>IFERROR(IF(B1067="","",VLOOKUP(B1067,CadProd!$A:$B,2,0)),"")</f>
        <v/>
      </c>
      <c r="D1067" t="str">
        <f>IFERROR(IF(B1067="","",VLOOKUP(B1067,CadProd!$A:$C,3,0)),"")</f>
        <v/>
      </c>
      <c r="G1067" s="1" t="str">
        <f t="shared" si="16"/>
        <v/>
      </c>
    </row>
    <row r="1068" spans="3:7" x14ac:dyDescent="0.3">
      <c r="C1068" t="str">
        <f>IFERROR(IF(B1068="","",VLOOKUP(B1068,CadProd!$A:$B,2,0)),"")</f>
        <v/>
      </c>
      <c r="D1068" t="str">
        <f>IFERROR(IF(B1068="","",VLOOKUP(B1068,CadProd!$A:$C,3,0)),"")</f>
        <v/>
      </c>
      <c r="G1068" s="1" t="str">
        <f t="shared" si="16"/>
        <v/>
      </c>
    </row>
    <row r="1069" spans="3:7" x14ac:dyDescent="0.3">
      <c r="C1069" t="str">
        <f>IFERROR(IF(B1069="","",VLOOKUP(B1069,CadProd!$A:$B,2,0)),"")</f>
        <v/>
      </c>
      <c r="D1069" t="str">
        <f>IFERROR(IF(B1069="","",VLOOKUP(B1069,CadProd!$A:$C,3,0)),"")</f>
        <v/>
      </c>
      <c r="G1069" s="1" t="str">
        <f t="shared" si="16"/>
        <v/>
      </c>
    </row>
    <row r="1070" spans="3:7" x14ac:dyDescent="0.3">
      <c r="C1070" t="str">
        <f>IFERROR(IF(B1070="","",VLOOKUP(B1070,CadProd!$A:$B,2,0)),"")</f>
        <v/>
      </c>
      <c r="D1070" t="str">
        <f>IFERROR(IF(B1070="","",VLOOKUP(B1070,CadProd!$A:$C,3,0)),"")</f>
        <v/>
      </c>
      <c r="G1070" s="1" t="str">
        <f t="shared" si="16"/>
        <v/>
      </c>
    </row>
    <row r="1071" spans="3:7" x14ac:dyDescent="0.3">
      <c r="C1071" t="str">
        <f>IFERROR(IF(B1071="","",VLOOKUP(B1071,CadProd!$A:$B,2,0)),"")</f>
        <v/>
      </c>
      <c r="D1071" t="str">
        <f>IFERROR(IF(B1071="","",VLOOKUP(B1071,CadProd!$A:$C,3,0)),"")</f>
        <v/>
      </c>
      <c r="G1071" s="1" t="str">
        <f t="shared" si="16"/>
        <v/>
      </c>
    </row>
    <row r="1072" spans="3:7" x14ac:dyDescent="0.3">
      <c r="C1072" t="str">
        <f>IFERROR(IF(B1072="","",VLOOKUP(B1072,CadProd!$A:$B,2,0)),"")</f>
        <v/>
      </c>
      <c r="D1072" t="str">
        <f>IFERROR(IF(B1072="","",VLOOKUP(B1072,CadProd!$A:$C,3,0)),"")</f>
        <v/>
      </c>
      <c r="G1072" s="1" t="str">
        <f t="shared" si="16"/>
        <v/>
      </c>
    </row>
    <row r="1073" spans="3:7" x14ac:dyDescent="0.3">
      <c r="C1073" t="str">
        <f>IFERROR(IF(B1073="","",VLOOKUP(B1073,CadProd!$A:$B,2,0)),"")</f>
        <v/>
      </c>
      <c r="D1073" t="str">
        <f>IFERROR(IF(B1073="","",VLOOKUP(B1073,CadProd!$A:$C,3,0)),"")</f>
        <v/>
      </c>
      <c r="G1073" s="1" t="str">
        <f t="shared" si="16"/>
        <v/>
      </c>
    </row>
    <row r="1074" spans="3:7" x14ac:dyDescent="0.3">
      <c r="C1074" t="str">
        <f>IFERROR(IF(B1074="","",VLOOKUP(B1074,CadProd!$A:$B,2,0)),"")</f>
        <v/>
      </c>
      <c r="D1074" t="str">
        <f>IFERROR(IF(B1074="","",VLOOKUP(B1074,CadProd!$A:$C,3,0)),"")</f>
        <v/>
      </c>
      <c r="G1074" s="1" t="str">
        <f t="shared" si="16"/>
        <v/>
      </c>
    </row>
    <row r="1075" spans="3:7" x14ac:dyDescent="0.3">
      <c r="C1075" t="str">
        <f>IFERROR(IF(B1075="","",VLOOKUP(B1075,CadProd!$A:$B,2,0)),"")</f>
        <v/>
      </c>
      <c r="D1075" t="str">
        <f>IFERROR(IF(B1075="","",VLOOKUP(B1075,CadProd!$A:$C,3,0)),"")</f>
        <v/>
      </c>
      <c r="G1075" s="1" t="str">
        <f t="shared" si="16"/>
        <v/>
      </c>
    </row>
    <row r="1076" spans="3:7" x14ac:dyDescent="0.3">
      <c r="C1076" t="str">
        <f>IFERROR(IF(B1076="","",VLOOKUP(B1076,CadProd!$A:$B,2,0)),"")</f>
        <v/>
      </c>
      <c r="D1076" t="str">
        <f>IFERROR(IF(B1076="","",VLOOKUP(B1076,CadProd!$A:$C,3,0)),"")</f>
        <v/>
      </c>
      <c r="G1076" s="1" t="str">
        <f t="shared" si="16"/>
        <v/>
      </c>
    </row>
    <row r="1077" spans="3:7" x14ac:dyDescent="0.3">
      <c r="C1077" t="str">
        <f>IFERROR(IF(B1077="","",VLOOKUP(B1077,CadProd!$A:$B,2,0)),"")</f>
        <v/>
      </c>
      <c r="D1077" t="str">
        <f>IFERROR(IF(B1077="","",VLOOKUP(B1077,CadProd!$A:$C,3,0)),"")</f>
        <v/>
      </c>
      <c r="G1077" s="1" t="str">
        <f t="shared" si="16"/>
        <v/>
      </c>
    </row>
    <row r="1078" spans="3:7" x14ac:dyDescent="0.3">
      <c r="C1078" t="str">
        <f>IFERROR(IF(B1078="","",VLOOKUP(B1078,CadProd!$A:$B,2,0)),"")</f>
        <v/>
      </c>
      <c r="D1078" t="str">
        <f>IFERROR(IF(B1078="","",VLOOKUP(B1078,CadProd!$A:$C,3,0)),"")</f>
        <v/>
      </c>
      <c r="G1078" s="1" t="str">
        <f t="shared" si="16"/>
        <v/>
      </c>
    </row>
    <row r="1079" spans="3:7" x14ac:dyDescent="0.3">
      <c r="C1079" t="str">
        <f>IFERROR(IF(B1079="","",VLOOKUP(B1079,CadProd!$A:$B,2,0)),"")</f>
        <v/>
      </c>
      <c r="D1079" t="str">
        <f>IFERROR(IF(B1079="","",VLOOKUP(B1079,CadProd!$A:$C,3,0)),"")</f>
        <v/>
      </c>
      <c r="G1079" s="1" t="str">
        <f t="shared" si="16"/>
        <v/>
      </c>
    </row>
    <row r="1080" spans="3:7" x14ac:dyDescent="0.3">
      <c r="C1080" t="str">
        <f>IFERROR(IF(B1080="","",VLOOKUP(B1080,CadProd!$A:$B,2,0)),"")</f>
        <v/>
      </c>
      <c r="D1080" t="str">
        <f>IFERROR(IF(B1080="","",VLOOKUP(B1080,CadProd!$A:$C,3,0)),"")</f>
        <v/>
      </c>
      <c r="G1080" s="1" t="str">
        <f t="shared" si="16"/>
        <v/>
      </c>
    </row>
    <row r="1081" spans="3:7" x14ac:dyDescent="0.3">
      <c r="C1081" t="str">
        <f>IFERROR(IF(B1081="","",VLOOKUP(B1081,CadProd!$A:$B,2,0)),"")</f>
        <v/>
      </c>
      <c r="D1081" t="str">
        <f>IFERROR(IF(B1081="","",VLOOKUP(B1081,CadProd!$A:$C,3,0)),"")</f>
        <v/>
      </c>
      <c r="G1081" s="1" t="str">
        <f t="shared" si="16"/>
        <v/>
      </c>
    </row>
    <row r="1082" spans="3:7" x14ac:dyDescent="0.3">
      <c r="C1082" t="str">
        <f>IFERROR(IF(B1082="","",VLOOKUP(B1082,CadProd!$A:$B,2,0)),"")</f>
        <v/>
      </c>
      <c r="D1082" t="str">
        <f>IFERROR(IF(B1082="","",VLOOKUP(B1082,CadProd!$A:$C,3,0)),"")</f>
        <v/>
      </c>
      <c r="G1082" s="1" t="str">
        <f t="shared" si="16"/>
        <v/>
      </c>
    </row>
    <row r="1083" spans="3:7" x14ac:dyDescent="0.3">
      <c r="C1083" t="str">
        <f>IFERROR(IF(B1083="","",VLOOKUP(B1083,CadProd!$A:$B,2,0)),"")</f>
        <v/>
      </c>
      <c r="D1083" t="str">
        <f>IFERROR(IF(B1083="","",VLOOKUP(B1083,CadProd!$A:$C,3,0)),"")</f>
        <v/>
      </c>
      <c r="G1083" s="1" t="str">
        <f t="shared" si="16"/>
        <v/>
      </c>
    </row>
    <row r="1084" spans="3:7" x14ac:dyDescent="0.3">
      <c r="C1084" t="str">
        <f>IFERROR(IF(B1084="","",VLOOKUP(B1084,CadProd!$A:$B,2,0)),"")</f>
        <v/>
      </c>
      <c r="D1084" t="str">
        <f>IFERROR(IF(B1084="","",VLOOKUP(B1084,CadProd!$A:$C,3,0)),"")</f>
        <v/>
      </c>
      <c r="G1084" s="1" t="str">
        <f t="shared" si="16"/>
        <v/>
      </c>
    </row>
    <row r="1085" spans="3:7" x14ac:dyDescent="0.3">
      <c r="C1085" t="str">
        <f>IFERROR(IF(B1085="","",VLOOKUP(B1085,CadProd!$A:$B,2,0)),"")</f>
        <v/>
      </c>
      <c r="D1085" t="str">
        <f>IFERROR(IF(B1085="","",VLOOKUP(B1085,CadProd!$A:$C,3,0)),"")</f>
        <v/>
      </c>
      <c r="G1085" s="1" t="str">
        <f t="shared" si="16"/>
        <v/>
      </c>
    </row>
    <row r="1086" spans="3:7" x14ac:dyDescent="0.3">
      <c r="C1086" t="str">
        <f>IFERROR(IF(B1086="","",VLOOKUP(B1086,CadProd!$A:$B,2,0)),"")</f>
        <v/>
      </c>
      <c r="D1086" t="str">
        <f>IFERROR(IF(B1086="","",VLOOKUP(B1086,CadProd!$A:$C,3,0)),"")</f>
        <v/>
      </c>
      <c r="G1086" s="1" t="str">
        <f t="shared" si="16"/>
        <v/>
      </c>
    </row>
    <row r="1087" spans="3:7" x14ac:dyDescent="0.3">
      <c r="C1087" t="str">
        <f>IFERROR(IF(B1087="","",VLOOKUP(B1087,CadProd!$A:$B,2,0)),"")</f>
        <v/>
      </c>
      <c r="D1087" t="str">
        <f>IFERROR(IF(B1087="","",VLOOKUP(B1087,CadProd!$A:$C,3,0)),"")</f>
        <v/>
      </c>
      <c r="G1087" s="1" t="str">
        <f t="shared" si="16"/>
        <v/>
      </c>
    </row>
    <row r="1088" spans="3:7" x14ac:dyDescent="0.3">
      <c r="C1088" t="str">
        <f>IFERROR(IF(B1088="","",VLOOKUP(B1088,CadProd!$A:$B,2,0)),"")</f>
        <v/>
      </c>
      <c r="D1088" t="str">
        <f>IFERROR(IF(B1088="","",VLOOKUP(B1088,CadProd!$A:$C,3,0)),"")</f>
        <v/>
      </c>
      <c r="G1088" s="1" t="str">
        <f t="shared" si="16"/>
        <v/>
      </c>
    </row>
    <row r="1089" spans="3:7" x14ac:dyDescent="0.3">
      <c r="C1089" t="str">
        <f>IFERROR(IF(B1089="","",VLOOKUP(B1089,CadProd!$A:$B,2,0)),"")</f>
        <v/>
      </c>
      <c r="D1089" t="str">
        <f>IFERROR(IF(B1089="","",VLOOKUP(B1089,CadProd!$A:$C,3,0)),"")</f>
        <v/>
      </c>
      <c r="G1089" s="1" t="str">
        <f t="shared" si="16"/>
        <v/>
      </c>
    </row>
    <row r="1090" spans="3:7" x14ac:dyDescent="0.3">
      <c r="C1090" t="str">
        <f>IFERROR(IF(B1090="","",VLOOKUP(B1090,CadProd!$A:$B,2,0)),"")</f>
        <v/>
      </c>
      <c r="D1090" t="str">
        <f>IFERROR(IF(B1090="","",VLOOKUP(B1090,CadProd!$A:$C,3,0)),"")</f>
        <v/>
      </c>
      <c r="G1090" s="1" t="str">
        <f t="shared" si="16"/>
        <v/>
      </c>
    </row>
    <row r="1091" spans="3:7" x14ac:dyDescent="0.3">
      <c r="C1091" t="str">
        <f>IFERROR(IF(B1091="","",VLOOKUP(B1091,CadProd!$A:$B,2,0)),"")</f>
        <v/>
      </c>
      <c r="D1091" t="str">
        <f>IFERROR(IF(B1091="","",VLOOKUP(B1091,CadProd!$A:$C,3,0)),"")</f>
        <v/>
      </c>
      <c r="G1091" s="1" t="str">
        <f t="shared" si="16"/>
        <v/>
      </c>
    </row>
    <row r="1092" spans="3:7" x14ac:dyDescent="0.3">
      <c r="C1092" t="str">
        <f>IFERROR(IF(B1092="","",VLOOKUP(B1092,CadProd!$A:$B,2,0)),"")</f>
        <v/>
      </c>
      <c r="D1092" t="str">
        <f>IFERROR(IF(B1092="","",VLOOKUP(B1092,CadProd!$A:$C,3,0)),"")</f>
        <v/>
      </c>
      <c r="G1092" s="1" t="str">
        <f t="shared" si="16"/>
        <v/>
      </c>
    </row>
    <row r="1093" spans="3:7" x14ac:dyDescent="0.3">
      <c r="C1093" t="str">
        <f>IFERROR(IF(B1093="","",VLOOKUP(B1093,CadProd!$A:$B,2,0)),"")</f>
        <v/>
      </c>
      <c r="D1093" t="str">
        <f>IFERROR(IF(B1093="","",VLOOKUP(B1093,CadProd!$A:$C,3,0)),"")</f>
        <v/>
      </c>
      <c r="G1093" s="1" t="str">
        <f t="shared" si="16"/>
        <v/>
      </c>
    </row>
    <row r="1094" spans="3:7" x14ac:dyDescent="0.3">
      <c r="C1094" t="str">
        <f>IFERROR(IF(B1094="","",VLOOKUP(B1094,CadProd!$A:$B,2,0)),"")</f>
        <v/>
      </c>
      <c r="D1094" t="str">
        <f>IFERROR(IF(B1094="","",VLOOKUP(B1094,CadProd!$A:$C,3,0)),"")</f>
        <v/>
      </c>
      <c r="G1094" s="1" t="str">
        <f t="shared" si="16"/>
        <v/>
      </c>
    </row>
    <row r="1095" spans="3:7" x14ac:dyDescent="0.3">
      <c r="C1095" t="str">
        <f>IFERROR(IF(B1095="","",VLOOKUP(B1095,CadProd!$A:$B,2,0)),"")</f>
        <v/>
      </c>
      <c r="D1095" t="str">
        <f>IFERROR(IF(B1095="","",VLOOKUP(B1095,CadProd!$A:$C,3,0)),"")</f>
        <v/>
      </c>
      <c r="G1095" s="1" t="str">
        <f t="shared" si="16"/>
        <v/>
      </c>
    </row>
    <row r="1096" spans="3:7" x14ac:dyDescent="0.3">
      <c r="C1096" t="str">
        <f>IFERROR(IF(B1096="","",VLOOKUP(B1096,CadProd!$A:$B,2,0)),"")</f>
        <v/>
      </c>
      <c r="D1096" t="str">
        <f>IFERROR(IF(B1096="","",VLOOKUP(B1096,CadProd!$A:$C,3,0)),"")</f>
        <v/>
      </c>
      <c r="G1096" s="1" t="str">
        <f t="shared" si="16"/>
        <v/>
      </c>
    </row>
    <row r="1097" spans="3:7" x14ac:dyDescent="0.3">
      <c r="C1097" t="str">
        <f>IFERROR(IF(B1097="","",VLOOKUP(B1097,CadProd!$A:$B,2,0)),"")</f>
        <v/>
      </c>
      <c r="D1097" t="str">
        <f>IFERROR(IF(B1097="","",VLOOKUP(B1097,CadProd!$A:$C,3,0)),"")</f>
        <v/>
      </c>
      <c r="G1097" s="1" t="str">
        <f t="shared" si="16"/>
        <v/>
      </c>
    </row>
    <row r="1098" spans="3:7" x14ac:dyDescent="0.3">
      <c r="C1098" t="str">
        <f>IFERROR(IF(B1098="","",VLOOKUP(B1098,CadProd!$A:$B,2,0)),"")</f>
        <v/>
      </c>
      <c r="D1098" t="str">
        <f>IFERROR(IF(B1098="","",VLOOKUP(B1098,CadProd!$A:$C,3,0)),"")</f>
        <v/>
      </c>
      <c r="G1098" s="1" t="str">
        <f t="shared" si="16"/>
        <v/>
      </c>
    </row>
    <row r="1099" spans="3:7" x14ac:dyDescent="0.3">
      <c r="C1099" t="str">
        <f>IFERROR(IF(B1099="","",VLOOKUP(B1099,CadProd!$A:$B,2,0)),"")</f>
        <v/>
      </c>
      <c r="D1099" t="str">
        <f>IFERROR(IF(B1099="","",VLOOKUP(B1099,CadProd!$A:$C,3,0)),"")</f>
        <v/>
      </c>
      <c r="G1099" s="1" t="str">
        <f t="shared" ref="G1099:G1162" si="17">IFERROR(IF(B1099="","",F1099*E1099),"")</f>
        <v/>
      </c>
    </row>
    <row r="1100" spans="3:7" x14ac:dyDescent="0.3">
      <c r="C1100" t="str">
        <f>IFERROR(IF(B1100="","",VLOOKUP(B1100,CadProd!$A:$B,2,0)),"")</f>
        <v/>
      </c>
      <c r="D1100" t="str">
        <f>IFERROR(IF(B1100="","",VLOOKUP(B1100,CadProd!$A:$C,3,0)),"")</f>
        <v/>
      </c>
      <c r="G1100" s="1" t="str">
        <f t="shared" si="17"/>
        <v/>
      </c>
    </row>
    <row r="1101" spans="3:7" x14ac:dyDescent="0.3">
      <c r="C1101" t="str">
        <f>IFERROR(IF(B1101="","",VLOOKUP(B1101,CadProd!$A:$B,2,0)),"")</f>
        <v/>
      </c>
      <c r="D1101" t="str">
        <f>IFERROR(IF(B1101="","",VLOOKUP(B1101,CadProd!$A:$C,3,0)),"")</f>
        <v/>
      </c>
      <c r="G1101" s="1" t="str">
        <f t="shared" si="17"/>
        <v/>
      </c>
    </row>
    <row r="1102" spans="3:7" x14ac:dyDescent="0.3">
      <c r="C1102" t="str">
        <f>IFERROR(IF(B1102="","",VLOOKUP(B1102,CadProd!$A:$B,2,0)),"")</f>
        <v/>
      </c>
      <c r="D1102" t="str">
        <f>IFERROR(IF(B1102="","",VLOOKUP(B1102,CadProd!$A:$C,3,0)),"")</f>
        <v/>
      </c>
      <c r="G1102" s="1" t="str">
        <f t="shared" si="17"/>
        <v/>
      </c>
    </row>
    <row r="1103" spans="3:7" x14ac:dyDescent="0.3">
      <c r="C1103" t="str">
        <f>IFERROR(IF(B1103="","",VLOOKUP(B1103,CadProd!$A:$B,2,0)),"")</f>
        <v/>
      </c>
      <c r="D1103" t="str">
        <f>IFERROR(IF(B1103="","",VLOOKUP(B1103,CadProd!$A:$C,3,0)),"")</f>
        <v/>
      </c>
      <c r="G1103" s="1" t="str">
        <f t="shared" si="17"/>
        <v/>
      </c>
    </row>
    <row r="1104" spans="3:7" x14ac:dyDescent="0.3">
      <c r="C1104" t="str">
        <f>IFERROR(IF(B1104="","",VLOOKUP(B1104,CadProd!$A:$B,2,0)),"")</f>
        <v/>
      </c>
      <c r="D1104" t="str">
        <f>IFERROR(IF(B1104="","",VLOOKUP(B1104,CadProd!$A:$C,3,0)),"")</f>
        <v/>
      </c>
      <c r="G1104" s="1" t="str">
        <f t="shared" si="17"/>
        <v/>
      </c>
    </row>
    <row r="1105" spans="3:7" x14ac:dyDescent="0.3">
      <c r="C1105" t="str">
        <f>IFERROR(IF(B1105="","",VLOOKUP(B1105,CadProd!$A:$B,2,0)),"")</f>
        <v/>
      </c>
      <c r="D1105" t="str">
        <f>IFERROR(IF(B1105="","",VLOOKUP(B1105,CadProd!$A:$C,3,0)),"")</f>
        <v/>
      </c>
      <c r="G1105" s="1" t="str">
        <f t="shared" si="17"/>
        <v/>
      </c>
    </row>
    <row r="1106" spans="3:7" x14ac:dyDescent="0.3">
      <c r="C1106" t="str">
        <f>IFERROR(IF(B1106="","",VLOOKUP(B1106,CadProd!$A:$B,2,0)),"")</f>
        <v/>
      </c>
      <c r="D1106" t="str">
        <f>IFERROR(IF(B1106="","",VLOOKUP(B1106,CadProd!$A:$C,3,0)),"")</f>
        <v/>
      </c>
      <c r="G1106" s="1" t="str">
        <f t="shared" si="17"/>
        <v/>
      </c>
    </row>
    <row r="1107" spans="3:7" x14ac:dyDescent="0.3">
      <c r="C1107" t="str">
        <f>IFERROR(IF(B1107="","",VLOOKUP(B1107,CadProd!$A:$B,2,0)),"")</f>
        <v/>
      </c>
      <c r="D1107" t="str">
        <f>IFERROR(IF(B1107="","",VLOOKUP(B1107,CadProd!$A:$C,3,0)),"")</f>
        <v/>
      </c>
      <c r="G1107" s="1" t="str">
        <f t="shared" si="17"/>
        <v/>
      </c>
    </row>
    <row r="1108" spans="3:7" x14ac:dyDescent="0.3">
      <c r="C1108" t="str">
        <f>IFERROR(IF(B1108="","",VLOOKUP(B1108,CadProd!$A:$B,2,0)),"")</f>
        <v/>
      </c>
      <c r="D1108" t="str">
        <f>IFERROR(IF(B1108="","",VLOOKUP(B1108,CadProd!$A:$C,3,0)),"")</f>
        <v/>
      </c>
      <c r="G1108" s="1" t="str">
        <f t="shared" si="17"/>
        <v/>
      </c>
    </row>
    <row r="1109" spans="3:7" x14ac:dyDescent="0.3">
      <c r="C1109" t="str">
        <f>IFERROR(IF(B1109="","",VLOOKUP(B1109,CadProd!$A:$B,2,0)),"")</f>
        <v/>
      </c>
      <c r="D1109" t="str">
        <f>IFERROR(IF(B1109="","",VLOOKUP(B1109,CadProd!$A:$C,3,0)),"")</f>
        <v/>
      </c>
      <c r="G1109" s="1" t="str">
        <f t="shared" si="17"/>
        <v/>
      </c>
    </row>
    <row r="1110" spans="3:7" x14ac:dyDescent="0.3">
      <c r="C1110" t="str">
        <f>IFERROR(IF(B1110="","",VLOOKUP(B1110,CadProd!$A:$B,2,0)),"")</f>
        <v/>
      </c>
      <c r="D1110" t="str">
        <f>IFERROR(IF(B1110="","",VLOOKUP(B1110,CadProd!$A:$C,3,0)),"")</f>
        <v/>
      </c>
      <c r="G1110" s="1" t="str">
        <f t="shared" si="17"/>
        <v/>
      </c>
    </row>
    <row r="1111" spans="3:7" x14ac:dyDescent="0.3">
      <c r="C1111" t="str">
        <f>IFERROR(IF(B1111="","",VLOOKUP(B1111,CadProd!$A:$B,2,0)),"")</f>
        <v/>
      </c>
      <c r="D1111" t="str">
        <f>IFERROR(IF(B1111="","",VLOOKUP(B1111,CadProd!$A:$C,3,0)),"")</f>
        <v/>
      </c>
      <c r="G1111" s="1" t="str">
        <f t="shared" si="17"/>
        <v/>
      </c>
    </row>
    <row r="1112" spans="3:7" x14ac:dyDescent="0.3">
      <c r="C1112" t="str">
        <f>IFERROR(IF(B1112="","",VLOOKUP(B1112,CadProd!$A:$B,2,0)),"")</f>
        <v/>
      </c>
      <c r="D1112" t="str">
        <f>IFERROR(IF(B1112="","",VLOOKUP(B1112,CadProd!$A:$C,3,0)),"")</f>
        <v/>
      </c>
      <c r="G1112" s="1" t="str">
        <f t="shared" si="17"/>
        <v/>
      </c>
    </row>
    <row r="1113" spans="3:7" x14ac:dyDescent="0.3">
      <c r="C1113" t="str">
        <f>IFERROR(IF(B1113="","",VLOOKUP(B1113,CadProd!$A:$B,2,0)),"")</f>
        <v/>
      </c>
      <c r="D1113" t="str">
        <f>IFERROR(IF(B1113="","",VLOOKUP(B1113,CadProd!$A:$C,3,0)),"")</f>
        <v/>
      </c>
      <c r="G1113" s="1" t="str">
        <f t="shared" si="17"/>
        <v/>
      </c>
    </row>
    <row r="1114" spans="3:7" x14ac:dyDescent="0.3">
      <c r="C1114" t="str">
        <f>IFERROR(IF(B1114="","",VLOOKUP(B1114,CadProd!$A:$B,2,0)),"")</f>
        <v/>
      </c>
      <c r="D1114" t="str">
        <f>IFERROR(IF(B1114="","",VLOOKUP(B1114,CadProd!$A:$C,3,0)),"")</f>
        <v/>
      </c>
      <c r="G1114" s="1" t="str">
        <f t="shared" si="17"/>
        <v/>
      </c>
    </row>
    <row r="1115" spans="3:7" x14ac:dyDescent="0.3">
      <c r="C1115" t="str">
        <f>IFERROR(IF(B1115="","",VLOOKUP(B1115,CadProd!$A:$B,2,0)),"")</f>
        <v/>
      </c>
      <c r="D1115" t="str">
        <f>IFERROR(IF(B1115="","",VLOOKUP(B1115,CadProd!$A:$C,3,0)),"")</f>
        <v/>
      </c>
      <c r="G1115" s="1" t="str">
        <f t="shared" si="17"/>
        <v/>
      </c>
    </row>
    <row r="1116" spans="3:7" x14ac:dyDescent="0.3">
      <c r="C1116" t="str">
        <f>IFERROR(IF(B1116="","",VLOOKUP(B1116,CadProd!$A:$B,2,0)),"")</f>
        <v/>
      </c>
      <c r="D1116" t="str">
        <f>IFERROR(IF(B1116="","",VLOOKUP(B1116,CadProd!$A:$C,3,0)),"")</f>
        <v/>
      </c>
      <c r="G1116" s="1" t="str">
        <f t="shared" si="17"/>
        <v/>
      </c>
    </row>
    <row r="1117" spans="3:7" x14ac:dyDescent="0.3">
      <c r="C1117" t="str">
        <f>IFERROR(IF(B1117="","",VLOOKUP(B1117,CadProd!$A:$B,2,0)),"")</f>
        <v/>
      </c>
      <c r="D1117" t="str">
        <f>IFERROR(IF(B1117="","",VLOOKUP(B1117,CadProd!$A:$C,3,0)),"")</f>
        <v/>
      </c>
      <c r="G1117" s="1" t="str">
        <f t="shared" si="17"/>
        <v/>
      </c>
    </row>
    <row r="1118" spans="3:7" x14ac:dyDescent="0.3">
      <c r="C1118" t="str">
        <f>IFERROR(IF(B1118="","",VLOOKUP(B1118,CadProd!$A:$B,2,0)),"")</f>
        <v/>
      </c>
      <c r="D1118" t="str">
        <f>IFERROR(IF(B1118="","",VLOOKUP(B1118,CadProd!$A:$C,3,0)),"")</f>
        <v/>
      </c>
      <c r="G1118" s="1" t="str">
        <f t="shared" si="17"/>
        <v/>
      </c>
    </row>
    <row r="1119" spans="3:7" x14ac:dyDescent="0.3">
      <c r="C1119" t="str">
        <f>IFERROR(IF(B1119="","",VLOOKUP(B1119,CadProd!$A:$B,2,0)),"")</f>
        <v/>
      </c>
      <c r="D1119" t="str">
        <f>IFERROR(IF(B1119="","",VLOOKUP(B1119,CadProd!$A:$C,3,0)),"")</f>
        <v/>
      </c>
      <c r="G1119" s="1" t="str">
        <f t="shared" si="17"/>
        <v/>
      </c>
    </row>
    <row r="1120" spans="3:7" x14ac:dyDescent="0.3">
      <c r="C1120" t="str">
        <f>IFERROR(IF(B1120="","",VLOOKUP(B1120,CadProd!$A:$B,2,0)),"")</f>
        <v/>
      </c>
      <c r="D1120" t="str">
        <f>IFERROR(IF(B1120="","",VLOOKUP(B1120,CadProd!$A:$C,3,0)),"")</f>
        <v/>
      </c>
      <c r="G1120" s="1" t="str">
        <f t="shared" si="17"/>
        <v/>
      </c>
    </row>
    <row r="1121" spans="3:7" x14ac:dyDescent="0.3">
      <c r="C1121" t="str">
        <f>IFERROR(IF(B1121="","",VLOOKUP(B1121,CadProd!$A:$B,2,0)),"")</f>
        <v/>
      </c>
      <c r="D1121" t="str">
        <f>IFERROR(IF(B1121="","",VLOOKUP(B1121,CadProd!$A:$C,3,0)),"")</f>
        <v/>
      </c>
      <c r="G1121" s="1" t="str">
        <f t="shared" si="17"/>
        <v/>
      </c>
    </row>
    <row r="1122" spans="3:7" x14ac:dyDescent="0.3">
      <c r="C1122" t="str">
        <f>IFERROR(IF(B1122="","",VLOOKUP(B1122,CadProd!$A:$B,2,0)),"")</f>
        <v/>
      </c>
      <c r="D1122" t="str">
        <f>IFERROR(IF(B1122="","",VLOOKUP(B1122,CadProd!$A:$C,3,0)),"")</f>
        <v/>
      </c>
      <c r="G1122" s="1" t="str">
        <f t="shared" si="17"/>
        <v/>
      </c>
    </row>
    <row r="1123" spans="3:7" x14ac:dyDescent="0.3">
      <c r="C1123" t="str">
        <f>IFERROR(IF(B1123="","",VLOOKUP(B1123,CadProd!$A:$B,2,0)),"")</f>
        <v/>
      </c>
      <c r="D1123" t="str">
        <f>IFERROR(IF(B1123="","",VLOOKUP(B1123,CadProd!$A:$C,3,0)),"")</f>
        <v/>
      </c>
      <c r="G1123" s="1" t="str">
        <f t="shared" si="17"/>
        <v/>
      </c>
    </row>
    <row r="1124" spans="3:7" x14ac:dyDescent="0.3">
      <c r="C1124" t="str">
        <f>IFERROR(IF(B1124="","",VLOOKUP(B1124,CadProd!$A:$B,2,0)),"")</f>
        <v/>
      </c>
      <c r="D1124" t="str">
        <f>IFERROR(IF(B1124="","",VLOOKUP(B1124,CadProd!$A:$C,3,0)),"")</f>
        <v/>
      </c>
      <c r="G1124" s="1" t="str">
        <f t="shared" si="17"/>
        <v/>
      </c>
    </row>
    <row r="1125" spans="3:7" x14ac:dyDescent="0.3">
      <c r="C1125" t="str">
        <f>IFERROR(IF(B1125="","",VLOOKUP(B1125,CadProd!$A:$B,2,0)),"")</f>
        <v/>
      </c>
      <c r="D1125" t="str">
        <f>IFERROR(IF(B1125="","",VLOOKUP(B1125,CadProd!$A:$C,3,0)),"")</f>
        <v/>
      </c>
      <c r="G1125" s="1" t="str">
        <f t="shared" si="17"/>
        <v/>
      </c>
    </row>
    <row r="1126" spans="3:7" x14ac:dyDescent="0.3">
      <c r="C1126" t="str">
        <f>IFERROR(IF(B1126="","",VLOOKUP(B1126,CadProd!$A:$B,2,0)),"")</f>
        <v/>
      </c>
      <c r="D1126" t="str">
        <f>IFERROR(IF(B1126="","",VLOOKUP(B1126,CadProd!$A:$C,3,0)),"")</f>
        <v/>
      </c>
      <c r="G1126" s="1" t="str">
        <f t="shared" si="17"/>
        <v/>
      </c>
    </row>
    <row r="1127" spans="3:7" x14ac:dyDescent="0.3">
      <c r="C1127" t="str">
        <f>IFERROR(IF(B1127="","",VLOOKUP(B1127,CadProd!$A:$B,2,0)),"")</f>
        <v/>
      </c>
      <c r="D1127" t="str">
        <f>IFERROR(IF(B1127="","",VLOOKUP(B1127,CadProd!$A:$C,3,0)),"")</f>
        <v/>
      </c>
      <c r="G1127" s="1" t="str">
        <f t="shared" si="17"/>
        <v/>
      </c>
    </row>
    <row r="1128" spans="3:7" x14ac:dyDescent="0.3">
      <c r="C1128" t="str">
        <f>IFERROR(IF(B1128="","",VLOOKUP(B1128,CadProd!$A:$B,2,0)),"")</f>
        <v/>
      </c>
      <c r="D1128" t="str">
        <f>IFERROR(IF(B1128="","",VLOOKUP(B1128,CadProd!$A:$C,3,0)),"")</f>
        <v/>
      </c>
      <c r="G1128" s="1" t="str">
        <f t="shared" si="17"/>
        <v/>
      </c>
    </row>
    <row r="1129" spans="3:7" x14ac:dyDescent="0.3">
      <c r="C1129" t="str">
        <f>IFERROR(IF(B1129="","",VLOOKUP(B1129,CadProd!$A:$B,2,0)),"")</f>
        <v/>
      </c>
      <c r="D1129" t="str">
        <f>IFERROR(IF(B1129="","",VLOOKUP(B1129,CadProd!$A:$C,3,0)),"")</f>
        <v/>
      </c>
      <c r="G1129" s="1" t="str">
        <f t="shared" si="17"/>
        <v/>
      </c>
    </row>
    <row r="1130" spans="3:7" x14ac:dyDescent="0.3">
      <c r="C1130" t="str">
        <f>IFERROR(IF(B1130="","",VLOOKUP(B1130,CadProd!$A:$B,2,0)),"")</f>
        <v/>
      </c>
      <c r="D1130" t="str">
        <f>IFERROR(IF(B1130="","",VLOOKUP(B1130,CadProd!$A:$C,3,0)),"")</f>
        <v/>
      </c>
      <c r="G1130" s="1" t="str">
        <f t="shared" si="17"/>
        <v/>
      </c>
    </row>
    <row r="1131" spans="3:7" x14ac:dyDescent="0.3">
      <c r="C1131" t="str">
        <f>IFERROR(IF(B1131="","",VLOOKUP(B1131,CadProd!$A:$B,2,0)),"")</f>
        <v/>
      </c>
      <c r="D1131" t="str">
        <f>IFERROR(IF(B1131="","",VLOOKUP(B1131,CadProd!$A:$C,3,0)),"")</f>
        <v/>
      </c>
      <c r="G1131" s="1" t="str">
        <f t="shared" si="17"/>
        <v/>
      </c>
    </row>
    <row r="1132" spans="3:7" x14ac:dyDescent="0.3">
      <c r="C1132" t="str">
        <f>IFERROR(IF(B1132="","",VLOOKUP(B1132,CadProd!$A:$B,2,0)),"")</f>
        <v/>
      </c>
      <c r="D1132" t="str">
        <f>IFERROR(IF(B1132="","",VLOOKUP(B1132,CadProd!$A:$C,3,0)),"")</f>
        <v/>
      </c>
      <c r="G1132" s="1" t="str">
        <f t="shared" si="17"/>
        <v/>
      </c>
    </row>
    <row r="1133" spans="3:7" x14ac:dyDescent="0.3">
      <c r="C1133" t="str">
        <f>IFERROR(IF(B1133="","",VLOOKUP(B1133,CadProd!$A:$B,2,0)),"")</f>
        <v/>
      </c>
      <c r="D1133" t="str">
        <f>IFERROR(IF(B1133="","",VLOOKUP(B1133,CadProd!$A:$C,3,0)),"")</f>
        <v/>
      </c>
      <c r="G1133" s="1" t="str">
        <f t="shared" si="17"/>
        <v/>
      </c>
    </row>
    <row r="1134" spans="3:7" x14ac:dyDescent="0.3">
      <c r="C1134" t="str">
        <f>IFERROR(IF(B1134="","",VLOOKUP(B1134,CadProd!$A:$B,2,0)),"")</f>
        <v/>
      </c>
      <c r="D1134" t="str">
        <f>IFERROR(IF(B1134="","",VLOOKUP(B1134,CadProd!$A:$C,3,0)),"")</f>
        <v/>
      </c>
      <c r="G1134" s="1" t="str">
        <f t="shared" si="17"/>
        <v/>
      </c>
    </row>
    <row r="1135" spans="3:7" x14ac:dyDescent="0.3">
      <c r="C1135" t="str">
        <f>IFERROR(IF(B1135="","",VLOOKUP(B1135,CadProd!$A:$B,2,0)),"")</f>
        <v/>
      </c>
      <c r="D1135" t="str">
        <f>IFERROR(IF(B1135="","",VLOOKUP(B1135,CadProd!$A:$C,3,0)),"")</f>
        <v/>
      </c>
      <c r="G1135" s="1" t="str">
        <f t="shared" si="17"/>
        <v/>
      </c>
    </row>
    <row r="1136" spans="3:7" x14ac:dyDescent="0.3">
      <c r="C1136" t="str">
        <f>IFERROR(IF(B1136="","",VLOOKUP(B1136,CadProd!$A:$B,2,0)),"")</f>
        <v/>
      </c>
      <c r="D1136" t="str">
        <f>IFERROR(IF(B1136="","",VLOOKUP(B1136,CadProd!$A:$C,3,0)),"")</f>
        <v/>
      </c>
      <c r="G1136" s="1" t="str">
        <f t="shared" si="17"/>
        <v/>
      </c>
    </row>
    <row r="1137" spans="3:7" x14ac:dyDescent="0.3">
      <c r="C1137" t="str">
        <f>IFERROR(IF(B1137="","",VLOOKUP(B1137,CadProd!$A:$B,2,0)),"")</f>
        <v/>
      </c>
      <c r="D1137" t="str">
        <f>IFERROR(IF(B1137="","",VLOOKUP(B1137,CadProd!$A:$C,3,0)),"")</f>
        <v/>
      </c>
      <c r="G1137" s="1" t="str">
        <f t="shared" si="17"/>
        <v/>
      </c>
    </row>
    <row r="1138" spans="3:7" x14ac:dyDescent="0.3">
      <c r="C1138" t="str">
        <f>IFERROR(IF(B1138="","",VLOOKUP(B1138,CadProd!$A:$B,2,0)),"")</f>
        <v/>
      </c>
      <c r="D1138" t="str">
        <f>IFERROR(IF(B1138="","",VLOOKUP(B1138,CadProd!$A:$C,3,0)),"")</f>
        <v/>
      </c>
      <c r="G1138" s="1" t="str">
        <f t="shared" si="17"/>
        <v/>
      </c>
    </row>
    <row r="1139" spans="3:7" x14ac:dyDescent="0.3">
      <c r="C1139" t="str">
        <f>IFERROR(IF(B1139="","",VLOOKUP(B1139,CadProd!$A:$B,2,0)),"")</f>
        <v/>
      </c>
      <c r="D1139" t="str">
        <f>IFERROR(IF(B1139="","",VLOOKUP(B1139,CadProd!$A:$C,3,0)),"")</f>
        <v/>
      </c>
      <c r="G1139" s="1" t="str">
        <f t="shared" si="17"/>
        <v/>
      </c>
    </row>
    <row r="1140" spans="3:7" x14ac:dyDescent="0.3">
      <c r="C1140" t="str">
        <f>IFERROR(IF(B1140="","",VLOOKUP(B1140,CadProd!$A:$B,2,0)),"")</f>
        <v/>
      </c>
      <c r="D1140" t="str">
        <f>IFERROR(IF(B1140="","",VLOOKUP(B1140,CadProd!$A:$C,3,0)),"")</f>
        <v/>
      </c>
      <c r="G1140" s="1" t="str">
        <f t="shared" si="17"/>
        <v/>
      </c>
    </row>
    <row r="1141" spans="3:7" x14ac:dyDescent="0.3">
      <c r="C1141" t="str">
        <f>IFERROR(IF(B1141="","",VLOOKUP(B1141,CadProd!$A:$B,2,0)),"")</f>
        <v/>
      </c>
      <c r="D1141" t="str">
        <f>IFERROR(IF(B1141="","",VLOOKUP(B1141,CadProd!$A:$C,3,0)),"")</f>
        <v/>
      </c>
      <c r="G1141" s="1" t="str">
        <f t="shared" si="17"/>
        <v/>
      </c>
    </row>
    <row r="1142" spans="3:7" x14ac:dyDescent="0.3">
      <c r="C1142" t="str">
        <f>IFERROR(IF(B1142="","",VLOOKUP(B1142,CadProd!$A:$B,2,0)),"")</f>
        <v/>
      </c>
      <c r="D1142" t="str">
        <f>IFERROR(IF(B1142="","",VLOOKUP(B1142,CadProd!$A:$C,3,0)),"")</f>
        <v/>
      </c>
      <c r="G1142" s="1" t="str">
        <f t="shared" si="17"/>
        <v/>
      </c>
    </row>
    <row r="1143" spans="3:7" x14ac:dyDescent="0.3">
      <c r="C1143" t="str">
        <f>IFERROR(IF(B1143="","",VLOOKUP(B1143,CadProd!$A:$B,2,0)),"")</f>
        <v/>
      </c>
      <c r="D1143" t="str">
        <f>IFERROR(IF(B1143="","",VLOOKUP(B1143,CadProd!$A:$C,3,0)),"")</f>
        <v/>
      </c>
      <c r="G1143" s="1" t="str">
        <f t="shared" si="17"/>
        <v/>
      </c>
    </row>
    <row r="1144" spans="3:7" x14ac:dyDescent="0.3">
      <c r="C1144" t="str">
        <f>IFERROR(IF(B1144="","",VLOOKUP(B1144,CadProd!$A:$B,2,0)),"")</f>
        <v/>
      </c>
      <c r="D1144" t="str">
        <f>IFERROR(IF(B1144="","",VLOOKUP(B1144,CadProd!$A:$C,3,0)),"")</f>
        <v/>
      </c>
      <c r="G1144" s="1" t="str">
        <f t="shared" si="17"/>
        <v/>
      </c>
    </row>
    <row r="1145" spans="3:7" x14ac:dyDescent="0.3">
      <c r="C1145" t="str">
        <f>IFERROR(IF(B1145="","",VLOOKUP(B1145,CadProd!$A:$B,2,0)),"")</f>
        <v/>
      </c>
      <c r="D1145" t="str">
        <f>IFERROR(IF(B1145="","",VLOOKUP(B1145,CadProd!$A:$C,3,0)),"")</f>
        <v/>
      </c>
      <c r="G1145" s="1" t="str">
        <f t="shared" si="17"/>
        <v/>
      </c>
    </row>
    <row r="1146" spans="3:7" x14ac:dyDescent="0.3">
      <c r="C1146" t="str">
        <f>IFERROR(IF(B1146="","",VLOOKUP(B1146,CadProd!$A:$B,2,0)),"")</f>
        <v/>
      </c>
      <c r="D1146" t="str">
        <f>IFERROR(IF(B1146="","",VLOOKUP(B1146,CadProd!$A:$C,3,0)),"")</f>
        <v/>
      </c>
      <c r="G1146" s="1" t="str">
        <f t="shared" si="17"/>
        <v/>
      </c>
    </row>
    <row r="1147" spans="3:7" x14ac:dyDescent="0.3">
      <c r="C1147" t="str">
        <f>IFERROR(IF(B1147="","",VLOOKUP(B1147,CadProd!$A:$B,2,0)),"")</f>
        <v/>
      </c>
      <c r="D1147" t="str">
        <f>IFERROR(IF(B1147="","",VLOOKUP(B1147,CadProd!$A:$C,3,0)),"")</f>
        <v/>
      </c>
      <c r="G1147" s="1" t="str">
        <f t="shared" si="17"/>
        <v/>
      </c>
    </row>
    <row r="1148" spans="3:7" x14ac:dyDescent="0.3">
      <c r="C1148" t="str">
        <f>IFERROR(IF(B1148="","",VLOOKUP(B1148,CadProd!$A:$B,2,0)),"")</f>
        <v/>
      </c>
      <c r="D1148" t="str">
        <f>IFERROR(IF(B1148="","",VLOOKUP(B1148,CadProd!$A:$C,3,0)),"")</f>
        <v/>
      </c>
      <c r="G1148" s="1" t="str">
        <f t="shared" si="17"/>
        <v/>
      </c>
    </row>
    <row r="1149" spans="3:7" x14ac:dyDescent="0.3">
      <c r="C1149" t="str">
        <f>IFERROR(IF(B1149="","",VLOOKUP(B1149,CadProd!$A:$B,2,0)),"")</f>
        <v/>
      </c>
      <c r="D1149" t="str">
        <f>IFERROR(IF(B1149="","",VLOOKUP(B1149,CadProd!$A:$C,3,0)),"")</f>
        <v/>
      </c>
      <c r="G1149" s="1" t="str">
        <f t="shared" si="17"/>
        <v/>
      </c>
    </row>
    <row r="1150" spans="3:7" x14ac:dyDescent="0.3">
      <c r="C1150" t="str">
        <f>IFERROR(IF(B1150="","",VLOOKUP(B1150,CadProd!$A:$B,2,0)),"")</f>
        <v/>
      </c>
      <c r="D1150" t="str">
        <f>IFERROR(IF(B1150="","",VLOOKUP(B1150,CadProd!$A:$C,3,0)),"")</f>
        <v/>
      </c>
      <c r="G1150" s="1" t="str">
        <f t="shared" si="17"/>
        <v/>
      </c>
    </row>
    <row r="1151" spans="3:7" x14ac:dyDescent="0.3">
      <c r="C1151" t="str">
        <f>IFERROR(IF(B1151="","",VLOOKUP(B1151,CadProd!$A:$B,2,0)),"")</f>
        <v/>
      </c>
      <c r="D1151" t="str">
        <f>IFERROR(IF(B1151="","",VLOOKUP(B1151,CadProd!$A:$C,3,0)),"")</f>
        <v/>
      </c>
      <c r="G1151" s="1" t="str">
        <f t="shared" si="17"/>
        <v/>
      </c>
    </row>
    <row r="1152" spans="3:7" x14ac:dyDescent="0.3">
      <c r="C1152" t="str">
        <f>IFERROR(IF(B1152="","",VLOOKUP(B1152,CadProd!$A:$B,2,0)),"")</f>
        <v/>
      </c>
      <c r="D1152" t="str">
        <f>IFERROR(IF(B1152="","",VLOOKUP(B1152,CadProd!$A:$C,3,0)),"")</f>
        <v/>
      </c>
      <c r="G1152" s="1" t="str">
        <f t="shared" si="17"/>
        <v/>
      </c>
    </row>
    <row r="1153" spans="3:7" x14ac:dyDescent="0.3">
      <c r="C1153" t="str">
        <f>IFERROR(IF(B1153="","",VLOOKUP(B1153,CadProd!$A:$B,2,0)),"")</f>
        <v/>
      </c>
      <c r="D1153" t="str">
        <f>IFERROR(IF(B1153="","",VLOOKUP(B1153,CadProd!$A:$C,3,0)),"")</f>
        <v/>
      </c>
      <c r="G1153" s="1" t="str">
        <f t="shared" si="17"/>
        <v/>
      </c>
    </row>
    <row r="1154" spans="3:7" x14ac:dyDescent="0.3">
      <c r="C1154" t="str">
        <f>IFERROR(IF(B1154="","",VLOOKUP(B1154,CadProd!$A:$B,2,0)),"")</f>
        <v/>
      </c>
      <c r="D1154" t="str">
        <f>IFERROR(IF(B1154="","",VLOOKUP(B1154,CadProd!$A:$C,3,0)),"")</f>
        <v/>
      </c>
      <c r="G1154" s="1" t="str">
        <f t="shared" si="17"/>
        <v/>
      </c>
    </row>
    <row r="1155" spans="3:7" x14ac:dyDescent="0.3">
      <c r="C1155" t="str">
        <f>IFERROR(IF(B1155="","",VLOOKUP(B1155,CadProd!$A:$B,2,0)),"")</f>
        <v/>
      </c>
      <c r="D1155" t="str">
        <f>IFERROR(IF(B1155="","",VLOOKUP(B1155,CadProd!$A:$C,3,0)),"")</f>
        <v/>
      </c>
      <c r="G1155" s="1" t="str">
        <f t="shared" si="17"/>
        <v/>
      </c>
    </row>
    <row r="1156" spans="3:7" x14ac:dyDescent="0.3">
      <c r="C1156" t="str">
        <f>IFERROR(IF(B1156="","",VLOOKUP(B1156,CadProd!$A:$B,2,0)),"")</f>
        <v/>
      </c>
      <c r="D1156" t="str">
        <f>IFERROR(IF(B1156="","",VLOOKUP(B1156,CadProd!$A:$C,3,0)),"")</f>
        <v/>
      </c>
      <c r="G1156" s="1" t="str">
        <f t="shared" si="17"/>
        <v/>
      </c>
    </row>
    <row r="1157" spans="3:7" x14ac:dyDescent="0.3">
      <c r="C1157" t="str">
        <f>IFERROR(IF(B1157="","",VLOOKUP(B1157,CadProd!$A:$B,2,0)),"")</f>
        <v/>
      </c>
      <c r="D1157" t="str">
        <f>IFERROR(IF(B1157="","",VLOOKUP(B1157,CadProd!$A:$C,3,0)),"")</f>
        <v/>
      </c>
      <c r="G1157" s="1" t="str">
        <f t="shared" si="17"/>
        <v/>
      </c>
    </row>
    <row r="1158" spans="3:7" x14ac:dyDescent="0.3">
      <c r="C1158" t="str">
        <f>IFERROR(IF(B1158="","",VLOOKUP(B1158,CadProd!$A:$B,2,0)),"")</f>
        <v/>
      </c>
      <c r="D1158" t="str">
        <f>IFERROR(IF(B1158="","",VLOOKUP(B1158,CadProd!$A:$C,3,0)),"")</f>
        <v/>
      </c>
      <c r="G1158" s="1" t="str">
        <f t="shared" si="17"/>
        <v/>
      </c>
    </row>
    <row r="1159" spans="3:7" x14ac:dyDescent="0.3">
      <c r="C1159" t="str">
        <f>IFERROR(IF(B1159="","",VLOOKUP(B1159,CadProd!$A:$B,2,0)),"")</f>
        <v/>
      </c>
      <c r="D1159" t="str">
        <f>IFERROR(IF(B1159="","",VLOOKUP(B1159,CadProd!$A:$C,3,0)),"")</f>
        <v/>
      </c>
      <c r="G1159" s="1" t="str">
        <f t="shared" si="17"/>
        <v/>
      </c>
    </row>
    <row r="1160" spans="3:7" x14ac:dyDescent="0.3">
      <c r="C1160" t="str">
        <f>IFERROR(IF(B1160="","",VLOOKUP(B1160,CadProd!$A:$B,2,0)),"")</f>
        <v/>
      </c>
      <c r="D1160" t="str">
        <f>IFERROR(IF(B1160="","",VLOOKUP(B1160,CadProd!$A:$C,3,0)),"")</f>
        <v/>
      </c>
      <c r="G1160" s="1" t="str">
        <f t="shared" si="17"/>
        <v/>
      </c>
    </row>
    <row r="1161" spans="3:7" x14ac:dyDescent="0.3">
      <c r="C1161" t="str">
        <f>IFERROR(IF(B1161="","",VLOOKUP(B1161,CadProd!$A:$B,2,0)),"")</f>
        <v/>
      </c>
      <c r="D1161" t="str">
        <f>IFERROR(IF(B1161="","",VLOOKUP(B1161,CadProd!$A:$C,3,0)),"")</f>
        <v/>
      </c>
      <c r="G1161" s="1" t="str">
        <f t="shared" si="17"/>
        <v/>
      </c>
    </row>
    <row r="1162" spans="3:7" x14ac:dyDescent="0.3">
      <c r="C1162" t="str">
        <f>IFERROR(IF(B1162="","",VLOOKUP(B1162,CadProd!$A:$B,2,0)),"")</f>
        <v/>
      </c>
      <c r="D1162" t="str">
        <f>IFERROR(IF(B1162="","",VLOOKUP(B1162,CadProd!$A:$C,3,0)),"")</f>
        <v/>
      </c>
      <c r="G1162" s="1" t="str">
        <f t="shared" si="17"/>
        <v/>
      </c>
    </row>
    <row r="1163" spans="3:7" x14ac:dyDescent="0.3">
      <c r="C1163" t="str">
        <f>IFERROR(IF(B1163="","",VLOOKUP(B1163,CadProd!$A:$B,2,0)),"")</f>
        <v/>
      </c>
      <c r="D1163" t="str">
        <f>IFERROR(IF(B1163="","",VLOOKUP(B1163,CadProd!$A:$C,3,0)),"")</f>
        <v/>
      </c>
      <c r="G1163" s="1" t="str">
        <f t="shared" ref="G1163:G1226" si="18">IFERROR(IF(B1163="","",F1163*E1163),"")</f>
        <v/>
      </c>
    </row>
    <row r="1164" spans="3:7" x14ac:dyDescent="0.3">
      <c r="C1164" t="str">
        <f>IFERROR(IF(B1164="","",VLOOKUP(B1164,CadProd!$A:$B,2,0)),"")</f>
        <v/>
      </c>
      <c r="D1164" t="str">
        <f>IFERROR(IF(B1164="","",VLOOKUP(B1164,CadProd!$A:$C,3,0)),"")</f>
        <v/>
      </c>
      <c r="G1164" s="1" t="str">
        <f t="shared" si="18"/>
        <v/>
      </c>
    </row>
    <row r="1165" spans="3:7" x14ac:dyDescent="0.3">
      <c r="C1165" t="str">
        <f>IFERROR(IF(B1165="","",VLOOKUP(B1165,CadProd!$A:$B,2,0)),"")</f>
        <v/>
      </c>
      <c r="D1165" t="str">
        <f>IFERROR(IF(B1165="","",VLOOKUP(B1165,CadProd!$A:$C,3,0)),"")</f>
        <v/>
      </c>
      <c r="G1165" s="1" t="str">
        <f t="shared" si="18"/>
        <v/>
      </c>
    </row>
    <row r="1166" spans="3:7" x14ac:dyDescent="0.3">
      <c r="C1166" t="str">
        <f>IFERROR(IF(B1166="","",VLOOKUP(B1166,CadProd!$A:$B,2,0)),"")</f>
        <v/>
      </c>
      <c r="D1166" t="str">
        <f>IFERROR(IF(B1166="","",VLOOKUP(B1166,CadProd!$A:$C,3,0)),"")</f>
        <v/>
      </c>
      <c r="G1166" s="1" t="str">
        <f t="shared" si="18"/>
        <v/>
      </c>
    </row>
    <row r="1167" spans="3:7" x14ac:dyDescent="0.3">
      <c r="C1167" t="str">
        <f>IFERROR(IF(B1167="","",VLOOKUP(B1167,CadProd!$A:$B,2,0)),"")</f>
        <v/>
      </c>
      <c r="D1167" t="str">
        <f>IFERROR(IF(B1167="","",VLOOKUP(B1167,CadProd!$A:$C,3,0)),"")</f>
        <v/>
      </c>
      <c r="G1167" s="1" t="str">
        <f t="shared" si="18"/>
        <v/>
      </c>
    </row>
    <row r="1168" spans="3:7" x14ac:dyDescent="0.3">
      <c r="C1168" t="str">
        <f>IFERROR(IF(B1168="","",VLOOKUP(B1168,CadProd!$A:$B,2,0)),"")</f>
        <v/>
      </c>
      <c r="D1168" t="str">
        <f>IFERROR(IF(B1168="","",VLOOKUP(B1168,CadProd!$A:$C,3,0)),"")</f>
        <v/>
      </c>
      <c r="G1168" s="1" t="str">
        <f t="shared" si="18"/>
        <v/>
      </c>
    </row>
    <row r="1169" spans="3:7" x14ac:dyDescent="0.3">
      <c r="C1169" t="str">
        <f>IFERROR(IF(B1169="","",VLOOKUP(B1169,CadProd!$A:$B,2,0)),"")</f>
        <v/>
      </c>
      <c r="D1169" t="str">
        <f>IFERROR(IF(B1169="","",VLOOKUP(B1169,CadProd!$A:$C,3,0)),"")</f>
        <v/>
      </c>
      <c r="G1169" s="1" t="str">
        <f t="shared" si="18"/>
        <v/>
      </c>
    </row>
    <row r="1170" spans="3:7" x14ac:dyDescent="0.3">
      <c r="C1170" t="str">
        <f>IFERROR(IF(B1170="","",VLOOKUP(B1170,CadProd!$A:$B,2,0)),"")</f>
        <v/>
      </c>
      <c r="D1170" t="str">
        <f>IFERROR(IF(B1170="","",VLOOKUP(B1170,CadProd!$A:$C,3,0)),"")</f>
        <v/>
      </c>
      <c r="G1170" s="1" t="str">
        <f t="shared" si="18"/>
        <v/>
      </c>
    </row>
    <row r="1171" spans="3:7" x14ac:dyDescent="0.3">
      <c r="C1171" t="str">
        <f>IFERROR(IF(B1171="","",VLOOKUP(B1171,CadProd!$A:$B,2,0)),"")</f>
        <v/>
      </c>
      <c r="D1171" t="str">
        <f>IFERROR(IF(B1171="","",VLOOKUP(B1171,CadProd!$A:$C,3,0)),"")</f>
        <v/>
      </c>
      <c r="G1171" s="1" t="str">
        <f t="shared" si="18"/>
        <v/>
      </c>
    </row>
    <row r="1172" spans="3:7" x14ac:dyDescent="0.3">
      <c r="C1172" t="str">
        <f>IFERROR(IF(B1172="","",VLOOKUP(B1172,CadProd!$A:$B,2,0)),"")</f>
        <v/>
      </c>
      <c r="D1172" t="str">
        <f>IFERROR(IF(B1172="","",VLOOKUP(B1172,CadProd!$A:$C,3,0)),"")</f>
        <v/>
      </c>
      <c r="G1172" s="1" t="str">
        <f t="shared" si="18"/>
        <v/>
      </c>
    </row>
    <row r="1173" spans="3:7" x14ac:dyDescent="0.3">
      <c r="C1173" t="str">
        <f>IFERROR(IF(B1173="","",VLOOKUP(B1173,CadProd!$A:$B,2,0)),"")</f>
        <v/>
      </c>
      <c r="D1173" t="str">
        <f>IFERROR(IF(B1173="","",VLOOKUP(B1173,CadProd!$A:$C,3,0)),"")</f>
        <v/>
      </c>
      <c r="G1173" s="1" t="str">
        <f t="shared" si="18"/>
        <v/>
      </c>
    </row>
    <row r="1174" spans="3:7" x14ac:dyDescent="0.3">
      <c r="C1174" t="str">
        <f>IFERROR(IF(B1174="","",VLOOKUP(B1174,CadProd!$A:$B,2,0)),"")</f>
        <v/>
      </c>
      <c r="D1174" t="str">
        <f>IFERROR(IF(B1174="","",VLOOKUP(B1174,CadProd!$A:$C,3,0)),"")</f>
        <v/>
      </c>
      <c r="G1174" s="1" t="str">
        <f t="shared" si="18"/>
        <v/>
      </c>
    </row>
    <row r="1175" spans="3:7" x14ac:dyDescent="0.3">
      <c r="C1175" t="str">
        <f>IFERROR(IF(B1175="","",VLOOKUP(B1175,CadProd!$A:$B,2,0)),"")</f>
        <v/>
      </c>
      <c r="D1175" t="str">
        <f>IFERROR(IF(B1175="","",VLOOKUP(B1175,CadProd!$A:$C,3,0)),"")</f>
        <v/>
      </c>
      <c r="G1175" s="1" t="str">
        <f t="shared" si="18"/>
        <v/>
      </c>
    </row>
    <row r="1176" spans="3:7" x14ac:dyDescent="0.3">
      <c r="C1176" t="str">
        <f>IFERROR(IF(B1176="","",VLOOKUP(B1176,CadProd!$A:$B,2,0)),"")</f>
        <v/>
      </c>
      <c r="D1176" t="str">
        <f>IFERROR(IF(B1176="","",VLOOKUP(B1176,CadProd!$A:$C,3,0)),"")</f>
        <v/>
      </c>
      <c r="G1176" s="1" t="str">
        <f t="shared" si="18"/>
        <v/>
      </c>
    </row>
    <row r="1177" spans="3:7" x14ac:dyDescent="0.3">
      <c r="C1177" t="str">
        <f>IFERROR(IF(B1177="","",VLOOKUP(B1177,CadProd!$A:$B,2,0)),"")</f>
        <v/>
      </c>
      <c r="D1177" t="str">
        <f>IFERROR(IF(B1177="","",VLOOKUP(B1177,CadProd!$A:$C,3,0)),"")</f>
        <v/>
      </c>
      <c r="G1177" s="1" t="str">
        <f t="shared" si="18"/>
        <v/>
      </c>
    </row>
    <row r="1178" spans="3:7" x14ac:dyDescent="0.3">
      <c r="C1178" t="str">
        <f>IFERROR(IF(B1178="","",VLOOKUP(B1178,CadProd!$A:$B,2,0)),"")</f>
        <v/>
      </c>
      <c r="D1178" t="str">
        <f>IFERROR(IF(B1178="","",VLOOKUP(B1178,CadProd!$A:$C,3,0)),"")</f>
        <v/>
      </c>
      <c r="G1178" s="1" t="str">
        <f t="shared" si="18"/>
        <v/>
      </c>
    </row>
    <row r="1179" spans="3:7" x14ac:dyDescent="0.3">
      <c r="C1179" t="str">
        <f>IFERROR(IF(B1179="","",VLOOKUP(B1179,CadProd!$A:$B,2,0)),"")</f>
        <v/>
      </c>
      <c r="D1179" t="str">
        <f>IFERROR(IF(B1179="","",VLOOKUP(B1179,CadProd!$A:$C,3,0)),"")</f>
        <v/>
      </c>
      <c r="G1179" s="1" t="str">
        <f t="shared" si="18"/>
        <v/>
      </c>
    </row>
    <row r="1180" spans="3:7" x14ac:dyDescent="0.3">
      <c r="C1180" t="str">
        <f>IFERROR(IF(B1180="","",VLOOKUP(B1180,CadProd!$A:$B,2,0)),"")</f>
        <v/>
      </c>
      <c r="D1180" t="str">
        <f>IFERROR(IF(B1180="","",VLOOKUP(B1180,CadProd!$A:$C,3,0)),"")</f>
        <v/>
      </c>
      <c r="G1180" s="1" t="str">
        <f t="shared" si="18"/>
        <v/>
      </c>
    </row>
    <row r="1181" spans="3:7" x14ac:dyDescent="0.3">
      <c r="C1181" t="str">
        <f>IFERROR(IF(B1181="","",VLOOKUP(B1181,CadProd!$A:$B,2,0)),"")</f>
        <v/>
      </c>
      <c r="D1181" t="str">
        <f>IFERROR(IF(B1181="","",VLOOKUP(B1181,CadProd!$A:$C,3,0)),"")</f>
        <v/>
      </c>
      <c r="G1181" s="1" t="str">
        <f t="shared" si="18"/>
        <v/>
      </c>
    </row>
    <row r="1182" spans="3:7" x14ac:dyDescent="0.3">
      <c r="C1182" t="str">
        <f>IFERROR(IF(B1182="","",VLOOKUP(B1182,CadProd!$A:$B,2,0)),"")</f>
        <v/>
      </c>
      <c r="D1182" t="str">
        <f>IFERROR(IF(B1182="","",VLOOKUP(B1182,CadProd!$A:$C,3,0)),"")</f>
        <v/>
      </c>
      <c r="G1182" s="1" t="str">
        <f t="shared" si="18"/>
        <v/>
      </c>
    </row>
    <row r="1183" spans="3:7" x14ac:dyDescent="0.3">
      <c r="C1183" t="str">
        <f>IFERROR(IF(B1183="","",VLOOKUP(B1183,CadProd!$A:$B,2,0)),"")</f>
        <v/>
      </c>
      <c r="D1183" t="str">
        <f>IFERROR(IF(B1183="","",VLOOKUP(B1183,CadProd!$A:$C,3,0)),"")</f>
        <v/>
      </c>
      <c r="G1183" s="1" t="str">
        <f t="shared" si="18"/>
        <v/>
      </c>
    </row>
    <row r="1184" spans="3:7" x14ac:dyDescent="0.3">
      <c r="C1184" t="str">
        <f>IFERROR(IF(B1184="","",VLOOKUP(B1184,CadProd!$A:$B,2,0)),"")</f>
        <v/>
      </c>
      <c r="D1184" t="str">
        <f>IFERROR(IF(B1184="","",VLOOKUP(B1184,CadProd!$A:$C,3,0)),"")</f>
        <v/>
      </c>
      <c r="G1184" s="1" t="str">
        <f t="shared" si="18"/>
        <v/>
      </c>
    </row>
    <row r="1185" spans="3:7" x14ac:dyDescent="0.3">
      <c r="C1185" t="str">
        <f>IFERROR(IF(B1185="","",VLOOKUP(B1185,CadProd!$A:$B,2,0)),"")</f>
        <v/>
      </c>
      <c r="D1185" t="str">
        <f>IFERROR(IF(B1185="","",VLOOKUP(B1185,CadProd!$A:$C,3,0)),"")</f>
        <v/>
      </c>
      <c r="G1185" s="1" t="str">
        <f t="shared" si="18"/>
        <v/>
      </c>
    </row>
    <row r="1186" spans="3:7" x14ac:dyDescent="0.3">
      <c r="C1186" t="str">
        <f>IFERROR(IF(B1186="","",VLOOKUP(B1186,CadProd!$A:$B,2,0)),"")</f>
        <v/>
      </c>
      <c r="D1186" t="str">
        <f>IFERROR(IF(B1186="","",VLOOKUP(B1186,CadProd!$A:$C,3,0)),"")</f>
        <v/>
      </c>
      <c r="G1186" s="1" t="str">
        <f t="shared" si="18"/>
        <v/>
      </c>
    </row>
    <row r="1187" spans="3:7" x14ac:dyDescent="0.3">
      <c r="C1187" t="str">
        <f>IFERROR(IF(B1187="","",VLOOKUP(B1187,CadProd!$A:$B,2,0)),"")</f>
        <v/>
      </c>
      <c r="D1187" t="str">
        <f>IFERROR(IF(B1187="","",VLOOKUP(B1187,CadProd!$A:$C,3,0)),"")</f>
        <v/>
      </c>
      <c r="G1187" s="1" t="str">
        <f t="shared" si="18"/>
        <v/>
      </c>
    </row>
    <row r="1188" spans="3:7" x14ac:dyDescent="0.3">
      <c r="C1188" t="str">
        <f>IFERROR(IF(B1188="","",VLOOKUP(B1188,CadProd!$A:$B,2,0)),"")</f>
        <v/>
      </c>
      <c r="D1188" t="str">
        <f>IFERROR(IF(B1188="","",VLOOKUP(B1188,CadProd!$A:$C,3,0)),"")</f>
        <v/>
      </c>
      <c r="G1188" s="1" t="str">
        <f t="shared" si="18"/>
        <v/>
      </c>
    </row>
    <row r="1189" spans="3:7" x14ac:dyDescent="0.3">
      <c r="C1189" t="str">
        <f>IFERROR(IF(B1189="","",VLOOKUP(B1189,CadProd!$A:$B,2,0)),"")</f>
        <v/>
      </c>
      <c r="D1189" t="str">
        <f>IFERROR(IF(B1189="","",VLOOKUP(B1189,CadProd!$A:$C,3,0)),"")</f>
        <v/>
      </c>
      <c r="G1189" s="1" t="str">
        <f t="shared" si="18"/>
        <v/>
      </c>
    </row>
    <row r="1190" spans="3:7" x14ac:dyDescent="0.3">
      <c r="C1190" t="str">
        <f>IFERROR(IF(B1190="","",VLOOKUP(B1190,CadProd!$A:$B,2,0)),"")</f>
        <v/>
      </c>
      <c r="D1190" t="str">
        <f>IFERROR(IF(B1190="","",VLOOKUP(B1190,CadProd!$A:$C,3,0)),"")</f>
        <v/>
      </c>
      <c r="G1190" s="1" t="str">
        <f t="shared" si="18"/>
        <v/>
      </c>
    </row>
    <row r="1191" spans="3:7" x14ac:dyDescent="0.3">
      <c r="C1191" t="str">
        <f>IFERROR(IF(B1191="","",VLOOKUP(B1191,CadProd!$A:$B,2,0)),"")</f>
        <v/>
      </c>
      <c r="D1191" t="str">
        <f>IFERROR(IF(B1191="","",VLOOKUP(B1191,CadProd!$A:$C,3,0)),"")</f>
        <v/>
      </c>
      <c r="G1191" s="1" t="str">
        <f t="shared" si="18"/>
        <v/>
      </c>
    </row>
    <row r="1192" spans="3:7" x14ac:dyDescent="0.3">
      <c r="C1192" t="str">
        <f>IFERROR(IF(B1192="","",VLOOKUP(B1192,CadProd!$A:$B,2,0)),"")</f>
        <v/>
      </c>
      <c r="D1192" t="str">
        <f>IFERROR(IF(B1192="","",VLOOKUP(B1192,CadProd!$A:$C,3,0)),"")</f>
        <v/>
      </c>
      <c r="G1192" s="1" t="str">
        <f t="shared" si="18"/>
        <v/>
      </c>
    </row>
    <row r="1193" spans="3:7" x14ac:dyDescent="0.3">
      <c r="C1193" t="str">
        <f>IFERROR(IF(B1193="","",VLOOKUP(B1193,CadProd!$A:$B,2,0)),"")</f>
        <v/>
      </c>
      <c r="D1193" t="str">
        <f>IFERROR(IF(B1193="","",VLOOKUP(B1193,CadProd!$A:$C,3,0)),"")</f>
        <v/>
      </c>
      <c r="G1193" s="1" t="str">
        <f t="shared" si="18"/>
        <v/>
      </c>
    </row>
    <row r="1194" spans="3:7" x14ac:dyDescent="0.3">
      <c r="C1194" t="str">
        <f>IFERROR(IF(B1194="","",VLOOKUP(B1194,CadProd!$A:$B,2,0)),"")</f>
        <v/>
      </c>
      <c r="D1194" t="str">
        <f>IFERROR(IF(B1194="","",VLOOKUP(B1194,CadProd!$A:$C,3,0)),"")</f>
        <v/>
      </c>
      <c r="G1194" s="1" t="str">
        <f t="shared" si="18"/>
        <v/>
      </c>
    </row>
    <row r="1195" spans="3:7" x14ac:dyDescent="0.3">
      <c r="C1195" t="str">
        <f>IFERROR(IF(B1195="","",VLOOKUP(B1195,CadProd!$A:$B,2,0)),"")</f>
        <v/>
      </c>
      <c r="D1195" t="str">
        <f>IFERROR(IF(B1195="","",VLOOKUP(B1195,CadProd!$A:$C,3,0)),"")</f>
        <v/>
      </c>
      <c r="G1195" s="1" t="str">
        <f t="shared" si="18"/>
        <v/>
      </c>
    </row>
    <row r="1196" spans="3:7" x14ac:dyDescent="0.3">
      <c r="C1196" t="str">
        <f>IFERROR(IF(B1196="","",VLOOKUP(B1196,CadProd!$A:$B,2,0)),"")</f>
        <v/>
      </c>
      <c r="D1196" t="str">
        <f>IFERROR(IF(B1196="","",VLOOKUP(B1196,CadProd!$A:$C,3,0)),"")</f>
        <v/>
      </c>
      <c r="G1196" s="1" t="str">
        <f t="shared" si="18"/>
        <v/>
      </c>
    </row>
    <row r="1197" spans="3:7" x14ac:dyDescent="0.3">
      <c r="C1197" t="str">
        <f>IFERROR(IF(B1197="","",VLOOKUP(B1197,CadProd!$A:$B,2,0)),"")</f>
        <v/>
      </c>
      <c r="D1197" t="str">
        <f>IFERROR(IF(B1197="","",VLOOKUP(B1197,CadProd!$A:$C,3,0)),"")</f>
        <v/>
      </c>
      <c r="G1197" s="1" t="str">
        <f t="shared" si="18"/>
        <v/>
      </c>
    </row>
    <row r="1198" spans="3:7" x14ac:dyDescent="0.3">
      <c r="C1198" t="str">
        <f>IFERROR(IF(B1198="","",VLOOKUP(B1198,CadProd!$A:$B,2,0)),"")</f>
        <v/>
      </c>
      <c r="D1198" t="str">
        <f>IFERROR(IF(B1198="","",VLOOKUP(B1198,CadProd!$A:$C,3,0)),"")</f>
        <v/>
      </c>
      <c r="G1198" s="1" t="str">
        <f t="shared" si="18"/>
        <v/>
      </c>
    </row>
    <row r="1199" spans="3:7" x14ac:dyDescent="0.3">
      <c r="C1199" t="str">
        <f>IFERROR(IF(B1199="","",VLOOKUP(B1199,CadProd!$A:$B,2,0)),"")</f>
        <v/>
      </c>
      <c r="D1199" t="str">
        <f>IFERROR(IF(B1199="","",VLOOKUP(B1199,CadProd!$A:$C,3,0)),"")</f>
        <v/>
      </c>
      <c r="G1199" s="1" t="str">
        <f t="shared" si="18"/>
        <v/>
      </c>
    </row>
    <row r="1200" spans="3:7" x14ac:dyDescent="0.3">
      <c r="C1200" t="str">
        <f>IFERROR(IF(B1200="","",VLOOKUP(B1200,CadProd!$A:$B,2,0)),"")</f>
        <v/>
      </c>
      <c r="D1200" t="str">
        <f>IFERROR(IF(B1200="","",VLOOKUP(B1200,CadProd!$A:$C,3,0)),"")</f>
        <v/>
      </c>
      <c r="G1200" s="1" t="str">
        <f t="shared" si="18"/>
        <v/>
      </c>
    </row>
    <row r="1201" spans="3:7" x14ac:dyDescent="0.3">
      <c r="C1201" t="str">
        <f>IFERROR(IF(B1201="","",VLOOKUP(B1201,CadProd!$A:$B,2,0)),"")</f>
        <v/>
      </c>
      <c r="D1201" t="str">
        <f>IFERROR(IF(B1201="","",VLOOKUP(B1201,CadProd!$A:$C,3,0)),"")</f>
        <v/>
      </c>
      <c r="G1201" s="1" t="str">
        <f t="shared" si="18"/>
        <v/>
      </c>
    </row>
    <row r="1202" spans="3:7" x14ac:dyDescent="0.3">
      <c r="C1202" t="str">
        <f>IFERROR(IF(B1202="","",VLOOKUP(B1202,CadProd!$A:$B,2,0)),"")</f>
        <v/>
      </c>
      <c r="D1202" t="str">
        <f>IFERROR(IF(B1202="","",VLOOKUP(B1202,CadProd!$A:$C,3,0)),"")</f>
        <v/>
      </c>
      <c r="G1202" s="1" t="str">
        <f t="shared" si="18"/>
        <v/>
      </c>
    </row>
    <row r="1203" spans="3:7" x14ac:dyDescent="0.3">
      <c r="C1203" t="str">
        <f>IFERROR(IF(B1203="","",VLOOKUP(B1203,CadProd!$A:$B,2,0)),"")</f>
        <v/>
      </c>
      <c r="D1203" t="str">
        <f>IFERROR(IF(B1203="","",VLOOKUP(B1203,CadProd!$A:$C,3,0)),"")</f>
        <v/>
      </c>
      <c r="G1203" s="1" t="str">
        <f t="shared" si="18"/>
        <v/>
      </c>
    </row>
    <row r="1204" spans="3:7" x14ac:dyDescent="0.3">
      <c r="C1204" t="str">
        <f>IFERROR(IF(B1204="","",VLOOKUP(B1204,CadProd!$A:$B,2,0)),"")</f>
        <v/>
      </c>
      <c r="D1204" t="str">
        <f>IFERROR(IF(B1204="","",VLOOKUP(B1204,CadProd!$A:$C,3,0)),"")</f>
        <v/>
      </c>
      <c r="G1204" s="1" t="str">
        <f t="shared" si="18"/>
        <v/>
      </c>
    </row>
    <row r="1205" spans="3:7" x14ac:dyDescent="0.3">
      <c r="C1205" t="str">
        <f>IFERROR(IF(B1205="","",VLOOKUP(B1205,CadProd!$A:$B,2,0)),"")</f>
        <v/>
      </c>
      <c r="D1205" t="str">
        <f>IFERROR(IF(B1205="","",VLOOKUP(B1205,CadProd!$A:$C,3,0)),"")</f>
        <v/>
      </c>
      <c r="G1205" s="1" t="str">
        <f t="shared" si="18"/>
        <v/>
      </c>
    </row>
    <row r="1206" spans="3:7" x14ac:dyDescent="0.3">
      <c r="C1206" t="str">
        <f>IFERROR(IF(B1206="","",VLOOKUP(B1206,CadProd!$A:$B,2,0)),"")</f>
        <v/>
      </c>
      <c r="D1206" t="str">
        <f>IFERROR(IF(B1206="","",VLOOKUP(B1206,CadProd!$A:$C,3,0)),"")</f>
        <v/>
      </c>
      <c r="G1206" s="1" t="str">
        <f t="shared" si="18"/>
        <v/>
      </c>
    </row>
    <row r="1207" spans="3:7" x14ac:dyDescent="0.3">
      <c r="C1207" t="str">
        <f>IFERROR(IF(B1207="","",VLOOKUP(B1207,CadProd!$A:$B,2,0)),"")</f>
        <v/>
      </c>
      <c r="D1207" t="str">
        <f>IFERROR(IF(B1207="","",VLOOKUP(B1207,CadProd!$A:$C,3,0)),"")</f>
        <v/>
      </c>
      <c r="G1207" s="1" t="str">
        <f t="shared" si="18"/>
        <v/>
      </c>
    </row>
    <row r="1208" spans="3:7" x14ac:dyDescent="0.3">
      <c r="C1208" t="str">
        <f>IFERROR(IF(B1208="","",VLOOKUP(B1208,CadProd!$A:$B,2,0)),"")</f>
        <v/>
      </c>
      <c r="D1208" t="str">
        <f>IFERROR(IF(B1208="","",VLOOKUP(B1208,CadProd!$A:$C,3,0)),"")</f>
        <v/>
      </c>
      <c r="G1208" s="1" t="str">
        <f t="shared" si="18"/>
        <v/>
      </c>
    </row>
    <row r="1209" spans="3:7" x14ac:dyDescent="0.3">
      <c r="C1209" t="str">
        <f>IFERROR(IF(B1209="","",VLOOKUP(B1209,CadProd!$A:$B,2,0)),"")</f>
        <v/>
      </c>
      <c r="D1209" t="str">
        <f>IFERROR(IF(B1209="","",VLOOKUP(B1209,CadProd!$A:$C,3,0)),"")</f>
        <v/>
      </c>
      <c r="G1209" s="1" t="str">
        <f t="shared" si="18"/>
        <v/>
      </c>
    </row>
    <row r="1210" spans="3:7" x14ac:dyDescent="0.3">
      <c r="C1210" t="str">
        <f>IFERROR(IF(B1210="","",VLOOKUP(B1210,CadProd!$A:$B,2,0)),"")</f>
        <v/>
      </c>
      <c r="D1210" t="str">
        <f>IFERROR(IF(B1210="","",VLOOKUP(B1210,CadProd!$A:$C,3,0)),"")</f>
        <v/>
      </c>
      <c r="G1210" s="1" t="str">
        <f t="shared" si="18"/>
        <v/>
      </c>
    </row>
    <row r="1211" spans="3:7" x14ac:dyDescent="0.3">
      <c r="C1211" t="str">
        <f>IFERROR(IF(B1211="","",VLOOKUP(B1211,CadProd!$A:$B,2,0)),"")</f>
        <v/>
      </c>
      <c r="D1211" t="str">
        <f>IFERROR(IF(B1211="","",VLOOKUP(B1211,CadProd!$A:$C,3,0)),"")</f>
        <v/>
      </c>
      <c r="G1211" s="1" t="str">
        <f t="shared" si="18"/>
        <v/>
      </c>
    </row>
    <row r="1212" spans="3:7" x14ac:dyDescent="0.3">
      <c r="C1212" t="str">
        <f>IFERROR(IF(B1212="","",VLOOKUP(B1212,CadProd!$A:$B,2,0)),"")</f>
        <v/>
      </c>
      <c r="D1212" t="str">
        <f>IFERROR(IF(B1212="","",VLOOKUP(B1212,CadProd!$A:$C,3,0)),"")</f>
        <v/>
      </c>
      <c r="G1212" s="1" t="str">
        <f t="shared" si="18"/>
        <v/>
      </c>
    </row>
    <row r="1213" spans="3:7" x14ac:dyDescent="0.3">
      <c r="C1213" t="str">
        <f>IFERROR(IF(B1213="","",VLOOKUP(B1213,CadProd!$A:$B,2,0)),"")</f>
        <v/>
      </c>
      <c r="D1213" t="str">
        <f>IFERROR(IF(B1213="","",VLOOKUP(B1213,CadProd!$A:$C,3,0)),"")</f>
        <v/>
      </c>
      <c r="G1213" s="1" t="str">
        <f t="shared" si="18"/>
        <v/>
      </c>
    </row>
    <row r="1214" spans="3:7" x14ac:dyDescent="0.3">
      <c r="C1214" t="str">
        <f>IFERROR(IF(B1214="","",VLOOKUP(B1214,CadProd!$A:$B,2,0)),"")</f>
        <v/>
      </c>
      <c r="D1214" t="str">
        <f>IFERROR(IF(B1214="","",VLOOKUP(B1214,CadProd!$A:$C,3,0)),"")</f>
        <v/>
      </c>
      <c r="G1214" s="1" t="str">
        <f t="shared" si="18"/>
        <v/>
      </c>
    </row>
    <row r="1215" spans="3:7" x14ac:dyDescent="0.3">
      <c r="C1215" t="str">
        <f>IFERROR(IF(B1215="","",VLOOKUP(B1215,CadProd!$A:$B,2,0)),"")</f>
        <v/>
      </c>
      <c r="D1215" t="str">
        <f>IFERROR(IF(B1215="","",VLOOKUP(B1215,CadProd!$A:$C,3,0)),"")</f>
        <v/>
      </c>
      <c r="G1215" s="1" t="str">
        <f t="shared" si="18"/>
        <v/>
      </c>
    </row>
    <row r="1216" spans="3:7" x14ac:dyDescent="0.3">
      <c r="C1216" t="str">
        <f>IFERROR(IF(B1216="","",VLOOKUP(B1216,CadProd!$A:$B,2,0)),"")</f>
        <v/>
      </c>
      <c r="D1216" t="str">
        <f>IFERROR(IF(B1216="","",VLOOKUP(B1216,CadProd!$A:$C,3,0)),"")</f>
        <v/>
      </c>
      <c r="G1216" s="1" t="str">
        <f t="shared" si="18"/>
        <v/>
      </c>
    </row>
    <row r="1217" spans="3:7" x14ac:dyDescent="0.3">
      <c r="C1217" t="str">
        <f>IFERROR(IF(B1217="","",VLOOKUP(B1217,CadProd!$A:$B,2,0)),"")</f>
        <v/>
      </c>
      <c r="D1217" t="str">
        <f>IFERROR(IF(B1217="","",VLOOKUP(B1217,CadProd!$A:$C,3,0)),"")</f>
        <v/>
      </c>
      <c r="G1217" s="1" t="str">
        <f t="shared" si="18"/>
        <v/>
      </c>
    </row>
    <row r="1218" spans="3:7" x14ac:dyDescent="0.3">
      <c r="C1218" t="str">
        <f>IFERROR(IF(B1218="","",VLOOKUP(B1218,CadProd!$A:$B,2,0)),"")</f>
        <v/>
      </c>
      <c r="D1218" t="str">
        <f>IFERROR(IF(B1218="","",VLOOKUP(B1218,CadProd!$A:$C,3,0)),"")</f>
        <v/>
      </c>
      <c r="G1218" s="1" t="str">
        <f t="shared" si="18"/>
        <v/>
      </c>
    </row>
    <row r="1219" spans="3:7" x14ac:dyDescent="0.3">
      <c r="C1219" t="str">
        <f>IFERROR(IF(B1219="","",VLOOKUP(B1219,CadProd!$A:$B,2,0)),"")</f>
        <v/>
      </c>
      <c r="D1219" t="str">
        <f>IFERROR(IF(B1219="","",VLOOKUP(B1219,CadProd!$A:$C,3,0)),"")</f>
        <v/>
      </c>
      <c r="G1219" s="1" t="str">
        <f t="shared" si="18"/>
        <v/>
      </c>
    </row>
    <row r="1220" spans="3:7" x14ac:dyDescent="0.3">
      <c r="C1220" t="str">
        <f>IFERROR(IF(B1220="","",VLOOKUP(B1220,CadProd!$A:$B,2,0)),"")</f>
        <v/>
      </c>
      <c r="D1220" t="str">
        <f>IFERROR(IF(B1220="","",VLOOKUP(B1220,CadProd!$A:$C,3,0)),"")</f>
        <v/>
      </c>
      <c r="G1220" s="1" t="str">
        <f t="shared" si="18"/>
        <v/>
      </c>
    </row>
    <row r="1221" spans="3:7" x14ac:dyDescent="0.3">
      <c r="C1221" t="str">
        <f>IFERROR(IF(B1221="","",VLOOKUP(B1221,CadProd!$A:$B,2,0)),"")</f>
        <v/>
      </c>
      <c r="D1221" t="str">
        <f>IFERROR(IF(B1221="","",VLOOKUP(B1221,CadProd!$A:$C,3,0)),"")</f>
        <v/>
      </c>
      <c r="G1221" s="1" t="str">
        <f t="shared" si="18"/>
        <v/>
      </c>
    </row>
    <row r="1222" spans="3:7" x14ac:dyDescent="0.3">
      <c r="C1222" t="str">
        <f>IFERROR(IF(B1222="","",VLOOKUP(B1222,CadProd!$A:$B,2,0)),"")</f>
        <v/>
      </c>
      <c r="D1222" t="str">
        <f>IFERROR(IF(B1222="","",VLOOKUP(B1222,CadProd!$A:$C,3,0)),"")</f>
        <v/>
      </c>
      <c r="G1222" s="1" t="str">
        <f t="shared" si="18"/>
        <v/>
      </c>
    </row>
    <row r="1223" spans="3:7" x14ac:dyDescent="0.3">
      <c r="C1223" t="str">
        <f>IFERROR(IF(B1223="","",VLOOKUP(B1223,CadProd!$A:$B,2,0)),"")</f>
        <v/>
      </c>
      <c r="D1223" t="str">
        <f>IFERROR(IF(B1223="","",VLOOKUP(B1223,CadProd!$A:$C,3,0)),"")</f>
        <v/>
      </c>
      <c r="G1223" s="1" t="str">
        <f t="shared" si="18"/>
        <v/>
      </c>
    </row>
    <row r="1224" spans="3:7" x14ac:dyDescent="0.3">
      <c r="C1224" t="str">
        <f>IFERROR(IF(B1224="","",VLOOKUP(B1224,CadProd!$A:$B,2,0)),"")</f>
        <v/>
      </c>
      <c r="D1224" t="str">
        <f>IFERROR(IF(B1224="","",VLOOKUP(B1224,CadProd!$A:$C,3,0)),"")</f>
        <v/>
      </c>
      <c r="G1224" s="1" t="str">
        <f t="shared" si="18"/>
        <v/>
      </c>
    </row>
    <row r="1225" spans="3:7" x14ac:dyDescent="0.3">
      <c r="C1225" t="str">
        <f>IFERROR(IF(B1225="","",VLOOKUP(B1225,CadProd!$A:$B,2,0)),"")</f>
        <v/>
      </c>
      <c r="D1225" t="str">
        <f>IFERROR(IF(B1225="","",VLOOKUP(B1225,CadProd!$A:$C,3,0)),"")</f>
        <v/>
      </c>
      <c r="G1225" s="1" t="str">
        <f t="shared" si="18"/>
        <v/>
      </c>
    </row>
    <row r="1226" spans="3:7" x14ac:dyDescent="0.3">
      <c r="C1226" t="str">
        <f>IFERROR(IF(B1226="","",VLOOKUP(B1226,CadProd!$A:$B,2,0)),"")</f>
        <v/>
      </c>
      <c r="D1226" t="str">
        <f>IFERROR(IF(B1226="","",VLOOKUP(B1226,CadProd!$A:$C,3,0)),"")</f>
        <v/>
      </c>
      <c r="G1226" s="1" t="str">
        <f t="shared" si="18"/>
        <v/>
      </c>
    </row>
    <row r="1227" spans="3:7" x14ac:dyDescent="0.3">
      <c r="C1227" t="str">
        <f>IFERROR(IF(B1227="","",VLOOKUP(B1227,CadProd!$A:$B,2,0)),"")</f>
        <v/>
      </c>
      <c r="D1227" t="str">
        <f>IFERROR(IF(B1227="","",VLOOKUP(B1227,CadProd!$A:$C,3,0)),"")</f>
        <v/>
      </c>
      <c r="G1227" s="1" t="str">
        <f t="shared" ref="G1227:G1290" si="19">IFERROR(IF(B1227="","",F1227*E1227),"")</f>
        <v/>
      </c>
    </row>
    <row r="1228" spans="3:7" x14ac:dyDescent="0.3">
      <c r="C1228" t="str">
        <f>IFERROR(IF(B1228="","",VLOOKUP(B1228,CadProd!$A:$B,2,0)),"")</f>
        <v/>
      </c>
      <c r="D1228" t="str">
        <f>IFERROR(IF(B1228="","",VLOOKUP(B1228,CadProd!$A:$C,3,0)),"")</f>
        <v/>
      </c>
      <c r="G1228" s="1" t="str">
        <f t="shared" si="19"/>
        <v/>
      </c>
    </row>
    <row r="1229" spans="3:7" x14ac:dyDescent="0.3">
      <c r="C1229" t="str">
        <f>IFERROR(IF(B1229="","",VLOOKUP(B1229,CadProd!$A:$B,2,0)),"")</f>
        <v/>
      </c>
      <c r="D1229" t="str">
        <f>IFERROR(IF(B1229="","",VLOOKUP(B1229,CadProd!$A:$C,3,0)),"")</f>
        <v/>
      </c>
      <c r="G1229" s="1" t="str">
        <f t="shared" si="19"/>
        <v/>
      </c>
    </row>
    <row r="1230" spans="3:7" x14ac:dyDescent="0.3">
      <c r="C1230" t="str">
        <f>IFERROR(IF(B1230="","",VLOOKUP(B1230,CadProd!$A:$B,2,0)),"")</f>
        <v/>
      </c>
      <c r="D1230" t="str">
        <f>IFERROR(IF(B1230="","",VLOOKUP(B1230,CadProd!$A:$C,3,0)),"")</f>
        <v/>
      </c>
      <c r="G1230" s="1" t="str">
        <f t="shared" si="19"/>
        <v/>
      </c>
    </row>
    <row r="1231" spans="3:7" x14ac:dyDescent="0.3">
      <c r="C1231" t="str">
        <f>IFERROR(IF(B1231="","",VLOOKUP(B1231,CadProd!$A:$B,2,0)),"")</f>
        <v/>
      </c>
      <c r="D1231" t="str">
        <f>IFERROR(IF(B1231="","",VLOOKUP(B1231,CadProd!$A:$C,3,0)),"")</f>
        <v/>
      </c>
      <c r="G1231" s="1" t="str">
        <f t="shared" si="19"/>
        <v/>
      </c>
    </row>
    <row r="1232" spans="3:7" x14ac:dyDescent="0.3">
      <c r="C1232" t="str">
        <f>IFERROR(IF(B1232="","",VLOOKUP(B1232,CadProd!$A:$B,2,0)),"")</f>
        <v/>
      </c>
      <c r="D1232" t="str">
        <f>IFERROR(IF(B1232="","",VLOOKUP(B1232,CadProd!$A:$C,3,0)),"")</f>
        <v/>
      </c>
      <c r="G1232" s="1" t="str">
        <f t="shared" si="19"/>
        <v/>
      </c>
    </row>
    <row r="1233" spans="3:7" x14ac:dyDescent="0.3">
      <c r="C1233" t="str">
        <f>IFERROR(IF(B1233="","",VLOOKUP(B1233,CadProd!$A:$B,2,0)),"")</f>
        <v/>
      </c>
      <c r="D1233" t="str">
        <f>IFERROR(IF(B1233="","",VLOOKUP(B1233,CadProd!$A:$C,3,0)),"")</f>
        <v/>
      </c>
      <c r="G1233" s="1" t="str">
        <f t="shared" si="19"/>
        <v/>
      </c>
    </row>
    <row r="1234" spans="3:7" x14ac:dyDescent="0.3">
      <c r="C1234" t="str">
        <f>IFERROR(IF(B1234="","",VLOOKUP(B1234,CadProd!$A:$B,2,0)),"")</f>
        <v/>
      </c>
      <c r="D1234" t="str">
        <f>IFERROR(IF(B1234="","",VLOOKUP(B1234,CadProd!$A:$C,3,0)),"")</f>
        <v/>
      </c>
      <c r="G1234" s="1" t="str">
        <f t="shared" si="19"/>
        <v/>
      </c>
    </row>
    <row r="1235" spans="3:7" x14ac:dyDescent="0.3">
      <c r="C1235" t="str">
        <f>IFERROR(IF(B1235="","",VLOOKUP(B1235,CadProd!$A:$B,2,0)),"")</f>
        <v/>
      </c>
      <c r="D1235" t="str">
        <f>IFERROR(IF(B1235="","",VLOOKUP(B1235,CadProd!$A:$C,3,0)),"")</f>
        <v/>
      </c>
      <c r="G1235" s="1" t="str">
        <f t="shared" si="19"/>
        <v/>
      </c>
    </row>
    <row r="1236" spans="3:7" x14ac:dyDescent="0.3">
      <c r="C1236" t="str">
        <f>IFERROR(IF(B1236="","",VLOOKUP(B1236,CadProd!$A:$B,2,0)),"")</f>
        <v/>
      </c>
      <c r="D1236" t="str">
        <f>IFERROR(IF(B1236="","",VLOOKUP(B1236,CadProd!$A:$C,3,0)),"")</f>
        <v/>
      </c>
      <c r="G1236" s="1" t="str">
        <f t="shared" si="19"/>
        <v/>
      </c>
    </row>
    <row r="1237" spans="3:7" x14ac:dyDescent="0.3">
      <c r="C1237" t="str">
        <f>IFERROR(IF(B1237="","",VLOOKUP(B1237,CadProd!$A:$B,2,0)),"")</f>
        <v/>
      </c>
      <c r="D1237" t="str">
        <f>IFERROR(IF(B1237="","",VLOOKUP(B1237,CadProd!$A:$C,3,0)),"")</f>
        <v/>
      </c>
      <c r="G1237" s="1" t="str">
        <f t="shared" si="19"/>
        <v/>
      </c>
    </row>
    <row r="1238" spans="3:7" x14ac:dyDescent="0.3">
      <c r="C1238" t="str">
        <f>IFERROR(IF(B1238="","",VLOOKUP(B1238,CadProd!$A:$B,2,0)),"")</f>
        <v/>
      </c>
      <c r="D1238" t="str">
        <f>IFERROR(IF(B1238="","",VLOOKUP(B1238,CadProd!$A:$C,3,0)),"")</f>
        <v/>
      </c>
      <c r="G1238" s="1" t="str">
        <f t="shared" si="19"/>
        <v/>
      </c>
    </row>
    <row r="1239" spans="3:7" x14ac:dyDescent="0.3">
      <c r="C1239" t="str">
        <f>IFERROR(IF(B1239="","",VLOOKUP(B1239,CadProd!$A:$B,2,0)),"")</f>
        <v/>
      </c>
      <c r="D1239" t="str">
        <f>IFERROR(IF(B1239="","",VLOOKUP(B1239,CadProd!$A:$C,3,0)),"")</f>
        <v/>
      </c>
      <c r="G1239" s="1" t="str">
        <f t="shared" si="19"/>
        <v/>
      </c>
    </row>
    <row r="1240" spans="3:7" x14ac:dyDescent="0.3">
      <c r="C1240" t="str">
        <f>IFERROR(IF(B1240="","",VLOOKUP(B1240,CadProd!$A:$B,2,0)),"")</f>
        <v/>
      </c>
      <c r="D1240" t="str">
        <f>IFERROR(IF(B1240="","",VLOOKUP(B1240,CadProd!$A:$C,3,0)),"")</f>
        <v/>
      </c>
      <c r="G1240" s="1" t="str">
        <f t="shared" si="19"/>
        <v/>
      </c>
    </row>
    <row r="1241" spans="3:7" x14ac:dyDescent="0.3">
      <c r="C1241" t="str">
        <f>IFERROR(IF(B1241="","",VLOOKUP(B1241,CadProd!$A:$B,2,0)),"")</f>
        <v/>
      </c>
      <c r="D1241" t="str">
        <f>IFERROR(IF(B1241="","",VLOOKUP(B1241,CadProd!$A:$C,3,0)),"")</f>
        <v/>
      </c>
      <c r="G1241" s="1" t="str">
        <f t="shared" si="19"/>
        <v/>
      </c>
    </row>
    <row r="1242" spans="3:7" x14ac:dyDescent="0.3">
      <c r="C1242" t="str">
        <f>IFERROR(IF(B1242="","",VLOOKUP(B1242,CadProd!$A:$B,2,0)),"")</f>
        <v/>
      </c>
      <c r="D1242" t="str">
        <f>IFERROR(IF(B1242="","",VLOOKUP(B1242,CadProd!$A:$C,3,0)),"")</f>
        <v/>
      </c>
      <c r="G1242" s="1" t="str">
        <f t="shared" si="19"/>
        <v/>
      </c>
    </row>
    <row r="1243" spans="3:7" x14ac:dyDescent="0.3">
      <c r="C1243" t="str">
        <f>IFERROR(IF(B1243="","",VLOOKUP(B1243,CadProd!$A:$B,2,0)),"")</f>
        <v/>
      </c>
      <c r="D1243" t="str">
        <f>IFERROR(IF(B1243="","",VLOOKUP(B1243,CadProd!$A:$C,3,0)),"")</f>
        <v/>
      </c>
      <c r="G1243" s="1" t="str">
        <f t="shared" si="19"/>
        <v/>
      </c>
    </row>
    <row r="1244" spans="3:7" x14ac:dyDescent="0.3">
      <c r="C1244" t="str">
        <f>IFERROR(IF(B1244="","",VLOOKUP(B1244,CadProd!$A:$B,2,0)),"")</f>
        <v/>
      </c>
      <c r="D1244" t="str">
        <f>IFERROR(IF(B1244="","",VLOOKUP(B1244,CadProd!$A:$C,3,0)),"")</f>
        <v/>
      </c>
      <c r="G1244" s="1" t="str">
        <f t="shared" si="19"/>
        <v/>
      </c>
    </row>
    <row r="1245" spans="3:7" x14ac:dyDescent="0.3">
      <c r="C1245" t="str">
        <f>IFERROR(IF(B1245="","",VLOOKUP(B1245,CadProd!$A:$B,2,0)),"")</f>
        <v/>
      </c>
      <c r="D1245" t="str">
        <f>IFERROR(IF(B1245="","",VLOOKUP(B1245,CadProd!$A:$C,3,0)),"")</f>
        <v/>
      </c>
      <c r="G1245" s="1" t="str">
        <f t="shared" si="19"/>
        <v/>
      </c>
    </row>
    <row r="1246" spans="3:7" x14ac:dyDescent="0.3">
      <c r="C1246" t="str">
        <f>IFERROR(IF(B1246="","",VLOOKUP(B1246,CadProd!$A:$B,2,0)),"")</f>
        <v/>
      </c>
      <c r="D1246" t="str">
        <f>IFERROR(IF(B1246="","",VLOOKUP(B1246,CadProd!$A:$C,3,0)),"")</f>
        <v/>
      </c>
      <c r="G1246" s="1" t="str">
        <f t="shared" si="19"/>
        <v/>
      </c>
    </row>
    <row r="1247" spans="3:7" x14ac:dyDescent="0.3">
      <c r="C1247" t="str">
        <f>IFERROR(IF(B1247="","",VLOOKUP(B1247,CadProd!$A:$B,2,0)),"")</f>
        <v/>
      </c>
      <c r="D1247" t="str">
        <f>IFERROR(IF(B1247="","",VLOOKUP(B1247,CadProd!$A:$C,3,0)),"")</f>
        <v/>
      </c>
      <c r="G1247" s="1" t="str">
        <f t="shared" si="19"/>
        <v/>
      </c>
    </row>
    <row r="1248" spans="3:7" x14ac:dyDescent="0.3">
      <c r="C1248" t="str">
        <f>IFERROR(IF(B1248="","",VLOOKUP(B1248,CadProd!$A:$B,2,0)),"")</f>
        <v/>
      </c>
      <c r="D1248" t="str">
        <f>IFERROR(IF(B1248="","",VLOOKUP(B1248,CadProd!$A:$C,3,0)),"")</f>
        <v/>
      </c>
      <c r="G1248" s="1" t="str">
        <f t="shared" si="19"/>
        <v/>
      </c>
    </row>
    <row r="1249" spans="3:7" x14ac:dyDescent="0.3">
      <c r="C1249" t="str">
        <f>IFERROR(IF(B1249="","",VLOOKUP(B1249,CadProd!$A:$B,2,0)),"")</f>
        <v/>
      </c>
      <c r="D1249" t="str">
        <f>IFERROR(IF(B1249="","",VLOOKUP(B1249,CadProd!$A:$C,3,0)),"")</f>
        <v/>
      </c>
      <c r="G1249" s="1" t="str">
        <f t="shared" si="19"/>
        <v/>
      </c>
    </row>
    <row r="1250" spans="3:7" x14ac:dyDescent="0.3">
      <c r="C1250" t="str">
        <f>IFERROR(IF(B1250="","",VLOOKUP(B1250,CadProd!$A:$B,2,0)),"")</f>
        <v/>
      </c>
      <c r="D1250" t="str">
        <f>IFERROR(IF(B1250="","",VLOOKUP(B1250,CadProd!$A:$C,3,0)),"")</f>
        <v/>
      </c>
      <c r="G1250" s="1" t="str">
        <f t="shared" si="19"/>
        <v/>
      </c>
    </row>
    <row r="1251" spans="3:7" x14ac:dyDescent="0.3">
      <c r="C1251" t="str">
        <f>IFERROR(IF(B1251="","",VLOOKUP(B1251,CadProd!$A:$B,2,0)),"")</f>
        <v/>
      </c>
      <c r="D1251" t="str">
        <f>IFERROR(IF(B1251="","",VLOOKUP(B1251,CadProd!$A:$C,3,0)),"")</f>
        <v/>
      </c>
      <c r="G1251" s="1" t="str">
        <f t="shared" si="19"/>
        <v/>
      </c>
    </row>
    <row r="1252" spans="3:7" x14ac:dyDescent="0.3">
      <c r="C1252" t="str">
        <f>IFERROR(IF(B1252="","",VLOOKUP(B1252,CadProd!$A:$B,2,0)),"")</f>
        <v/>
      </c>
      <c r="D1252" t="str">
        <f>IFERROR(IF(B1252="","",VLOOKUP(B1252,CadProd!$A:$C,3,0)),"")</f>
        <v/>
      </c>
      <c r="G1252" s="1" t="str">
        <f t="shared" si="19"/>
        <v/>
      </c>
    </row>
    <row r="1253" spans="3:7" x14ac:dyDescent="0.3">
      <c r="C1253" t="str">
        <f>IFERROR(IF(B1253="","",VLOOKUP(B1253,CadProd!$A:$B,2,0)),"")</f>
        <v/>
      </c>
      <c r="D1253" t="str">
        <f>IFERROR(IF(B1253="","",VLOOKUP(B1253,CadProd!$A:$C,3,0)),"")</f>
        <v/>
      </c>
      <c r="G1253" s="1" t="str">
        <f t="shared" si="19"/>
        <v/>
      </c>
    </row>
    <row r="1254" spans="3:7" x14ac:dyDescent="0.3">
      <c r="C1254" t="str">
        <f>IFERROR(IF(B1254="","",VLOOKUP(B1254,CadProd!$A:$B,2,0)),"")</f>
        <v/>
      </c>
      <c r="D1254" t="str">
        <f>IFERROR(IF(B1254="","",VLOOKUP(B1254,CadProd!$A:$C,3,0)),"")</f>
        <v/>
      </c>
      <c r="G1254" s="1" t="str">
        <f t="shared" si="19"/>
        <v/>
      </c>
    </row>
    <row r="1255" spans="3:7" x14ac:dyDescent="0.3">
      <c r="C1255" t="str">
        <f>IFERROR(IF(B1255="","",VLOOKUP(B1255,CadProd!$A:$B,2,0)),"")</f>
        <v/>
      </c>
      <c r="D1255" t="str">
        <f>IFERROR(IF(B1255="","",VLOOKUP(B1255,CadProd!$A:$C,3,0)),"")</f>
        <v/>
      </c>
      <c r="G1255" s="1" t="str">
        <f t="shared" si="19"/>
        <v/>
      </c>
    </row>
    <row r="1256" spans="3:7" x14ac:dyDescent="0.3">
      <c r="C1256" t="str">
        <f>IFERROR(IF(B1256="","",VLOOKUP(B1256,CadProd!$A:$B,2,0)),"")</f>
        <v/>
      </c>
      <c r="D1256" t="str">
        <f>IFERROR(IF(B1256="","",VLOOKUP(B1256,CadProd!$A:$C,3,0)),"")</f>
        <v/>
      </c>
      <c r="G1256" s="1" t="str">
        <f t="shared" si="19"/>
        <v/>
      </c>
    </row>
    <row r="1257" spans="3:7" x14ac:dyDescent="0.3">
      <c r="C1257" t="str">
        <f>IFERROR(IF(B1257="","",VLOOKUP(B1257,CadProd!$A:$B,2,0)),"")</f>
        <v/>
      </c>
      <c r="D1257" t="str">
        <f>IFERROR(IF(B1257="","",VLOOKUP(B1257,CadProd!$A:$C,3,0)),"")</f>
        <v/>
      </c>
      <c r="G1257" s="1" t="str">
        <f t="shared" si="19"/>
        <v/>
      </c>
    </row>
    <row r="1258" spans="3:7" x14ac:dyDescent="0.3">
      <c r="C1258" t="str">
        <f>IFERROR(IF(B1258="","",VLOOKUP(B1258,CadProd!$A:$B,2,0)),"")</f>
        <v/>
      </c>
      <c r="D1258" t="str">
        <f>IFERROR(IF(B1258="","",VLOOKUP(B1258,CadProd!$A:$C,3,0)),"")</f>
        <v/>
      </c>
      <c r="G1258" s="1" t="str">
        <f t="shared" si="19"/>
        <v/>
      </c>
    </row>
    <row r="1259" spans="3:7" x14ac:dyDescent="0.3">
      <c r="C1259" t="str">
        <f>IFERROR(IF(B1259="","",VLOOKUP(B1259,CadProd!$A:$B,2,0)),"")</f>
        <v/>
      </c>
      <c r="D1259" t="str">
        <f>IFERROR(IF(B1259="","",VLOOKUP(B1259,CadProd!$A:$C,3,0)),"")</f>
        <v/>
      </c>
      <c r="G1259" s="1" t="str">
        <f t="shared" si="19"/>
        <v/>
      </c>
    </row>
    <row r="1260" spans="3:7" x14ac:dyDescent="0.3">
      <c r="C1260" t="str">
        <f>IFERROR(IF(B1260="","",VLOOKUP(B1260,CadProd!$A:$B,2,0)),"")</f>
        <v/>
      </c>
      <c r="D1260" t="str">
        <f>IFERROR(IF(B1260="","",VLOOKUP(B1260,CadProd!$A:$C,3,0)),"")</f>
        <v/>
      </c>
      <c r="G1260" s="1" t="str">
        <f t="shared" si="19"/>
        <v/>
      </c>
    </row>
    <row r="1261" spans="3:7" x14ac:dyDescent="0.3">
      <c r="C1261" t="str">
        <f>IFERROR(IF(B1261="","",VLOOKUP(B1261,CadProd!$A:$B,2,0)),"")</f>
        <v/>
      </c>
      <c r="D1261" t="str">
        <f>IFERROR(IF(B1261="","",VLOOKUP(B1261,CadProd!$A:$C,3,0)),"")</f>
        <v/>
      </c>
      <c r="G1261" s="1" t="str">
        <f t="shared" si="19"/>
        <v/>
      </c>
    </row>
    <row r="1262" spans="3:7" x14ac:dyDescent="0.3">
      <c r="C1262" t="str">
        <f>IFERROR(IF(B1262="","",VLOOKUP(B1262,CadProd!$A:$B,2,0)),"")</f>
        <v/>
      </c>
      <c r="D1262" t="str">
        <f>IFERROR(IF(B1262="","",VLOOKUP(B1262,CadProd!$A:$C,3,0)),"")</f>
        <v/>
      </c>
      <c r="G1262" s="1" t="str">
        <f t="shared" si="19"/>
        <v/>
      </c>
    </row>
    <row r="1263" spans="3:7" x14ac:dyDescent="0.3">
      <c r="C1263" t="str">
        <f>IFERROR(IF(B1263="","",VLOOKUP(B1263,CadProd!$A:$B,2,0)),"")</f>
        <v/>
      </c>
      <c r="D1263" t="str">
        <f>IFERROR(IF(B1263="","",VLOOKUP(B1263,CadProd!$A:$C,3,0)),"")</f>
        <v/>
      </c>
      <c r="G1263" s="1" t="str">
        <f t="shared" si="19"/>
        <v/>
      </c>
    </row>
    <row r="1264" spans="3:7" x14ac:dyDescent="0.3">
      <c r="C1264" t="str">
        <f>IFERROR(IF(B1264="","",VLOOKUP(B1264,CadProd!$A:$B,2,0)),"")</f>
        <v/>
      </c>
      <c r="D1264" t="str">
        <f>IFERROR(IF(B1264="","",VLOOKUP(B1264,CadProd!$A:$C,3,0)),"")</f>
        <v/>
      </c>
      <c r="G1264" s="1" t="str">
        <f t="shared" si="19"/>
        <v/>
      </c>
    </row>
    <row r="1265" spans="3:7" x14ac:dyDescent="0.3">
      <c r="C1265" t="str">
        <f>IFERROR(IF(B1265="","",VLOOKUP(B1265,CadProd!$A:$B,2,0)),"")</f>
        <v/>
      </c>
      <c r="D1265" t="str">
        <f>IFERROR(IF(B1265="","",VLOOKUP(B1265,CadProd!$A:$C,3,0)),"")</f>
        <v/>
      </c>
      <c r="G1265" s="1" t="str">
        <f t="shared" si="19"/>
        <v/>
      </c>
    </row>
    <row r="1266" spans="3:7" x14ac:dyDescent="0.3">
      <c r="C1266" t="str">
        <f>IFERROR(IF(B1266="","",VLOOKUP(B1266,CadProd!$A:$B,2,0)),"")</f>
        <v/>
      </c>
      <c r="D1266" t="str">
        <f>IFERROR(IF(B1266="","",VLOOKUP(B1266,CadProd!$A:$C,3,0)),"")</f>
        <v/>
      </c>
      <c r="G1266" s="1" t="str">
        <f t="shared" si="19"/>
        <v/>
      </c>
    </row>
    <row r="1267" spans="3:7" x14ac:dyDescent="0.3">
      <c r="C1267" t="str">
        <f>IFERROR(IF(B1267="","",VLOOKUP(B1267,CadProd!$A:$B,2,0)),"")</f>
        <v/>
      </c>
      <c r="D1267" t="str">
        <f>IFERROR(IF(B1267="","",VLOOKUP(B1267,CadProd!$A:$C,3,0)),"")</f>
        <v/>
      </c>
      <c r="G1267" s="1" t="str">
        <f t="shared" si="19"/>
        <v/>
      </c>
    </row>
    <row r="1268" spans="3:7" x14ac:dyDescent="0.3">
      <c r="C1268" t="str">
        <f>IFERROR(IF(B1268="","",VLOOKUP(B1268,CadProd!$A:$B,2,0)),"")</f>
        <v/>
      </c>
      <c r="D1268" t="str">
        <f>IFERROR(IF(B1268="","",VLOOKUP(B1268,CadProd!$A:$C,3,0)),"")</f>
        <v/>
      </c>
      <c r="G1268" s="1" t="str">
        <f t="shared" si="19"/>
        <v/>
      </c>
    </row>
    <row r="1269" spans="3:7" x14ac:dyDescent="0.3">
      <c r="C1269" t="str">
        <f>IFERROR(IF(B1269="","",VLOOKUP(B1269,CadProd!$A:$B,2,0)),"")</f>
        <v/>
      </c>
      <c r="D1269" t="str">
        <f>IFERROR(IF(B1269="","",VLOOKUP(B1269,CadProd!$A:$C,3,0)),"")</f>
        <v/>
      </c>
      <c r="G1269" s="1" t="str">
        <f t="shared" si="19"/>
        <v/>
      </c>
    </row>
    <row r="1270" spans="3:7" x14ac:dyDescent="0.3">
      <c r="C1270" t="str">
        <f>IFERROR(IF(B1270="","",VLOOKUP(B1270,CadProd!$A:$B,2,0)),"")</f>
        <v/>
      </c>
      <c r="D1270" t="str">
        <f>IFERROR(IF(B1270="","",VLOOKUP(B1270,CadProd!$A:$C,3,0)),"")</f>
        <v/>
      </c>
      <c r="G1270" s="1" t="str">
        <f t="shared" si="19"/>
        <v/>
      </c>
    </row>
    <row r="1271" spans="3:7" x14ac:dyDescent="0.3">
      <c r="C1271" t="str">
        <f>IFERROR(IF(B1271="","",VLOOKUP(B1271,CadProd!$A:$B,2,0)),"")</f>
        <v/>
      </c>
      <c r="D1271" t="str">
        <f>IFERROR(IF(B1271="","",VLOOKUP(B1271,CadProd!$A:$C,3,0)),"")</f>
        <v/>
      </c>
      <c r="G1271" s="1" t="str">
        <f t="shared" si="19"/>
        <v/>
      </c>
    </row>
    <row r="1272" spans="3:7" x14ac:dyDescent="0.3">
      <c r="C1272" t="str">
        <f>IFERROR(IF(B1272="","",VLOOKUP(B1272,CadProd!$A:$B,2,0)),"")</f>
        <v/>
      </c>
      <c r="D1272" t="str">
        <f>IFERROR(IF(B1272="","",VLOOKUP(B1272,CadProd!$A:$C,3,0)),"")</f>
        <v/>
      </c>
      <c r="G1272" s="1" t="str">
        <f t="shared" si="19"/>
        <v/>
      </c>
    </row>
    <row r="1273" spans="3:7" x14ac:dyDescent="0.3">
      <c r="C1273" t="str">
        <f>IFERROR(IF(B1273="","",VLOOKUP(B1273,CadProd!$A:$B,2,0)),"")</f>
        <v/>
      </c>
      <c r="D1273" t="str">
        <f>IFERROR(IF(B1273="","",VLOOKUP(B1273,CadProd!$A:$C,3,0)),"")</f>
        <v/>
      </c>
      <c r="G1273" s="1" t="str">
        <f t="shared" si="19"/>
        <v/>
      </c>
    </row>
    <row r="1274" spans="3:7" x14ac:dyDescent="0.3">
      <c r="C1274" t="str">
        <f>IFERROR(IF(B1274="","",VLOOKUP(B1274,CadProd!$A:$B,2,0)),"")</f>
        <v/>
      </c>
      <c r="D1274" t="str">
        <f>IFERROR(IF(B1274="","",VLOOKUP(B1274,CadProd!$A:$C,3,0)),"")</f>
        <v/>
      </c>
      <c r="G1274" s="1" t="str">
        <f t="shared" si="19"/>
        <v/>
      </c>
    </row>
    <row r="1275" spans="3:7" x14ac:dyDescent="0.3">
      <c r="C1275" t="str">
        <f>IFERROR(IF(B1275="","",VLOOKUP(B1275,CadProd!$A:$B,2,0)),"")</f>
        <v/>
      </c>
      <c r="D1275" t="str">
        <f>IFERROR(IF(B1275="","",VLOOKUP(B1275,CadProd!$A:$C,3,0)),"")</f>
        <v/>
      </c>
      <c r="G1275" s="1" t="str">
        <f t="shared" si="19"/>
        <v/>
      </c>
    </row>
    <row r="1276" spans="3:7" x14ac:dyDescent="0.3">
      <c r="C1276" t="str">
        <f>IFERROR(IF(B1276="","",VLOOKUP(B1276,CadProd!$A:$B,2,0)),"")</f>
        <v/>
      </c>
      <c r="D1276" t="str">
        <f>IFERROR(IF(B1276="","",VLOOKUP(B1276,CadProd!$A:$C,3,0)),"")</f>
        <v/>
      </c>
      <c r="G1276" s="1" t="str">
        <f t="shared" si="19"/>
        <v/>
      </c>
    </row>
    <row r="1277" spans="3:7" x14ac:dyDescent="0.3">
      <c r="C1277" t="str">
        <f>IFERROR(IF(B1277="","",VLOOKUP(B1277,CadProd!$A:$B,2,0)),"")</f>
        <v/>
      </c>
      <c r="D1277" t="str">
        <f>IFERROR(IF(B1277="","",VLOOKUP(B1277,CadProd!$A:$C,3,0)),"")</f>
        <v/>
      </c>
      <c r="G1277" s="1" t="str">
        <f t="shared" si="19"/>
        <v/>
      </c>
    </row>
    <row r="1278" spans="3:7" x14ac:dyDescent="0.3">
      <c r="C1278" t="str">
        <f>IFERROR(IF(B1278="","",VLOOKUP(B1278,CadProd!$A:$B,2,0)),"")</f>
        <v/>
      </c>
      <c r="D1278" t="str">
        <f>IFERROR(IF(B1278="","",VLOOKUP(B1278,CadProd!$A:$C,3,0)),"")</f>
        <v/>
      </c>
      <c r="G1278" s="1" t="str">
        <f t="shared" si="19"/>
        <v/>
      </c>
    </row>
    <row r="1279" spans="3:7" x14ac:dyDescent="0.3">
      <c r="C1279" t="str">
        <f>IFERROR(IF(B1279="","",VLOOKUP(B1279,CadProd!$A:$B,2,0)),"")</f>
        <v/>
      </c>
      <c r="D1279" t="str">
        <f>IFERROR(IF(B1279="","",VLOOKUP(B1279,CadProd!$A:$C,3,0)),"")</f>
        <v/>
      </c>
      <c r="G1279" s="1" t="str">
        <f t="shared" si="19"/>
        <v/>
      </c>
    </row>
    <row r="1280" spans="3:7" x14ac:dyDescent="0.3">
      <c r="C1280" t="str">
        <f>IFERROR(IF(B1280="","",VLOOKUP(B1280,CadProd!$A:$B,2,0)),"")</f>
        <v/>
      </c>
      <c r="D1280" t="str">
        <f>IFERROR(IF(B1280="","",VLOOKUP(B1280,CadProd!$A:$C,3,0)),"")</f>
        <v/>
      </c>
      <c r="G1280" s="1" t="str">
        <f t="shared" si="19"/>
        <v/>
      </c>
    </row>
    <row r="1281" spans="3:7" x14ac:dyDescent="0.3">
      <c r="C1281" t="str">
        <f>IFERROR(IF(B1281="","",VLOOKUP(B1281,CadProd!$A:$B,2,0)),"")</f>
        <v/>
      </c>
      <c r="D1281" t="str">
        <f>IFERROR(IF(B1281="","",VLOOKUP(B1281,CadProd!$A:$C,3,0)),"")</f>
        <v/>
      </c>
      <c r="G1281" s="1" t="str">
        <f t="shared" si="19"/>
        <v/>
      </c>
    </row>
    <row r="1282" spans="3:7" x14ac:dyDescent="0.3">
      <c r="C1282" t="str">
        <f>IFERROR(IF(B1282="","",VLOOKUP(B1282,CadProd!$A:$B,2,0)),"")</f>
        <v/>
      </c>
      <c r="D1282" t="str">
        <f>IFERROR(IF(B1282="","",VLOOKUP(B1282,CadProd!$A:$C,3,0)),"")</f>
        <v/>
      </c>
      <c r="G1282" s="1" t="str">
        <f t="shared" si="19"/>
        <v/>
      </c>
    </row>
    <row r="1283" spans="3:7" x14ac:dyDescent="0.3">
      <c r="C1283" t="str">
        <f>IFERROR(IF(B1283="","",VLOOKUP(B1283,CadProd!$A:$B,2,0)),"")</f>
        <v/>
      </c>
      <c r="D1283" t="str">
        <f>IFERROR(IF(B1283="","",VLOOKUP(B1283,CadProd!$A:$C,3,0)),"")</f>
        <v/>
      </c>
      <c r="G1283" s="1" t="str">
        <f t="shared" si="19"/>
        <v/>
      </c>
    </row>
    <row r="1284" spans="3:7" x14ac:dyDescent="0.3">
      <c r="C1284" t="str">
        <f>IFERROR(IF(B1284="","",VLOOKUP(B1284,CadProd!$A:$B,2,0)),"")</f>
        <v/>
      </c>
      <c r="D1284" t="str">
        <f>IFERROR(IF(B1284="","",VLOOKUP(B1284,CadProd!$A:$C,3,0)),"")</f>
        <v/>
      </c>
      <c r="G1284" s="1" t="str">
        <f t="shared" si="19"/>
        <v/>
      </c>
    </row>
    <row r="1285" spans="3:7" x14ac:dyDescent="0.3">
      <c r="C1285" t="str">
        <f>IFERROR(IF(B1285="","",VLOOKUP(B1285,CadProd!$A:$B,2,0)),"")</f>
        <v/>
      </c>
      <c r="D1285" t="str">
        <f>IFERROR(IF(B1285="","",VLOOKUP(B1285,CadProd!$A:$C,3,0)),"")</f>
        <v/>
      </c>
      <c r="G1285" s="1" t="str">
        <f t="shared" si="19"/>
        <v/>
      </c>
    </row>
    <row r="1286" spans="3:7" x14ac:dyDescent="0.3">
      <c r="C1286" t="str">
        <f>IFERROR(IF(B1286="","",VLOOKUP(B1286,CadProd!$A:$B,2,0)),"")</f>
        <v/>
      </c>
      <c r="D1286" t="str">
        <f>IFERROR(IF(B1286="","",VLOOKUP(B1286,CadProd!$A:$C,3,0)),"")</f>
        <v/>
      </c>
      <c r="G1286" s="1" t="str">
        <f t="shared" si="19"/>
        <v/>
      </c>
    </row>
    <row r="1287" spans="3:7" x14ac:dyDescent="0.3">
      <c r="C1287" t="str">
        <f>IFERROR(IF(B1287="","",VLOOKUP(B1287,CadProd!$A:$B,2,0)),"")</f>
        <v/>
      </c>
      <c r="D1287" t="str">
        <f>IFERROR(IF(B1287="","",VLOOKUP(B1287,CadProd!$A:$C,3,0)),"")</f>
        <v/>
      </c>
      <c r="G1287" s="1" t="str">
        <f t="shared" si="19"/>
        <v/>
      </c>
    </row>
    <row r="1288" spans="3:7" x14ac:dyDescent="0.3">
      <c r="C1288" t="str">
        <f>IFERROR(IF(B1288="","",VLOOKUP(B1288,CadProd!$A:$B,2,0)),"")</f>
        <v/>
      </c>
      <c r="D1288" t="str">
        <f>IFERROR(IF(B1288="","",VLOOKUP(B1288,CadProd!$A:$C,3,0)),"")</f>
        <v/>
      </c>
      <c r="G1288" s="1" t="str">
        <f t="shared" si="19"/>
        <v/>
      </c>
    </row>
    <row r="1289" spans="3:7" x14ac:dyDescent="0.3">
      <c r="C1289" t="str">
        <f>IFERROR(IF(B1289="","",VLOOKUP(B1289,CadProd!$A:$B,2,0)),"")</f>
        <v/>
      </c>
      <c r="D1289" t="str">
        <f>IFERROR(IF(B1289="","",VLOOKUP(B1289,CadProd!$A:$C,3,0)),"")</f>
        <v/>
      </c>
      <c r="G1289" s="1" t="str">
        <f t="shared" si="19"/>
        <v/>
      </c>
    </row>
    <row r="1290" spans="3:7" x14ac:dyDescent="0.3">
      <c r="C1290" t="str">
        <f>IFERROR(IF(B1290="","",VLOOKUP(B1290,CadProd!$A:$B,2,0)),"")</f>
        <v/>
      </c>
      <c r="D1290" t="str">
        <f>IFERROR(IF(B1290="","",VLOOKUP(B1290,CadProd!$A:$C,3,0)),"")</f>
        <v/>
      </c>
      <c r="G1290" s="1" t="str">
        <f t="shared" si="19"/>
        <v/>
      </c>
    </row>
    <row r="1291" spans="3:7" x14ac:dyDescent="0.3">
      <c r="C1291" t="str">
        <f>IFERROR(IF(B1291="","",VLOOKUP(B1291,CadProd!$A:$B,2,0)),"")</f>
        <v/>
      </c>
      <c r="D1291" t="str">
        <f>IFERROR(IF(B1291="","",VLOOKUP(B1291,CadProd!$A:$C,3,0)),"")</f>
        <v/>
      </c>
      <c r="G1291" s="1" t="str">
        <f t="shared" ref="G1291:G1354" si="20">IFERROR(IF(B1291="","",F1291*E1291),"")</f>
        <v/>
      </c>
    </row>
    <row r="1292" spans="3:7" x14ac:dyDescent="0.3">
      <c r="C1292" t="str">
        <f>IFERROR(IF(B1292="","",VLOOKUP(B1292,CadProd!$A:$B,2,0)),"")</f>
        <v/>
      </c>
      <c r="D1292" t="str">
        <f>IFERROR(IF(B1292="","",VLOOKUP(B1292,CadProd!$A:$C,3,0)),"")</f>
        <v/>
      </c>
      <c r="G1292" s="1" t="str">
        <f t="shared" si="20"/>
        <v/>
      </c>
    </row>
    <row r="1293" spans="3:7" x14ac:dyDescent="0.3">
      <c r="C1293" t="str">
        <f>IFERROR(IF(B1293="","",VLOOKUP(B1293,CadProd!$A:$B,2,0)),"")</f>
        <v/>
      </c>
      <c r="D1293" t="str">
        <f>IFERROR(IF(B1293="","",VLOOKUP(B1293,CadProd!$A:$C,3,0)),"")</f>
        <v/>
      </c>
      <c r="G1293" s="1" t="str">
        <f t="shared" si="20"/>
        <v/>
      </c>
    </row>
    <row r="1294" spans="3:7" x14ac:dyDescent="0.3">
      <c r="C1294" t="str">
        <f>IFERROR(IF(B1294="","",VLOOKUP(B1294,CadProd!$A:$B,2,0)),"")</f>
        <v/>
      </c>
      <c r="D1294" t="str">
        <f>IFERROR(IF(B1294="","",VLOOKUP(B1294,CadProd!$A:$C,3,0)),"")</f>
        <v/>
      </c>
      <c r="G1294" s="1" t="str">
        <f t="shared" si="20"/>
        <v/>
      </c>
    </row>
    <row r="1295" spans="3:7" x14ac:dyDescent="0.3">
      <c r="C1295" t="str">
        <f>IFERROR(IF(B1295="","",VLOOKUP(B1295,CadProd!$A:$B,2,0)),"")</f>
        <v/>
      </c>
      <c r="D1295" t="str">
        <f>IFERROR(IF(B1295="","",VLOOKUP(B1295,CadProd!$A:$C,3,0)),"")</f>
        <v/>
      </c>
      <c r="G1295" s="1" t="str">
        <f t="shared" si="20"/>
        <v/>
      </c>
    </row>
    <row r="1296" spans="3:7" x14ac:dyDescent="0.3">
      <c r="C1296" t="str">
        <f>IFERROR(IF(B1296="","",VLOOKUP(B1296,CadProd!$A:$B,2,0)),"")</f>
        <v/>
      </c>
      <c r="D1296" t="str">
        <f>IFERROR(IF(B1296="","",VLOOKUP(B1296,CadProd!$A:$C,3,0)),"")</f>
        <v/>
      </c>
      <c r="G1296" s="1" t="str">
        <f t="shared" si="20"/>
        <v/>
      </c>
    </row>
    <row r="1297" spans="3:7" x14ac:dyDescent="0.3">
      <c r="C1297" t="str">
        <f>IFERROR(IF(B1297="","",VLOOKUP(B1297,CadProd!$A:$B,2,0)),"")</f>
        <v/>
      </c>
      <c r="D1297" t="str">
        <f>IFERROR(IF(B1297="","",VLOOKUP(B1297,CadProd!$A:$C,3,0)),"")</f>
        <v/>
      </c>
      <c r="G1297" s="1" t="str">
        <f t="shared" si="20"/>
        <v/>
      </c>
    </row>
    <row r="1298" spans="3:7" x14ac:dyDescent="0.3">
      <c r="C1298" t="str">
        <f>IFERROR(IF(B1298="","",VLOOKUP(B1298,CadProd!$A:$B,2,0)),"")</f>
        <v/>
      </c>
      <c r="D1298" t="str">
        <f>IFERROR(IF(B1298="","",VLOOKUP(B1298,CadProd!$A:$C,3,0)),"")</f>
        <v/>
      </c>
      <c r="G1298" s="1" t="str">
        <f t="shared" si="20"/>
        <v/>
      </c>
    </row>
    <row r="1299" spans="3:7" x14ac:dyDescent="0.3">
      <c r="C1299" t="str">
        <f>IFERROR(IF(B1299="","",VLOOKUP(B1299,CadProd!$A:$B,2,0)),"")</f>
        <v/>
      </c>
      <c r="D1299" t="str">
        <f>IFERROR(IF(B1299="","",VLOOKUP(B1299,CadProd!$A:$C,3,0)),"")</f>
        <v/>
      </c>
      <c r="G1299" s="1" t="str">
        <f t="shared" si="20"/>
        <v/>
      </c>
    </row>
    <row r="1300" spans="3:7" x14ac:dyDescent="0.3">
      <c r="C1300" t="str">
        <f>IFERROR(IF(B1300="","",VLOOKUP(B1300,CadProd!$A:$B,2,0)),"")</f>
        <v/>
      </c>
      <c r="D1300" t="str">
        <f>IFERROR(IF(B1300="","",VLOOKUP(B1300,CadProd!$A:$C,3,0)),"")</f>
        <v/>
      </c>
      <c r="G1300" s="1" t="str">
        <f t="shared" si="20"/>
        <v/>
      </c>
    </row>
    <row r="1301" spans="3:7" x14ac:dyDescent="0.3">
      <c r="C1301" t="str">
        <f>IFERROR(IF(B1301="","",VLOOKUP(B1301,CadProd!$A:$B,2,0)),"")</f>
        <v/>
      </c>
      <c r="D1301" t="str">
        <f>IFERROR(IF(B1301="","",VLOOKUP(B1301,CadProd!$A:$C,3,0)),"")</f>
        <v/>
      </c>
      <c r="G1301" s="1" t="str">
        <f t="shared" si="20"/>
        <v/>
      </c>
    </row>
    <row r="1302" spans="3:7" x14ac:dyDescent="0.3">
      <c r="C1302" t="str">
        <f>IFERROR(IF(B1302="","",VLOOKUP(B1302,CadProd!$A:$B,2,0)),"")</f>
        <v/>
      </c>
      <c r="D1302" t="str">
        <f>IFERROR(IF(B1302="","",VLOOKUP(B1302,CadProd!$A:$C,3,0)),"")</f>
        <v/>
      </c>
      <c r="G1302" s="1" t="str">
        <f t="shared" si="20"/>
        <v/>
      </c>
    </row>
    <row r="1303" spans="3:7" x14ac:dyDescent="0.3">
      <c r="C1303" t="str">
        <f>IFERROR(IF(B1303="","",VLOOKUP(B1303,CadProd!$A:$B,2,0)),"")</f>
        <v/>
      </c>
      <c r="D1303" t="str">
        <f>IFERROR(IF(B1303="","",VLOOKUP(B1303,CadProd!$A:$C,3,0)),"")</f>
        <v/>
      </c>
      <c r="G1303" s="1" t="str">
        <f t="shared" si="20"/>
        <v/>
      </c>
    </row>
    <row r="1304" spans="3:7" x14ac:dyDescent="0.3">
      <c r="C1304" t="str">
        <f>IFERROR(IF(B1304="","",VLOOKUP(B1304,CadProd!$A:$B,2,0)),"")</f>
        <v/>
      </c>
      <c r="D1304" t="str">
        <f>IFERROR(IF(B1304="","",VLOOKUP(B1304,CadProd!$A:$C,3,0)),"")</f>
        <v/>
      </c>
      <c r="G1304" s="1" t="str">
        <f t="shared" si="20"/>
        <v/>
      </c>
    </row>
    <row r="1305" spans="3:7" x14ac:dyDescent="0.3">
      <c r="C1305" t="str">
        <f>IFERROR(IF(B1305="","",VLOOKUP(B1305,CadProd!$A:$B,2,0)),"")</f>
        <v/>
      </c>
      <c r="D1305" t="str">
        <f>IFERROR(IF(B1305="","",VLOOKUP(B1305,CadProd!$A:$C,3,0)),"")</f>
        <v/>
      </c>
      <c r="G1305" s="1" t="str">
        <f t="shared" si="20"/>
        <v/>
      </c>
    </row>
    <row r="1306" spans="3:7" x14ac:dyDescent="0.3">
      <c r="C1306" t="str">
        <f>IFERROR(IF(B1306="","",VLOOKUP(B1306,CadProd!$A:$B,2,0)),"")</f>
        <v/>
      </c>
      <c r="D1306" t="str">
        <f>IFERROR(IF(B1306="","",VLOOKUP(B1306,CadProd!$A:$C,3,0)),"")</f>
        <v/>
      </c>
      <c r="G1306" s="1" t="str">
        <f t="shared" si="20"/>
        <v/>
      </c>
    </row>
    <row r="1307" spans="3:7" x14ac:dyDescent="0.3">
      <c r="C1307" t="str">
        <f>IFERROR(IF(B1307="","",VLOOKUP(B1307,CadProd!$A:$B,2,0)),"")</f>
        <v/>
      </c>
      <c r="D1307" t="str">
        <f>IFERROR(IF(B1307="","",VLOOKUP(B1307,CadProd!$A:$C,3,0)),"")</f>
        <v/>
      </c>
      <c r="G1307" s="1" t="str">
        <f t="shared" si="20"/>
        <v/>
      </c>
    </row>
    <row r="1308" spans="3:7" x14ac:dyDescent="0.3">
      <c r="C1308" t="str">
        <f>IFERROR(IF(B1308="","",VLOOKUP(B1308,CadProd!$A:$B,2,0)),"")</f>
        <v/>
      </c>
      <c r="D1308" t="str">
        <f>IFERROR(IF(B1308="","",VLOOKUP(B1308,CadProd!$A:$C,3,0)),"")</f>
        <v/>
      </c>
      <c r="G1308" s="1" t="str">
        <f t="shared" si="20"/>
        <v/>
      </c>
    </row>
    <row r="1309" spans="3:7" x14ac:dyDescent="0.3">
      <c r="C1309" t="str">
        <f>IFERROR(IF(B1309="","",VLOOKUP(B1309,CadProd!$A:$B,2,0)),"")</f>
        <v/>
      </c>
      <c r="D1309" t="str">
        <f>IFERROR(IF(B1309="","",VLOOKUP(B1309,CadProd!$A:$C,3,0)),"")</f>
        <v/>
      </c>
      <c r="G1309" s="1" t="str">
        <f t="shared" si="20"/>
        <v/>
      </c>
    </row>
    <row r="1310" spans="3:7" x14ac:dyDescent="0.3">
      <c r="C1310" t="str">
        <f>IFERROR(IF(B1310="","",VLOOKUP(B1310,CadProd!$A:$B,2,0)),"")</f>
        <v/>
      </c>
      <c r="D1310" t="str">
        <f>IFERROR(IF(B1310="","",VLOOKUP(B1310,CadProd!$A:$C,3,0)),"")</f>
        <v/>
      </c>
      <c r="G1310" s="1" t="str">
        <f t="shared" si="20"/>
        <v/>
      </c>
    </row>
    <row r="1311" spans="3:7" x14ac:dyDescent="0.3">
      <c r="C1311" t="str">
        <f>IFERROR(IF(B1311="","",VLOOKUP(B1311,CadProd!$A:$B,2,0)),"")</f>
        <v/>
      </c>
      <c r="D1311" t="str">
        <f>IFERROR(IF(B1311="","",VLOOKUP(B1311,CadProd!$A:$C,3,0)),"")</f>
        <v/>
      </c>
      <c r="G1311" s="1" t="str">
        <f t="shared" si="20"/>
        <v/>
      </c>
    </row>
    <row r="1312" spans="3:7" x14ac:dyDescent="0.3">
      <c r="C1312" t="str">
        <f>IFERROR(IF(B1312="","",VLOOKUP(B1312,CadProd!$A:$B,2,0)),"")</f>
        <v/>
      </c>
      <c r="D1312" t="str">
        <f>IFERROR(IF(B1312="","",VLOOKUP(B1312,CadProd!$A:$C,3,0)),"")</f>
        <v/>
      </c>
      <c r="G1312" s="1" t="str">
        <f t="shared" si="20"/>
        <v/>
      </c>
    </row>
    <row r="1313" spans="3:7" x14ac:dyDescent="0.3">
      <c r="C1313" t="str">
        <f>IFERROR(IF(B1313="","",VLOOKUP(B1313,CadProd!$A:$B,2,0)),"")</f>
        <v/>
      </c>
      <c r="D1313" t="str">
        <f>IFERROR(IF(B1313="","",VLOOKUP(B1313,CadProd!$A:$C,3,0)),"")</f>
        <v/>
      </c>
      <c r="G1313" s="1" t="str">
        <f t="shared" si="20"/>
        <v/>
      </c>
    </row>
    <row r="1314" spans="3:7" x14ac:dyDescent="0.3">
      <c r="C1314" t="str">
        <f>IFERROR(IF(B1314="","",VLOOKUP(B1314,CadProd!$A:$B,2,0)),"")</f>
        <v/>
      </c>
      <c r="D1314" t="str">
        <f>IFERROR(IF(B1314="","",VLOOKUP(B1314,CadProd!$A:$C,3,0)),"")</f>
        <v/>
      </c>
      <c r="G1314" s="1" t="str">
        <f t="shared" si="20"/>
        <v/>
      </c>
    </row>
    <row r="1315" spans="3:7" x14ac:dyDescent="0.3">
      <c r="C1315" t="str">
        <f>IFERROR(IF(B1315="","",VLOOKUP(B1315,CadProd!$A:$B,2,0)),"")</f>
        <v/>
      </c>
      <c r="D1315" t="str">
        <f>IFERROR(IF(B1315="","",VLOOKUP(B1315,CadProd!$A:$C,3,0)),"")</f>
        <v/>
      </c>
      <c r="G1315" s="1" t="str">
        <f t="shared" si="20"/>
        <v/>
      </c>
    </row>
    <row r="1316" spans="3:7" x14ac:dyDescent="0.3">
      <c r="C1316" t="str">
        <f>IFERROR(IF(B1316="","",VLOOKUP(B1316,CadProd!$A:$B,2,0)),"")</f>
        <v/>
      </c>
      <c r="D1316" t="str">
        <f>IFERROR(IF(B1316="","",VLOOKUP(B1316,CadProd!$A:$C,3,0)),"")</f>
        <v/>
      </c>
      <c r="G1316" s="1" t="str">
        <f t="shared" si="20"/>
        <v/>
      </c>
    </row>
    <row r="1317" spans="3:7" x14ac:dyDescent="0.3">
      <c r="C1317" t="str">
        <f>IFERROR(IF(B1317="","",VLOOKUP(B1317,CadProd!$A:$B,2,0)),"")</f>
        <v/>
      </c>
      <c r="D1317" t="str">
        <f>IFERROR(IF(B1317="","",VLOOKUP(B1317,CadProd!$A:$C,3,0)),"")</f>
        <v/>
      </c>
      <c r="G1317" s="1" t="str">
        <f t="shared" si="20"/>
        <v/>
      </c>
    </row>
    <row r="1318" spans="3:7" x14ac:dyDescent="0.3">
      <c r="C1318" t="str">
        <f>IFERROR(IF(B1318="","",VLOOKUP(B1318,CadProd!$A:$B,2,0)),"")</f>
        <v/>
      </c>
      <c r="D1318" t="str">
        <f>IFERROR(IF(B1318="","",VLOOKUP(B1318,CadProd!$A:$C,3,0)),"")</f>
        <v/>
      </c>
      <c r="G1318" s="1" t="str">
        <f t="shared" si="20"/>
        <v/>
      </c>
    </row>
    <row r="1319" spans="3:7" x14ac:dyDescent="0.3">
      <c r="C1319" t="str">
        <f>IFERROR(IF(B1319="","",VLOOKUP(B1319,CadProd!$A:$B,2,0)),"")</f>
        <v/>
      </c>
      <c r="D1319" t="str">
        <f>IFERROR(IF(B1319="","",VLOOKUP(B1319,CadProd!$A:$C,3,0)),"")</f>
        <v/>
      </c>
      <c r="G1319" s="1" t="str">
        <f t="shared" si="20"/>
        <v/>
      </c>
    </row>
    <row r="1320" spans="3:7" x14ac:dyDescent="0.3">
      <c r="C1320" t="str">
        <f>IFERROR(IF(B1320="","",VLOOKUP(B1320,CadProd!$A:$B,2,0)),"")</f>
        <v/>
      </c>
      <c r="D1320" t="str">
        <f>IFERROR(IF(B1320="","",VLOOKUP(B1320,CadProd!$A:$C,3,0)),"")</f>
        <v/>
      </c>
      <c r="G1320" s="1" t="str">
        <f t="shared" si="20"/>
        <v/>
      </c>
    </row>
    <row r="1321" spans="3:7" x14ac:dyDescent="0.3">
      <c r="C1321" t="str">
        <f>IFERROR(IF(B1321="","",VLOOKUP(B1321,CadProd!$A:$B,2,0)),"")</f>
        <v/>
      </c>
      <c r="D1321" t="str">
        <f>IFERROR(IF(B1321="","",VLOOKUP(B1321,CadProd!$A:$C,3,0)),"")</f>
        <v/>
      </c>
      <c r="G1321" s="1" t="str">
        <f t="shared" si="20"/>
        <v/>
      </c>
    </row>
    <row r="1322" spans="3:7" x14ac:dyDescent="0.3">
      <c r="C1322" t="str">
        <f>IFERROR(IF(B1322="","",VLOOKUP(B1322,CadProd!$A:$B,2,0)),"")</f>
        <v/>
      </c>
      <c r="D1322" t="str">
        <f>IFERROR(IF(B1322="","",VLOOKUP(B1322,CadProd!$A:$C,3,0)),"")</f>
        <v/>
      </c>
      <c r="G1322" s="1" t="str">
        <f t="shared" si="20"/>
        <v/>
      </c>
    </row>
    <row r="1323" spans="3:7" x14ac:dyDescent="0.3">
      <c r="C1323" t="str">
        <f>IFERROR(IF(B1323="","",VLOOKUP(B1323,CadProd!$A:$B,2,0)),"")</f>
        <v/>
      </c>
      <c r="D1323" t="str">
        <f>IFERROR(IF(B1323="","",VLOOKUP(B1323,CadProd!$A:$C,3,0)),"")</f>
        <v/>
      </c>
      <c r="G1323" s="1" t="str">
        <f t="shared" si="20"/>
        <v/>
      </c>
    </row>
    <row r="1324" spans="3:7" x14ac:dyDescent="0.3">
      <c r="C1324" t="str">
        <f>IFERROR(IF(B1324="","",VLOOKUP(B1324,CadProd!$A:$B,2,0)),"")</f>
        <v/>
      </c>
      <c r="D1324" t="str">
        <f>IFERROR(IF(B1324="","",VLOOKUP(B1324,CadProd!$A:$C,3,0)),"")</f>
        <v/>
      </c>
      <c r="G1324" s="1" t="str">
        <f t="shared" si="20"/>
        <v/>
      </c>
    </row>
    <row r="1325" spans="3:7" x14ac:dyDescent="0.3">
      <c r="C1325" t="str">
        <f>IFERROR(IF(B1325="","",VLOOKUP(B1325,CadProd!$A:$B,2,0)),"")</f>
        <v/>
      </c>
      <c r="D1325" t="str">
        <f>IFERROR(IF(B1325="","",VLOOKUP(B1325,CadProd!$A:$C,3,0)),"")</f>
        <v/>
      </c>
      <c r="G1325" s="1" t="str">
        <f t="shared" si="20"/>
        <v/>
      </c>
    </row>
    <row r="1326" spans="3:7" x14ac:dyDescent="0.3">
      <c r="C1326" t="str">
        <f>IFERROR(IF(B1326="","",VLOOKUP(B1326,CadProd!$A:$B,2,0)),"")</f>
        <v/>
      </c>
      <c r="D1326" t="str">
        <f>IFERROR(IF(B1326="","",VLOOKUP(B1326,CadProd!$A:$C,3,0)),"")</f>
        <v/>
      </c>
      <c r="G1326" s="1" t="str">
        <f t="shared" si="20"/>
        <v/>
      </c>
    </row>
    <row r="1327" spans="3:7" x14ac:dyDescent="0.3">
      <c r="C1327" t="str">
        <f>IFERROR(IF(B1327="","",VLOOKUP(B1327,CadProd!$A:$B,2,0)),"")</f>
        <v/>
      </c>
      <c r="D1327" t="str">
        <f>IFERROR(IF(B1327="","",VLOOKUP(B1327,CadProd!$A:$C,3,0)),"")</f>
        <v/>
      </c>
      <c r="G1327" s="1" t="str">
        <f t="shared" si="20"/>
        <v/>
      </c>
    </row>
    <row r="1328" spans="3:7" x14ac:dyDescent="0.3">
      <c r="C1328" t="str">
        <f>IFERROR(IF(B1328="","",VLOOKUP(B1328,CadProd!$A:$B,2,0)),"")</f>
        <v/>
      </c>
      <c r="D1328" t="str">
        <f>IFERROR(IF(B1328="","",VLOOKUP(B1328,CadProd!$A:$C,3,0)),"")</f>
        <v/>
      </c>
      <c r="G1328" s="1" t="str">
        <f t="shared" si="20"/>
        <v/>
      </c>
    </row>
    <row r="1329" spans="3:7" x14ac:dyDescent="0.3">
      <c r="C1329" t="str">
        <f>IFERROR(IF(B1329="","",VLOOKUP(B1329,CadProd!$A:$B,2,0)),"")</f>
        <v/>
      </c>
      <c r="D1329" t="str">
        <f>IFERROR(IF(B1329="","",VLOOKUP(B1329,CadProd!$A:$C,3,0)),"")</f>
        <v/>
      </c>
      <c r="G1329" s="1" t="str">
        <f t="shared" si="20"/>
        <v/>
      </c>
    </row>
    <row r="1330" spans="3:7" x14ac:dyDescent="0.3">
      <c r="C1330" t="str">
        <f>IFERROR(IF(B1330="","",VLOOKUP(B1330,CadProd!$A:$B,2,0)),"")</f>
        <v/>
      </c>
      <c r="D1330" t="str">
        <f>IFERROR(IF(B1330="","",VLOOKUP(B1330,CadProd!$A:$C,3,0)),"")</f>
        <v/>
      </c>
      <c r="G1330" s="1" t="str">
        <f t="shared" si="20"/>
        <v/>
      </c>
    </row>
    <row r="1331" spans="3:7" x14ac:dyDescent="0.3">
      <c r="C1331" t="str">
        <f>IFERROR(IF(B1331="","",VLOOKUP(B1331,CadProd!$A:$B,2,0)),"")</f>
        <v/>
      </c>
      <c r="D1331" t="str">
        <f>IFERROR(IF(B1331="","",VLOOKUP(B1331,CadProd!$A:$C,3,0)),"")</f>
        <v/>
      </c>
      <c r="G1331" s="1" t="str">
        <f t="shared" si="20"/>
        <v/>
      </c>
    </row>
    <row r="1332" spans="3:7" x14ac:dyDescent="0.3">
      <c r="C1332" t="str">
        <f>IFERROR(IF(B1332="","",VLOOKUP(B1332,CadProd!$A:$B,2,0)),"")</f>
        <v/>
      </c>
      <c r="D1332" t="str">
        <f>IFERROR(IF(B1332="","",VLOOKUP(B1332,CadProd!$A:$C,3,0)),"")</f>
        <v/>
      </c>
      <c r="G1332" s="1" t="str">
        <f t="shared" si="20"/>
        <v/>
      </c>
    </row>
    <row r="1333" spans="3:7" x14ac:dyDescent="0.3">
      <c r="C1333" t="str">
        <f>IFERROR(IF(B1333="","",VLOOKUP(B1333,CadProd!$A:$B,2,0)),"")</f>
        <v/>
      </c>
      <c r="D1333" t="str">
        <f>IFERROR(IF(B1333="","",VLOOKUP(B1333,CadProd!$A:$C,3,0)),"")</f>
        <v/>
      </c>
      <c r="G1333" s="1" t="str">
        <f t="shared" si="20"/>
        <v/>
      </c>
    </row>
    <row r="1334" spans="3:7" x14ac:dyDescent="0.3">
      <c r="C1334" t="str">
        <f>IFERROR(IF(B1334="","",VLOOKUP(B1334,CadProd!$A:$B,2,0)),"")</f>
        <v/>
      </c>
      <c r="D1334" t="str">
        <f>IFERROR(IF(B1334="","",VLOOKUP(B1334,CadProd!$A:$C,3,0)),"")</f>
        <v/>
      </c>
      <c r="G1334" s="1" t="str">
        <f t="shared" si="20"/>
        <v/>
      </c>
    </row>
    <row r="1335" spans="3:7" x14ac:dyDescent="0.3">
      <c r="C1335" t="str">
        <f>IFERROR(IF(B1335="","",VLOOKUP(B1335,CadProd!$A:$B,2,0)),"")</f>
        <v/>
      </c>
      <c r="D1335" t="str">
        <f>IFERROR(IF(B1335="","",VLOOKUP(B1335,CadProd!$A:$C,3,0)),"")</f>
        <v/>
      </c>
      <c r="G1335" s="1" t="str">
        <f t="shared" si="20"/>
        <v/>
      </c>
    </row>
    <row r="1336" spans="3:7" x14ac:dyDescent="0.3">
      <c r="C1336" t="str">
        <f>IFERROR(IF(B1336="","",VLOOKUP(B1336,CadProd!$A:$B,2,0)),"")</f>
        <v/>
      </c>
      <c r="D1336" t="str">
        <f>IFERROR(IF(B1336="","",VLOOKUP(B1336,CadProd!$A:$C,3,0)),"")</f>
        <v/>
      </c>
      <c r="G1336" s="1" t="str">
        <f t="shared" si="20"/>
        <v/>
      </c>
    </row>
    <row r="1337" spans="3:7" x14ac:dyDescent="0.3">
      <c r="C1337" t="str">
        <f>IFERROR(IF(B1337="","",VLOOKUP(B1337,CadProd!$A:$B,2,0)),"")</f>
        <v/>
      </c>
      <c r="D1337" t="str">
        <f>IFERROR(IF(B1337="","",VLOOKUP(B1337,CadProd!$A:$C,3,0)),"")</f>
        <v/>
      </c>
      <c r="G1337" s="1" t="str">
        <f t="shared" si="20"/>
        <v/>
      </c>
    </row>
    <row r="1338" spans="3:7" x14ac:dyDescent="0.3">
      <c r="C1338" t="str">
        <f>IFERROR(IF(B1338="","",VLOOKUP(B1338,CadProd!$A:$B,2,0)),"")</f>
        <v/>
      </c>
      <c r="D1338" t="str">
        <f>IFERROR(IF(B1338="","",VLOOKUP(B1338,CadProd!$A:$C,3,0)),"")</f>
        <v/>
      </c>
      <c r="G1338" s="1" t="str">
        <f t="shared" si="20"/>
        <v/>
      </c>
    </row>
    <row r="1339" spans="3:7" x14ac:dyDescent="0.3">
      <c r="C1339" t="str">
        <f>IFERROR(IF(B1339="","",VLOOKUP(B1339,CadProd!$A:$B,2,0)),"")</f>
        <v/>
      </c>
      <c r="D1339" t="str">
        <f>IFERROR(IF(B1339="","",VLOOKUP(B1339,CadProd!$A:$C,3,0)),"")</f>
        <v/>
      </c>
      <c r="G1339" s="1" t="str">
        <f t="shared" si="20"/>
        <v/>
      </c>
    </row>
    <row r="1340" spans="3:7" x14ac:dyDescent="0.3">
      <c r="C1340" t="str">
        <f>IFERROR(IF(B1340="","",VLOOKUP(B1340,CadProd!$A:$B,2,0)),"")</f>
        <v/>
      </c>
      <c r="D1340" t="str">
        <f>IFERROR(IF(B1340="","",VLOOKUP(B1340,CadProd!$A:$C,3,0)),"")</f>
        <v/>
      </c>
      <c r="G1340" s="1" t="str">
        <f t="shared" si="20"/>
        <v/>
      </c>
    </row>
    <row r="1341" spans="3:7" x14ac:dyDescent="0.3">
      <c r="C1341" t="str">
        <f>IFERROR(IF(B1341="","",VLOOKUP(B1341,CadProd!$A:$B,2,0)),"")</f>
        <v/>
      </c>
      <c r="D1341" t="str">
        <f>IFERROR(IF(B1341="","",VLOOKUP(B1341,CadProd!$A:$C,3,0)),"")</f>
        <v/>
      </c>
      <c r="G1341" s="1" t="str">
        <f t="shared" si="20"/>
        <v/>
      </c>
    </row>
    <row r="1342" spans="3:7" x14ac:dyDescent="0.3">
      <c r="C1342" t="str">
        <f>IFERROR(IF(B1342="","",VLOOKUP(B1342,CadProd!$A:$B,2,0)),"")</f>
        <v/>
      </c>
      <c r="D1342" t="str">
        <f>IFERROR(IF(B1342="","",VLOOKUP(B1342,CadProd!$A:$C,3,0)),"")</f>
        <v/>
      </c>
      <c r="G1342" s="1" t="str">
        <f t="shared" si="20"/>
        <v/>
      </c>
    </row>
    <row r="1343" spans="3:7" x14ac:dyDescent="0.3">
      <c r="C1343" t="str">
        <f>IFERROR(IF(B1343="","",VLOOKUP(B1343,CadProd!$A:$B,2,0)),"")</f>
        <v/>
      </c>
      <c r="D1343" t="str">
        <f>IFERROR(IF(B1343="","",VLOOKUP(B1343,CadProd!$A:$C,3,0)),"")</f>
        <v/>
      </c>
      <c r="G1343" s="1" t="str">
        <f t="shared" si="20"/>
        <v/>
      </c>
    </row>
    <row r="1344" spans="3:7" x14ac:dyDescent="0.3">
      <c r="C1344" t="str">
        <f>IFERROR(IF(B1344="","",VLOOKUP(B1344,CadProd!$A:$B,2,0)),"")</f>
        <v/>
      </c>
      <c r="D1344" t="str">
        <f>IFERROR(IF(B1344="","",VLOOKUP(B1344,CadProd!$A:$C,3,0)),"")</f>
        <v/>
      </c>
      <c r="G1344" s="1" t="str">
        <f t="shared" si="20"/>
        <v/>
      </c>
    </row>
    <row r="1345" spans="3:7" x14ac:dyDescent="0.3">
      <c r="C1345" t="str">
        <f>IFERROR(IF(B1345="","",VLOOKUP(B1345,CadProd!$A:$B,2,0)),"")</f>
        <v/>
      </c>
      <c r="D1345" t="str">
        <f>IFERROR(IF(B1345="","",VLOOKUP(B1345,CadProd!$A:$C,3,0)),"")</f>
        <v/>
      </c>
      <c r="G1345" s="1" t="str">
        <f t="shared" si="20"/>
        <v/>
      </c>
    </row>
    <row r="1346" spans="3:7" x14ac:dyDescent="0.3">
      <c r="C1346" t="str">
        <f>IFERROR(IF(B1346="","",VLOOKUP(B1346,CadProd!$A:$B,2,0)),"")</f>
        <v/>
      </c>
      <c r="D1346" t="str">
        <f>IFERROR(IF(B1346="","",VLOOKUP(B1346,CadProd!$A:$C,3,0)),"")</f>
        <v/>
      </c>
      <c r="G1346" s="1" t="str">
        <f t="shared" si="20"/>
        <v/>
      </c>
    </row>
    <row r="1347" spans="3:7" x14ac:dyDescent="0.3">
      <c r="C1347" t="str">
        <f>IFERROR(IF(B1347="","",VLOOKUP(B1347,CadProd!$A:$B,2,0)),"")</f>
        <v/>
      </c>
      <c r="D1347" t="str">
        <f>IFERROR(IF(B1347="","",VLOOKUP(B1347,CadProd!$A:$C,3,0)),"")</f>
        <v/>
      </c>
      <c r="G1347" s="1" t="str">
        <f t="shared" si="20"/>
        <v/>
      </c>
    </row>
    <row r="1348" spans="3:7" x14ac:dyDescent="0.3">
      <c r="C1348" t="str">
        <f>IFERROR(IF(B1348="","",VLOOKUP(B1348,CadProd!$A:$B,2,0)),"")</f>
        <v/>
      </c>
      <c r="D1348" t="str">
        <f>IFERROR(IF(B1348="","",VLOOKUP(B1348,CadProd!$A:$C,3,0)),"")</f>
        <v/>
      </c>
      <c r="G1348" s="1" t="str">
        <f t="shared" si="20"/>
        <v/>
      </c>
    </row>
    <row r="1349" spans="3:7" x14ac:dyDescent="0.3">
      <c r="C1349" t="str">
        <f>IFERROR(IF(B1349="","",VLOOKUP(B1349,CadProd!$A:$B,2,0)),"")</f>
        <v/>
      </c>
      <c r="D1349" t="str">
        <f>IFERROR(IF(B1349="","",VLOOKUP(B1349,CadProd!$A:$C,3,0)),"")</f>
        <v/>
      </c>
      <c r="G1349" s="1" t="str">
        <f t="shared" si="20"/>
        <v/>
      </c>
    </row>
    <row r="1350" spans="3:7" x14ac:dyDescent="0.3">
      <c r="C1350" t="str">
        <f>IFERROR(IF(B1350="","",VLOOKUP(B1350,CadProd!$A:$B,2,0)),"")</f>
        <v/>
      </c>
      <c r="D1350" t="str">
        <f>IFERROR(IF(B1350="","",VLOOKUP(B1350,CadProd!$A:$C,3,0)),"")</f>
        <v/>
      </c>
      <c r="G1350" s="1" t="str">
        <f t="shared" si="20"/>
        <v/>
      </c>
    </row>
    <row r="1351" spans="3:7" x14ac:dyDescent="0.3">
      <c r="C1351" t="str">
        <f>IFERROR(IF(B1351="","",VLOOKUP(B1351,CadProd!$A:$B,2,0)),"")</f>
        <v/>
      </c>
      <c r="D1351" t="str">
        <f>IFERROR(IF(B1351="","",VLOOKUP(B1351,CadProd!$A:$C,3,0)),"")</f>
        <v/>
      </c>
      <c r="G1351" s="1" t="str">
        <f t="shared" si="20"/>
        <v/>
      </c>
    </row>
    <row r="1352" spans="3:7" x14ac:dyDescent="0.3">
      <c r="C1352" t="str">
        <f>IFERROR(IF(B1352="","",VLOOKUP(B1352,CadProd!$A:$B,2,0)),"")</f>
        <v/>
      </c>
      <c r="D1352" t="str">
        <f>IFERROR(IF(B1352="","",VLOOKUP(B1352,CadProd!$A:$C,3,0)),"")</f>
        <v/>
      </c>
      <c r="G1352" s="1" t="str">
        <f t="shared" si="20"/>
        <v/>
      </c>
    </row>
    <row r="1353" spans="3:7" x14ac:dyDescent="0.3">
      <c r="C1353" t="str">
        <f>IFERROR(IF(B1353="","",VLOOKUP(B1353,CadProd!$A:$B,2,0)),"")</f>
        <v/>
      </c>
      <c r="D1353" t="str">
        <f>IFERROR(IF(B1353="","",VLOOKUP(B1353,CadProd!$A:$C,3,0)),"")</f>
        <v/>
      </c>
      <c r="G1353" s="1" t="str">
        <f t="shared" si="20"/>
        <v/>
      </c>
    </row>
    <row r="1354" spans="3:7" x14ac:dyDescent="0.3">
      <c r="C1354" t="str">
        <f>IFERROR(IF(B1354="","",VLOOKUP(B1354,CadProd!$A:$B,2,0)),"")</f>
        <v/>
      </c>
      <c r="D1354" t="str">
        <f>IFERROR(IF(B1354="","",VLOOKUP(B1354,CadProd!$A:$C,3,0)),"")</f>
        <v/>
      </c>
      <c r="G1354" s="1" t="str">
        <f t="shared" si="20"/>
        <v/>
      </c>
    </row>
    <row r="1355" spans="3:7" x14ac:dyDescent="0.3">
      <c r="C1355" t="str">
        <f>IFERROR(IF(B1355="","",VLOOKUP(B1355,CadProd!$A:$B,2,0)),"")</f>
        <v/>
      </c>
      <c r="D1355" t="str">
        <f>IFERROR(IF(B1355="","",VLOOKUP(B1355,CadProd!$A:$C,3,0)),"")</f>
        <v/>
      </c>
      <c r="G1355" s="1" t="str">
        <f t="shared" ref="G1355:G1418" si="21">IFERROR(IF(B1355="","",F1355*E1355),"")</f>
        <v/>
      </c>
    </row>
    <row r="1356" spans="3:7" x14ac:dyDescent="0.3">
      <c r="C1356" t="str">
        <f>IFERROR(IF(B1356="","",VLOOKUP(B1356,CadProd!$A:$B,2,0)),"")</f>
        <v/>
      </c>
      <c r="D1356" t="str">
        <f>IFERROR(IF(B1356="","",VLOOKUP(B1356,CadProd!$A:$C,3,0)),"")</f>
        <v/>
      </c>
      <c r="G1356" s="1" t="str">
        <f t="shared" si="21"/>
        <v/>
      </c>
    </row>
    <row r="1357" spans="3:7" x14ac:dyDescent="0.3">
      <c r="C1357" t="str">
        <f>IFERROR(IF(B1357="","",VLOOKUP(B1357,CadProd!$A:$B,2,0)),"")</f>
        <v/>
      </c>
      <c r="D1357" t="str">
        <f>IFERROR(IF(B1357="","",VLOOKUP(B1357,CadProd!$A:$C,3,0)),"")</f>
        <v/>
      </c>
      <c r="G1357" s="1" t="str">
        <f t="shared" si="21"/>
        <v/>
      </c>
    </row>
    <row r="1358" spans="3:7" x14ac:dyDescent="0.3">
      <c r="C1358" t="str">
        <f>IFERROR(IF(B1358="","",VLOOKUP(B1358,CadProd!$A:$B,2,0)),"")</f>
        <v/>
      </c>
      <c r="D1358" t="str">
        <f>IFERROR(IF(B1358="","",VLOOKUP(B1358,CadProd!$A:$C,3,0)),"")</f>
        <v/>
      </c>
      <c r="G1358" s="1" t="str">
        <f t="shared" si="21"/>
        <v/>
      </c>
    </row>
    <row r="1359" spans="3:7" x14ac:dyDescent="0.3">
      <c r="C1359" t="str">
        <f>IFERROR(IF(B1359="","",VLOOKUP(B1359,CadProd!$A:$B,2,0)),"")</f>
        <v/>
      </c>
      <c r="D1359" t="str">
        <f>IFERROR(IF(B1359="","",VLOOKUP(B1359,CadProd!$A:$C,3,0)),"")</f>
        <v/>
      </c>
      <c r="G1359" s="1" t="str">
        <f t="shared" si="21"/>
        <v/>
      </c>
    </row>
    <row r="1360" spans="3:7" x14ac:dyDescent="0.3">
      <c r="C1360" t="str">
        <f>IFERROR(IF(B1360="","",VLOOKUP(B1360,CadProd!$A:$B,2,0)),"")</f>
        <v/>
      </c>
      <c r="D1360" t="str">
        <f>IFERROR(IF(B1360="","",VLOOKUP(B1360,CadProd!$A:$C,3,0)),"")</f>
        <v/>
      </c>
      <c r="G1360" s="1" t="str">
        <f t="shared" si="21"/>
        <v/>
      </c>
    </row>
    <row r="1361" spans="3:7" x14ac:dyDescent="0.3">
      <c r="C1361" t="str">
        <f>IFERROR(IF(B1361="","",VLOOKUP(B1361,CadProd!$A:$B,2,0)),"")</f>
        <v/>
      </c>
      <c r="D1361" t="str">
        <f>IFERROR(IF(B1361="","",VLOOKUP(B1361,CadProd!$A:$C,3,0)),"")</f>
        <v/>
      </c>
      <c r="G1361" s="1" t="str">
        <f t="shared" si="21"/>
        <v/>
      </c>
    </row>
    <row r="1362" spans="3:7" x14ac:dyDescent="0.3">
      <c r="C1362" t="str">
        <f>IFERROR(IF(B1362="","",VLOOKUP(B1362,CadProd!$A:$B,2,0)),"")</f>
        <v/>
      </c>
      <c r="D1362" t="str">
        <f>IFERROR(IF(B1362="","",VLOOKUP(B1362,CadProd!$A:$C,3,0)),"")</f>
        <v/>
      </c>
      <c r="G1362" s="1" t="str">
        <f t="shared" si="21"/>
        <v/>
      </c>
    </row>
    <row r="1363" spans="3:7" x14ac:dyDescent="0.3">
      <c r="C1363" t="str">
        <f>IFERROR(IF(B1363="","",VLOOKUP(B1363,CadProd!$A:$B,2,0)),"")</f>
        <v/>
      </c>
      <c r="D1363" t="str">
        <f>IFERROR(IF(B1363="","",VLOOKUP(B1363,CadProd!$A:$C,3,0)),"")</f>
        <v/>
      </c>
      <c r="G1363" s="1" t="str">
        <f t="shared" si="21"/>
        <v/>
      </c>
    </row>
    <row r="1364" spans="3:7" x14ac:dyDescent="0.3">
      <c r="C1364" t="str">
        <f>IFERROR(IF(B1364="","",VLOOKUP(B1364,CadProd!$A:$B,2,0)),"")</f>
        <v/>
      </c>
      <c r="D1364" t="str">
        <f>IFERROR(IF(B1364="","",VLOOKUP(B1364,CadProd!$A:$C,3,0)),"")</f>
        <v/>
      </c>
      <c r="G1364" s="1" t="str">
        <f t="shared" si="21"/>
        <v/>
      </c>
    </row>
    <row r="1365" spans="3:7" x14ac:dyDescent="0.3">
      <c r="C1365" t="str">
        <f>IFERROR(IF(B1365="","",VLOOKUP(B1365,CadProd!$A:$B,2,0)),"")</f>
        <v/>
      </c>
      <c r="D1365" t="str">
        <f>IFERROR(IF(B1365="","",VLOOKUP(B1365,CadProd!$A:$C,3,0)),"")</f>
        <v/>
      </c>
      <c r="G1365" s="1" t="str">
        <f t="shared" si="21"/>
        <v/>
      </c>
    </row>
    <row r="1366" spans="3:7" x14ac:dyDescent="0.3">
      <c r="C1366" t="str">
        <f>IFERROR(IF(B1366="","",VLOOKUP(B1366,CadProd!$A:$B,2,0)),"")</f>
        <v/>
      </c>
      <c r="D1366" t="str">
        <f>IFERROR(IF(B1366="","",VLOOKUP(B1366,CadProd!$A:$C,3,0)),"")</f>
        <v/>
      </c>
      <c r="G1366" s="1" t="str">
        <f t="shared" si="21"/>
        <v/>
      </c>
    </row>
    <row r="1367" spans="3:7" x14ac:dyDescent="0.3">
      <c r="C1367" t="str">
        <f>IFERROR(IF(B1367="","",VLOOKUP(B1367,CadProd!$A:$B,2,0)),"")</f>
        <v/>
      </c>
      <c r="D1367" t="str">
        <f>IFERROR(IF(B1367="","",VLOOKUP(B1367,CadProd!$A:$C,3,0)),"")</f>
        <v/>
      </c>
      <c r="G1367" s="1" t="str">
        <f t="shared" si="21"/>
        <v/>
      </c>
    </row>
    <row r="1368" spans="3:7" x14ac:dyDescent="0.3">
      <c r="C1368" t="str">
        <f>IFERROR(IF(B1368="","",VLOOKUP(B1368,CadProd!$A:$B,2,0)),"")</f>
        <v/>
      </c>
      <c r="D1368" t="str">
        <f>IFERROR(IF(B1368="","",VLOOKUP(B1368,CadProd!$A:$C,3,0)),"")</f>
        <v/>
      </c>
      <c r="G1368" s="1" t="str">
        <f t="shared" si="21"/>
        <v/>
      </c>
    </row>
    <row r="1369" spans="3:7" x14ac:dyDescent="0.3">
      <c r="C1369" t="str">
        <f>IFERROR(IF(B1369="","",VLOOKUP(B1369,CadProd!$A:$B,2,0)),"")</f>
        <v/>
      </c>
      <c r="D1369" t="str">
        <f>IFERROR(IF(B1369="","",VLOOKUP(B1369,CadProd!$A:$C,3,0)),"")</f>
        <v/>
      </c>
      <c r="G1369" s="1" t="str">
        <f t="shared" si="21"/>
        <v/>
      </c>
    </row>
    <row r="1370" spans="3:7" x14ac:dyDescent="0.3">
      <c r="C1370" t="str">
        <f>IFERROR(IF(B1370="","",VLOOKUP(B1370,CadProd!$A:$B,2,0)),"")</f>
        <v/>
      </c>
      <c r="D1370" t="str">
        <f>IFERROR(IF(B1370="","",VLOOKUP(B1370,CadProd!$A:$C,3,0)),"")</f>
        <v/>
      </c>
      <c r="G1370" s="1" t="str">
        <f t="shared" si="21"/>
        <v/>
      </c>
    </row>
    <row r="1371" spans="3:7" x14ac:dyDescent="0.3">
      <c r="C1371" t="str">
        <f>IFERROR(IF(B1371="","",VLOOKUP(B1371,CadProd!$A:$B,2,0)),"")</f>
        <v/>
      </c>
      <c r="D1371" t="str">
        <f>IFERROR(IF(B1371="","",VLOOKUP(B1371,CadProd!$A:$C,3,0)),"")</f>
        <v/>
      </c>
      <c r="G1371" s="1" t="str">
        <f t="shared" si="21"/>
        <v/>
      </c>
    </row>
    <row r="1372" spans="3:7" x14ac:dyDescent="0.3">
      <c r="C1372" t="str">
        <f>IFERROR(IF(B1372="","",VLOOKUP(B1372,CadProd!$A:$B,2,0)),"")</f>
        <v/>
      </c>
      <c r="D1372" t="str">
        <f>IFERROR(IF(B1372="","",VLOOKUP(B1372,CadProd!$A:$C,3,0)),"")</f>
        <v/>
      </c>
      <c r="G1372" s="1" t="str">
        <f t="shared" si="21"/>
        <v/>
      </c>
    </row>
    <row r="1373" spans="3:7" x14ac:dyDescent="0.3">
      <c r="C1373" t="str">
        <f>IFERROR(IF(B1373="","",VLOOKUP(B1373,CadProd!$A:$B,2,0)),"")</f>
        <v/>
      </c>
      <c r="D1373" t="str">
        <f>IFERROR(IF(B1373="","",VLOOKUP(B1373,CadProd!$A:$C,3,0)),"")</f>
        <v/>
      </c>
      <c r="G1373" s="1" t="str">
        <f t="shared" si="21"/>
        <v/>
      </c>
    </row>
    <row r="1374" spans="3:7" x14ac:dyDescent="0.3">
      <c r="C1374" t="str">
        <f>IFERROR(IF(B1374="","",VLOOKUP(B1374,CadProd!$A:$B,2,0)),"")</f>
        <v/>
      </c>
      <c r="D1374" t="str">
        <f>IFERROR(IF(B1374="","",VLOOKUP(B1374,CadProd!$A:$C,3,0)),"")</f>
        <v/>
      </c>
      <c r="G1374" s="1" t="str">
        <f t="shared" si="21"/>
        <v/>
      </c>
    </row>
    <row r="1375" spans="3:7" x14ac:dyDescent="0.3">
      <c r="C1375" t="str">
        <f>IFERROR(IF(B1375="","",VLOOKUP(B1375,CadProd!$A:$B,2,0)),"")</f>
        <v/>
      </c>
      <c r="D1375" t="str">
        <f>IFERROR(IF(B1375="","",VLOOKUP(B1375,CadProd!$A:$C,3,0)),"")</f>
        <v/>
      </c>
      <c r="G1375" s="1" t="str">
        <f t="shared" si="21"/>
        <v/>
      </c>
    </row>
    <row r="1376" spans="3:7" x14ac:dyDescent="0.3">
      <c r="C1376" t="str">
        <f>IFERROR(IF(B1376="","",VLOOKUP(B1376,CadProd!$A:$B,2,0)),"")</f>
        <v/>
      </c>
      <c r="D1376" t="str">
        <f>IFERROR(IF(B1376="","",VLOOKUP(B1376,CadProd!$A:$C,3,0)),"")</f>
        <v/>
      </c>
      <c r="G1376" s="1" t="str">
        <f t="shared" si="21"/>
        <v/>
      </c>
    </row>
    <row r="1377" spans="3:7" x14ac:dyDescent="0.3">
      <c r="C1377" t="str">
        <f>IFERROR(IF(B1377="","",VLOOKUP(B1377,CadProd!$A:$B,2,0)),"")</f>
        <v/>
      </c>
      <c r="D1377" t="str">
        <f>IFERROR(IF(B1377="","",VLOOKUP(B1377,CadProd!$A:$C,3,0)),"")</f>
        <v/>
      </c>
      <c r="G1377" s="1" t="str">
        <f t="shared" si="21"/>
        <v/>
      </c>
    </row>
    <row r="1378" spans="3:7" x14ac:dyDescent="0.3">
      <c r="C1378" t="str">
        <f>IFERROR(IF(B1378="","",VLOOKUP(B1378,CadProd!$A:$B,2,0)),"")</f>
        <v/>
      </c>
      <c r="D1378" t="str">
        <f>IFERROR(IF(B1378="","",VLOOKUP(B1378,CadProd!$A:$C,3,0)),"")</f>
        <v/>
      </c>
      <c r="G1378" s="1" t="str">
        <f t="shared" si="21"/>
        <v/>
      </c>
    </row>
    <row r="1379" spans="3:7" x14ac:dyDescent="0.3">
      <c r="C1379" t="str">
        <f>IFERROR(IF(B1379="","",VLOOKUP(B1379,CadProd!$A:$B,2,0)),"")</f>
        <v/>
      </c>
      <c r="D1379" t="str">
        <f>IFERROR(IF(B1379="","",VLOOKUP(B1379,CadProd!$A:$C,3,0)),"")</f>
        <v/>
      </c>
      <c r="G1379" s="1" t="str">
        <f t="shared" si="21"/>
        <v/>
      </c>
    </row>
    <row r="1380" spans="3:7" x14ac:dyDescent="0.3">
      <c r="C1380" t="str">
        <f>IFERROR(IF(B1380="","",VLOOKUP(B1380,CadProd!$A:$B,2,0)),"")</f>
        <v/>
      </c>
      <c r="D1380" t="str">
        <f>IFERROR(IF(B1380="","",VLOOKUP(B1380,CadProd!$A:$C,3,0)),"")</f>
        <v/>
      </c>
      <c r="G1380" s="1" t="str">
        <f t="shared" si="21"/>
        <v/>
      </c>
    </row>
    <row r="1381" spans="3:7" x14ac:dyDescent="0.3">
      <c r="C1381" t="str">
        <f>IFERROR(IF(B1381="","",VLOOKUP(B1381,CadProd!$A:$B,2,0)),"")</f>
        <v/>
      </c>
      <c r="D1381" t="str">
        <f>IFERROR(IF(B1381="","",VLOOKUP(B1381,CadProd!$A:$C,3,0)),"")</f>
        <v/>
      </c>
      <c r="G1381" s="1" t="str">
        <f t="shared" si="21"/>
        <v/>
      </c>
    </row>
    <row r="1382" spans="3:7" x14ac:dyDescent="0.3">
      <c r="C1382" t="str">
        <f>IFERROR(IF(B1382="","",VLOOKUP(B1382,CadProd!$A:$B,2,0)),"")</f>
        <v/>
      </c>
      <c r="D1382" t="str">
        <f>IFERROR(IF(B1382="","",VLOOKUP(B1382,CadProd!$A:$C,3,0)),"")</f>
        <v/>
      </c>
      <c r="G1382" s="1" t="str">
        <f t="shared" si="21"/>
        <v/>
      </c>
    </row>
    <row r="1383" spans="3:7" x14ac:dyDescent="0.3">
      <c r="C1383" t="str">
        <f>IFERROR(IF(B1383="","",VLOOKUP(B1383,CadProd!$A:$B,2,0)),"")</f>
        <v/>
      </c>
      <c r="D1383" t="str">
        <f>IFERROR(IF(B1383="","",VLOOKUP(B1383,CadProd!$A:$C,3,0)),"")</f>
        <v/>
      </c>
      <c r="G1383" s="1" t="str">
        <f t="shared" si="21"/>
        <v/>
      </c>
    </row>
    <row r="1384" spans="3:7" x14ac:dyDescent="0.3">
      <c r="C1384" t="str">
        <f>IFERROR(IF(B1384="","",VLOOKUP(B1384,CadProd!$A:$B,2,0)),"")</f>
        <v/>
      </c>
      <c r="D1384" t="str">
        <f>IFERROR(IF(B1384="","",VLOOKUP(B1384,CadProd!$A:$C,3,0)),"")</f>
        <v/>
      </c>
      <c r="G1384" s="1" t="str">
        <f t="shared" si="21"/>
        <v/>
      </c>
    </row>
    <row r="1385" spans="3:7" x14ac:dyDescent="0.3">
      <c r="C1385" t="str">
        <f>IFERROR(IF(B1385="","",VLOOKUP(B1385,CadProd!$A:$B,2,0)),"")</f>
        <v/>
      </c>
      <c r="D1385" t="str">
        <f>IFERROR(IF(B1385="","",VLOOKUP(B1385,CadProd!$A:$C,3,0)),"")</f>
        <v/>
      </c>
      <c r="G1385" s="1" t="str">
        <f t="shared" si="21"/>
        <v/>
      </c>
    </row>
    <row r="1386" spans="3:7" x14ac:dyDescent="0.3">
      <c r="C1386" t="str">
        <f>IFERROR(IF(B1386="","",VLOOKUP(B1386,CadProd!$A:$B,2,0)),"")</f>
        <v/>
      </c>
      <c r="D1386" t="str">
        <f>IFERROR(IF(B1386="","",VLOOKUP(B1386,CadProd!$A:$C,3,0)),"")</f>
        <v/>
      </c>
      <c r="G1386" s="1" t="str">
        <f t="shared" si="21"/>
        <v/>
      </c>
    </row>
    <row r="1387" spans="3:7" x14ac:dyDescent="0.3">
      <c r="C1387" t="str">
        <f>IFERROR(IF(B1387="","",VLOOKUP(B1387,CadProd!$A:$B,2,0)),"")</f>
        <v/>
      </c>
      <c r="D1387" t="str">
        <f>IFERROR(IF(B1387="","",VLOOKUP(B1387,CadProd!$A:$C,3,0)),"")</f>
        <v/>
      </c>
      <c r="G1387" s="1" t="str">
        <f t="shared" si="21"/>
        <v/>
      </c>
    </row>
    <row r="1388" spans="3:7" x14ac:dyDescent="0.3">
      <c r="C1388" t="str">
        <f>IFERROR(IF(B1388="","",VLOOKUP(B1388,CadProd!$A:$B,2,0)),"")</f>
        <v/>
      </c>
      <c r="D1388" t="str">
        <f>IFERROR(IF(B1388="","",VLOOKUP(B1388,CadProd!$A:$C,3,0)),"")</f>
        <v/>
      </c>
      <c r="G1388" s="1" t="str">
        <f t="shared" si="21"/>
        <v/>
      </c>
    </row>
    <row r="1389" spans="3:7" x14ac:dyDescent="0.3">
      <c r="C1389" t="str">
        <f>IFERROR(IF(B1389="","",VLOOKUP(B1389,CadProd!$A:$B,2,0)),"")</f>
        <v/>
      </c>
      <c r="D1389" t="str">
        <f>IFERROR(IF(B1389="","",VLOOKUP(B1389,CadProd!$A:$C,3,0)),"")</f>
        <v/>
      </c>
      <c r="G1389" s="1" t="str">
        <f t="shared" si="21"/>
        <v/>
      </c>
    </row>
    <row r="1390" spans="3:7" x14ac:dyDescent="0.3">
      <c r="C1390" t="str">
        <f>IFERROR(IF(B1390="","",VLOOKUP(B1390,CadProd!$A:$B,2,0)),"")</f>
        <v/>
      </c>
      <c r="D1390" t="str">
        <f>IFERROR(IF(B1390="","",VLOOKUP(B1390,CadProd!$A:$C,3,0)),"")</f>
        <v/>
      </c>
      <c r="G1390" s="1" t="str">
        <f t="shared" si="21"/>
        <v/>
      </c>
    </row>
    <row r="1391" spans="3:7" x14ac:dyDescent="0.3">
      <c r="C1391" t="str">
        <f>IFERROR(IF(B1391="","",VLOOKUP(B1391,CadProd!$A:$B,2,0)),"")</f>
        <v/>
      </c>
      <c r="D1391" t="str">
        <f>IFERROR(IF(B1391="","",VLOOKUP(B1391,CadProd!$A:$C,3,0)),"")</f>
        <v/>
      </c>
      <c r="G1391" s="1" t="str">
        <f t="shared" si="21"/>
        <v/>
      </c>
    </row>
    <row r="1392" spans="3:7" x14ac:dyDescent="0.3">
      <c r="C1392" t="str">
        <f>IFERROR(IF(B1392="","",VLOOKUP(B1392,CadProd!$A:$B,2,0)),"")</f>
        <v/>
      </c>
      <c r="D1392" t="str">
        <f>IFERROR(IF(B1392="","",VLOOKUP(B1392,CadProd!$A:$C,3,0)),"")</f>
        <v/>
      </c>
      <c r="G1392" s="1" t="str">
        <f t="shared" si="21"/>
        <v/>
      </c>
    </row>
    <row r="1393" spans="3:7" x14ac:dyDescent="0.3">
      <c r="C1393" t="str">
        <f>IFERROR(IF(B1393="","",VLOOKUP(B1393,CadProd!$A:$B,2,0)),"")</f>
        <v/>
      </c>
      <c r="D1393" t="str">
        <f>IFERROR(IF(B1393="","",VLOOKUP(B1393,CadProd!$A:$C,3,0)),"")</f>
        <v/>
      </c>
      <c r="G1393" s="1" t="str">
        <f t="shared" si="21"/>
        <v/>
      </c>
    </row>
    <row r="1394" spans="3:7" x14ac:dyDescent="0.3">
      <c r="C1394" t="str">
        <f>IFERROR(IF(B1394="","",VLOOKUP(B1394,CadProd!$A:$B,2,0)),"")</f>
        <v/>
      </c>
      <c r="D1394" t="str">
        <f>IFERROR(IF(B1394="","",VLOOKUP(B1394,CadProd!$A:$C,3,0)),"")</f>
        <v/>
      </c>
      <c r="G1394" s="1" t="str">
        <f t="shared" si="21"/>
        <v/>
      </c>
    </row>
    <row r="1395" spans="3:7" x14ac:dyDescent="0.3">
      <c r="C1395" t="str">
        <f>IFERROR(IF(B1395="","",VLOOKUP(B1395,CadProd!$A:$B,2,0)),"")</f>
        <v/>
      </c>
      <c r="D1395" t="str">
        <f>IFERROR(IF(B1395="","",VLOOKUP(B1395,CadProd!$A:$C,3,0)),"")</f>
        <v/>
      </c>
      <c r="G1395" s="1" t="str">
        <f t="shared" si="21"/>
        <v/>
      </c>
    </row>
    <row r="1396" spans="3:7" x14ac:dyDescent="0.3">
      <c r="C1396" t="str">
        <f>IFERROR(IF(B1396="","",VLOOKUP(B1396,CadProd!$A:$B,2,0)),"")</f>
        <v/>
      </c>
      <c r="D1396" t="str">
        <f>IFERROR(IF(B1396="","",VLOOKUP(B1396,CadProd!$A:$C,3,0)),"")</f>
        <v/>
      </c>
      <c r="G1396" s="1" t="str">
        <f t="shared" si="21"/>
        <v/>
      </c>
    </row>
    <row r="1397" spans="3:7" x14ac:dyDescent="0.3">
      <c r="C1397" t="str">
        <f>IFERROR(IF(B1397="","",VLOOKUP(B1397,CadProd!$A:$B,2,0)),"")</f>
        <v/>
      </c>
      <c r="D1397" t="str">
        <f>IFERROR(IF(B1397="","",VLOOKUP(B1397,CadProd!$A:$C,3,0)),"")</f>
        <v/>
      </c>
      <c r="G1397" s="1" t="str">
        <f t="shared" si="21"/>
        <v/>
      </c>
    </row>
    <row r="1398" spans="3:7" x14ac:dyDescent="0.3">
      <c r="C1398" t="str">
        <f>IFERROR(IF(B1398="","",VLOOKUP(B1398,CadProd!$A:$B,2,0)),"")</f>
        <v/>
      </c>
      <c r="D1398" t="str">
        <f>IFERROR(IF(B1398="","",VLOOKUP(B1398,CadProd!$A:$C,3,0)),"")</f>
        <v/>
      </c>
      <c r="G1398" s="1" t="str">
        <f t="shared" si="21"/>
        <v/>
      </c>
    </row>
    <row r="1399" spans="3:7" x14ac:dyDescent="0.3">
      <c r="C1399" t="str">
        <f>IFERROR(IF(B1399="","",VLOOKUP(B1399,CadProd!$A:$B,2,0)),"")</f>
        <v/>
      </c>
      <c r="D1399" t="str">
        <f>IFERROR(IF(B1399="","",VLOOKUP(B1399,CadProd!$A:$C,3,0)),"")</f>
        <v/>
      </c>
      <c r="G1399" s="1" t="str">
        <f t="shared" si="21"/>
        <v/>
      </c>
    </row>
    <row r="1400" spans="3:7" x14ac:dyDescent="0.3">
      <c r="C1400" t="str">
        <f>IFERROR(IF(B1400="","",VLOOKUP(B1400,CadProd!$A:$B,2,0)),"")</f>
        <v/>
      </c>
      <c r="D1400" t="str">
        <f>IFERROR(IF(B1400="","",VLOOKUP(B1400,CadProd!$A:$C,3,0)),"")</f>
        <v/>
      </c>
      <c r="G1400" s="1" t="str">
        <f t="shared" si="21"/>
        <v/>
      </c>
    </row>
    <row r="1401" spans="3:7" x14ac:dyDescent="0.3">
      <c r="C1401" t="str">
        <f>IFERROR(IF(B1401="","",VLOOKUP(B1401,CadProd!$A:$B,2,0)),"")</f>
        <v/>
      </c>
      <c r="D1401" t="str">
        <f>IFERROR(IF(B1401="","",VLOOKUP(B1401,CadProd!$A:$C,3,0)),"")</f>
        <v/>
      </c>
      <c r="G1401" s="1" t="str">
        <f t="shared" si="21"/>
        <v/>
      </c>
    </row>
    <row r="1402" spans="3:7" x14ac:dyDescent="0.3">
      <c r="C1402" t="str">
        <f>IFERROR(IF(B1402="","",VLOOKUP(B1402,CadProd!$A:$B,2,0)),"")</f>
        <v/>
      </c>
      <c r="D1402" t="str">
        <f>IFERROR(IF(B1402="","",VLOOKUP(B1402,CadProd!$A:$C,3,0)),"")</f>
        <v/>
      </c>
      <c r="G1402" s="1" t="str">
        <f t="shared" si="21"/>
        <v/>
      </c>
    </row>
    <row r="1403" spans="3:7" x14ac:dyDescent="0.3">
      <c r="C1403" t="str">
        <f>IFERROR(IF(B1403="","",VLOOKUP(B1403,CadProd!$A:$B,2,0)),"")</f>
        <v/>
      </c>
      <c r="D1403" t="str">
        <f>IFERROR(IF(B1403="","",VLOOKUP(B1403,CadProd!$A:$C,3,0)),"")</f>
        <v/>
      </c>
      <c r="G1403" s="1" t="str">
        <f t="shared" si="21"/>
        <v/>
      </c>
    </row>
    <row r="1404" spans="3:7" x14ac:dyDescent="0.3">
      <c r="C1404" t="str">
        <f>IFERROR(IF(B1404="","",VLOOKUP(B1404,CadProd!$A:$B,2,0)),"")</f>
        <v/>
      </c>
      <c r="D1404" t="str">
        <f>IFERROR(IF(B1404="","",VLOOKUP(B1404,CadProd!$A:$C,3,0)),"")</f>
        <v/>
      </c>
      <c r="G1404" s="1" t="str">
        <f t="shared" si="21"/>
        <v/>
      </c>
    </row>
    <row r="1405" spans="3:7" x14ac:dyDescent="0.3">
      <c r="C1405" t="str">
        <f>IFERROR(IF(B1405="","",VLOOKUP(B1405,CadProd!$A:$B,2,0)),"")</f>
        <v/>
      </c>
      <c r="D1405" t="str">
        <f>IFERROR(IF(B1405="","",VLOOKUP(B1405,CadProd!$A:$C,3,0)),"")</f>
        <v/>
      </c>
      <c r="G1405" s="1" t="str">
        <f t="shared" si="21"/>
        <v/>
      </c>
    </row>
    <row r="1406" spans="3:7" x14ac:dyDescent="0.3">
      <c r="C1406" t="str">
        <f>IFERROR(IF(B1406="","",VLOOKUP(B1406,CadProd!$A:$B,2,0)),"")</f>
        <v/>
      </c>
      <c r="D1406" t="str">
        <f>IFERROR(IF(B1406="","",VLOOKUP(B1406,CadProd!$A:$C,3,0)),"")</f>
        <v/>
      </c>
      <c r="G1406" s="1" t="str">
        <f t="shared" si="21"/>
        <v/>
      </c>
    </row>
    <row r="1407" spans="3:7" x14ac:dyDescent="0.3">
      <c r="C1407" t="str">
        <f>IFERROR(IF(B1407="","",VLOOKUP(B1407,CadProd!$A:$B,2,0)),"")</f>
        <v/>
      </c>
      <c r="D1407" t="str">
        <f>IFERROR(IF(B1407="","",VLOOKUP(B1407,CadProd!$A:$C,3,0)),"")</f>
        <v/>
      </c>
      <c r="G1407" s="1" t="str">
        <f t="shared" si="21"/>
        <v/>
      </c>
    </row>
    <row r="1408" spans="3:7" x14ac:dyDescent="0.3">
      <c r="C1408" t="str">
        <f>IFERROR(IF(B1408="","",VLOOKUP(B1408,CadProd!$A:$B,2,0)),"")</f>
        <v/>
      </c>
      <c r="D1408" t="str">
        <f>IFERROR(IF(B1408="","",VLOOKUP(B1408,CadProd!$A:$C,3,0)),"")</f>
        <v/>
      </c>
      <c r="G1408" s="1" t="str">
        <f t="shared" si="21"/>
        <v/>
      </c>
    </row>
    <row r="1409" spans="3:7" x14ac:dyDescent="0.3">
      <c r="C1409" t="str">
        <f>IFERROR(IF(B1409="","",VLOOKUP(B1409,CadProd!$A:$B,2,0)),"")</f>
        <v/>
      </c>
      <c r="D1409" t="str">
        <f>IFERROR(IF(B1409="","",VLOOKUP(B1409,CadProd!$A:$C,3,0)),"")</f>
        <v/>
      </c>
      <c r="G1409" s="1" t="str">
        <f t="shared" si="21"/>
        <v/>
      </c>
    </row>
    <row r="1410" spans="3:7" x14ac:dyDescent="0.3">
      <c r="C1410" t="str">
        <f>IFERROR(IF(B1410="","",VLOOKUP(B1410,CadProd!$A:$B,2,0)),"")</f>
        <v/>
      </c>
      <c r="D1410" t="str">
        <f>IFERROR(IF(B1410="","",VLOOKUP(B1410,CadProd!$A:$C,3,0)),"")</f>
        <v/>
      </c>
      <c r="G1410" s="1" t="str">
        <f t="shared" si="21"/>
        <v/>
      </c>
    </row>
    <row r="1411" spans="3:7" x14ac:dyDescent="0.3">
      <c r="C1411" t="str">
        <f>IFERROR(IF(B1411="","",VLOOKUP(B1411,CadProd!$A:$B,2,0)),"")</f>
        <v/>
      </c>
      <c r="D1411" t="str">
        <f>IFERROR(IF(B1411="","",VLOOKUP(B1411,CadProd!$A:$C,3,0)),"")</f>
        <v/>
      </c>
      <c r="G1411" s="1" t="str">
        <f t="shared" si="21"/>
        <v/>
      </c>
    </row>
    <row r="1412" spans="3:7" x14ac:dyDescent="0.3">
      <c r="C1412" t="str">
        <f>IFERROR(IF(B1412="","",VLOOKUP(B1412,CadProd!$A:$B,2,0)),"")</f>
        <v/>
      </c>
      <c r="D1412" t="str">
        <f>IFERROR(IF(B1412="","",VLOOKUP(B1412,CadProd!$A:$C,3,0)),"")</f>
        <v/>
      </c>
      <c r="G1412" s="1" t="str">
        <f t="shared" si="21"/>
        <v/>
      </c>
    </row>
    <row r="1413" spans="3:7" x14ac:dyDescent="0.3">
      <c r="C1413" t="str">
        <f>IFERROR(IF(B1413="","",VLOOKUP(B1413,CadProd!$A:$B,2,0)),"")</f>
        <v/>
      </c>
      <c r="D1413" t="str">
        <f>IFERROR(IF(B1413="","",VLOOKUP(B1413,CadProd!$A:$C,3,0)),"")</f>
        <v/>
      </c>
      <c r="G1413" s="1" t="str">
        <f t="shared" si="21"/>
        <v/>
      </c>
    </row>
    <row r="1414" spans="3:7" x14ac:dyDescent="0.3">
      <c r="C1414" t="str">
        <f>IFERROR(IF(B1414="","",VLOOKUP(B1414,CadProd!$A:$B,2,0)),"")</f>
        <v/>
      </c>
      <c r="D1414" t="str">
        <f>IFERROR(IF(B1414="","",VLOOKUP(B1414,CadProd!$A:$C,3,0)),"")</f>
        <v/>
      </c>
      <c r="G1414" s="1" t="str">
        <f t="shared" si="21"/>
        <v/>
      </c>
    </row>
    <row r="1415" spans="3:7" x14ac:dyDescent="0.3">
      <c r="C1415" t="str">
        <f>IFERROR(IF(B1415="","",VLOOKUP(B1415,CadProd!$A:$B,2,0)),"")</f>
        <v/>
      </c>
      <c r="D1415" t="str">
        <f>IFERROR(IF(B1415="","",VLOOKUP(B1415,CadProd!$A:$C,3,0)),"")</f>
        <v/>
      </c>
      <c r="G1415" s="1" t="str">
        <f t="shared" si="21"/>
        <v/>
      </c>
    </row>
    <row r="1416" spans="3:7" x14ac:dyDescent="0.3">
      <c r="C1416" t="str">
        <f>IFERROR(IF(B1416="","",VLOOKUP(B1416,CadProd!$A:$B,2,0)),"")</f>
        <v/>
      </c>
      <c r="D1416" t="str">
        <f>IFERROR(IF(B1416="","",VLOOKUP(B1416,CadProd!$A:$C,3,0)),"")</f>
        <v/>
      </c>
      <c r="G1416" s="1" t="str">
        <f t="shared" si="21"/>
        <v/>
      </c>
    </row>
    <row r="1417" spans="3:7" x14ac:dyDescent="0.3">
      <c r="C1417" t="str">
        <f>IFERROR(IF(B1417="","",VLOOKUP(B1417,CadProd!$A:$B,2,0)),"")</f>
        <v/>
      </c>
      <c r="D1417" t="str">
        <f>IFERROR(IF(B1417="","",VLOOKUP(B1417,CadProd!$A:$C,3,0)),"")</f>
        <v/>
      </c>
      <c r="G1417" s="1" t="str">
        <f t="shared" si="21"/>
        <v/>
      </c>
    </row>
    <row r="1418" spans="3:7" x14ac:dyDescent="0.3">
      <c r="C1418" t="str">
        <f>IFERROR(IF(B1418="","",VLOOKUP(B1418,CadProd!$A:$B,2,0)),"")</f>
        <v/>
      </c>
      <c r="D1418" t="str">
        <f>IFERROR(IF(B1418="","",VLOOKUP(B1418,CadProd!$A:$C,3,0)),"")</f>
        <v/>
      </c>
      <c r="G1418" s="1" t="str">
        <f t="shared" si="21"/>
        <v/>
      </c>
    </row>
    <row r="1419" spans="3:7" x14ac:dyDescent="0.3">
      <c r="C1419" t="str">
        <f>IFERROR(IF(B1419="","",VLOOKUP(B1419,CadProd!$A:$B,2,0)),"")</f>
        <v/>
      </c>
      <c r="D1419" t="str">
        <f>IFERROR(IF(B1419="","",VLOOKUP(B1419,CadProd!$A:$C,3,0)),"")</f>
        <v/>
      </c>
      <c r="G1419" s="1" t="str">
        <f t="shared" ref="G1419:G1482" si="22">IFERROR(IF(B1419="","",F1419*E1419),"")</f>
        <v/>
      </c>
    </row>
    <row r="1420" spans="3:7" x14ac:dyDescent="0.3">
      <c r="C1420" t="str">
        <f>IFERROR(IF(B1420="","",VLOOKUP(B1420,CadProd!$A:$B,2,0)),"")</f>
        <v/>
      </c>
      <c r="D1420" t="str">
        <f>IFERROR(IF(B1420="","",VLOOKUP(B1420,CadProd!$A:$C,3,0)),"")</f>
        <v/>
      </c>
      <c r="G1420" s="1" t="str">
        <f t="shared" si="22"/>
        <v/>
      </c>
    </row>
    <row r="1421" spans="3:7" x14ac:dyDescent="0.3">
      <c r="C1421" t="str">
        <f>IFERROR(IF(B1421="","",VLOOKUP(B1421,CadProd!$A:$B,2,0)),"")</f>
        <v/>
      </c>
      <c r="D1421" t="str">
        <f>IFERROR(IF(B1421="","",VLOOKUP(B1421,CadProd!$A:$C,3,0)),"")</f>
        <v/>
      </c>
      <c r="G1421" s="1" t="str">
        <f t="shared" si="22"/>
        <v/>
      </c>
    </row>
    <row r="1422" spans="3:7" x14ac:dyDescent="0.3">
      <c r="C1422" t="str">
        <f>IFERROR(IF(B1422="","",VLOOKUP(B1422,CadProd!$A:$B,2,0)),"")</f>
        <v/>
      </c>
      <c r="D1422" t="str">
        <f>IFERROR(IF(B1422="","",VLOOKUP(B1422,CadProd!$A:$C,3,0)),"")</f>
        <v/>
      </c>
      <c r="G1422" s="1" t="str">
        <f t="shared" si="22"/>
        <v/>
      </c>
    </row>
    <row r="1423" spans="3:7" x14ac:dyDescent="0.3">
      <c r="C1423" t="str">
        <f>IFERROR(IF(B1423="","",VLOOKUP(B1423,CadProd!$A:$B,2,0)),"")</f>
        <v/>
      </c>
      <c r="D1423" t="str">
        <f>IFERROR(IF(B1423="","",VLOOKUP(B1423,CadProd!$A:$C,3,0)),"")</f>
        <v/>
      </c>
      <c r="G1423" s="1" t="str">
        <f t="shared" si="22"/>
        <v/>
      </c>
    </row>
    <row r="1424" spans="3:7" x14ac:dyDescent="0.3">
      <c r="C1424" t="str">
        <f>IFERROR(IF(B1424="","",VLOOKUP(B1424,CadProd!$A:$B,2,0)),"")</f>
        <v/>
      </c>
      <c r="D1424" t="str">
        <f>IFERROR(IF(B1424="","",VLOOKUP(B1424,CadProd!$A:$C,3,0)),"")</f>
        <v/>
      </c>
      <c r="G1424" s="1" t="str">
        <f t="shared" si="22"/>
        <v/>
      </c>
    </row>
    <row r="1425" spans="3:7" x14ac:dyDescent="0.3">
      <c r="C1425" t="str">
        <f>IFERROR(IF(B1425="","",VLOOKUP(B1425,CadProd!$A:$B,2,0)),"")</f>
        <v/>
      </c>
      <c r="D1425" t="str">
        <f>IFERROR(IF(B1425="","",VLOOKUP(B1425,CadProd!$A:$C,3,0)),"")</f>
        <v/>
      </c>
      <c r="G1425" s="1" t="str">
        <f t="shared" si="22"/>
        <v/>
      </c>
    </row>
    <row r="1426" spans="3:7" x14ac:dyDescent="0.3">
      <c r="C1426" t="str">
        <f>IFERROR(IF(B1426="","",VLOOKUP(B1426,CadProd!$A:$B,2,0)),"")</f>
        <v/>
      </c>
      <c r="D1426" t="str">
        <f>IFERROR(IF(B1426="","",VLOOKUP(B1426,CadProd!$A:$C,3,0)),"")</f>
        <v/>
      </c>
      <c r="G1426" s="1" t="str">
        <f t="shared" si="22"/>
        <v/>
      </c>
    </row>
    <row r="1427" spans="3:7" x14ac:dyDescent="0.3">
      <c r="C1427" t="str">
        <f>IFERROR(IF(B1427="","",VLOOKUP(B1427,CadProd!$A:$B,2,0)),"")</f>
        <v/>
      </c>
      <c r="D1427" t="str">
        <f>IFERROR(IF(B1427="","",VLOOKUP(B1427,CadProd!$A:$C,3,0)),"")</f>
        <v/>
      </c>
      <c r="G1427" s="1" t="str">
        <f t="shared" si="22"/>
        <v/>
      </c>
    </row>
    <row r="1428" spans="3:7" x14ac:dyDescent="0.3">
      <c r="C1428" t="str">
        <f>IFERROR(IF(B1428="","",VLOOKUP(B1428,CadProd!$A:$B,2,0)),"")</f>
        <v/>
      </c>
      <c r="D1428" t="str">
        <f>IFERROR(IF(B1428="","",VLOOKUP(B1428,CadProd!$A:$C,3,0)),"")</f>
        <v/>
      </c>
      <c r="G1428" s="1" t="str">
        <f t="shared" si="22"/>
        <v/>
      </c>
    </row>
    <row r="1429" spans="3:7" x14ac:dyDescent="0.3">
      <c r="C1429" t="str">
        <f>IFERROR(IF(B1429="","",VLOOKUP(B1429,CadProd!$A:$B,2,0)),"")</f>
        <v/>
      </c>
      <c r="D1429" t="str">
        <f>IFERROR(IF(B1429="","",VLOOKUP(B1429,CadProd!$A:$C,3,0)),"")</f>
        <v/>
      </c>
      <c r="G1429" s="1" t="str">
        <f t="shared" si="22"/>
        <v/>
      </c>
    </row>
    <row r="1430" spans="3:7" x14ac:dyDescent="0.3">
      <c r="C1430" t="str">
        <f>IFERROR(IF(B1430="","",VLOOKUP(B1430,CadProd!$A:$B,2,0)),"")</f>
        <v/>
      </c>
      <c r="D1430" t="str">
        <f>IFERROR(IF(B1430="","",VLOOKUP(B1430,CadProd!$A:$C,3,0)),"")</f>
        <v/>
      </c>
      <c r="G1430" s="1" t="str">
        <f t="shared" si="22"/>
        <v/>
      </c>
    </row>
    <row r="1431" spans="3:7" x14ac:dyDescent="0.3">
      <c r="C1431" t="str">
        <f>IFERROR(IF(B1431="","",VLOOKUP(B1431,CadProd!$A:$B,2,0)),"")</f>
        <v/>
      </c>
      <c r="D1431" t="str">
        <f>IFERROR(IF(B1431="","",VLOOKUP(B1431,CadProd!$A:$C,3,0)),"")</f>
        <v/>
      </c>
      <c r="G1431" s="1" t="str">
        <f t="shared" si="22"/>
        <v/>
      </c>
    </row>
    <row r="1432" spans="3:7" x14ac:dyDescent="0.3">
      <c r="C1432" t="str">
        <f>IFERROR(IF(B1432="","",VLOOKUP(B1432,CadProd!$A:$B,2,0)),"")</f>
        <v/>
      </c>
      <c r="D1432" t="str">
        <f>IFERROR(IF(B1432="","",VLOOKUP(B1432,CadProd!$A:$C,3,0)),"")</f>
        <v/>
      </c>
      <c r="G1432" s="1" t="str">
        <f t="shared" si="22"/>
        <v/>
      </c>
    </row>
    <row r="1433" spans="3:7" x14ac:dyDescent="0.3">
      <c r="C1433" t="str">
        <f>IFERROR(IF(B1433="","",VLOOKUP(B1433,CadProd!$A:$B,2,0)),"")</f>
        <v/>
      </c>
      <c r="D1433" t="str">
        <f>IFERROR(IF(B1433="","",VLOOKUP(B1433,CadProd!$A:$C,3,0)),"")</f>
        <v/>
      </c>
      <c r="G1433" s="1" t="str">
        <f t="shared" si="22"/>
        <v/>
      </c>
    </row>
    <row r="1434" spans="3:7" x14ac:dyDescent="0.3">
      <c r="C1434" t="str">
        <f>IFERROR(IF(B1434="","",VLOOKUP(B1434,CadProd!$A:$B,2,0)),"")</f>
        <v/>
      </c>
      <c r="D1434" t="str">
        <f>IFERROR(IF(B1434="","",VLOOKUP(B1434,CadProd!$A:$C,3,0)),"")</f>
        <v/>
      </c>
      <c r="G1434" s="1" t="str">
        <f t="shared" si="22"/>
        <v/>
      </c>
    </row>
    <row r="1435" spans="3:7" x14ac:dyDescent="0.3">
      <c r="C1435" t="str">
        <f>IFERROR(IF(B1435="","",VLOOKUP(B1435,CadProd!$A:$B,2,0)),"")</f>
        <v/>
      </c>
      <c r="D1435" t="str">
        <f>IFERROR(IF(B1435="","",VLOOKUP(B1435,CadProd!$A:$C,3,0)),"")</f>
        <v/>
      </c>
      <c r="G1435" s="1" t="str">
        <f t="shared" si="22"/>
        <v/>
      </c>
    </row>
    <row r="1436" spans="3:7" x14ac:dyDescent="0.3">
      <c r="C1436" t="str">
        <f>IFERROR(IF(B1436="","",VLOOKUP(B1436,CadProd!$A:$B,2,0)),"")</f>
        <v/>
      </c>
      <c r="D1436" t="str">
        <f>IFERROR(IF(B1436="","",VLOOKUP(B1436,CadProd!$A:$C,3,0)),"")</f>
        <v/>
      </c>
      <c r="G1436" s="1" t="str">
        <f t="shared" si="22"/>
        <v/>
      </c>
    </row>
    <row r="1437" spans="3:7" x14ac:dyDescent="0.3">
      <c r="C1437" t="str">
        <f>IFERROR(IF(B1437="","",VLOOKUP(B1437,CadProd!$A:$B,2,0)),"")</f>
        <v/>
      </c>
      <c r="D1437" t="str">
        <f>IFERROR(IF(B1437="","",VLOOKUP(B1437,CadProd!$A:$C,3,0)),"")</f>
        <v/>
      </c>
      <c r="G1437" s="1" t="str">
        <f t="shared" si="22"/>
        <v/>
      </c>
    </row>
    <row r="1438" spans="3:7" x14ac:dyDescent="0.3">
      <c r="C1438" t="str">
        <f>IFERROR(IF(B1438="","",VLOOKUP(B1438,CadProd!$A:$B,2,0)),"")</f>
        <v/>
      </c>
      <c r="D1438" t="str">
        <f>IFERROR(IF(B1438="","",VLOOKUP(B1438,CadProd!$A:$C,3,0)),"")</f>
        <v/>
      </c>
      <c r="G1438" s="1" t="str">
        <f t="shared" si="22"/>
        <v/>
      </c>
    </row>
    <row r="1439" spans="3:7" x14ac:dyDescent="0.3">
      <c r="C1439" t="str">
        <f>IFERROR(IF(B1439="","",VLOOKUP(B1439,CadProd!$A:$B,2,0)),"")</f>
        <v/>
      </c>
      <c r="D1439" t="str">
        <f>IFERROR(IF(B1439="","",VLOOKUP(B1439,CadProd!$A:$C,3,0)),"")</f>
        <v/>
      </c>
      <c r="G1439" s="1" t="str">
        <f t="shared" si="22"/>
        <v/>
      </c>
    </row>
    <row r="1440" spans="3:7" x14ac:dyDescent="0.3">
      <c r="C1440" t="str">
        <f>IFERROR(IF(B1440="","",VLOOKUP(B1440,CadProd!$A:$B,2,0)),"")</f>
        <v/>
      </c>
      <c r="D1440" t="str">
        <f>IFERROR(IF(B1440="","",VLOOKUP(B1440,CadProd!$A:$C,3,0)),"")</f>
        <v/>
      </c>
      <c r="G1440" s="1" t="str">
        <f t="shared" si="22"/>
        <v/>
      </c>
    </row>
    <row r="1441" spans="3:7" x14ac:dyDescent="0.3">
      <c r="C1441" t="str">
        <f>IFERROR(IF(B1441="","",VLOOKUP(B1441,CadProd!$A:$B,2,0)),"")</f>
        <v/>
      </c>
      <c r="D1441" t="str">
        <f>IFERROR(IF(B1441="","",VLOOKUP(B1441,CadProd!$A:$C,3,0)),"")</f>
        <v/>
      </c>
      <c r="G1441" s="1" t="str">
        <f t="shared" si="22"/>
        <v/>
      </c>
    </row>
    <row r="1442" spans="3:7" x14ac:dyDescent="0.3">
      <c r="C1442" t="str">
        <f>IFERROR(IF(B1442="","",VLOOKUP(B1442,CadProd!$A:$B,2,0)),"")</f>
        <v/>
      </c>
      <c r="D1442" t="str">
        <f>IFERROR(IF(B1442="","",VLOOKUP(B1442,CadProd!$A:$C,3,0)),"")</f>
        <v/>
      </c>
      <c r="G1442" s="1" t="str">
        <f t="shared" si="22"/>
        <v/>
      </c>
    </row>
    <row r="1443" spans="3:7" x14ac:dyDescent="0.3">
      <c r="C1443" t="str">
        <f>IFERROR(IF(B1443="","",VLOOKUP(B1443,CadProd!$A:$B,2,0)),"")</f>
        <v/>
      </c>
      <c r="D1443" t="str">
        <f>IFERROR(IF(B1443="","",VLOOKUP(B1443,CadProd!$A:$C,3,0)),"")</f>
        <v/>
      </c>
      <c r="G1443" s="1" t="str">
        <f t="shared" si="22"/>
        <v/>
      </c>
    </row>
    <row r="1444" spans="3:7" x14ac:dyDescent="0.3">
      <c r="C1444" t="str">
        <f>IFERROR(IF(B1444="","",VLOOKUP(B1444,CadProd!$A:$B,2,0)),"")</f>
        <v/>
      </c>
      <c r="D1444" t="str">
        <f>IFERROR(IF(B1444="","",VLOOKUP(B1444,CadProd!$A:$C,3,0)),"")</f>
        <v/>
      </c>
      <c r="G1444" s="1" t="str">
        <f t="shared" si="22"/>
        <v/>
      </c>
    </row>
    <row r="1445" spans="3:7" x14ac:dyDescent="0.3">
      <c r="C1445" t="str">
        <f>IFERROR(IF(B1445="","",VLOOKUP(B1445,CadProd!$A:$B,2,0)),"")</f>
        <v/>
      </c>
      <c r="D1445" t="str">
        <f>IFERROR(IF(B1445="","",VLOOKUP(B1445,CadProd!$A:$C,3,0)),"")</f>
        <v/>
      </c>
      <c r="G1445" s="1" t="str">
        <f t="shared" si="22"/>
        <v/>
      </c>
    </row>
    <row r="1446" spans="3:7" x14ac:dyDescent="0.3">
      <c r="C1446" t="str">
        <f>IFERROR(IF(B1446="","",VLOOKUP(B1446,CadProd!$A:$B,2,0)),"")</f>
        <v/>
      </c>
      <c r="D1446" t="str">
        <f>IFERROR(IF(B1446="","",VLOOKUP(B1446,CadProd!$A:$C,3,0)),"")</f>
        <v/>
      </c>
      <c r="G1446" s="1" t="str">
        <f t="shared" si="22"/>
        <v/>
      </c>
    </row>
    <row r="1447" spans="3:7" x14ac:dyDescent="0.3">
      <c r="C1447" t="str">
        <f>IFERROR(IF(B1447="","",VLOOKUP(B1447,CadProd!$A:$B,2,0)),"")</f>
        <v/>
      </c>
      <c r="D1447" t="str">
        <f>IFERROR(IF(B1447="","",VLOOKUP(B1447,CadProd!$A:$C,3,0)),"")</f>
        <v/>
      </c>
      <c r="G1447" s="1" t="str">
        <f t="shared" si="22"/>
        <v/>
      </c>
    </row>
    <row r="1448" spans="3:7" x14ac:dyDescent="0.3">
      <c r="C1448" t="str">
        <f>IFERROR(IF(B1448="","",VLOOKUP(B1448,CadProd!$A:$B,2,0)),"")</f>
        <v/>
      </c>
      <c r="D1448" t="str">
        <f>IFERROR(IF(B1448="","",VLOOKUP(B1448,CadProd!$A:$C,3,0)),"")</f>
        <v/>
      </c>
      <c r="G1448" s="1" t="str">
        <f t="shared" si="22"/>
        <v/>
      </c>
    </row>
    <row r="1449" spans="3:7" x14ac:dyDescent="0.3">
      <c r="C1449" t="str">
        <f>IFERROR(IF(B1449="","",VLOOKUP(B1449,CadProd!$A:$B,2,0)),"")</f>
        <v/>
      </c>
      <c r="D1449" t="str">
        <f>IFERROR(IF(B1449="","",VLOOKUP(B1449,CadProd!$A:$C,3,0)),"")</f>
        <v/>
      </c>
      <c r="G1449" s="1" t="str">
        <f t="shared" si="22"/>
        <v/>
      </c>
    </row>
    <row r="1450" spans="3:7" x14ac:dyDescent="0.3">
      <c r="C1450" t="str">
        <f>IFERROR(IF(B1450="","",VLOOKUP(B1450,CadProd!$A:$B,2,0)),"")</f>
        <v/>
      </c>
      <c r="D1450" t="str">
        <f>IFERROR(IF(B1450="","",VLOOKUP(B1450,CadProd!$A:$C,3,0)),"")</f>
        <v/>
      </c>
      <c r="G1450" s="1" t="str">
        <f t="shared" si="22"/>
        <v/>
      </c>
    </row>
    <row r="1451" spans="3:7" x14ac:dyDescent="0.3">
      <c r="C1451" t="str">
        <f>IFERROR(IF(B1451="","",VLOOKUP(B1451,CadProd!$A:$B,2,0)),"")</f>
        <v/>
      </c>
      <c r="D1451" t="str">
        <f>IFERROR(IF(B1451="","",VLOOKUP(B1451,CadProd!$A:$C,3,0)),"")</f>
        <v/>
      </c>
      <c r="G1451" s="1" t="str">
        <f t="shared" si="22"/>
        <v/>
      </c>
    </row>
    <row r="1452" spans="3:7" x14ac:dyDescent="0.3">
      <c r="C1452" t="str">
        <f>IFERROR(IF(B1452="","",VLOOKUP(B1452,CadProd!$A:$B,2,0)),"")</f>
        <v/>
      </c>
      <c r="D1452" t="str">
        <f>IFERROR(IF(B1452="","",VLOOKUP(B1452,CadProd!$A:$C,3,0)),"")</f>
        <v/>
      </c>
      <c r="G1452" s="1" t="str">
        <f t="shared" si="22"/>
        <v/>
      </c>
    </row>
    <row r="1453" spans="3:7" x14ac:dyDescent="0.3">
      <c r="C1453" t="str">
        <f>IFERROR(IF(B1453="","",VLOOKUP(B1453,CadProd!$A:$B,2,0)),"")</f>
        <v/>
      </c>
      <c r="D1453" t="str">
        <f>IFERROR(IF(B1453="","",VLOOKUP(B1453,CadProd!$A:$C,3,0)),"")</f>
        <v/>
      </c>
      <c r="G1453" s="1" t="str">
        <f t="shared" si="22"/>
        <v/>
      </c>
    </row>
    <row r="1454" spans="3:7" x14ac:dyDescent="0.3">
      <c r="C1454" t="str">
        <f>IFERROR(IF(B1454="","",VLOOKUP(B1454,CadProd!$A:$B,2,0)),"")</f>
        <v/>
      </c>
      <c r="D1454" t="str">
        <f>IFERROR(IF(B1454="","",VLOOKUP(B1454,CadProd!$A:$C,3,0)),"")</f>
        <v/>
      </c>
      <c r="G1454" s="1" t="str">
        <f t="shared" si="22"/>
        <v/>
      </c>
    </row>
    <row r="1455" spans="3:7" x14ac:dyDescent="0.3">
      <c r="C1455" t="str">
        <f>IFERROR(IF(B1455="","",VLOOKUP(B1455,CadProd!$A:$B,2,0)),"")</f>
        <v/>
      </c>
      <c r="D1455" t="str">
        <f>IFERROR(IF(B1455="","",VLOOKUP(B1455,CadProd!$A:$C,3,0)),"")</f>
        <v/>
      </c>
      <c r="G1455" s="1" t="str">
        <f t="shared" si="22"/>
        <v/>
      </c>
    </row>
    <row r="1456" spans="3:7" x14ac:dyDescent="0.3">
      <c r="C1456" t="str">
        <f>IFERROR(IF(B1456="","",VLOOKUP(B1456,CadProd!$A:$B,2,0)),"")</f>
        <v/>
      </c>
      <c r="D1456" t="str">
        <f>IFERROR(IF(B1456="","",VLOOKUP(B1456,CadProd!$A:$C,3,0)),"")</f>
        <v/>
      </c>
      <c r="G1456" s="1" t="str">
        <f t="shared" si="22"/>
        <v/>
      </c>
    </row>
    <row r="1457" spans="3:7" x14ac:dyDescent="0.3">
      <c r="C1457" t="str">
        <f>IFERROR(IF(B1457="","",VLOOKUP(B1457,CadProd!$A:$B,2,0)),"")</f>
        <v/>
      </c>
      <c r="D1457" t="str">
        <f>IFERROR(IF(B1457="","",VLOOKUP(B1457,CadProd!$A:$C,3,0)),"")</f>
        <v/>
      </c>
      <c r="G1457" s="1" t="str">
        <f t="shared" si="22"/>
        <v/>
      </c>
    </row>
    <row r="1458" spans="3:7" x14ac:dyDescent="0.3">
      <c r="C1458" t="str">
        <f>IFERROR(IF(B1458="","",VLOOKUP(B1458,CadProd!$A:$B,2,0)),"")</f>
        <v/>
      </c>
      <c r="D1458" t="str">
        <f>IFERROR(IF(B1458="","",VLOOKUP(B1458,CadProd!$A:$C,3,0)),"")</f>
        <v/>
      </c>
      <c r="G1458" s="1" t="str">
        <f t="shared" si="22"/>
        <v/>
      </c>
    </row>
    <row r="1459" spans="3:7" x14ac:dyDescent="0.3">
      <c r="C1459" t="str">
        <f>IFERROR(IF(B1459="","",VLOOKUP(B1459,CadProd!$A:$B,2,0)),"")</f>
        <v/>
      </c>
      <c r="D1459" t="str">
        <f>IFERROR(IF(B1459="","",VLOOKUP(B1459,CadProd!$A:$C,3,0)),"")</f>
        <v/>
      </c>
      <c r="G1459" s="1" t="str">
        <f t="shared" si="22"/>
        <v/>
      </c>
    </row>
    <row r="1460" spans="3:7" x14ac:dyDescent="0.3">
      <c r="C1460" t="str">
        <f>IFERROR(IF(B1460="","",VLOOKUP(B1460,CadProd!$A:$B,2,0)),"")</f>
        <v/>
      </c>
      <c r="D1460" t="str">
        <f>IFERROR(IF(B1460="","",VLOOKUP(B1460,CadProd!$A:$C,3,0)),"")</f>
        <v/>
      </c>
      <c r="G1460" s="1" t="str">
        <f t="shared" si="22"/>
        <v/>
      </c>
    </row>
    <row r="1461" spans="3:7" x14ac:dyDescent="0.3">
      <c r="C1461" t="str">
        <f>IFERROR(IF(B1461="","",VLOOKUP(B1461,CadProd!$A:$B,2,0)),"")</f>
        <v/>
      </c>
      <c r="D1461" t="str">
        <f>IFERROR(IF(B1461="","",VLOOKUP(B1461,CadProd!$A:$C,3,0)),"")</f>
        <v/>
      </c>
      <c r="G1461" s="1" t="str">
        <f t="shared" si="22"/>
        <v/>
      </c>
    </row>
    <row r="1462" spans="3:7" x14ac:dyDescent="0.3">
      <c r="C1462" t="str">
        <f>IFERROR(IF(B1462="","",VLOOKUP(B1462,CadProd!$A:$B,2,0)),"")</f>
        <v/>
      </c>
      <c r="D1462" t="str">
        <f>IFERROR(IF(B1462="","",VLOOKUP(B1462,CadProd!$A:$C,3,0)),"")</f>
        <v/>
      </c>
      <c r="G1462" s="1" t="str">
        <f t="shared" si="22"/>
        <v/>
      </c>
    </row>
    <row r="1463" spans="3:7" x14ac:dyDescent="0.3">
      <c r="C1463" t="str">
        <f>IFERROR(IF(B1463="","",VLOOKUP(B1463,CadProd!$A:$B,2,0)),"")</f>
        <v/>
      </c>
      <c r="D1463" t="str">
        <f>IFERROR(IF(B1463="","",VLOOKUP(B1463,CadProd!$A:$C,3,0)),"")</f>
        <v/>
      </c>
      <c r="G1463" s="1" t="str">
        <f t="shared" si="22"/>
        <v/>
      </c>
    </row>
    <row r="1464" spans="3:7" x14ac:dyDescent="0.3">
      <c r="C1464" t="str">
        <f>IFERROR(IF(B1464="","",VLOOKUP(B1464,CadProd!$A:$B,2,0)),"")</f>
        <v/>
      </c>
      <c r="D1464" t="str">
        <f>IFERROR(IF(B1464="","",VLOOKUP(B1464,CadProd!$A:$C,3,0)),"")</f>
        <v/>
      </c>
      <c r="G1464" s="1" t="str">
        <f t="shared" si="22"/>
        <v/>
      </c>
    </row>
    <row r="1465" spans="3:7" x14ac:dyDescent="0.3">
      <c r="C1465" t="str">
        <f>IFERROR(IF(B1465="","",VLOOKUP(B1465,CadProd!$A:$B,2,0)),"")</f>
        <v/>
      </c>
      <c r="D1465" t="str">
        <f>IFERROR(IF(B1465="","",VLOOKUP(B1465,CadProd!$A:$C,3,0)),"")</f>
        <v/>
      </c>
      <c r="G1465" s="1" t="str">
        <f t="shared" si="22"/>
        <v/>
      </c>
    </row>
    <row r="1466" spans="3:7" x14ac:dyDescent="0.3">
      <c r="C1466" t="str">
        <f>IFERROR(IF(B1466="","",VLOOKUP(B1466,CadProd!$A:$B,2,0)),"")</f>
        <v/>
      </c>
      <c r="D1466" t="str">
        <f>IFERROR(IF(B1466="","",VLOOKUP(B1466,CadProd!$A:$C,3,0)),"")</f>
        <v/>
      </c>
      <c r="G1466" s="1" t="str">
        <f t="shared" si="22"/>
        <v/>
      </c>
    </row>
    <row r="1467" spans="3:7" x14ac:dyDescent="0.3">
      <c r="C1467" t="str">
        <f>IFERROR(IF(B1467="","",VLOOKUP(B1467,CadProd!$A:$B,2,0)),"")</f>
        <v/>
      </c>
      <c r="D1467" t="str">
        <f>IFERROR(IF(B1467="","",VLOOKUP(B1467,CadProd!$A:$C,3,0)),"")</f>
        <v/>
      </c>
      <c r="G1467" s="1" t="str">
        <f t="shared" si="22"/>
        <v/>
      </c>
    </row>
    <row r="1468" spans="3:7" x14ac:dyDescent="0.3">
      <c r="C1468" t="str">
        <f>IFERROR(IF(B1468="","",VLOOKUP(B1468,CadProd!$A:$B,2,0)),"")</f>
        <v/>
      </c>
      <c r="D1468" t="str">
        <f>IFERROR(IF(B1468="","",VLOOKUP(B1468,CadProd!$A:$C,3,0)),"")</f>
        <v/>
      </c>
      <c r="G1468" s="1" t="str">
        <f t="shared" si="22"/>
        <v/>
      </c>
    </row>
    <row r="1469" spans="3:7" x14ac:dyDescent="0.3">
      <c r="C1469" t="str">
        <f>IFERROR(IF(B1469="","",VLOOKUP(B1469,CadProd!$A:$B,2,0)),"")</f>
        <v/>
      </c>
      <c r="D1469" t="str">
        <f>IFERROR(IF(B1469="","",VLOOKUP(B1469,CadProd!$A:$C,3,0)),"")</f>
        <v/>
      </c>
      <c r="G1469" s="1" t="str">
        <f t="shared" si="22"/>
        <v/>
      </c>
    </row>
    <row r="1470" spans="3:7" x14ac:dyDescent="0.3">
      <c r="C1470" t="str">
        <f>IFERROR(IF(B1470="","",VLOOKUP(B1470,CadProd!$A:$B,2,0)),"")</f>
        <v/>
      </c>
      <c r="D1470" t="str">
        <f>IFERROR(IF(B1470="","",VLOOKUP(B1470,CadProd!$A:$C,3,0)),"")</f>
        <v/>
      </c>
      <c r="G1470" s="1" t="str">
        <f t="shared" si="22"/>
        <v/>
      </c>
    </row>
    <row r="1471" spans="3:7" x14ac:dyDescent="0.3">
      <c r="C1471" t="str">
        <f>IFERROR(IF(B1471="","",VLOOKUP(B1471,CadProd!$A:$B,2,0)),"")</f>
        <v/>
      </c>
      <c r="D1471" t="str">
        <f>IFERROR(IF(B1471="","",VLOOKUP(B1471,CadProd!$A:$C,3,0)),"")</f>
        <v/>
      </c>
      <c r="G1471" s="1" t="str">
        <f t="shared" si="22"/>
        <v/>
      </c>
    </row>
    <row r="1472" spans="3:7" x14ac:dyDescent="0.3">
      <c r="C1472" t="str">
        <f>IFERROR(IF(B1472="","",VLOOKUP(B1472,CadProd!$A:$B,2,0)),"")</f>
        <v/>
      </c>
      <c r="D1472" t="str">
        <f>IFERROR(IF(B1472="","",VLOOKUP(B1472,CadProd!$A:$C,3,0)),"")</f>
        <v/>
      </c>
      <c r="G1472" s="1" t="str">
        <f t="shared" si="22"/>
        <v/>
      </c>
    </row>
    <row r="1473" spans="3:7" x14ac:dyDescent="0.3">
      <c r="C1473" t="str">
        <f>IFERROR(IF(B1473="","",VLOOKUP(B1473,CadProd!$A:$B,2,0)),"")</f>
        <v/>
      </c>
      <c r="D1473" t="str">
        <f>IFERROR(IF(B1473="","",VLOOKUP(B1473,CadProd!$A:$C,3,0)),"")</f>
        <v/>
      </c>
      <c r="G1473" s="1" t="str">
        <f t="shared" si="22"/>
        <v/>
      </c>
    </row>
    <row r="1474" spans="3:7" x14ac:dyDescent="0.3">
      <c r="C1474" t="str">
        <f>IFERROR(IF(B1474="","",VLOOKUP(B1474,CadProd!$A:$B,2,0)),"")</f>
        <v/>
      </c>
      <c r="D1474" t="str">
        <f>IFERROR(IF(B1474="","",VLOOKUP(B1474,CadProd!$A:$C,3,0)),"")</f>
        <v/>
      </c>
      <c r="G1474" s="1" t="str">
        <f t="shared" si="22"/>
        <v/>
      </c>
    </row>
    <row r="1475" spans="3:7" x14ac:dyDescent="0.3">
      <c r="C1475" t="str">
        <f>IFERROR(IF(B1475="","",VLOOKUP(B1475,CadProd!$A:$B,2,0)),"")</f>
        <v/>
      </c>
      <c r="D1475" t="str">
        <f>IFERROR(IF(B1475="","",VLOOKUP(B1475,CadProd!$A:$C,3,0)),"")</f>
        <v/>
      </c>
      <c r="G1475" s="1" t="str">
        <f t="shared" si="22"/>
        <v/>
      </c>
    </row>
    <row r="1476" spans="3:7" x14ac:dyDescent="0.3">
      <c r="C1476" t="str">
        <f>IFERROR(IF(B1476="","",VLOOKUP(B1476,CadProd!$A:$B,2,0)),"")</f>
        <v/>
      </c>
      <c r="D1476" t="str">
        <f>IFERROR(IF(B1476="","",VLOOKUP(B1476,CadProd!$A:$C,3,0)),"")</f>
        <v/>
      </c>
      <c r="G1476" s="1" t="str">
        <f t="shared" si="22"/>
        <v/>
      </c>
    </row>
    <row r="1477" spans="3:7" x14ac:dyDescent="0.3">
      <c r="C1477" t="str">
        <f>IFERROR(IF(B1477="","",VLOOKUP(B1477,CadProd!$A:$B,2,0)),"")</f>
        <v/>
      </c>
      <c r="D1477" t="str">
        <f>IFERROR(IF(B1477="","",VLOOKUP(B1477,CadProd!$A:$C,3,0)),"")</f>
        <v/>
      </c>
      <c r="G1477" s="1" t="str">
        <f t="shared" si="22"/>
        <v/>
      </c>
    </row>
    <row r="1478" spans="3:7" x14ac:dyDescent="0.3">
      <c r="C1478" t="str">
        <f>IFERROR(IF(B1478="","",VLOOKUP(B1478,CadProd!$A:$B,2,0)),"")</f>
        <v/>
      </c>
      <c r="D1478" t="str">
        <f>IFERROR(IF(B1478="","",VLOOKUP(B1478,CadProd!$A:$C,3,0)),"")</f>
        <v/>
      </c>
      <c r="G1478" s="1" t="str">
        <f t="shared" si="22"/>
        <v/>
      </c>
    </row>
    <row r="1479" spans="3:7" x14ac:dyDescent="0.3">
      <c r="C1479" t="str">
        <f>IFERROR(IF(B1479="","",VLOOKUP(B1479,CadProd!$A:$B,2,0)),"")</f>
        <v/>
      </c>
      <c r="D1479" t="str">
        <f>IFERROR(IF(B1479="","",VLOOKUP(B1479,CadProd!$A:$C,3,0)),"")</f>
        <v/>
      </c>
      <c r="G1479" s="1" t="str">
        <f t="shared" si="22"/>
        <v/>
      </c>
    </row>
    <row r="1480" spans="3:7" x14ac:dyDescent="0.3">
      <c r="C1480" t="str">
        <f>IFERROR(IF(B1480="","",VLOOKUP(B1480,CadProd!$A:$B,2,0)),"")</f>
        <v/>
      </c>
      <c r="D1480" t="str">
        <f>IFERROR(IF(B1480="","",VLOOKUP(B1480,CadProd!$A:$C,3,0)),"")</f>
        <v/>
      </c>
      <c r="G1480" s="1" t="str">
        <f t="shared" si="22"/>
        <v/>
      </c>
    </row>
    <row r="1481" spans="3:7" x14ac:dyDescent="0.3">
      <c r="C1481" t="str">
        <f>IFERROR(IF(B1481="","",VLOOKUP(B1481,CadProd!$A:$B,2,0)),"")</f>
        <v/>
      </c>
      <c r="D1481" t="str">
        <f>IFERROR(IF(B1481="","",VLOOKUP(B1481,CadProd!$A:$C,3,0)),"")</f>
        <v/>
      </c>
      <c r="G1481" s="1" t="str">
        <f t="shared" si="22"/>
        <v/>
      </c>
    </row>
    <row r="1482" spans="3:7" x14ac:dyDescent="0.3">
      <c r="C1482" t="str">
        <f>IFERROR(IF(B1482="","",VLOOKUP(B1482,CadProd!$A:$B,2,0)),"")</f>
        <v/>
      </c>
      <c r="D1482" t="str">
        <f>IFERROR(IF(B1482="","",VLOOKUP(B1482,CadProd!$A:$C,3,0)),"")</f>
        <v/>
      </c>
      <c r="G1482" s="1" t="str">
        <f t="shared" si="22"/>
        <v/>
      </c>
    </row>
    <row r="1483" spans="3:7" x14ac:dyDescent="0.3">
      <c r="C1483" t="str">
        <f>IFERROR(IF(B1483="","",VLOOKUP(B1483,CadProd!$A:$B,2,0)),"")</f>
        <v/>
      </c>
      <c r="D1483" t="str">
        <f>IFERROR(IF(B1483="","",VLOOKUP(B1483,CadProd!$A:$C,3,0)),"")</f>
        <v/>
      </c>
      <c r="G1483" s="1" t="str">
        <f t="shared" ref="G1483:G1546" si="23">IFERROR(IF(B1483="","",F1483*E1483),"")</f>
        <v/>
      </c>
    </row>
    <row r="1484" spans="3:7" x14ac:dyDescent="0.3">
      <c r="C1484" t="str">
        <f>IFERROR(IF(B1484="","",VLOOKUP(B1484,CadProd!$A:$B,2,0)),"")</f>
        <v/>
      </c>
      <c r="D1484" t="str">
        <f>IFERROR(IF(B1484="","",VLOOKUP(B1484,CadProd!$A:$C,3,0)),"")</f>
        <v/>
      </c>
      <c r="G1484" s="1" t="str">
        <f t="shared" si="23"/>
        <v/>
      </c>
    </row>
    <row r="1485" spans="3:7" x14ac:dyDescent="0.3">
      <c r="C1485" t="str">
        <f>IFERROR(IF(B1485="","",VLOOKUP(B1485,CadProd!$A:$B,2,0)),"")</f>
        <v/>
      </c>
      <c r="D1485" t="str">
        <f>IFERROR(IF(B1485="","",VLOOKUP(B1485,CadProd!$A:$C,3,0)),"")</f>
        <v/>
      </c>
      <c r="G1485" s="1" t="str">
        <f t="shared" si="23"/>
        <v/>
      </c>
    </row>
    <row r="1486" spans="3:7" x14ac:dyDescent="0.3">
      <c r="C1486" t="str">
        <f>IFERROR(IF(B1486="","",VLOOKUP(B1486,CadProd!$A:$B,2,0)),"")</f>
        <v/>
      </c>
      <c r="D1486" t="str">
        <f>IFERROR(IF(B1486="","",VLOOKUP(B1486,CadProd!$A:$C,3,0)),"")</f>
        <v/>
      </c>
      <c r="G1486" s="1" t="str">
        <f t="shared" si="23"/>
        <v/>
      </c>
    </row>
    <row r="1487" spans="3:7" x14ac:dyDescent="0.3">
      <c r="C1487" t="str">
        <f>IFERROR(IF(B1487="","",VLOOKUP(B1487,CadProd!$A:$B,2,0)),"")</f>
        <v/>
      </c>
      <c r="D1487" t="str">
        <f>IFERROR(IF(B1487="","",VLOOKUP(B1487,CadProd!$A:$C,3,0)),"")</f>
        <v/>
      </c>
      <c r="G1487" s="1" t="str">
        <f t="shared" si="23"/>
        <v/>
      </c>
    </row>
    <row r="1488" spans="3:7" x14ac:dyDescent="0.3">
      <c r="C1488" t="str">
        <f>IFERROR(IF(B1488="","",VLOOKUP(B1488,CadProd!$A:$B,2,0)),"")</f>
        <v/>
      </c>
      <c r="D1488" t="str">
        <f>IFERROR(IF(B1488="","",VLOOKUP(B1488,CadProd!$A:$C,3,0)),"")</f>
        <v/>
      </c>
      <c r="G1488" s="1" t="str">
        <f t="shared" si="23"/>
        <v/>
      </c>
    </row>
    <row r="1489" spans="3:7" x14ac:dyDescent="0.3">
      <c r="C1489" t="str">
        <f>IFERROR(IF(B1489="","",VLOOKUP(B1489,CadProd!$A:$B,2,0)),"")</f>
        <v/>
      </c>
      <c r="D1489" t="str">
        <f>IFERROR(IF(B1489="","",VLOOKUP(B1489,CadProd!$A:$C,3,0)),"")</f>
        <v/>
      </c>
      <c r="G1489" s="1" t="str">
        <f t="shared" si="23"/>
        <v/>
      </c>
    </row>
    <row r="1490" spans="3:7" x14ac:dyDescent="0.3">
      <c r="C1490" t="str">
        <f>IFERROR(IF(B1490="","",VLOOKUP(B1490,CadProd!$A:$B,2,0)),"")</f>
        <v/>
      </c>
      <c r="D1490" t="str">
        <f>IFERROR(IF(B1490="","",VLOOKUP(B1490,CadProd!$A:$C,3,0)),"")</f>
        <v/>
      </c>
      <c r="G1490" s="1" t="str">
        <f t="shared" si="23"/>
        <v/>
      </c>
    </row>
    <row r="1491" spans="3:7" x14ac:dyDescent="0.3">
      <c r="C1491" t="str">
        <f>IFERROR(IF(B1491="","",VLOOKUP(B1491,CadProd!$A:$B,2,0)),"")</f>
        <v/>
      </c>
      <c r="D1491" t="str">
        <f>IFERROR(IF(B1491="","",VLOOKUP(B1491,CadProd!$A:$C,3,0)),"")</f>
        <v/>
      </c>
      <c r="G1491" s="1" t="str">
        <f t="shared" si="23"/>
        <v/>
      </c>
    </row>
    <row r="1492" spans="3:7" x14ac:dyDescent="0.3">
      <c r="C1492" t="str">
        <f>IFERROR(IF(B1492="","",VLOOKUP(B1492,CadProd!$A:$B,2,0)),"")</f>
        <v/>
      </c>
      <c r="D1492" t="str">
        <f>IFERROR(IF(B1492="","",VLOOKUP(B1492,CadProd!$A:$C,3,0)),"")</f>
        <v/>
      </c>
      <c r="G1492" s="1" t="str">
        <f t="shared" si="23"/>
        <v/>
      </c>
    </row>
    <row r="1493" spans="3:7" x14ac:dyDescent="0.3">
      <c r="C1493" t="str">
        <f>IFERROR(IF(B1493="","",VLOOKUP(B1493,CadProd!$A:$B,2,0)),"")</f>
        <v/>
      </c>
      <c r="D1493" t="str">
        <f>IFERROR(IF(B1493="","",VLOOKUP(B1493,CadProd!$A:$C,3,0)),"")</f>
        <v/>
      </c>
      <c r="G1493" s="1" t="str">
        <f t="shared" si="23"/>
        <v/>
      </c>
    </row>
    <row r="1494" spans="3:7" x14ac:dyDescent="0.3">
      <c r="C1494" t="str">
        <f>IFERROR(IF(B1494="","",VLOOKUP(B1494,CadProd!$A:$B,2,0)),"")</f>
        <v/>
      </c>
      <c r="D1494" t="str">
        <f>IFERROR(IF(B1494="","",VLOOKUP(B1494,CadProd!$A:$C,3,0)),"")</f>
        <v/>
      </c>
      <c r="G1494" s="1" t="str">
        <f t="shared" si="23"/>
        <v/>
      </c>
    </row>
    <row r="1495" spans="3:7" x14ac:dyDescent="0.3">
      <c r="C1495" t="str">
        <f>IFERROR(IF(B1495="","",VLOOKUP(B1495,CadProd!$A:$B,2,0)),"")</f>
        <v/>
      </c>
      <c r="D1495" t="str">
        <f>IFERROR(IF(B1495="","",VLOOKUP(B1495,CadProd!$A:$C,3,0)),"")</f>
        <v/>
      </c>
      <c r="G1495" s="1" t="str">
        <f t="shared" si="23"/>
        <v/>
      </c>
    </row>
    <row r="1496" spans="3:7" x14ac:dyDescent="0.3">
      <c r="C1496" t="str">
        <f>IFERROR(IF(B1496="","",VLOOKUP(B1496,CadProd!$A:$B,2,0)),"")</f>
        <v/>
      </c>
      <c r="D1496" t="str">
        <f>IFERROR(IF(B1496="","",VLOOKUP(B1496,CadProd!$A:$C,3,0)),"")</f>
        <v/>
      </c>
      <c r="G1496" s="1" t="str">
        <f t="shared" si="23"/>
        <v/>
      </c>
    </row>
    <row r="1497" spans="3:7" x14ac:dyDescent="0.3">
      <c r="C1497" t="str">
        <f>IFERROR(IF(B1497="","",VLOOKUP(B1497,CadProd!$A:$B,2,0)),"")</f>
        <v/>
      </c>
      <c r="D1497" t="str">
        <f>IFERROR(IF(B1497="","",VLOOKUP(B1497,CadProd!$A:$C,3,0)),"")</f>
        <v/>
      </c>
      <c r="G1497" s="1" t="str">
        <f t="shared" si="23"/>
        <v/>
      </c>
    </row>
    <row r="1498" spans="3:7" x14ac:dyDescent="0.3">
      <c r="C1498" t="str">
        <f>IFERROR(IF(B1498="","",VLOOKUP(B1498,CadProd!$A:$B,2,0)),"")</f>
        <v/>
      </c>
      <c r="D1498" t="str">
        <f>IFERROR(IF(B1498="","",VLOOKUP(B1498,CadProd!$A:$C,3,0)),"")</f>
        <v/>
      </c>
      <c r="G1498" s="1" t="str">
        <f t="shared" si="23"/>
        <v/>
      </c>
    </row>
    <row r="1499" spans="3:7" x14ac:dyDescent="0.3">
      <c r="C1499" t="str">
        <f>IFERROR(IF(B1499="","",VLOOKUP(B1499,CadProd!$A:$B,2,0)),"")</f>
        <v/>
      </c>
      <c r="D1499" t="str">
        <f>IFERROR(IF(B1499="","",VLOOKUP(B1499,CadProd!$A:$C,3,0)),"")</f>
        <v/>
      </c>
      <c r="G1499" s="1" t="str">
        <f t="shared" si="23"/>
        <v/>
      </c>
    </row>
    <row r="1500" spans="3:7" x14ac:dyDescent="0.3">
      <c r="C1500" t="str">
        <f>IFERROR(IF(B1500="","",VLOOKUP(B1500,CadProd!$A:$B,2,0)),"")</f>
        <v/>
      </c>
      <c r="D1500" t="str">
        <f>IFERROR(IF(B1500="","",VLOOKUP(B1500,CadProd!$A:$C,3,0)),"")</f>
        <v/>
      </c>
      <c r="G1500" s="1" t="str">
        <f t="shared" si="23"/>
        <v/>
      </c>
    </row>
    <row r="1501" spans="3:7" x14ac:dyDescent="0.3">
      <c r="C1501" t="str">
        <f>IFERROR(IF(B1501="","",VLOOKUP(B1501,CadProd!$A:$B,2,0)),"")</f>
        <v/>
      </c>
      <c r="D1501" t="str">
        <f>IFERROR(IF(B1501="","",VLOOKUP(B1501,CadProd!$A:$C,3,0)),"")</f>
        <v/>
      </c>
      <c r="G1501" s="1" t="str">
        <f t="shared" si="23"/>
        <v/>
      </c>
    </row>
    <row r="1502" spans="3:7" x14ac:dyDescent="0.3">
      <c r="C1502" t="str">
        <f>IFERROR(IF(B1502="","",VLOOKUP(B1502,CadProd!$A:$B,2,0)),"")</f>
        <v/>
      </c>
      <c r="D1502" t="str">
        <f>IFERROR(IF(B1502="","",VLOOKUP(B1502,CadProd!$A:$C,3,0)),"")</f>
        <v/>
      </c>
      <c r="G1502" s="1" t="str">
        <f t="shared" si="23"/>
        <v/>
      </c>
    </row>
    <row r="1503" spans="3:7" x14ac:dyDescent="0.3">
      <c r="C1503" t="str">
        <f>IFERROR(IF(B1503="","",VLOOKUP(B1503,CadProd!$A:$B,2,0)),"")</f>
        <v/>
      </c>
      <c r="D1503" t="str">
        <f>IFERROR(IF(B1503="","",VLOOKUP(B1503,CadProd!$A:$C,3,0)),"")</f>
        <v/>
      </c>
      <c r="G1503" s="1" t="str">
        <f t="shared" si="23"/>
        <v/>
      </c>
    </row>
    <row r="1504" spans="3:7" x14ac:dyDescent="0.3">
      <c r="C1504" t="str">
        <f>IFERROR(IF(B1504="","",VLOOKUP(B1504,CadProd!$A:$B,2,0)),"")</f>
        <v/>
      </c>
      <c r="D1504" t="str">
        <f>IFERROR(IF(B1504="","",VLOOKUP(B1504,CadProd!$A:$C,3,0)),"")</f>
        <v/>
      </c>
      <c r="G1504" s="1" t="str">
        <f t="shared" si="23"/>
        <v/>
      </c>
    </row>
    <row r="1505" spans="3:7" x14ac:dyDescent="0.3">
      <c r="C1505" t="str">
        <f>IFERROR(IF(B1505="","",VLOOKUP(B1505,CadProd!$A:$B,2,0)),"")</f>
        <v/>
      </c>
      <c r="D1505" t="str">
        <f>IFERROR(IF(B1505="","",VLOOKUP(B1505,CadProd!$A:$C,3,0)),"")</f>
        <v/>
      </c>
      <c r="G1505" s="1" t="str">
        <f t="shared" si="23"/>
        <v/>
      </c>
    </row>
    <row r="1506" spans="3:7" x14ac:dyDescent="0.3">
      <c r="C1506" t="str">
        <f>IFERROR(IF(B1506="","",VLOOKUP(B1506,CadProd!$A:$B,2,0)),"")</f>
        <v/>
      </c>
      <c r="D1506" t="str">
        <f>IFERROR(IF(B1506="","",VLOOKUP(B1506,CadProd!$A:$C,3,0)),"")</f>
        <v/>
      </c>
      <c r="G1506" s="1" t="str">
        <f t="shared" si="23"/>
        <v/>
      </c>
    </row>
    <row r="1507" spans="3:7" x14ac:dyDescent="0.3">
      <c r="C1507" t="str">
        <f>IFERROR(IF(B1507="","",VLOOKUP(B1507,CadProd!$A:$B,2,0)),"")</f>
        <v/>
      </c>
      <c r="D1507" t="str">
        <f>IFERROR(IF(B1507="","",VLOOKUP(B1507,CadProd!$A:$C,3,0)),"")</f>
        <v/>
      </c>
      <c r="G1507" s="1" t="str">
        <f t="shared" si="23"/>
        <v/>
      </c>
    </row>
    <row r="1508" spans="3:7" x14ac:dyDescent="0.3">
      <c r="C1508" t="str">
        <f>IFERROR(IF(B1508="","",VLOOKUP(B1508,CadProd!$A:$B,2,0)),"")</f>
        <v/>
      </c>
      <c r="D1508" t="str">
        <f>IFERROR(IF(B1508="","",VLOOKUP(B1508,CadProd!$A:$C,3,0)),"")</f>
        <v/>
      </c>
      <c r="G1508" s="1" t="str">
        <f t="shared" si="23"/>
        <v/>
      </c>
    </row>
    <row r="1509" spans="3:7" x14ac:dyDescent="0.3">
      <c r="C1509" t="str">
        <f>IFERROR(IF(B1509="","",VLOOKUP(B1509,CadProd!$A:$B,2,0)),"")</f>
        <v/>
      </c>
      <c r="D1509" t="str">
        <f>IFERROR(IF(B1509="","",VLOOKUP(B1509,CadProd!$A:$C,3,0)),"")</f>
        <v/>
      </c>
      <c r="G1509" s="1" t="str">
        <f t="shared" si="23"/>
        <v/>
      </c>
    </row>
    <row r="1510" spans="3:7" x14ac:dyDescent="0.3">
      <c r="C1510" t="str">
        <f>IFERROR(IF(B1510="","",VLOOKUP(B1510,CadProd!$A:$B,2,0)),"")</f>
        <v/>
      </c>
      <c r="D1510" t="str">
        <f>IFERROR(IF(B1510="","",VLOOKUP(B1510,CadProd!$A:$C,3,0)),"")</f>
        <v/>
      </c>
      <c r="G1510" s="1" t="str">
        <f t="shared" si="23"/>
        <v/>
      </c>
    </row>
    <row r="1511" spans="3:7" x14ac:dyDescent="0.3">
      <c r="C1511" t="str">
        <f>IFERROR(IF(B1511="","",VLOOKUP(B1511,CadProd!$A:$B,2,0)),"")</f>
        <v/>
      </c>
      <c r="D1511" t="str">
        <f>IFERROR(IF(B1511="","",VLOOKUP(B1511,CadProd!$A:$C,3,0)),"")</f>
        <v/>
      </c>
      <c r="G1511" s="1" t="str">
        <f t="shared" si="23"/>
        <v/>
      </c>
    </row>
    <row r="1512" spans="3:7" x14ac:dyDescent="0.3">
      <c r="C1512" t="str">
        <f>IFERROR(IF(B1512="","",VLOOKUP(B1512,CadProd!$A:$B,2,0)),"")</f>
        <v/>
      </c>
      <c r="D1512" t="str">
        <f>IFERROR(IF(B1512="","",VLOOKUP(B1512,CadProd!$A:$C,3,0)),"")</f>
        <v/>
      </c>
      <c r="G1512" s="1" t="str">
        <f t="shared" si="23"/>
        <v/>
      </c>
    </row>
    <row r="1513" spans="3:7" x14ac:dyDescent="0.3">
      <c r="C1513" t="str">
        <f>IFERROR(IF(B1513="","",VLOOKUP(B1513,CadProd!$A:$B,2,0)),"")</f>
        <v/>
      </c>
      <c r="D1513" t="str">
        <f>IFERROR(IF(B1513="","",VLOOKUP(B1513,CadProd!$A:$C,3,0)),"")</f>
        <v/>
      </c>
      <c r="G1513" s="1" t="str">
        <f t="shared" si="23"/>
        <v/>
      </c>
    </row>
    <row r="1514" spans="3:7" x14ac:dyDescent="0.3">
      <c r="C1514" t="str">
        <f>IFERROR(IF(B1514="","",VLOOKUP(B1514,CadProd!$A:$B,2,0)),"")</f>
        <v/>
      </c>
      <c r="D1514" t="str">
        <f>IFERROR(IF(B1514="","",VLOOKUP(B1514,CadProd!$A:$C,3,0)),"")</f>
        <v/>
      </c>
      <c r="G1514" s="1" t="str">
        <f t="shared" si="23"/>
        <v/>
      </c>
    </row>
    <row r="1515" spans="3:7" x14ac:dyDescent="0.3">
      <c r="C1515" t="str">
        <f>IFERROR(IF(B1515="","",VLOOKUP(B1515,CadProd!$A:$B,2,0)),"")</f>
        <v/>
      </c>
      <c r="D1515" t="str">
        <f>IFERROR(IF(B1515="","",VLOOKUP(B1515,CadProd!$A:$C,3,0)),"")</f>
        <v/>
      </c>
      <c r="G1515" s="1" t="str">
        <f t="shared" si="23"/>
        <v/>
      </c>
    </row>
    <row r="1516" spans="3:7" x14ac:dyDescent="0.3">
      <c r="C1516" t="str">
        <f>IFERROR(IF(B1516="","",VLOOKUP(B1516,CadProd!$A:$B,2,0)),"")</f>
        <v/>
      </c>
      <c r="D1516" t="str">
        <f>IFERROR(IF(B1516="","",VLOOKUP(B1516,CadProd!$A:$C,3,0)),"")</f>
        <v/>
      </c>
      <c r="G1516" s="1" t="str">
        <f t="shared" si="23"/>
        <v/>
      </c>
    </row>
    <row r="1517" spans="3:7" x14ac:dyDescent="0.3">
      <c r="C1517" t="str">
        <f>IFERROR(IF(B1517="","",VLOOKUP(B1517,CadProd!$A:$B,2,0)),"")</f>
        <v/>
      </c>
      <c r="D1517" t="str">
        <f>IFERROR(IF(B1517="","",VLOOKUP(B1517,CadProd!$A:$C,3,0)),"")</f>
        <v/>
      </c>
      <c r="G1517" s="1" t="str">
        <f t="shared" si="23"/>
        <v/>
      </c>
    </row>
    <row r="1518" spans="3:7" x14ac:dyDescent="0.3">
      <c r="C1518" t="str">
        <f>IFERROR(IF(B1518="","",VLOOKUP(B1518,CadProd!$A:$B,2,0)),"")</f>
        <v/>
      </c>
      <c r="D1518" t="str">
        <f>IFERROR(IF(B1518="","",VLOOKUP(B1518,CadProd!$A:$C,3,0)),"")</f>
        <v/>
      </c>
      <c r="G1518" s="1" t="str">
        <f t="shared" si="23"/>
        <v/>
      </c>
    </row>
    <row r="1519" spans="3:7" x14ac:dyDescent="0.3">
      <c r="C1519" t="str">
        <f>IFERROR(IF(B1519="","",VLOOKUP(B1519,CadProd!$A:$B,2,0)),"")</f>
        <v/>
      </c>
      <c r="D1519" t="str">
        <f>IFERROR(IF(B1519="","",VLOOKUP(B1519,CadProd!$A:$C,3,0)),"")</f>
        <v/>
      </c>
      <c r="G1519" s="1" t="str">
        <f t="shared" si="23"/>
        <v/>
      </c>
    </row>
    <row r="1520" spans="3:7" x14ac:dyDescent="0.3">
      <c r="C1520" t="str">
        <f>IFERROR(IF(B1520="","",VLOOKUP(B1520,CadProd!$A:$B,2,0)),"")</f>
        <v/>
      </c>
      <c r="D1520" t="str">
        <f>IFERROR(IF(B1520="","",VLOOKUP(B1520,CadProd!$A:$C,3,0)),"")</f>
        <v/>
      </c>
      <c r="G1520" s="1" t="str">
        <f t="shared" si="23"/>
        <v/>
      </c>
    </row>
    <row r="1521" spans="3:7" x14ac:dyDescent="0.3">
      <c r="C1521" t="str">
        <f>IFERROR(IF(B1521="","",VLOOKUP(B1521,CadProd!$A:$B,2,0)),"")</f>
        <v/>
      </c>
      <c r="D1521" t="str">
        <f>IFERROR(IF(B1521="","",VLOOKUP(B1521,CadProd!$A:$C,3,0)),"")</f>
        <v/>
      </c>
      <c r="G1521" s="1" t="str">
        <f t="shared" si="23"/>
        <v/>
      </c>
    </row>
    <row r="1522" spans="3:7" x14ac:dyDescent="0.3">
      <c r="C1522" t="str">
        <f>IFERROR(IF(B1522="","",VLOOKUP(B1522,CadProd!$A:$B,2,0)),"")</f>
        <v/>
      </c>
      <c r="D1522" t="str">
        <f>IFERROR(IF(B1522="","",VLOOKUP(B1522,CadProd!$A:$C,3,0)),"")</f>
        <v/>
      </c>
      <c r="G1522" s="1" t="str">
        <f t="shared" si="23"/>
        <v/>
      </c>
    </row>
    <row r="1523" spans="3:7" x14ac:dyDescent="0.3">
      <c r="C1523" t="str">
        <f>IFERROR(IF(B1523="","",VLOOKUP(B1523,CadProd!$A:$B,2,0)),"")</f>
        <v/>
      </c>
      <c r="D1523" t="str">
        <f>IFERROR(IF(B1523="","",VLOOKUP(B1523,CadProd!$A:$C,3,0)),"")</f>
        <v/>
      </c>
      <c r="G1523" s="1" t="str">
        <f t="shared" si="23"/>
        <v/>
      </c>
    </row>
    <row r="1524" spans="3:7" x14ac:dyDescent="0.3">
      <c r="C1524" t="str">
        <f>IFERROR(IF(B1524="","",VLOOKUP(B1524,CadProd!$A:$B,2,0)),"")</f>
        <v/>
      </c>
      <c r="D1524" t="str">
        <f>IFERROR(IF(B1524="","",VLOOKUP(B1524,CadProd!$A:$C,3,0)),"")</f>
        <v/>
      </c>
      <c r="G1524" s="1" t="str">
        <f t="shared" si="23"/>
        <v/>
      </c>
    </row>
    <row r="1525" spans="3:7" x14ac:dyDescent="0.3">
      <c r="C1525" t="str">
        <f>IFERROR(IF(B1525="","",VLOOKUP(B1525,CadProd!$A:$B,2,0)),"")</f>
        <v/>
      </c>
      <c r="D1525" t="str">
        <f>IFERROR(IF(B1525="","",VLOOKUP(B1525,CadProd!$A:$C,3,0)),"")</f>
        <v/>
      </c>
      <c r="G1525" s="1" t="str">
        <f t="shared" si="23"/>
        <v/>
      </c>
    </row>
    <row r="1526" spans="3:7" x14ac:dyDescent="0.3">
      <c r="C1526" t="str">
        <f>IFERROR(IF(B1526="","",VLOOKUP(B1526,CadProd!$A:$B,2,0)),"")</f>
        <v/>
      </c>
      <c r="D1526" t="str">
        <f>IFERROR(IF(B1526="","",VLOOKUP(B1526,CadProd!$A:$C,3,0)),"")</f>
        <v/>
      </c>
      <c r="G1526" s="1" t="str">
        <f t="shared" si="23"/>
        <v/>
      </c>
    </row>
    <row r="1527" spans="3:7" x14ac:dyDescent="0.3">
      <c r="C1527" t="str">
        <f>IFERROR(IF(B1527="","",VLOOKUP(B1527,CadProd!$A:$B,2,0)),"")</f>
        <v/>
      </c>
      <c r="D1527" t="str">
        <f>IFERROR(IF(B1527="","",VLOOKUP(B1527,CadProd!$A:$C,3,0)),"")</f>
        <v/>
      </c>
      <c r="G1527" s="1" t="str">
        <f t="shared" si="23"/>
        <v/>
      </c>
    </row>
    <row r="1528" spans="3:7" x14ac:dyDescent="0.3">
      <c r="C1528" t="str">
        <f>IFERROR(IF(B1528="","",VLOOKUP(B1528,CadProd!$A:$B,2,0)),"")</f>
        <v/>
      </c>
      <c r="D1528" t="str">
        <f>IFERROR(IF(B1528="","",VLOOKUP(B1528,CadProd!$A:$C,3,0)),"")</f>
        <v/>
      </c>
      <c r="G1528" s="1" t="str">
        <f t="shared" si="23"/>
        <v/>
      </c>
    </row>
    <row r="1529" spans="3:7" x14ac:dyDescent="0.3">
      <c r="C1529" t="str">
        <f>IFERROR(IF(B1529="","",VLOOKUP(B1529,CadProd!$A:$B,2,0)),"")</f>
        <v/>
      </c>
      <c r="D1529" t="str">
        <f>IFERROR(IF(B1529="","",VLOOKUP(B1529,CadProd!$A:$C,3,0)),"")</f>
        <v/>
      </c>
      <c r="G1529" s="1" t="str">
        <f t="shared" si="23"/>
        <v/>
      </c>
    </row>
    <row r="1530" spans="3:7" x14ac:dyDescent="0.3">
      <c r="C1530" t="str">
        <f>IFERROR(IF(B1530="","",VLOOKUP(B1530,CadProd!$A:$B,2,0)),"")</f>
        <v/>
      </c>
      <c r="D1530" t="str">
        <f>IFERROR(IF(B1530="","",VLOOKUP(B1530,CadProd!$A:$C,3,0)),"")</f>
        <v/>
      </c>
      <c r="G1530" s="1" t="str">
        <f t="shared" si="23"/>
        <v/>
      </c>
    </row>
    <row r="1531" spans="3:7" x14ac:dyDescent="0.3">
      <c r="C1531" t="str">
        <f>IFERROR(IF(B1531="","",VLOOKUP(B1531,CadProd!$A:$B,2,0)),"")</f>
        <v/>
      </c>
      <c r="D1531" t="str">
        <f>IFERROR(IF(B1531="","",VLOOKUP(B1531,CadProd!$A:$C,3,0)),"")</f>
        <v/>
      </c>
      <c r="G1531" s="1" t="str">
        <f t="shared" si="23"/>
        <v/>
      </c>
    </row>
    <row r="1532" spans="3:7" x14ac:dyDescent="0.3">
      <c r="C1532" t="str">
        <f>IFERROR(IF(B1532="","",VLOOKUP(B1532,CadProd!$A:$B,2,0)),"")</f>
        <v/>
      </c>
      <c r="D1532" t="str">
        <f>IFERROR(IF(B1532="","",VLOOKUP(B1532,CadProd!$A:$C,3,0)),"")</f>
        <v/>
      </c>
      <c r="G1532" s="1" t="str">
        <f t="shared" si="23"/>
        <v/>
      </c>
    </row>
    <row r="1533" spans="3:7" x14ac:dyDescent="0.3">
      <c r="C1533" t="str">
        <f>IFERROR(IF(B1533="","",VLOOKUP(B1533,CadProd!$A:$B,2,0)),"")</f>
        <v/>
      </c>
      <c r="D1533" t="str">
        <f>IFERROR(IF(B1533="","",VLOOKUP(B1533,CadProd!$A:$C,3,0)),"")</f>
        <v/>
      </c>
      <c r="G1533" s="1" t="str">
        <f t="shared" si="23"/>
        <v/>
      </c>
    </row>
    <row r="1534" spans="3:7" x14ac:dyDescent="0.3">
      <c r="C1534" t="str">
        <f>IFERROR(IF(B1534="","",VLOOKUP(B1534,CadProd!$A:$B,2,0)),"")</f>
        <v/>
      </c>
      <c r="D1534" t="str">
        <f>IFERROR(IF(B1534="","",VLOOKUP(B1534,CadProd!$A:$C,3,0)),"")</f>
        <v/>
      </c>
      <c r="G1534" s="1" t="str">
        <f t="shared" si="23"/>
        <v/>
      </c>
    </row>
    <row r="1535" spans="3:7" x14ac:dyDescent="0.3">
      <c r="C1535" t="str">
        <f>IFERROR(IF(B1535="","",VLOOKUP(B1535,CadProd!$A:$B,2,0)),"")</f>
        <v/>
      </c>
      <c r="D1535" t="str">
        <f>IFERROR(IF(B1535="","",VLOOKUP(B1535,CadProd!$A:$C,3,0)),"")</f>
        <v/>
      </c>
      <c r="G1535" s="1" t="str">
        <f t="shared" si="23"/>
        <v/>
      </c>
    </row>
    <row r="1536" spans="3:7" x14ac:dyDescent="0.3">
      <c r="C1536" t="str">
        <f>IFERROR(IF(B1536="","",VLOOKUP(B1536,CadProd!$A:$B,2,0)),"")</f>
        <v/>
      </c>
      <c r="D1536" t="str">
        <f>IFERROR(IF(B1536="","",VLOOKUP(B1536,CadProd!$A:$C,3,0)),"")</f>
        <v/>
      </c>
      <c r="G1536" s="1" t="str">
        <f t="shared" si="23"/>
        <v/>
      </c>
    </row>
    <row r="1537" spans="3:7" x14ac:dyDescent="0.3">
      <c r="C1537" t="str">
        <f>IFERROR(IF(B1537="","",VLOOKUP(B1537,CadProd!$A:$B,2,0)),"")</f>
        <v/>
      </c>
      <c r="D1537" t="str">
        <f>IFERROR(IF(B1537="","",VLOOKUP(B1537,CadProd!$A:$C,3,0)),"")</f>
        <v/>
      </c>
      <c r="G1537" s="1" t="str">
        <f t="shared" si="23"/>
        <v/>
      </c>
    </row>
    <row r="1538" spans="3:7" x14ac:dyDescent="0.3">
      <c r="C1538" t="str">
        <f>IFERROR(IF(B1538="","",VLOOKUP(B1538,CadProd!$A:$B,2,0)),"")</f>
        <v/>
      </c>
      <c r="D1538" t="str">
        <f>IFERROR(IF(B1538="","",VLOOKUP(B1538,CadProd!$A:$C,3,0)),"")</f>
        <v/>
      </c>
      <c r="G1538" s="1" t="str">
        <f t="shared" si="23"/>
        <v/>
      </c>
    </row>
    <row r="1539" spans="3:7" x14ac:dyDescent="0.3">
      <c r="C1539" t="str">
        <f>IFERROR(IF(B1539="","",VLOOKUP(B1539,CadProd!$A:$B,2,0)),"")</f>
        <v/>
      </c>
      <c r="D1539" t="str">
        <f>IFERROR(IF(B1539="","",VLOOKUP(B1539,CadProd!$A:$C,3,0)),"")</f>
        <v/>
      </c>
      <c r="G1539" s="1" t="str">
        <f t="shared" si="23"/>
        <v/>
      </c>
    </row>
    <row r="1540" spans="3:7" x14ac:dyDescent="0.3">
      <c r="C1540" t="str">
        <f>IFERROR(IF(B1540="","",VLOOKUP(B1540,CadProd!$A:$B,2,0)),"")</f>
        <v/>
      </c>
      <c r="D1540" t="str">
        <f>IFERROR(IF(B1540="","",VLOOKUP(B1540,CadProd!$A:$C,3,0)),"")</f>
        <v/>
      </c>
      <c r="G1540" s="1" t="str">
        <f t="shared" si="23"/>
        <v/>
      </c>
    </row>
    <row r="1541" spans="3:7" x14ac:dyDescent="0.3">
      <c r="C1541" t="str">
        <f>IFERROR(IF(B1541="","",VLOOKUP(B1541,CadProd!$A:$B,2,0)),"")</f>
        <v/>
      </c>
      <c r="D1541" t="str">
        <f>IFERROR(IF(B1541="","",VLOOKUP(B1541,CadProd!$A:$C,3,0)),"")</f>
        <v/>
      </c>
      <c r="G1541" s="1" t="str">
        <f t="shared" si="23"/>
        <v/>
      </c>
    </row>
    <row r="1542" spans="3:7" x14ac:dyDescent="0.3">
      <c r="C1542" t="str">
        <f>IFERROR(IF(B1542="","",VLOOKUP(B1542,CadProd!$A:$B,2,0)),"")</f>
        <v/>
      </c>
      <c r="D1542" t="str">
        <f>IFERROR(IF(B1542="","",VLOOKUP(B1542,CadProd!$A:$C,3,0)),"")</f>
        <v/>
      </c>
      <c r="G1542" s="1" t="str">
        <f t="shared" si="23"/>
        <v/>
      </c>
    </row>
    <row r="1543" spans="3:7" x14ac:dyDescent="0.3">
      <c r="C1543" t="str">
        <f>IFERROR(IF(B1543="","",VLOOKUP(B1543,CadProd!$A:$B,2,0)),"")</f>
        <v/>
      </c>
      <c r="D1543" t="str">
        <f>IFERROR(IF(B1543="","",VLOOKUP(B1543,CadProd!$A:$C,3,0)),"")</f>
        <v/>
      </c>
      <c r="G1543" s="1" t="str">
        <f t="shared" si="23"/>
        <v/>
      </c>
    </row>
    <row r="1544" spans="3:7" x14ac:dyDescent="0.3">
      <c r="C1544" t="str">
        <f>IFERROR(IF(B1544="","",VLOOKUP(B1544,CadProd!$A:$B,2,0)),"")</f>
        <v/>
      </c>
      <c r="D1544" t="str">
        <f>IFERROR(IF(B1544="","",VLOOKUP(B1544,CadProd!$A:$C,3,0)),"")</f>
        <v/>
      </c>
      <c r="G1544" s="1" t="str">
        <f t="shared" si="23"/>
        <v/>
      </c>
    </row>
    <row r="1545" spans="3:7" x14ac:dyDescent="0.3">
      <c r="C1545" t="str">
        <f>IFERROR(IF(B1545="","",VLOOKUP(B1545,CadProd!$A:$B,2,0)),"")</f>
        <v/>
      </c>
      <c r="D1545" t="str">
        <f>IFERROR(IF(B1545="","",VLOOKUP(B1545,CadProd!$A:$C,3,0)),"")</f>
        <v/>
      </c>
      <c r="G1545" s="1" t="str">
        <f t="shared" si="23"/>
        <v/>
      </c>
    </row>
    <row r="1546" spans="3:7" x14ac:dyDescent="0.3">
      <c r="C1546" t="str">
        <f>IFERROR(IF(B1546="","",VLOOKUP(B1546,CadProd!$A:$B,2,0)),"")</f>
        <v/>
      </c>
      <c r="D1546" t="str">
        <f>IFERROR(IF(B1546="","",VLOOKUP(B1546,CadProd!$A:$C,3,0)),"")</f>
        <v/>
      </c>
      <c r="G1546" s="1" t="str">
        <f t="shared" si="23"/>
        <v/>
      </c>
    </row>
    <row r="1547" spans="3:7" x14ac:dyDescent="0.3">
      <c r="C1547" t="str">
        <f>IFERROR(IF(B1547="","",VLOOKUP(B1547,CadProd!$A:$B,2,0)),"")</f>
        <v/>
      </c>
      <c r="D1547" t="str">
        <f>IFERROR(IF(B1547="","",VLOOKUP(B1547,CadProd!$A:$C,3,0)),"")</f>
        <v/>
      </c>
      <c r="G1547" s="1" t="str">
        <f t="shared" ref="G1547:G1610" si="24">IFERROR(IF(B1547="","",F1547*E1547),"")</f>
        <v/>
      </c>
    </row>
    <row r="1548" spans="3:7" x14ac:dyDescent="0.3">
      <c r="C1548" t="str">
        <f>IFERROR(IF(B1548="","",VLOOKUP(B1548,CadProd!$A:$B,2,0)),"")</f>
        <v/>
      </c>
      <c r="D1548" t="str">
        <f>IFERROR(IF(B1548="","",VLOOKUP(B1548,CadProd!$A:$C,3,0)),"")</f>
        <v/>
      </c>
      <c r="G1548" s="1" t="str">
        <f t="shared" si="24"/>
        <v/>
      </c>
    </row>
    <row r="1549" spans="3:7" x14ac:dyDescent="0.3">
      <c r="C1549" t="str">
        <f>IFERROR(IF(B1549="","",VLOOKUP(B1549,CadProd!$A:$B,2,0)),"")</f>
        <v/>
      </c>
      <c r="D1549" t="str">
        <f>IFERROR(IF(B1549="","",VLOOKUP(B1549,CadProd!$A:$C,3,0)),"")</f>
        <v/>
      </c>
      <c r="G1549" s="1" t="str">
        <f t="shared" si="24"/>
        <v/>
      </c>
    </row>
    <row r="1550" spans="3:7" x14ac:dyDescent="0.3">
      <c r="C1550" t="str">
        <f>IFERROR(IF(B1550="","",VLOOKUP(B1550,CadProd!$A:$B,2,0)),"")</f>
        <v/>
      </c>
      <c r="D1550" t="str">
        <f>IFERROR(IF(B1550="","",VLOOKUP(B1550,CadProd!$A:$C,3,0)),"")</f>
        <v/>
      </c>
      <c r="G1550" s="1" t="str">
        <f t="shared" si="24"/>
        <v/>
      </c>
    </row>
    <row r="1551" spans="3:7" x14ac:dyDescent="0.3">
      <c r="C1551" t="str">
        <f>IFERROR(IF(B1551="","",VLOOKUP(B1551,CadProd!$A:$B,2,0)),"")</f>
        <v/>
      </c>
      <c r="D1551" t="str">
        <f>IFERROR(IF(B1551="","",VLOOKUP(B1551,CadProd!$A:$C,3,0)),"")</f>
        <v/>
      </c>
      <c r="G1551" s="1" t="str">
        <f t="shared" si="24"/>
        <v/>
      </c>
    </row>
    <row r="1552" spans="3:7" x14ac:dyDescent="0.3">
      <c r="C1552" t="str">
        <f>IFERROR(IF(B1552="","",VLOOKUP(B1552,CadProd!$A:$B,2,0)),"")</f>
        <v/>
      </c>
      <c r="D1552" t="str">
        <f>IFERROR(IF(B1552="","",VLOOKUP(B1552,CadProd!$A:$C,3,0)),"")</f>
        <v/>
      </c>
      <c r="G1552" s="1" t="str">
        <f t="shared" si="24"/>
        <v/>
      </c>
    </row>
    <row r="1553" spans="3:7" x14ac:dyDescent="0.3">
      <c r="C1553" t="str">
        <f>IFERROR(IF(B1553="","",VLOOKUP(B1553,CadProd!$A:$B,2,0)),"")</f>
        <v/>
      </c>
      <c r="D1553" t="str">
        <f>IFERROR(IF(B1553="","",VLOOKUP(B1553,CadProd!$A:$C,3,0)),"")</f>
        <v/>
      </c>
      <c r="G1553" s="1" t="str">
        <f t="shared" si="24"/>
        <v/>
      </c>
    </row>
    <row r="1554" spans="3:7" x14ac:dyDescent="0.3">
      <c r="C1554" t="str">
        <f>IFERROR(IF(B1554="","",VLOOKUP(B1554,CadProd!$A:$B,2,0)),"")</f>
        <v/>
      </c>
      <c r="D1554" t="str">
        <f>IFERROR(IF(B1554="","",VLOOKUP(B1554,CadProd!$A:$C,3,0)),"")</f>
        <v/>
      </c>
      <c r="G1554" s="1" t="str">
        <f t="shared" si="24"/>
        <v/>
      </c>
    </row>
    <row r="1555" spans="3:7" x14ac:dyDescent="0.3">
      <c r="C1555" t="str">
        <f>IFERROR(IF(B1555="","",VLOOKUP(B1555,CadProd!$A:$B,2,0)),"")</f>
        <v/>
      </c>
      <c r="D1555" t="str">
        <f>IFERROR(IF(B1555="","",VLOOKUP(B1555,CadProd!$A:$C,3,0)),"")</f>
        <v/>
      </c>
      <c r="G1555" s="1" t="str">
        <f t="shared" si="24"/>
        <v/>
      </c>
    </row>
    <row r="1556" spans="3:7" x14ac:dyDescent="0.3">
      <c r="C1556" t="str">
        <f>IFERROR(IF(B1556="","",VLOOKUP(B1556,CadProd!$A:$B,2,0)),"")</f>
        <v/>
      </c>
      <c r="D1556" t="str">
        <f>IFERROR(IF(B1556="","",VLOOKUP(B1556,CadProd!$A:$C,3,0)),"")</f>
        <v/>
      </c>
      <c r="G1556" s="1" t="str">
        <f t="shared" si="24"/>
        <v/>
      </c>
    </row>
    <row r="1557" spans="3:7" x14ac:dyDescent="0.3">
      <c r="C1557" t="str">
        <f>IFERROR(IF(B1557="","",VLOOKUP(B1557,CadProd!$A:$B,2,0)),"")</f>
        <v/>
      </c>
      <c r="D1557" t="str">
        <f>IFERROR(IF(B1557="","",VLOOKUP(B1557,CadProd!$A:$C,3,0)),"")</f>
        <v/>
      </c>
      <c r="G1557" s="1" t="str">
        <f t="shared" si="24"/>
        <v/>
      </c>
    </row>
    <row r="1558" spans="3:7" x14ac:dyDescent="0.3">
      <c r="C1558" t="str">
        <f>IFERROR(IF(B1558="","",VLOOKUP(B1558,CadProd!$A:$B,2,0)),"")</f>
        <v/>
      </c>
      <c r="D1558" t="str">
        <f>IFERROR(IF(B1558="","",VLOOKUP(B1558,CadProd!$A:$C,3,0)),"")</f>
        <v/>
      </c>
      <c r="G1558" s="1" t="str">
        <f t="shared" si="24"/>
        <v/>
      </c>
    </row>
    <row r="1559" spans="3:7" x14ac:dyDescent="0.3">
      <c r="C1559" t="str">
        <f>IFERROR(IF(B1559="","",VLOOKUP(B1559,CadProd!$A:$B,2,0)),"")</f>
        <v/>
      </c>
      <c r="D1559" t="str">
        <f>IFERROR(IF(B1559="","",VLOOKUP(B1559,CadProd!$A:$C,3,0)),"")</f>
        <v/>
      </c>
      <c r="G1559" s="1" t="str">
        <f t="shared" si="24"/>
        <v/>
      </c>
    </row>
    <row r="1560" spans="3:7" x14ac:dyDescent="0.3">
      <c r="C1560" t="str">
        <f>IFERROR(IF(B1560="","",VLOOKUP(B1560,CadProd!$A:$B,2,0)),"")</f>
        <v/>
      </c>
      <c r="D1560" t="str">
        <f>IFERROR(IF(B1560="","",VLOOKUP(B1560,CadProd!$A:$C,3,0)),"")</f>
        <v/>
      </c>
      <c r="G1560" s="1" t="str">
        <f t="shared" si="24"/>
        <v/>
      </c>
    </row>
    <row r="1561" spans="3:7" x14ac:dyDescent="0.3">
      <c r="C1561" t="str">
        <f>IFERROR(IF(B1561="","",VLOOKUP(B1561,CadProd!$A:$B,2,0)),"")</f>
        <v/>
      </c>
      <c r="D1561" t="str">
        <f>IFERROR(IF(B1561="","",VLOOKUP(B1561,CadProd!$A:$C,3,0)),"")</f>
        <v/>
      </c>
      <c r="G1561" s="1" t="str">
        <f t="shared" si="24"/>
        <v/>
      </c>
    </row>
    <row r="1562" spans="3:7" x14ac:dyDescent="0.3">
      <c r="C1562" t="str">
        <f>IFERROR(IF(B1562="","",VLOOKUP(B1562,CadProd!$A:$B,2,0)),"")</f>
        <v/>
      </c>
      <c r="D1562" t="str">
        <f>IFERROR(IF(B1562="","",VLOOKUP(B1562,CadProd!$A:$C,3,0)),"")</f>
        <v/>
      </c>
      <c r="G1562" s="1" t="str">
        <f t="shared" si="24"/>
        <v/>
      </c>
    </row>
    <row r="1563" spans="3:7" x14ac:dyDescent="0.3">
      <c r="C1563" t="str">
        <f>IFERROR(IF(B1563="","",VLOOKUP(B1563,CadProd!$A:$B,2,0)),"")</f>
        <v/>
      </c>
      <c r="D1563" t="str">
        <f>IFERROR(IF(B1563="","",VLOOKUP(B1563,CadProd!$A:$C,3,0)),"")</f>
        <v/>
      </c>
      <c r="G1563" s="1" t="str">
        <f t="shared" si="24"/>
        <v/>
      </c>
    </row>
    <row r="1564" spans="3:7" x14ac:dyDescent="0.3">
      <c r="C1564" t="str">
        <f>IFERROR(IF(B1564="","",VLOOKUP(B1564,CadProd!$A:$B,2,0)),"")</f>
        <v/>
      </c>
      <c r="D1564" t="str">
        <f>IFERROR(IF(B1564="","",VLOOKUP(B1564,CadProd!$A:$C,3,0)),"")</f>
        <v/>
      </c>
      <c r="G1564" s="1" t="str">
        <f t="shared" si="24"/>
        <v/>
      </c>
    </row>
    <row r="1565" spans="3:7" x14ac:dyDescent="0.3">
      <c r="C1565" t="str">
        <f>IFERROR(IF(B1565="","",VLOOKUP(B1565,CadProd!$A:$B,2,0)),"")</f>
        <v/>
      </c>
      <c r="D1565" t="str">
        <f>IFERROR(IF(B1565="","",VLOOKUP(B1565,CadProd!$A:$C,3,0)),"")</f>
        <v/>
      </c>
      <c r="G1565" s="1" t="str">
        <f t="shared" si="24"/>
        <v/>
      </c>
    </row>
    <row r="1566" spans="3:7" x14ac:dyDescent="0.3">
      <c r="C1566" t="str">
        <f>IFERROR(IF(B1566="","",VLOOKUP(B1566,CadProd!$A:$B,2,0)),"")</f>
        <v/>
      </c>
      <c r="D1566" t="str">
        <f>IFERROR(IF(B1566="","",VLOOKUP(B1566,CadProd!$A:$C,3,0)),"")</f>
        <v/>
      </c>
      <c r="G1566" s="1" t="str">
        <f t="shared" si="24"/>
        <v/>
      </c>
    </row>
    <row r="1567" spans="3:7" x14ac:dyDescent="0.3">
      <c r="C1567" t="str">
        <f>IFERROR(IF(B1567="","",VLOOKUP(B1567,CadProd!$A:$B,2,0)),"")</f>
        <v/>
      </c>
      <c r="D1567" t="str">
        <f>IFERROR(IF(B1567="","",VLOOKUP(B1567,CadProd!$A:$C,3,0)),"")</f>
        <v/>
      </c>
      <c r="G1567" s="1" t="str">
        <f t="shared" si="24"/>
        <v/>
      </c>
    </row>
    <row r="1568" spans="3:7" x14ac:dyDescent="0.3">
      <c r="C1568" t="str">
        <f>IFERROR(IF(B1568="","",VLOOKUP(B1568,CadProd!$A:$B,2,0)),"")</f>
        <v/>
      </c>
      <c r="D1568" t="str">
        <f>IFERROR(IF(B1568="","",VLOOKUP(B1568,CadProd!$A:$C,3,0)),"")</f>
        <v/>
      </c>
      <c r="G1568" s="1" t="str">
        <f t="shared" si="24"/>
        <v/>
      </c>
    </row>
    <row r="1569" spans="3:7" x14ac:dyDescent="0.3">
      <c r="C1569" t="str">
        <f>IFERROR(IF(B1569="","",VLOOKUP(B1569,CadProd!$A:$B,2,0)),"")</f>
        <v/>
      </c>
      <c r="D1569" t="str">
        <f>IFERROR(IF(B1569="","",VLOOKUP(B1569,CadProd!$A:$C,3,0)),"")</f>
        <v/>
      </c>
      <c r="G1569" s="1" t="str">
        <f t="shared" si="24"/>
        <v/>
      </c>
    </row>
    <row r="1570" spans="3:7" x14ac:dyDescent="0.3">
      <c r="C1570" t="str">
        <f>IFERROR(IF(B1570="","",VLOOKUP(B1570,CadProd!$A:$B,2,0)),"")</f>
        <v/>
      </c>
      <c r="D1570" t="str">
        <f>IFERROR(IF(B1570="","",VLOOKUP(B1570,CadProd!$A:$C,3,0)),"")</f>
        <v/>
      </c>
      <c r="G1570" s="1" t="str">
        <f t="shared" si="24"/>
        <v/>
      </c>
    </row>
    <row r="1571" spans="3:7" x14ac:dyDescent="0.3">
      <c r="C1571" t="str">
        <f>IFERROR(IF(B1571="","",VLOOKUP(B1571,CadProd!$A:$B,2,0)),"")</f>
        <v/>
      </c>
      <c r="D1571" t="str">
        <f>IFERROR(IF(B1571="","",VLOOKUP(B1571,CadProd!$A:$C,3,0)),"")</f>
        <v/>
      </c>
      <c r="G1571" s="1" t="str">
        <f t="shared" si="24"/>
        <v/>
      </c>
    </row>
    <row r="1572" spans="3:7" x14ac:dyDescent="0.3">
      <c r="C1572" t="str">
        <f>IFERROR(IF(B1572="","",VLOOKUP(B1572,CadProd!$A:$B,2,0)),"")</f>
        <v/>
      </c>
      <c r="D1572" t="str">
        <f>IFERROR(IF(B1572="","",VLOOKUP(B1572,CadProd!$A:$C,3,0)),"")</f>
        <v/>
      </c>
      <c r="G1572" s="1" t="str">
        <f t="shared" si="24"/>
        <v/>
      </c>
    </row>
    <row r="1573" spans="3:7" x14ac:dyDescent="0.3">
      <c r="C1573" t="str">
        <f>IFERROR(IF(B1573="","",VLOOKUP(B1573,CadProd!$A:$B,2,0)),"")</f>
        <v/>
      </c>
      <c r="D1573" t="str">
        <f>IFERROR(IF(B1573="","",VLOOKUP(B1573,CadProd!$A:$C,3,0)),"")</f>
        <v/>
      </c>
      <c r="G1573" s="1" t="str">
        <f t="shared" si="24"/>
        <v/>
      </c>
    </row>
    <row r="1574" spans="3:7" x14ac:dyDescent="0.3">
      <c r="C1574" t="str">
        <f>IFERROR(IF(B1574="","",VLOOKUP(B1574,CadProd!$A:$B,2,0)),"")</f>
        <v/>
      </c>
      <c r="D1574" t="str">
        <f>IFERROR(IF(B1574="","",VLOOKUP(B1574,CadProd!$A:$C,3,0)),"")</f>
        <v/>
      </c>
      <c r="G1574" s="1" t="str">
        <f t="shared" si="24"/>
        <v/>
      </c>
    </row>
    <row r="1575" spans="3:7" x14ac:dyDescent="0.3">
      <c r="C1575" t="str">
        <f>IFERROR(IF(B1575="","",VLOOKUP(B1575,CadProd!$A:$B,2,0)),"")</f>
        <v/>
      </c>
      <c r="D1575" t="str">
        <f>IFERROR(IF(B1575="","",VLOOKUP(B1575,CadProd!$A:$C,3,0)),"")</f>
        <v/>
      </c>
      <c r="G1575" s="1" t="str">
        <f t="shared" si="24"/>
        <v/>
      </c>
    </row>
    <row r="1576" spans="3:7" x14ac:dyDescent="0.3">
      <c r="C1576" t="str">
        <f>IFERROR(IF(B1576="","",VLOOKUP(B1576,CadProd!$A:$B,2,0)),"")</f>
        <v/>
      </c>
      <c r="D1576" t="str">
        <f>IFERROR(IF(B1576="","",VLOOKUP(B1576,CadProd!$A:$C,3,0)),"")</f>
        <v/>
      </c>
      <c r="G1576" s="1" t="str">
        <f t="shared" si="24"/>
        <v/>
      </c>
    </row>
    <row r="1577" spans="3:7" x14ac:dyDescent="0.3">
      <c r="C1577" t="str">
        <f>IFERROR(IF(B1577="","",VLOOKUP(B1577,CadProd!$A:$B,2,0)),"")</f>
        <v/>
      </c>
      <c r="D1577" t="str">
        <f>IFERROR(IF(B1577="","",VLOOKUP(B1577,CadProd!$A:$C,3,0)),"")</f>
        <v/>
      </c>
      <c r="G1577" s="1" t="str">
        <f t="shared" si="24"/>
        <v/>
      </c>
    </row>
    <row r="1578" spans="3:7" x14ac:dyDescent="0.3">
      <c r="C1578" t="str">
        <f>IFERROR(IF(B1578="","",VLOOKUP(B1578,CadProd!$A:$B,2,0)),"")</f>
        <v/>
      </c>
      <c r="D1578" t="str">
        <f>IFERROR(IF(B1578="","",VLOOKUP(B1578,CadProd!$A:$C,3,0)),"")</f>
        <v/>
      </c>
      <c r="G1578" s="1" t="str">
        <f t="shared" si="24"/>
        <v/>
      </c>
    </row>
    <row r="1579" spans="3:7" x14ac:dyDescent="0.3">
      <c r="C1579" t="str">
        <f>IFERROR(IF(B1579="","",VLOOKUP(B1579,CadProd!$A:$B,2,0)),"")</f>
        <v/>
      </c>
      <c r="D1579" t="str">
        <f>IFERROR(IF(B1579="","",VLOOKUP(B1579,CadProd!$A:$C,3,0)),"")</f>
        <v/>
      </c>
      <c r="G1579" s="1" t="str">
        <f t="shared" si="24"/>
        <v/>
      </c>
    </row>
    <row r="1580" spans="3:7" x14ac:dyDescent="0.3">
      <c r="C1580" t="str">
        <f>IFERROR(IF(B1580="","",VLOOKUP(B1580,CadProd!$A:$B,2,0)),"")</f>
        <v/>
      </c>
      <c r="D1580" t="str">
        <f>IFERROR(IF(B1580="","",VLOOKUP(B1580,CadProd!$A:$C,3,0)),"")</f>
        <v/>
      </c>
      <c r="G1580" s="1" t="str">
        <f t="shared" si="24"/>
        <v/>
      </c>
    </row>
    <row r="1581" spans="3:7" x14ac:dyDescent="0.3">
      <c r="C1581" t="str">
        <f>IFERROR(IF(B1581="","",VLOOKUP(B1581,CadProd!$A:$B,2,0)),"")</f>
        <v/>
      </c>
      <c r="D1581" t="str">
        <f>IFERROR(IF(B1581="","",VLOOKUP(B1581,CadProd!$A:$C,3,0)),"")</f>
        <v/>
      </c>
      <c r="G1581" s="1" t="str">
        <f t="shared" si="24"/>
        <v/>
      </c>
    </row>
    <row r="1582" spans="3:7" x14ac:dyDescent="0.3">
      <c r="C1582" t="str">
        <f>IFERROR(IF(B1582="","",VLOOKUP(B1582,CadProd!$A:$B,2,0)),"")</f>
        <v/>
      </c>
      <c r="D1582" t="str">
        <f>IFERROR(IF(B1582="","",VLOOKUP(B1582,CadProd!$A:$C,3,0)),"")</f>
        <v/>
      </c>
      <c r="G1582" s="1" t="str">
        <f t="shared" si="24"/>
        <v/>
      </c>
    </row>
    <row r="1583" spans="3:7" x14ac:dyDescent="0.3">
      <c r="C1583" t="str">
        <f>IFERROR(IF(B1583="","",VLOOKUP(B1583,CadProd!$A:$B,2,0)),"")</f>
        <v/>
      </c>
      <c r="D1583" t="str">
        <f>IFERROR(IF(B1583="","",VLOOKUP(B1583,CadProd!$A:$C,3,0)),"")</f>
        <v/>
      </c>
      <c r="G1583" s="1" t="str">
        <f t="shared" si="24"/>
        <v/>
      </c>
    </row>
    <row r="1584" spans="3:7" x14ac:dyDescent="0.3">
      <c r="C1584" t="str">
        <f>IFERROR(IF(B1584="","",VLOOKUP(B1584,CadProd!$A:$B,2,0)),"")</f>
        <v/>
      </c>
      <c r="D1584" t="str">
        <f>IFERROR(IF(B1584="","",VLOOKUP(B1584,CadProd!$A:$C,3,0)),"")</f>
        <v/>
      </c>
      <c r="G1584" s="1" t="str">
        <f t="shared" si="24"/>
        <v/>
      </c>
    </row>
    <row r="1585" spans="3:7" x14ac:dyDescent="0.3">
      <c r="C1585" t="str">
        <f>IFERROR(IF(B1585="","",VLOOKUP(B1585,CadProd!$A:$B,2,0)),"")</f>
        <v/>
      </c>
      <c r="D1585" t="str">
        <f>IFERROR(IF(B1585="","",VLOOKUP(B1585,CadProd!$A:$C,3,0)),"")</f>
        <v/>
      </c>
      <c r="G1585" s="1" t="str">
        <f t="shared" si="24"/>
        <v/>
      </c>
    </row>
    <row r="1586" spans="3:7" x14ac:dyDescent="0.3">
      <c r="C1586" t="str">
        <f>IFERROR(IF(B1586="","",VLOOKUP(B1586,CadProd!$A:$B,2,0)),"")</f>
        <v/>
      </c>
      <c r="D1586" t="str">
        <f>IFERROR(IF(B1586="","",VLOOKUP(B1586,CadProd!$A:$C,3,0)),"")</f>
        <v/>
      </c>
      <c r="G1586" s="1" t="str">
        <f t="shared" si="24"/>
        <v/>
      </c>
    </row>
    <row r="1587" spans="3:7" x14ac:dyDescent="0.3">
      <c r="C1587" t="str">
        <f>IFERROR(IF(B1587="","",VLOOKUP(B1587,CadProd!$A:$B,2,0)),"")</f>
        <v/>
      </c>
      <c r="D1587" t="str">
        <f>IFERROR(IF(B1587="","",VLOOKUP(B1587,CadProd!$A:$C,3,0)),"")</f>
        <v/>
      </c>
      <c r="G1587" s="1" t="str">
        <f t="shared" si="24"/>
        <v/>
      </c>
    </row>
    <row r="1588" spans="3:7" x14ac:dyDescent="0.3">
      <c r="C1588" t="str">
        <f>IFERROR(IF(B1588="","",VLOOKUP(B1588,CadProd!$A:$B,2,0)),"")</f>
        <v/>
      </c>
      <c r="D1588" t="str">
        <f>IFERROR(IF(B1588="","",VLOOKUP(B1588,CadProd!$A:$C,3,0)),"")</f>
        <v/>
      </c>
      <c r="G1588" s="1" t="str">
        <f t="shared" si="24"/>
        <v/>
      </c>
    </row>
    <row r="1589" spans="3:7" x14ac:dyDescent="0.3">
      <c r="C1589" t="str">
        <f>IFERROR(IF(B1589="","",VLOOKUP(B1589,CadProd!$A:$B,2,0)),"")</f>
        <v/>
      </c>
      <c r="D1589" t="str">
        <f>IFERROR(IF(B1589="","",VLOOKUP(B1589,CadProd!$A:$C,3,0)),"")</f>
        <v/>
      </c>
      <c r="G1589" s="1" t="str">
        <f t="shared" si="24"/>
        <v/>
      </c>
    </row>
    <row r="1590" spans="3:7" x14ac:dyDescent="0.3">
      <c r="C1590" t="str">
        <f>IFERROR(IF(B1590="","",VLOOKUP(B1590,CadProd!$A:$B,2,0)),"")</f>
        <v/>
      </c>
      <c r="D1590" t="str">
        <f>IFERROR(IF(B1590="","",VLOOKUP(B1590,CadProd!$A:$C,3,0)),"")</f>
        <v/>
      </c>
      <c r="G1590" s="1" t="str">
        <f t="shared" si="24"/>
        <v/>
      </c>
    </row>
    <row r="1591" spans="3:7" x14ac:dyDescent="0.3">
      <c r="C1591" t="str">
        <f>IFERROR(IF(B1591="","",VLOOKUP(B1591,CadProd!$A:$B,2,0)),"")</f>
        <v/>
      </c>
      <c r="D1591" t="str">
        <f>IFERROR(IF(B1591="","",VLOOKUP(B1591,CadProd!$A:$C,3,0)),"")</f>
        <v/>
      </c>
      <c r="G1591" s="1" t="str">
        <f t="shared" si="24"/>
        <v/>
      </c>
    </row>
    <row r="1592" spans="3:7" x14ac:dyDescent="0.3">
      <c r="C1592" t="str">
        <f>IFERROR(IF(B1592="","",VLOOKUP(B1592,CadProd!$A:$B,2,0)),"")</f>
        <v/>
      </c>
      <c r="D1592" t="str">
        <f>IFERROR(IF(B1592="","",VLOOKUP(B1592,CadProd!$A:$C,3,0)),"")</f>
        <v/>
      </c>
      <c r="G1592" s="1" t="str">
        <f t="shared" si="24"/>
        <v/>
      </c>
    </row>
    <row r="1593" spans="3:7" x14ac:dyDescent="0.3">
      <c r="C1593" t="str">
        <f>IFERROR(IF(B1593="","",VLOOKUP(B1593,CadProd!$A:$B,2,0)),"")</f>
        <v/>
      </c>
      <c r="D1593" t="str">
        <f>IFERROR(IF(B1593="","",VLOOKUP(B1593,CadProd!$A:$C,3,0)),"")</f>
        <v/>
      </c>
      <c r="G1593" s="1" t="str">
        <f t="shared" si="24"/>
        <v/>
      </c>
    </row>
    <row r="1594" spans="3:7" x14ac:dyDescent="0.3">
      <c r="C1594" t="str">
        <f>IFERROR(IF(B1594="","",VLOOKUP(B1594,CadProd!$A:$B,2,0)),"")</f>
        <v/>
      </c>
      <c r="D1594" t="str">
        <f>IFERROR(IF(B1594="","",VLOOKUP(B1594,CadProd!$A:$C,3,0)),"")</f>
        <v/>
      </c>
      <c r="G1594" s="1" t="str">
        <f t="shared" si="24"/>
        <v/>
      </c>
    </row>
    <row r="1595" spans="3:7" x14ac:dyDescent="0.3">
      <c r="C1595" t="str">
        <f>IFERROR(IF(B1595="","",VLOOKUP(B1595,CadProd!$A:$B,2,0)),"")</f>
        <v/>
      </c>
      <c r="D1595" t="str">
        <f>IFERROR(IF(B1595="","",VLOOKUP(B1595,CadProd!$A:$C,3,0)),"")</f>
        <v/>
      </c>
      <c r="G1595" s="1" t="str">
        <f t="shared" si="24"/>
        <v/>
      </c>
    </row>
    <row r="1596" spans="3:7" x14ac:dyDescent="0.3">
      <c r="C1596" t="str">
        <f>IFERROR(IF(B1596="","",VLOOKUP(B1596,CadProd!$A:$B,2,0)),"")</f>
        <v/>
      </c>
      <c r="D1596" t="str">
        <f>IFERROR(IF(B1596="","",VLOOKUP(B1596,CadProd!$A:$C,3,0)),"")</f>
        <v/>
      </c>
      <c r="G1596" s="1" t="str">
        <f t="shared" si="24"/>
        <v/>
      </c>
    </row>
    <row r="1597" spans="3:7" x14ac:dyDescent="0.3">
      <c r="C1597" t="str">
        <f>IFERROR(IF(B1597="","",VLOOKUP(B1597,CadProd!$A:$B,2,0)),"")</f>
        <v/>
      </c>
      <c r="D1597" t="str">
        <f>IFERROR(IF(B1597="","",VLOOKUP(B1597,CadProd!$A:$C,3,0)),"")</f>
        <v/>
      </c>
      <c r="G1597" s="1" t="str">
        <f t="shared" si="24"/>
        <v/>
      </c>
    </row>
    <row r="1598" spans="3:7" x14ac:dyDescent="0.3">
      <c r="C1598" t="str">
        <f>IFERROR(IF(B1598="","",VLOOKUP(B1598,CadProd!$A:$B,2,0)),"")</f>
        <v/>
      </c>
      <c r="D1598" t="str">
        <f>IFERROR(IF(B1598="","",VLOOKUP(B1598,CadProd!$A:$C,3,0)),"")</f>
        <v/>
      </c>
      <c r="G1598" s="1" t="str">
        <f t="shared" si="24"/>
        <v/>
      </c>
    </row>
    <row r="1599" spans="3:7" x14ac:dyDescent="0.3">
      <c r="C1599" t="str">
        <f>IFERROR(IF(B1599="","",VLOOKUP(B1599,CadProd!$A:$B,2,0)),"")</f>
        <v/>
      </c>
      <c r="D1599" t="str">
        <f>IFERROR(IF(B1599="","",VLOOKUP(B1599,CadProd!$A:$C,3,0)),"")</f>
        <v/>
      </c>
      <c r="G1599" s="1" t="str">
        <f t="shared" si="24"/>
        <v/>
      </c>
    </row>
    <row r="1600" spans="3:7" x14ac:dyDescent="0.3">
      <c r="C1600" t="str">
        <f>IFERROR(IF(B1600="","",VLOOKUP(B1600,CadProd!$A:$B,2,0)),"")</f>
        <v/>
      </c>
      <c r="D1600" t="str">
        <f>IFERROR(IF(B1600="","",VLOOKUP(B1600,CadProd!$A:$C,3,0)),"")</f>
        <v/>
      </c>
      <c r="G1600" s="1" t="str">
        <f t="shared" si="24"/>
        <v/>
      </c>
    </row>
    <row r="1601" spans="3:7" x14ac:dyDescent="0.3">
      <c r="C1601" t="str">
        <f>IFERROR(IF(B1601="","",VLOOKUP(B1601,CadProd!$A:$B,2,0)),"")</f>
        <v/>
      </c>
      <c r="D1601" t="str">
        <f>IFERROR(IF(B1601="","",VLOOKUP(B1601,CadProd!$A:$C,3,0)),"")</f>
        <v/>
      </c>
      <c r="G1601" s="1" t="str">
        <f t="shared" si="24"/>
        <v/>
      </c>
    </row>
    <row r="1602" spans="3:7" x14ac:dyDescent="0.3">
      <c r="C1602" t="str">
        <f>IFERROR(IF(B1602="","",VLOOKUP(B1602,CadProd!$A:$B,2,0)),"")</f>
        <v/>
      </c>
      <c r="D1602" t="str">
        <f>IFERROR(IF(B1602="","",VLOOKUP(B1602,CadProd!$A:$C,3,0)),"")</f>
        <v/>
      </c>
      <c r="G1602" s="1" t="str">
        <f t="shared" si="24"/>
        <v/>
      </c>
    </row>
    <row r="1603" spans="3:7" x14ac:dyDescent="0.3">
      <c r="C1603" t="str">
        <f>IFERROR(IF(B1603="","",VLOOKUP(B1603,CadProd!$A:$B,2,0)),"")</f>
        <v/>
      </c>
      <c r="D1603" t="str">
        <f>IFERROR(IF(B1603="","",VLOOKUP(B1603,CadProd!$A:$C,3,0)),"")</f>
        <v/>
      </c>
      <c r="G1603" s="1" t="str">
        <f t="shared" si="24"/>
        <v/>
      </c>
    </row>
    <row r="1604" spans="3:7" x14ac:dyDescent="0.3">
      <c r="C1604" t="str">
        <f>IFERROR(IF(B1604="","",VLOOKUP(B1604,CadProd!$A:$B,2,0)),"")</f>
        <v/>
      </c>
      <c r="D1604" t="str">
        <f>IFERROR(IF(B1604="","",VLOOKUP(B1604,CadProd!$A:$C,3,0)),"")</f>
        <v/>
      </c>
      <c r="G1604" s="1" t="str">
        <f t="shared" si="24"/>
        <v/>
      </c>
    </row>
    <row r="1605" spans="3:7" x14ac:dyDescent="0.3">
      <c r="C1605" t="str">
        <f>IFERROR(IF(B1605="","",VLOOKUP(B1605,CadProd!$A:$B,2,0)),"")</f>
        <v/>
      </c>
      <c r="D1605" t="str">
        <f>IFERROR(IF(B1605="","",VLOOKUP(B1605,CadProd!$A:$C,3,0)),"")</f>
        <v/>
      </c>
      <c r="G1605" s="1" t="str">
        <f t="shared" si="24"/>
        <v/>
      </c>
    </row>
    <row r="1606" spans="3:7" x14ac:dyDescent="0.3">
      <c r="C1606" t="str">
        <f>IFERROR(IF(B1606="","",VLOOKUP(B1606,CadProd!$A:$B,2,0)),"")</f>
        <v/>
      </c>
      <c r="D1606" t="str">
        <f>IFERROR(IF(B1606="","",VLOOKUP(B1606,CadProd!$A:$C,3,0)),"")</f>
        <v/>
      </c>
      <c r="G1606" s="1" t="str">
        <f t="shared" si="24"/>
        <v/>
      </c>
    </row>
    <row r="1607" spans="3:7" x14ac:dyDescent="0.3">
      <c r="C1607" t="str">
        <f>IFERROR(IF(B1607="","",VLOOKUP(B1607,CadProd!$A:$B,2,0)),"")</f>
        <v/>
      </c>
      <c r="D1607" t="str">
        <f>IFERROR(IF(B1607="","",VLOOKUP(B1607,CadProd!$A:$C,3,0)),"")</f>
        <v/>
      </c>
      <c r="G1607" s="1" t="str">
        <f t="shared" si="24"/>
        <v/>
      </c>
    </row>
    <row r="1608" spans="3:7" x14ac:dyDescent="0.3">
      <c r="C1608" t="str">
        <f>IFERROR(IF(B1608="","",VLOOKUP(B1608,CadProd!$A:$B,2,0)),"")</f>
        <v/>
      </c>
      <c r="D1608" t="str">
        <f>IFERROR(IF(B1608="","",VLOOKUP(B1608,CadProd!$A:$C,3,0)),"")</f>
        <v/>
      </c>
      <c r="G1608" s="1" t="str">
        <f t="shared" si="24"/>
        <v/>
      </c>
    </row>
    <row r="1609" spans="3:7" x14ac:dyDescent="0.3">
      <c r="C1609" t="str">
        <f>IFERROR(IF(B1609="","",VLOOKUP(B1609,CadProd!$A:$B,2,0)),"")</f>
        <v/>
      </c>
      <c r="D1609" t="str">
        <f>IFERROR(IF(B1609="","",VLOOKUP(B1609,CadProd!$A:$C,3,0)),"")</f>
        <v/>
      </c>
      <c r="G1609" s="1" t="str">
        <f t="shared" si="24"/>
        <v/>
      </c>
    </row>
    <row r="1610" spans="3:7" x14ac:dyDescent="0.3">
      <c r="C1610" t="str">
        <f>IFERROR(IF(B1610="","",VLOOKUP(B1610,CadProd!$A:$B,2,0)),"")</f>
        <v/>
      </c>
      <c r="D1610" t="str">
        <f>IFERROR(IF(B1610="","",VLOOKUP(B1610,CadProd!$A:$C,3,0)),"")</f>
        <v/>
      </c>
      <c r="G1610" s="1" t="str">
        <f t="shared" si="24"/>
        <v/>
      </c>
    </row>
    <row r="1611" spans="3:7" x14ac:dyDescent="0.3">
      <c r="C1611" t="str">
        <f>IFERROR(IF(B1611="","",VLOOKUP(B1611,CadProd!$A:$B,2,0)),"")</f>
        <v/>
      </c>
      <c r="D1611" t="str">
        <f>IFERROR(IF(B1611="","",VLOOKUP(B1611,CadProd!$A:$C,3,0)),"")</f>
        <v/>
      </c>
      <c r="G1611" s="1" t="str">
        <f t="shared" ref="G1611:G1674" si="25">IFERROR(IF(B1611="","",F1611*E1611),"")</f>
        <v/>
      </c>
    </row>
    <row r="1612" spans="3:7" x14ac:dyDescent="0.3">
      <c r="C1612" t="str">
        <f>IFERROR(IF(B1612="","",VLOOKUP(B1612,CadProd!$A:$B,2,0)),"")</f>
        <v/>
      </c>
      <c r="D1612" t="str">
        <f>IFERROR(IF(B1612="","",VLOOKUP(B1612,CadProd!$A:$C,3,0)),"")</f>
        <v/>
      </c>
      <c r="G1612" s="1" t="str">
        <f t="shared" si="25"/>
        <v/>
      </c>
    </row>
    <row r="1613" spans="3:7" x14ac:dyDescent="0.3">
      <c r="C1613" t="str">
        <f>IFERROR(IF(B1613="","",VLOOKUP(B1613,CadProd!$A:$B,2,0)),"")</f>
        <v/>
      </c>
      <c r="D1613" t="str">
        <f>IFERROR(IF(B1613="","",VLOOKUP(B1613,CadProd!$A:$C,3,0)),"")</f>
        <v/>
      </c>
      <c r="G1613" s="1" t="str">
        <f t="shared" si="25"/>
        <v/>
      </c>
    </row>
    <row r="1614" spans="3:7" x14ac:dyDescent="0.3">
      <c r="C1614" t="str">
        <f>IFERROR(IF(B1614="","",VLOOKUP(B1614,CadProd!$A:$B,2,0)),"")</f>
        <v/>
      </c>
      <c r="D1614" t="str">
        <f>IFERROR(IF(B1614="","",VLOOKUP(B1614,CadProd!$A:$C,3,0)),"")</f>
        <v/>
      </c>
      <c r="G1614" s="1" t="str">
        <f t="shared" si="25"/>
        <v/>
      </c>
    </row>
    <row r="1615" spans="3:7" x14ac:dyDescent="0.3">
      <c r="C1615" t="str">
        <f>IFERROR(IF(B1615="","",VLOOKUP(B1615,CadProd!$A:$B,2,0)),"")</f>
        <v/>
      </c>
      <c r="D1615" t="str">
        <f>IFERROR(IF(B1615="","",VLOOKUP(B1615,CadProd!$A:$C,3,0)),"")</f>
        <v/>
      </c>
      <c r="G1615" s="1" t="str">
        <f t="shared" si="25"/>
        <v/>
      </c>
    </row>
    <row r="1616" spans="3:7" x14ac:dyDescent="0.3">
      <c r="C1616" t="str">
        <f>IFERROR(IF(B1616="","",VLOOKUP(B1616,CadProd!$A:$B,2,0)),"")</f>
        <v/>
      </c>
      <c r="D1616" t="str">
        <f>IFERROR(IF(B1616="","",VLOOKUP(B1616,CadProd!$A:$C,3,0)),"")</f>
        <v/>
      </c>
      <c r="G1616" s="1" t="str">
        <f t="shared" si="25"/>
        <v/>
      </c>
    </row>
    <row r="1617" spans="3:7" x14ac:dyDescent="0.3">
      <c r="C1617" t="str">
        <f>IFERROR(IF(B1617="","",VLOOKUP(B1617,CadProd!$A:$B,2,0)),"")</f>
        <v/>
      </c>
      <c r="D1617" t="str">
        <f>IFERROR(IF(B1617="","",VLOOKUP(B1617,CadProd!$A:$C,3,0)),"")</f>
        <v/>
      </c>
      <c r="G1617" s="1" t="str">
        <f t="shared" si="25"/>
        <v/>
      </c>
    </row>
    <row r="1618" spans="3:7" x14ac:dyDescent="0.3">
      <c r="C1618" t="str">
        <f>IFERROR(IF(B1618="","",VLOOKUP(B1618,CadProd!$A:$B,2,0)),"")</f>
        <v/>
      </c>
      <c r="D1618" t="str">
        <f>IFERROR(IF(B1618="","",VLOOKUP(B1618,CadProd!$A:$C,3,0)),"")</f>
        <v/>
      </c>
      <c r="G1618" s="1" t="str">
        <f t="shared" si="25"/>
        <v/>
      </c>
    </row>
    <row r="1619" spans="3:7" x14ac:dyDescent="0.3">
      <c r="C1619" t="str">
        <f>IFERROR(IF(B1619="","",VLOOKUP(B1619,CadProd!$A:$B,2,0)),"")</f>
        <v/>
      </c>
      <c r="D1619" t="str">
        <f>IFERROR(IF(B1619="","",VLOOKUP(B1619,CadProd!$A:$C,3,0)),"")</f>
        <v/>
      </c>
      <c r="G1619" s="1" t="str">
        <f t="shared" si="25"/>
        <v/>
      </c>
    </row>
    <row r="1620" spans="3:7" x14ac:dyDescent="0.3">
      <c r="C1620" t="str">
        <f>IFERROR(IF(B1620="","",VLOOKUP(B1620,CadProd!$A:$B,2,0)),"")</f>
        <v/>
      </c>
      <c r="D1620" t="str">
        <f>IFERROR(IF(B1620="","",VLOOKUP(B1620,CadProd!$A:$C,3,0)),"")</f>
        <v/>
      </c>
      <c r="G1620" s="1" t="str">
        <f t="shared" si="25"/>
        <v/>
      </c>
    </row>
    <row r="1621" spans="3:7" x14ac:dyDescent="0.3">
      <c r="C1621" t="str">
        <f>IFERROR(IF(B1621="","",VLOOKUP(B1621,CadProd!$A:$B,2,0)),"")</f>
        <v/>
      </c>
      <c r="D1621" t="str">
        <f>IFERROR(IF(B1621="","",VLOOKUP(B1621,CadProd!$A:$C,3,0)),"")</f>
        <v/>
      </c>
      <c r="G1621" s="1" t="str">
        <f t="shared" si="25"/>
        <v/>
      </c>
    </row>
    <row r="1622" spans="3:7" x14ac:dyDescent="0.3">
      <c r="C1622" t="str">
        <f>IFERROR(IF(B1622="","",VLOOKUP(B1622,CadProd!$A:$B,2,0)),"")</f>
        <v/>
      </c>
      <c r="D1622" t="str">
        <f>IFERROR(IF(B1622="","",VLOOKUP(B1622,CadProd!$A:$C,3,0)),"")</f>
        <v/>
      </c>
      <c r="G1622" s="1" t="str">
        <f t="shared" si="25"/>
        <v/>
      </c>
    </row>
    <row r="1623" spans="3:7" x14ac:dyDescent="0.3">
      <c r="C1623" t="str">
        <f>IFERROR(IF(B1623="","",VLOOKUP(B1623,CadProd!$A:$B,2,0)),"")</f>
        <v/>
      </c>
      <c r="D1623" t="str">
        <f>IFERROR(IF(B1623="","",VLOOKUP(B1623,CadProd!$A:$C,3,0)),"")</f>
        <v/>
      </c>
      <c r="G1623" s="1" t="str">
        <f t="shared" si="25"/>
        <v/>
      </c>
    </row>
    <row r="1624" spans="3:7" x14ac:dyDescent="0.3">
      <c r="C1624" t="str">
        <f>IFERROR(IF(B1624="","",VLOOKUP(B1624,CadProd!$A:$B,2,0)),"")</f>
        <v/>
      </c>
      <c r="D1624" t="str">
        <f>IFERROR(IF(B1624="","",VLOOKUP(B1624,CadProd!$A:$C,3,0)),"")</f>
        <v/>
      </c>
      <c r="G1624" s="1" t="str">
        <f t="shared" si="25"/>
        <v/>
      </c>
    </row>
    <row r="1625" spans="3:7" x14ac:dyDescent="0.3">
      <c r="C1625" t="str">
        <f>IFERROR(IF(B1625="","",VLOOKUP(B1625,CadProd!$A:$B,2,0)),"")</f>
        <v/>
      </c>
      <c r="D1625" t="str">
        <f>IFERROR(IF(B1625="","",VLOOKUP(B1625,CadProd!$A:$C,3,0)),"")</f>
        <v/>
      </c>
      <c r="G1625" s="1" t="str">
        <f t="shared" si="25"/>
        <v/>
      </c>
    </row>
    <row r="1626" spans="3:7" x14ac:dyDescent="0.3">
      <c r="C1626" t="str">
        <f>IFERROR(IF(B1626="","",VLOOKUP(B1626,CadProd!$A:$B,2,0)),"")</f>
        <v/>
      </c>
      <c r="D1626" t="str">
        <f>IFERROR(IF(B1626="","",VLOOKUP(B1626,CadProd!$A:$C,3,0)),"")</f>
        <v/>
      </c>
      <c r="G1626" s="1" t="str">
        <f t="shared" si="25"/>
        <v/>
      </c>
    </row>
    <row r="1627" spans="3:7" x14ac:dyDescent="0.3">
      <c r="C1627" t="str">
        <f>IFERROR(IF(B1627="","",VLOOKUP(B1627,CadProd!$A:$B,2,0)),"")</f>
        <v/>
      </c>
      <c r="D1627" t="str">
        <f>IFERROR(IF(B1627="","",VLOOKUP(B1627,CadProd!$A:$C,3,0)),"")</f>
        <v/>
      </c>
      <c r="G1627" s="1" t="str">
        <f t="shared" si="25"/>
        <v/>
      </c>
    </row>
    <row r="1628" spans="3:7" x14ac:dyDescent="0.3">
      <c r="C1628" t="str">
        <f>IFERROR(IF(B1628="","",VLOOKUP(B1628,CadProd!$A:$B,2,0)),"")</f>
        <v/>
      </c>
      <c r="D1628" t="str">
        <f>IFERROR(IF(B1628="","",VLOOKUP(B1628,CadProd!$A:$C,3,0)),"")</f>
        <v/>
      </c>
      <c r="G1628" s="1" t="str">
        <f t="shared" si="25"/>
        <v/>
      </c>
    </row>
    <row r="1629" spans="3:7" x14ac:dyDescent="0.3">
      <c r="C1629" t="str">
        <f>IFERROR(IF(B1629="","",VLOOKUP(B1629,CadProd!$A:$B,2,0)),"")</f>
        <v/>
      </c>
      <c r="D1629" t="str">
        <f>IFERROR(IF(B1629="","",VLOOKUP(B1629,CadProd!$A:$C,3,0)),"")</f>
        <v/>
      </c>
      <c r="G1629" s="1" t="str">
        <f t="shared" si="25"/>
        <v/>
      </c>
    </row>
    <row r="1630" spans="3:7" x14ac:dyDescent="0.3">
      <c r="C1630" t="str">
        <f>IFERROR(IF(B1630="","",VLOOKUP(B1630,CadProd!$A:$B,2,0)),"")</f>
        <v/>
      </c>
      <c r="D1630" t="str">
        <f>IFERROR(IF(B1630="","",VLOOKUP(B1630,CadProd!$A:$C,3,0)),"")</f>
        <v/>
      </c>
      <c r="G1630" s="1" t="str">
        <f t="shared" si="25"/>
        <v/>
      </c>
    </row>
    <row r="1631" spans="3:7" x14ac:dyDescent="0.3">
      <c r="C1631" t="str">
        <f>IFERROR(IF(B1631="","",VLOOKUP(B1631,CadProd!$A:$B,2,0)),"")</f>
        <v/>
      </c>
      <c r="D1631" t="str">
        <f>IFERROR(IF(B1631="","",VLOOKUP(B1631,CadProd!$A:$C,3,0)),"")</f>
        <v/>
      </c>
      <c r="G1631" s="1" t="str">
        <f t="shared" si="25"/>
        <v/>
      </c>
    </row>
    <row r="1632" spans="3:7" x14ac:dyDescent="0.3">
      <c r="C1632" t="str">
        <f>IFERROR(IF(B1632="","",VLOOKUP(B1632,CadProd!$A:$B,2,0)),"")</f>
        <v/>
      </c>
      <c r="D1632" t="str">
        <f>IFERROR(IF(B1632="","",VLOOKUP(B1632,CadProd!$A:$C,3,0)),"")</f>
        <v/>
      </c>
      <c r="G1632" s="1" t="str">
        <f t="shared" si="25"/>
        <v/>
      </c>
    </row>
    <row r="1633" spans="3:7" x14ac:dyDescent="0.3">
      <c r="C1633" t="str">
        <f>IFERROR(IF(B1633="","",VLOOKUP(B1633,CadProd!$A:$B,2,0)),"")</f>
        <v/>
      </c>
      <c r="D1633" t="str">
        <f>IFERROR(IF(B1633="","",VLOOKUP(B1633,CadProd!$A:$C,3,0)),"")</f>
        <v/>
      </c>
      <c r="G1633" s="1" t="str">
        <f t="shared" si="25"/>
        <v/>
      </c>
    </row>
    <row r="1634" spans="3:7" x14ac:dyDescent="0.3">
      <c r="C1634" t="str">
        <f>IFERROR(IF(B1634="","",VLOOKUP(B1634,CadProd!$A:$B,2,0)),"")</f>
        <v/>
      </c>
      <c r="D1634" t="str">
        <f>IFERROR(IF(B1634="","",VLOOKUP(B1634,CadProd!$A:$C,3,0)),"")</f>
        <v/>
      </c>
      <c r="G1634" s="1" t="str">
        <f t="shared" si="25"/>
        <v/>
      </c>
    </row>
    <row r="1635" spans="3:7" x14ac:dyDescent="0.3">
      <c r="C1635" t="str">
        <f>IFERROR(IF(B1635="","",VLOOKUP(B1635,CadProd!$A:$B,2,0)),"")</f>
        <v/>
      </c>
      <c r="D1635" t="str">
        <f>IFERROR(IF(B1635="","",VLOOKUP(B1635,CadProd!$A:$C,3,0)),"")</f>
        <v/>
      </c>
      <c r="G1635" s="1" t="str">
        <f t="shared" si="25"/>
        <v/>
      </c>
    </row>
    <row r="1636" spans="3:7" x14ac:dyDescent="0.3">
      <c r="C1636" t="str">
        <f>IFERROR(IF(B1636="","",VLOOKUP(B1636,CadProd!$A:$B,2,0)),"")</f>
        <v/>
      </c>
      <c r="D1636" t="str">
        <f>IFERROR(IF(B1636="","",VLOOKUP(B1636,CadProd!$A:$C,3,0)),"")</f>
        <v/>
      </c>
      <c r="G1636" s="1" t="str">
        <f t="shared" si="25"/>
        <v/>
      </c>
    </row>
    <row r="1637" spans="3:7" x14ac:dyDescent="0.3">
      <c r="C1637" t="str">
        <f>IFERROR(IF(B1637="","",VLOOKUP(B1637,CadProd!$A:$B,2,0)),"")</f>
        <v/>
      </c>
      <c r="D1637" t="str">
        <f>IFERROR(IF(B1637="","",VLOOKUP(B1637,CadProd!$A:$C,3,0)),"")</f>
        <v/>
      </c>
      <c r="G1637" s="1" t="str">
        <f t="shared" si="25"/>
        <v/>
      </c>
    </row>
    <row r="1638" spans="3:7" x14ac:dyDescent="0.3">
      <c r="C1638" t="str">
        <f>IFERROR(IF(B1638="","",VLOOKUP(B1638,CadProd!$A:$B,2,0)),"")</f>
        <v/>
      </c>
      <c r="D1638" t="str">
        <f>IFERROR(IF(B1638="","",VLOOKUP(B1638,CadProd!$A:$C,3,0)),"")</f>
        <v/>
      </c>
      <c r="G1638" s="1" t="str">
        <f t="shared" si="25"/>
        <v/>
      </c>
    </row>
    <row r="1639" spans="3:7" x14ac:dyDescent="0.3">
      <c r="C1639" t="str">
        <f>IFERROR(IF(B1639="","",VLOOKUP(B1639,CadProd!$A:$B,2,0)),"")</f>
        <v/>
      </c>
      <c r="D1639" t="str">
        <f>IFERROR(IF(B1639="","",VLOOKUP(B1639,CadProd!$A:$C,3,0)),"")</f>
        <v/>
      </c>
      <c r="G1639" s="1" t="str">
        <f t="shared" si="25"/>
        <v/>
      </c>
    </row>
    <row r="1640" spans="3:7" x14ac:dyDescent="0.3">
      <c r="C1640" t="str">
        <f>IFERROR(IF(B1640="","",VLOOKUP(B1640,CadProd!$A:$B,2,0)),"")</f>
        <v/>
      </c>
      <c r="D1640" t="str">
        <f>IFERROR(IF(B1640="","",VLOOKUP(B1640,CadProd!$A:$C,3,0)),"")</f>
        <v/>
      </c>
      <c r="G1640" s="1" t="str">
        <f t="shared" si="25"/>
        <v/>
      </c>
    </row>
    <row r="1641" spans="3:7" x14ac:dyDescent="0.3">
      <c r="C1641" t="str">
        <f>IFERROR(IF(B1641="","",VLOOKUP(B1641,CadProd!$A:$B,2,0)),"")</f>
        <v/>
      </c>
      <c r="D1641" t="str">
        <f>IFERROR(IF(B1641="","",VLOOKUP(B1641,CadProd!$A:$C,3,0)),"")</f>
        <v/>
      </c>
      <c r="G1641" s="1" t="str">
        <f t="shared" si="25"/>
        <v/>
      </c>
    </row>
    <row r="1642" spans="3:7" x14ac:dyDescent="0.3">
      <c r="C1642" t="str">
        <f>IFERROR(IF(B1642="","",VLOOKUP(B1642,CadProd!$A:$B,2,0)),"")</f>
        <v/>
      </c>
      <c r="D1642" t="str">
        <f>IFERROR(IF(B1642="","",VLOOKUP(B1642,CadProd!$A:$C,3,0)),"")</f>
        <v/>
      </c>
      <c r="G1642" s="1" t="str">
        <f t="shared" si="25"/>
        <v/>
      </c>
    </row>
    <row r="1643" spans="3:7" x14ac:dyDescent="0.3">
      <c r="C1643" t="str">
        <f>IFERROR(IF(B1643="","",VLOOKUP(B1643,CadProd!$A:$B,2,0)),"")</f>
        <v/>
      </c>
      <c r="D1643" t="str">
        <f>IFERROR(IF(B1643="","",VLOOKUP(B1643,CadProd!$A:$C,3,0)),"")</f>
        <v/>
      </c>
      <c r="G1643" s="1" t="str">
        <f t="shared" si="25"/>
        <v/>
      </c>
    </row>
    <row r="1644" spans="3:7" x14ac:dyDescent="0.3">
      <c r="C1644" t="str">
        <f>IFERROR(IF(B1644="","",VLOOKUP(B1644,CadProd!$A:$B,2,0)),"")</f>
        <v/>
      </c>
      <c r="D1644" t="str">
        <f>IFERROR(IF(B1644="","",VLOOKUP(B1644,CadProd!$A:$C,3,0)),"")</f>
        <v/>
      </c>
      <c r="G1644" s="1" t="str">
        <f t="shared" si="25"/>
        <v/>
      </c>
    </row>
    <row r="1645" spans="3:7" x14ac:dyDescent="0.3">
      <c r="C1645" t="str">
        <f>IFERROR(IF(B1645="","",VLOOKUP(B1645,CadProd!$A:$B,2,0)),"")</f>
        <v/>
      </c>
      <c r="D1645" t="str">
        <f>IFERROR(IF(B1645="","",VLOOKUP(B1645,CadProd!$A:$C,3,0)),"")</f>
        <v/>
      </c>
      <c r="G1645" s="1" t="str">
        <f t="shared" si="25"/>
        <v/>
      </c>
    </row>
    <row r="1646" spans="3:7" x14ac:dyDescent="0.3">
      <c r="C1646" t="str">
        <f>IFERROR(IF(B1646="","",VLOOKUP(B1646,CadProd!$A:$B,2,0)),"")</f>
        <v/>
      </c>
      <c r="D1646" t="str">
        <f>IFERROR(IF(B1646="","",VLOOKUP(B1646,CadProd!$A:$C,3,0)),"")</f>
        <v/>
      </c>
      <c r="G1646" s="1" t="str">
        <f t="shared" si="25"/>
        <v/>
      </c>
    </row>
    <row r="1647" spans="3:7" x14ac:dyDescent="0.3">
      <c r="C1647" t="str">
        <f>IFERROR(IF(B1647="","",VLOOKUP(B1647,CadProd!$A:$B,2,0)),"")</f>
        <v/>
      </c>
      <c r="D1647" t="str">
        <f>IFERROR(IF(B1647="","",VLOOKUP(B1647,CadProd!$A:$C,3,0)),"")</f>
        <v/>
      </c>
      <c r="G1647" s="1" t="str">
        <f t="shared" si="25"/>
        <v/>
      </c>
    </row>
    <row r="1648" spans="3:7" x14ac:dyDescent="0.3">
      <c r="C1648" t="str">
        <f>IFERROR(IF(B1648="","",VLOOKUP(B1648,CadProd!$A:$B,2,0)),"")</f>
        <v/>
      </c>
      <c r="D1648" t="str">
        <f>IFERROR(IF(B1648="","",VLOOKUP(B1648,CadProd!$A:$C,3,0)),"")</f>
        <v/>
      </c>
      <c r="G1648" s="1" t="str">
        <f t="shared" si="25"/>
        <v/>
      </c>
    </row>
    <row r="1649" spans="3:7" x14ac:dyDescent="0.3">
      <c r="C1649" t="str">
        <f>IFERROR(IF(B1649="","",VLOOKUP(B1649,CadProd!$A:$B,2,0)),"")</f>
        <v/>
      </c>
      <c r="D1649" t="str">
        <f>IFERROR(IF(B1649="","",VLOOKUP(B1649,CadProd!$A:$C,3,0)),"")</f>
        <v/>
      </c>
      <c r="G1649" s="1" t="str">
        <f t="shared" si="25"/>
        <v/>
      </c>
    </row>
    <row r="1650" spans="3:7" x14ac:dyDescent="0.3">
      <c r="C1650" t="str">
        <f>IFERROR(IF(B1650="","",VLOOKUP(B1650,CadProd!$A:$B,2,0)),"")</f>
        <v/>
      </c>
      <c r="D1650" t="str">
        <f>IFERROR(IF(B1650="","",VLOOKUP(B1650,CadProd!$A:$C,3,0)),"")</f>
        <v/>
      </c>
      <c r="G1650" s="1" t="str">
        <f t="shared" si="25"/>
        <v/>
      </c>
    </row>
    <row r="1651" spans="3:7" x14ac:dyDescent="0.3">
      <c r="C1651" t="str">
        <f>IFERROR(IF(B1651="","",VLOOKUP(B1651,CadProd!$A:$B,2,0)),"")</f>
        <v/>
      </c>
      <c r="D1651" t="str">
        <f>IFERROR(IF(B1651="","",VLOOKUP(B1651,CadProd!$A:$C,3,0)),"")</f>
        <v/>
      </c>
      <c r="G1651" s="1" t="str">
        <f t="shared" si="25"/>
        <v/>
      </c>
    </row>
    <row r="1652" spans="3:7" x14ac:dyDescent="0.3">
      <c r="C1652" t="str">
        <f>IFERROR(IF(B1652="","",VLOOKUP(B1652,CadProd!$A:$B,2,0)),"")</f>
        <v/>
      </c>
      <c r="D1652" t="str">
        <f>IFERROR(IF(B1652="","",VLOOKUP(B1652,CadProd!$A:$C,3,0)),"")</f>
        <v/>
      </c>
      <c r="G1652" s="1" t="str">
        <f t="shared" si="25"/>
        <v/>
      </c>
    </row>
    <row r="1653" spans="3:7" x14ac:dyDescent="0.3">
      <c r="C1653" t="str">
        <f>IFERROR(IF(B1653="","",VLOOKUP(B1653,CadProd!$A:$B,2,0)),"")</f>
        <v/>
      </c>
      <c r="D1653" t="str">
        <f>IFERROR(IF(B1653="","",VLOOKUP(B1653,CadProd!$A:$C,3,0)),"")</f>
        <v/>
      </c>
      <c r="G1653" s="1" t="str">
        <f t="shared" si="25"/>
        <v/>
      </c>
    </row>
    <row r="1654" spans="3:7" x14ac:dyDescent="0.3">
      <c r="C1654" t="str">
        <f>IFERROR(IF(B1654="","",VLOOKUP(B1654,CadProd!$A:$B,2,0)),"")</f>
        <v/>
      </c>
      <c r="D1654" t="str">
        <f>IFERROR(IF(B1654="","",VLOOKUP(B1654,CadProd!$A:$C,3,0)),"")</f>
        <v/>
      </c>
      <c r="G1654" s="1" t="str">
        <f t="shared" si="25"/>
        <v/>
      </c>
    </row>
    <row r="1655" spans="3:7" x14ac:dyDescent="0.3">
      <c r="C1655" t="str">
        <f>IFERROR(IF(B1655="","",VLOOKUP(B1655,CadProd!$A:$B,2,0)),"")</f>
        <v/>
      </c>
      <c r="D1655" t="str">
        <f>IFERROR(IF(B1655="","",VLOOKUP(B1655,CadProd!$A:$C,3,0)),"")</f>
        <v/>
      </c>
      <c r="G1655" s="1" t="str">
        <f t="shared" si="25"/>
        <v/>
      </c>
    </row>
    <row r="1656" spans="3:7" x14ac:dyDescent="0.3">
      <c r="C1656" t="str">
        <f>IFERROR(IF(B1656="","",VLOOKUP(B1656,CadProd!$A:$B,2,0)),"")</f>
        <v/>
      </c>
      <c r="D1656" t="str">
        <f>IFERROR(IF(B1656="","",VLOOKUP(B1656,CadProd!$A:$C,3,0)),"")</f>
        <v/>
      </c>
      <c r="G1656" s="1" t="str">
        <f t="shared" si="25"/>
        <v/>
      </c>
    </row>
    <row r="1657" spans="3:7" x14ac:dyDescent="0.3">
      <c r="C1657" t="str">
        <f>IFERROR(IF(B1657="","",VLOOKUP(B1657,CadProd!$A:$B,2,0)),"")</f>
        <v/>
      </c>
      <c r="D1657" t="str">
        <f>IFERROR(IF(B1657="","",VLOOKUP(B1657,CadProd!$A:$C,3,0)),"")</f>
        <v/>
      </c>
      <c r="G1657" s="1" t="str">
        <f t="shared" si="25"/>
        <v/>
      </c>
    </row>
    <row r="1658" spans="3:7" x14ac:dyDescent="0.3">
      <c r="C1658" t="str">
        <f>IFERROR(IF(B1658="","",VLOOKUP(B1658,CadProd!$A:$B,2,0)),"")</f>
        <v/>
      </c>
      <c r="D1658" t="str">
        <f>IFERROR(IF(B1658="","",VLOOKUP(B1658,CadProd!$A:$C,3,0)),"")</f>
        <v/>
      </c>
      <c r="G1658" s="1" t="str">
        <f t="shared" si="25"/>
        <v/>
      </c>
    </row>
    <row r="1659" spans="3:7" x14ac:dyDescent="0.3">
      <c r="C1659" t="str">
        <f>IFERROR(IF(B1659="","",VLOOKUP(B1659,CadProd!$A:$B,2,0)),"")</f>
        <v/>
      </c>
      <c r="D1659" t="str">
        <f>IFERROR(IF(B1659="","",VLOOKUP(B1659,CadProd!$A:$C,3,0)),"")</f>
        <v/>
      </c>
      <c r="G1659" s="1" t="str">
        <f t="shared" si="25"/>
        <v/>
      </c>
    </row>
    <row r="1660" spans="3:7" x14ac:dyDescent="0.3">
      <c r="C1660" t="str">
        <f>IFERROR(IF(B1660="","",VLOOKUP(B1660,CadProd!$A:$B,2,0)),"")</f>
        <v/>
      </c>
      <c r="D1660" t="str">
        <f>IFERROR(IF(B1660="","",VLOOKUP(B1660,CadProd!$A:$C,3,0)),"")</f>
        <v/>
      </c>
      <c r="G1660" s="1" t="str">
        <f t="shared" si="25"/>
        <v/>
      </c>
    </row>
    <row r="1661" spans="3:7" x14ac:dyDescent="0.3">
      <c r="C1661" t="str">
        <f>IFERROR(IF(B1661="","",VLOOKUP(B1661,CadProd!$A:$B,2,0)),"")</f>
        <v/>
      </c>
      <c r="D1661" t="str">
        <f>IFERROR(IF(B1661="","",VLOOKUP(B1661,CadProd!$A:$C,3,0)),"")</f>
        <v/>
      </c>
      <c r="G1661" s="1" t="str">
        <f t="shared" si="25"/>
        <v/>
      </c>
    </row>
    <row r="1662" spans="3:7" x14ac:dyDescent="0.3">
      <c r="C1662" t="str">
        <f>IFERROR(IF(B1662="","",VLOOKUP(B1662,CadProd!$A:$B,2,0)),"")</f>
        <v/>
      </c>
      <c r="D1662" t="str">
        <f>IFERROR(IF(B1662="","",VLOOKUP(B1662,CadProd!$A:$C,3,0)),"")</f>
        <v/>
      </c>
      <c r="G1662" s="1" t="str">
        <f t="shared" si="25"/>
        <v/>
      </c>
    </row>
    <row r="1663" spans="3:7" x14ac:dyDescent="0.3">
      <c r="C1663" t="str">
        <f>IFERROR(IF(B1663="","",VLOOKUP(B1663,CadProd!$A:$B,2,0)),"")</f>
        <v/>
      </c>
      <c r="D1663" t="str">
        <f>IFERROR(IF(B1663="","",VLOOKUP(B1663,CadProd!$A:$C,3,0)),"")</f>
        <v/>
      </c>
      <c r="G1663" s="1" t="str">
        <f t="shared" si="25"/>
        <v/>
      </c>
    </row>
    <row r="1664" spans="3:7" x14ac:dyDescent="0.3">
      <c r="C1664" t="str">
        <f>IFERROR(IF(B1664="","",VLOOKUP(B1664,CadProd!$A:$B,2,0)),"")</f>
        <v/>
      </c>
      <c r="D1664" t="str">
        <f>IFERROR(IF(B1664="","",VLOOKUP(B1664,CadProd!$A:$C,3,0)),"")</f>
        <v/>
      </c>
      <c r="G1664" s="1" t="str">
        <f t="shared" si="25"/>
        <v/>
      </c>
    </row>
    <row r="1665" spans="3:7" x14ac:dyDescent="0.3">
      <c r="C1665" t="str">
        <f>IFERROR(IF(B1665="","",VLOOKUP(B1665,CadProd!$A:$B,2,0)),"")</f>
        <v/>
      </c>
      <c r="D1665" t="str">
        <f>IFERROR(IF(B1665="","",VLOOKUP(B1665,CadProd!$A:$C,3,0)),"")</f>
        <v/>
      </c>
      <c r="G1665" s="1" t="str">
        <f t="shared" si="25"/>
        <v/>
      </c>
    </row>
    <row r="1666" spans="3:7" x14ac:dyDescent="0.3">
      <c r="C1666" t="str">
        <f>IFERROR(IF(B1666="","",VLOOKUP(B1666,CadProd!$A:$B,2,0)),"")</f>
        <v/>
      </c>
      <c r="D1666" t="str">
        <f>IFERROR(IF(B1666="","",VLOOKUP(B1666,CadProd!$A:$C,3,0)),"")</f>
        <v/>
      </c>
      <c r="G1666" s="1" t="str">
        <f t="shared" si="25"/>
        <v/>
      </c>
    </row>
    <row r="1667" spans="3:7" x14ac:dyDescent="0.3">
      <c r="C1667" t="str">
        <f>IFERROR(IF(B1667="","",VLOOKUP(B1667,CadProd!$A:$B,2,0)),"")</f>
        <v/>
      </c>
      <c r="D1667" t="str">
        <f>IFERROR(IF(B1667="","",VLOOKUP(B1667,CadProd!$A:$C,3,0)),"")</f>
        <v/>
      </c>
      <c r="G1667" s="1" t="str">
        <f t="shared" si="25"/>
        <v/>
      </c>
    </row>
    <row r="1668" spans="3:7" x14ac:dyDescent="0.3">
      <c r="C1668" t="str">
        <f>IFERROR(IF(B1668="","",VLOOKUP(B1668,CadProd!$A:$B,2,0)),"")</f>
        <v/>
      </c>
      <c r="D1668" t="str">
        <f>IFERROR(IF(B1668="","",VLOOKUP(B1668,CadProd!$A:$C,3,0)),"")</f>
        <v/>
      </c>
      <c r="G1668" s="1" t="str">
        <f t="shared" si="25"/>
        <v/>
      </c>
    </row>
    <row r="1669" spans="3:7" x14ac:dyDescent="0.3">
      <c r="C1669" t="str">
        <f>IFERROR(IF(B1669="","",VLOOKUP(B1669,CadProd!$A:$B,2,0)),"")</f>
        <v/>
      </c>
      <c r="D1669" t="str">
        <f>IFERROR(IF(B1669="","",VLOOKUP(B1669,CadProd!$A:$C,3,0)),"")</f>
        <v/>
      </c>
      <c r="G1669" s="1" t="str">
        <f t="shared" si="25"/>
        <v/>
      </c>
    </row>
    <row r="1670" spans="3:7" x14ac:dyDescent="0.3">
      <c r="C1670" t="str">
        <f>IFERROR(IF(B1670="","",VLOOKUP(B1670,CadProd!$A:$B,2,0)),"")</f>
        <v/>
      </c>
      <c r="D1670" t="str">
        <f>IFERROR(IF(B1670="","",VLOOKUP(B1670,CadProd!$A:$C,3,0)),"")</f>
        <v/>
      </c>
      <c r="G1670" s="1" t="str">
        <f t="shared" si="25"/>
        <v/>
      </c>
    </row>
    <row r="1671" spans="3:7" x14ac:dyDescent="0.3">
      <c r="C1671" t="str">
        <f>IFERROR(IF(B1671="","",VLOOKUP(B1671,CadProd!$A:$B,2,0)),"")</f>
        <v/>
      </c>
      <c r="D1671" t="str">
        <f>IFERROR(IF(B1671="","",VLOOKUP(B1671,CadProd!$A:$C,3,0)),"")</f>
        <v/>
      </c>
      <c r="G1671" s="1" t="str">
        <f t="shared" si="25"/>
        <v/>
      </c>
    </row>
    <row r="1672" spans="3:7" x14ac:dyDescent="0.3">
      <c r="C1672" t="str">
        <f>IFERROR(IF(B1672="","",VLOOKUP(B1672,CadProd!$A:$B,2,0)),"")</f>
        <v/>
      </c>
      <c r="D1672" t="str">
        <f>IFERROR(IF(B1672="","",VLOOKUP(B1672,CadProd!$A:$C,3,0)),"")</f>
        <v/>
      </c>
      <c r="G1672" s="1" t="str">
        <f t="shared" si="25"/>
        <v/>
      </c>
    </row>
    <row r="1673" spans="3:7" x14ac:dyDescent="0.3">
      <c r="C1673" t="str">
        <f>IFERROR(IF(B1673="","",VLOOKUP(B1673,CadProd!$A:$B,2,0)),"")</f>
        <v/>
      </c>
      <c r="D1673" t="str">
        <f>IFERROR(IF(B1673="","",VLOOKUP(B1673,CadProd!$A:$C,3,0)),"")</f>
        <v/>
      </c>
      <c r="G1673" s="1" t="str">
        <f t="shared" si="25"/>
        <v/>
      </c>
    </row>
    <row r="1674" spans="3:7" x14ac:dyDescent="0.3">
      <c r="C1674" t="str">
        <f>IFERROR(IF(B1674="","",VLOOKUP(B1674,CadProd!$A:$B,2,0)),"")</f>
        <v/>
      </c>
      <c r="D1674" t="str">
        <f>IFERROR(IF(B1674="","",VLOOKUP(B1674,CadProd!$A:$C,3,0)),"")</f>
        <v/>
      </c>
      <c r="G1674" s="1" t="str">
        <f t="shared" si="25"/>
        <v/>
      </c>
    </row>
    <row r="1675" spans="3:7" x14ac:dyDescent="0.3">
      <c r="C1675" t="str">
        <f>IFERROR(IF(B1675="","",VLOOKUP(B1675,CadProd!$A:$B,2,0)),"")</f>
        <v/>
      </c>
      <c r="D1675" t="str">
        <f>IFERROR(IF(B1675="","",VLOOKUP(B1675,CadProd!$A:$C,3,0)),"")</f>
        <v/>
      </c>
      <c r="G1675" s="1" t="str">
        <f t="shared" ref="G1675:G1738" si="26">IFERROR(IF(B1675="","",F1675*E1675),"")</f>
        <v/>
      </c>
    </row>
    <row r="1676" spans="3:7" x14ac:dyDescent="0.3">
      <c r="C1676" t="str">
        <f>IFERROR(IF(B1676="","",VLOOKUP(B1676,CadProd!$A:$B,2,0)),"")</f>
        <v/>
      </c>
      <c r="D1676" t="str">
        <f>IFERROR(IF(B1676="","",VLOOKUP(B1676,CadProd!$A:$C,3,0)),"")</f>
        <v/>
      </c>
      <c r="G1676" s="1" t="str">
        <f t="shared" si="26"/>
        <v/>
      </c>
    </row>
    <row r="1677" spans="3:7" x14ac:dyDescent="0.3">
      <c r="C1677" t="str">
        <f>IFERROR(IF(B1677="","",VLOOKUP(B1677,CadProd!$A:$B,2,0)),"")</f>
        <v/>
      </c>
      <c r="D1677" t="str">
        <f>IFERROR(IF(B1677="","",VLOOKUP(B1677,CadProd!$A:$C,3,0)),"")</f>
        <v/>
      </c>
      <c r="G1677" s="1" t="str">
        <f t="shared" si="26"/>
        <v/>
      </c>
    </row>
    <row r="1678" spans="3:7" x14ac:dyDescent="0.3">
      <c r="C1678" t="str">
        <f>IFERROR(IF(B1678="","",VLOOKUP(B1678,CadProd!$A:$B,2,0)),"")</f>
        <v/>
      </c>
      <c r="D1678" t="str">
        <f>IFERROR(IF(B1678="","",VLOOKUP(B1678,CadProd!$A:$C,3,0)),"")</f>
        <v/>
      </c>
      <c r="G1678" s="1" t="str">
        <f t="shared" si="26"/>
        <v/>
      </c>
    </row>
    <row r="1679" spans="3:7" x14ac:dyDescent="0.3">
      <c r="C1679" t="str">
        <f>IFERROR(IF(B1679="","",VLOOKUP(B1679,CadProd!$A:$B,2,0)),"")</f>
        <v/>
      </c>
      <c r="D1679" t="str">
        <f>IFERROR(IF(B1679="","",VLOOKUP(B1679,CadProd!$A:$C,3,0)),"")</f>
        <v/>
      </c>
      <c r="G1679" s="1" t="str">
        <f t="shared" si="26"/>
        <v/>
      </c>
    </row>
    <row r="1680" spans="3:7" x14ac:dyDescent="0.3">
      <c r="C1680" t="str">
        <f>IFERROR(IF(B1680="","",VLOOKUP(B1680,CadProd!$A:$B,2,0)),"")</f>
        <v/>
      </c>
      <c r="D1680" t="str">
        <f>IFERROR(IF(B1680="","",VLOOKUP(B1680,CadProd!$A:$C,3,0)),"")</f>
        <v/>
      </c>
      <c r="G1680" s="1" t="str">
        <f t="shared" si="26"/>
        <v/>
      </c>
    </row>
    <row r="1681" spans="3:7" x14ac:dyDescent="0.3">
      <c r="C1681" t="str">
        <f>IFERROR(IF(B1681="","",VLOOKUP(B1681,CadProd!$A:$B,2,0)),"")</f>
        <v/>
      </c>
      <c r="D1681" t="str">
        <f>IFERROR(IF(B1681="","",VLOOKUP(B1681,CadProd!$A:$C,3,0)),"")</f>
        <v/>
      </c>
      <c r="G1681" s="1" t="str">
        <f t="shared" si="26"/>
        <v/>
      </c>
    </row>
    <row r="1682" spans="3:7" x14ac:dyDescent="0.3">
      <c r="C1682" t="str">
        <f>IFERROR(IF(B1682="","",VLOOKUP(B1682,CadProd!$A:$B,2,0)),"")</f>
        <v/>
      </c>
      <c r="D1682" t="str">
        <f>IFERROR(IF(B1682="","",VLOOKUP(B1682,CadProd!$A:$C,3,0)),"")</f>
        <v/>
      </c>
      <c r="G1682" s="1" t="str">
        <f t="shared" si="26"/>
        <v/>
      </c>
    </row>
    <row r="1683" spans="3:7" x14ac:dyDescent="0.3">
      <c r="C1683" t="str">
        <f>IFERROR(IF(B1683="","",VLOOKUP(B1683,CadProd!$A:$B,2,0)),"")</f>
        <v/>
      </c>
      <c r="D1683" t="str">
        <f>IFERROR(IF(B1683="","",VLOOKUP(B1683,CadProd!$A:$C,3,0)),"")</f>
        <v/>
      </c>
      <c r="G1683" s="1" t="str">
        <f t="shared" si="26"/>
        <v/>
      </c>
    </row>
    <row r="1684" spans="3:7" x14ac:dyDescent="0.3">
      <c r="C1684" t="str">
        <f>IFERROR(IF(B1684="","",VLOOKUP(B1684,CadProd!$A:$B,2,0)),"")</f>
        <v/>
      </c>
      <c r="D1684" t="str">
        <f>IFERROR(IF(B1684="","",VLOOKUP(B1684,CadProd!$A:$C,3,0)),"")</f>
        <v/>
      </c>
      <c r="G1684" s="1" t="str">
        <f t="shared" si="26"/>
        <v/>
      </c>
    </row>
    <row r="1685" spans="3:7" x14ac:dyDescent="0.3">
      <c r="C1685" t="str">
        <f>IFERROR(IF(B1685="","",VLOOKUP(B1685,CadProd!$A:$B,2,0)),"")</f>
        <v/>
      </c>
      <c r="D1685" t="str">
        <f>IFERROR(IF(B1685="","",VLOOKUP(B1685,CadProd!$A:$C,3,0)),"")</f>
        <v/>
      </c>
      <c r="G1685" s="1" t="str">
        <f t="shared" si="26"/>
        <v/>
      </c>
    </row>
    <row r="1686" spans="3:7" x14ac:dyDescent="0.3">
      <c r="C1686" t="str">
        <f>IFERROR(IF(B1686="","",VLOOKUP(B1686,CadProd!$A:$B,2,0)),"")</f>
        <v/>
      </c>
      <c r="D1686" t="str">
        <f>IFERROR(IF(B1686="","",VLOOKUP(B1686,CadProd!$A:$C,3,0)),"")</f>
        <v/>
      </c>
      <c r="G1686" s="1" t="str">
        <f t="shared" si="26"/>
        <v/>
      </c>
    </row>
    <row r="1687" spans="3:7" x14ac:dyDescent="0.3">
      <c r="C1687" t="str">
        <f>IFERROR(IF(B1687="","",VLOOKUP(B1687,CadProd!$A:$B,2,0)),"")</f>
        <v/>
      </c>
      <c r="D1687" t="str">
        <f>IFERROR(IF(B1687="","",VLOOKUP(B1687,CadProd!$A:$C,3,0)),"")</f>
        <v/>
      </c>
      <c r="G1687" s="1" t="str">
        <f t="shared" si="26"/>
        <v/>
      </c>
    </row>
    <row r="1688" spans="3:7" x14ac:dyDescent="0.3">
      <c r="C1688" t="str">
        <f>IFERROR(IF(B1688="","",VLOOKUP(B1688,CadProd!$A:$B,2,0)),"")</f>
        <v/>
      </c>
      <c r="D1688" t="str">
        <f>IFERROR(IF(B1688="","",VLOOKUP(B1688,CadProd!$A:$C,3,0)),"")</f>
        <v/>
      </c>
      <c r="G1688" s="1" t="str">
        <f t="shared" si="26"/>
        <v/>
      </c>
    </row>
    <row r="1689" spans="3:7" x14ac:dyDescent="0.3">
      <c r="C1689" t="str">
        <f>IFERROR(IF(B1689="","",VLOOKUP(B1689,CadProd!$A:$B,2,0)),"")</f>
        <v/>
      </c>
      <c r="D1689" t="str">
        <f>IFERROR(IF(B1689="","",VLOOKUP(B1689,CadProd!$A:$C,3,0)),"")</f>
        <v/>
      </c>
      <c r="G1689" s="1" t="str">
        <f t="shared" si="26"/>
        <v/>
      </c>
    </row>
    <row r="1690" spans="3:7" x14ac:dyDescent="0.3">
      <c r="C1690" t="str">
        <f>IFERROR(IF(B1690="","",VLOOKUP(B1690,CadProd!$A:$B,2,0)),"")</f>
        <v/>
      </c>
      <c r="D1690" t="str">
        <f>IFERROR(IF(B1690="","",VLOOKUP(B1690,CadProd!$A:$C,3,0)),"")</f>
        <v/>
      </c>
      <c r="G1690" s="1" t="str">
        <f t="shared" si="26"/>
        <v/>
      </c>
    </row>
    <row r="1691" spans="3:7" x14ac:dyDescent="0.3">
      <c r="C1691" t="str">
        <f>IFERROR(IF(B1691="","",VLOOKUP(B1691,CadProd!$A:$B,2,0)),"")</f>
        <v/>
      </c>
      <c r="D1691" t="str">
        <f>IFERROR(IF(B1691="","",VLOOKUP(B1691,CadProd!$A:$C,3,0)),"")</f>
        <v/>
      </c>
      <c r="G1691" s="1" t="str">
        <f t="shared" si="26"/>
        <v/>
      </c>
    </row>
    <row r="1692" spans="3:7" x14ac:dyDescent="0.3">
      <c r="C1692" t="str">
        <f>IFERROR(IF(B1692="","",VLOOKUP(B1692,CadProd!$A:$B,2,0)),"")</f>
        <v/>
      </c>
      <c r="D1692" t="str">
        <f>IFERROR(IF(B1692="","",VLOOKUP(B1692,CadProd!$A:$C,3,0)),"")</f>
        <v/>
      </c>
      <c r="G1692" s="1" t="str">
        <f t="shared" si="26"/>
        <v/>
      </c>
    </row>
    <row r="1693" spans="3:7" x14ac:dyDescent="0.3">
      <c r="C1693" t="str">
        <f>IFERROR(IF(B1693="","",VLOOKUP(B1693,CadProd!$A:$B,2,0)),"")</f>
        <v/>
      </c>
      <c r="D1693" t="str">
        <f>IFERROR(IF(B1693="","",VLOOKUP(B1693,CadProd!$A:$C,3,0)),"")</f>
        <v/>
      </c>
      <c r="G1693" s="1" t="str">
        <f t="shared" si="26"/>
        <v/>
      </c>
    </row>
    <row r="1694" spans="3:7" x14ac:dyDescent="0.3">
      <c r="C1694" t="str">
        <f>IFERROR(IF(B1694="","",VLOOKUP(B1694,CadProd!$A:$B,2,0)),"")</f>
        <v/>
      </c>
      <c r="D1694" t="str">
        <f>IFERROR(IF(B1694="","",VLOOKUP(B1694,CadProd!$A:$C,3,0)),"")</f>
        <v/>
      </c>
      <c r="G1694" s="1" t="str">
        <f t="shared" si="26"/>
        <v/>
      </c>
    </row>
    <row r="1695" spans="3:7" x14ac:dyDescent="0.3">
      <c r="C1695" t="str">
        <f>IFERROR(IF(B1695="","",VLOOKUP(B1695,CadProd!$A:$B,2,0)),"")</f>
        <v/>
      </c>
      <c r="D1695" t="str">
        <f>IFERROR(IF(B1695="","",VLOOKUP(B1695,CadProd!$A:$C,3,0)),"")</f>
        <v/>
      </c>
      <c r="G1695" s="1" t="str">
        <f t="shared" si="26"/>
        <v/>
      </c>
    </row>
    <row r="1696" spans="3:7" x14ac:dyDescent="0.3">
      <c r="C1696" t="str">
        <f>IFERROR(IF(B1696="","",VLOOKUP(B1696,CadProd!$A:$B,2,0)),"")</f>
        <v/>
      </c>
      <c r="D1696" t="str">
        <f>IFERROR(IF(B1696="","",VLOOKUP(B1696,CadProd!$A:$C,3,0)),"")</f>
        <v/>
      </c>
      <c r="G1696" s="1" t="str">
        <f t="shared" si="26"/>
        <v/>
      </c>
    </row>
    <row r="1697" spans="3:7" x14ac:dyDescent="0.3">
      <c r="C1697" t="str">
        <f>IFERROR(IF(B1697="","",VLOOKUP(B1697,CadProd!$A:$B,2,0)),"")</f>
        <v/>
      </c>
      <c r="D1697" t="str">
        <f>IFERROR(IF(B1697="","",VLOOKUP(B1697,CadProd!$A:$C,3,0)),"")</f>
        <v/>
      </c>
      <c r="G1697" s="1" t="str">
        <f t="shared" si="26"/>
        <v/>
      </c>
    </row>
    <row r="1698" spans="3:7" x14ac:dyDescent="0.3">
      <c r="C1698" t="str">
        <f>IFERROR(IF(B1698="","",VLOOKUP(B1698,CadProd!$A:$B,2,0)),"")</f>
        <v/>
      </c>
      <c r="D1698" t="str">
        <f>IFERROR(IF(B1698="","",VLOOKUP(B1698,CadProd!$A:$C,3,0)),"")</f>
        <v/>
      </c>
      <c r="G1698" s="1" t="str">
        <f t="shared" si="26"/>
        <v/>
      </c>
    </row>
    <row r="1699" spans="3:7" x14ac:dyDescent="0.3">
      <c r="C1699" t="str">
        <f>IFERROR(IF(B1699="","",VLOOKUP(B1699,CadProd!$A:$B,2,0)),"")</f>
        <v/>
      </c>
      <c r="D1699" t="str">
        <f>IFERROR(IF(B1699="","",VLOOKUP(B1699,CadProd!$A:$C,3,0)),"")</f>
        <v/>
      </c>
      <c r="G1699" s="1" t="str">
        <f t="shared" si="26"/>
        <v/>
      </c>
    </row>
    <row r="1700" spans="3:7" x14ac:dyDescent="0.3">
      <c r="C1700" t="str">
        <f>IFERROR(IF(B1700="","",VLOOKUP(B1700,CadProd!$A:$B,2,0)),"")</f>
        <v/>
      </c>
      <c r="D1700" t="str">
        <f>IFERROR(IF(B1700="","",VLOOKUP(B1700,CadProd!$A:$C,3,0)),"")</f>
        <v/>
      </c>
      <c r="G1700" s="1" t="str">
        <f t="shared" si="26"/>
        <v/>
      </c>
    </row>
    <row r="1701" spans="3:7" x14ac:dyDescent="0.3">
      <c r="C1701" t="str">
        <f>IFERROR(IF(B1701="","",VLOOKUP(B1701,CadProd!$A:$B,2,0)),"")</f>
        <v/>
      </c>
      <c r="D1701" t="str">
        <f>IFERROR(IF(B1701="","",VLOOKUP(B1701,CadProd!$A:$C,3,0)),"")</f>
        <v/>
      </c>
      <c r="G1701" s="1" t="str">
        <f t="shared" si="26"/>
        <v/>
      </c>
    </row>
    <row r="1702" spans="3:7" x14ac:dyDescent="0.3">
      <c r="C1702" t="str">
        <f>IFERROR(IF(B1702="","",VLOOKUP(B1702,CadProd!$A:$B,2,0)),"")</f>
        <v/>
      </c>
      <c r="D1702" t="str">
        <f>IFERROR(IF(B1702="","",VLOOKUP(B1702,CadProd!$A:$C,3,0)),"")</f>
        <v/>
      </c>
      <c r="G1702" s="1" t="str">
        <f t="shared" si="26"/>
        <v/>
      </c>
    </row>
    <row r="1703" spans="3:7" x14ac:dyDescent="0.3">
      <c r="C1703" t="str">
        <f>IFERROR(IF(B1703="","",VLOOKUP(B1703,CadProd!$A:$B,2,0)),"")</f>
        <v/>
      </c>
      <c r="D1703" t="str">
        <f>IFERROR(IF(B1703="","",VLOOKUP(B1703,CadProd!$A:$C,3,0)),"")</f>
        <v/>
      </c>
      <c r="G1703" s="1" t="str">
        <f t="shared" si="26"/>
        <v/>
      </c>
    </row>
    <row r="1704" spans="3:7" x14ac:dyDescent="0.3">
      <c r="C1704" t="str">
        <f>IFERROR(IF(B1704="","",VLOOKUP(B1704,CadProd!$A:$B,2,0)),"")</f>
        <v/>
      </c>
      <c r="D1704" t="str">
        <f>IFERROR(IF(B1704="","",VLOOKUP(B1704,CadProd!$A:$C,3,0)),"")</f>
        <v/>
      </c>
      <c r="G1704" s="1" t="str">
        <f t="shared" si="26"/>
        <v/>
      </c>
    </row>
    <row r="1705" spans="3:7" x14ac:dyDescent="0.3">
      <c r="C1705" t="str">
        <f>IFERROR(IF(B1705="","",VLOOKUP(B1705,CadProd!$A:$B,2,0)),"")</f>
        <v/>
      </c>
      <c r="D1705" t="str">
        <f>IFERROR(IF(B1705="","",VLOOKUP(B1705,CadProd!$A:$C,3,0)),"")</f>
        <v/>
      </c>
      <c r="G1705" s="1" t="str">
        <f t="shared" si="26"/>
        <v/>
      </c>
    </row>
    <row r="1706" spans="3:7" x14ac:dyDescent="0.3">
      <c r="C1706" t="str">
        <f>IFERROR(IF(B1706="","",VLOOKUP(B1706,CadProd!$A:$B,2,0)),"")</f>
        <v/>
      </c>
      <c r="D1706" t="str">
        <f>IFERROR(IF(B1706="","",VLOOKUP(B1706,CadProd!$A:$C,3,0)),"")</f>
        <v/>
      </c>
      <c r="G1706" s="1" t="str">
        <f t="shared" si="26"/>
        <v/>
      </c>
    </row>
    <row r="1707" spans="3:7" x14ac:dyDescent="0.3">
      <c r="C1707" t="str">
        <f>IFERROR(IF(B1707="","",VLOOKUP(B1707,CadProd!$A:$B,2,0)),"")</f>
        <v/>
      </c>
      <c r="D1707" t="str">
        <f>IFERROR(IF(B1707="","",VLOOKUP(B1707,CadProd!$A:$C,3,0)),"")</f>
        <v/>
      </c>
      <c r="G1707" s="1" t="str">
        <f t="shared" si="26"/>
        <v/>
      </c>
    </row>
    <row r="1708" spans="3:7" x14ac:dyDescent="0.3">
      <c r="C1708" t="str">
        <f>IFERROR(IF(B1708="","",VLOOKUP(B1708,CadProd!$A:$B,2,0)),"")</f>
        <v/>
      </c>
      <c r="D1708" t="str">
        <f>IFERROR(IF(B1708="","",VLOOKUP(B1708,CadProd!$A:$C,3,0)),"")</f>
        <v/>
      </c>
      <c r="G1708" s="1" t="str">
        <f t="shared" si="26"/>
        <v/>
      </c>
    </row>
    <row r="1709" spans="3:7" x14ac:dyDescent="0.3">
      <c r="C1709" t="str">
        <f>IFERROR(IF(B1709="","",VLOOKUP(B1709,CadProd!$A:$B,2,0)),"")</f>
        <v/>
      </c>
      <c r="D1709" t="str">
        <f>IFERROR(IF(B1709="","",VLOOKUP(B1709,CadProd!$A:$C,3,0)),"")</f>
        <v/>
      </c>
      <c r="G1709" s="1" t="str">
        <f t="shared" si="26"/>
        <v/>
      </c>
    </row>
    <row r="1710" spans="3:7" x14ac:dyDescent="0.3">
      <c r="C1710" t="str">
        <f>IFERROR(IF(B1710="","",VLOOKUP(B1710,CadProd!$A:$B,2,0)),"")</f>
        <v/>
      </c>
      <c r="D1710" t="str">
        <f>IFERROR(IF(B1710="","",VLOOKUP(B1710,CadProd!$A:$C,3,0)),"")</f>
        <v/>
      </c>
      <c r="G1710" s="1" t="str">
        <f t="shared" si="26"/>
        <v/>
      </c>
    </row>
    <row r="1711" spans="3:7" x14ac:dyDescent="0.3">
      <c r="C1711" t="str">
        <f>IFERROR(IF(B1711="","",VLOOKUP(B1711,CadProd!$A:$B,2,0)),"")</f>
        <v/>
      </c>
      <c r="D1711" t="str">
        <f>IFERROR(IF(B1711="","",VLOOKUP(B1711,CadProd!$A:$C,3,0)),"")</f>
        <v/>
      </c>
      <c r="G1711" s="1" t="str">
        <f t="shared" si="26"/>
        <v/>
      </c>
    </row>
    <row r="1712" spans="3:7" x14ac:dyDescent="0.3">
      <c r="C1712" t="str">
        <f>IFERROR(IF(B1712="","",VLOOKUP(B1712,CadProd!$A:$B,2,0)),"")</f>
        <v/>
      </c>
      <c r="D1712" t="str">
        <f>IFERROR(IF(B1712="","",VLOOKUP(B1712,CadProd!$A:$C,3,0)),"")</f>
        <v/>
      </c>
      <c r="G1712" s="1" t="str">
        <f t="shared" si="26"/>
        <v/>
      </c>
    </row>
    <row r="1713" spans="3:7" x14ac:dyDescent="0.3">
      <c r="C1713" t="str">
        <f>IFERROR(IF(B1713="","",VLOOKUP(B1713,CadProd!$A:$B,2,0)),"")</f>
        <v/>
      </c>
      <c r="D1713" t="str">
        <f>IFERROR(IF(B1713="","",VLOOKUP(B1713,CadProd!$A:$C,3,0)),"")</f>
        <v/>
      </c>
      <c r="G1713" s="1" t="str">
        <f t="shared" si="26"/>
        <v/>
      </c>
    </row>
    <row r="1714" spans="3:7" x14ac:dyDescent="0.3">
      <c r="C1714" t="str">
        <f>IFERROR(IF(B1714="","",VLOOKUP(B1714,CadProd!$A:$B,2,0)),"")</f>
        <v/>
      </c>
      <c r="D1714" t="str">
        <f>IFERROR(IF(B1714="","",VLOOKUP(B1714,CadProd!$A:$C,3,0)),"")</f>
        <v/>
      </c>
      <c r="G1714" s="1" t="str">
        <f t="shared" si="26"/>
        <v/>
      </c>
    </row>
    <row r="1715" spans="3:7" x14ac:dyDescent="0.3">
      <c r="C1715" t="str">
        <f>IFERROR(IF(B1715="","",VLOOKUP(B1715,CadProd!$A:$B,2,0)),"")</f>
        <v/>
      </c>
      <c r="D1715" t="str">
        <f>IFERROR(IF(B1715="","",VLOOKUP(B1715,CadProd!$A:$C,3,0)),"")</f>
        <v/>
      </c>
      <c r="G1715" s="1" t="str">
        <f t="shared" si="26"/>
        <v/>
      </c>
    </row>
    <row r="1716" spans="3:7" x14ac:dyDescent="0.3">
      <c r="C1716" t="str">
        <f>IFERROR(IF(B1716="","",VLOOKUP(B1716,CadProd!$A:$B,2,0)),"")</f>
        <v/>
      </c>
      <c r="D1716" t="str">
        <f>IFERROR(IF(B1716="","",VLOOKUP(B1716,CadProd!$A:$C,3,0)),"")</f>
        <v/>
      </c>
      <c r="G1716" s="1" t="str">
        <f t="shared" si="26"/>
        <v/>
      </c>
    </row>
    <row r="1717" spans="3:7" x14ac:dyDescent="0.3">
      <c r="C1717" t="str">
        <f>IFERROR(IF(B1717="","",VLOOKUP(B1717,CadProd!$A:$B,2,0)),"")</f>
        <v/>
      </c>
      <c r="D1717" t="str">
        <f>IFERROR(IF(B1717="","",VLOOKUP(B1717,CadProd!$A:$C,3,0)),"")</f>
        <v/>
      </c>
      <c r="G1717" s="1" t="str">
        <f t="shared" si="26"/>
        <v/>
      </c>
    </row>
    <row r="1718" spans="3:7" x14ac:dyDescent="0.3">
      <c r="C1718" t="str">
        <f>IFERROR(IF(B1718="","",VLOOKUP(B1718,CadProd!$A:$B,2,0)),"")</f>
        <v/>
      </c>
      <c r="D1718" t="str">
        <f>IFERROR(IF(B1718="","",VLOOKUP(B1718,CadProd!$A:$C,3,0)),"")</f>
        <v/>
      </c>
      <c r="G1718" s="1" t="str">
        <f t="shared" si="26"/>
        <v/>
      </c>
    </row>
    <row r="1719" spans="3:7" x14ac:dyDescent="0.3">
      <c r="C1719" t="str">
        <f>IFERROR(IF(B1719="","",VLOOKUP(B1719,CadProd!$A:$B,2,0)),"")</f>
        <v/>
      </c>
      <c r="D1719" t="str">
        <f>IFERROR(IF(B1719="","",VLOOKUP(B1719,CadProd!$A:$C,3,0)),"")</f>
        <v/>
      </c>
      <c r="G1719" s="1" t="str">
        <f t="shared" si="26"/>
        <v/>
      </c>
    </row>
    <row r="1720" spans="3:7" x14ac:dyDescent="0.3">
      <c r="C1720" t="str">
        <f>IFERROR(IF(B1720="","",VLOOKUP(B1720,CadProd!$A:$B,2,0)),"")</f>
        <v/>
      </c>
      <c r="D1720" t="str">
        <f>IFERROR(IF(B1720="","",VLOOKUP(B1720,CadProd!$A:$C,3,0)),"")</f>
        <v/>
      </c>
      <c r="G1720" s="1" t="str">
        <f t="shared" si="26"/>
        <v/>
      </c>
    </row>
    <row r="1721" spans="3:7" x14ac:dyDescent="0.3">
      <c r="C1721" t="str">
        <f>IFERROR(IF(B1721="","",VLOOKUP(B1721,CadProd!$A:$B,2,0)),"")</f>
        <v/>
      </c>
      <c r="D1721" t="str">
        <f>IFERROR(IF(B1721="","",VLOOKUP(B1721,CadProd!$A:$C,3,0)),"")</f>
        <v/>
      </c>
      <c r="G1721" s="1" t="str">
        <f t="shared" si="26"/>
        <v/>
      </c>
    </row>
    <row r="1722" spans="3:7" x14ac:dyDescent="0.3">
      <c r="C1722" t="str">
        <f>IFERROR(IF(B1722="","",VLOOKUP(B1722,CadProd!$A:$B,2,0)),"")</f>
        <v/>
      </c>
      <c r="D1722" t="str">
        <f>IFERROR(IF(B1722="","",VLOOKUP(B1722,CadProd!$A:$C,3,0)),"")</f>
        <v/>
      </c>
      <c r="G1722" s="1" t="str">
        <f t="shared" si="26"/>
        <v/>
      </c>
    </row>
    <row r="1723" spans="3:7" x14ac:dyDescent="0.3">
      <c r="C1723" t="str">
        <f>IFERROR(IF(B1723="","",VLOOKUP(B1723,CadProd!$A:$B,2,0)),"")</f>
        <v/>
      </c>
      <c r="D1723" t="str">
        <f>IFERROR(IF(B1723="","",VLOOKUP(B1723,CadProd!$A:$C,3,0)),"")</f>
        <v/>
      </c>
      <c r="G1723" s="1" t="str">
        <f t="shared" si="26"/>
        <v/>
      </c>
    </row>
    <row r="1724" spans="3:7" x14ac:dyDescent="0.3">
      <c r="C1724" t="str">
        <f>IFERROR(IF(B1724="","",VLOOKUP(B1724,CadProd!$A:$B,2,0)),"")</f>
        <v/>
      </c>
      <c r="D1724" t="str">
        <f>IFERROR(IF(B1724="","",VLOOKUP(B1724,CadProd!$A:$C,3,0)),"")</f>
        <v/>
      </c>
      <c r="G1724" s="1" t="str">
        <f t="shared" si="26"/>
        <v/>
      </c>
    </row>
    <row r="1725" spans="3:7" x14ac:dyDescent="0.3">
      <c r="C1725" t="str">
        <f>IFERROR(IF(B1725="","",VLOOKUP(B1725,CadProd!$A:$B,2,0)),"")</f>
        <v/>
      </c>
      <c r="D1725" t="str">
        <f>IFERROR(IF(B1725="","",VLOOKUP(B1725,CadProd!$A:$C,3,0)),"")</f>
        <v/>
      </c>
      <c r="G1725" s="1" t="str">
        <f t="shared" si="26"/>
        <v/>
      </c>
    </row>
    <row r="1726" spans="3:7" x14ac:dyDescent="0.3">
      <c r="C1726" t="str">
        <f>IFERROR(IF(B1726="","",VLOOKUP(B1726,CadProd!$A:$B,2,0)),"")</f>
        <v/>
      </c>
      <c r="D1726" t="str">
        <f>IFERROR(IF(B1726="","",VLOOKUP(B1726,CadProd!$A:$C,3,0)),"")</f>
        <v/>
      </c>
      <c r="G1726" s="1" t="str">
        <f t="shared" si="26"/>
        <v/>
      </c>
    </row>
    <row r="1727" spans="3:7" x14ac:dyDescent="0.3">
      <c r="C1727" t="str">
        <f>IFERROR(IF(B1727="","",VLOOKUP(B1727,CadProd!$A:$B,2,0)),"")</f>
        <v/>
      </c>
      <c r="D1727" t="str">
        <f>IFERROR(IF(B1727="","",VLOOKUP(B1727,CadProd!$A:$C,3,0)),"")</f>
        <v/>
      </c>
      <c r="G1727" s="1" t="str">
        <f t="shared" si="26"/>
        <v/>
      </c>
    </row>
    <row r="1728" spans="3:7" x14ac:dyDescent="0.3">
      <c r="C1728" t="str">
        <f>IFERROR(IF(B1728="","",VLOOKUP(B1728,CadProd!$A:$B,2,0)),"")</f>
        <v/>
      </c>
      <c r="D1728" t="str">
        <f>IFERROR(IF(B1728="","",VLOOKUP(B1728,CadProd!$A:$C,3,0)),"")</f>
        <v/>
      </c>
      <c r="G1728" s="1" t="str">
        <f t="shared" si="26"/>
        <v/>
      </c>
    </row>
    <row r="1729" spans="3:7" x14ac:dyDescent="0.3">
      <c r="C1729" t="str">
        <f>IFERROR(IF(B1729="","",VLOOKUP(B1729,CadProd!$A:$B,2,0)),"")</f>
        <v/>
      </c>
      <c r="D1729" t="str">
        <f>IFERROR(IF(B1729="","",VLOOKUP(B1729,CadProd!$A:$C,3,0)),"")</f>
        <v/>
      </c>
      <c r="G1729" s="1" t="str">
        <f t="shared" si="26"/>
        <v/>
      </c>
    </row>
    <row r="1730" spans="3:7" x14ac:dyDescent="0.3">
      <c r="C1730" t="str">
        <f>IFERROR(IF(B1730="","",VLOOKUP(B1730,CadProd!$A:$B,2,0)),"")</f>
        <v/>
      </c>
      <c r="D1730" t="str">
        <f>IFERROR(IF(B1730="","",VLOOKUP(B1730,CadProd!$A:$C,3,0)),"")</f>
        <v/>
      </c>
      <c r="G1730" s="1" t="str">
        <f t="shared" si="26"/>
        <v/>
      </c>
    </row>
    <row r="1731" spans="3:7" x14ac:dyDescent="0.3">
      <c r="C1731" t="str">
        <f>IFERROR(IF(B1731="","",VLOOKUP(B1731,CadProd!$A:$B,2,0)),"")</f>
        <v/>
      </c>
      <c r="D1731" t="str">
        <f>IFERROR(IF(B1731="","",VLOOKUP(B1731,CadProd!$A:$C,3,0)),"")</f>
        <v/>
      </c>
      <c r="G1731" s="1" t="str">
        <f t="shared" si="26"/>
        <v/>
      </c>
    </row>
    <row r="1732" spans="3:7" x14ac:dyDescent="0.3">
      <c r="C1732" t="str">
        <f>IFERROR(IF(B1732="","",VLOOKUP(B1732,CadProd!$A:$B,2,0)),"")</f>
        <v/>
      </c>
      <c r="D1732" t="str">
        <f>IFERROR(IF(B1732="","",VLOOKUP(B1732,CadProd!$A:$C,3,0)),"")</f>
        <v/>
      </c>
      <c r="G1732" s="1" t="str">
        <f t="shared" si="26"/>
        <v/>
      </c>
    </row>
    <row r="1733" spans="3:7" x14ac:dyDescent="0.3">
      <c r="C1733" t="str">
        <f>IFERROR(IF(B1733="","",VLOOKUP(B1733,CadProd!$A:$B,2,0)),"")</f>
        <v/>
      </c>
      <c r="D1733" t="str">
        <f>IFERROR(IF(B1733="","",VLOOKUP(B1733,CadProd!$A:$C,3,0)),"")</f>
        <v/>
      </c>
      <c r="G1733" s="1" t="str">
        <f t="shared" si="26"/>
        <v/>
      </c>
    </row>
    <row r="1734" spans="3:7" x14ac:dyDescent="0.3">
      <c r="C1734" t="str">
        <f>IFERROR(IF(B1734="","",VLOOKUP(B1734,CadProd!$A:$B,2,0)),"")</f>
        <v/>
      </c>
      <c r="D1734" t="str">
        <f>IFERROR(IF(B1734="","",VLOOKUP(B1734,CadProd!$A:$C,3,0)),"")</f>
        <v/>
      </c>
      <c r="G1734" s="1" t="str">
        <f t="shared" si="26"/>
        <v/>
      </c>
    </row>
    <row r="1735" spans="3:7" x14ac:dyDescent="0.3">
      <c r="C1735" t="str">
        <f>IFERROR(IF(B1735="","",VLOOKUP(B1735,CadProd!$A:$B,2,0)),"")</f>
        <v/>
      </c>
      <c r="D1735" t="str">
        <f>IFERROR(IF(B1735="","",VLOOKUP(B1735,CadProd!$A:$C,3,0)),"")</f>
        <v/>
      </c>
      <c r="G1735" s="1" t="str">
        <f t="shared" si="26"/>
        <v/>
      </c>
    </row>
    <row r="1736" spans="3:7" x14ac:dyDescent="0.3">
      <c r="C1736" t="str">
        <f>IFERROR(IF(B1736="","",VLOOKUP(B1736,CadProd!$A:$B,2,0)),"")</f>
        <v/>
      </c>
      <c r="D1736" t="str">
        <f>IFERROR(IF(B1736="","",VLOOKUP(B1736,CadProd!$A:$C,3,0)),"")</f>
        <v/>
      </c>
      <c r="G1736" s="1" t="str">
        <f t="shared" si="26"/>
        <v/>
      </c>
    </row>
    <row r="1737" spans="3:7" x14ac:dyDescent="0.3">
      <c r="C1737" t="str">
        <f>IFERROR(IF(B1737="","",VLOOKUP(B1737,CadProd!$A:$B,2,0)),"")</f>
        <v/>
      </c>
      <c r="D1737" t="str">
        <f>IFERROR(IF(B1737="","",VLOOKUP(B1737,CadProd!$A:$C,3,0)),"")</f>
        <v/>
      </c>
      <c r="G1737" s="1" t="str">
        <f t="shared" si="26"/>
        <v/>
      </c>
    </row>
    <row r="1738" spans="3:7" x14ac:dyDescent="0.3">
      <c r="C1738" t="str">
        <f>IFERROR(IF(B1738="","",VLOOKUP(B1738,CadProd!$A:$B,2,0)),"")</f>
        <v/>
      </c>
      <c r="D1738" t="str">
        <f>IFERROR(IF(B1738="","",VLOOKUP(B1738,CadProd!$A:$C,3,0)),"")</f>
        <v/>
      </c>
      <c r="G1738" s="1" t="str">
        <f t="shared" si="26"/>
        <v/>
      </c>
    </row>
    <row r="1739" spans="3:7" x14ac:dyDescent="0.3">
      <c r="C1739" t="str">
        <f>IFERROR(IF(B1739="","",VLOOKUP(B1739,CadProd!$A:$B,2,0)),"")</f>
        <v/>
      </c>
      <c r="D1739" t="str">
        <f>IFERROR(IF(B1739="","",VLOOKUP(B1739,CadProd!$A:$C,3,0)),"")</f>
        <v/>
      </c>
      <c r="G1739" s="1" t="str">
        <f t="shared" ref="G1739:G1802" si="27">IFERROR(IF(B1739="","",F1739*E1739),"")</f>
        <v/>
      </c>
    </row>
    <row r="1740" spans="3:7" x14ac:dyDescent="0.3">
      <c r="C1740" t="str">
        <f>IFERROR(IF(B1740="","",VLOOKUP(B1740,CadProd!$A:$B,2,0)),"")</f>
        <v/>
      </c>
      <c r="D1740" t="str">
        <f>IFERROR(IF(B1740="","",VLOOKUP(B1740,CadProd!$A:$C,3,0)),"")</f>
        <v/>
      </c>
      <c r="G1740" s="1" t="str">
        <f t="shared" si="27"/>
        <v/>
      </c>
    </row>
    <row r="1741" spans="3:7" x14ac:dyDescent="0.3">
      <c r="C1741" t="str">
        <f>IFERROR(IF(B1741="","",VLOOKUP(B1741,CadProd!$A:$B,2,0)),"")</f>
        <v/>
      </c>
      <c r="D1741" t="str">
        <f>IFERROR(IF(B1741="","",VLOOKUP(B1741,CadProd!$A:$C,3,0)),"")</f>
        <v/>
      </c>
      <c r="G1741" s="1" t="str">
        <f t="shared" si="27"/>
        <v/>
      </c>
    </row>
    <row r="1742" spans="3:7" x14ac:dyDescent="0.3">
      <c r="C1742" t="str">
        <f>IFERROR(IF(B1742="","",VLOOKUP(B1742,CadProd!$A:$B,2,0)),"")</f>
        <v/>
      </c>
      <c r="D1742" t="str">
        <f>IFERROR(IF(B1742="","",VLOOKUP(B1742,CadProd!$A:$C,3,0)),"")</f>
        <v/>
      </c>
      <c r="G1742" s="1" t="str">
        <f t="shared" si="27"/>
        <v/>
      </c>
    </row>
    <row r="1743" spans="3:7" x14ac:dyDescent="0.3">
      <c r="C1743" t="str">
        <f>IFERROR(IF(B1743="","",VLOOKUP(B1743,CadProd!$A:$B,2,0)),"")</f>
        <v/>
      </c>
      <c r="D1743" t="str">
        <f>IFERROR(IF(B1743="","",VLOOKUP(B1743,CadProd!$A:$C,3,0)),"")</f>
        <v/>
      </c>
      <c r="G1743" s="1" t="str">
        <f t="shared" si="27"/>
        <v/>
      </c>
    </row>
    <row r="1744" spans="3:7" x14ac:dyDescent="0.3">
      <c r="C1744" t="str">
        <f>IFERROR(IF(B1744="","",VLOOKUP(B1744,CadProd!$A:$B,2,0)),"")</f>
        <v/>
      </c>
      <c r="D1744" t="str">
        <f>IFERROR(IF(B1744="","",VLOOKUP(B1744,CadProd!$A:$C,3,0)),"")</f>
        <v/>
      </c>
      <c r="G1744" s="1" t="str">
        <f t="shared" si="27"/>
        <v/>
      </c>
    </row>
    <row r="1745" spans="3:7" x14ac:dyDescent="0.3">
      <c r="C1745" t="str">
        <f>IFERROR(IF(B1745="","",VLOOKUP(B1745,CadProd!$A:$B,2,0)),"")</f>
        <v/>
      </c>
      <c r="D1745" t="str">
        <f>IFERROR(IF(B1745="","",VLOOKUP(B1745,CadProd!$A:$C,3,0)),"")</f>
        <v/>
      </c>
      <c r="G1745" s="1" t="str">
        <f t="shared" si="27"/>
        <v/>
      </c>
    </row>
    <row r="1746" spans="3:7" x14ac:dyDescent="0.3">
      <c r="C1746" t="str">
        <f>IFERROR(IF(B1746="","",VLOOKUP(B1746,CadProd!$A:$B,2,0)),"")</f>
        <v/>
      </c>
      <c r="D1746" t="str">
        <f>IFERROR(IF(B1746="","",VLOOKUP(B1746,CadProd!$A:$C,3,0)),"")</f>
        <v/>
      </c>
      <c r="G1746" s="1" t="str">
        <f t="shared" si="27"/>
        <v/>
      </c>
    </row>
    <row r="1747" spans="3:7" x14ac:dyDescent="0.3">
      <c r="C1747" t="str">
        <f>IFERROR(IF(B1747="","",VLOOKUP(B1747,CadProd!$A:$B,2,0)),"")</f>
        <v/>
      </c>
      <c r="D1747" t="str">
        <f>IFERROR(IF(B1747="","",VLOOKUP(B1747,CadProd!$A:$C,3,0)),"")</f>
        <v/>
      </c>
      <c r="G1747" s="1" t="str">
        <f t="shared" si="27"/>
        <v/>
      </c>
    </row>
    <row r="1748" spans="3:7" x14ac:dyDescent="0.3">
      <c r="C1748" t="str">
        <f>IFERROR(IF(B1748="","",VLOOKUP(B1748,CadProd!$A:$B,2,0)),"")</f>
        <v/>
      </c>
      <c r="D1748" t="str">
        <f>IFERROR(IF(B1748="","",VLOOKUP(B1748,CadProd!$A:$C,3,0)),"")</f>
        <v/>
      </c>
      <c r="G1748" s="1" t="str">
        <f t="shared" si="27"/>
        <v/>
      </c>
    </row>
    <row r="1749" spans="3:7" x14ac:dyDescent="0.3">
      <c r="C1749" t="str">
        <f>IFERROR(IF(B1749="","",VLOOKUP(B1749,CadProd!$A:$B,2,0)),"")</f>
        <v/>
      </c>
      <c r="D1749" t="str">
        <f>IFERROR(IF(B1749="","",VLOOKUP(B1749,CadProd!$A:$C,3,0)),"")</f>
        <v/>
      </c>
      <c r="G1749" s="1" t="str">
        <f t="shared" si="27"/>
        <v/>
      </c>
    </row>
    <row r="1750" spans="3:7" x14ac:dyDescent="0.3">
      <c r="C1750" t="str">
        <f>IFERROR(IF(B1750="","",VLOOKUP(B1750,CadProd!$A:$B,2,0)),"")</f>
        <v/>
      </c>
      <c r="D1750" t="str">
        <f>IFERROR(IF(B1750="","",VLOOKUP(B1750,CadProd!$A:$C,3,0)),"")</f>
        <v/>
      </c>
      <c r="G1750" s="1" t="str">
        <f t="shared" si="27"/>
        <v/>
      </c>
    </row>
    <row r="1751" spans="3:7" x14ac:dyDescent="0.3">
      <c r="C1751" t="str">
        <f>IFERROR(IF(B1751="","",VLOOKUP(B1751,CadProd!$A:$B,2,0)),"")</f>
        <v/>
      </c>
      <c r="D1751" t="str">
        <f>IFERROR(IF(B1751="","",VLOOKUP(B1751,CadProd!$A:$C,3,0)),"")</f>
        <v/>
      </c>
      <c r="G1751" s="1" t="str">
        <f t="shared" si="27"/>
        <v/>
      </c>
    </row>
    <row r="1752" spans="3:7" x14ac:dyDescent="0.3">
      <c r="C1752" t="str">
        <f>IFERROR(IF(B1752="","",VLOOKUP(B1752,CadProd!$A:$B,2,0)),"")</f>
        <v/>
      </c>
      <c r="D1752" t="str">
        <f>IFERROR(IF(B1752="","",VLOOKUP(B1752,CadProd!$A:$C,3,0)),"")</f>
        <v/>
      </c>
      <c r="G1752" s="1" t="str">
        <f t="shared" si="27"/>
        <v/>
      </c>
    </row>
    <row r="1753" spans="3:7" x14ac:dyDescent="0.3">
      <c r="C1753" t="str">
        <f>IFERROR(IF(B1753="","",VLOOKUP(B1753,CadProd!$A:$B,2,0)),"")</f>
        <v/>
      </c>
      <c r="D1753" t="str">
        <f>IFERROR(IF(B1753="","",VLOOKUP(B1753,CadProd!$A:$C,3,0)),"")</f>
        <v/>
      </c>
      <c r="G1753" s="1" t="str">
        <f t="shared" si="27"/>
        <v/>
      </c>
    </row>
    <row r="1754" spans="3:7" x14ac:dyDescent="0.3">
      <c r="C1754" t="str">
        <f>IFERROR(IF(B1754="","",VLOOKUP(B1754,CadProd!$A:$B,2,0)),"")</f>
        <v/>
      </c>
      <c r="D1754" t="str">
        <f>IFERROR(IF(B1754="","",VLOOKUP(B1754,CadProd!$A:$C,3,0)),"")</f>
        <v/>
      </c>
      <c r="G1754" s="1" t="str">
        <f t="shared" si="27"/>
        <v/>
      </c>
    </row>
    <row r="1755" spans="3:7" x14ac:dyDescent="0.3">
      <c r="C1755" t="str">
        <f>IFERROR(IF(B1755="","",VLOOKUP(B1755,CadProd!$A:$B,2,0)),"")</f>
        <v/>
      </c>
      <c r="D1755" t="str">
        <f>IFERROR(IF(B1755="","",VLOOKUP(B1755,CadProd!$A:$C,3,0)),"")</f>
        <v/>
      </c>
      <c r="G1755" s="1" t="str">
        <f t="shared" si="27"/>
        <v/>
      </c>
    </row>
    <row r="1756" spans="3:7" x14ac:dyDescent="0.3">
      <c r="C1756" t="str">
        <f>IFERROR(IF(B1756="","",VLOOKUP(B1756,CadProd!$A:$B,2,0)),"")</f>
        <v/>
      </c>
      <c r="D1756" t="str">
        <f>IFERROR(IF(B1756="","",VLOOKUP(B1756,CadProd!$A:$C,3,0)),"")</f>
        <v/>
      </c>
      <c r="G1756" s="1" t="str">
        <f t="shared" si="27"/>
        <v/>
      </c>
    </row>
    <row r="1757" spans="3:7" x14ac:dyDescent="0.3">
      <c r="C1757" t="str">
        <f>IFERROR(IF(B1757="","",VLOOKUP(B1757,CadProd!$A:$B,2,0)),"")</f>
        <v/>
      </c>
      <c r="D1757" t="str">
        <f>IFERROR(IF(B1757="","",VLOOKUP(B1757,CadProd!$A:$C,3,0)),"")</f>
        <v/>
      </c>
      <c r="G1757" s="1" t="str">
        <f t="shared" si="27"/>
        <v/>
      </c>
    </row>
    <row r="1758" spans="3:7" x14ac:dyDescent="0.3">
      <c r="C1758" t="str">
        <f>IFERROR(IF(B1758="","",VLOOKUP(B1758,CadProd!$A:$B,2,0)),"")</f>
        <v/>
      </c>
      <c r="D1758" t="str">
        <f>IFERROR(IF(B1758="","",VLOOKUP(B1758,CadProd!$A:$C,3,0)),"")</f>
        <v/>
      </c>
      <c r="G1758" s="1" t="str">
        <f t="shared" si="27"/>
        <v/>
      </c>
    </row>
    <row r="1759" spans="3:7" x14ac:dyDescent="0.3">
      <c r="C1759" t="str">
        <f>IFERROR(IF(B1759="","",VLOOKUP(B1759,CadProd!$A:$B,2,0)),"")</f>
        <v/>
      </c>
      <c r="D1759" t="str">
        <f>IFERROR(IF(B1759="","",VLOOKUP(B1759,CadProd!$A:$C,3,0)),"")</f>
        <v/>
      </c>
      <c r="G1759" s="1" t="str">
        <f t="shared" si="27"/>
        <v/>
      </c>
    </row>
    <row r="1760" spans="3:7" x14ac:dyDescent="0.3">
      <c r="C1760" t="str">
        <f>IFERROR(IF(B1760="","",VLOOKUP(B1760,CadProd!$A:$B,2,0)),"")</f>
        <v/>
      </c>
      <c r="D1760" t="str">
        <f>IFERROR(IF(B1760="","",VLOOKUP(B1760,CadProd!$A:$C,3,0)),"")</f>
        <v/>
      </c>
      <c r="G1760" s="1" t="str">
        <f t="shared" si="27"/>
        <v/>
      </c>
    </row>
    <row r="1761" spans="3:7" x14ac:dyDescent="0.3">
      <c r="C1761" t="str">
        <f>IFERROR(IF(B1761="","",VLOOKUP(B1761,CadProd!$A:$B,2,0)),"")</f>
        <v/>
      </c>
      <c r="D1761" t="str">
        <f>IFERROR(IF(B1761="","",VLOOKUP(B1761,CadProd!$A:$C,3,0)),"")</f>
        <v/>
      </c>
      <c r="G1761" s="1" t="str">
        <f t="shared" si="27"/>
        <v/>
      </c>
    </row>
    <row r="1762" spans="3:7" x14ac:dyDescent="0.3">
      <c r="C1762" t="str">
        <f>IFERROR(IF(B1762="","",VLOOKUP(B1762,CadProd!$A:$B,2,0)),"")</f>
        <v/>
      </c>
      <c r="D1762" t="str">
        <f>IFERROR(IF(B1762="","",VLOOKUP(B1762,CadProd!$A:$C,3,0)),"")</f>
        <v/>
      </c>
      <c r="G1762" s="1" t="str">
        <f t="shared" si="27"/>
        <v/>
      </c>
    </row>
    <row r="1763" spans="3:7" x14ac:dyDescent="0.3">
      <c r="C1763" t="str">
        <f>IFERROR(IF(B1763="","",VLOOKUP(B1763,CadProd!$A:$B,2,0)),"")</f>
        <v/>
      </c>
      <c r="D1763" t="str">
        <f>IFERROR(IF(B1763="","",VLOOKUP(B1763,CadProd!$A:$C,3,0)),"")</f>
        <v/>
      </c>
      <c r="G1763" s="1" t="str">
        <f t="shared" si="27"/>
        <v/>
      </c>
    </row>
    <row r="1764" spans="3:7" x14ac:dyDescent="0.3">
      <c r="C1764" t="str">
        <f>IFERROR(IF(B1764="","",VLOOKUP(B1764,CadProd!$A:$B,2,0)),"")</f>
        <v/>
      </c>
      <c r="D1764" t="str">
        <f>IFERROR(IF(B1764="","",VLOOKUP(B1764,CadProd!$A:$C,3,0)),"")</f>
        <v/>
      </c>
      <c r="G1764" s="1" t="str">
        <f t="shared" si="27"/>
        <v/>
      </c>
    </row>
    <row r="1765" spans="3:7" x14ac:dyDescent="0.3">
      <c r="C1765" t="str">
        <f>IFERROR(IF(B1765="","",VLOOKUP(B1765,CadProd!$A:$B,2,0)),"")</f>
        <v/>
      </c>
      <c r="D1765" t="str">
        <f>IFERROR(IF(B1765="","",VLOOKUP(B1765,CadProd!$A:$C,3,0)),"")</f>
        <v/>
      </c>
      <c r="G1765" s="1" t="str">
        <f t="shared" si="27"/>
        <v/>
      </c>
    </row>
    <row r="1766" spans="3:7" x14ac:dyDescent="0.3">
      <c r="C1766" t="str">
        <f>IFERROR(IF(B1766="","",VLOOKUP(B1766,CadProd!$A:$B,2,0)),"")</f>
        <v/>
      </c>
      <c r="D1766" t="str">
        <f>IFERROR(IF(B1766="","",VLOOKUP(B1766,CadProd!$A:$C,3,0)),"")</f>
        <v/>
      </c>
      <c r="G1766" s="1" t="str">
        <f t="shared" si="27"/>
        <v/>
      </c>
    </row>
    <row r="1767" spans="3:7" x14ac:dyDescent="0.3">
      <c r="C1767" t="str">
        <f>IFERROR(IF(B1767="","",VLOOKUP(B1767,CadProd!$A:$B,2,0)),"")</f>
        <v/>
      </c>
      <c r="D1767" t="str">
        <f>IFERROR(IF(B1767="","",VLOOKUP(B1767,CadProd!$A:$C,3,0)),"")</f>
        <v/>
      </c>
      <c r="G1767" s="1" t="str">
        <f t="shared" si="27"/>
        <v/>
      </c>
    </row>
    <row r="1768" spans="3:7" x14ac:dyDescent="0.3">
      <c r="C1768" t="str">
        <f>IFERROR(IF(B1768="","",VLOOKUP(B1768,CadProd!$A:$B,2,0)),"")</f>
        <v/>
      </c>
      <c r="D1768" t="str">
        <f>IFERROR(IF(B1768="","",VLOOKUP(B1768,CadProd!$A:$C,3,0)),"")</f>
        <v/>
      </c>
      <c r="G1768" s="1" t="str">
        <f t="shared" si="27"/>
        <v/>
      </c>
    </row>
    <row r="1769" spans="3:7" x14ac:dyDescent="0.3">
      <c r="C1769" t="str">
        <f>IFERROR(IF(B1769="","",VLOOKUP(B1769,CadProd!$A:$B,2,0)),"")</f>
        <v/>
      </c>
      <c r="D1769" t="str">
        <f>IFERROR(IF(B1769="","",VLOOKUP(B1769,CadProd!$A:$C,3,0)),"")</f>
        <v/>
      </c>
      <c r="G1769" s="1" t="str">
        <f t="shared" si="27"/>
        <v/>
      </c>
    </row>
    <row r="1770" spans="3:7" x14ac:dyDescent="0.3">
      <c r="C1770" t="str">
        <f>IFERROR(IF(B1770="","",VLOOKUP(B1770,CadProd!$A:$B,2,0)),"")</f>
        <v/>
      </c>
      <c r="D1770" t="str">
        <f>IFERROR(IF(B1770="","",VLOOKUP(B1770,CadProd!$A:$C,3,0)),"")</f>
        <v/>
      </c>
      <c r="G1770" s="1" t="str">
        <f t="shared" si="27"/>
        <v/>
      </c>
    </row>
    <row r="1771" spans="3:7" x14ac:dyDescent="0.3">
      <c r="C1771" t="str">
        <f>IFERROR(IF(B1771="","",VLOOKUP(B1771,CadProd!$A:$B,2,0)),"")</f>
        <v/>
      </c>
      <c r="D1771" t="str">
        <f>IFERROR(IF(B1771="","",VLOOKUP(B1771,CadProd!$A:$C,3,0)),"")</f>
        <v/>
      </c>
      <c r="G1771" s="1" t="str">
        <f t="shared" si="27"/>
        <v/>
      </c>
    </row>
    <row r="1772" spans="3:7" x14ac:dyDescent="0.3">
      <c r="C1772" t="str">
        <f>IFERROR(IF(B1772="","",VLOOKUP(B1772,CadProd!$A:$B,2,0)),"")</f>
        <v/>
      </c>
      <c r="D1772" t="str">
        <f>IFERROR(IF(B1772="","",VLOOKUP(B1772,CadProd!$A:$C,3,0)),"")</f>
        <v/>
      </c>
      <c r="G1772" s="1" t="str">
        <f t="shared" si="27"/>
        <v/>
      </c>
    </row>
    <row r="1773" spans="3:7" x14ac:dyDescent="0.3">
      <c r="C1773" t="str">
        <f>IFERROR(IF(B1773="","",VLOOKUP(B1773,CadProd!$A:$B,2,0)),"")</f>
        <v/>
      </c>
      <c r="D1773" t="str">
        <f>IFERROR(IF(B1773="","",VLOOKUP(B1773,CadProd!$A:$C,3,0)),"")</f>
        <v/>
      </c>
      <c r="G1773" s="1" t="str">
        <f t="shared" si="27"/>
        <v/>
      </c>
    </row>
    <row r="1774" spans="3:7" x14ac:dyDescent="0.3">
      <c r="C1774" t="str">
        <f>IFERROR(IF(B1774="","",VLOOKUP(B1774,CadProd!$A:$B,2,0)),"")</f>
        <v/>
      </c>
      <c r="D1774" t="str">
        <f>IFERROR(IF(B1774="","",VLOOKUP(B1774,CadProd!$A:$C,3,0)),"")</f>
        <v/>
      </c>
      <c r="G1774" s="1" t="str">
        <f t="shared" si="27"/>
        <v/>
      </c>
    </row>
    <row r="1775" spans="3:7" x14ac:dyDescent="0.3">
      <c r="C1775" t="str">
        <f>IFERROR(IF(B1775="","",VLOOKUP(B1775,CadProd!$A:$B,2,0)),"")</f>
        <v/>
      </c>
      <c r="D1775" t="str">
        <f>IFERROR(IF(B1775="","",VLOOKUP(B1775,CadProd!$A:$C,3,0)),"")</f>
        <v/>
      </c>
      <c r="G1775" s="1" t="str">
        <f t="shared" si="27"/>
        <v/>
      </c>
    </row>
    <row r="1776" spans="3:7" x14ac:dyDescent="0.3">
      <c r="C1776" t="str">
        <f>IFERROR(IF(B1776="","",VLOOKUP(B1776,CadProd!$A:$B,2,0)),"")</f>
        <v/>
      </c>
      <c r="D1776" t="str">
        <f>IFERROR(IF(B1776="","",VLOOKUP(B1776,CadProd!$A:$C,3,0)),"")</f>
        <v/>
      </c>
      <c r="G1776" s="1" t="str">
        <f t="shared" si="27"/>
        <v/>
      </c>
    </row>
    <row r="1777" spans="3:7" x14ac:dyDescent="0.3">
      <c r="C1777" t="str">
        <f>IFERROR(IF(B1777="","",VLOOKUP(B1777,CadProd!$A:$B,2,0)),"")</f>
        <v/>
      </c>
      <c r="D1777" t="str">
        <f>IFERROR(IF(B1777="","",VLOOKUP(B1777,CadProd!$A:$C,3,0)),"")</f>
        <v/>
      </c>
      <c r="G1777" s="1" t="str">
        <f t="shared" si="27"/>
        <v/>
      </c>
    </row>
    <row r="1778" spans="3:7" x14ac:dyDescent="0.3">
      <c r="C1778" t="str">
        <f>IFERROR(IF(B1778="","",VLOOKUP(B1778,CadProd!$A:$B,2,0)),"")</f>
        <v/>
      </c>
      <c r="D1778" t="str">
        <f>IFERROR(IF(B1778="","",VLOOKUP(B1778,CadProd!$A:$C,3,0)),"")</f>
        <v/>
      </c>
      <c r="G1778" s="1" t="str">
        <f t="shared" si="27"/>
        <v/>
      </c>
    </row>
    <row r="1779" spans="3:7" x14ac:dyDescent="0.3">
      <c r="C1779" t="str">
        <f>IFERROR(IF(B1779="","",VLOOKUP(B1779,CadProd!$A:$B,2,0)),"")</f>
        <v/>
      </c>
      <c r="D1779" t="str">
        <f>IFERROR(IF(B1779="","",VLOOKUP(B1779,CadProd!$A:$C,3,0)),"")</f>
        <v/>
      </c>
      <c r="G1779" s="1" t="str">
        <f t="shared" si="27"/>
        <v/>
      </c>
    </row>
    <row r="1780" spans="3:7" x14ac:dyDescent="0.3">
      <c r="C1780" t="str">
        <f>IFERROR(IF(B1780="","",VLOOKUP(B1780,CadProd!$A:$B,2,0)),"")</f>
        <v/>
      </c>
      <c r="D1780" t="str">
        <f>IFERROR(IF(B1780="","",VLOOKUP(B1780,CadProd!$A:$C,3,0)),"")</f>
        <v/>
      </c>
      <c r="G1780" s="1" t="str">
        <f t="shared" si="27"/>
        <v/>
      </c>
    </row>
    <row r="1781" spans="3:7" x14ac:dyDescent="0.3">
      <c r="C1781" t="str">
        <f>IFERROR(IF(B1781="","",VLOOKUP(B1781,CadProd!$A:$B,2,0)),"")</f>
        <v/>
      </c>
      <c r="D1781" t="str">
        <f>IFERROR(IF(B1781="","",VLOOKUP(B1781,CadProd!$A:$C,3,0)),"")</f>
        <v/>
      </c>
      <c r="G1781" s="1" t="str">
        <f t="shared" si="27"/>
        <v/>
      </c>
    </row>
    <row r="1782" spans="3:7" x14ac:dyDescent="0.3">
      <c r="C1782" t="str">
        <f>IFERROR(IF(B1782="","",VLOOKUP(B1782,CadProd!$A:$B,2,0)),"")</f>
        <v/>
      </c>
      <c r="D1782" t="str">
        <f>IFERROR(IF(B1782="","",VLOOKUP(B1782,CadProd!$A:$C,3,0)),"")</f>
        <v/>
      </c>
      <c r="G1782" s="1" t="str">
        <f t="shared" si="27"/>
        <v/>
      </c>
    </row>
    <row r="1783" spans="3:7" x14ac:dyDescent="0.3">
      <c r="C1783" t="str">
        <f>IFERROR(IF(B1783="","",VLOOKUP(B1783,CadProd!$A:$B,2,0)),"")</f>
        <v/>
      </c>
      <c r="D1783" t="str">
        <f>IFERROR(IF(B1783="","",VLOOKUP(B1783,CadProd!$A:$C,3,0)),"")</f>
        <v/>
      </c>
      <c r="G1783" s="1" t="str">
        <f t="shared" si="27"/>
        <v/>
      </c>
    </row>
    <row r="1784" spans="3:7" x14ac:dyDescent="0.3">
      <c r="C1784" t="str">
        <f>IFERROR(IF(B1784="","",VLOOKUP(B1784,CadProd!$A:$B,2,0)),"")</f>
        <v/>
      </c>
      <c r="D1784" t="str">
        <f>IFERROR(IF(B1784="","",VLOOKUP(B1784,CadProd!$A:$C,3,0)),"")</f>
        <v/>
      </c>
      <c r="G1784" s="1" t="str">
        <f t="shared" si="27"/>
        <v/>
      </c>
    </row>
    <row r="1785" spans="3:7" x14ac:dyDescent="0.3">
      <c r="C1785" t="str">
        <f>IFERROR(IF(B1785="","",VLOOKUP(B1785,CadProd!$A:$B,2,0)),"")</f>
        <v/>
      </c>
      <c r="D1785" t="str">
        <f>IFERROR(IF(B1785="","",VLOOKUP(B1785,CadProd!$A:$C,3,0)),"")</f>
        <v/>
      </c>
      <c r="G1785" s="1" t="str">
        <f t="shared" si="27"/>
        <v/>
      </c>
    </row>
    <row r="1786" spans="3:7" x14ac:dyDescent="0.3">
      <c r="C1786" t="str">
        <f>IFERROR(IF(B1786="","",VLOOKUP(B1786,CadProd!$A:$B,2,0)),"")</f>
        <v/>
      </c>
      <c r="D1786" t="str">
        <f>IFERROR(IF(B1786="","",VLOOKUP(B1786,CadProd!$A:$C,3,0)),"")</f>
        <v/>
      </c>
      <c r="G1786" s="1" t="str">
        <f t="shared" si="27"/>
        <v/>
      </c>
    </row>
    <row r="1787" spans="3:7" x14ac:dyDescent="0.3">
      <c r="C1787" t="str">
        <f>IFERROR(IF(B1787="","",VLOOKUP(B1787,CadProd!$A:$B,2,0)),"")</f>
        <v/>
      </c>
      <c r="D1787" t="str">
        <f>IFERROR(IF(B1787="","",VLOOKUP(B1787,CadProd!$A:$C,3,0)),"")</f>
        <v/>
      </c>
      <c r="G1787" s="1" t="str">
        <f t="shared" si="27"/>
        <v/>
      </c>
    </row>
    <row r="1788" spans="3:7" x14ac:dyDescent="0.3">
      <c r="C1788" t="str">
        <f>IFERROR(IF(B1788="","",VLOOKUP(B1788,CadProd!$A:$B,2,0)),"")</f>
        <v/>
      </c>
      <c r="D1788" t="str">
        <f>IFERROR(IF(B1788="","",VLOOKUP(B1788,CadProd!$A:$C,3,0)),"")</f>
        <v/>
      </c>
      <c r="G1788" s="1" t="str">
        <f t="shared" si="27"/>
        <v/>
      </c>
    </row>
    <row r="1789" spans="3:7" x14ac:dyDescent="0.3">
      <c r="C1789" t="str">
        <f>IFERROR(IF(B1789="","",VLOOKUP(B1789,CadProd!$A:$B,2,0)),"")</f>
        <v/>
      </c>
      <c r="D1789" t="str">
        <f>IFERROR(IF(B1789="","",VLOOKUP(B1789,CadProd!$A:$C,3,0)),"")</f>
        <v/>
      </c>
      <c r="G1789" s="1" t="str">
        <f t="shared" si="27"/>
        <v/>
      </c>
    </row>
    <row r="1790" spans="3:7" x14ac:dyDescent="0.3">
      <c r="C1790" t="str">
        <f>IFERROR(IF(B1790="","",VLOOKUP(B1790,CadProd!$A:$B,2,0)),"")</f>
        <v/>
      </c>
      <c r="D1790" t="str">
        <f>IFERROR(IF(B1790="","",VLOOKUP(B1790,CadProd!$A:$C,3,0)),"")</f>
        <v/>
      </c>
      <c r="G1790" s="1" t="str">
        <f t="shared" si="27"/>
        <v/>
      </c>
    </row>
    <row r="1791" spans="3:7" x14ac:dyDescent="0.3">
      <c r="C1791" t="str">
        <f>IFERROR(IF(B1791="","",VLOOKUP(B1791,CadProd!$A:$B,2,0)),"")</f>
        <v/>
      </c>
      <c r="D1791" t="str">
        <f>IFERROR(IF(B1791="","",VLOOKUP(B1791,CadProd!$A:$C,3,0)),"")</f>
        <v/>
      </c>
      <c r="G1791" s="1" t="str">
        <f t="shared" si="27"/>
        <v/>
      </c>
    </row>
    <row r="1792" spans="3:7" x14ac:dyDescent="0.3">
      <c r="C1792" t="str">
        <f>IFERROR(IF(B1792="","",VLOOKUP(B1792,CadProd!$A:$B,2,0)),"")</f>
        <v/>
      </c>
      <c r="D1792" t="str">
        <f>IFERROR(IF(B1792="","",VLOOKUP(B1792,CadProd!$A:$C,3,0)),"")</f>
        <v/>
      </c>
      <c r="G1792" s="1" t="str">
        <f t="shared" si="27"/>
        <v/>
      </c>
    </row>
    <row r="1793" spans="3:7" x14ac:dyDescent="0.3">
      <c r="C1793" t="str">
        <f>IFERROR(IF(B1793="","",VLOOKUP(B1793,CadProd!$A:$B,2,0)),"")</f>
        <v/>
      </c>
      <c r="D1793" t="str">
        <f>IFERROR(IF(B1793="","",VLOOKUP(B1793,CadProd!$A:$C,3,0)),"")</f>
        <v/>
      </c>
      <c r="G1793" s="1" t="str">
        <f t="shared" si="27"/>
        <v/>
      </c>
    </row>
    <row r="1794" spans="3:7" x14ac:dyDescent="0.3">
      <c r="C1794" t="str">
        <f>IFERROR(IF(B1794="","",VLOOKUP(B1794,CadProd!$A:$B,2,0)),"")</f>
        <v/>
      </c>
      <c r="D1794" t="str">
        <f>IFERROR(IF(B1794="","",VLOOKUP(B1794,CadProd!$A:$C,3,0)),"")</f>
        <v/>
      </c>
      <c r="G1794" s="1" t="str">
        <f t="shared" si="27"/>
        <v/>
      </c>
    </row>
    <row r="1795" spans="3:7" x14ac:dyDescent="0.3">
      <c r="C1795" t="str">
        <f>IFERROR(IF(B1795="","",VLOOKUP(B1795,CadProd!$A:$B,2,0)),"")</f>
        <v/>
      </c>
      <c r="D1795" t="str">
        <f>IFERROR(IF(B1795="","",VLOOKUP(B1795,CadProd!$A:$C,3,0)),"")</f>
        <v/>
      </c>
      <c r="G1795" s="1" t="str">
        <f t="shared" si="27"/>
        <v/>
      </c>
    </row>
    <row r="1796" spans="3:7" x14ac:dyDescent="0.3">
      <c r="C1796" t="str">
        <f>IFERROR(IF(B1796="","",VLOOKUP(B1796,CadProd!$A:$B,2,0)),"")</f>
        <v/>
      </c>
      <c r="D1796" t="str">
        <f>IFERROR(IF(B1796="","",VLOOKUP(B1796,CadProd!$A:$C,3,0)),"")</f>
        <v/>
      </c>
      <c r="G1796" s="1" t="str">
        <f t="shared" si="27"/>
        <v/>
      </c>
    </row>
    <row r="1797" spans="3:7" x14ac:dyDescent="0.3">
      <c r="C1797" t="str">
        <f>IFERROR(IF(B1797="","",VLOOKUP(B1797,CadProd!$A:$B,2,0)),"")</f>
        <v/>
      </c>
      <c r="D1797" t="str">
        <f>IFERROR(IF(B1797="","",VLOOKUP(B1797,CadProd!$A:$C,3,0)),"")</f>
        <v/>
      </c>
      <c r="G1797" s="1" t="str">
        <f t="shared" si="27"/>
        <v/>
      </c>
    </row>
    <row r="1798" spans="3:7" x14ac:dyDescent="0.3">
      <c r="C1798" t="str">
        <f>IFERROR(IF(B1798="","",VLOOKUP(B1798,CadProd!$A:$B,2,0)),"")</f>
        <v/>
      </c>
      <c r="D1798" t="str">
        <f>IFERROR(IF(B1798="","",VLOOKUP(B1798,CadProd!$A:$C,3,0)),"")</f>
        <v/>
      </c>
      <c r="G1798" s="1" t="str">
        <f t="shared" si="27"/>
        <v/>
      </c>
    </row>
    <row r="1799" spans="3:7" x14ac:dyDescent="0.3">
      <c r="C1799" t="str">
        <f>IFERROR(IF(B1799="","",VLOOKUP(B1799,CadProd!$A:$B,2,0)),"")</f>
        <v/>
      </c>
      <c r="D1799" t="str">
        <f>IFERROR(IF(B1799="","",VLOOKUP(B1799,CadProd!$A:$C,3,0)),"")</f>
        <v/>
      </c>
      <c r="G1799" s="1" t="str">
        <f t="shared" si="27"/>
        <v/>
      </c>
    </row>
    <row r="1800" spans="3:7" x14ac:dyDescent="0.3">
      <c r="C1800" t="str">
        <f>IFERROR(IF(B1800="","",VLOOKUP(B1800,CadProd!$A:$B,2,0)),"")</f>
        <v/>
      </c>
      <c r="D1800" t="str">
        <f>IFERROR(IF(B1800="","",VLOOKUP(B1800,CadProd!$A:$C,3,0)),"")</f>
        <v/>
      </c>
      <c r="G1800" s="1" t="str">
        <f t="shared" si="27"/>
        <v/>
      </c>
    </row>
    <row r="1801" spans="3:7" x14ac:dyDescent="0.3">
      <c r="C1801" t="str">
        <f>IFERROR(IF(B1801="","",VLOOKUP(B1801,CadProd!$A:$B,2,0)),"")</f>
        <v/>
      </c>
      <c r="D1801" t="str">
        <f>IFERROR(IF(B1801="","",VLOOKUP(B1801,CadProd!$A:$C,3,0)),"")</f>
        <v/>
      </c>
      <c r="G1801" s="1" t="str">
        <f t="shared" si="27"/>
        <v/>
      </c>
    </row>
    <row r="1802" spans="3:7" x14ac:dyDescent="0.3">
      <c r="C1802" t="str">
        <f>IFERROR(IF(B1802="","",VLOOKUP(B1802,CadProd!$A:$B,2,0)),"")</f>
        <v/>
      </c>
      <c r="D1802" t="str">
        <f>IFERROR(IF(B1802="","",VLOOKUP(B1802,CadProd!$A:$C,3,0)),"")</f>
        <v/>
      </c>
      <c r="G1802" s="1" t="str">
        <f t="shared" si="27"/>
        <v/>
      </c>
    </row>
    <row r="1803" spans="3:7" x14ac:dyDescent="0.3">
      <c r="C1803" t="str">
        <f>IFERROR(IF(B1803="","",VLOOKUP(B1803,CadProd!$A:$B,2,0)),"")</f>
        <v/>
      </c>
      <c r="D1803" t="str">
        <f>IFERROR(IF(B1803="","",VLOOKUP(B1803,CadProd!$A:$C,3,0)),"")</f>
        <v/>
      </c>
      <c r="G1803" s="1" t="str">
        <f t="shared" ref="G1803:G1866" si="28">IFERROR(IF(B1803="","",F1803*E1803),"")</f>
        <v/>
      </c>
    </row>
    <row r="1804" spans="3:7" x14ac:dyDescent="0.3">
      <c r="C1804" t="str">
        <f>IFERROR(IF(B1804="","",VLOOKUP(B1804,CadProd!$A:$B,2,0)),"")</f>
        <v/>
      </c>
      <c r="D1804" t="str">
        <f>IFERROR(IF(B1804="","",VLOOKUP(B1804,CadProd!$A:$C,3,0)),"")</f>
        <v/>
      </c>
      <c r="G1804" s="1" t="str">
        <f t="shared" si="28"/>
        <v/>
      </c>
    </row>
    <row r="1805" spans="3:7" x14ac:dyDescent="0.3">
      <c r="C1805" t="str">
        <f>IFERROR(IF(B1805="","",VLOOKUP(B1805,CadProd!$A:$B,2,0)),"")</f>
        <v/>
      </c>
      <c r="D1805" t="str">
        <f>IFERROR(IF(B1805="","",VLOOKUP(B1805,CadProd!$A:$C,3,0)),"")</f>
        <v/>
      </c>
      <c r="G1805" s="1" t="str">
        <f t="shared" si="28"/>
        <v/>
      </c>
    </row>
    <row r="1806" spans="3:7" x14ac:dyDescent="0.3">
      <c r="C1806" t="str">
        <f>IFERROR(IF(B1806="","",VLOOKUP(B1806,CadProd!$A:$B,2,0)),"")</f>
        <v/>
      </c>
      <c r="D1806" t="str">
        <f>IFERROR(IF(B1806="","",VLOOKUP(B1806,CadProd!$A:$C,3,0)),"")</f>
        <v/>
      </c>
      <c r="G1806" s="1" t="str">
        <f t="shared" si="28"/>
        <v/>
      </c>
    </row>
    <row r="1807" spans="3:7" x14ac:dyDescent="0.3">
      <c r="C1807" t="str">
        <f>IFERROR(IF(B1807="","",VLOOKUP(B1807,CadProd!$A:$B,2,0)),"")</f>
        <v/>
      </c>
      <c r="D1807" t="str">
        <f>IFERROR(IF(B1807="","",VLOOKUP(B1807,CadProd!$A:$C,3,0)),"")</f>
        <v/>
      </c>
      <c r="G1807" s="1" t="str">
        <f t="shared" si="28"/>
        <v/>
      </c>
    </row>
    <row r="1808" spans="3:7" x14ac:dyDescent="0.3">
      <c r="C1808" t="str">
        <f>IFERROR(IF(B1808="","",VLOOKUP(B1808,CadProd!$A:$B,2,0)),"")</f>
        <v/>
      </c>
      <c r="D1808" t="str">
        <f>IFERROR(IF(B1808="","",VLOOKUP(B1808,CadProd!$A:$C,3,0)),"")</f>
        <v/>
      </c>
      <c r="G1808" s="1" t="str">
        <f t="shared" si="28"/>
        <v/>
      </c>
    </row>
    <row r="1809" spans="3:7" x14ac:dyDescent="0.3">
      <c r="C1809" t="str">
        <f>IFERROR(IF(B1809="","",VLOOKUP(B1809,CadProd!$A:$B,2,0)),"")</f>
        <v/>
      </c>
      <c r="D1809" t="str">
        <f>IFERROR(IF(B1809="","",VLOOKUP(B1809,CadProd!$A:$C,3,0)),"")</f>
        <v/>
      </c>
      <c r="G1809" s="1" t="str">
        <f t="shared" si="28"/>
        <v/>
      </c>
    </row>
    <row r="1810" spans="3:7" x14ac:dyDescent="0.3">
      <c r="C1810" t="str">
        <f>IFERROR(IF(B1810="","",VLOOKUP(B1810,CadProd!$A:$B,2,0)),"")</f>
        <v/>
      </c>
      <c r="D1810" t="str">
        <f>IFERROR(IF(B1810="","",VLOOKUP(B1810,CadProd!$A:$C,3,0)),"")</f>
        <v/>
      </c>
      <c r="G1810" s="1" t="str">
        <f t="shared" si="28"/>
        <v/>
      </c>
    </row>
    <row r="1811" spans="3:7" x14ac:dyDescent="0.3">
      <c r="C1811" t="str">
        <f>IFERROR(IF(B1811="","",VLOOKUP(B1811,CadProd!$A:$B,2,0)),"")</f>
        <v/>
      </c>
      <c r="D1811" t="str">
        <f>IFERROR(IF(B1811="","",VLOOKUP(B1811,CadProd!$A:$C,3,0)),"")</f>
        <v/>
      </c>
      <c r="G1811" s="1" t="str">
        <f t="shared" si="28"/>
        <v/>
      </c>
    </row>
    <row r="1812" spans="3:7" x14ac:dyDescent="0.3">
      <c r="C1812" t="str">
        <f>IFERROR(IF(B1812="","",VLOOKUP(B1812,CadProd!$A:$B,2,0)),"")</f>
        <v/>
      </c>
      <c r="D1812" t="str">
        <f>IFERROR(IF(B1812="","",VLOOKUP(B1812,CadProd!$A:$C,3,0)),"")</f>
        <v/>
      </c>
      <c r="G1812" s="1" t="str">
        <f t="shared" si="28"/>
        <v/>
      </c>
    </row>
    <row r="1813" spans="3:7" x14ac:dyDescent="0.3">
      <c r="C1813" t="str">
        <f>IFERROR(IF(B1813="","",VLOOKUP(B1813,CadProd!$A:$B,2,0)),"")</f>
        <v/>
      </c>
      <c r="D1813" t="str">
        <f>IFERROR(IF(B1813="","",VLOOKUP(B1813,CadProd!$A:$C,3,0)),"")</f>
        <v/>
      </c>
      <c r="G1813" s="1" t="str">
        <f t="shared" si="28"/>
        <v/>
      </c>
    </row>
    <row r="1814" spans="3:7" x14ac:dyDescent="0.3">
      <c r="C1814" t="str">
        <f>IFERROR(IF(B1814="","",VLOOKUP(B1814,CadProd!$A:$B,2,0)),"")</f>
        <v/>
      </c>
      <c r="D1814" t="str">
        <f>IFERROR(IF(B1814="","",VLOOKUP(B1814,CadProd!$A:$C,3,0)),"")</f>
        <v/>
      </c>
      <c r="G1814" s="1" t="str">
        <f t="shared" si="28"/>
        <v/>
      </c>
    </row>
    <row r="1815" spans="3:7" x14ac:dyDescent="0.3">
      <c r="C1815" t="str">
        <f>IFERROR(IF(B1815="","",VLOOKUP(B1815,CadProd!$A:$B,2,0)),"")</f>
        <v/>
      </c>
      <c r="D1815" t="str">
        <f>IFERROR(IF(B1815="","",VLOOKUP(B1815,CadProd!$A:$C,3,0)),"")</f>
        <v/>
      </c>
      <c r="G1815" s="1" t="str">
        <f t="shared" si="28"/>
        <v/>
      </c>
    </row>
    <row r="1816" spans="3:7" x14ac:dyDescent="0.3">
      <c r="C1816" t="str">
        <f>IFERROR(IF(B1816="","",VLOOKUP(B1816,CadProd!$A:$B,2,0)),"")</f>
        <v/>
      </c>
      <c r="D1816" t="str">
        <f>IFERROR(IF(B1816="","",VLOOKUP(B1816,CadProd!$A:$C,3,0)),"")</f>
        <v/>
      </c>
      <c r="G1816" s="1" t="str">
        <f t="shared" si="28"/>
        <v/>
      </c>
    </row>
    <row r="1817" spans="3:7" x14ac:dyDescent="0.3">
      <c r="C1817" t="str">
        <f>IFERROR(IF(B1817="","",VLOOKUP(B1817,CadProd!$A:$B,2,0)),"")</f>
        <v/>
      </c>
      <c r="D1817" t="str">
        <f>IFERROR(IF(B1817="","",VLOOKUP(B1817,CadProd!$A:$C,3,0)),"")</f>
        <v/>
      </c>
      <c r="G1817" s="1" t="str">
        <f t="shared" si="28"/>
        <v/>
      </c>
    </row>
    <row r="1818" spans="3:7" x14ac:dyDescent="0.3">
      <c r="C1818" t="str">
        <f>IFERROR(IF(B1818="","",VLOOKUP(B1818,CadProd!$A:$B,2,0)),"")</f>
        <v/>
      </c>
      <c r="D1818" t="str">
        <f>IFERROR(IF(B1818="","",VLOOKUP(B1818,CadProd!$A:$C,3,0)),"")</f>
        <v/>
      </c>
      <c r="G1818" s="1" t="str">
        <f t="shared" si="28"/>
        <v/>
      </c>
    </row>
    <row r="1819" spans="3:7" x14ac:dyDescent="0.3">
      <c r="C1819" t="str">
        <f>IFERROR(IF(B1819="","",VLOOKUP(B1819,CadProd!$A:$B,2,0)),"")</f>
        <v/>
      </c>
      <c r="D1819" t="str">
        <f>IFERROR(IF(B1819="","",VLOOKUP(B1819,CadProd!$A:$C,3,0)),"")</f>
        <v/>
      </c>
      <c r="G1819" s="1" t="str">
        <f t="shared" si="28"/>
        <v/>
      </c>
    </row>
    <row r="1820" spans="3:7" x14ac:dyDescent="0.3">
      <c r="C1820" t="str">
        <f>IFERROR(IF(B1820="","",VLOOKUP(B1820,CadProd!$A:$B,2,0)),"")</f>
        <v/>
      </c>
      <c r="D1820" t="str">
        <f>IFERROR(IF(B1820="","",VLOOKUP(B1820,CadProd!$A:$C,3,0)),"")</f>
        <v/>
      </c>
      <c r="G1820" s="1" t="str">
        <f t="shared" si="28"/>
        <v/>
      </c>
    </row>
    <row r="1821" spans="3:7" x14ac:dyDescent="0.3">
      <c r="C1821" t="str">
        <f>IFERROR(IF(B1821="","",VLOOKUP(B1821,CadProd!$A:$B,2,0)),"")</f>
        <v/>
      </c>
      <c r="D1821" t="str">
        <f>IFERROR(IF(B1821="","",VLOOKUP(B1821,CadProd!$A:$C,3,0)),"")</f>
        <v/>
      </c>
      <c r="G1821" s="1" t="str">
        <f t="shared" si="28"/>
        <v/>
      </c>
    </row>
    <row r="1822" spans="3:7" x14ac:dyDescent="0.3">
      <c r="C1822" t="str">
        <f>IFERROR(IF(B1822="","",VLOOKUP(B1822,CadProd!$A:$B,2,0)),"")</f>
        <v/>
      </c>
      <c r="D1822" t="str">
        <f>IFERROR(IF(B1822="","",VLOOKUP(B1822,CadProd!$A:$C,3,0)),"")</f>
        <v/>
      </c>
      <c r="G1822" s="1" t="str">
        <f t="shared" si="28"/>
        <v/>
      </c>
    </row>
    <row r="1823" spans="3:7" x14ac:dyDescent="0.3">
      <c r="C1823" t="str">
        <f>IFERROR(IF(B1823="","",VLOOKUP(B1823,CadProd!$A:$B,2,0)),"")</f>
        <v/>
      </c>
      <c r="D1823" t="str">
        <f>IFERROR(IF(B1823="","",VLOOKUP(B1823,CadProd!$A:$C,3,0)),"")</f>
        <v/>
      </c>
      <c r="G1823" s="1" t="str">
        <f t="shared" si="28"/>
        <v/>
      </c>
    </row>
    <row r="1824" spans="3:7" x14ac:dyDescent="0.3">
      <c r="C1824" t="str">
        <f>IFERROR(IF(B1824="","",VLOOKUP(B1824,CadProd!$A:$B,2,0)),"")</f>
        <v/>
      </c>
      <c r="D1824" t="str">
        <f>IFERROR(IF(B1824="","",VLOOKUP(B1824,CadProd!$A:$C,3,0)),"")</f>
        <v/>
      </c>
      <c r="G1824" s="1" t="str">
        <f t="shared" si="28"/>
        <v/>
      </c>
    </row>
    <row r="1825" spans="3:7" x14ac:dyDescent="0.3">
      <c r="C1825" t="str">
        <f>IFERROR(IF(B1825="","",VLOOKUP(B1825,CadProd!$A:$B,2,0)),"")</f>
        <v/>
      </c>
      <c r="D1825" t="str">
        <f>IFERROR(IF(B1825="","",VLOOKUP(B1825,CadProd!$A:$C,3,0)),"")</f>
        <v/>
      </c>
      <c r="G1825" s="1" t="str">
        <f t="shared" si="28"/>
        <v/>
      </c>
    </row>
    <row r="1826" spans="3:7" x14ac:dyDescent="0.3">
      <c r="C1826" t="str">
        <f>IFERROR(IF(B1826="","",VLOOKUP(B1826,CadProd!$A:$B,2,0)),"")</f>
        <v/>
      </c>
      <c r="D1826" t="str">
        <f>IFERROR(IF(B1826="","",VLOOKUP(B1826,CadProd!$A:$C,3,0)),"")</f>
        <v/>
      </c>
      <c r="G1826" s="1" t="str">
        <f t="shared" si="28"/>
        <v/>
      </c>
    </row>
    <row r="1827" spans="3:7" x14ac:dyDescent="0.3">
      <c r="C1827" t="str">
        <f>IFERROR(IF(B1827="","",VLOOKUP(B1827,CadProd!$A:$B,2,0)),"")</f>
        <v/>
      </c>
      <c r="D1827" t="str">
        <f>IFERROR(IF(B1827="","",VLOOKUP(B1827,CadProd!$A:$C,3,0)),"")</f>
        <v/>
      </c>
      <c r="G1827" s="1" t="str">
        <f t="shared" si="28"/>
        <v/>
      </c>
    </row>
    <row r="1828" spans="3:7" x14ac:dyDescent="0.3">
      <c r="C1828" t="str">
        <f>IFERROR(IF(B1828="","",VLOOKUP(B1828,CadProd!$A:$B,2,0)),"")</f>
        <v/>
      </c>
      <c r="D1828" t="str">
        <f>IFERROR(IF(B1828="","",VLOOKUP(B1828,CadProd!$A:$C,3,0)),"")</f>
        <v/>
      </c>
      <c r="G1828" s="1" t="str">
        <f t="shared" si="28"/>
        <v/>
      </c>
    </row>
    <row r="1829" spans="3:7" x14ac:dyDescent="0.3">
      <c r="C1829" t="str">
        <f>IFERROR(IF(B1829="","",VLOOKUP(B1829,CadProd!$A:$B,2,0)),"")</f>
        <v/>
      </c>
      <c r="D1829" t="str">
        <f>IFERROR(IF(B1829="","",VLOOKUP(B1829,CadProd!$A:$C,3,0)),"")</f>
        <v/>
      </c>
      <c r="G1829" s="1" t="str">
        <f t="shared" si="28"/>
        <v/>
      </c>
    </row>
    <row r="1830" spans="3:7" x14ac:dyDescent="0.3">
      <c r="C1830" t="str">
        <f>IFERROR(IF(B1830="","",VLOOKUP(B1830,CadProd!$A:$B,2,0)),"")</f>
        <v/>
      </c>
      <c r="D1830" t="str">
        <f>IFERROR(IF(B1830="","",VLOOKUP(B1830,CadProd!$A:$C,3,0)),"")</f>
        <v/>
      </c>
      <c r="G1830" s="1" t="str">
        <f t="shared" si="28"/>
        <v/>
      </c>
    </row>
    <row r="1831" spans="3:7" x14ac:dyDescent="0.3">
      <c r="C1831" t="str">
        <f>IFERROR(IF(B1831="","",VLOOKUP(B1831,CadProd!$A:$B,2,0)),"")</f>
        <v/>
      </c>
      <c r="D1831" t="str">
        <f>IFERROR(IF(B1831="","",VLOOKUP(B1831,CadProd!$A:$C,3,0)),"")</f>
        <v/>
      </c>
      <c r="G1831" s="1" t="str">
        <f t="shared" si="28"/>
        <v/>
      </c>
    </row>
    <row r="1832" spans="3:7" x14ac:dyDescent="0.3">
      <c r="C1832" t="str">
        <f>IFERROR(IF(B1832="","",VLOOKUP(B1832,CadProd!$A:$B,2,0)),"")</f>
        <v/>
      </c>
      <c r="D1832" t="str">
        <f>IFERROR(IF(B1832="","",VLOOKUP(B1832,CadProd!$A:$C,3,0)),"")</f>
        <v/>
      </c>
      <c r="G1832" s="1" t="str">
        <f t="shared" si="28"/>
        <v/>
      </c>
    </row>
    <row r="1833" spans="3:7" x14ac:dyDescent="0.3">
      <c r="C1833" t="str">
        <f>IFERROR(IF(B1833="","",VLOOKUP(B1833,CadProd!$A:$B,2,0)),"")</f>
        <v/>
      </c>
      <c r="D1833" t="str">
        <f>IFERROR(IF(B1833="","",VLOOKUP(B1833,CadProd!$A:$C,3,0)),"")</f>
        <v/>
      </c>
      <c r="G1833" s="1" t="str">
        <f t="shared" si="28"/>
        <v/>
      </c>
    </row>
    <row r="1834" spans="3:7" x14ac:dyDescent="0.3">
      <c r="C1834" t="str">
        <f>IFERROR(IF(B1834="","",VLOOKUP(B1834,CadProd!$A:$B,2,0)),"")</f>
        <v/>
      </c>
      <c r="D1834" t="str">
        <f>IFERROR(IF(B1834="","",VLOOKUP(B1834,CadProd!$A:$C,3,0)),"")</f>
        <v/>
      </c>
      <c r="G1834" s="1" t="str">
        <f t="shared" si="28"/>
        <v/>
      </c>
    </row>
    <row r="1835" spans="3:7" x14ac:dyDescent="0.3">
      <c r="C1835" t="str">
        <f>IFERROR(IF(B1835="","",VLOOKUP(B1835,CadProd!$A:$B,2,0)),"")</f>
        <v/>
      </c>
      <c r="D1835" t="str">
        <f>IFERROR(IF(B1835="","",VLOOKUP(B1835,CadProd!$A:$C,3,0)),"")</f>
        <v/>
      </c>
      <c r="G1835" s="1" t="str">
        <f t="shared" si="28"/>
        <v/>
      </c>
    </row>
    <row r="1836" spans="3:7" x14ac:dyDescent="0.3">
      <c r="C1836" t="str">
        <f>IFERROR(IF(B1836="","",VLOOKUP(B1836,CadProd!$A:$B,2,0)),"")</f>
        <v/>
      </c>
      <c r="D1836" t="str">
        <f>IFERROR(IF(B1836="","",VLOOKUP(B1836,CadProd!$A:$C,3,0)),"")</f>
        <v/>
      </c>
      <c r="G1836" s="1" t="str">
        <f t="shared" si="28"/>
        <v/>
      </c>
    </row>
    <row r="1837" spans="3:7" x14ac:dyDescent="0.3">
      <c r="C1837" t="str">
        <f>IFERROR(IF(B1837="","",VLOOKUP(B1837,CadProd!$A:$B,2,0)),"")</f>
        <v/>
      </c>
      <c r="D1837" t="str">
        <f>IFERROR(IF(B1837="","",VLOOKUP(B1837,CadProd!$A:$C,3,0)),"")</f>
        <v/>
      </c>
      <c r="G1837" s="1" t="str">
        <f t="shared" si="28"/>
        <v/>
      </c>
    </row>
    <row r="1838" spans="3:7" x14ac:dyDescent="0.3">
      <c r="C1838" t="str">
        <f>IFERROR(IF(B1838="","",VLOOKUP(B1838,CadProd!$A:$B,2,0)),"")</f>
        <v/>
      </c>
      <c r="D1838" t="str">
        <f>IFERROR(IF(B1838="","",VLOOKUP(B1838,CadProd!$A:$C,3,0)),"")</f>
        <v/>
      </c>
      <c r="G1838" s="1" t="str">
        <f t="shared" si="28"/>
        <v/>
      </c>
    </row>
    <row r="1839" spans="3:7" x14ac:dyDescent="0.3">
      <c r="C1839" t="str">
        <f>IFERROR(IF(B1839="","",VLOOKUP(B1839,CadProd!$A:$B,2,0)),"")</f>
        <v/>
      </c>
      <c r="D1839" t="str">
        <f>IFERROR(IF(B1839="","",VLOOKUP(B1839,CadProd!$A:$C,3,0)),"")</f>
        <v/>
      </c>
      <c r="G1839" s="1" t="str">
        <f t="shared" si="28"/>
        <v/>
      </c>
    </row>
    <row r="1840" spans="3:7" x14ac:dyDescent="0.3">
      <c r="C1840" t="str">
        <f>IFERROR(IF(B1840="","",VLOOKUP(B1840,CadProd!$A:$B,2,0)),"")</f>
        <v/>
      </c>
      <c r="D1840" t="str">
        <f>IFERROR(IF(B1840="","",VLOOKUP(B1840,CadProd!$A:$C,3,0)),"")</f>
        <v/>
      </c>
      <c r="G1840" s="1" t="str">
        <f t="shared" si="28"/>
        <v/>
      </c>
    </row>
    <row r="1841" spans="3:7" x14ac:dyDescent="0.3">
      <c r="C1841" t="str">
        <f>IFERROR(IF(B1841="","",VLOOKUP(B1841,CadProd!$A:$B,2,0)),"")</f>
        <v/>
      </c>
      <c r="D1841" t="str">
        <f>IFERROR(IF(B1841="","",VLOOKUP(B1841,CadProd!$A:$C,3,0)),"")</f>
        <v/>
      </c>
      <c r="G1841" s="1" t="str">
        <f t="shared" si="28"/>
        <v/>
      </c>
    </row>
    <row r="1842" spans="3:7" x14ac:dyDescent="0.3">
      <c r="C1842" t="str">
        <f>IFERROR(IF(B1842="","",VLOOKUP(B1842,CadProd!$A:$B,2,0)),"")</f>
        <v/>
      </c>
      <c r="D1842" t="str">
        <f>IFERROR(IF(B1842="","",VLOOKUP(B1842,CadProd!$A:$C,3,0)),"")</f>
        <v/>
      </c>
      <c r="G1842" s="1" t="str">
        <f t="shared" si="28"/>
        <v/>
      </c>
    </row>
    <row r="1843" spans="3:7" x14ac:dyDescent="0.3">
      <c r="C1843" t="str">
        <f>IFERROR(IF(B1843="","",VLOOKUP(B1843,CadProd!$A:$B,2,0)),"")</f>
        <v/>
      </c>
      <c r="D1843" t="str">
        <f>IFERROR(IF(B1843="","",VLOOKUP(B1843,CadProd!$A:$C,3,0)),"")</f>
        <v/>
      </c>
      <c r="G1843" s="1" t="str">
        <f t="shared" si="28"/>
        <v/>
      </c>
    </row>
    <row r="1844" spans="3:7" x14ac:dyDescent="0.3">
      <c r="C1844" t="str">
        <f>IFERROR(IF(B1844="","",VLOOKUP(B1844,CadProd!$A:$B,2,0)),"")</f>
        <v/>
      </c>
      <c r="D1844" t="str">
        <f>IFERROR(IF(B1844="","",VLOOKUP(B1844,CadProd!$A:$C,3,0)),"")</f>
        <v/>
      </c>
      <c r="G1844" s="1" t="str">
        <f t="shared" si="28"/>
        <v/>
      </c>
    </row>
    <row r="1845" spans="3:7" x14ac:dyDescent="0.3">
      <c r="C1845" t="str">
        <f>IFERROR(IF(B1845="","",VLOOKUP(B1845,CadProd!$A:$B,2,0)),"")</f>
        <v/>
      </c>
      <c r="D1845" t="str">
        <f>IFERROR(IF(B1845="","",VLOOKUP(B1845,CadProd!$A:$C,3,0)),"")</f>
        <v/>
      </c>
      <c r="G1845" s="1" t="str">
        <f t="shared" si="28"/>
        <v/>
      </c>
    </row>
    <row r="1846" spans="3:7" x14ac:dyDescent="0.3">
      <c r="C1846" t="str">
        <f>IFERROR(IF(B1846="","",VLOOKUP(B1846,CadProd!$A:$B,2,0)),"")</f>
        <v/>
      </c>
      <c r="D1846" t="str">
        <f>IFERROR(IF(B1846="","",VLOOKUP(B1846,CadProd!$A:$C,3,0)),"")</f>
        <v/>
      </c>
      <c r="G1846" s="1" t="str">
        <f t="shared" si="28"/>
        <v/>
      </c>
    </row>
    <row r="1847" spans="3:7" x14ac:dyDescent="0.3">
      <c r="C1847" t="str">
        <f>IFERROR(IF(B1847="","",VLOOKUP(B1847,CadProd!$A:$B,2,0)),"")</f>
        <v/>
      </c>
      <c r="D1847" t="str">
        <f>IFERROR(IF(B1847="","",VLOOKUP(B1847,CadProd!$A:$C,3,0)),"")</f>
        <v/>
      </c>
      <c r="G1847" s="1" t="str">
        <f t="shared" si="28"/>
        <v/>
      </c>
    </row>
    <row r="1848" spans="3:7" x14ac:dyDescent="0.3">
      <c r="C1848" t="str">
        <f>IFERROR(IF(B1848="","",VLOOKUP(B1848,CadProd!$A:$B,2,0)),"")</f>
        <v/>
      </c>
      <c r="D1848" t="str">
        <f>IFERROR(IF(B1848="","",VLOOKUP(B1848,CadProd!$A:$C,3,0)),"")</f>
        <v/>
      </c>
      <c r="G1848" s="1" t="str">
        <f t="shared" si="28"/>
        <v/>
      </c>
    </row>
    <row r="1849" spans="3:7" x14ac:dyDescent="0.3">
      <c r="C1849" t="str">
        <f>IFERROR(IF(B1849="","",VLOOKUP(B1849,CadProd!$A:$B,2,0)),"")</f>
        <v/>
      </c>
      <c r="D1849" t="str">
        <f>IFERROR(IF(B1849="","",VLOOKUP(B1849,CadProd!$A:$C,3,0)),"")</f>
        <v/>
      </c>
      <c r="G1849" s="1" t="str">
        <f t="shared" si="28"/>
        <v/>
      </c>
    </row>
    <row r="1850" spans="3:7" x14ac:dyDescent="0.3">
      <c r="C1850" t="str">
        <f>IFERROR(IF(B1850="","",VLOOKUP(B1850,CadProd!$A:$B,2,0)),"")</f>
        <v/>
      </c>
      <c r="D1850" t="str">
        <f>IFERROR(IF(B1850="","",VLOOKUP(B1850,CadProd!$A:$C,3,0)),"")</f>
        <v/>
      </c>
      <c r="G1850" s="1" t="str">
        <f t="shared" si="28"/>
        <v/>
      </c>
    </row>
    <row r="1851" spans="3:7" x14ac:dyDescent="0.3">
      <c r="C1851" t="str">
        <f>IFERROR(IF(B1851="","",VLOOKUP(B1851,CadProd!$A:$B,2,0)),"")</f>
        <v/>
      </c>
      <c r="D1851" t="str">
        <f>IFERROR(IF(B1851="","",VLOOKUP(B1851,CadProd!$A:$C,3,0)),"")</f>
        <v/>
      </c>
      <c r="G1851" s="1" t="str">
        <f t="shared" si="28"/>
        <v/>
      </c>
    </row>
    <row r="1852" spans="3:7" x14ac:dyDescent="0.3">
      <c r="C1852" t="str">
        <f>IFERROR(IF(B1852="","",VLOOKUP(B1852,CadProd!$A:$B,2,0)),"")</f>
        <v/>
      </c>
      <c r="D1852" t="str">
        <f>IFERROR(IF(B1852="","",VLOOKUP(B1852,CadProd!$A:$C,3,0)),"")</f>
        <v/>
      </c>
      <c r="G1852" s="1" t="str">
        <f t="shared" si="28"/>
        <v/>
      </c>
    </row>
    <row r="1853" spans="3:7" x14ac:dyDescent="0.3">
      <c r="C1853" t="str">
        <f>IFERROR(IF(B1853="","",VLOOKUP(B1853,CadProd!$A:$B,2,0)),"")</f>
        <v/>
      </c>
      <c r="D1853" t="str">
        <f>IFERROR(IF(B1853="","",VLOOKUP(B1853,CadProd!$A:$C,3,0)),"")</f>
        <v/>
      </c>
      <c r="G1853" s="1" t="str">
        <f t="shared" si="28"/>
        <v/>
      </c>
    </row>
    <row r="1854" spans="3:7" x14ac:dyDescent="0.3">
      <c r="C1854" t="str">
        <f>IFERROR(IF(B1854="","",VLOOKUP(B1854,CadProd!$A:$B,2,0)),"")</f>
        <v/>
      </c>
      <c r="D1854" t="str">
        <f>IFERROR(IF(B1854="","",VLOOKUP(B1854,CadProd!$A:$C,3,0)),"")</f>
        <v/>
      </c>
      <c r="G1854" s="1" t="str">
        <f t="shared" si="28"/>
        <v/>
      </c>
    </row>
    <row r="1855" spans="3:7" x14ac:dyDescent="0.3">
      <c r="C1855" t="str">
        <f>IFERROR(IF(B1855="","",VLOOKUP(B1855,CadProd!$A:$B,2,0)),"")</f>
        <v/>
      </c>
      <c r="D1855" t="str">
        <f>IFERROR(IF(B1855="","",VLOOKUP(B1855,CadProd!$A:$C,3,0)),"")</f>
        <v/>
      </c>
      <c r="G1855" s="1" t="str">
        <f t="shared" si="28"/>
        <v/>
      </c>
    </row>
    <row r="1856" spans="3:7" x14ac:dyDescent="0.3">
      <c r="C1856" t="str">
        <f>IFERROR(IF(B1856="","",VLOOKUP(B1856,CadProd!$A:$B,2,0)),"")</f>
        <v/>
      </c>
      <c r="D1856" t="str">
        <f>IFERROR(IF(B1856="","",VLOOKUP(B1856,CadProd!$A:$C,3,0)),"")</f>
        <v/>
      </c>
      <c r="G1856" s="1" t="str">
        <f t="shared" si="28"/>
        <v/>
      </c>
    </row>
    <row r="1857" spans="3:7" x14ac:dyDescent="0.3">
      <c r="C1857" t="str">
        <f>IFERROR(IF(B1857="","",VLOOKUP(B1857,CadProd!$A:$B,2,0)),"")</f>
        <v/>
      </c>
      <c r="D1857" t="str">
        <f>IFERROR(IF(B1857="","",VLOOKUP(B1857,CadProd!$A:$C,3,0)),"")</f>
        <v/>
      </c>
      <c r="G1857" s="1" t="str">
        <f t="shared" si="28"/>
        <v/>
      </c>
    </row>
    <row r="1858" spans="3:7" x14ac:dyDescent="0.3">
      <c r="C1858" t="str">
        <f>IFERROR(IF(B1858="","",VLOOKUP(B1858,CadProd!$A:$B,2,0)),"")</f>
        <v/>
      </c>
      <c r="D1858" t="str">
        <f>IFERROR(IF(B1858="","",VLOOKUP(B1858,CadProd!$A:$C,3,0)),"")</f>
        <v/>
      </c>
      <c r="G1858" s="1" t="str">
        <f t="shared" si="28"/>
        <v/>
      </c>
    </row>
    <row r="1859" spans="3:7" x14ac:dyDescent="0.3">
      <c r="C1859" t="str">
        <f>IFERROR(IF(B1859="","",VLOOKUP(B1859,CadProd!$A:$B,2,0)),"")</f>
        <v/>
      </c>
      <c r="D1859" t="str">
        <f>IFERROR(IF(B1859="","",VLOOKUP(B1859,CadProd!$A:$C,3,0)),"")</f>
        <v/>
      </c>
      <c r="G1859" s="1" t="str">
        <f t="shared" si="28"/>
        <v/>
      </c>
    </row>
    <row r="1860" spans="3:7" x14ac:dyDescent="0.3">
      <c r="C1860" t="str">
        <f>IFERROR(IF(B1860="","",VLOOKUP(B1860,CadProd!$A:$B,2,0)),"")</f>
        <v/>
      </c>
      <c r="D1860" t="str">
        <f>IFERROR(IF(B1860="","",VLOOKUP(B1860,CadProd!$A:$C,3,0)),"")</f>
        <v/>
      </c>
      <c r="G1860" s="1" t="str">
        <f t="shared" si="28"/>
        <v/>
      </c>
    </row>
    <row r="1861" spans="3:7" x14ac:dyDescent="0.3">
      <c r="C1861" t="str">
        <f>IFERROR(IF(B1861="","",VLOOKUP(B1861,CadProd!$A:$B,2,0)),"")</f>
        <v/>
      </c>
      <c r="D1861" t="str">
        <f>IFERROR(IF(B1861="","",VLOOKUP(B1861,CadProd!$A:$C,3,0)),"")</f>
        <v/>
      </c>
      <c r="G1861" s="1" t="str">
        <f t="shared" si="28"/>
        <v/>
      </c>
    </row>
    <row r="1862" spans="3:7" x14ac:dyDescent="0.3">
      <c r="C1862" t="str">
        <f>IFERROR(IF(B1862="","",VLOOKUP(B1862,CadProd!$A:$B,2,0)),"")</f>
        <v/>
      </c>
      <c r="D1862" t="str">
        <f>IFERROR(IF(B1862="","",VLOOKUP(B1862,CadProd!$A:$C,3,0)),"")</f>
        <v/>
      </c>
      <c r="G1862" s="1" t="str">
        <f t="shared" si="28"/>
        <v/>
      </c>
    </row>
    <row r="1863" spans="3:7" x14ac:dyDescent="0.3">
      <c r="C1863" t="str">
        <f>IFERROR(IF(B1863="","",VLOOKUP(B1863,CadProd!$A:$B,2,0)),"")</f>
        <v/>
      </c>
      <c r="D1863" t="str">
        <f>IFERROR(IF(B1863="","",VLOOKUP(B1863,CadProd!$A:$C,3,0)),"")</f>
        <v/>
      </c>
      <c r="G1863" s="1" t="str">
        <f t="shared" si="28"/>
        <v/>
      </c>
    </row>
    <row r="1864" spans="3:7" x14ac:dyDescent="0.3">
      <c r="C1864" t="str">
        <f>IFERROR(IF(B1864="","",VLOOKUP(B1864,CadProd!$A:$B,2,0)),"")</f>
        <v/>
      </c>
      <c r="D1864" t="str">
        <f>IFERROR(IF(B1864="","",VLOOKUP(B1864,CadProd!$A:$C,3,0)),"")</f>
        <v/>
      </c>
      <c r="G1864" s="1" t="str">
        <f t="shared" si="28"/>
        <v/>
      </c>
    </row>
    <row r="1865" spans="3:7" x14ac:dyDescent="0.3">
      <c r="C1865" t="str">
        <f>IFERROR(IF(B1865="","",VLOOKUP(B1865,CadProd!$A:$B,2,0)),"")</f>
        <v/>
      </c>
      <c r="D1865" t="str">
        <f>IFERROR(IF(B1865="","",VLOOKUP(B1865,CadProd!$A:$C,3,0)),"")</f>
        <v/>
      </c>
      <c r="G1865" s="1" t="str">
        <f t="shared" si="28"/>
        <v/>
      </c>
    </row>
    <row r="1866" spans="3:7" x14ac:dyDescent="0.3">
      <c r="C1866" t="str">
        <f>IFERROR(IF(B1866="","",VLOOKUP(B1866,CadProd!$A:$B,2,0)),"")</f>
        <v/>
      </c>
      <c r="D1866" t="str">
        <f>IFERROR(IF(B1866="","",VLOOKUP(B1866,CadProd!$A:$C,3,0)),"")</f>
        <v/>
      </c>
      <c r="G1866" s="1" t="str">
        <f t="shared" si="28"/>
        <v/>
      </c>
    </row>
    <row r="1867" spans="3:7" x14ac:dyDescent="0.3">
      <c r="C1867" t="str">
        <f>IFERROR(IF(B1867="","",VLOOKUP(B1867,CadProd!$A:$B,2,0)),"")</f>
        <v/>
      </c>
      <c r="D1867" t="str">
        <f>IFERROR(IF(B1867="","",VLOOKUP(B1867,CadProd!$A:$C,3,0)),"")</f>
        <v/>
      </c>
      <c r="G1867" s="1" t="str">
        <f t="shared" ref="G1867:G1930" si="29">IFERROR(IF(B1867="","",F1867*E1867),"")</f>
        <v/>
      </c>
    </row>
    <row r="1868" spans="3:7" x14ac:dyDescent="0.3">
      <c r="C1868" t="str">
        <f>IFERROR(IF(B1868="","",VLOOKUP(B1868,CadProd!$A:$B,2,0)),"")</f>
        <v/>
      </c>
      <c r="D1868" t="str">
        <f>IFERROR(IF(B1868="","",VLOOKUP(B1868,CadProd!$A:$C,3,0)),"")</f>
        <v/>
      </c>
      <c r="G1868" s="1" t="str">
        <f t="shared" si="29"/>
        <v/>
      </c>
    </row>
    <row r="1869" spans="3:7" x14ac:dyDescent="0.3">
      <c r="C1869" t="str">
        <f>IFERROR(IF(B1869="","",VLOOKUP(B1869,CadProd!$A:$B,2,0)),"")</f>
        <v/>
      </c>
      <c r="D1869" t="str">
        <f>IFERROR(IF(B1869="","",VLOOKUP(B1869,CadProd!$A:$C,3,0)),"")</f>
        <v/>
      </c>
      <c r="G1869" s="1" t="str">
        <f t="shared" si="29"/>
        <v/>
      </c>
    </row>
    <row r="1870" spans="3:7" x14ac:dyDescent="0.3">
      <c r="C1870" t="str">
        <f>IFERROR(IF(B1870="","",VLOOKUP(B1870,CadProd!$A:$B,2,0)),"")</f>
        <v/>
      </c>
      <c r="D1870" t="str">
        <f>IFERROR(IF(B1870="","",VLOOKUP(B1870,CadProd!$A:$C,3,0)),"")</f>
        <v/>
      </c>
      <c r="G1870" s="1" t="str">
        <f t="shared" si="29"/>
        <v/>
      </c>
    </row>
    <row r="1871" spans="3:7" x14ac:dyDescent="0.3">
      <c r="C1871" t="str">
        <f>IFERROR(IF(B1871="","",VLOOKUP(B1871,CadProd!$A:$B,2,0)),"")</f>
        <v/>
      </c>
      <c r="D1871" t="str">
        <f>IFERROR(IF(B1871="","",VLOOKUP(B1871,CadProd!$A:$C,3,0)),"")</f>
        <v/>
      </c>
      <c r="G1871" s="1" t="str">
        <f t="shared" si="29"/>
        <v/>
      </c>
    </row>
    <row r="1872" spans="3:7" x14ac:dyDescent="0.3">
      <c r="C1872" t="str">
        <f>IFERROR(IF(B1872="","",VLOOKUP(B1872,CadProd!$A:$B,2,0)),"")</f>
        <v/>
      </c>
      <c r="D1872" t="str">
        <f>IFERROR(IF(B1872="","",VLOOKUP(B1872,CadProd!$A:$C,3,0)),"")</f>
        <v/>
      </c>
      <c r="G1872" s="1" t="str">
        <f t="shared" si="29"/>
        <v/>
      </c>
    </row>
    <row r="1873" spans="3:7" x14ac:dyDescent="0.3">
      <c r="C1873" t="str">
        <f>IFERROR(IF(B1873="","",VLOOKUP(B1873,CadProd!$A:$B,2,0)),"")</f>
        <v/>
      </c>
      <c r="D1873" t="str">
        <f>IFERROR(IF(B1873="","",VLOOKUP(B1873,CadProd!$A:$C,3,0)),"")</f>
        <v/>
      </c>
      <c r="G1873" s="1" t="str">
        <f t="shared" si="29"/>
        <v/>
      </c>
    </row>
    <row r="1874" spans="3:7" x14ac:dyDescent="0.3">
      <c r="C1874" t="str">
        <f>IFERROR(IF(B1874="","",VLOOKUP(B1874,CadProd!$A:$B,2,0)),"")</f>
        <v/>
      </c>
      <c r="D1874" t="str">
        <f>IFERROR(IF(B1874="","",VLOOKUP(B1874,CadProd!$A:$C,3,0)),"")</f>
        <v/>
      </c>
      <c r="G1874" s="1" t="str">
        <f t="shared" si="29"/>
        <v/>
      </c>
    </row>
    <row r="1875" spans="3:7" x14ac:dyDescent="0.3">
      <c r="C1875" t="str">
        <f>IFERROR(IF(B1875="","",VLOOKUP(B1875,CadProd!$A:$B,2,0)),"")</f>
        <v/>
      </c>
      <c r="D1875" t="str">
        <f>IFERROR(IF(B1875="","",VLOOKUP(B1875,CadProd!$A:$C,3,0)),"")</f>
        <v/>
      </c>
      <c r="G1875" s="1" t="str">
        <f t="shared" si="29"/>
        <v/>
      </c>
    </row>
    <row r="1876" spans="3:7" x14ac:dyDescent="0.3">
      <c r="C1876" t="str">
        <f>IFERROR(IF(B1876="","",VLOOKUP(B1876,CadProd!$A:$B,2,0)),"")</f>
        <v/>
      </c>
      <c r="D1876" t="str">
        <f>IFERROR(IF(B1876="","",VLOOKUP(B1876,CadProd!$A:$C,3,0)),"")</f>
        <v/>
      </c>
      <c r="G1876" s="1" t="str">
        <f t="shared" si="29"/>
        <v/>
      </c>
    </row>
    <row r="1877" spans="3:7" x14ac:dyDescent="0.3">
      <c r="C1877" t="str">
        <f>IFERROR(IF(B1877="","",VLOOKUP(B1877,CadProd!$A:$B,2,0)),"")</f>
        <v/>
      </c>
      <c r="D1877" t="str">
        <f>IFERROR(IF(B1877="","",VLOOKUP(B1877,CadProd!$A:$C,3,0)),"")</f>
        <v/>
      </c>
      <c r="G1877" s="1" t="str">
        <f t="shared" si="29"/>
        <v/>
      </c>
    </row>
    <row r="1878" spans="3:7" x14ac:dyDescent="0.3">
      <c r="C1878" t="str">
        <f>IFERROR(IF(B1878="","",VLOOKUP(B1878,CadProd!$A:$B,2,0)),"")</f>
        <v/>
      </c>
      <c r="D1878" t="str">
        <f>IFERROR(IF(B1878="","",VLOOKUP(B1878,CadProd!$A:$C,3,0)),"")</f>
        <v/>
      </c>
      <c r="G1878" s="1" t="str">
        <f t="shared" si="29"/>
        <v/>
      </c>
    </row>
    <row r="1879" spans="3:7" x14ac:dyDescent="0.3">
      <c r="C1879" t="str">
        <f>IFERROR(IF(B1879="","",VLOOKUP(B1879,CadProd!$A:$B,2,0)),"")</f>
        <v/>
      </c>
      <c r="D1879" t="str">
        <f>IFERROR(IF(B1879="","",VLOOKUP(B1879,CadProd!$A:$C,3,0)),"")</f>
        <v/>
      </c>
      <c r="G1879" s="1" t="str">
        <f t="shared" si="29"/>
        <v/>
      </c>
    </row>
    <row r="1880" spans="3:7" x14ac:dyDescent="0.3">
      <c r="C1880" t="str">
        <f>IFERROR(IF(B1880="","",VLOOKUP(B1880,CadProd!$A:$B,2,0)),"")</f>
        <v/>
      </c>
      <c r="D1880" t="str">
        <f>IFERROR(IF(B1880="","",VLOOKUP(B1880,CadProd!$A:$C,3,0)),"")</f>
        <v/>
      </c>
      <c r="G1880" s="1" t="str">
        <f t="shared" si="29"/>
        <v/>
      </c>
    </row>
    <row r="1881" spans="3:7" x14ac:dyDescent="0.3">
      <c r="C1881" t="str">
        <f>IFERROR(IF(B1881="","",VLOOKUP(B1881,CadProd!$A:$B,2,0)),"")</f>
        <v/>
      </c>
      <c r="D1881" t="str">
        <f>IFERROR(IF(B1881="","",VLOOKUP(B1881,CadProd!$A:$C,3,0)),"")</f>
        <v/>
      </c>
      <c r="G1881" s="1" t="str">
        <f t="shared" si="29"/>
        <v/>
      </c>
    </row>
    <row r="1882" spans="3:7" x14ac:dyDescent="0.3">
      <c r="C1882" t="str">
        <f>IFERROR(IF(B1882="","",VLOOKUP(B1882,CadProd!$A:$B,2,0)),"")</f>
        <v/>
      </c>
      <c r="D1882" t="str">
        <f>IFERROR(IF(B1882="","",VLOOKUP(B1882,CadProd!$A:$C,3,0)),"")</f>
        <v/>
      </c>
      <c r="G1882" s="1" t="str">
        <f t="shared" si="29"/>
        <v/>
      </c>
    </row>
    <row r="1883" spans="3:7" x14ac:dyDescent="0.3">
      <c r="C1883" t="str">
        <f>IFERROR(IF(B1883="","",VLOOKUP(B1883,CadProd!$A:$B,2,0)),"")</f>
        <v/>
      </c>
      <c r="D1883" t="str">
        <f>IFERROR(IF(B1883="","",VLOOKUP(B1883,CadProd!$A:$C,3,0)),"")</f>
        <v/>
      </c>
      <c r="G1883" s="1" t="str">
        <f t="shared" si="29"/>
        <v/>
      </c>
    </row>
    <row r="1884" spans="3:7" x14ac:dyDescent="0.3">
      <c r="C1884" t="str">
        <f>IFERROR(IF(B1884="","",VLOOKUP(B1884,CadProd!$A:$B,2,0)),"")</f>
        <v/>
      </c>
      <c r="D1884" t="str">
        <f>IFERROR(IF(B1884="","",VLOOKUP(B1884,CadProd!$A:$C,3,0)),"")</f>
        <v/>
      </c>
      <c r="G1884" s="1" t="str">
        <f t="shared" si="29"/>
        <v/>
      </c>
    </row>
    <row r="1885" spans="3:7" x14ac:dyDescent="0.3">
      <c r="C1885" t="str">
        <f>IFERROR(IF(B1885="","",VLOOKUP(B1885,CadProd!$A:$B,2,0)),"")</f>
        <v/>
      </c>
      <c r="D1885" t="str">
        <f>IFERROR(IF(B1885="","",VLOOKUP(B1885,CadProd!$A:$C,3,0)),"")</f>
        <v/>
      </c>
      <c r="G1885" s="1" t="str">
        <f t="shared" si="29"/>
        <v/>
      </c>
    </row>
    <row r="1886" spans="3:7" x14ac:dyDescent="0.3">
      <c r="C1886" t="str">
        <f>IFERROR(IF(B1886="","",VLOOKUP(B1886,CadProd!$A:$B,2,0)),"")</f>
        <v/>
      </c>
      <c r="D1886" t="str">
        <f>IFERROR(IF(B1886="","",VLOOKUP(B1886,CadProd!$A:$C,3,0)),"")</f>
        <v/>
      </c>
      <c r="G1886" s="1" t="str">
        <f t="shared" si="29"/>
        <v/>
      </c>
    </row>
    <row r="1887" spans="3:7" x14ac:dyDescent="0.3">
      <c r="C1887" t="str">
        <f>IFERROR(IF(B1887="","",VLOOKUP(B1887,CadProd!$A:$B,2,0)),"")</f>
        <v/>
      </c>
      <c r="D1887" t="str">
        <f>IFERROR(IF(B1887="","",VLOOKUP(B1887,CadProd!$A:$C,3,0)),"")</f>
        <v/>
      </c>
      <c r="G1887" s="1" t="str">
        <f t="shared" si="29"/>
        <v/>
      </c>
    </row>
    <row r="1888" spans="3:7" x14ac:dyDescent="0.3">
      <c r="C1888" t="str">
        <f>IFERROR(IF(B1888="","",VLOOKUP(B1888,CadProd!$A:$B,2,0)),"")</f>
        <v/>
      </c>
      <c r="D1888" t="str">
        <f>IFERROR(IF(B1888="","",VLOOKUP(B1888,CadProd!$A:$C,3,0)),"")</f>
        <v/>
      </c>
      <c r="G1888" s="1" t="str">
        <f t="shared" si="29"/>
        <v/>
      </c>
    </row>
    <row r="1889" spans="3:7" x14ac:dyDescent="0.3">
      <c r="C1889" t="str">
        <f>IFERROR(IF(B1889="","",VLOOKUP(B1889,CadProd!$A:$B,2,0)),"")</f>
        <v/>
      </c>
      <c r="D1889" t="str">
        <f>IFERROR(IF(B1889="","",VLOOKUP(B1889,CadProd!$A:$C,3,0)),"")</f>
        <v/>
      </c>
      <c r="G1889" s="1" t="str">
        <f t="shared" si="29"/>
        <v/>
      </c>
    </row>
    <row r="1890" spans="3:7" x14ac:dyDescent="0.3">
      <c r="C1890" t="str">
        <f>IFERROR(IF(B1890="","",VLOOKUP(B1890,CadProd!$A:$B,2,0)),"")</f>
        <v/>
      </c>
      <c r="D1890" t="str">
        <f>IFERROR(IF(B1890="","",VLOOKUP(B1890,CadProd!$A:$C,3,0)),"")</f>
        <v/>
      </c>
      <c r="G1890" s="1" t="str">
        <f t="shared" si="29"/>
        <v/>
      </c>
    </row>
    <row r="1891" spans="3:7" x14ac:dyDescent="0.3">
      <c r="C1891" t="str">
        <f>IFERROR(IF(B1891="","",VLOOKUP(B1891,CadProd!$A:$B,2,0)),"")</f>
        <v/>
      </c>
      <c r="D1891" t="str">
        <f>IFERROR(IF(B1891="","",VLOOKUP(B1891,CadProd!$A:$C,3,0)),"")</f>
        <v/>
      </c>
      <c r="G1891" s="1" t="str">
        <f t="shared" si="29"/>
        <v/>
      </c>
    </row>
    <row r="1892" spans="3:7" x14ac:dyDescent="0.3">
      <c r="C1892" t="str">
        <f>IFERROR(IF(B1892="","",VLOOKUP(B1892,CadProd!$A:$B,2,0)),"")</f>
        <v/>
      </c>
      <c r="D1892" t="str">
        <f>IFERROR(IF(B1892="","",VLOOKUP(B1892,CadProd!$A:$C,3,0)),"")</f>
        <v/>
      </c>
      <c r="G1892" s="1" t="str">
        <f t="shared" si="29"/>
        <v/>
      </c>
    </row>
    <row r="1893" spans="3:7" x14ac:dyDescent="0.3">
      <c r="C1893" t="str">
        <f>IFERROR(IF(B1893="","",VLOOKUP(B1893,CadProd!$A:$B,2,0)),"")</f>
        <v/>
      </c>
      <c r="D1893" t="str">
        <f>IFERROR(IF(B1893="","",VLOOKUP(B1893,CadProd!$A:$C,3,0)),"")</f>
        <v/>
      </c>
      <c r="G1893" s="1" t="str">
        <f t="shared" si="29"/>
        <v/>
      </c>
    </row>
    <row r="1894" spans="3:7" x14ac:dyDescent="0.3">
      <c r="C1894" t="str">
        <f>IFERROR(IF(B1894="","",VLOOKUP(B1894,CadProd!$A:$B,2,0)),"")</f>
        <v/>
      </c>
      <c r="D1894" t="str">
        <f>IFERROR(IF(B1894="","",VLOOKUP(B1894,CadProd!$A:$C,3,0)),"")</f>
        <v/>
      </c>
      <c r="G1894" s="1" t="str">
        <f t="shared" si="29"/>
        <v/>
      </c>
    </row>
    <row r="1895" spans="3:7" x14ac:dyDescent="0.3">
      <c r="C1895" t="str">
        <f>IFERROR(IF(B1895="","",VLOOKUP(B1895,CadProd!$A:$B,2,0)),"")</f>
        <v/>
      </c>
      <c r="D1895" t="str">
        <f>IFERROR(IF(B1895="","",VLOOKUP(B1895,CadProd!$A:$C,3,0)),"")</f>
        <v/>
      </c>
      <c r="G1895" s="1" t="str">
        <f t="shared" si="29"/>
        <v/>
      </c>
    </row>
    <row r="1896" spans="3:7" x14ac:dyDescent="0.3">
      <c r="C1896" t="str">
        <f>IFERROR(IF(B1896="","",VLOOKUP(B1896,CadProd!$A:$B,2,0)),"")</f>
        <v/>
      </c>
      <c r="D1896" t="str">
        <f>IFERROR(IF(B1896="","",VLOOKUP(B1896,CadProd!$A:$C,3,0)),"")</f>
        <v/>
      </c>
      <c r="G1896" s="1" t="str">
        <f t="shared" si="29"/>
        <v/>
      </c>
    </row>
    <row r="1897" spans="3:7" x14ac:dyDescent="0.3">
      <c r="C1897" t="str">
        <f>IFERROR(IF(B1897="","",VLOOKUP(B1897,CadProd!$A:$B,2,0)),"")</f>
        <v/>
      </c>
      <c r="D1897" t="str">
        <f>IFERROR(IF(B1897="","",VLOOKUP(B1897,CadProd!$A:$C,3,0)),"")</f>
        <v/>
      </c>
      <c r="G1897" s="1" t="str">
        <f t="shared" si="29"/>
        <v/>
      </c>
    </row>
    <row r="1898" spans="3:7" x14ac:dyDescent="0.3">
      <c r="C1898" t="str">
        <f>IFERROR(IF(B1898="","",VLOOKUP(B1898,CadProd!$A:$B,2,0)),"")</f>
        <v/>
      </c>
      <c r="D1898" t="str">
        <f>IFERROR(IF(B1898="","",VLOOKUP(B1898,CadProd!$A:$C,3,0)),"")</f>
        <v/>
      </c>
      <c r="G1898" s="1" t="str">
        <f t="shared" si="29"/>
        <v/>
      </c>
    </row>
    <row r="1899" spans="3:7" x14ac:dyDescent="0.3">
      <c r="C1899" t="str">
        <f>IFERROR(IF(B1899="","",VLOOKUP(B1899,CadProd!$A:$B,2,0)),"")</f>
        <v/>
      </c>
      <c r="D1899" t="str">
        <f>IFERROR(IF(B1899="","",VLOOKUP(B1899,CadProd!$A:$C,3,0)),"")</f>
        <v/>
      </c>
      <c r="G1899" s="1" t="str">
        <f t="shared" si="29"/>
        <v/>
      </c>
    </row>
    <row r="1900" spans="3:7" x14ac:dyDescent="0.3">
      <c r="C1900" t="str">
        <f>IFERROR(IF(B1900="","",VLOOKUP(B1900,CadProd!$A:$B,2,0)),"")</f>
        <v/>
      </c>
      <c r="D1900" t="str">
        <f>IFERROR(IF(B1900="","",VLOOKUP(B1900,CadProd!$A:$C,3,0)),"")</f>
        <v/>
      </c>
      <c r="G1900" s="1" t="str">
        <f t="shared" si="29"/>
        <v/>
      </c>
    </row>
    <row r="1901" spans="3:7" x14ac:dyDescent="0.3">
      <c r="C1901" t="str">
        <f>IFERROR(IF(B1901="","",VLOOKUP(B1901,CadProd!$A:$B,2,0)),"")</f>
        <v/>
      </c>
      <c r="D1901" t="str">
        <f>IFERROR(IF(B1901="","",VLOOKUP(B1901,CadProd!$A:$C,3,0)),"")</f>
        <v/>
      </c>
      <c r="G1901" s="1" t="str">
        <f t="shared" si="29"/>
        <v/>
      </c>
    </row>
    <row r="1902" spans="3:7" x14ac:dyDescent="0.3">
      <c r="C1902" t="str">
        <f>IFERROR(IF(B1902="","",VLOOKUP(B1902,CadProd!$A:$B,2,0)),"")</f>
        <v/>
      </c>
      <c r="D1902" t="str">
        <f>IFERROR(IF(B1902="","",VLOOKUP(B1902,CadProd!$A:$C,3,0)),"")</f>
        <v/>
      </c>
      <c r="G1902" s="1" t="str">
        <f t="shared" si="29"/>
        <v/>
      </c>
    </row>
    <row r="1903" spans="3:7" x14ac:dyDescent="0.3">
      <c r="C1903" t="str">
        <f>IFERROR(IF(B1903="","",VLOOKUP(B1903,CadProd!$A:$B,2,0)),"")</f>
        <v/>
      </c>
      <c r="D1903" t="str">
        <f>IFERROR(IF(B1903="","",VLOOKUP(B1903,CadProd!$A:$C,3,0)),"")</f>
        <v/>
      </c>
      <c r="G1903" s="1" t="str">
        <f t="shared" si="29"/>
        <v/>
      </c>
    </row>
    <row r="1904" spans="3:7" x14ac:dyDescent="0.3">
      <c r="C1904" t="str">
        <f>IFERROR(IF(B1904="","",VLOOKUP(B1904,CadProd!$A:$B,2,0)),"")</f>
        <v/>
      </c>
      <c r="D1904" t="str">
        <f>IFERROR(IF(B1904="","",VLOOKUP(B1904,CadProd!$A:$C,3,0)),"")</f>
        <v/>
      </c>
      <c r="G1904" s="1" t="str">
        <f t="shared" si="29"/>
        <v/>
      </c>
    </row>
    <row r="1905" spans="3:7" x14ac:dyDescent="0.3">
      <c r="C1905" t="str">
        <f>IFERROR(IF(B1905="","",VLOOKUP(B1905,CadProd!$A:$B,2,0)),"")</f>
        <v/>
      </c>
      <c r="D1905" t="str">
        <f>IFERROR(IF(B1905="","",VLOOKUP(B1905,CadProd!$A:$C,3,0)),"")</f>
        <v/>
      </c>
      <c r="G1905" s="1" t="str">
        <f t="shared" si="29"/>
        <v/>
      </c>
    </row>
    <row r="1906" spans="3:7" x14ac:dyDescent="0.3">
      <c r="C1906" t="str">
        <f>IFERROR(IF(B1906="","",VLOOKUP(B1906,CadProd!$A:$B,2,0)),"")</f>
        <v/>
      </c>
      <c r="D1906" t="str">
        <f>IFERROR(IF(B1906="","",VLOOKUP(B1906,CadProd!$A:$C,3,0)),"")</f>
        <v/>
      </c>
      <c r="G1906" s="1" t="str">
        <f t="shared" si="29"/>
        <v/>
      </c>
    </row>
    <row r="1907" spans="3:7" x14ac:dyDescent="0.3">
      <c r="C1907" t="str">
        <f>IFERROR(IF(B1907="","",VLOOKUP(B1907,CadProd!$A:$B,2,0)),"")</f>
        <v/>
      </c>
      <c r="D1907" t="str">
        <f>IFERROR(IF(B1907="","",VLOOKUP(B1907,CadProd!$A:$C,3,0)),"")</f>
        <v/>
      </c>
      <c r="G1907" s="1" t="str">
        <f t="shared" si="29"/>
        <v/>
      </c>
    </row>
    <row r="1908" spans="3:7" x14ac:dyDescent="0.3">
      <c r="C1908" t="str">
        <f>IFERROR(IF(B1908="","",VLOOKUP(B1908,CadProd!$A:$B,2,0)),"")</f>
        <v/>
      </c>
      <c r="D1908" t="str">
        <f>IFERROR(IF(B1908="","",VLOOKUP(B1908,CadProd!$A:$C,3,0)),"")</f>
        <v/>
      </c>
      <c r="G1908" s="1" t="str">
        <f t="shared" si="29"/>
        <v/>
      </c>
    </row>
    <row r="1909" spans="3:7" x14ac:dyDescent="0.3">
      <c r="C1909" t="str">
        <f>IFERROR(IF(B1909="","",VLOOKUP(B1909,CadProd!$A:$B,2,0)),"")</f>
        <v/>
      </c>
      <c r="D1909" t="str">
        <f>IFERROR(IF(B1909="","",VLOOKUP(B1909,CadProd!$A:$C,3,0)),"")</f>
        <v/>
      </c>
      <c r="G1909" s="1" t="str">
        <f t="shared" si="29"/>
        <v/>
      </c>
    </row>
    <row r="1910" spans="3:7" x14ac:dyDescent="0.3">
      <c r="C1910" t="str">
        <f>IFERROR(IF(B1910="","",VLOOKUP(B1910,CadProd!$A:$B,2,0)),"")</f>
        <v/>
      </c>
      <c r="D1910" t="str">
        <f>IFERROR(IF(B1910="","",VLOOKUP(B1910,CadProd!$A:$C,3,0)),"")</f>
        <v/>
      </c>
      <c r="G1910" s="1" t="str">
        <f t="shared" si="29"/>
        <v/>
      </c>
    </row>
    <row r="1911" spans="3:7" x14ac:dyDescent="0.3">
      <c r="C1911" t="str">
        <f>IFERROR(IF(B1911="","",VLOOKUP(B1911,CadProd!$A:$B,2,0)),"")</f>
        <v/>
      </c>
      <c r="D1911" t="str">
        <f>IFERROR(IF(B1911="","",VLOOKUP(B1911,CadProd!$A:$C,3,0)),"")</f>
        <v/>
      </c>
      <c r="G1911" s="1" t="str">
        <f t="shared" si="29"/>
        <v/>
      </c>
    </row>
    <row r="1912" spans="3:7" x14ac:dyDescent="0.3">
      <c r="C1912" t="str">
        <f>IFERROR(IF(B1912="","",VLOOKUP(B1912,CadProd!$A:$B,2,0)),"")</f>
        <v/>
      </c>
      <c r="D1912" t="str">
        <f>IFERROR(IF(B1912="","",VLOOKUP(B1912,CadProd!$A:$C,3,0)),"")</f>
        <v/>
      </c>
      <c r="G1912" s="1" t="str">
        <f t="shared" si="29"/>
        <v/>
      </c>
    </row>
    <row r="1913" spans="3:7" x14ac:dyDescent="0.3">
      <c r="C1913" t="str">
        <f>IFERROR(IF(B1913="","",VLOOKUP(B1913,CadProd!$A:$B,2,0)),"")</f>
        <v/>
      </c>
      <c r="D1913" t="str">
        <f>IFERROR(IF(B1913="","",VLOOKUP(B1913,CadProd!$A:$C,3,0)),"")</f>
        <v/>
      </c>
      <c r="G1913" s="1" t="str">
        <f t="shared" si="29"/>
        <v/>
      </c>
    </row>
    <row r="1914" spans="3:7" x14ac:dyDescent="0.3">
      <c r="C1914" t="str">
        <f>IFERROR(IF(B1914="","",VLOOKUP(B1914,CadProd!$A:$B,2,0)),"")</f>
        <v/>
      </c>
      <c r="D1914" t="str">
        <f>IFERROR(IF(B1914="","",VLOOKUP(B1914,CadProd!$A:$C,3,0)),"")</f>
        <v/>
      </c>
      <c r="G1914" s="1" t="str">
        <f t="shared" si="29"/>
        <v/>
      </c>
    </row>
    <row r="1915" spans="3:7" x14ac:dyDescent="0.3">
      <c r="C1915" t="str">
        <f>IFERROR(IF(B1915="","",VLOOKUP(B1915,CadProd!$A:$B,2,0)),"")</f>
        <v/>
      </c>
      <c r="D1915" t="str">
        <f>IFERROR(IF(B1915="","",VLOOKUP(B1915,CadProd!$A:$C,3,0)),"")</f>
        <v/>
      </c>
      <c r="G1915" s="1" t="str">
        <f t="shared" si="29"/>
        <v/>
      </c>
    </row>
    <row r="1916" spans="3:7" x14ac:dyDescent="0.3">
      <c r="C1916" t="str">
        <f>IFERROR(IF(B1916="","",VLOOKUP(B1916,CadProd!$A:$B,2,0)),"")</f>
        <v/>
      </c>
      <c r="D1916" t="str">
        <f>IFERROR(IF(B1916="","",VLOOKUP(B1916,CadProd!$A:$C,3,0)),"")</f>
        <v/>
      </c>
      <c r="G1916" s="1" t="str">
        <f t="shared" si="29"/>
        <v/>
      </c>
    </row>
    <row r="1917" spans="3:7" x14ac:dyDescent="0.3">
      <c r="C1917" t="str">
        <f>IFERROR(IF(B1917="","",VLOOKUP(B1917,CadProd!$A:$B,2,0)),"")</f>
        <v/>
      </c>
      <c r="D1917" t="str">
        <f>IFERROR(IF(B1917="","",VLOOKUP(B1917,CadProd!$A:$C,3,0)),"")</f>
        <v/>
      </c>
      <c r="G1917" s="1" t="str">
        <f t="shared" si="29"/>
        <v/>
      </c>
    </row>
    <row r="1918" spans="3:7" x14ac:dyDescent="0.3">
      <c r="C1918" t="str">
        <f>IFERROR(IF(B1918="","",VLOOKUP(B1918,CadProd!$A:$B,2,0)),"")</f>
        <v/>
      </c>
      <c r="D1918" t="str">
        <f>IFERROR(IF(B1918="","",VLOOKUP(B1918,CadProd!$A:$C,3,0)),"")</f>
        <v/>
      </c>
      <c r="G1918" s="1" t="str">
        <f t="shared" si="29"/>
        <v/>
      </c>
    </row>
    <row r="1919" spans="3:7" x14ac:dyDescent="0.3">
      <c r="C1919" t="str">
        <f>IFERROR(IF(B1919="","",VLOOKUP(B1919,CadProd!$A:$B,2,0)),"")</f>
        <v/>
      </c>
      <c r="D1919" t="str">
        <f>IFERROR(IF(B1919="","",VLOOKUP(B1919,CadProd!$A:$C,3,0)),"")</f>
        <v/>
      </c>
      <c r="G1919" s="1" t="str">
        <f t="shared" si="29"/>
        <v/>
      </c>
    </row>
    <row r="1920" spans="3:7" x14ac:dyDescent="0.3">
      <c r="C1920" t="str">
        <f>IFERROR(IF(B1920="","",VLOOKUP(B1920,CadProd!$A:$B,2,0)),"")</f>
        <v/>
      </c>
      <c r="D1920" t="str">
        <f>IFERROR(IF(B1920="","",VLOOKUP(B1920,CadProd!$A:$C,3,0)),"")</f>
        <v/>
      </c>
      <c r="G1920" s="1" t="str">
        <f t="shared" si="29"/>
        <v/>
      </c>
    </row>
    <row r="1921" spans="3:7" x14ac:dyDescent="0.3">
      <c r="C1921" t="str">
        <f>IFERROR(IF(B1921="","",VLOOKUP(B1921,CadProd!$A:$B,2,0)),"")</f>
        <v/>
      </c>
      <c r="D1921" t="str">
        <f>IFERROR(IF(B1921="","",VLOOKUP(B1921,CadProd!$A:$C,3,0)),"")</f>
        <v/>
      </c>
      <c r="G1921" s="1" t="str">
        <f t="shared" si="29"/>
        <v/>
      </c>
    </row>
    <row r="1922" spans="3:7" x14ac:dyDescent="0.3">
      <c r="C1922" t="str">
        <f>IFERROR(IF(B1922="","",VLOOKUP(B1922,CadProd!$A:$B,2,0)),"")</f>
        <v/>
      </c>
      <c r="D1922" t="str">
        <f>IFERROR(IF(B1922="","",VLOOKUP(B1922,CadProd!$A:$C,3,0)),"")</f>
        <v/>
      </c>
      <c r="G1922" s="1" t="str">
        <f t="shared" si="29"/>
        <v/>
      </c>
    </row>
    <row r="1923" spans="3:7" x14ac:dyDescent="0.3">
      <c r="C1923" t="str">
        <f>IFERROR(IF(B1923="","",VLOOKUP(B1923,CadProd!$A:$B,2,0)),"")</f>
        <v/>
      </c>
      <c r="D1923" t="str">
        <f>IFERROR(IF(B1923="","",VLOOKUP(B1923,CadProd!$A:$C,3,0)),"")</f>
        <v/>
      </c>
      <c r="G1923" s="1" t="str">
        <f t="shared" si="29"/>
        <v/>
      </c>
    </row>
    <row r="1924" spans="3:7" x14ac:dyDescent="0.3">
      <c r="C1924" t="str">
        <f>IFERROR(IF(B1924="","",VLOOKUP(B1924,CadProd!$A:$B,2,0)),"")</f>
        <v/>
      </c>
      <c r="D1924" t="str">
        <f>IFERROR(IF(B1924="","",VLOOKUP(B1924,CadProd!$A:$C,3,0)),"")</f>
        <v/>
      </c>
      <c r="G1924" s="1" t="str">
        <f t="shared" si="29"/>
        <v/>
      </c>
    </row>
    <row r="1925" spans="3:7" x14ac:dyDescent="0.3">
      <c r="C1925" t="str">
        <f>IFERROR(IF(B1925="","",VLOOKUP(B1925,CadProd!$A:$B,2,0)),"")</f>
        <v/>
      </c>
      <c r="D1925" t="str">
        <f>IFERROR(IF(B1925="","",VLOOKUP(B1925,CadProd!$A:$C,3,0)),"")</f>
        <v/>
      </c>
      <c r="G1925" s="1" t="str">
        <f t="shared" si="29"/>
        <v/>
      </c>
    </row>
    <row r="1926" spans="3:7" x14ac:dyDescent="0.3">
      <c r="C1926" t="str">
        <f>IFERROR(IF(B1926="","",VLOOKUP(B1926,CadProd!$A:$B,2,0)),"")</f>
        <v/>
      </c>
      <c r="D1926" t="str">
        <f>IFERROR(IF(B1926="","",VLOOKUP(B1926,CadProd!$A:$C,3,0)),"")</f>
        <v/>
      </c>
      <c r="G1926" s="1" t="str">
        <f t="shared" si="29"/>
        <v/>
      </c>
    </row>
    <row r="1927" spans="3:7" x14ac:dyDescent="0.3">
      <c r="C1927" t="str">
        <f>IFERROR(IF(B1927="","",VLOOKUP(B1927,CadProd!$A:$B,2,0)),"")</f>
        <v/>
      </c>
      <c r="D1927" t="str">
        <f>IFERROR(IF(B1927="","",VLOOKUP(B1927,CadProd!$A:$C,3,0)),"")</f>
        <v/>
      </c>
      <c r="G1927" s="1" t="str">
        <f t="shared" si="29"/>
        <v/>
      </c>
    </row>
    <row r="1928" spans="3:7" x14ac:dyDescent="0.3">
      <c r="C1928" t="str">
        <f>IFERROR(IF(B1928="","",VLOOKUP(B1928,CadProd!$A:$B,2,0)),"")</f>
        <v/>
      </c>
      <c r="D1928" t="str">
        <f>IFERROR(IF(B1928="","",VLOOKUP(B1928,CadProd!$A:$C,3,0)),"")</f>
        <v/>
      </c>
      <c r="G1928" s="1" t="str">
        <f t="shared" si="29"/>
        <v/>
      </c>
    </row>
    <row r="1929" spans="3:7" x14ac:dyDescent="0.3">
      <c r="C1929" t="str">
        <f>IFERROR(IF(B1929="","",VLOOKUP(B1929,CadProd!$A:$B,2,0)),"")</f>
        <v/>
      </c>
      <c r="D1929" t="str">
        <f>IFERROR(IF(B1929="","",VLOOKUP(B1929,CadProd!$A:$C,3,0)),"")</f>
        <v/>
      </c>
      <c r="G1929" s="1" t="str">
        <f t="shared" si="29"/>
        <v/>
      </c>
    </row>
    <row r="1930" spans="3:7" x14ac:dyDescent="0.3">
      <c r="C1930" t="str">
        <f>IFERROR(IF(B1930="","",VLOOKUP(B1930,CadProd!$A:$B,2,0)),"")</f>
        <v/>
      </c>
      <c r="D1930" t="str">
        <f>IFERROR(IF(B1930="","",VLOOKUP(B1930,CadProd!$A:$C,3,0)),"")</f>
        <v/>
      </c>
      <c r="G1930" s="1" t="str">
        <f t="shared" si="29"/>
        <v/>
      </c>
    </row>
    <row r="1931" spans="3:7" x14ac:dyDescent="0.3">
      <c r="C1931" t="str">
        <f>IFERROR(IF(B1931="","",VLOOKUP(B1931,CadProd!$A:$B,2,0)),"")</f>
        <v/>
      </c>
      <c r="D1931" t="str">
        <f>IFERROR(IF(B1931="","",VLOOKUP(B1931,CadProd!$A:$C,3,0)),"")</f>
        <v/>
      </c>
      <c r="G1931" s="1" t="str">
        <f t="shared" ref="G1931:G1994" si="30">IFERROR(IF(B1931="","",F1931*E1931),"")</f>
        <v/>
      </c>
    </row>
    <row r="1932" spans="3:7" x14ac:dyDescent="0.3">
      <c r="C1932" t="str">
        <f>IFERROR(IF(B1932="","",VLOOKUP(B1932,CadProd!$A:$B,2,0)),"")</f>
        <v/>
      </c>
      <c r="D1932" t="str">
        <f>IFERROR(IF(B1932="","",VLOOKUP(B1932,CadProd!$A:$C,3,0)),"")</f>
        <v/>
      </c>
      <c r="G1932" s="1" t="str">
        <f t="shared" si="30"/>
        <v/>
      </c>
    </row>
    <row r="1933" spans="3:7" x14ac:dyDescent="0.3">
      <c r="C1933" t="str">
        <f>IFERROR(IF(B1933="","",VLOOKUP(B1933,CadProd!$A:$B,2,0)),"")</f>
        <v/>
      </c>
      <c r="D1933" t="str">
        <f>IFERROR(IF(B1933="","",VLOOKUP(B1933,CadProd!$A:$C,3,0)),"")</f>
        <v/>
      </c>
      <c r="G1933" s="1" t="str">
        <f t="shared" si="30"/>
        <v/>
      </c>
    </row>
    <row r="1934" spans="3:7" x14ac:dyDescent="0.3">
      <c r="C1934" t="str">
        <f>IFERROR(IF(B1934="","",VLOOKUP(B1934,CadProd!$A:$B,2,0)),"")</f>
        <v/>
      </c>
      <c r="D1934" t="str">
        <f>IFERROR(IF(B1934="","",VLOOKUP(B1934,CadProd!$A:$C,3,0)),"")</f>
        <v/>
      </c>
      <c r="G1934" s="1" t="str">
        <f t="shared" si="30"/>
        <v/>
      </c>
    </row>
    <row r="1935" spans="3:7" x14ac:dyDescent="0.3">
      <c r="C1935" t="str">
        <f>IFERROR(IF(B1935="","",VLOOKUP(B1935,CadProd!$A:$B,2,0)),"")</f>
        <v/>
      </c>
      <c r="D1935" t="str">
        <f>IFERROR(IF(B1935="","",VLOOKUP(B1935,CadProd!$A:$C,3,0)),"")</f>
        <v/>
      </c>
      <c r="G1935" s="1" t="str">
        <f t="shared" si="30"/>
        <v/>
      </c>
    </row>
    <row r="1936" spans="3:7" x14ac:dyDescent="0.3">
      <c r="C1936" t="str">
        <f>IFERROR(IF(B1936="","",VLOOKUP(B1936,CadProd!$A:$B,2,0)),"")</f>
        <v/>
      </c>
      <c r="D1936" t="str">
        <f>IFERROR(IF(B1936="","",VLOOKUP(B1936,CadProd!$A:$C,3,0)),"")</f>
        <v/>
      </c>
      <c r="G1936" s="1" t="str">
        <f t="shared" si="30"/>
        <v/>
      </c>
    </row>
    <row r="1937" spans="3:7" x14ac:dyDescent="0.3">
      <c r="C1937" t="str">
        <f>IFERROR(IF(B1937="","",VLOOKUP(B1937,CadProd!$A:$B,2,0)),"")</f>
        <v/>
      </c>
      <c r="D1937" t="str">
        <f>IFERROR(IF(B1937="","",VLOOKUP(B1937,CadProd!$A:$C,3,0)),"")</f>
        <v/>
      </c>
      <c r="G1937" s="1" t="str">
        <f t="shared" si="30"/>
        <v/>
      </c>
    </row>
    <row r="1938" spans="3:7" x14ac:dyDescent="0.3">
      <c r="C1938" t="str">
        <f>IFERROR(IF(B1938="","",VLOOKUP(B1938,CadProd!$A:$B,2,0)),"")</f>
        <v/>
      </c>
      <c r="D1938" t="str">
        <f>IFERROR(IF(B1938="","",VLOOKUP(B1938,CadProd!$A:$C,3,0)),"")</f>
        <v/>
      </c>
      <c r="G1938" s="1" t="str">
        <f t="shared" si="30"/>
        <v/>
      </c>
    </row>
    <row r="1939" spans="3:7" x14ac:dyDescent="0.3">
      <c r="C1939" t="str">
        <f>IFERROR(IF(B1939="","",VLOOKUP(B1939,CadProd!$A:$B,2,0)),"")</f>
        <v/>
      </c>
      <c r="D1939" t="str">
        <f>IFERROR(IF(B1939="","",VLOOKUP(B1939,CadProd!$A:$C,3,0)),"")</f>
        <v/>
      </c>
      <c r="G1939" s="1" t="str">
        <f t="shared" si="30"/>
        <v/>
      </c>
    </row>
    <row r="1940" spans="3:7" x14ac:dyDescent="0.3">
      <c r="C1940" t="str">
        <f>IFERROR(IF(B1940="","",VLOOKUP(B1940,CadProd!$A:$B,2,0)),"")</f>
        <v/>
      </c>
      <c r="D1940" t="str">
        <f>IFERROR(IF(B1940="","",VLOOKUP(B1940,CadProd!$A:$C,3,0)),"")</f>
        <v/>
      </c>
      <c r="G1940" s="1" t="str">
        <f t="shared" si="30"/>
        <v/>
      </c>
    </row>
    <row r="1941" spans="3:7" x14ac:dyDescent="0.3">
      <c r="C1941" t="str">
        <f>IFERROR(IF(B1941="","",VLOOKUP(B1941,CadProd!$A:$B,2,0)),"")</f>
        <v/>
      </c>
      <c r="D1941" t="str">
        <f>IFERROR(IF(B1941="","",VLOOKUP(B1941,CadProd!$A:$C,3,0)),"")</f>
        <v/>
      </c>
      <c r="G1941" s="1" t="str">
        <f t="shared" si="30"/>
        <v/>
      </c>
    </row>
    <row r="1942" spans="3:7" x14ac:dyDescent="0.3">
      <c r="C1942" t="str">
        <f>IFERROR(IF(B1942="","",VLOOKUP(B1942,CadProd!$A:$B,2,0)),"")</f>
        <v/>
      </c>
      <c r="D1942" t="str">
        <f>IFERROR(IF(B1942="","",VLOOKUP(B1942,CadProd!$A:$C,3,0)),"")</f>
        <v/>
      </c>
      <c r="G1942" s="1" t="str">
        <f t="shared" si="30"/>
        <v/>
      </c>
    </row>
    <row r="1943" spans="3:7" x14ac:dyDescent="0.3">
      <c r="C1943" t="str">
        <f>IFERROR(IF(B1943="","",VLOOKUP(B1943,CadProd!$A:$B,2,0)),"")</f>
        <v/>
      </c>
      <c r="D1943" t="str">
        <f>IFERROR(IF(B1943="","",VLOOKUP(B1943,CadProd!$A:$C,3,0)),"")</f>
        <v/>
      </c>
      <c r="G1943" s="1" t="str">
        <f t="shared" si="30"/>
        <v/>
      </c>
    </row>
    <row r="1944" spans="3:7" x14ac:dyDescent="0.3">
      <c r="C1944" t="str">
        <f>IFERROR(IF(B1944="","",VLOOKUP(B1944,CadProd!$A:$B,2,0)),"")</f>
        <v/>
      </c>
      <c r="D1944" t="str">
        <f>IFERROR(IF(B1944="","",VLOOKUP(B1944,CadProd!$A:$C,3,0)),"")</f>
        <v/>
      </c>
      <c r="G1944" s="1" t="str">
        <f t="shared" si="30"/>
        <v/>
      </c>
    </row>
    <row r="1945" spans="3:7" x14ac:dyDescent="0.3">
      <c r="C1945" t="str">
        <f>IFERROR(IF(B1945="","",VLOOKUP(B1945,CadProd!$A:$B,2,0)),"")</f>
        <v/>
      </c>
      <c r="D1945" t="str">
        <f>IFERROR(IF(B1945="","",VLOOKUP(B1945,CadProd!$A:$C,3,0)),"")</f>
        <v/>
      </c>
      <c r="G1945" s="1" t="str">
        <f t="shared" si="30"/>
        <v/>
      </c>
    </row>
    <row r="1946" spans="3:7" x14ac:dyDescent="0.3">
      <c r="C1946" t="str">
        <f>IFERROR(IF(B1946="","",VLOOKUP(B1946,CadProd!$A:$B,2,0)),"")</f>
        <v/>
      </c>
      <c r="D1946" t="str">
        <f>IFERROR(IF(B1946="","",VLOOKUP(B1946,CadProd!$A:$C,3,0)),"")</f>
        <v/>
      </c>
      <c r="G1946" s="1" t="str">
        <f t="shared" si="30"/>
        <v/>
      </c>
    </row>
    <row r="1947" spans="3:7" x14ac:dyDescent="0.3">
      <c r="C1947" t="str">
        <f>IFERROR(IF(B1947="","",VLOOKUP(B1947,CadProd!$A:$B,2,0)),"")</f>
        <v/>
      </c>
      <c r="D1947" t="str">
        <f>IFERROR(IF(B1947="","",VLOOKUP(B1947,CadProd!$A:$C,3,0)),"")</f>
        <v/>
      </c>
      <c r="G1947" s="1" t="str">
        <f t="shared" si="30"/>
        <v/>
      </c>
    </row>
    <row r="1948" spans="3:7" x14ac:dyDescent="0.3">
      <c r="C1948" t="str">
        <f>IFERROR(IF(B1948="","",VLOOKUP(B1948,CadProd!$A:$B,2,0)),"")</f>
        <v/>
      </c>
      <c r="D1948" t="str">
        <f>IFERROR(IF(B1948="","",VLOOKUP(B1948,CadProd!$A:$C,3,0)),"")</f>
        <v/>
      </c>
      <c r="G1948" s="1" t="str">
        <f t="shared" si="30"/>
        <v/>
      </c>
    </row>
    <row r="1949" spans="3:7" x14ac:dyDescent="0.3">
      <c r="C1949" t="str">
        <f>IFERROR(IF(B1949="","",VLOOKUP(B1949,CadProd!$A:$B,2,0)),"")</f>
        <v/>
      </c>
      <c r="D1949" t="str">
        <f>IFERROR(IF(B1949="","",VLOOKUP(B1949,CadProd!$A:$C,3,0)),"")</f>
        <v/>
      </c>
      <c r="G1949" s="1" t="str">
        <f t="shared" si="30"/>
        <v/>
      </c>
    </row>
    <row r="1950" spans="3:7" x14ac:dyDescent="0.3">
      <c r="C1950" t="str">
        <f>IFERROR(IF(B1950="","",VLOOKUP(B1950,CadProd!$A:$B,2,0)),"")</f>
        <v/>
      </c>
      <c r="D1950" t="str">
        <f>IFERROR(IF(B1950="","",VLOOKUP(B1950,CadProd!$A:$C,3,0)),"")</f>
        <v/>
      </c>
      <c r="G1950" s="1" t="str">
        <f t="shared" si="30"/>
        <v/>
      </c>
    </row>
    <row r="1951" spans="3:7" x14ac:dyDescent="0.3">
      <c r="C1951" t="str">
        <f>IFERROR(IF(B1951="","",VLOOKUP(B1951,CadProd!$A:$B,2,0)),"")</f>
        <v/>
      </c>
      <c r="D1951" t="str">
        <f>IFERROR(IF(B1951="","",VLOOKUP(B1951,CadProd!$A:$C,3,0)),"")</f>
        <v/>
      </c>
      <c r="G1951" s="1" t="str">
        <f t="shared" si="30"/>
        <v/>
      </c>
    </row>
    <row r="1952" spans="3:7" x14ac:dyDescent="0.3">
      <c r="C1952" t="str">
        <f>IFERROR(IF(B1952="","",VLOOKUP(B1952,CadProd!$A:$B,2,0)),"")</f>
        <v/>
      </c>
      <c r="D1952" t="str">
        <f>IFERROR(IF(B1952="","",VLOOKUP(B1952,CadProd!$A:$C,3,0)),"")</f>
        <v/>
      </c>
      <c r="G1952" s="1" t="str">
        <f t="shared" si="30"/>
        <v/>
      </c>
    </row>
    <row r="1953" spans="3:7" x14ac:dyDescent="0.3">
      <c r="C1953" t="str">
        <f>IFERROR(IF(B1953="","",VLOOKUP(B1953,CadProd!$A:$B,2,0)),"")</f>
        <v/>
      </c>
      <c r="D1953" t="str">
        <f>IFERROR(IF(B1953="","",VLOOKUP(B1953,CadProd!$A:$C,3,0)),"")</f>
        <v/>
      </c>
      <c r="G1953" s="1" t="str">
        <f t="shared" si="30"/>
        <v/>
      </c>
    </row>
    <row r="1954" spans="3:7" x14ac:dyDescent="0.3">
      <c r="C1954" t="str">
        <f>IFERROR(IF(B1954="","",VLOOKUP(B1954,CadProd!$A:$B,2,0)),"")</f>
        <v/>
      </c>
      <c r="D1954" t="str">
        <f>IFERROR(IF(B1954="","",VLOOKUP(B1954,CadProd!$A:$C,3,0)),"")</f>
        <v/>
      </c>
      <c r="G1954" s="1" t="str">
        <f t="shared" si="30"/>
        <v/>
      </c>
    </row>
    <row r="1955" spans="3:7" x14ac:dyDescent="0.3">
      <c r="C1955" t="str">
        <f>IFERROR(IF(B1955="","",VLOOKUP(B1955,CadProd!$A:$B,2,0)),"")</f>
        <v/>
      </c>
      <c r="D1955" t="str">
        <f>IFERROR(IF(B1955="","",VLOOKUP(B1955,CadProd!$A:$C,3,0)),"")</f>
        <v/>
      </c>
      <c r="G1955" s="1" t="str">
        <f t="shared" si="30"/>
        <v/>
      </c>
    </row>
    <row r="1956" spans="3:7" x14ac:dyDescent="0.3">
      <c r="C1956" t="str">
        <f>IFERROR(IF(B1956="","",VLOOKUP(B1956,CadProd!$A:$B,2,0)),"")</f>
        <v/>
      </c>
      <c r="D1956" t="str">
        <f>IFERROR(IF(B1956="","",VLOOKUP(B1956,CadProd!$A:$C,3,0)),"")</f>
        <v/>
      </c>
      <c r="G1956" s="1" t="str">
        <f t="shared" si="30"/>
        <v/>
      </c>
    </row>
    <row r="1957" spans="3:7" x14ac:dyDescent="0.3">
      <c r="C1957" t="str">
        <f>IFERROR(IF(B1957="","",VLOOKUP(B1957,CadProd!$A:$B,2,0)),"")</f>
        <v/>
      </c>
      <c r="D1957" t="str">
        <f>IFERROR(IF(B1957="","",VLOOKUP(B1957,CadProd!$A:$C,3,0)),"")</f>
        <v/>
      </c>
      <c r="G1957" s="1" t="str">
        <f t="shared" si="30"/>
        <v/>
      </c>
    </row>
    <row r="1958" spans="3:7" x14ac:dyDescent="0.3">
      <c r="C1958" t="str">
        <f>IFERROR(IF(B1958="","",VLOOKUP(B1958,CadProd!$A:$B,2,0)),"")</f>
        <v/>
      </c>
      <c r="D1958" t="str">
        <f>IFERROR(IF(B1958="","",VLOOKUP(B1958,CadProd!$A:$C,3,0)),"")</f>
        <v/>
      </c>
      <c r="G1958" s="1" t="str">
        <f t="shared" si="30"/>
        <v/>
      </c>
    </row>
    <row r="1959" spans="3:7" x14ac:dyDescent="0.3">
      <c r="C1959" t="str">
        <f>IFERROR(IF(B1959="","",VLOOKUP(B1959,CadProd!$A:$B,2,0)),"")</f>
        <v/>
      </c>
      <c r="D1959" t="str">
        <f>IFERROR(IF(B1959="","",VLOOKUP(B1959,CadProd!$A:$C,3,0)),"")</f>
        <v/>
      </c>
      <c r="G1959" s="1" t="str">
        <f t="shared" si="30"/>
        <v/>
      </c>
    </row>
    <row r="1960" spans="3:7" x14ac:dyDescent="0.3">
      <c r="C1960" t="str">
        <f>IFERROR(IF(B1960="","",VLOOKUP(B1960,CadProd!$A:$B,2,0)),"")</f>
        <v/>
      </c>
      <c r="D1960" t="str">
        <f>IFERROR(IF(B1960="","",VLOOKUP(B1960,CadProd!$A:$C,3,0)),"")</f>
        <v/>
      </c>
      <c r="G1960" s="1" t="str">
        <f t="shared" si="30"/>
        <v/>
      </c>
    </row>
    <row r="1961" spans="3:7" x14ac:dyDescent="0.3">
      <c r="C1961" t="str">
        <f>IFERROR(IF(B1961="","",VLOOKUP(B1961,CadProd!$A:$B,2,0)),"")</f>
        <v/>
      </c>
      <c r="D1961" t="str">
        <f>IFERROR(IF(B1961="","",VLOOKUP(B1961,CadProd!$A:$C,3,0)),"")</f>
        <v/>
      </c>
      <c r="G1961" s="1" t="str">
        <f t="shared" si="30"/>
        <v/>
      </c>
    </row>
    <row r="1962" spans="3:7" x14ac:dyDescent="0.3">
      <c r="C1962" t="str">
        <f>IFERROR(IF(B1962="","",VLOOKUP(B1962,CadProd!$A:$B,2,0)),"")</f>
        <v/>
      </c>
      <c r="D1962" t="str">
        <f>IFERROR(IF(B1962="","",VLOOKUP(B1962,CadProd!$A:$C,3,0)),"")</f>
        <v/>
      </c>
      <c r="G1962" s="1" t="str">
        <f t="shared" si="30"/>
        <v/>
      </c>
    </row>
    <row r="1963" spans="3:7" x14ac:dyDescent="0.3">
      <c r="C1963" t="str">
        <f>IFERROR(IF(B1963="","",VLOOKUP(B1963,CadProd!$A:$B,2,0)),"")</f>
        <v/>
      </c>
      <c r="D1963" t="str">
        <f>IFERROR(IF(B1963="","",VLOOKUP(B1963,CadProd!$A:$C,3,0)),"")</f>
        <v/>
      </c>
      <c r="G1963" s="1" t="str">
        <f t="shared" si="30"/>
        <v/>
      </c>
    </row>
    <row r="1964" spans="3:7" x14ac:dyDescent="0.3">
      <c r="C1964" t="str">
        <f>IFERROR(IF(B1964="","",VLOOKUP(B1964,CadProd!$A:$B,2,0)),"")</f>
        <v/>
      </c>
      <c r="D1964" t="str">
        <f>IFERROR(IF(B1964="","",VLOOKUP(B1964,CadProd!$A:$C,3,0)),"")</f>
        <v/>
      </c>
      <c r="G1964" s="1" t="str">
        <f t="shared" si="30"/>
        <v/>
      </c>
    </row>
    <row r="1965" spans="3:7" x14ac:dyDescent="0.3">
      <c r="C1965" t="str">
        <f>IFERROR(IF(B1965="","",VLOOKUP(B1965,CadProd!$A:$B,2,0)),"")</f>
        <v/>
      </c>
      <c r="D1965" t="str">
        <f>IFERROR(IF(B1965="","",VLOOKUP(B1965,CadProd!$A:$C,3,0)),"")</f>
        <v/>
      </c>
      <c r="G1965" s="1" t="str">
        <f t="shared" si="30"/>
        <v/>
      </c>
    </row>
    <row r="1966" spans="3:7" x14ac:dyDescent="0.3">
      <c r="C1966" t="str">
        <f>IFERROR(IF(B1966="","",VLOOKUP(B1966,CadProd!$A:$B,2,0)),"")</f>
        <v/>
      </c>
      <c r="D1966" t="str">
        <f>IFERROR(IF(B1966="","",VLOOKUP(B1966,CadProd!$A:$C,3,0)),"")</f>
        <v/>
      </c>
      <c r="G1966" s="1" t="str">
        <f t="shared" si="30"/>
        <v/>
      </c>
    </row>
    <row r="1967" spans="3:7" x14ac:dyDescent="0.3">
      <c r="C1967" t="str">
        <f>IFERROR(IF(B1967="","",VLOOKUP(B1967,CadProd!$A:$B,2,0)),"")</f>
        <v/>
      </c>
      <c r="D1967" t="str">
        <f>IFERROR(IF(B1967="","",VLOOKUP(B1967,CadProd!$A:$C,3,0)),"")</f>
        <v/>
      </c>
      <c r="G1967" s="1" t="str">
        <f t="shared" si="30"/>
        <v/>
      </c>
    </row>
    <row r="1968" spans="3:7" x14ac:dyDescent="0.3">
      <c r="C1968" t="str">
        <f>IFERROR(IF(B1968="","",VLOOKUP(B1968,CadProd!$A:$B,2,0)),"")</f>
        <v/>
      </c>
      <c r="D1968" t="str">
        <f>IFERROR(IF(B1968="","",VLOOKUP(B1968,CadProd!$A:$C,3,0)),"")</f>
        <v/>
      </c>
      <c r="G1968" s="1" t="str">
        <f t="shared" si="30"/>
        <v/>
      </c>
    </row>
    <row r="1969" spans="3:7" x14ac:dyDescent="0.3">
      <c r="C1969" t="str">
        <f>IFERROR(IF(B1969="","",VLOOKUP(B1969,CadProd!$A:$B,2,0)),"")</f>
        <v/>
      </c>
      <c r="D1969" t="str">
        <f>IFERROR(IF(B1969="","",VLOOKUP(B1969,CadProd!$A:$C,3,0)),"")</f>
        <v/>
      </c>
      <c r="G1969" s="1" t="str">
        <f t="shared" si="30"/>
        <v/>
      </c>
    </row>
    <row r="1970" spans="3:7" x14ac:dyDescent="0.3">
      <c r="C1970" t="str">
        <f>IFERROR(IF(B1970="","",VLOOKUP(B1970,CadProd!$A:$B,2,0)),"")</f>
        <v/>
      </c>
      <c r="D1970" t="str">
        <f>IFERROR(IF(B1970="","",VLOOKUP(B1970,CadProd!$A:$C,3,0)),"")</f>
        <v/>
      </c>
      <c r="G1970" s="1" t="str">
        <f t="shared" si="30"/>
        <v/>
      </c>
    </row>
    <row r="1971" spans="3:7" x14ac:dyDescent="0.3">
      <c r="C1971" t="str">
        <f>IFERROR(IF(B1971="","",VLOOKUP(B1971,CadProd!$A:$B,2,0)),"")</f>
        <v/>
      </c>
      <c r="D1971" t="str">
        <f>IFERROR(IF(B1971="","",VLOOKUP(B1971,CadProd!$A:$C,3,0)),"")</f>
        <v/>
      </c>
      <c r="G1971" s="1" t="str">
        <f t="shared" si="30"/>
        <v/>
      </c>
    </row>
    <row r="1972" spans="3:7" x14ac:dyDescent="0.3">
      <c r="C1972" t="str">
        <f>IFERROR(IF(B1972="","",VLOOKUP(B1972,CadProd!$A:$B,2,0)),"")</f>
        <v/>
      </c>
      <c r="D1972" t="str">
        <f>IFERROR(IF(B1972="","",VLOOKUP(B1972,CadProd!$A:$C,3,0)),"")</f>
        <v/>
      </c>
      <c r="G1972" s="1" t="str">
        <f t="shared" si="30"/>
        <v/>
      </c>
    </row>
    <row r="1973" spans="3:7" x14ac:dyDescent="0.3">
      <c r="C1973" t="str">
        <f>IFERROR(IF(B1973="","",VLOOKUP(B1973,CadProd!$A:$B,2,0)),"")</f>
        <v/>
      </c>
      <c r="D1973" t="str">
        <f>IFERROR(IF(B1973="","",VLOOKUP(B1973,CadProd!$A:$C,3,0)),"")</f>
        <v/>
      </c>
      <c r="G1973" s="1" t="str">
        <f t="shared" si="30"/>
        <v/>
      </c>
    </row>
    <row r="1974" spans="3:7" x14ac:dyDescent="0.3">
      <c r="C1974" t="str">
        <f>IFERROR(IF(B1974="","",VLOOKUP(B1974,CadProd!$A:$B,2,0)),"")</f>
        <v/>
      </c>
      <c r="D1974" t="str">
        <f>IFERROR(IF(B1974="","",VLOOKUP(B1974,CadProd!$A:$C,3,0)),"")</f>
        <v/>
      </c>
      <c r="G1974" s="1" t="str">
        <f t="shared" si="30"/>
        <v/>
      </c>
    </row>
    <row r="1975" spans="3:7" x14ac:dyDescent="0.3">
      <c r="C1975" t="str">
        <f>IFERROR(IF(B1975="","",VLOOKUP(B1975,CadProd!$A:$B,2,0)),"")</f>
        <v/>
      </c>
      <c r="D1975" t="str">
        <f>IFERROR(IF(B1975="","",VLOOKUP(B1975,CadProd!$A:$C,3,0)),"")</f>
        <v/>
      </c>
      <c r="G1975" s="1" t="str">
        <f t="shared" si="30"/>
        <v/>
      </c>
    </row>
    <row r="1976" spans="3:7" x14ac:dyDescent="0.3">
      <c r="C1976" t="str">
        <f>IFERROR(IF(B1976="","",VLOOKUP(B1976,CadProd!$A:$B,2,0)),"")</f>
        <v/>
      </c>
      <c r="D1976" t="str">
        <f>IFERROR(IF(B1976="","",VLOOKUP(B1976,CadProd!$A:$C,3,0)),"")</f>
        <v/>
      </c>
      <c r="G1976" s="1" t="str">
        <f t="shared" si="30"/>
        <v/>
      </c>
    </row>
    <row r="1977" spans="3:7" x14ac:dyDescent="0.3">
      <c r="C1977" t="str">
        <f>IFERROR(IF(B1977="","",VLOOKUP(B1977,CadProd!$A:$B,2,0)),"")</f>
        <v/>
      </c>
      <c r="D1977" t="str">
        <f>IFERROR(IF(B1977="","",VLOOKUP(B1977,CadProd!$A:$C,3,0)),"")</f>
        <v/>
      </c>
      <c r="G1977" s="1" t="str">
        <f t="shared" si="30"/>
        <v/>
      </c>
    </row>
    <row r="1978" spans="3:7" x14ac:dyDescent="0.3">
      <c r="C1978" t="str">
        <f>IFERROR(IF(B1978="","",VLOOKUP(B1978,CadProd!$A:$B,2,0)),"")</f>
        <v/>
      </c>
      <c r="D1978" t="str">
        <f>IFERROR(IF(B1978="","",VLOOKUP(B1978,CadProd!$A:$C,3,0)),"")</f>
        <v/>
      </c>
      <c r="G1978" s="1" t="str">
        <f t="shared" si="30"/>
        <v/>
      </c>
    </row>
    <row r="1979" spans="3:7" x14ac:dyDescent="0.3">
      <c r="C1979" t="str">
        <f>IFERROR(IF(B1979="","",VLOOKUP(B1979,CadProd!$A:$B,2,0)),"")</f>
        <v/>
      </c>
      <c r="D1979" t="str">
        <f>IFERROR(IF(B1979="","",VLOOKUP(B1979,CadProd!$A:$C,3,0)),"")</f>
        <v/>
      </c>
      <c r="G1979" s="1" t="str">
        <f t="shared" si="30"/>
        <v/>
      </c>
    </row>
    <row r="1980" spans="3:7" x14ac:dyDescent="0.3">
      <c r="C1980" t="str">
        <f>IFERROR(IF(B1980="","",VLOOKUP(B1980,CadProd!$A:$B,2,0)),"")</f>
        <v/>
      </c>
      <c r="D1980" t="str">
        <f>IFERROR(IF(B1980="","",VLOOKUP(B1980,CadProd!$A:$C,3,0)),"")</f>
        <v/>
      </c>
      <c r="G1980" s="1" t="str">
        <f t="shared" si="30"/>
        <v/>
      </c>
    </row>
    <row r="1981" spans="3:7" x14ac:dyDescent="0.3">
      <c r="C1981" t="str">
        <f>IFERROR(IF(B1981="","",VLOOKUP(B1981,CadProd!$A:$B,2,0)),"")</f>
        <v/>
      </c>
      <c r="D1981" t="str">
        <f>IFERROR(IF(B1981="","",VLOOKUP(B1981,CadProd!$A:$C,3,0)),"")</f>
        <v/>
      </c>
      <c r="G1981" s="1" t="str">
        <f t="shared" si="30"/>
        <v/>
      </c>
    </row>
    <row r="1982" spans="3:7" x14ac:dyDescent="0.3">
      <c r="C1982" t="str">
        <f>IFERROR(IF(B1982="","",VLOOKUP(B1982,CadProd!$A:$B,2,0)),"")</f>
        <v/>
      </c>
      <c r="D1982" t="str">
        <f>IFERROR(IF(B1982="","",VLOOKUP(B1982,CadProd!$A:$C,3,0)),"")</f>
        <v/>
      </c>
      <c r="G1982" s="1" t="str">
        <f t="shared" si="30"/>
        <v/>
      </c>
    </row>
    <row r="1983" spans="3:7" x14ac:dyDescent="0.3">
      <c r="C1983" t="str">
        <f>IFERROR(IF(B1983="","",VLOOKUP(B1983,CadProd!$A:$B,2,0)),"")</f>
        <v/>
      </c>
      <c r="D1983" t="str">
        <f>IFERROR(IF(B1983="","",VLOOKUP(B1983,CadProd!$A:$C,3,0)),"")</f>
        <v/>
      </c>
      <c r="G1983" s="1" t="str">
        <f t="shared" si="30"/>
        <v/>
      </c>
    </row>
    <row r="1984" spans="3:7" x14ac:dyDescent="0.3">
      <c r="C1984" t="str">
        <f>IFERROR(IF(B1984="","",VLOOKUP(B1984,CadProd!$A:$B,2,0)),"")</f>
        <v/>
      </c>
      <c r="D1984" t="str">
        <f>IFERROR(IF(B1984="","",VLOOKUP(B1984,CadProd!$A:$C,3,0)),"")</f>
        <v/>
      </c>
      <c r="G1984" s="1" t="str">
        <f t="shared" si="30"/>
        <v/>
      </c>
    </row>
    <row r="1985" spans="3:7" x14ac:dyDescent="0.3">
      <c r="C1985" t="str">
        <f>IFERROR(IF(B1985="","",VLOOKUP(B1985,CadProd!$A:$B,2,0)),"")</f>
        <v/>
      </c>
      <c r="D1985" t="str">
        <f>IFERROR(IF(B1985="","",VLOOKUP(B1985,CadProd!$A:$C,3,0)),"")</f>
        <v/>
      </c>
      <c r="G1985" s="1" t="str">
        <f t="shared" si="30"/>
        <v/>
      </c>
    </row>
    <row r="1986" spans="3:7" x14ac:dyDescent="0.3">
      <c r="C1986" t="str">
        <f>IFERROR(IF(B1986="","",VLOOKUP(B1986,CadProd!$A:$B,2,0)),"")</f>
        <v/>
      </c>
      <c r="D1986" t="str">
        <f>IFERROR(IF(B1986="","",VLOOKUP(B1986,CadProd!$A:$C,3,0)),"")</f>
        <v/>
      </c>
      <c r="G1986" s="1" t="str">
        <f t="shared" si="30"/>
        <v/>
      </c>
    </row>
    <row r="1987" spans="3:7" x14ac:dyDescent="0.3">
      <c r="C1987" t="str">
        <f>IFERROR(IF(B1987="","",VLOOKUP(B1987,CadProd!$A:$B,2,0)),"")</f>
        <v/>
      </c>
      <c r="D1987" t="str">
        <f>IFERROR(IF(B1987="","",VLOOKUP(B1987,CadProd!$A:$C,3,0)),"")</f>
        <v/>
      </c>
      <c r="G1987" s="1" t="str">
        <f t="shared" si="30"/>
        <v/>
      </c>
    </row>
    <row r="1988" spans="3:7" x14ac:dyDescent="0.3">
      <c r="C1988" t="str">
        <f>IFERROR(IF(B1988="","",VLOOKUP(B1988,CadProd!$A:$B,2,0)),"")</f>
        <v/>
      </c>
      <c r="D1988" t="str">
        <f>IFERROR(IF(B1988="","",VLOOKUP(B1988,CadProd!$A:$C,3,0)),"")</f>
        <v/>
      </c>
      <c r="G1988" s="1" t="str">
        <f t="shared" si="30"/>
        <v/>
      </c>
    </row>
    <row r="1989" spans="3:7" x14ac:dyDescent="0.3">
      <c r="C1989" t="str">
        <f>IFERROR(IF(B1989="","",VLOOKUP(B1989,CadProd!$A:$B,2,0)),"")</f>
        <v/>
      </c>
      <c r="D1989" t="str">
        <f>IFERROR(IF(B1989="","",VLOOKUP(B1989,CadProd!$A:$C,3,0)),"")</f>
        <v/>
      </c>
      <c r="G1989" s="1" t="str">
        <f t="shared" si="30"/>
        <v/>
      </c>
    </row>
    <row r="1990" spans="3:7" x14ac:dyDescent="0.3">
      <c r="C1990" t="str">
        <f>IFERROR(IF(B1990="","",VLOOKUP(B1990,CadProd!$A:$B,2,0)),"")</f>
        <v/>
      </c>
      <c r="D1990" t="str">
        <f>IFERROR(IF(B1990="","",VLOOKUP(B1990,CadProd!$A:$C,3,0)),"")</f>
        <v/>
      </c>
      <c r="G1990" s="1" t="str">
        <f t="shared" si="30"/>
        <v/>
      </c>
    </row>
    <row r="1991" spans="3:7" x14ac:dyDescent="0.3">
      <c r="C1991" t="str">
        <f>IFERROR(IF(B1991="","",VLOOKUP(B1991,CadProd!$A:$B,2,0)),"")</f>
        <v/>
      </c>
      <c r="D1991" t="str">
        <f>IFERROR(IF(B1991="","",VLOOKUP(B1991,CadProd!$A:$C,3,0)),"")</f>
        <v/>
      </c>
      <c r="G1991" s="1" t="str">
        <f t="shared" si="30"/>
        <v/>
      </c>
    </row>
    <row r="1992" spans="3:7" x14ac:dyDescent="0.3">
      <c r="C1992" t="str">
        <f>IFERROR(IF(B1992="","",VLOOKUP(B1992,CadProd!$A:$B,2,0)),"")</f>
        <v/>
      </c>
      <c r="D1992" t="str">
        <f>IFERROR(IF(B1992="","",VLOOKUP(B1992,CadProd!$A:$C,3,0)),"")</f>
        <v/>
      </c>
      <c r="G1992" s="1" t="str">
        <f t="shared" si="30"/>
        <v/>
      </c>
    </row>
    <row r="1993" spans="3:7" x14ac:dyDescent="0.3">
      <c r="C1993" t="str">
        <f>IFERROR(IF(B1993="","",VLOOKUP(B1993,CadProd!$A:$B,2,0)),"")</f>
        <v/>
      </c>
      <c r="D1993" t="str">
        <f>IFERROR(IF(B1993="","",VLOOKUP(B1993,CadProd!$A:$C,3,0)),"")</f>
        <v/>
      </c>
      <c r="G1993" s="1" t="str">
        <f t="shared" si="30"/>
        <v/>
      </c>
    </row>
    <row r="1994" spans="3:7" x14ac:dyDescent="0.3">
      <c r="C1994" t="str">
        <f>IFERROR(IF(B1994="","",VLOOKUP(B1994,CadProd!$A:$B,2,0)),"")</f>
        <v/>
      </c>
      <c r="D1994" t="str">
        <f>IFERROR(IF(B1994="","",VLOOKUP(B1994,CadProd!$A:$C,3,0)),"")</f>
        <v/>
      </c>
      <c r="G1994" s="1" t="str">
        <f t="shared" si="30"/>
        <v/>
      </c>
    </row>
    <row r="1995" spans="3:7" x14ac:dyDescent="0.3">
      <c r="C1995" t="str">
        <f>IFERROR(IF(B1995="","",VLOOKUP(B1995,CadProd!$A:$B,2,0)),"")</f>
        <v/>
      </c>
      <c r="D1995" t="str">
        <f>IFERROR(IF(B1995="","",VLOOKUP(B1995,CadProd!$A:$C,3,0)),"")</f>
        <v/>
      </c>
      <c r="G1995" s="1" t="str">
        <f t="shared" ref="G1995:G2058" si="31">IFERROR(IF(B1995="","",F1995*E1995),"")</f>
        <v/>
      </c>
    </row>
    <row r="1996" spans="3:7" x14ac:dyDescent="0.3">
      <c r="C1996" t="str">
        <f>IFERROR(IF(B1996="","",VLOOKUP(B1996,CadProd!$A:$B,2,0)),"")</f>
        <v/>
      </c>
      <c r="D1996" t="str">
        <f>IFERROR(IF(B1996="","",VLOOKUP(B1996,CadProd!$A:$C,3,0)),"")</f>
        <v/>
      </c>
      <c r="G1996" s="1" t="str">
        <f t="shared" si="31"/>
        <v/>
      </c>
    </row>
    <row r="1997" spans="3:7" x14ac:dyDescent="0.3">
      <c r="C1997" t="str">
        <f>IFERROR(IF(B1997="","",VLOOKUP(B1997,CadProd!$A:$B,2,0)),"")</f>
        <v/>
      </c>
      <c r="D1997" t="str">
        <f>IFERROR(IF(B1997="","",VLOOKUP(B1997,CadProd!$A:$C,3,0)),"")</f>
        <v/>
      </c>
      <c r="G1997" s="1" t="str">
        <f t="shared" si="31"/>
        <v/>
      </c>
    </row>
    <row r="1998" spans="3:7" x14ac:dyDescent="0.3">
      <c r="C1998" t="str">
        <f>IFERROR(IF(B1998="","",VLOOKUP(B1998,CadProd!$A:$B,2,0)),"")</f>
        <v/>
      </c>
      <c r="D1998" t="str">
        <f>IFERROR(IF(B1998="","",VLOOKUP(B1998,CadProd!$A:$C,3,0)),"")</f>
        <v/>
      </c>
      <c r="G1998" s="1" t="str">
        <f t="shared" si="31"/>
        <v/>
      </c>
    </row>
    <row r="1999" spans="3:7" x14ac:dyDescent="0.3">
      <c r="C1999" t="str">
        <f>IFERROR(IF(B1999="","",VLOOKUP(B1999,CadProd!$A:$B,2,0)),"")</f>
        <v/>
      </c>
      <c r="D1999" t="str">
        <f>IFERROR(IF(B1999="","",VLOOKUP(B1999,CadProd!$A:$C,3,0)),"")</f>
        <v/>
      </c>
      <c r="G1999" s="1" t="str">
        <f t="shared" si="31"/>
        <v/>
      </c>
    </row>
    <row r="2000" spans="3:7" x14ac:dyDescent="0.3">
      <c r="C2000" t="str">
        <f>IFERROR(IF(B2000="","",VLOOKUP(B2000,CadProd!$A:$B,2,0)),"")</f>
        <v/>
      </c>
      <c r="D2000" t="str">
        <f>IFERROR(IF(B2000="","",VLOOKUP(B2000,CadProd!$A:$C,3,0)),"")</f>
        <v/>
      </c>
      <c r="G2000" s="1" t="str">
        <f t="shared" si="31"/>
        <v/>
      </c>
    </row>
    <row r="2001" spans="3:7" x14ac:dyDescent="0.3">
      <c r="C2001" t="str">
        <f>IFERROR(IF(B2001="","",VLOOKUP(B2001,CadProd!$A:$B,2,0)),"")</f>
        <v/>
      </c>
      <c r="D2001" t="str">
        <f>IFERROR(IF(B2001="","",VLOOKUP(B2001,CadProd!$A:$C,3,0)),"")</f>
        <v/>
      </c>
      <c r="G2001" s="1" t="str">
        <f t="shared" si="31"/>
        <v/>
      </c>
    </row>
    <row r="2002" spans="3:7" x14ac:dyDescent="0.3">
      <c r="C2002" t="str">
        <f>IFERROR(IF(B2002="","",VLOOKUP(B2002,CadProd!$A:$B,2,0)),"")</f>
        <v/>
      </c>
      <c r="D2002" t="str">
        <f>IFERROR(IF(B2002="","",VLOOKUP(B2002,CadProd!$A:$C,3,0)),"")</f>
        <v/>
      </c>
      <c r="G2002" s="1" t="str">
        <f t="shared" si="31"/>
        <v/>
      </c>
    </row>
    <row r="2003" spans="3:7" x14ac:dyDescent="0.3">
      <c r="C2003" t="str">
        <f>IFERROR(IF(B2003="","",VLOOKUP(B2003,CadProd!$A:$B,2,0)),"")</f>
        <v/>
      </c>
      <c r="D2003" t="str">
        <f>IFERROR(IF(B2003="","",VLOOKUP(B2003,CadProd!$A:$C,3,0)),"")</f>
        <v/>
      </c>
      <c r="G2003" s="1" t="str">
        <f t="shared" si="31"/>
        <v/>
      </c>
    </row>
    <row r="2004" spans="3:7" x14ac:dyDescent="0.3">
      <c r="C2004" t="str">
        <f>IFERROR(IF(B2004="","",VLOOKUP(B2004,CadProd!$A:$B,2,0)),"")</f>
        <v/>
      </c>
      <c r="D2004" t="str">
        <f>IFERROR(IF(B2004="","",VLOOKUP(B2004,CadProd!$A:$C,3,0)),"")</f>
        <v/>
      </c>
      <c r="G2004" s="1" t="str">
        <f t="shared" si="31"/>
        <v/>
      </c>
    </row>
    <row r="2005" spans="3:7" x14ac:dyDescent="0.3">
      <c r="C2005" t="str">
        <f>IFERROR(IF(B2005="","",VLOOKUP(B2005,CadProd!$A:$B,2,0)),"")</f>
        <v/>
      </c>
      <c r="D2005" t="str">
        <f>IFERROR(IF(B2005="","",VLOOKUP(B2005,CadProd!$A:$C,3,0)),"")</f>
        <v/>
      </c>
      <c r="G2005" s="1" t="str">
        <f t="shared" si="31"/>
        <v/>
      </c>
    </row>
    <row r="2006" spans="3:7" x14ac:dyDescent="0.3">
      <c r="C2006" t="str">
        <f>IFERROR(IF(B2006="","",VLOOKUP(B2006,CadProd!$A:$B,2,0)),"")</f>
        <v/>
      </c>
      <c r="D2006" t="str">
        <f>IFERROR(IF(B2006="","",VLOOKUP(B2006,CadProd!$A:$C,3,0)),"")</f>
        <v/>
      </c>
      <c r="G2006" s="1" t="str">
        <f t="shared" si="31"/>
        <v/>
      </c>
    </row>
    <row r="2007" spans="3:7" x14ac:dyDescent="0.3">
      <c r="C2007" t="str">
        <f>IFERROR(IF(B2007="","",VLOOKUP(B2007,CadProd!$A:$B,2,0)),"")</f>
        <v/>
      </c>
      <c r="D2007" t="str">
        <f>IFERROR(IF(B2007="","",VLOOKUP(B2007,CadProd!$A:$C,3,0)),"")</f>
        <v/>
      </c>
      <c r="G2007" s="1" t="str">
        <f t="shared" si="31"/>
        <v/>
      </c>
    </row>
    <row r="2008" spans="3:7" x14ac:dyDescent="0.3">
      <c r="C2008" t="str">
        <f>IFERROR(IF(B2008="","",VLOOKUP(B2008,CadProd!$A:$B,2,0)),"")</f>
        <v/>
      </c>
      <c r="D2008" t="str">
        <f>IFERROR(IF(B2008="","",VLOOKUP(B2008,CadProd!$A:$C,3,0)),"")</f>
        <v/>
      </c>
      <c r="G2008" s="1" t="str">
        <f t="shared" si="31"/>
        <v/>
      </c>
    </row>
    <row r="2009" spans="3:7" x14ac:dyDescent="0.3">
      <c r="C2009" t="str">
        <f>IFERROR(IF(B2009="","",VLOOKUP(B2009,CadProd!$A:$B,2,0)),"")</f>
        <v/>
      </c>
      <c r="D2009" t="str">
        <f>IFERROR(IF(B2009="","",VLOOKUP(B2009,CadProd!$A:$C,3,0)),"")</f>
        <v/>
      </c>
      <c r="G2009" s="1" t="str">
        <f t="shared" si="31"/>
        <v/>
      </c>
    </row>
    <row r="2010" spans="3:7" x14ac:dyDescent="0.3">
      <c r="C2010" t="str">
        <f>IFERROR(IF(B2010="","",VLOOKUP(B2010,CadProd!$A:$B,2,0)),"")</f>
        <v/>
      </c>
      <c r="D2010" t="str">
        <f>IFERROR(IF(B2010="","",VLOOKUP(B2010,CadProd!$A:$C,3,0)),"")</f>
        <v/>
      </c>
      <c r="G2010" s="1" t="str">
        <f t="shared" si="31"/>
        <v/>
      </c>
    </row>
    <row r="2011" spans="3:7" x14ac:dyDescent="0.3">
      <c r="C2011" t="str">
        <f>IFERROR(IF(B2011="","",VLOOKUP(B2011,CadProd!$A:$B,2,0)),"")</f>
        <v/>
      </c>
      <c r="D2011" t="str">
        <f>IFERROR(IF(B2011="","",VLOOKUP(B2011,CadProd!$A:$C,3,0)),"")</f>
        <v/>
      </c>
      <c r="G2011" s="1" t="str">
        <f t="shared" si="31"/>
        <v/>
      </c>
    </row>
    <row r="2012" spans="3:7" x14ac:dyDescent="0.3">
      <c r="C2012" t="str">
        <f>IFERROR(IF(B2012="","",VLOOKUP(B2012,CadProd!$A:$B,2,0)),"")</f>
        <v/>
      </c>
      <c r="D2012" t="str">
        <f>IFERROR(IF(B2012="","",VLOOKUP(B2012,CadProd!$A:$C,3,0)),"")</f>
        <v/>
      </c>
      <c r="G2012" s="1" t="str">
        <f t="shared" si="31"/>
        <v/>
      </c>
    </row>
    <row r="2013" spans="3:7" x14ac:dyDescent="0.3">
      <c r="C2013" t="str">
        <f>IFERROR(IF(B2013="","",VLOOKUP(B2013,CadProd!$A:$B,2,0)),"")</f>
        <v/>
      </c>
      <c r="D2013" t="str">
        <f>IFERROR(IF(B2013="","",VLOOKUP(B2013,CadProd!$A:$C,3,0)),"")</f>
        <v/>
      </c>
      <c r="G2013" s="1" t="str">
        <f t="shared" si="31"/>
        <v/>
      </c>
    </row>
    <row r="2014" spans="3:7" x14ac:dyDescent="0.3">
      <c r="C2014" t="str">
        <f>IFERROR(IF(B2014="","",VLOOKUP(B2014,CadProd!$A:$B,2,0)),"")</f>
        <v/>
      </c>
      <c r="D2014" t="str">
        <f>IFERROR(IF(B2014="","",VLOOKUP(B2014,CadProd!$A:$C,3,0)),"")</f>
        <v/>
      </c>
      <c r="G2014" s="1" t="str">
        <f t="shared" si="31"/>
        <v/>
      </c>
    </row>
    <row r="2015" spans="3:7" x14ac:dyDescent="0.3">
      <c r="C2015" t="str">
        <f>IFERROR(IF(B2015="","",VLOOKUP(B2015,CadProd!$A:$B,2,0)),"")</f>
        <v/>
      </c>
      <c r="D2015" t="str">
        <f>IFERROR(IF(B2015="","",VLOOKUP(B2015,CadProd!$A:$C,3,0)),"")</f>
        <v/>
      </c>
      <c r="G2015" s="1" t="str">
        <f t="shared" si="31"/>
        <v/>
      </c>
    </row>
    <row r="2016" spans="3:7" x14ac:dyDescent="0.3">
      <c r="C2016" t="str">
        <f>IFERROR(IF(B2016="","",VLOOKUP(B2016,CadProd!$A:$B,2,0)),"")</f>
        <v/>
      </c>
      <c r="D2016" t="str">
        <f>IFERROR(IF(B2016="","",VLOOKUP(B2016,CadProd!$A:$C,3,0)),"")</f>
        <v/>
      </c>
      <c r="G2016" s="1" t="str">
        <f t="shared" si="31"/>
        <v/>
      </c>
    </row>
    <row r="2017" spans="3:7" x14ac:dyDescent="0.3">
      <c r="C2017" t="str">
        <f>IFERROR(IF(B2017="","",VLOOKUP(B2017,CadProd!$A:$B,2,0)),"")</f>
        <v/>
      </c>
      <c r="D2017" t="str">
        <f>IFERROR(IF(B2017="","",VLOOKUP(B2017,CadProd!$A:$C,3,0)),"")</f>
        <v/>
      </c>
      <c r="G2017" s="1" t="str">
        <f t="shared" si="31"/>
        <v/>
      </c>
    </row>
    <row r="2018" spans="3:7" x14ac:dyDescent="0.3">
      <c r="C2018" t="str">
        <f>IFERROR(IF(B2018="","",VLOOKUP(B2018,CadProd!$A:$B,2,0)),"")</f>
        <v/>
      </c>
      <c r="D2018" t="str">
        <f>IFERROR(IF(B2018="","",VLOOKUP(B2018,CadProd!$A:$C,3,0)),"")</f>
        <v/>
      </c>
      <c r="G2018" s="1" t="str">
        <f t="shared" si="31"/>
        <v/>
      </c>
    </row>
    <row r="2019" spans="3:7" x14ac:dyDescent="0.3">
      <c r="C2019" t="str">
        <f>IFERROR(IF(B2019="","",VLOOKUP(B2019,CadProd!$A:$B,2,0)),"")</f>
        <v/>
      </c>
      <c r="D2019" t="str">
        <f>IFERROR(IF(B2019="","",VLOOKUP(B2019,CadProd!$A:$C,3,0)),"")</f>
        <v/>
      </c>
      <c r="G2019" s="1" t="str">
        <f t="shared" si="31"/>
        <v/>
      </c>
    </row>
    <row r="2020" spans="3:7" x14ac:dyDescent="0.3">
      <c r="C2020" t="str">
        <f>IFERROR(IF(B2020="","",VLOOKUP(B2020,CadProd!$A:$B,2,0)),"")</f>
        <v/>
      </c>
      <c r="D2020" t="str">
        <f>IFERROR(IF(B2020="","",VLOOKUP(B2020,CadProd!$A:$C,3,0)),"")</f>
        <v/>
      </c>
      <c r="G2020" s="1" t="str">
        <f t="shared" si="31"/>
        <v/>
      </c>
    </row>
    <row r="2021" spans="3:7" x14ac:dyDescent="0.3">
      <c r="C2021" t="str">
        <f>IFERROR(IF(B2021="","",VLOOKUP(B2021,CadProd!$A:$B,2,0)),"")</f>
        <v/>
      </c>
      <c r="D2021" t="str">
        <f>IFERROR(IF(B2021="","",VLOOKUP(B2021,CadProd!$A:$C,3,0)),"")</f>
        <v/>
      </c>
      <c r="G2021" s="1" t="str">
        <f t="shared" si="31"/>
        <v/>
      </c>
    </row>
    <row r="2022" spans="3:7" x14ac:dyDescent="0.3">
      <c r="C2022" t="str">
        <f>IFERROR(IF(B2022="","",VLOOKUP(B2022,CadProd!$A:$B,2,0)),"")</f>
        <v/>
      </c>
      <c r="D2022" t="str">
        <f>IFERROR(IF(B2022="","",VLOOKUP(B2022,CadProd!$A:$C,3,0)),"")</f>
        <v/>
      </c>
      <c r="G2022" s="1" t="str">
        <f t="shared" si="31"/>
        <v/>
      </c>
    </row>
    <row r="2023" spans="3:7" x14ac:dyDescent="0.3">
      <c r="C2023" t="str">
        <f>IFERROR(IF(B2023="","",VLOOKUP(B2023,CadProd!$A:$B,2,0)),"")</f>
        <v/>
      </c>
      <c r="D2023" t="str">
        <f>IFERROR(IF(B2023="","",VLOOKUP(B2023,CadProd!$A:$C,3,0)),"")</f>
        <v/>
      </c>
      <c r="G2023" s="1" t="str">
        <f t="shared" si="31"/>
        <v/>
      </c>
    </row>
    <row r="2024" spans="3:7" x14ac:dyDescent="0.3">
      <c r="C2024" t="str">
        <f>IFERROR(IF(B2024="","",VLOOKUP(B2024,CadProd!$A:$B,2,0)),"")</f>
        <v/>
      </c>
      <c r="D2024" t="str">
        <f>IFERROR(IF(B2024="","",VLOOKUP(B2024,CadProd!$A:$C,3,0)),"")</f>
        <v/>
      </c>
      <c r="G2024" s="1" t="str">
        <f t="shared" si="31"/>
        <v/>
      </c>
    </row>
    <row r="2025" spans="3:7" x14ac:dyDescent="0.3">
      <c r="C2025" t="str">
        <f>IFERROR(IF(B2025="","",VLOOKUP(B2025,CadProd!$A:$B,2,0)),"")</f>
        <v/>
      </c>
      <c r="D2025" t="str">
        <f>IFERROR(IF(B2025="","",VLOOKUP(B2025,CadProd!$A:$C,3,0)),"")</f>
        <v/>
      </c>
      <c r="G2025" s="1" t="str">
        <f t="shared" si="31"/>
        <v/>
      </c>
    </row>
    <row r="2026" spans="3:7" x14ac:dyDescent="0.3">
      <c r="C2026" t="str">
        <f>IFERROR(IF(B2026="","",VLOOKUP(B2026,CadProd!$A:$B,2,0)),"")</f>
        <v/>
      </c>
      <c r="D2026" t="str">
        <f>IFERROR(IF(B2026="","",VLOOKUP(B2026,CadProd!$A:$C,3,0)),"")</f>
        <v/>
      </c>
      <c r="G2026" s="1" t="str">
        <f t="shared" si="31"/>
        <v/>
      </c>
    </row>
    <row r="2027" spans="3:7" x14ac:dyDescent="0.3">
      <c r="C2027" t="str">
        <f>IFERROR(IF(B2027="","",VLOOKUP(B2027,CadProd!$A:$B,2,0)),"")</f>
        <v/>
      </c>
      <c r="D2027" t="str">
        <f>IFERROR(IF(B2027="","",VLOOKUP(B2027,CadProd!$A:$C,3,0)),"")</f>
        <v/>
      </c>
      <c r="G2027" s="1" t="str">
        <f t="shared" si="31"/>
        <v/>
      </c>
    </row>
    <row r="2028" spans="3:7" x14ac:dyDescent="0.3">
      <c r="C2028" t="str">
        <f>IFERROR(IF(B2028="","",VLOOKUP(B2028,CadProd!$A:$B,2,0)),"")</f>
        <v/>
      </c>
      <c r="D2028" t="str">
        <f>IFERROR(IF(B2028="","",VLOOKUP(B2028,CadProd!$A:$C,3,0)),"")</f>
        <v/>
      </c>
      <c r="G2028" s="1" t="str">
        <f t="shared" si="31"/>
        <v/>
      </c>
    </row>
    <row r="2029" spans="3:7" x14ac:dyDescent="0.3">
      <c r="C2029" t="str">
        <f>IFERROR(IF(B2029="","",VLOOKUP(B2029,CadProd!$A:$B,2,0)),"")</f>
        <v/>
      </c>
      <c r="D2029" t="str">
        <f>IFERROR(IF(B2029="","",VLOOKUP(B2029,CadProd!$A:$C,3,0)),"")</f>
        <v/>
      </c>
      <c r="G2029" s="1" t="str">
        <f t="shared" si="31"/>
        <v/>
      </c>
    </row>
    <row r="2030" spans="3:7" x14ac:dyDescent="0.3">
      <c r="C2030" t="str">
        <f>IFERROR(IF(B2030="","",VLOOKUP(B2030,CadProd!$A:$B,2,0)),"")</f>
        <v/>
      </c>
      <c r="D2030" t="str">
        <f>IFERROR(IF(B2030="","",VLOOKUP(B2030,CadProd!$A:$C,3,0)),"")</f>
        <v/>
      </c>
      <c r="G2030" s="1" t="str">
        <f t="shared" si="31"/>
        <v/>
      </c>
    </row>
    <row r="2031" spans="3:7" x14ac:dyDescent="0.3">
      <c r="C2031" t="str">
        <f>IFERROR(IF(B2031="","",VLOOKUP(B2031,CadProd!$A:$B,2,0)),"")</f>
        <v/>
      </c>
      <c r="D2031" t="str">
        <f>IFERROR(IF(B2031="","",VLOOKUP(B2031,CadProd!$A:$C,3,0)),"")</f>
        <v/>
      </c>
      <c r="G2031" s="1" t="str">
        <f t="shared" si="31"/>
        <v/>
      </c>
    </row>
    <row r="2032" spans="3:7" x14ac:dyDescent="0.3">
      <c r="C2032" t="str">
        <f>IFERROR(IF(B2032="","",VLOOKUP(B2032,CadProd!$A:$B,2,0)),"")</f>
        <v/>
      </c>
      <c r="D2032" t="str">
        <f>IFERROR(IF(B2032="","",VLOOKUP(B2032,CadProd!$A:$C,3,0)),"")</f>
        <v/>
      </c>
      <c r="G2032" s="1" t="str">
        <f t="shared" si="31"/>
        <v/>
      </c>
    </row>
    <row r="2033" spans="3:7" x14ac:dyDescent="0.3">
      <c r="C2033" t="str">
        <f>IFERROR(IF(B2033="","",VLOOKUP(B2033,CadProd!$A:$B,2,0)),"")</f>
        <v/>
      </c>
      <c r="D2033" t="str">
        <f>IFERROR(IF(B2033="","",VLOOKUP(B2033,CadProd!$A:$C,3,0)),"")</f>
        <v/>
      </c>
      <c r="G2033" s="1" t="str">
        <f t="shared" si="31"/>
        <v/>
      </c>
    </row>
    <row r="2034" spans="3:7" x14ac:dyDescent="0.3">
      <c r="C2034" t="str">
        <f>IFERROR(IF(B2034="","",VLOOKUP(B2034,CadProd!$A:$B,2,0)),"")</f>
        <v/>
      </c>
      <c r="D2034" t="str">
        <f>IFERROR(IF(B2034="","",VLOOKUP(B2034,CadProd!$A:$C,3,0)),"")</f>
        <v/>
      </c>
      <c r="G2034" s="1" t="str">
        <f t="shared" si="31"/>
        <v/>
      </c>
    </row>
    <row r="2035" spans="3:7" x14ac:dyDescent="0.3">
      <c r="C2035" t="str">
        <f>IFERROR(IF(B2035="","",VLOOKUP(B2035,CadProd!$A:$B,2,0)),"")</f>
        <v/>
      </c>
      <c r="D2035" t="str">
        <f>IFERROR(IF(B2035="","",VLOOKUP(B2035,CadProd!$A:$C,3,0)),"")</f>
        <v/>
      </c>
      <c r="G2035" s="1" t="str">
        <f t="shared" si="31"/>
        <v/>
      </c>
    </row>
    <row r="2036" spans="3:7" x14ac:dyDescent="0.3">
      <c r="C2036" t="str">
        <f>IFERROR(IF(B2036="","",VLOOKUP(B2036,CadProd!$A:$B,2,0)),"")</f>
        <v/>
      </c>
      <c r="D2036" t="str">
        <f>IFERROR(IF(B2036="","",VLOOKUP(B2036,CadProd!$A:$C,3,0)),"")</f>
        <v/>
      </c>
      <c r="G2036" s="1" t="str">
        <f t="shared" si="31"/>
        <v/>
      </c>
    </row>
    <row r="2037" spans="3:7" x14ac:dyDescent="0.3">
      <c r="C2037" t="str">
        <f>IFERROR(IF(B2037="","",VLOOKUP(B2037,CadProd!$A:$B,2,0)),"")</f>
        <v/>
      </c>
      <c r="D2037" t="str">
        <f>IFERROR(IF(B2037="","",VLOOKUP(B2037,CadProd!$A:$C,3,0)),"")</f>
        <v/>
      </c>
      <c r="G2037" s="1" t="str">
        <f t="shared" si="31"/>
        <v/>
      </c>
    </row>
    <row r="2038" spans="3:7" x14ac:dyDescent="0.3">
      <c r="C2038" t="str">
        <f>IFERROR(IF(B2038="","",VLOOKUP(B2038,CadProd!$A:$B,2,0)),"")</f>
        <v/>
      </c>
      <c r="D2038" t="str">
        <f>IFERROR(IF(B2038="","",VLOOKUP(B2038,CadProd!$A:$C,3,0)),"")</f>
        <v/>
      </c>
      <c r="G2038" s="1" t="str">
        <f t="shared" si="31"/>
        <v/>
      </c>
    </row>
    <row r="2039" spans="3:7" x14ac:dyDescent="0.3">
      <c r="C2039" t="str">
        <f>IFERROR(IF(B2039="","",VLOOKUP(B2039,CadProd!$A:$B,2,0)),"")</f>
        <v/>
      </c>
      <c r="D2039" t="str">
        <f>IFERROR(IF(B2039="","",VLOOKUP(B2039,CadProd!$A:$C,3,0)),"")</f>
        <v/>
      </c>
      <c r="G2039" s="1" t="str">
        <f t="shared" si="31"/>
        <v/>
      </c>
    </row>
    <row r="2040" spans="3:7" x14ac:dyDescent="0.3">
      <c r="C2040" t="str">
        <f>IFERROR(IF(B2040="","",VLOOKUP(B2040,CadProd!$A:$B,2,0)),"")</f>
        <v/>
      </c>
      <c r="D2040" t="str">
        <f>IFERROR(IF(B2040="","",VLOOKUP(B2040,CadProd!$A:$C,3,0)),"")</f>
        <v/>
      </c>
      <c r="G2040" s="1" t="str">
        <f t="shared" si="31"/>
        <v/>
      </c>
    </row>
    <row r="2041" spans="3:7" x14ac:dyDescent="0.3">
      <c r="C2041" t="str">
        <f>IFERROR(IF(B2041="","",VLOOKUP(B2041,CadProd!$A:$B,2,0)),"")</f>
        <v/>
      </c>
      <c r="D2041" t="str">
        <f>IFERROR(IF(B2041="","",VLOOKUP(B2041,CadProd!$A:$C,3,0)),"")</f>
        <v/>
      </c>
      <c r="G2041" s="1" t="str">
        <f t="shared" si="31"/>
        <v/>
      </c>
    </row>
    <row r="2042" spans="3:7" x14ac:dyDescent="0.3">
      <c r="C2042" t="str">
        <f>IFERROR(IF(B2042="","",VLOOKUP(B2042,CadProd!$A:$B,2,0)),"")</f>
        <v/>
      </c>
      <c r="D2042" t="str">
        <f>IFERROR(IF(B2042="","",VLOOKUP(B2042,CadProd!$A:$C,3,0)),"")</f>
        <v/>
      </c>
      <c r="G2042" s="1" t="str">
        <f t="shared" si="31"/>
        <v/>
      </c>
    </row>
    <row r="2043" spans="3:7" x14ac:dyDescent="0.3">
      <c r="C2043" t="str">
        <f>IFERROR(IF(B2043="","",VLOOKUP(B2043,CadProd!$A:$B,2,0)),"")</f>
        <v/>
      </c>
      <c r="D2043" t="str">
        <f>IFERROR(IF(B2043="","",VLOOKUP(B2043,CadProd!$A:$C,3,0)),"")</f>
        <v/>
      </c>
      <c r="G2043" s="1" t="str">
        <f t="shared" si="31"/>
        <v/>
      </c>
    </row>
    <row r="2044" spans="3:7" x14ac:dyDescent="0.3">
      <c r="C2044" t="str">
        <f>IFERROR(IF(B2044="","",VLOOKUP(B2044,CadProd!$A:$B,2,0)),"")</f>
        <v/>
      </c>
      <c r="D2044" t="str">
        <f>IFERROR(IF(B2044="","",VLOOKUP(B2044,CadProd!$A:$C,3,0)),"")</f>
        <v/>
      </c>
      <c r="G2044" s="1" t="str">
        <f t="shared" si="31"/>
        <v/>
      </c>
    </row>
    <row r="2045" spans="3:7" x14ac:dyDescent="0.3">
      <c r="C2045" t="str">
        <f>IFERROR(IF(B2045="","",VLOOKUP(B2045,CadProd!$A:$B,2,0)),"")</f>
        <v/>
      </c>
      <c r="D2045" t="str">
        <f>IFERROR(IF(B2045="","",VLOOKUP(B2045,CadProd!$A:$C,3,0)),"")</f>
        <v/>
      </c>
      <c r="G2045" s="1" t="str">
        <f t="shared" si="31"/>
        <v/>
      </c>
    </row>
    <row r="2046" spans="3:7" x14ac:dyDescent="0.3">
      <c r="C2046" t="str">
        <f>IFERROR(IF(B2046="","",VLOOKUP(B2046,CadProd!$A:$B,2,0)),"")</f>
        <v/>
      </c>
      <c r="D2046" t="str">
        <f>IFERROR(IF(B2046="","",VLOOKUP(B2046,CadProd!$A:$C,3,0)),"")</f>
        <v/>
      </c>
      <c r="G2046" s="1" t="str">
        <f t="shared" si="31"/>
        <v/>
      </c>
    </row>
    <row r="2047" spans="3:7" x14ac:dyDescent="0.3">
      <c r="C2047" t="str">
        <f>IFERROR(IF(B2047="","",VLOOKUP(B2047,CadProd!$A:$B,2,0)),"")</f>
        <v/>
      </c>
      <c r="D2047" t="str">
        <f>IFERROR(IF(B2047="","",VLOOKUP(B2047,CadProd!$A:$C,3,0)),"")</f>
        <v/>
      </c>
      <c r="G2047" s="1" t="str">
        <f t="shared" si="31"/>
        <v/>
      </c>
    </row>
    <row r="2048" spans="3:7" x14ac:dyDescent="0.3">
      <c r="C2048" t="str">
        <f>IFERROR(IF(B2048="","",VLOOKUP(B2048,CadProd!$A:$B,2,0)),"")</f>
        <v/>
      </c>
      <c r="D2048" t="str">
        <f>IFERROR(IF(B2048="","",VLOOKUP(B2048,CadProd!$A:$C,3,0)),"")</f>
        <v/>
      </c>
      <c r="G2048" s="1" t="str">
        <f t="shared" si="31"/>
        <v/>
      </c>
    </row>
    <row r="2049" spans="3:7" x14ac:dyDescent="0.3">
      <c r="C2049" t="str">
        <f>IFERROR(IF(B2049="","",VLOOKUP(B2049,CadProd!$A:$B,2,0)),"")</f>
        <v/>
      </c>
      <c r="D2049" t="str">
        <f>IFERROR(IF(B2049="","",VLOOKUP(B2049,CadProd!$A:$C,3,0)),"")</f>
        <v/>
      </c>
      <c r="G2049" s="1" t="str">
        <f t="shared" si="31"/>
        <v/>
      </c>
    </row>
    <row r="2050" spans="3:7" x14ac:dyDescent="0.3">
      <c r="C2050" t="str">
        <f>IFERROR(IF(B2050="","",VLOOKUP(B2050,CadProd!$A:$B,2,0)),"")</f>
        <v/>
      </c>
      <c r="D2050" t="str">
        <f>IFERROR(IF(B2050="","",VLOOKUP(B2050,CadProd!$A:$C,3,0)),"")</f>
        <v/>
      </c>
      <c r="G2050" s="1" t="str">
        <f t="shared" si="31"/>
        <v/>
      </c>
    </row>
    <row r="2051" spans="3:7" x14ac:dyDescent="0.3">
      <c r="C2051" t="str">
        <f>IFERROR(IF(B2051="","",VLOOKUP(B2051,CadProd!$A:$B,2,0)),"")</f>
        <v/>
      </c>
      <c r="D2051" t="str">
        <f>IFERROR(IF(B2051="","",VLOOKUP(B2051,CadProd!$A:$C,3,0)),"")</f>
        <v/>
      </c>
      <c r="G2051" s="1" t="str">
        <f t="shared" si="31"/>
        <v/>
      </c>
    </row>
    <row r="2052" spans="3:7" x14ac:dyDescent="0.3">
      <c r="C2052" t="str">
        <f>IFERROR(IF(B2052="","",VLOOKUP(B2052,CadProd!$A:$B,2,0)),"")</f>
        <v/>
      </c>
      <c r="D2052" t="str">
        <f>IFERROR(IF(B2052="","",VLOOKUP(B2052,CadProd!$A:$C,3,0)),"")</f>
        <v/>
      </c>
      <c r="G2052" s="1" t="str">
        <f t="shared" si="31"/>
        <v/>
      </c>
    </row>
    <row r="2053" spans="3:7" x14ac:dyDescent="0.3">
      <c r="C2053" t="str">
        <f>IFERROR(IF(B2053="","",VLOOKUP(B2053,CadProd!$A:$B,2,0)),"")</f>
        <v/>
      </c>
      <c r="D2053" t="str">
        <f>IFERROR(IF(B2053="","",VLOOKUP(B2053,CadProd!$A:$C,3,0)),"")</f>
        <v/>
      </c>
      <c r="G2053" s="1" t="str">
        <f t="shared" si="31"/>
        <v/>
      </c>
    </row>
    <row r="2054" spans="3:7" x14ac:dyDescent="0.3">
      <c r="C2054" t="str">
        <f>IFERROR(IF(B2054="","",VLOOKUP(B2054,CadProd!$A:$B,2,0)),"")</f>
        <v/>
      </c>
      <c r="D2054" t="str">
        <f>IFERROR(IF(B2054="","",VLOOKUP(B2054,CadProd!$A:$C,3,0)),"")</f>
        <v/>
      </c>
      <c r="G2054" s="1" t="str">
        <f t="shared" si="31"/>
        <v/>
      </c>
    </row>
    <row r="2055" spans="3:7" x14ac:dyDescent="0.3">
      <c r="C2055" t="str">
        <f>IFERROR(IF(B2055="","",VLOOKUP(B2055,CadProd!$A:$B,2,0)),"")</f>
        <v/>
      </c>
      <c r="D2055" t="str">
        <f>IFERROR(IF(B2055="","",VLOOKUP(B2055,CadProd!$A:$C,3,0)),"")</f>
        <v/>
      </c>
      <c r="G2055" s="1" t="str">
        <f t="shared" si="31"/>
        <v/>
      </c>
    </row>
    <row r="2056" spans="3:7" x14ac:dyDescent="0.3">
      <c r="C2056" t="str">
        <f>IFERROR(IF(B2056="","",VLOOKUP(B2056,CadProd!$A:$B,2,0)),"")</f>
        <v/>
      </c>
      <c r="D2056" t="str">
        <f>IFERROR(IF(B2056="","",VLOOKUP(B2056,CadProd!$A:$C,3,0)),"")</f>
        <v/>
      </c>
      <c r="G2056" s="1" t="str">
        <f t="shared" si="31"/>
        <v/>
      </c>
    </row>
    <row r="2057" spans="3:7" x14ac:dyDescent="0.3">
      <c r="C2057" t="str">
        <f>IFERROR(IF(B2057="","",VLOOKUP(B2057,CadProd!$A:$B,2,0)),"")</f>
        <v/>
      </c>
      <c r="D2057" t="str">
        <f>IFERROR(IF(B2057="","",VLOOKUP(B2057,CadProd!$A:$C,3,0)),"")</f>
        <v/>
      </c>
      <c r="G2057" s="1" t="str">
        <f t="shared" si="31"/>
        <v/>
      </c>
    </row>
    <row r="2058" spans="3:7" x14ac:dyDescent="0.3">
      <c r="C2058" t="str">
        <f>IFERROR(IF(B2058="","",VLOOKUP(B2058,CadProd!$A:$B,2,0)),"")</f>
        <v/>
      </c>
      <c r="D2058" t="str">
        <f>IFERROR(IF(B2058="","",VLOOKUP(B2058,CadProd!$A:$C,3,0)),"")</f>
        <v/>
      </c>
      <c r="G2058" s="1" t="str">
        <f t="shared" si="31"/>
        <v/>
      </c>
    </row>
    <row r="2059" spans="3:7" x14ac:dyDescent="0.3">
      <c r="C2059" t="str">
        <f>IFERROR(IF(B2059="","",VLOOKUP(B2059,CadProd!$A:$B,2,0)),"")</f>
        <v/>
      </c>
      <c r="D2059" t="str">
        <f>IFERROR(IF(B2059="","",VLOOKUP(B2059,CadProd!$A:$C,3,0)),"")</f>
        <v/>
      </c>
      <c r="G2059" s="1" t="str">
        <f t="shared" ref="G2059:G2122" si="32">IFERROR(IF(B2059="","",F2059*E2059),"")</f>
        <v/>
      </c>
    </row>
    <row r="2060" spans="3:7" x14ac:dyDescent="0.3">
      <c r="C2060" t="str">
        <f>IFERROR(IF(B2060="","",VLOOKUP(B2060,CadProd!$A:$B,2,0)),"")</f>
        <v/>
      </c>
      <c r="D2060" t="str">
        <f>IFERROR(IF(B2060="","",VLOOKUP(B2060,CadProd!$A:$C,3,0)),"")</f>
        <v/>
      </c>
      <c r="G2060" s="1" t="str">
        <f t="shared" si="32"/>
        <v/>
      </c>
    </row>
    <row r="2061" spans="3:7" x14ac:dyDescent="0.3">
      <c r="C2061" t="str">
        <f>IFERROR(IF(B2061="","",VLOOKUP(B2061,CadProd!$A:$B,2,0)),"")</f>
        <v/>
      </c>
      <c r="D2061" t="str">
        <f>IFERROR(IF(B2061="","",VLOOKUP(B2061,CadProd!$A:$C,3,0)),"")</f>
        <v/>
      </c>
      <c r="G2061" s="1" t="str">
        <f t="shared" si="32"/>
        <v/>
      </c>
    </row>
    <row r="2062" spans="3:7" x14ac:dyDescent="0.3">
      <c r="C2062" t="str">
        <f>IFERROR(IF(B2062="","",VLOOKUP(B2062,CadProd!$A:$B,2,0)),"")</f>
        <v/>
      </c>
      <c r="D2062" t="str">
        <f>IFERROR(IF(B2062="","",VLOOKUP(B2062,CadProd!$A:$C,3,0)),"")</f>
        <v/>
      </c>
      <c r="G2062" s="1" t="str">
        <f t="shared" si="32"/>
        <v/>
      </c>
    </row>
    <row r="2063" spans="3:7" x14ac:dyDescent="0.3">
      <c r="C2063" t="str">
        <f>IFERROR(IF(B2063="","",VLOOKUP(B2063,CadProd!$A:$B,2,0)),"")</f>
        <v/>
      </c>
      <c r="D2063" t="str">
        <f>IFERROR(IF(B2063="","",VLOOKUP(B2063,CadProd!$A:$C,3,0)),"")</f>
        <v/>
      </c>
      <c r="G2063" s="1" t="str">
        <f t="shared" si="32"/>
        <v/>
      </c>
    </row>
    <row r="2064" spans="3:7" x14ac:dyDescent="0.3">
      <c r="C2064" t="str">
        <f>IFERROR(IF(B2064="","",VLOOKUP(B2064,CadProd!$A:$B,2,0)),"")</f>
        <v/>
      </c>
      <c r="D2064" t="str">
        <f>IFERROR(IF(B2064="","",VLOOKUP(B2064,CadProd!$A:$C,3,0)),"")</f>
        <v/>
      </c>
      <c r="G2064" s="1" t="str">
        <f t="shared" si="32"/>
        <v/>
      </c>
    </row>
    <row r="2065" spans="3:7" x14ac:dyDescent="0.3">
      <c r="C2065" t="str">
        <f>IFERROR(IF(B2065="","",VLOOKUP(B2065,CadProd!$A:$B,2,0)),"")</f>
        <v/>
      </c>
      <c r="D2065" t="str">
        <f>IFERROR(IF(B2065="","",VLOOKUP(B2065,CadProd!$A:$C,3,0)),"")</f>
        <v/>
      </c>
      <c r="G2065" s="1" t="str">
        <f t="shared" si="32"/>
        <v/>
      </c>
    </row>
    <row r="2066" spans="3:7" x14ac:dyDescent="0.3">
      <c r="C2066" t="str">
        <f>IFERROR(IF(B2066="","",VLOOKUP(B2066,CadProd!$A:$B,2,0)),"")</f>
        <v/>
      </c>
      <c r="D2066" t="str">
        <f>IFERROR(IF(B2066="","",VLOOKUP(B2066,CadProd!$A:$C,3,0)),"")</f>
        <v/>
      </c>
      <c r="G2066" s="1" t="str">
        <f t="shared" si="32"/>
        <v/>
      </c>
    </row>
    <row r="2067" spans="3:7" x14ac:dyDescent="0.3">
      <c r="C2067" t="str">
        <f>IFERROR(IF(B2067="","",VLOOKUP(B2067,CadProd!$A:$B,2,0)),"")</f>
        <v/>
      </c>
      <c r="D2067" t="str">
        <f>IFERROR(IF(B2067="","",VLOOKUP(B2067,CadProd!$A:$C,3,0)),"")</f>
        <v/>
      </c>
      <c r="G2067" s="1" t="str">
        <f t="shared" si="32"/>
        <v/>
      </c>
    </row>
    <row r="2068" spans="3:7" x14ac:dyDescent="0.3">
      <c r="C2068" t="str">
        <f>IFERROR(IF(B2068="","",VLOOKUP(B2068,CadProd!$A:$B,2,0)),"")</f>
        <v/>
      </c>
      <c r="D2068" t="str">
        <f>IFERROR(IF(B2068="","",VLOOKUP(B2068,CadProd!$A:$C,3,0)),"")</f>
        <v/>
      </c>
      <c r="G2068" s="1" t="str">
        <f t="shared" si="32"/>
        <v/>
      </c>
    </row>
    <row r="2069" spans="3:7" x14ac:dyDescent="0.3">
      <c r="C2069" t="str">
        <f>IFERROR(IF(B2069="","",VLOOKUP(B2069,CadProd!$A:$B,2,0)),"")</f>
        <v/>
      </c>
      <c r="D2069" t="str">
        <f>IFERROR(IF(B2069="","",VLOOKUP(B2069,CadProd!$A:$C,3,0)),"")</f>
        <v/>
      </c>
      <c r="G2069" s="1" t="str">
        <f t="shared" si="32"/>
        <v/>
      </c>
    </row>
    <row r="2070" spans="3:7" x14ac:dyDescent="0.3">
      <c r="C2070" t="str">
        <f>IFERROR(IF(B2070="","",VLOOKUP(B2070,CadProd!$A:$B,2,0)),"")</f>
        <v/>
      </c>
      <c r="D2070" t="str">
        <f>IFERROR(IF(B2070="","",VLOOKUP(B2070,CadProd!$A:$C,3,0)),"")</f>
        <v/>
      </c>
      <c r="G2070" s="1" t="str">
        <f t="shared" si="32"/>
        <v/>
      </c>
    </row>
    <row r="2071" spans="3:7" x14ac:dyDescent="0.3">
      <c r="C2071" t="str">
        <f>IFERROR(IF(B2071="","",VLOOKUP(B2071,CadProd!$A:$B,2,0)),"")</f>
        <v/>
      </c>
      <c r="D2071" t="str">
        <f>IFERROR(IF(B2071="","",VLOOKUP(B2071,CadProd!$A:$C,3,0)),"")</f>
        <v/>
      </c>
      <c r="G2071" s="1" t="str">
        <f t="shared" si="32"/>
        <v/>
      </c>
    </row>
    <row r="2072" spans="3:7" x14ac:dyDescent="0.3">
      <c r="C2072" t="str">
        <f>IFERROR(IF(B2072="","",VLOOKUP(B2072,CadProd!$A:$B,2,0)),"")</f>
        <v/>
      </c>
      <c r="D2072" t="str">
        <f>IFERROR(IF(B2072="","",VLOOKUP(B2072,CadProd!$A:$C,3,0)),"")</f>
        <v/>
      </c>
      <c r="G2072" s="1" t="str">
        <f t="shared" si="32"/>
        <v/>
      </c>
    </row>
    <row r="2073" spans="3:7" x14ac:dyDescent="0.3">
      <c r="C2073" t="str">
        <f>IFERROR(IF(B2073="","",VLOOKUP(B2073,CadProd!$A:$B,2,0)),"")</f>
        <v/>
      </c>
      <c r="D2073" t="str">
        <f>IFERROR(IF(B2073="","",VLOOKUP(B2073,CadProd!$A:$C,3,0)),"")</f>
        <v/>
      </c>
      <c r="G2073" s="1" t="str">
        <f t="shared" si="32"/>
        <v/>
      </c>
    </row>
    <row r="2074" spans="3:7" x14ac:dyDescent="0.3">
      <c r="C2074" t="str">
        <f>IFERROR(IF(B2074="","",VLOOKUP(B2074,CadProd!$A:$B,2,0)),"")</f>
        <v/>
      </c>
      <c r="D2074" t="str">
        <f>IFERROR(IF(B2074="","",VLOOKUP(B2074,CadProd!$A:$C,3,0)),"")</f>
        <v/>
      </c>
      <c r="G2074" s="1" t="str">
        <f t="shared" si="32"/>
        <v/>
      </c>
    </row>
    <row r="2075" spans="3:7" x14ac:dyDescent="0.3">
      <c r="C2075" t="str">
        <f>IFERROR(IF(B2075="","",VLOOKUP(B2075,CadProd!$A:$B,2,0)),"")</f>
        <v/>
      </c>
      <c r="D2075" t="str">
        <f>IFERROR(IF(B2075="","",VLOOKUP(B2075,CadProd!$A:$C,3,0)),"")</f>
        <v/>
      </c>
      <c r="G2075" s="1" t="str">
        <f t="shared" si="32"/>
        <v/>
      </c>
    </row>
    <row r="2076" spans="3:7" x14ac:dyDescent="0.3">
      <c r="C2076" t="str">
        <f>IFERROR(IF(B2076="","",VLOOKUP(B2076,CadProd!$A:$B,2,0)),"")</f>
        <v/>
      </c>
      <c r="D2076" t="str">
        <f>IFERROR(IF(B2076="","",VLOOKUP(B2076,CadProd!$A:$C,3,0)),"")</f>
        <v/>
      </c>
      <c r="G2076" s="1" t="str">
        <f t="shared" si="32"/>
        <v/>
      </c>
    </row>
    <row r="2077" spans="3:7" x14ac:dyDescent="0.3">
      <c r="C2077" t="str">
        <f>IFERROR(IF(B2077="","",VLOOKUP(B2077,CadProd!$A:$B,2,0)),"")</f>
        <v/>
      </c>
      <c r="D2077" t="str">
        <f>IFERROR(IF(B2077="","",VLOOKUP(B2077,CadProd!$A:$C,3,0)),"")</f>
        <v/>
      </c>
      <c r="G2077" s="1" t="str">
        <f t="shared" si="32"/>
        <v/>
      </c>
    </row>
    <row r="2078" spans="3:7" x14ac:dyDescent="0.3">
      <c r="C2078" t="str">
        <f>IFERROR(IF(B2078="","",VLOOKUP(B2078,CadProd!$A:$B,2,0)),"")</f>
        <v/>
      </c>
      <c r="D2078" t="str">
        <f>IFERROR(IF(B2078="","",VLOOKUP(B2078,CadProd!$A:$C,3,0)),"")</f>
        <v/>
      </c>
      <c r="G2078" s="1" t="str">
        <f t="shared" si="32"/>
        <v/>
      </c>
    </row>
    <row r="2079" spans="3:7" x14ac:dyDescent="0.3">
      <c r="C2079" t="str">
        <f>IFERROR(IF(B2079="","",VLOOKUP(B2079,CadProd!$A:$B,2,0)),"")</f>
        <v/>
      </c>
      <c r="D2079" t="str">
        <f>IFERROR(IF(B2079="","",VLOOKUP(B2079,CadProd!$A:$C,3,0)),"")</f>
        <v/>
      </c>
      <c r="G2079" s="1" t="str">
        <f t="shared" si="32"/>
        <v/>
      </c>
    </row>
    <row r="2080" spans="3:7" x14ac:dyDescent="0.3">
      <c r="C2080" t="str">
        <f>IFERROR(IF(B2080="","",VLOOKUP(B2080,CadProd!$A:$B,2,0)),"")</f>
        <v/>
      </c>
      <c r="D2080" t="str">
        <f>IFERROR(IF(B2080="","",VLOOKUP(B2080,CadProd!$A:$C,3,0)),"")</f>
        <v/>
      </c>
      <c r="G2080" s="1" t="str">
        <f t="shared" si="32"/>
        <v/>
      </c>
    </row>
    <row r="2081" spans="3:7" x14ac:dyDescent="0.3">
      <c r="C2081" t="str">
        <f>IFERROR(IF(B2081="","",VLOOKUP(B2081,CadProd!$A:$B,2,0)),"")</f>
        <v/>
      </c>
      <c r="D2081" t="str">
        <f>IFERROR(IF(B2081="","",VLOOKUP(B2081,CadProd!$A:$C,3,0)),"")</f>
        <v/>
      </c>
      <c r="G2081" s="1" t="str">
        <f t="shared" si="32"/>
        <v/>
      </c>
    </row>
    <row r="2082" spans="3:7" x14ac:dyDescent="0.3">
      <c r="C2082" t="str">
        <f>IFERROR(IF(B2082="","",VLOOKUP(B2082,CadProd!$A:$B,2,0)),"")</f>
        <v/>
      </c>
      <c r="D2082" t="str">
        <f>IFERROR(IF(B2082="","",VLOOKUP(B2082,CadProd!$A:$C,3,0)),"")</f>
        <v/>
      </c>
      <c r="G2082" s="1" t="str">
        <f t="shared" si="32"/>
        <v/>
      </c>
    </row>
    <row r="2083" spans="3:7" x14ac:dyDescent="0.3">
      <c r="C2083" t="str">
        <f>IFERROR(IF(B2083="","",VLOOKUP(B2083,CadProd!$A:$B,2,0)),"")</f>
        <v/>
      </c>
      <c r="D2083" t="str">
        <f>IFERROR(IF(B2083="","",VLOOKUP(B2083,CadProd!$A:$C,3,0)),"")</f>
        <v/>
      </c>
      <c r="G2083" s="1" t="str">
        <f t="shared" si="32"/>
        <v/>
      </c>
    </row>
    <row r="2084" spans="3:7" x14ac:dyDescent="0.3">
      <c r="C2084" t="str">
        <f>IFERROR(IF(B2084="","",VLOOKUP(B2084,CadProd!$A:$B,2,0)),"")</f>
        <v/>
      </c>
      <c r="D2084" t="str">
        <f>IFERROR(IF(B2084="","",VLOOKUP(B2084,CadProd!$A:$C,3,0)),"")</f>
        <v/>
      </c>
      <c r="G2084" s="1" t="str">
        <f t="shared" si="32"/>
        <v/>
      </c>
    </row>
    <row r="2085" spans="3:7" x14ac:dyDescent="0.3">
      <c r="C2085" t="str">
        <f>IFERROR(IF(B2085="","",VLOOKUP(B2085,CadProd!$A:$B,2,0)),"")</f>
        <v/>
      </c>
      <c r="D2085" t="str">
        <f>IFERROR(IF(B2085="","",VLOOKUP(B2085,CadProd!$A:$C,3,0)),"")</f>
        <v/>
      </c>
      <c r="G2085" s="1" t="str">
        <f t="shared" si="32"/>
        <v/>
      </c>
    </row>
    <row r="2086" spans="3:7" x14ac:dyDescent="0.3">
      <c r="C2086" t="str">
        <f>IFERROR(IF(B2086="","",VLOOKUP(B2086,CadProd!$A:$B,2,0)),"")</f>
        <v/>
      </c>
      <c r="D2086" t="str">
        <f>IFERROR(IF(B2086="","",VLOOKUP(B2086,CadProd!$A:$C,3,0)),"")</f>
        <v/>
      </c>
      <c r="G2086" s="1" t="str">
        <f t="shared" si="32"/>
        <v/>
      </c>
    </row>
    <row r="2087" spans="3:7" x14ac:dyDescent="0.3">
      <c r="C2087" t="str">
        <f>IFERROR(IF(B2087="","",VLOOKUP(B2087,CadProd!$A:$B,2,0)),"")</f>
        <v/>
      </c>
      <c r="D2087" t="str">
        <f>IFERROR(IF(B2087="","",VLOOKUP(B2087,CadProd!$A:$C,3,0)),"")</f>
        <v/>
      </c>
      <c r="G2087" s="1" t="str">
        <f t="shared" si="32"/>
        <v/>
      </c>
    </row>
    <row r="2088" spans="3:7" x14ac:dyDescent="0.3">
      <c r="C2088" t="str">
        <f>IFERROR(IF(B2088="","",VLOOKUP(B2088,CadProd!$A:$B,2,0)),"")</f>
        <v/>
      </c>
      <c r="D2088" t="str">
        <f>IFERROR(IF(B2088="","",VLOOKUP(B2088,CadProd!$A:$C,3,0)),"")</f>
        <v/>
      </c>
      <c r="G2088" s="1" t="str">
        <f t="shared" si="32"/>
        <v/>
      </c>
    </row>
    <row r="2089" spans="3:7" x14ac:dyDescent="0.3">
      <c r="C2089" t="str">
        <f>IFERROR(IF(B2089="","",VLOOKUP(B2089,CadProd!$A:$B,2,0)),"")</f>
        <v/>
      </c>
      <c r="D2089" t="str">
        <f>IFERROR(IF(B2089="","",VLOOKUP(B2089,CadProd!$A:$C,3,0)),"")</f>
        <v/>
      </c>
      <c r="G2089" s="1" t="str">
        <f t="shared" si="32"/>
        <v/>
      </c>
    </row>
    <row r="2090" spans="3:7" x14ac:dyDescent="0.3">
      <c r="C2090" t="str">
        <f>IFERROR(IF(B2090="","",VLOOKUP(B2090,CadProd!$A:$B,2,0)),"")</f>
        <v/>
      </c>
      <c r="D2090" t="str">
        <f>IFERROR(IF(B2090="","",VLOOKUP(B2090,CadProd!$A:$C,3,0)),"")</f>
        <v/>
      </c>
      <c r="G2090" s="1" t="str">
        <f t="shared" si="32"/>
        <v/>
      </c>
    </row>
    <row r="2091" spans="3:7" x14ac:dyDescent="0.3">
      <c r="C2091" t="str">
        <f>IFERROR(IF(B2091="","",VLOOKUP(B2091,CadProd!$A:$B,2,0)),"")</f>
        <v/>
      </c>
      <c r="D2091" t="str">
        <f>IFERROR(IF(B2091="","",VLOOKUP(B2091,CadProd!$A:$C,3,0)),"")</f>
        <v/>
      </c>
      <c r="G2091" s="1" t="str">
        <f t="shared" si="32"/>
        <v/>
      </c>
    </row>
    <row r="2092" spans="3:7" x14ac:dyDescent="0.3">
      <c r="C2092" t="str">
        <f>IFERROR(IF(B2092="","",VLOOKUP(B2092,CadProd!$A:$B,2,0)),"")</f>
        <v/>
      </c>
      <c r="D2092" t="str">
        <f>IFERROR(IF(B2092="","",VLOOKUP(B2092,CadProd!$A:$C,3,0)),"")</f>
        <v/>
      </c>
      <c r="G2092" s="1" t="str">
        <f t="shared" si="32"/>
        <v/>
      </c>
    </row>
    <row r="2093" spans="3:7" x14ac:dyDescent="0.3">
      <c r="C2093" t="str">
        <f>IFERROR(IF(B2093="","",VLOOKUP(B2093,CadProd!$A:$B,2,0)),"")</f>
        <v/>
      </c>
      <c r="D2093" t="str">
        <f>IFERROR(IF(B2093="","",VLOOKUP(B2093,CadProd!$A:$C,3,0)),"")</f>
        <v/>
      </c>
      <c r="G2093" s="1" t="str">
        <f t="shared" si="32"/>
        <v/>
      </c>
    </row>
    <row r="2094" spans="3:7" x14ac:dyDescent="0.3">
      <c r="C2094" t="str">
        <f>IFERROR(IF(B2094="","",VLOOKUP(B2094,CadProd!$A:$B,2,0)),"")</f>
        <v/>
      </c>
      <c r="D2094" t="str">
        <f>IFERROR(IF(B2094="","",VLOOKUP(B2094,CadProd!$A:$C,3,0)),"")</f>
        <v/>
      </c>
      <c r="G2094" s="1" t="str">
        <f t="shared" si="32"/>
        <v/>
      </c>
    </row>
    <row r="2095" spans="3:7" x14ac:dyDescent="0.3">
      <c r="C2095" t="str">
        <f>IFERROR(IF(B2095="","",VLOOKUP(B2095,CadProd!$A:$B,2,0)),"")</f>
        <v/>
      </c>
      <c r="D2095" t="str">
        <f>IFERROR(IF(B2095="","",VLOOKUP(B2095,CadProd!$A:$C,3,0)),"")</f>
        <v/>
      </c>
      <c r="G2095" s="1" t="str">
        <f t="shared" si="32"/>
        <v/>
      </c>
    </row>
    <row r="2096" spans="3:7" x14ac:dyDescent="0.3">
      <c r="C2096" t="str">
        <f>IFERROR(IF(B2096="","",VLOOKUP(B2096,CadProd!$A:$B,2,0)),"")</f>
        <v/>
      </c>
      <c r="D2096" t="str">
        <f>IFERROR(IF(B2096="","",VLOOKUP(B2096,CadProd!$A:$C,3,0)),"")</f>
        <v/>
      </c>
      <c r="G2096" s="1" t="str">
        <f t="shared" si="32"/>
        <v/>
      </c>
    </row>
    <row r="2097" spans="3:7" x14ac:dyDescent="0.3">
      <c r="C2097" t="str">
        <f>IFERROR(IF(B2097="","",VLOOKUP(B2097,CadProd!$A:$B,2,0)),"")</f>
        <v/>
      </c>
      <c r="D2097" t="str">
        <f>IFERROR(IF(B2097="","",VLOOKUP(B2097,CadProd!$A:$C,3,0)),"")</f>
        <v/>
      </c>
      <c r="G2097" s="1" t="str">
        <f t="shared" si="32"/>
        <v/>
      </c>
    </row>
    <row r="2098" spans="3:7" x14ac:dyDescent="0.3">
      <c r="C2098" t="str">
        <f>IFERROR(IF(B2098="","",VLOOKUP(B2098,CadProd!$A:$B,2,0)),"")</f>
        <v/>
      </c>
      <c r="D2098" t="str">
        <f>IFERROR(IF(B2098="","",VLOOKUP(B2098,CadProd!$A:$C,3,0)),"")</f>
        <v/>
      </c>
      <c r="G2098" s="1" t="str">
        <f t="shared" si="32"/>
        <v/>
      </c>
    </row>
    <row r="2099" spans="3:7" x14ac:dyDescent="0.3">
      <c r="C2099" t="str">
        <f>IFERROR(IF(B2099="","",VLOOKUP(B2099,CadProd!$A:$B,2,0)),"")</f>
        <v/>
      </c>
      <c r="D2099" t="str">
        <f>IFERROR(IF(B2099="","",VLOOKUP(B2099,CadProd!$A:$C,3,0)),"")</f>
        <v/>
      </c>
      <c r="G2099" s="1" t="str">
        <f t="shared" si="32"/>
        <v/>
      </c>
    </row>
    <row r="2100" spans="3:7" x14ac:dyDescent="0.3">
      <c r="C2100" t="str">
        <f>IFERROR(IF(B2100="","",VLOOKUP(B2100,CadProd!$A:$B,2,0)),"")</f>
        <v/>
      </c>
      <c r="D2100" t="str">
        <f>IFERROR(IF(B2100="","",VLOOKUP(B2100,CadProd!$A:$C,3,0)),"")</f>
        <v/>
      </c>
      <c r="G2100" s="1" t="str">
        <f t="shared" si="32"/>
        <v/>
      </c>
    </row>
    <row r="2101" spans="3:7" x14ac:dyDescent="0.3">
      <c r="C2101" t="str">
        <f>IFERROR(IF(B2101="","",VLOOKUP(B2101,CadProd!$A:$B,2,0)),"")</f>
        <v/>
      </c>
      <c r="D2101" t="str">
        <f>IFERROR(IF(B2101="","",VLOOKUP(B2101,CadProd!$A:$C,3,0)),"")</f>
        <v/>
      </c>
      <c r="G2101" s="1" t="str">
        <f t="shared" si="32"/>
        <v/>
      </c>
    </row>
    <row r="2102" spans="3:7" x14ac:dyDescent="0.3">
      <c r="C2102" t="str">
        <f>IFERROR(IF(B2102="","",VLOOKUP(B2102,CadProd!$A:$B,2,0)),"")</f>
        <v/>
      </c>
      <c r="D2102" t="str">
        <f>IFERROR(IF(B2102="","",VLOOKUP(B2102,CadProd!$A:$C,3,0)),"")</f>
        <v/>
      </c>
      <c r="G2102" s="1" t="str">
        <f t="shared" si="32"/>
        <v/>
      </c>
    </row>
    <row r="2103" spans="3:7" x14ac:dyDescent="0.3">
      <c r="C2103" t="str">
        <f>IFERROR(IF(B2103="","",VLOOKUP(B2103,CadProd!$A:$B,2,0)),"")</f>
        <v/>
      </c>
      <c r="D2103" t="str">
        <f>IFERROR(IF(B2103="","",VLOOKUP(B2103,CadProd!$A:$C,3,0)),"")</f>
        <v/>
      </c>
      <c r="G2103" s="1" t="str">
        <f t="shared" si="32"/>
        <v/>
      </c>
    </row>
    <row r="2104" spans="3:7" x14ac:dyDescent="0.3">
      <c r="C2104" t="str">
        <f>IFERROR(IF(B2104="","",VLOOKUP(B2104,CadProd!$A:$B,2,0)),"")</f>
        <v/>
      </c>
      <c r="D2104" t="str">
        <f>IFERROR(IF(B2104="","",VLOOKUP(B2104,CadProd!$A:$C,3,0)),"")</f>
        <v/>
      </c>
      <c r="G2104" s="1" t="str">
        <f t="shared" si="32"/>
        <v/>
      </c>
    </row>
    <row r="2105" spans="3:7" x14ac:dyDescent="0.3">
      <c r="C2105" t="str">
        <f>IFERROR(IF(B2105="","",VLOOKUP(B2105,CadProd!$A:$B,2,0)),"")</f>
        <v/>
      </c>
      <c r="D2105" t="str">
        <f>IFERROR(IF(B2105="","",VLOOKUP(B2105,CadProd!$A:$C,3,0)),"")</f>
        <v/>
      </c>
      <c r="G2105" s="1" t="str">
        <f t="shared" si="32"/>
        <v/>
      </c>
    </row>
    <row r="2106" spans="3:7" x14ac:dyDescent="0.3">
      <c r="C2106" t="str">
        <f>IFERROR(IF(B2106="","",VLOOKUP(B2106,CadProd!$A:$B,2,0)),"")</f>
        <v/>
      </c>
      <c r="D2106" t="str">
        <f>IFERROR(IF(B2106="","",VLOOKUP(B2106,CadProd!$A:$C,3,0)),"")</f>
        <v/>
      </c>
      <c r="G2106" s="1" t="str">
        <f t="shared" si="32"/>
        <v/>
      </c>
    </row>
    <row r="2107" spans="3:7" x14ac:dyDescent="0.3">
      <c r="C2107" t="str">
        <f>IFERROR(IF(B2107="","",VLOOKUP(B2107,CadProd!$A:$B,2,0)),"")</f>
        <v/>
      </c>
      <c r="D2107" t="str">
        <f>IFERROR(IF(B2107="","",VLOOKUP(B2107,CadProd!$A:$C,3,0)),"")</f>
        <v/>
      </c>
      <c r="G2107" s="1" t="str">
        <f t="shared" si="32"/>
        <v/>
      </c>
    </row>
    <row r="2108" spans="3:7" x14ac:dyDescent="0.3">
      <c r="C2108" t="str">
        <f>IFERROR(IF(B2108="","",VLOOKUP(B2108,CadProd!$A:$B,2,0)),"")</f>
        <v/>
      </c>
      <c r="D2108" t="str">
        <f>IFERROR(IF(B2108="","",VLOOKUP(B2108,CadProd!$A:$C,3,0)),"")</f>
        <v/>
      </c>
      <c r="G2108" s="1" t="str">
        <f t="shared" si="32"/>
        <v/>
      </c>
    </row>
    <row r="2109" spans="3:7" x14ac:dyDescent="0.3">
      <c r="C2109" t="str">
        <f>IFERROR(IF(B2109="","",VLOOKUP(B2109,CadProd!$A:$B,2,0)),"")</f>
        <v/>
      </c>
      <c r="D2109" t="str">
        <f>IFERROR(IF(B2109="","",VLOOKUP(B2109,CadProd!$A:$C,3,0)),"")</f>
        <v/>
      </c>
      <c r="G2109" s="1" t="str">
        <f t="shared" si="32"/>
        <v/>
      </c>
    </row>
    <row r="2110" spans="3:7" x14ac:dyDescent="0.3">
      <c r="C2110" t="str">
        <f>IFERROR(IF(B2110="","",VLOOKUP(B2110,CadProd!$A:$B,2,0)),"")</f>
        <v/>
      </c>
      <c r="D2110" t="str">
        <f>IFERROR(IF(B2110="","",VLOOKUP(B2110,CadProd!$A:$C,3,0)),"")</f>
        <v/>
      </c>
      <c r="G2110" s="1" t="str">
        <f t="shared" si="32"/>
        <v/>
      </c>
    </row>
    <row r="2111" spans="3:7" x14ac:dyDescent="0.3">
      <c r="C2111" t="str">
        <f>IFERROR(IF(B2111="","",VLOOKUP(B2111,CadProd!$A:$B,2,0)),"")</f>
        <v/>
      </c>
      <c r="D2111" t="str">
        <f>IFERROR(IF(B2111="","",VLOOKUP(B2111,CadProd!$A:$C,3,0)),"")</f>
        <v/>
      </c>
      <c r="G2111" s="1" t="str">
        <f t="shared" si="32"/>
        <v/>
      </c>
    </row>
    <row r="2112" spans="3:7" x14ac:dyDescent="0.3">
      <c r="C2112" t="str">
        <f>IFERROR(IF(B2112="","",VLOOKUP(B2112,CadProd!$A:$B,2,0)),"")</f>
        <v/>
      </c>
      <c r="D2112" t="str">
        <f>IFERROR(IF(B2112="","",VLOOKUP(B2112,CadProd!$A:$C,3,0)),"")</f>
        <v/>
      </c>
      <c r="G2112" s="1" t="str">
        <f t="shared" si="32"/>
        <v/>
      </c>
    </row>
    <row r="2113" spans="3:7" x14ac:dyDescent="0.3">
      <c r="C2113" t="str">
        <f>IFERROR(IF(B2113="","",VLOOKUP(B2113,CadProd!$A:$B,2,0)),"")</f>
        <v/>
      </c>
      <c r="D2113" t="str">
        <f>IFERROR(IF(B2113="","",VLOOKUP(B2113,CadProd!$A:$C,3,0)),"")</f>
        <v/>
      </c>
      <c r="G2113" s="1" t="str">
        <f t="shared" si="32"/>
        <v/>
      </c>
    </row>
    <row r="2114" spans="3:7" x14ac:dyDescent="0.3">
      <c r="C2114" t="str">
        <f>IFERROR(IF(B2114="","",VLOOKUP(B2114,CadProd!$A:$B,2,0)),"")</f>
        <v/>
      </c>
      <c r="D2114" t="str">
        <f>IFERROR(IF(B2114="","",VLOOKUP(B2114,CadProd!$A:$C,3,0)),"")</f>
        <v/>
      </c>
      <c r="G2114" s="1" t="str">
        <f t="shared" si="32"/>
        <v/>
      </c>
    </row>
    <row r="2115" spans="3:7" x14ac:dyDescent="0.3">
      <c r="C2115" t="str">
        <f>IFERROR(IF(B2115="","",VLOOKUP(B2115,CadProd!$A:$B,2,0)),"")</f>
        <v/>
      </c>
      <c r="D2115" t="str">
        <f>IFERROR(IF(B2115="","",VLOOKUP(B2115,CadProd!$A:$C,3,0)),"")</f>
        <v/>
      </c>
      <c r="G2115" s="1" t="str">
        <f t="shared" si="32"/>
        <v/>
      </c>
    </row>
    <row r="2116" spans="3:7" x14ac:dyDescent="0.3">
      <c r="C2116" t="str">
        <f>IFERROR(IF(B2116="","",VLOOKUP(B2116,CadProd!$A:$B,2,0)),"")</f>
        <v/>
      </c>
      <c r="D2116" t="str">
        <f>IFERROR(IF(B2116="","",VLOOKUP(B2116,CadProd!$A:$C,3,0)),"")</f>
        <v/>
      </c>
      <c r="G2116" s="1" t="str">
        <f t="shared" si="32"/>
        <v/>
      </c>
    </row>
    <row r="2117" spans="3:7" x14ac:dyDescent="0.3">
      <c r="C2117" t="str">
        <f>IFERROR(IF(B2117="","",VLOOKUP(B2117,CadProd!$A:$B,2,0)),"")</f>
        <v/>
      </c>
      <c r="D2117" t="str">
        <f>IFERROR(IF(B2117="","",VLOOKUP(B2117,CadProd!$A:$C,3,0)),"")</f>
        <v/>
      </c>
      <c r="G2117" s="1" t="str">
        <f t="shared" si="32"/>
        <v/>
      </c>
    </row>
    <row r="2118" spans="3:7" x14ac:dyDescent="0.3">
      <c r="C2118" t="str">
        <f>IFERROR(IF(B2118="","",VLOOKUP(B2118,CadProd!$A:$B,2,0)),"")</f>
        <v/>
      </c>
      <c r="D2118" t="str">
        <f>IFERROR(IF(B2118="","",VLOOKUP(B2118,CadProd!$A:$C,3,0)),"")</f>
        <v/>
      </c>
      <c r="G2118" s="1" t="str">
        <f t="shared" si="32"/>
        <v/>
      </c>
    </row>
    <row r="2119" spans="3:7" x14ac:dyDescent="0.3">
      <c r="C2119" t="str">
        <f>IFERROR(IF(B2119="","",VLOOKUP(B2119,CadProd!$A:$B,2,0)),"")</f>
        <v/>
      </c>
      <c r="D2119" t="str">
        <f>IFERROR(IF(B2119="","",VLOOKUP(B2119,CadProd!$A:$C,3,0)),"")</f>
        <v/>
      </c>
      <c r="G2119" s="1" t="str">
        <f t="shared" si="32"/>
        <v/>
      </c>
    </row>
    <row r="2120" spans="3:7" x14ac:dyDescent="0.3">
      <c r="C2120" t="str">
        <f>IFERROR(IF(B2120="","",VLOOKUP(B2120,CadProd!$A:$B,2,0)),"")</f>
        <v/>
      </c>
      <c r="D2120" t="str">
        <f>IFERROR(IF(B2120="","",VLOOKUP(B2120,CadProd!$A:$C,3,0)),"")</f>
        <v/>
      </c>
      <c r="G2120" s="1" t="str">
        <f t="shared" si="32"/>
        <v/>
      </c>
    </row>
    <row r="2121" spans="3:7" x14ac:dyDescent="0.3">
      <c r="C2121" t="str">
        <f>IFERROR(IF(B2121="","",VLOOKUP(B2121,CadProd!$A:$B,2,0)),"")</f>
        <v/>
      </c>
      <c r="D2121" t="str">
        <f>IFERROR(IF(B2121="","",VLOOKUP(B2121,CadProd!$A:$C,3,0)),"")</f>
        <v/>
      </c>
      <c r="G2121" s="1" t="str">
        <f t="shared" si="32"/>
        <v/>
      </c>
    </row>
    <row r="2122" spans="3:7" x14ac:dyDescent="0.3">
      <c r="C2122" t="str">
        <f>IFERROR(IF(B2122="","",VLOOKUP(B2122,CadProd!$A:$B,2,0)),"")</f>
        <v/>
      </c>
      <c r="D2122" t="str">
        <f>IFERROR(IF(B2122="","",VLOOKUP(B2122,CadProd!$A:$C,3,0)),"")</f>
        <v/>
      </c>
      <c r="G2122" s="1" t="str">
        <f t="shared" si="32"/>
        <v/>
      </c>
    </row>
    <row r="2123" spans="3:7" x14ac:dyDescent="0.3">
      <c r="C2123" t="str">
        <f>IFERROR(IF(B2123="","",VLOOKUP(B2123,CadProd!$A:$B,2,0)),"")</f>
        <v/>
      </c>
      <c r="D2123" t="str">
        <f>IFERROR(IF(B2123="","",VLOOKUP(B2123,CadProd!$A:$C,3,0)),"")</f>
        <v/>
      </c>
      <c r="G2123" s="1" t="str">
        <f t="shared" ref="G2123:G2186" si="33">IFERROR(IF(B2123="","",F2123*E2123),"")</f>
        <v/>
      </c>
    </row>
    <row r="2124" spans="3:7" x14ac:dyDescent="0.3">
      <c r="C2124" t="str">
        <f>IFERROR(IF(B2124="","",VLOOKUP(B2124,CadProd!$A:$B,2,0)),"")</f>
        <v/>
      </c>
      <c r="D2124" t="str">
        <f>IFERROR(IF(B2124="","",VLOOKUP(B2124,CadProd!$A:$C,3,0)),"")</f>
        <v/>
      </c>
      <c r="G2124" s="1" t="str">
        <f t="shared" si="33"/>
        <v/>
      </c>
    </row>
    <row r="2125" spans="3:7" x14ac:dyDescent="0.3">
      <c r="C2125" t="str">
        <f>IFERROR(IF(B2125="","",VLOOKUP(B2125,CadProd!$A:$B,2,0)),"")</f>
        <v/>
      </c>
      <c r="D2125" t="str">
        <f>IFERROR(IF(B2125="","",VLOOKUP(B2125,CadProd!$A:$C,3,0)),"")</f>
        <v/>
      </c>
      <c r="G2125" s="1" t="str">
        <f t="shared" si="33"/>
        <v/>
      </c>
    </row>
    <row r="2126" spans="3:7" x14ac:dyDescent="0.3">
      <c r="C2126" t="str">
        <f>IFERROR(IF(B2126="","",VLOOKUP(B2126,CadProd!$A:$B,2,0)),"")</f>
        <v/>
      </c>
      <c r="D2126" t="str">
        <f>IFERROR(IF(B2126="","",VLOOKUP(B2126,CadProd!$A:$C,3,0)),"")</f>
        <v/>
      </c>
      <c r="G2126" s="1" t="str">
        <f t="shared" si="33"/>
        <v/>
      </c>
    </row>
    <row r="2127" spans="3:7" x14ac:dyDescent="0.3">
      <c r="C2127" t="str">
        <f>IFERROR(IF(B2127="","",VLOOKUP(B2127,CadProd!$A:$B,2,0)),"")</f>
        <v/>
      </c>
      <c r="D2127" t="str">
        <f>IFERROR(IF(B2127="","",VLOOKUP(B2127,CadProd!$A:$C,3,0)),"")</f>
        <v/>
      </c>
      <c r="G2127" s="1" t="str">
        <f t="shared" si="33"/>
        <v/>
      </c>
    </row>
    <row r="2128" spans="3:7" x14ac:dyDescent="0.3">
      <c r="C2128" t="str">
        <f>IFERROR(IF(B2128="","",VLOOKUP(B2128,CadProd!$A:$B,2,0)),"")</f>
        <v/>
      </c>
      <c r="D2128" t="str">
        <f>IFERROR(IF(B2128="","",VLOOKUP(B2128,CadProd!$A:$C,3,0)),"")</f>
        <v/>
      </c>
      <c r="G2128" s="1" t="str">
        <f t="shared" si="33"/>
        <v/>
      </c>
    </row>
    <row r="2129" spans="3:7" x14ac:dyDescent="0.3">
      <c r="C2129" t="str">
        <f>IFERROR(IF(B2129="","",VLOOKUP(B2129,CadProd!$A:$B,2,0)),"")</f>
        <v/>
      </c>
      <c r="D2129" t="str">
        <f>IFERROR(IF(B2129="","",VLOOKUP(B2129,CadProd!$A:$C,3,0)),"")</f>
        <v/>
      </c>
      <c r="G2129" s="1" t="str">
        <f t="shared" si="33"/>
        <v/>
      </c>
    </row>
    <row r="2130" spans="3:7" x14ac:dyDescent="0.3">
      <c r="C2130" t="str">
        <f>IFERROR(IF(B2130="","",VLOOKUP(B2130,CadProd!$A:$B,2,0)),"")</f>
        <v/>
      </c>
      <c r="D2130" t="str">
        <f>IFERROR(IF(B2130="","",VLOOKUP(B2130,CadProd!$A:$C,3,0)),"")</f>
        <v/>
      </c>
      <c r="G2130" s="1" t="str">
        <f t="shared" si="33"/>
        <v/>
      </c>
    </row>
    <row r="2131" spans="3:7" x14ac:dyDescent="0.3">
      <c r="C2131" t="str">
        <f>IFERROR(IF(B2131="","",VLOOKUP(B2131,CadProd!$A:$B,2,0)),"")</f>
        <v/>
      </c>
      <c r="D2131" t="str">
        <f>IFERROR(IF(B2131="","",VLOOKUP(B2131,CadProd!$A:$C,3,0)),"")</f>
        <v/>
      </c>
      <c r="G2131" s="1" t="str">
        <f t="shared" si="33"/>
        <v/>
      </c>
    </row>
    <row r="2132" spans="3:7" x14ac:dyDescent="0.3">
      <c r="C2132" t="str">
        <f>IFERROR(IF(B2132="","",VLOOKUP(B2132,CadProd!$A:$B,2,0)),"")</f>
        <v/>
      </c>
      <c r="D2132" t="str">
        <f>IFERROR(IF(B2132="","",VLOOKUP(B2132,CadProd!$A:$C,3,0)),"")</f>
        <v/>
      </c>
      <c r="G2132" s="1" t="str">
        <f t="shared" si="33"/>
        <v/>
      </c>
    </row>
    <row r="2133" spans="3:7" x14ac:dyDescent="0.3">
      <c r="C2133" t="str">
        <f>IFERROR(IF(B2133="","",VLOOKUP(B2133,CadProd!$A:$B,2,0)),"")</f>
        <v/>
      </c>
      <c r="D2133" t="str">
        <f>IFERROR(IF(B2133="","",VLOOKUP(B2133,CadProd!$A:$C,3,0)),"")</f>
        <v/>
      </c>
      <c r="G2133" s="1" t="str">
        <f t="shared" si="33"/>
        <v/>
      </c>
    </row>
    <row r="2134" spans="3:7" x14ac:dyDescent="0.3">
      <c r="C2134" t="str">
        <f>IFERROR(IF(B2134="","",VLOOKUP(B2134,CadProd!$A:$B,2,0)),"")</f>
        <v/>
      </c>
      <c r="D2134" t="str">
        <f>IFERROR(IF(B2134="","",VLOOKUP(B2134,CadProd!$A:$C,3,0)),"")</f>
        <v/>
      </c>
      <c r="G2134" s="1" t="str">
        <f t="shared" si="33"/>
        <v/>
      </c>
    </row>
    <row r="2135" spans="3:7" x14ac:dyDescent="0.3">
      <c r="C2135" t="str">
        <f>IFERROR(IF(B2135="","",VLOOKUP(B2135,CadProd!$A:$B,2,0)),"")</f>
        <v/>
      </c>
      <c r="D2135" t="str">
        <f>IFERROR(IF(B2135="","",VLOOKUP(B2135,CadProd!$A:$C,3,0)),"")</f>
        <v/>
      </c>
      <c r="G2135" s="1" t="str">
        <f t="shared" si="33"/>
        <v/>
      </c>
    </row>
    <row r="2136" spans="3:7" x14ac:dyDescent="0.3">
      <c r="C2136" t="str">
        <f>IFERROR(IF(B2136="","",VLOOKUP(B2136,CadProd!$A:$B,2,0)),"")</f>
        <v/>
      </c>
      <c r="D2136" t="str">
        <f>IFERROR(IF(B2136="","",VLOOKUP(B2136,CadProd!$A:$C,3,0)),"")</f>
        <v/>
      </c>
      <c r="G2136" s="1" t="str">
        <f t="shared" si="33"/>
        <v/>
      </c>
    </row>
    <row r="2137" spans="3:7" x14ac:dyDescent="0.3">
      <c r="C2137" t="str">
        <f>IFERROR(IF(B2137="","",VLOOKUP(B2137,CadProd!$A:$B,2,0)),"")</f>
        <v/>
      </c>
      <c r="D2137" t="str">
        <f>IFERROR(IF(B2137="","",VLOOKUP(B2137,CadProd!$A:$C,3,0)),"")</f>
        <v/>
      </c>
      <c r="G2137" s="1" t="str">
        <f t="shared" si="33"/>
        <v/>
      </c>
    </row>
    <row r="2138" spans="3:7" x14ac:dyDescent="0.3">
      <c r="C2138" t="str">
        <f>IFERROR(IF(B2138="","",VLOOKUP(B2138,CadProd!$A:$B,2,0)),"")</f>
        <v/>
      </c>
      <c r="D2138" t="str">
        <f>IFERROR(IF(B2138="","",VLOOKUP(B2138,CadProd!$A:$C,3,0)),"")</f>
        <v/>
      </c>
      <c r="G2138" s="1" t="str">
        <f t="shared" si="33"/>
        <v/>
      </c>
    </row>
    <row r="2139" spans="3:7" x14ac:dyDescent="0.3">
      <c r="C2139" t="str">
        <f>IFERROR(IF(B2139="","",VLOOKUP(B2139,CadProd!$A:$B,2,0)),"")</f>
        <v/>
      </c>
      <c r="D2139" t="str">
        <f>IFERROR(IF(B2139="","",VLOOKUP(B2139,CadProd!$A:$C,3,0)),"")</f>
        <v/>
      </c>
      <c r="G2139" s="1" t="str">
        <f t="shared" si="33"/>
        <v/>
      </c>
    </row>
    <row r="2140" spans="3:7" x14ac:dyDescent="0.3">
      <c r="C2140" t="str">
        <f>IFERROR(IF(B2140="","",VLOOKUP(B2140,CadProd!$A:$B,2,0)),"")</f>
        <v/>
      </c>
      <c r="D2140" t="str">
        <f>IFERROR(IF(B2140="","",VLOOKUP(B2140,CadProd!$A:$C,3,0)),"")</f>
        <v/>
      </c>
      <c r="G2140" s="1" t="str">
        <f t="shared" si="33"/>
        <v/>
      </c>
    </row>
    <row r="2141" spans="3:7" x14ac:dyDescent="0.3">
      <c r="C2141" t="str">
        <f>IFERROR(IF(B2141="","",VLOOKUP(B2141,CadProd!$A:$B,2,0)),"")</f>
        <v/>
      </c>
      <c r="D2141" t="str">
        <f>IFERROR(IF(B2141="","",VLOOKUP(B2141,CadProd!$A:$C,3,0)),"")</f>
        <v/>
      </c>
      <c r="G2141" s="1" t="str">
        <f t="shared" si="33"/>
        <v/>
      </c>
    </row>
    <row r="2142" spans="3:7" x14ac:dyDescent="0.3">
      <c r="C2142" t="str">
        <f>IFERROR(IF(B2142="","",VLOOKUP(B2142,CadProd!$A:$B,2,0)),"")</f>
        <v/>
      </c>
      <c r="D2142" t="str">
        <f>IFERROR(IF(B2142="","",VLOOKUP(B2142,CadProd!$A:$C,3,0)),"")</f>
        <v/>
      </c>
      <c r="G2142" s="1" t="str">
        <f t="shared" si="33"/>
        <v/>
      </c>
    </row>
    <row r="2143" spans="3:7" x14ac:dyDescent="0.3">
      <c r="C2143" t="str">
        <f>IFERROR(IF(B2143="","",VLOOKUP(B2143,CadProd!$A:$B,2,0)),"")</f>
        <v/>
      </c>
      <c r="D2143" t="str">
        <f>IFERROR(IF(B2143="","",VLOOKUP(B2143,CadProd!$A:$C,3,0)),"")</f>
        <v/>
      </c>
      <c r="G2143" s="1" t="str">
        <f t="shared" si="33"/>
        <v/>
      </c>
    </row>
    <row r="2144" spans="3:7" x14ac:dyDescent="0.3">
      <c r="C2144" t="str">
        <f>IFERROR(IF(B2144="","",VLOOKUP(B2144,CadProd!$A:$B,2,0)),"")</f>
        <v/>
      </c>
      <c r="D2144" t="str">
        <f>IFERROR(IF(B2144="","",VLOOKUP(B2144,CadProd!$A:$C,3,0)),"")</f>
        <v/>
      </c>
      <c r="G2144" s="1" t="str">
        <f t="shared" si="33"/>
        <v/>
      </c>
    </row>
    <row r="2145" spans="3:7" x14ac:dyDescent="0.3">
      <c r="C2145" t="str">
        <f>IFERROR(IF(B2145="","",VLOOKUP(B2145,CadProd!$A:$B,2,0)),"")</f>
        <v/>
      </c>
      <c r="D2145" t="str">
        <f>IFERROR(IF(B2145="","",VLOOKUP(B2145,CadProd!$A:$C,3,0)),"")</f>
        <v/>
      </c>
      <c r="G2145" s="1" t="str">
        <f t="shared" si="33"/>
        <v/>
      </c>
    </row>
    <row r="2146" spans="3:7" x14ac:dyDescent="0.3">
      <c r="C2146" t="str">
        <f>IFERROR(IF(B2146="","",VLOOKUP(B2146,CadProd!$A:$B,2,0)),"")</f>
        <v/>
      </c>
      <c r="D2146" t="str">
        <f>IFERROR(IF(B2146="","",VLOOKUP(B2146,CadProd!$A:$C,3,0)),"")</f>
        <v/>
      </c>
      <c r="G2146" s="1" t="str">
        <f t="shared" si="33"/>
        <v/>
      </c>
    </row>
    <row r="2147" spans="3:7" x14ac:dyDescent="0.3">
      <c r="C2147" t="str">
        <f>IFERROR(IF(B2147="","",VLOOKUP(B2147,CadProd!$A:$B,2,0)),"")</f>
        <v/>
      </c>
      <c r="D2147" t="str">
        <f>IFERROR(IF(B2147="","",VLOOKUP(B2147,CadProd!$A:$C,3,0)),"")</f>
        <v/>
      </c>
      <c r="G2147" s="1" t="str">
        <f t="shared" si="33"/>
        <v/>
      </c>
    </row>
    <row r="2148" spans="3:7" x14ac:dyDescent="0.3">
      <c r="C2148" t="str">
        <f>IFERROR(IF(B2148="","",VLOOKUP(B2148,CadProd!$A:$B,2,0)),"")</f>
        <v/>
      </c>
      <c r="D2148" t="str">
        <f>IFERROR(IF(B2148="","",VLOOKUP(B2148,CadProd!$A:$C,3,0)),"")</f>
        <v/>
      </c>
      <c r="G2148" s="1" t="str">
        <f t="shared" si="33"/>
        <v/>
      </c>
    </row>
    <row r="2149" spans="3:7" x14ac:dyDescent="0.3">
      <c r="C2149" t="str">
        <f>IFERROR(IF(B2149="","",VLOOKUP(B2149,CadProd!$A:$B,2,0)),"")</f>
        <v/>
      </c>
      <c r="D2149" t="str">
        <f>IFERROR(IF(B2149="","",VLOOKUP(B2149,CadProd!$A:$C,3,0)),"")</f>
        <v/>
      </c>
      <c r="G2149" s="1" t="str">
        <f t="shared" si="33"/>
        <v/>
      </c>
    </row>
    <row r="2150" spans="3:7" x14ac:dyDescent="0.3">
      <c r="C2150" t="str">
        <f>IFERROR(IF(B2150="","",VLOOKUP(B2150,CadProd!$A:$B,2,0)),"")</f>
        <v/>
      </c>
      <c r="D2150" t="str">
        <f>IFERROR(IF(B2150="","",VLOOKUP(B2150,CadProd!$A:$C,3,0)),"")</f>
        <v/>
      </c>
      <c r="G2150" s="1" t="str">
        <f t="shared" si="33"/>
        <v/>
      </c>
    </row>
    <row r="2151" spans="3:7" x14ac:dyDescent="0.3">
      <c r="C2151" t="str">
        <f>IFERROR(IF(B2151="","",VLOOKUP(B2151,CadProd!$A:$B,2,0)),"")</f>
        <v/>
      </c>
      <c r="D2151" t="str">
        <f>IFERROR(IF(B2151="","",VLOOKUP(B2151,CadProd!$A:$C,3,0)),"")</f>
        <v/>
      </c>
      <c r="G2151" s="1" t="str">
        <f t="shared" si="33"/>
        <v/>
      </c>
    </row>
    <row r="2152" spans="3:7" x14ac:dyDescent="0.3">
      <c r="C2152" t="str">
        <f>IFERROR(IF(B2152="","",VLOOKUP(B2152,CadProd!$A:$B,2,0)),"")</f>
        <v/>
      </c>
      <c r="D2152" t="str">
        <f>IFERROR(IF(B2152="","",VLOOKUP(B2152,CadProd!$A:$C,3,0)),"")</f>
        <v/>
      </c>
      <c r="G2152" s="1" t="str">
        <f t="shared" si="33"/>
        <v/>
      </c>
    </row>
    <row r="2153" spans="3:7" x14ac:dyDescent="0.3">
      <c r="C2153" t="str">
        <f>IFERROR(IF(B2153="","",VLOOKUP(B2153,CadProd!$A:$B,2,0)),"")</f>
        <v/>
      </c>
      <c r="D2153" t="str">
        <f>IFERROR(IF(B2153="","",VLOOKUP(B2153,CadProd!$A:$C,3,0)),"")</f>
        <v/>
      </c>
      <c r="G2153" s="1" t="str">
        <f t="shared" si="33"/>
        <v/>
      </c>
    </row>
    <row r="2154" spans="3:7" x14ac:dyDescent="0.3">
      <c r="C2154" t="str">
        <f>IFERROR(IF(B2154="","",VLOOKUP(B2154,CadProd!$A:$B,2,0)),"")</f>
        <v/>
      </c>
      <c r="D2154" t="str">
        <f>IFERROR(IF(B2154="","",VLOOKUP(B2154,CadProd!$A:$C,3,0)),"")</f>
        <v/>
      </c>
      <c r="G2154" s="1" t="str">
        <f t="shared" si="33"/>
        <v/>
      </c>
    </row>
    <row r="2155" spans="3:7" x14ac:dyDescent="0.3">
      <c r="C2155" t="str">
        <f>IFERROR(IF(B2155="","",VLOOKUP(B2155,CadProd!$A:$B,2,0)),"")</f>
        <v/>
      </c>
      <c r="D2155" t="str">
        <f>IFERROR(IF(B2155="","",VLOOKUP(B2155,CadProd!$A:$C,3,0)),"")</f>
        <v/>
      </c>
      <c r="G2155" s="1" t="str">
        <f t="shared" si="33"/>
        <v/>
      </c>
    </row>
    <row r="2156" spans="3:7" x14ac:dyDescent="0.3">
      <c r="C2156" t="str">
        <f>IFERROR(IF(B2156="","",VLOOKUP(B2156,CadProd!$A:$B,2,0)),"")</f>
        <v/>
      </c>
      <c r="D2156" t="str">
        <f>IFERROR(IF(B2156="","",VLOOKUP(B2156,CadProd!$A:$C,3,0)),"")</f>
        <v/>
      </c>
      <c r="G2156" s="1" t="str">
        <f t="shared" si="33"/>
        <v/>
      </c>
    </row>
    <row r="2157" spans="3:7" x14ac:dyDescent="0.3">
      <c r="C2157" t="str">
        <f>IFERROR(IF(B2157="","",VLOOKUP(B2157,CadProd!$A:$B,2,0)),"")</f>
        <v/>
      </c>
      <c r="D2157" t="str">
        <f>IFERROR(IF(B2157="","",VLOOKUP(B2157,CadProd!$A:$C,3,0)),"")</f>
        <v/>
      </c>
      <c r="G2157" s="1" t="str">
        <f t="shared" si="33"/>
        <v/>
      </c>
    </row>
    <row r="2158" spans="3:7" x14ac:dyDescent="0.3">
      <c r="C2158" t="str">
        <f>IFERROR(IF(B2158="","",VLOOKUP(B2158,CadProd!$A:$B,2,0)),"")</f>
        <v/>
      </c>
      <c r="D2158" t="str">
        <f>IFERROR(IF(B2158="","",VLOOKUP(B2158,CadProd!$A:$C,3,0)),"")</f>
        <v/>
      </c>
      <c r="G2158" s="1" t="str">
        <f t="shared" si="33"/>
        <v/>
      </c>
    </row>
    <row r="2159" spans="3:7" x14ac:dyDescent="0.3">
      <c r="C2159" t="str">
        <f>IFERROR(IF(B2159="","",VLOOKUP(B2159,CadProd!$A:$B,2,0)),"")</f>
        <v/>
      </c>
      <c r="D2159" t="str">
        <f>IFERROR(IF(B2159="","",VLOOKUP(B2159,CadProd!$A:$C,3,0)),"")</f>
        <v/>
      </c>
      <c r="G2159" s="1" t="str">
        <f t="shared" si="33"/>
        <v/>
      </c>
    </row>
    <row r="2160" spans="3:7" x14ac:dyDescent="0.3">
      <c r="C2160" t="str">
        <f>IFERROR(IF(B2160="","",VLOOKUP(B2160,CadProd!$A:$B,2,0)),"")</f>
        <v/>
      </c>
      <c r="D2160" t="str">
        <f>IFERROR(IF(B2160="","",VLOOKUP(B2160,CadProd!$A:$C,3,0)),"")</f>
        <v/>
      </c>
      <c r="G2160" s="1" t="str">
        <f t="shared" si="33"/>
        <v/>
      </c>
    </row>
    <row r="2161" spans="3:7" x14ac:dyDescent="0.3">
      <c r="C2161" t="str">
        <f>IFERROR(IF(B2161="","",VLOOKUP(B2161,CadProd!$A:$B,2,0)),"")</f>
        <v/>
      </c>
      <c r="D2161" t="str">
        <f>IFERROR(IF(B2161="","",VLOOKUP(B2161,CadProd!$A:$C,3,0)),"")</f>
        <v/>
      </c>
      <c r="G2161" s="1" t="str">
        <f t="shared" si="33"/>
        <v/>
      </c>
    </row>
    <row r="2162" spans="3:7" x14ac:dyDescent="0.3">
      <c r="C2162" t="str">
        <f>IFERROR(IF(B2162="","",VLOOKUP(B2162,CadProd!$A:$B,2,0)),"")</f>
        <v/>
      </c>
      <c r="D2162" t="str">
        <f>IFERROR(IF(B2162="","",VLOOKUP(B2162,CadProd!$A:$C,3,0)),"")</f>
        <v/>
      </c>
      <c r="G2162" s="1" t="str">
        <f t="shared" si="33"/>
        <v/>
      </c>
    </row>
    <row r="2163" spans="3:7" x14ac:dyDescent="0.3">
      <c r="C2163" t="str">
        <f>IFERROR(IF(B2163="","",VLOOKUP(B2163,CadProd!$A:$B,2,0)),"")</f>
        <v/>
      </c>
      <c r="D2163" t="str">
        <f>IFERROR(IF(B2163="","",VLOOKUP(B2163,CadProd!$A:$C,3,0)),"")</f>
        <v/>
      </c>
      <c r="G2163" s="1" t="str">
        <f t="shared" si="33"/>
        <v/>
      </c>
    </row>
    <row r="2164" spans="3:7" x14ac:dyDescent="0.3">
      <c r="C2164" t="str">
        <f>IFERROR(IF(B2164="","",VLOOKUP(B2164,CadProd!$A:$B,2,0)),"")</f>
        <v/>
      </c>
      <c r="D2164" t="str">
        <f>IFERROR(IF(B2164="","",VLOOKUP(B2164,CadProd!$A:$C,3,0)),"")</f>
        <v/>
      </c>
      <c r="G2164" s="1" t="str">
        <f t="shared" si="33"/>
        <v/>
      </c>
    </row>
    <row r="2165" spans="3:7" x14ac:dyDescent="0.3">
      <c r="C2165" t="str">
        <f>IFERROR(IF(B2165="","",VLOOKUP(B2165,CadProd!$A:$B,2,0)),"")</f>
        <v/>
      </c>
      <c r="D2165" t="str">
        <f>IFERROR(IF(B2165="","",VLOOKUP(B2165,CadProd!$A:$C,3,0)),"")</f>
        <v/>
      </c>
      <c r="G2165" s="1" t="str">
        <f t="shared" si="33"/>
        <v/>
      </c>
    </row>
    <row r="2166" spans="3:7" x14ac:dyDescent="0.3">
      <c r="C2166" t="str">
        <f>IFERROR(IF(B2166="","",VLOOKUP(B2166,CadProd!$A:$B,2,0)),"")</f>
        <v/>
      </c>
      <c r="D2166" t="str">
        <f>IFERROR(IF(B2166="","",VLOOKUP(B2166,CadProd!$A:$C,3,0)),"")</f>
        <v/>
      </c>
      <c r="G2166" s="1" t="str">
        <f t="shared" si="33"/>
        <v/>
      </c>
    </row>
    <row r="2167" spans="3:7" x14ac:dyDescent="0.3">
      <c r="C2167" t="str">
        <f>IFERROR(IF(B2167="","",VLOOKUP(B2167,CadProd!$A:$B,2,0)),"")</f>
        <v/>
      </c>
      <c r="D2167" t="str">
        <f>IFERROR(IF(B2167="","",VLOOKUP(B2167,CadProd!$A:$C,3,0)),"")</f>
        <v/>
      </c>
      <c r="G2167" s="1" t="str">
        <f t="shared" si="33"/>
        <v/>
      </c>
    </row>
    <row r="2168" spans="3:7" x14ac:dyDescent="0.3">
      <c r="C2168" t="str">
        <f>IFERROR(IF(B2168="","",VLOOKUP(B2168,CadProd!$A:$B,2,0)),"")</f>
        <v/>
      </c>
      <c r="D2168" t="str">
        <f>IFERROR(IF(B2168="","",VLOOKUP(B2168,CadProd!$A:$C,3,0)),"")</f>
        <v/>
      </c>
      <c r="G2168" s="1" t="str">
        <f t="shared" si="33"/>
        <v/>
      </c>
    </row>
    <row r="2169" spans="3:7" x14ac:dyDescent="0.3">
      <c r="C2169" t="str">
        <f>IFERROR(IF(B2169="","",VLOOKUP(B2169,CadProd!$A:$B,2,0)),"")</f>
        <v/>
      </c>
      <c r="D2169" t="str">
        <f>IFERROR(IF(B2169="","",VLOOKUP(B2169,CadProd!$A:$C,3,0)),"")</f>
        <v/>
      </c>
      <c r="G2169" s="1" t="str">
        <f t="shared" si="33"/>
        <v/>
      </c>
    </row>
    <row r="2170" spans="3:7" x14ac:dyDescent="0.3">
      <c r="C2170" t="str">
        <f>IFERROR(IF(B2170="","",VLOOKUP(B2170,CadProd!$A:$B,2,0)),"")</f>
        <v/>
      </c>
      <c r="D2170" t="str">
        <f>IFERROR(IF(B2170="","",VLOOKUP(B2170,CadProd!$A:$C,3,0)),"")</f>
        <v/>
      </c>
      <c r="G2170" s="1" t="str">
        <f t="shared" si="33"/>
        <v/>
      </c>
    </row>
    <row r="2171" spans="3:7" x14ac:dyDescent="0.3">
      <c r="C2171" t="str">
        <f>IFERROR(IF(B2171="","",VLOOKUP(B2171,CadProd!$A:$B,2,0)),"")</f>
        <v/>
      </c>
      <c r="D2171" t="str">
        <f>IFERROR(IF(B2171="","",VLOOKUP(B2171,CadProd!$A:$C,3,0)),"")</f>
        <v/>
      </c>
      <c r="G2171" s="1" t="str">
        <f t="shared" si="33"/>
        <v/>
      </c>
    </row>
    <row r="2172" spans="3:7" x14ac:dyDescent="0.3">
      <c r="C2172" t="str">
        <f>IFERROR(IF(B2172="","",VLOOKUP(B2172,CadProd!$A:$B,2,0)),"")</f>
        <v/>
      </c>
      <c r="D2172" t="str">
        <f>IFERROR(IF(B2172="","",VLOOKUP(B2172,CadProd!$A:$C,3,0)),"")</f>
        <v/>
      </c>
      <c r="G2172" s="1" t="str">
        <f t="shared" si="33"/>
        <v/>
      </c>
    </row>
    <row r="2173" spans="3:7" x14ac:dyDescent="0.3">
      <c r="C2173" t="str">
        <f>IFERROR(IF(B2173="","",VLOOKUP(B2173,CadProd!$A:$B,2,0)),"")</f>
        <v/>
      </c>
      <c r="D2173" t="str">
        <f>IFERROR(IF(B2173="","",VLOOKUP(B2173,CadProd!$A:$C,3,0)),"")</f>
        <v/>
      </c>
      <c r="G2173" s="1" t="str">
        <f t="shared" si="33"/>
        <v/>
      </c>
    </row>
    <row r="2174" spans="3:7" x14ac:dyDescent="0.3">
      <c r="C2174" t="str">
        <f>IFERROR(IF(B2174="","",VLOOKUP(B2174,CadProd!$A:$B,2,0)),"")</f>
        <v/>
      </c>
      <c r="D2174" t="str">
        <f>IFERROR(IF(B2174="","",VLOOKUP(B2174,CadProd!$A:$C,3,0)),"")</f>
        <v/>
      </c>
      <c r="G2174" s="1" t="str">
        <f t="shared" si="33"/>
        <v/>
      </c>
    </row>
    <row r="2175" spans="3:7" x14ac:dyDescent="0.3">
      <c r="C2175" t="str">
        <f>IFERROR(IF(B2175="","",VLOOKUP(B2175,CadProd!$A:$B,2,0)),"")</f>
        <v/>
      </c>
      <c r="D2175" t="str">
        <f>IFERROR(IF(B2175="","",VLOOKUP(B2175,CadProd!$A:$C,3,0)),"")</f>
        <v/>
      </c>
      <c r="G2175" s="1" t="str">
        <f t="shared" si="33"/>
        <v/>
      </c>
    </row>
    <row r="2176" spans="3:7" x14ac:dyDescent="0.3">
      <c r="C2176" t="str">
        <f>IFERROR(IF(B2176="","",VLOOKUP(B2176,CadProd!$A:$B,2,0)),"")</f>
        <v/>
      </c>
      <c r="D2176" t="str">
        <f>IFERROR(IF(B2176="","",VLOOKUP(B2176,CadProd!$A:$C,3,0)),"")</f>
        <v/>
      </c>
      <c r="G2176" s="1" t="str">
        <f t="shared" si="33"/>
        <v/>
      </c>
    </row>
    <row r="2177" spans="3:7" x14ac:dyDescent="0.3">
      <c r="C2177" t="str">
        <f>IFERROR(IF(B2177="","",VLOOKUP(B2177,CadProd!$A:$B,2,0)),"")</f>
        <v/>
      </c>
      <c r="D2177" t="str">
        <f>IFERROR(IF(B2177="","",VLOOKUP(B2177,CadProd!$A:$C,3,0)),"")</f>
        <v/>
      </c>
      <c r="G2177" s="1" t="str">
        <f t="shared" si="33"/>
        <v/>
      </c>
    </row>
    <row r="2178" spans="3:7" x14ac:dyDescent="0.3">
      <c r="C2178" t="str">
        <f>IFERROR(IF(B2178="","",VLOOKUP(B2178,CadProd!$A:$B,2,0)),"")</f>
        <v/>
      </c>
      <c r="D2178" t="str">
        <f>IFERROR(IF(B2178="","",VLOOKUP(B2178,CadProd!$A:$C,3,0)),"")</f>
        <v/>
      </c>
      <c r="G2178" s="1" t="str">
        <f t="shared" si="33"/>
        <v/>
      </c>
    </row>
    <row r="2179" spans="3:7" x14ac:dyDescent="0.3">
      <c r="C2179" t="str">
        <f>IFERROR(IF(B2179="","",VLOOKUP(B2179,CadProd!$A:$B,2,0)),"")</f>
        <v/>
      </c>
      <c r="D2179" t="str">
        <f>IFERROR(IF(B2179="","",VLOOKUP(B2179,CadProd!$A:$C,3,0)),"")</f>
        <v/>
      </c>
      <c r="G2179" s="1" t="str">
        <f t="shared" si="33"/>
        <v/>
      </c>
    </row>
    <row r="2180" spans="3:7" x14ac:dyDescent="0.3">
      <c r="C2180" t="str">
        <f>IFERROR(IF(B2180="","",VLOOKUP(B2180,CadProd!$A:$B,2,0)),"")</f>
        <v/>
      </c>
      <c r="D2180" t="str">
        <f>IFERROR(IF(B2180="","",VLOOKUP(B2180,CadProd!$A:$C,3,0)),"")</f>
        <v/>
      </c>
      <c r="G2180" s="1" t="str">
        <f t="shared" si="33"/>
        <v/>
      </c>
    </row>
    <row r="2181" spans="3:7" x14ac:dyDescent="0.3">
      <c r="C2181" t="str">
        <f>IFERROR(IF(B2181="","",VLOOKUP(B2181,CadProd!$A:$B,2,0)),"")</f>
        <v/>
      </c>
      <c r="D2181" t="str">
        <f>IFERROR(IF(B2181="","",VLOOKUP(B2181,CadProd!$A:$C,3,0)),"")</f>
        <v/>
      </c>
      <c r="G2181" s="1" t="str">
        <f t="shared" si="33"/>
        <v/>
      </c>
    </row>
    <row r="2182" spans="3:7" x14ac:dyDescent="0.3">
      <c r="C2182" t="str">
        <f>IFERROR(IF(B2182="","",VLOOKUP(B2182,CadProd!$A:$B,2,0)),"")</f>
        <v/>
      </c>
      <c r="D2182" t="str">
        <f>IFERROR(IF(B2182="","",VLOOKUP(B2182,CadProd!$A:$C,3,0)),"")</f>
        <v/>
      </c>
      <c r="G2182" s="1" t="str">
        <f t="shared" si="33"/>
        <v/>
      </c>
    </row>
    <row r="2183" spans="3:7" x14ac:dyDescent="0.3">
      <c r="C2183" t="str">
        <f>IFERROR(IF(B2183="","",VLOOKUP(B2183,CadProd!$A:$B,2,0)),"")</f>
        <v/>
      </c>
      <c r="D2183" t="str">
        <f>IFERROR(IF(B2183="","",VLOOKUP(B2183,CadProd!$A:$C,3,0)),"")</f>
        <v/>
      </c>
      <c r="G2183" s="1" t="str">
        <f t="shared" si="33"/>
        <v/>
      </c>
    </row>
    <row r="2184" spans="3:7" x14ac:dyDescent="0.3">
      <c r="C2184" t="str">
        <f>IFERROR(IF(B2184="","",VLOOKUP(B2184,CadProd!$A:$B,2,0)),"")</f>
        <v/>
      </c>
      <c r="D2184" t="str">
        <f>IFERROR(IF(B2184="","",VLOOKUP(B2184,CadProd!$A:$C,3,0)),"")</f>
        <v/>
      </c>
      <c r="G2184" s="1" t="str">
        <f t="shared" si="33"/>
        <v/>
      </c>
    </row>
    <row r="2185" spans="3:7" x14ac:dyDescent="0.3">
      <c r="C2185" t="str">
        <f>IFERROR(IF(B2185="","",VLOOKUP(B2185,CadProd!$A:$B,2,0)),"")</f>
        <v/>
      </c>
      <c r="D2185" t="str">
        <f>IFERROR(IF(B2185="","",VLOOKUP(B2185,CadProd!$A:$C,3,0)),"")</f>
        <v/>
      </c>
      <c r="G2185" s="1" t="str">
        <f t="shared" si="33"/>
        <v/>
      </c>
    </row>
    <row r="2186" spans="3:7" x14ac:dyDescent="0.3">
      <c r="C2186" t="str">
        <f>IFERROR(IF(B2186="","",VLOOKUP(B2186,CadProd!$A:$B,2,0)),"")</f>
        <v/>
      </c>
      <c r="D2186" t="str">
        <f>IFERROR(IF(B2186="","",VLOOKUP(B2186,CadProd!$A:$C,3,0)),"")</f>
        <v/>
      </c>
      <c r="G2186" s="1" t="str">
        <f t="shared" si="33"/>
        <v/>
      </c>
    </row>
    <row r="2187" spans="3:7" x14ac:dyDescent="0.3">
      <c r="C2187" t="str">
        <f>IFERROR(IF(B2187="","",VLOOKUP(B2187,CadProd!$A:$B,2,0)),"")</f>
        <v/>
      </c>
      <c r="D2187" t="str">
        <f>IFERROR(IF(B2187="","",VLOOKUP(B2187,CadProd!$A:$C,3,0)),"")</f>
        <v/>
      </c>
      <c r="G2187" s="1" t="str">
        <f t="shared" ref="G2187:G2250" si="34">IFERROR(IF(B2187="","",F2187*E2187),"")</f>
        <v/>
      </c>
    </row>
    <row r="2188" spans="3:7" x14ac:dyDescent="0.3">
      <c r="C2188" t="str">
        <f>IFERROR(IF(B2188="","",VLOOKUP(B2188,CadProd!$A:$B,2,0)),"")</f>
        <v/>
      </c>
      <c r="D2188" t="str">
        <f>IFERROR(IF(B2188="","",VLOOKUP(B2188,CadProd!$A:$C,3,0)),"")</f>
        <v/>
      </c>
      <c r="G2188" s="1" t="str">
        <f t="shared" si="34"/>
        <v/>
      </c>
    </row>
    <row r="2189" spans="3:7" x14ac:dyDescent="0.3">
      <c r="C2189" t="str">
        <f>IFERROR(IF(B2189="","",VLOOKUP(B2189,CadProd!$A:$B,2,0)),"")</f>
        <v/>
      </c>
      <c r="D2189" t="str">
        <f>IFERROR(IF(B2189="","",VLOOKUP(B2189,CadProd!$A:$C,3,0)),"")</f>
        <v/>
      </c>
      <c r="G2189" s="1" t="str">
        <f t="shared" si="34"/>
        <v/>
      </c>
    </row>
    <row r="2190" spans="3:7" x14ac:dyDescent="0.3">
      <c r="C2190" t="str">
        <f>IFERROR(IF(B2190="","",VLOOKUP(B2190,CadProd!$A:$B,2,0)),"")</f>
        <v/>
      </c>
      <c r="D2190" t="str">
        <f>IFERROR(IF(B2190="","",VLOOKUP(B2190,CadProd!$A:$C,3,0)),"")</f>
        <v/>
      </c>
      <c r="G2190" s="1" t="str">
        <f t="shared" si="34"/>
        <v/>
      </c>
    </row>
    <row r="2191" spans="3:7" x14ac:dyDescent="0.3">
      <c r="C2191" t="str">
        <f>IFERROR(IF(B2191="","",VLOOKUP(B2191,CadProd!$A:$B,2,0)),"")</f>
        <v/>
      </c>
      <c r="D2191" t="str">
        <f>IFERROR(IF(B2191="","",VLOOKUP(B2191,CadProd!$A:$C,3,0)),"")</f>
        <v/>
      </c>
      <c r="G2191" s="1" t="str">
        <f t="shared" si="34"/>
        <v/>
      </c>
    </row>
    <row r="2192" spans="3:7" x14ac:dyDescent="0.3">
      <c r="C2192" t="str">
        <f>IFERROR(IF(B2192="","",VLOOKUP(B2192,CadProd!$A:$B,2,0)),"")</f>
        <v/>
      </c>
      <c r="D2192" t="str">
        <f>IFERROR(IF(B2192="","",VLOOKUP(B2192,CadProd!$A:$C,3,0)),"")</f>
        <v/>
      </c>
      <c r="G2192" s="1" t="str">
        <f t="shared" si="34"/>
        <v/>
      </c>
    </row>
    <row r="2193" spans="3:7" x14ac:dyDescent="0.3">
      <c r="C2193" t="str">
        <f>IFERROR(IF(B2193="","",VLOOKUP(B2193,CadProd!$A:$B,2,0)),"")</f>
        <v/>
      </c>
      <c r="D2193" t="str">
        <f>IFERROR(IF(B2193="","",VLOOKUP(B2193,CadProd!$A:$C,3,0)),"")</f>
        <v/>
      </c>
      <c r="G2193" s="1" t="str">
        <f t="shared" si="34"/>
        <v/>
      </c>
    </row>
    <row r="2194" spans="3:7" x14ac:dyDescent="0.3">
      <c r="C2194" t="str">
        <f>IFERROR(IF(B2194="","",VLOOKUP(B2194,CadProd!$A:$B,2,0)),"")</f>
        <v/>
      </c>
      <c r="D2194" t="str">
        <f>IFERROR(IF(B2194="","",VLOOKUP(B2194,CadProd!$A:$C,3,0)),"")</f>
        <v/>
      </c>
      <c r="G2194" s="1" t="str">
        <f t="shared" si="34"/>
        <v/>
      </c>
    </row>
    <row r="2195" spans="3:7" x14ac:dyDescent="0.3">
      <c r="C2195" t="str">
        <f>IFERROR(IF(B2195="","",VLOOKUP(B2195,CadProd!$A:$B,2,0)),"")</f>
        <v/>
      </c>
      <c r="D2195" t="str">
        <f>IFERROR(IF(B2195="","",VLOOKUP(B2195,CadProd!$A:$C,3,0)),"")</f>
        <v/>
      </c>
      <c r="G2195" s="1" t="str">
        <f t="shared" si="34"/>
        <v/>
      </c>
    </row>
    <row r="2196" spans="3:7" x14ac:dyDescent="0.3">
      <c r="C2196" t="str">
        <f>IFERROR(IF(B2196="","",VLOOKUP(B2196,CadProd!$A:$B,2,0)),"")</f>
        <v/>
      </c>
      <c r="D2196" t="str">
        <f>IFERROR(IF(B2196="","",VLOOKUP(B2196,CadProd!$A:$C,3,0)),"")</f>
        <v/>
      </c>
      <c r="G2196" s="1" t="str">
        <f t="shared" si="34"/>
        <v/>
      </c>
    </row>
    <row r="2197" spans="3:7" x14ac:dyDescent="0.3">
      <c r="C2197" t="str">
        <f>IFERROR(IF(B2197="","",VLOOKUP(B2197,CadProd!$A:$B,2,0)),"")</f>
        <v/>
      </c>
      <c r="D2197" t="str">
        <f>IFERROR(IF(B2197="","",VLOOKUP(B2197,CadProd!$A:$C,3,0)),"")</f>
        <v/>
      </c>
      <c r="G2197" s="1" t="str">
        <f t="shared" si="34"/>
        <v/>
      </c>
    </row>
    <row r="2198" spans="3:7" x14ac:dyDescent="0.3">
      <c r="C2198" t="str">
        <f>IFERROR(IF(B2198="","",VLOOKUP(B2198,CadProd!$A:$B,2,0)),"")</f>
        <v/>
      </c>
      <c r="D2198" t="str">
        <f>IFERROR(IF(B2198="","",VLOOKUP(B2198,CadProd!$A:$C,3,0)),"")</f>
        <v/>
      </c>
      <c r="G2198" s="1" t="str">
        <f t="shared" si="34"/>
        <v/>
      </c>
    </row>
    <row r="2199" spans="3:7" x14ac:dyDescent="0.3">
      <c r="C2199" t="str">
        <f>IFERROR(IF(B2199="","",VLOOKUP(B2199,CadProd!$A:$B,2,0)),"")</f>
        <v/>
      </c>
      <c r="D2199" t="str">
        <f>IFERROR(IF(B2199="","",VLOOKUP(B2199,CadProd!$A:$C,3,0)),"")</f>
        <v/>
      </c>
      <c r="G2199" s="1" t="str">
        <f t="shared" si="34"/>
        <v/>
      </c>
    </row>
    <row r="2200" spans="3:7" x14ac:dyDescent="0.3">
      <c r="C2200" t="str">
        <f>IFERROR(IF(B2200="","",VLOOKUP(B2200,CadProd!$A:$B,2,0)),"")</f>
        <v/>
      </c>
      <c r="D2200" t="str">
        <f>IFERROR(IF(B2200="","",VLOOKUP(B2200,CadProd!$A:$C,3,0)),"")</f>
        <v/>
      </c>
      <c r="G2200" s="1" t="str">
        <f t="shared" si="34"/>
        <v/>
      </c>
    </row>
    <row r="2201" spans="3:7" x14ac:dyDescent="0.3">
      <c r="C2201" t="str">
        <f>IFERROR(IF(B2201="","",VLOOKUP(B2201,CadProd!$A:$B,2,0)),"")</f>
        <v/>
      </c>
      <c r="D2201" t="str">
        <f>IFERROR(IF(B2201="","",VLOOKUP(B2201,CadProd!$A:$C,3,0)),"")</f>
        <v/>
      </c>
      <c r="G2201" s="1" t="str">
        <f t="shared" si="34"/>
        <v/>
      </c>
    </row>
    <row r="2202" spans="3:7" x14ac:dyDescent="0.3">
      <c r="C2202" t="str">
        <f>IFERROR(IF(B2202="","",VLOOKUP(B2202,CadProd!$A:$B,2,0)),"")</f>
        <v/>
      </c>
      <c r="D2202" t="str">
        <f>IFERROR(IF(B2202="","",VLOOKUP(B2202,CadProd!$A:$C,3,0)),"")</f>
        <v/>
      </c>
      <c r="G2202" s="1" t="str">
        <f t="shared" si="34"/>
        <v/>
      </c>
    </row>
    <row r="2203" spans="3:7" x14ac:dyDescent="0.3">
      <c r="C2203" t="str">
        <f>IFERROR(IF(B2203="","",VLOOKUP(B2203,CadProd!$A:$B,2,0)),"")</f>
        <v/>
      </c>
      <c r="D2203" t="str">
        <f>IFERROR(IF(B2203="","",VLOOKUP(B2203,CadProd!$A:$C,3,0)),"")</f>
        <v/>
      </c>
      <c r="G2203" s="1" t="str">
        <f t="shared" si="34"/>
        <v/>
      </c>
    </row>
    <row r="2204" spans="3:7" x14ac:dyDescent="0.3">
      <c r="C2204" t="str">
        <f>IFERROR(IF(B2204="","",VLOOKUP(B2204,CadProd!$A:$B,2,0)),"")</f>
        <v/>
      </c>
      <c r="D2204" t="str">
        <f>IFERROR(IF(B2204="","",VLOOKUP(B2204,CadProd!$A:$C,3,0)),"")</f>
        <v/>
      </c>
      <c r="G2204" s="1" t="str">
        <f t="shared" si="34"/>
        <v/>
      </c>
    </row>
    <row r="2205" spans="3:7" x14ac:dyDescent="0.3">
      <c r="C2205" t="str">
        <f>IFERROR(IF(B2205="","",VLOOKUP(B2205,CadProd!$A:$B,2,0)),"")</f>
        <v/>
      </c>
      <c r="D2205" t="str">
        <f>IFERROR(IF(B2205="","",VLOOKUP(B2205,CadProd!$A:$C,3,0)),"")</f>
        <v/>
      </c>
      <c r="G2205" s="1" t="str">
        <f t="shared" si="34"/>
        <v/>
      </c>
    </row>
    <row r="2206" spans="3:7" x14ac:dyDescent="0.3">
      <c r="C2206" t="str">
        <f>IFERROR(IF(B2206="","",VLOOKUP(B2206,CadProd!$A:$B,2,0)),"")</f>
        <v/>
      </c>
      <c r="D2206" t="str">
        <f>IFERROR(IF(B2206="","",VLOOKUP(B2206,CadProd!$A:$C,3,0)),"")</f>
        <v/>
      </c>
      <c r="G2206" s="1" t="str">
        <f t="shared" si="34"/>
        <v/>
      </c>
    </row>
    <row r="2207" spans="3:7" x14ac:dyDescent="0.3">
      <c r="C2207" t="str">
        <f>IFERROR(IF(B2207="","",VLOOKUP(B2207,CadProd!$A:$B,2,0)),"")</f>
        <v/>
      </c>
      <c r="D2207" t="str">
        <f>IFERROR(IF(B2207="","",VLOOKUP(B2207,CadProd!$A:$C,3,0)),"")</f>
        <v/>
      </c>
      <c r="G2207" s="1" t="str">
        <f t="shared" si="34"/>
        <v/>
      </c>
    </row>
    <row r="2208" spans="3:7" x14ac:dyDescent="0.3">
      <c r="C2208" t="str">
        <f>IFERROR(IF(B2208="","",VLOOKUP(B2208,CadProd!$A:$B,2,0)),"")</f>
        <v/>
      </c>
      <c r="D2208" t="str">
        <f>IFERROR(IF(B2208="","",VLOOKUP(B2208,CadProd!$A:$C,3,0)),"")</f>
        <v/>
      </c>
      <c r="G2208" s="1" t="str">
        <f t="shared" si="34"/>
        <v/>
      </c>
    </row>
    <row r="2209" spans="3:7" x14ac:dyDescent="0.3">
      <c r="C2209" t="str">
        <f>IFERROR(IF(B2209="","",VLOOKUP(B2209,CadProd!$A:$B,2,0)),"")</f>
        <v/>
      </c>
      <c r="D2209" t="str">
        <f>IFERROR(IF(B2209="","",VLOOKUP(B2209,CadProd!$A:$C,3,0)),"")</f>
        <v/>
      </c>
      <c r="G2209" s="1" t="str">
        <f t="shared" si="34"/>
        <v/>
      </c>
    </row>
    <row r="2210" spans="3:7" x14ac:dyDescent="0.3">
      <c r="C2210" t="str">
        <f>IFERROR(IF(B2210="","",VLOOKUP(B2210,CadProd!$A:$B,2,0)),"")</f>
        <v/>
      </c>
      <c r="D2210" t="str">
        <f>IFERROR(IF(B2210="","",VLOOKUP(B2210,CadProd!$A:$C,3,0)),"")</f>
        <v/>
      </c>
      <c r="G2210" s="1" t="str">
        <f t="shared" si="34"/>
        <v/>
      </c>
    </row>
    <row r="2211" spans="3:7" x14ac:dyDescent="0.3">
      <c r="C2211" t="str">
        <f>IFERROR(IF(B2211="","",VLOOKUP(B2211,CadProd!$A:$B,2,0)),"")</f>
        <v/>
      </c>
      <c r="D2211" t="str">
        <f>IFERROR(IF(B2211="","",VLOOKUP(B2211,CadProd!$A:$C,3,0)),"")</f>
        <v/>
      </c>
      <c r="G2211" s="1" t="str">
        <f t="shared" si="34"/>
        <v/>
      </c>
    </row>
    <row r="2212" spans="3:7" x14ac:dyDescent="0.3">
      <c r="C2212" t="str">
        <f>IFERROR(IF(B2212="","",VLOOKUP(B2212,CadProd!$A:$B,2,0)),"")</f>
        <v/>
      </c>
      <c r="D2212" t="str">
        <f>IFERROR(IF(B2212="","",VLOOKUP(B2212,CadProd!$A:$C,3,0)),"")</f>
        <v/>
      </c>
      <c r="G2212" s="1" t="str">
        <f t="shared" si="34"/>
        <v/>
      </c>
    </row>
    <row r="2213" spans="3:7" x14ac:dyDescent="0.3">
      <c r="C2213" t="str">
        <f>IFERROR(IF(B2213="","",VLOOKUP(B2213,CadProd!$A:$B,2,0)),"")</f>
        <v/>
      </c>
      <c r="D2213" t="str">
        <f>IFERROR(IF(B2213="","",VLOOKUP(B2213,CadProd!$A:$C,3,0)),"")</f>
        <v/>
      </c>
      <c r="G2213" s="1" t="str">
        <f t="shared" si="34"/>
        <v/>
      </c>
    </row>
    <row r="2214" spans="3:7" x14ac:dyDescent="0.3">
      <c r="C2214" t="str">
        <f>IFERROR(IF(B2214="","",VLOOKUP(B2214,CadProd!$A:$B,2,0)),"")</f>
        <v/>
      </c>
      <c r="D2214" t="str">
        <f>IFERROR(IF(B2214="","",VLOOKUP(B2214,CadProd!$A:$C,3,0)),"")</f>
        <v/>
      </c>
      <c r="G2214" s="1" t="str">
        <f t="shared" si="34"/>
        <v/>
      </c>
    </row>
    <row r="2215" spans="3:7" x14ac:dyDescent="0.3">
      <c r="C2215" t="str">
        <f>IFERROR(IF(B2215="","",VLOOKUP(B2215,CadProd!$A:$B,2,0)),"")</f>
        <v/>
      </c>
      <c r="D2215" t="str">
        <f>IFERROR(IF(B2215="","",VLOOKUP(B2215,CadProd!$A:$C,3,0)),"")</f>
        <v/>
      </c>
      <c r="G2215" s="1" t="str">
        <f t="shared" si="34"/>
        <v/>
      </c>
    </row>
    <row r="2216" spans="3:7" x14ac:dyDescent="0.3">
      <c r="C2216" t="str">
        <f>IFERROR(IF(B2216="","",VLOOKUP(B2216,CadProd!$A:$B,2,0)),"")</f>
        <v/>
      </c>
      <c r="D2216" t="str">
        <f>IFERROR(IF(B2216="","",VLOOKUP(B2216,CadProd!$A:$C,3,0)),"")</f>
        <v/>
      </c>
      <c r="G2216" s="1" t="str">
        <f t="shared" si="34"/>
        <v/>
      </c>
    </row>
    <row r="2217" spans="3:7" x14ac:dyDescent="0.3">
      <c r="C2217" t="str">
        <f>IFERROR(IF(B2217="","",VLOOKUP(B2217,CadProd!$A:$B,2,0)),"")</f>
        <v/>
      </c>
      <c r="D2217" t="str">
        <f>IFERROR(IF(B2217="","",VLOOKUP(B2217,CadProd!$A:$C,3,0)),"")</f>
        <v/>
      </c>
      <c r="G2217" s="1" t="str">
        <f t="shared" si="34"/>
        <v/>
      </c>
    </row>
    <row r="2218" spans="3:7" x14ac:dyDescent="0.3">
      <c r="C2218" t="str">
        <f>IFERROR(IF(B2218="","",VLOOKUP(B2218,CadProd!$A:$B,2,0)),"")</f>
        <v/>
      </c>
      <c r="D2218" t="str">
        <f>IFERROR(IF(B2218="","",VLOOKUP(B2218,CadProd!$A:$C,3,0)),"")</f>
        <v/>
      </c>
      <c r="G2218" s="1" t="str">
        <f t="shared" si="34"/>
        <v/>
      </c>
    </row>
    <row r="2219" spans="3:7" x14ac:dyDescent="0.3">
      <c r="C2219" t="str">
        <f>IFERROR(IF(B2219="","",VLOOKUP(B2219,CadProd!$A:$B,2,0)),"")</f>
        <v/>
      </c>
      <c r="D2219" t="str">
        <f>IFERROR(IF(B2219="","",VLOOKUP(B2219,CadProd!$A:$C,3,0)),"")</f>
        <v/>
      </c>
      <c r="G2219" s="1" t="str">
        <f t="shared" si="34"/>
        <v/>
      </c>
    </row>
    <row r="2220" spans="3:7" x14ac:dyDescent="0.3">
      <c r="C2220" t="str">
        <f>IFERROR(IF(B2220="","",VLOOKUP(B2220,CadProd!$A:$B,2,0)),"")</f>
        <v/>
      </c>
      <c r="D2220" t="str">
        <f>IFERROR(IF(B2220="","",VLOOKUP(B2220,CadProd!$A:$C,3,0)),"")</f>
        <v/>
      </c>
      <c r="G2220" s="1" t="str">
        <f t="shared" si="34"/>
        <v/>
      </c>
    </row>
    <row r="2221" spans="3:7" x14ac:dyDescent="0.3">
      <c r="C2221" t="str">
        <f>IFERROR(IF(B2221="","",VLOOKUP(B2221,CadProd!$A:$B,2,0)),"")</f>
        <v/>
      </c>
      <c r="D2221" t="str">
        <f>IFERROR(IF(B2221="","",VLOOKUP(B2221,CadProd!$A:$C,3,0)),"")</f>
        <v/>
      </c>
      <c r="G2221" s="1" t="str">
        <f t="shared" si="34"/>
        <v/>
      </c>
    </row>
    <row r="2222" spans="3:7" x14ac:dyDescent="0.3">
      <c r="C2222" t="str">
        <f>IFERROR(IF(B2222="","",VLOOKUP(B2222,CadProd!$A:$B,2,0)),"")</f>
        <v/>
      </c>
      <c r="D2222" t="str">
        <f>IFERROR(IF(B2222="","",VLOOKUP(B2222,CadProd!$A:$C,3,0)),"")</f>
        <v/>
      </c>
      <c r="G2222" s="1" t="str">
        <f t="shared" si="34"/>
        <v/>
      </c>
    </row>
    <row r="2223" spans="3:7" x14ac:dyDescent="0.3">
      <c r="C2223" t="str">
        <f>IFERROR(IF(B2223="","",VLOOKUP(B2223,CadProd!$A:$B,2,0)),"")</f>
        <v/>
      </c>
      <c r="D2223" t="str">
        <f>IFERROR(IF(B2223="","",VLOOKUP(B2223,CadProd!$A:$C,3,0)),"")</f>
        <v/>
      </c>
      <c r="G2223" s="1" t="str">
        <f t="shared" si="34"/>
        <v/>
      </c>
    </row>
    <row r="2224" spans="3:7" x14ac:dyDescent="0.3">
      <c r="C2224" t="str">
        <f>IFERROR(IF(B2224="","",VLOOKUP(B2224,CadProd!$A:$B,2,0)),"")</f>
        <v/>
      </c>
      <c r="D2224" t="str">
        <f>IFERROR(IF(B2224="","",VLOOKUP(B2224,CadProd!$A:$C,3,0)),"")</f>
        <v/>
      </c>
      <c r="G2224" s="1" t="str">
        <f t="shared" si="34"/>
        <v/>
      </c>
    </row>
    <row r="2225" spans="3:7" x14ac:dyDescent="0.3">
      <c r="C2225" t="str">
        <f>IFERROR(IF(B2225="","",VLOOKUP(B2225,CadProd!$A:$B,2,0)),"")</f>
        <v/>
      </c>
      <c r="D2225" t="str">
        <f>IFERROR(IF(B2225="","",VLOOKUP(B2225,CadProd!$A:$C,3,0)),"")</f>
        <v/>
      </c>
      <c r="G2225" s="1" t="str">
        <f t="shared" si="34"/>
        <v/>
      </c>
    </row>
    <row r="2226" spans="3:7" x14ac:dyDescent="0.3">
      <c r="C2226" t="str">
        <f>IFERROR(IF(B2226="","",VLOOKUP(B2226,CadProd!$A:$B,2,0)),"")</f>
        <v/>
      </c>
      <c r="D2226" t="str">
        <f>IFERROR(IF(B2226="","",VLOOKUP(B2226,CadProd!$A:$C,3,0)),"")</f>
        <v/>
      </c>
      <c r="G2226" s="1" t="str">
        <f t="shared" si="34"/>
        <v/>
      </c>
    </row>
    <row r="2227" spans="3:7" x14ac:dyDescent="0.3">
      <c r="C2227" t="str">
        <f>IFERROR(IF(B2227="","",VLOOKUP(B2227,CadProd!$A:$B,2,0)),"")</f>
        <v/>
      </c>
      <c r="D2227" t="str">
        <f>IFERROR(IF(B2227="","",VLOOKUP(B2227,CadProd!$A:$C,3,0)),"")</f>
        <v/>
      </c>
      <c r="G2227" s="1" t="str">
        <f t="shared" si="34"/>
        <v/>
      </c>
    </row>
    <row r="2228" spans="3:7" x14ac:dyDescent="0.3">
      <c r="C2228" t="str">
        <f>IFERROR(IF(B2228="","",VLOOKUP(B2228,CadProd!$A:$B,2,0)),"")</f>
        <v/>
      </c>
      <c r="D2228" t="str">
        <f>IFERROR(IF(B2228="","",VLOOKUP(B2228,CadProd!$A:$C,3,0)),"")</f>
        <v/>
      </c>
      <c r="G2228" s="1" t="str">
        <f t="shared" si="34"/>
        <v/>
      </c>
    </row>
    <row r="2229" spans="3:7" x14ac:dyDescent="0.3">
      <c r="C2229" t="str">
        <f>IFERROR(IF(B2229="","",VLOOKUP(B2229,CadProd!$A:$B,2,0)),"")</f>
        <v/>
      </c>
      <c r="D2229" t="str">
        <f>IFERROR(IF(B2229="","",VLOOKUP(B2229,CadProd!$A:$C,3,0)),"")</f>
        <v/>
      </c>
      <c r="G2229" s="1" t="str">
        <f t="shared" si="34"/>
        <v/>
      </c>
    </row>
    <row r="2230" spans="3:7" x14ac:dyDescent="0.3">
      <c r="C2230" t="str">
        <f>IFERROR(IF(B2230="","",VLOOKUP(B2230,CadProd!$A:$B,2,0)),"")</f>
        <v/>
      </c>
      <c r="D2230" t="str">
        <f>IFERROR(IF(B2230="","",VLOOKUP(B2230,CadProd!$A:$C,3,0)),"")</f>
        <v/>
      </c>
      <c r="G2230" s="1" t="str">
        <f t="shared" si="34"/>
        <v/>
      </c>
    </row>
    <row r="2231" spans="3:7" x14ac:dyDescent="0.3">
      <c r="C2231" t="str">
        <f>IFERROR(IF(B2231="","",VLOOKUP(B2231,CadProd!$A:$B,2,0)),"")</f>
        <v/>
      </c>
      <c r="D2231" t="str">
        <f>IFERROR(IF(B2231="","",VLOOKUP(B2231,CadProd!$A:$C,3,0)),"")</f>
        <v/>
      </c>
      <c r="G2231" s="1" t="str">
        <f t="shared" si="34"/>
        <v/>
      </c>
    </row>
    <row r="2232" spans="3:7" x14ac:dyDescent="0.3">
      <c r="C2232" t="str">
        <f>IFERROR(IF(B2232="","",VLOOKUP(B2232,CadProd!$A:$B,2,0)),"")</f>
        <v/>
      </c>
      <c r="D2232" t="str">
        <f>IFERROR(IF(B2232="","",VLOOKUP(B2232,CadProd!$A:$C,3,0)),"")</f>
        <v/>
      </c>
      <c r="G2232" s="1" t="str">
        <f t="shared" si="34"/>
        <v/>
      </c>
    </row>
    <row r="2233" spans="3:7" x14ac:dyDescent="0.3">
      <c r="C2233" t="str">
        <f>IFERROR(IF(B2233="","",VLOOKUP(B2233,CadProd!$A:$B,2,0)),"")</f>
        <v/>
      </c>
      <c r="D2233" t="str">
        <f>IFERROR(IF(B2233="","",VLOOKUP(B2233,CadProd!$A:$C,3,0)),"")</f>
        <v/>
      </c>
      <c r="G2233" s="1" t="str">
        <f t="shared" si="34"/>
        <v/>
      </c>
    </row>
    <row r="2234" spans="3:7" x14ac:dyDescent="0.3">
      <c r="C2234" t="str">
        <f>IFERROR(IF(B2234="","",VLOOKUP(B2234,CadProd!$A:$B,2,0)),"")</f>
        <v/>
      </c>
      <c r="D2234" t="str">
        <f>IFERROR(IF(B2234="","",VLOOKUP(B2234,CadProd!$A:$C,3,0)),"")</f>
        <v/>
      </c>
      <c r="G2234" s="1" t="str">
        <f t="shared" si="34"/>
        <v/>
      </c>
    </row>
    <row r="2235" spans="3:7" x14ac:dyDescent="0.3">
      <c r="C2235" t="str">
        <f>IFERROR(IF(B2235="","",VLOOKUP(B2235,CadProd!$A:$B,2,0)),"")</f>
        <v/>
      </c>
      <c r="D2235" t="str">
        <f>IFERROR(IF(B2235="","",VLOOKUP(B2235,CadProd!$A:$C,3,0)),"")</f>
        <v/>
      </c>
      <c r="G2235" s="1" t="str">
        <f t="shared" si="34"/>
        <v/>
      </c>
    </row>
    <row r="2236" spans="3:7" x14ac:dyDescent="0.3">
      <c r="C2236" t="str">
        <f>IFERROR(IF(B2236="","",VLOOKUP(B2236,CadProd!$A:$B,2,0)),"")</f>
        <v/>
      </c>
      <c r="D2236" t="str">
        <f>IFERROR(IF(B2236="","",VLOOKUP(B2236,CadProd!$A:$C,3,0)),"")</f>
        <v/>
      </c>
      <c r="G2236" s="1" t="str">
        <f t="shared" si="34"/>
        <v/>
      </c>
    </row>
    <row r="2237" spans="3:7" x14ac:dyDescent="0.3">
      <c r="C2237" t="str">
        <f>IFERROR(IF(B2237="","",VLOOKUP(B2237,CadProd!$A:$B,2,0)),"")</f>
        <v/>
      </c>
      <c r="D2237" t="str">
        <f>IFERROR(IF(B2237="","",VLOOKUP(B2237,CadProd!$A:$C,3,0)),"")</f>
        <v/>
      </c>
      <c r="G2237" s="1" t="str">
        <f t="shared" si="34"/>
        <v/>
      </c>
    </row>
    <row r="2238" spans="3:7" x14ac:dyDescent="0.3">
      <c r="C2238" t="str">
        <f>IFERROR(IF(B2238="","",VLOOKUP(B2238,CadProd!$A:$B,2,0)),"")</f>
        <v/>
      </c>
      <c r="D2238" t="str">
        <f>IFERROR(IF(B2238="","",VLOOKUP(B2238,CadProd!$A:$C,3,0)),"")</f>
        <v/>
      </c>
      <c r="G2238" s="1" t="str">
        <f t="shared" si="34"/>
        <v/>
      </c>
    </row>
    <row r="2239" spans="3:7" x14ac:dyDescent="0.3">
      <c r="C2239" t="str">
        <f>IFERROR(IF(B2239="","",VLOOKUP(B2239,CadProd!$A:$B,2,0)),"")</f>
        <v/>
      </c>
      <c r="D2239" t="str">
        <f>IFERROR(IF(B2239="","",VLOOKUP(B2239,CadProd!$A:$C,3,0)),"")</f>
        <v/>
      </c>
      <c r="G2239" s="1" t="str">
        <f t="shared" si="34"/>
        <v/>
      </c>
    </row>
    <row r="2240" spans="3:7" x14ac:dyDescent="0.3">
      <c r="C2240" t="str">
        <f>IFERROR(IF(B2240="","",VLOOKUP(B2240,CadProd!$A:$B,2,0)),"")</f>
        <v/>
      </c>
      <c r="D2240" t="str">
        <f>IFERROR(IF(B2240="","",VLOOKUP(B2240,CadProd!$A:$C,3,0)),"")</f>
        <v/>
      </c>
      <c r="G2240" s="1" t="str">
        <f t="shared" si="34"/>
        <v/>
      </c>
    </row>
    <row r="2241" spans="3:7" x14ac:dyDescent="0.3">
      <c r="C2241" t="str">
        <f>IFERROR(IF(B2241="","",VLOOKUP(B2241,CadProd!$A:$B,2,0)),"")</f>
        <v/>
      </c>
      <c r="D2241" t="str">
        <f>IFERROR(IF(B2241="","",VLOOKUP(B2241,CadProd!$A:$C,3,0)),"")</f>
        <v/>
      </c>
      <c r="G2241" s="1" t="str">
        <f t="shared" si="34"/>
        <v/>
      </c>
    </row>
    <row r="2242" spans="3:7" x14ac:dyDescent="0.3">
      <c r="C2242" t="str">
        <f>IFERROR(IF(B2242="","",VLOOKUP(B2242,CadProd!$A:$B,2,0)),"")</f>
        <v/>
      </c>
      <c r="D2242" t="str">
        <f>IFERROR(IF(B2242="","",VLOOKUP(B2242,CadProd!$A:$C,3,0)),"")</f>
        <v/>
      </c>
      <c r="G2242" s="1" t="str">
        <f t="shared" si="34"/>
        <v/>
      </c>
    </row>
    <row r="2243" spans="3:7" x14ac:dyDescent="0.3">
      <c r="C2243" t="str">
        <f>IFERROR(IF(B2243="","",VLOOKUP(B2243,CadProd!$A:$B,2,0)),"")</f>
        <v/>
      </c>
      <c r="D2243" t="str">
        <f>IFERROR(IF(B2243="","",VLOOKUP(B2243,CadProd!$A:$C,3,0)),"")</f>
        <v/>
      </c>
      <c r="G2243" s="1" t="str">
        <f t="shared" si="34"/>
        <v/>
      </c>
    </row>
    <row r="2244" spans="3:7" x14ac:dyDescent="0.3">
      <c r="C2244" t="str">
        <f>IFERROR(IF(B2244="","",VLOOKUP(B2244,CadProd!$A:$B,2,0)),"")</f>
        <v/>
      </c>
      <c r="D2244" t="str">
        <f>IFERROR(IF(B2244="","",VLOOKUP(B2244,CadProd!$A:$C,3,0)),"")</f>
        <v/>
      </c>
      <c r="G2244" s="1" t="str">
        <f t="shared" si="34"/>
        <v/>
      </c>
    </row>
    <row r="2245" spans="3:7" x14ac:dyDescent="0.3">
      <c r="C2245" t="str">
        <f>IFERROR(IF(B2245="","",VLOOKUP(B2245,CadProd!$A:$B,2,0)),"")</f>
        <v/>
      </c>
      <c r="D2245" t="str">
        <f>IFERROR(IF(B2245="","",VLOOKUP(B2245,CadProd!$A:$C,3,0)),"")</f>
        <v/>
      </c>
      <c r="G2245" s="1" t="str">
        <f t="shared" si="34"/>
        <v/>
      </c>
    </row>
    <row r="2246" spans="3:7" x14ac:dyDescent="0.3">
      <c r="C2246" t="str">
        <f>IFERROR(IF(B2246="","",VLOOKUP(B2246,CadProd!$A:$B,2,0)),"")</f>
        <v/>
      </c>
      <c r="D2246" t="str">
        <f>IFERROR(IF(B2246="","",VLOOKUP(B2246,CadProd!$A:$C,3,0)),"")</f>
        <v/>
      </c>
      <c r="G2246" s="1" t="str">
        <f t="shared" si="34"/>
        <v/>
      </c>
    </row>
    <row r="2247" spans="3:7" x14ac:dyDescent="0.3">
      <c r="C2247" t="str">
        <f>IFERROR(IF(B2247="","",VLOOKUP(B2247,CadProd!$A:$B,2,0)),"")</f>
        <v/>
      </c>
      <c r="D2247" t="str">
        <f>IFERROR(IF(B2247="","",VLOOKUP(B2247,CadProd!$A:$C,3,0)),"")</f>
        <v/>
      </c>
      <c r="G2247" s="1" t="str">
        <f t="shared" si="34"/>
        <v/>
      </c>
    </row>
    <row r="2248" spans="3:7" x14ac:dyDescent="0.3">
      <c r="C2248" t="str">
        <f>IFERROR(IF(B2248="","",VLOOKUP(B2248,CadProd!$A:$B,2,0)),"")</f>
        <v/>
      </c>
      <c r="D2248" t="str">
        <f>IFERROR(IF(B2248="","",VLOOKUP(B2248,CadProd!$A:$C,3,0)),"")</f>
        <v/>
      </c>
      <c r="G2248" s="1" t="str">
        <f t="shared" si="34"/>
        <v/>
      </c>
    </row>
    <row r="2249" spans="3:7" x14ac:dyDescent="0.3">
      <c r="C2249" t="str">
        <f>IFERROR(IF(B2249="","",VLOOKUP(B2249,CadProd!$A:$B,2,0)),"")</f>
        <v/>
      </c>
      <c r="D2249" t="str">
        <f>IFERROR(IF(B2249="","",VLOOKUP(B2249,CadProd!$A:$C,3,0)),"")</f>
        <v/>
      </c>
      <c r="G2249" s="1" t="str">
        <f t="shared" si="34"/>
        <v/>
      </c>
    </row>
    <row r="2250" spans="3:7" x14ac:dyDescent="0.3">
      <c r="C2250" t="str">
        <f>IFERROR(IF(B2250="","",VLOOKUP(B2250,CadProd!$A:$B,2,0)),"")</f>
        <v/>
      </c>
      <c r="D2250" t="str">
        <f>IFERROR(IF(B2250="","",VLOOKUP(B2250,CadProd!$A:$C,3,0)),"")</f>
        <v/>
      </c>
      <c r="G2250" s="1" t="str">
        <f t="shared" si="34"/>
        <v/>
      </c>
    </row>
    <row r="2251" spans="3:7" x14ac:dyDescent="0.3">
      <c r="C2251" t="str">
        <f>IFERROR(IF(B2251="","",VLOOKUP(B2251,CadProd!$A:$B,2,0)),"")</f>
        <v/>
      </c>
      <c r="D2251" t="str">
        <f>IFERROR(IF(B2251="","",VLOOKUP(B2251,CadProd!$A:$C,3,0)),"")</f>
        <v/>
      </c>
      <c r="G2251" s="1" t="str">
        <f t="shared" ref="G2251:G2314" si="35">IFERROR(IF(B2251="","",F2251*E2251),"")</f>
        <v/>
      </c>
    </row>
    <row r="2252" spans="3:7" x14ac:dyDescent="0.3">
      <c r="C2252" t="str">
        <f>IFERROR(IF(B2252="","",VLOOKUP(B2252,CadProd!$A:$B,2,0)),"")</f>
        <v/>
      </c>
      <c r="D2252" t="str">
        <f>IFERROR(IF(B2252="","",VLOOKUP(B2252,CadProd!$A:$C,3,0)),"")</f>
        <v/>
      </c>
      <c r="G2252" s="1" t="str">
        <f t="shared" si="35"/>
        <v/>
      </c>
    </row>
    <row r="2253" spans="3:7" x14ac:dyDescent="0.3">
      <c r="C2253" t="str">
        <f>IFERROR(IF(B2253="","",VLOOKUP(B2253,CadProd!$A:$B,2,0)),"")</f>
        <v/>
      </c>
      <c r="D2253" t="str">
        <f>IFERROR(IF(B2253="","",VLOOKUP(B2253,CadProd!$A:$C,3,0)),"")</f>
        <v/>
      </c>
      <c r="G2253" s="1" t="str">
        <f t="shared" si="35"/>
        <v/>
      </c>
    </row>
    <row r="2254" spans="3:7" x14ac:dyDescent="0.3">
      <c r="C2254" t="str">
        <f>IFERROR(IF(B2254="","",VLOOKUP(B2254,CadProd!$A:$B,2,0)),"")</f>
        <v/>
      </c>
      <c r="D2254" t="str">
        <f>IFERROR(IF(B2254="","",VLOOKUP(B2254,CadProd!$A:$C,3,0)),"")</f>
        <v/>
      </c>
      <c r="G2254" s="1" t="str">
        <f t="shared" si="35"/>
        <v/>
      </c>
    </row>
    <row r="2255" spans="3:7" x14ac:dyDescent="0.3">
      <c r="C2255" t="str">
        <f>IFERROR(IF(B2255="","",VLOOKUP(B2255,CadProd!$A:$B,2,0)),"")</f>
        <v/>
      </c>
      <c r="D2255" t="str">
        <f>IFERROR(IF(B2255="","",VLOOKUP(B2255,CadProd!$A:$C,3,0)),"")</f>
        <v/>
      </c>
      <c r="G2255" s="1" t="str">
        <f t="shared" si="35"/>
        <v/>
      </c>
    </row>
    <row r="2256" spans="3:7" x14ac:dyDescent="0.3">
      <c r="C2256" t="str">
        <f>IFERROR(IF(B2256="","",VLOOKUP(B2256,CadProd!$A:$B,2,0)),"")</f>
        <v/>
      </c>
      <c r="D2256" t="str">
        <f>IFERROR(IF(B2256="","",VLOOKUP(B2256,CadProd!$A:$C,3,0)),"")</f>
        <v/>
      </c>
      <c r="G2256" s="1" t="str">
        <f t="shared" si="35"/>
        <v/>
      </c>
    </row>
    <row r="2257" spans="3:7" x14ac:dyDescent="0.3">
      <c r="C2257" t="str">
        <f>IFERROR(IF(B2257="","",VLOOKUP(B2257,CadProd!$A:$B,2,0)),"")</f>
        <v/>
      </c>
      <c r="D2257" t="str">
        <f>IFERROR(IF(B2257="","",VLOOKUP(B2257,CadProd!$A:$C,3,0)),"")</f>
        <v/>
      </c>
      <c r="G2257" s="1" t="str">
        <f t="shared" si="35"/>
        <v/>
      </c>
    </row>
    <row r="2258" spans="3:7" x14ac:dyDescent="0.3">
      <c r="C2258" t="str">
        <f>IFERROR(IF(B2258="","",VLOOKUP(B2258,CadProd!$A:$B,2,0)),"")</f>
        <v/>
      </c>
      <c r="D2258" t="str">
        <f>IFERROR(IF(B2258="","",VLOOKUP(B2258,CadProd!$A:$C,3,0)),"")</f>
        <v/>
      </c>
      <c r="G2258" s="1" t="str">
        <f t="shared" si="35"/>
        <v/>
      </c>
    </row>
    <row r="2259" spans="3:7" x14ac:dyDescent="0.3">
      <c r="C2259" t="str">
        <f>IFERROR(IF(B2259="","",VLOOKUP(B2259,CadProd!$A:$B,2,0)),"")</f>
        <v/>
      </c>
      <c r="D2259" t="str">
        <f>IFERROR(IF(B2259="","",VLOOKUP(B2259,CadProd!$A:$C,3,0)),"")</f>
        <v/>
      </c>
      <c r="G2259" s="1" t="str">
        <f t="shared" si="35"/>
        <v/>
      </c>
    </row>
    <row r="2260" spans="3:7" x14ac:dyDescent="0.3">
      <c r="C2260" t="str">
        <f>IFERROR(IF(B2260="","",VLOOKUP(B2260,CadProd!$A:$B,2,0)),"")</f>
        <v/>
      </c>
      <c r="D2260" t="str">
        <f>IFERROR(IF(B2260="","",VLOOKUP(B2260,CadProd!$A:$C,3,0)),"")</f>
        <v/>
      </c>
      <c r="G2260" s="1" t="str">
        <f t="shared" si="35"/>
        <v/>
      </c>
    </row>
    <row r="2261" spans="3:7" x14ac:dyDescent="0.3">
      <c r="C2261" t="str">
        <f>IFERROR(IF(B2261="","",VLOOKUP(B2261,CadProd!$A:$B,2,0)),"")</f>
        <v/>
      </c>
      <c r="D2261" t="str">
        <f>IFERROR(IF(B2261="","",VLOOKUP(B2261,CadProd!$A:$C,3,0)),"")</f>
        <v/>
      </c>
      <c r="G2261" s="1" t="str">
        <f t="shared" si="35"/>
        <v/>
      </c>
    </row>
    <row r="2262" spans="3:7" x14ac:dyDescent="0.3">
      <c r="C2262" t="str">
        <f>IFERROR(IF(B2262="","",VLOOKUP(B2262,CadProd!$A:$B,2,0)),"")</f>
        <v/>
      </c>
      <c r="D2262" t="str">
        <f>IFERROR(IF(B2262="","",VLOOKUP(B2262,CadProd!$A:$C,3,0)),"")</f>
        <v/>
      </c>
      <c r="G2262" s="1" t="str">
        <f t="shared" si="35"/>
        <v/>
      </c>
    </row>
    <row r="2263" spans="3:7" x14ac:dyDescent="0.3">
      <c r="C2263" t="str">
        <f>IFERROR(IF(B2263="","",VLOOKUP(B2263,CadProd!$A:$B,2,0)),"")</f>
        <v/>
      </c>
      <c r="D2263" t="str">
        <f>IFERROR(IF(B2263="","",VLOOKUP(B2263,CadProd!$A:$C,3,0)),"")</f>
        <v/>
      </c>
      <c r="G2263" s="1" t="str">
        <f t="shared" si="35"/>
        <v/>
      </c>
    </row>
    <row r="2264" spans="3:7" x14ac:dyDescent="0.3">
      <c r="C2264" t="str">
        <f>IFERROR(IF(B2264="","",VLOOKUP(B2264,CadProd!$A:$B,2,0)),"")</f>
        <v/>
      </c>
      <c r="D2264" t="str">
        <f>IFERROR(IF(B2264="","",VLOOKUP(B2264,CadProd!$A:$C,3,0)),"")</f>
        <v/>
      </c>
      <c r="G2264" s="1" t="str">
        <f t="shared" si="35"/>
        <v/>
      </c>
    </row>
    <row r="2265" spans="3:7" x14ac:dyDescent="0.3">
      <c r="C2265" t="str">
        <f>IFERROR(IF(B2265="","",VLOOKUP(B2265,CadProd!$A:$B,2,0)),"")</f>
        <v/>
      </c>
      <c r="D2265" t="str">
        <f>IFERROR(IF(B2265="","",VLOOKUP(B2265,CadProd!$A:$C,3,0)),"")</f>
        <v/>
      </c>
      <c r="G2265" s="1" t="str">
        <f t="shared" si="35"/>
        <v/>
      </c>
    </row>
    <row r="2266" spans="3:7" x14ac:dyDescent="0.3">
      <c r="C2266" t="str">
        <f>IFERROR(IF(B2266="","",VLOOKUP(B2266,CadProd!$A:$B,2,0)),"")</f>
        <v/>
      </c>
      <c r="D2266" t="str">
        <f>IFERROR(IF(B2266="","",VLOOKUP(B2266,CadProd!$A:$C,3,0)),"")</f>
        <v/>
      </c>
      <c r="G2266" s="1" t="str">
        <f t="shared" si="35"/>
        <v/>
      </c>
    </row>
    <row r="2267" spans="3:7" x14ac:dyDescent="0.3">
      <c r="C2267" t="str">
        <f>IFERROR(IF(B2267="","",VLOOKUP(B2267,CadProd!$A:$B,2,0)),"")</f>
        <v/>
      </c>
      <c r="D2267" t="str">
        <f>IFERROR(IF(B2267="","",VLOOKUP(B2267,CadProd!$A:$C,3,0)),"")</f>
        <v/>
      </c>
      <c r="G2267" s="1" t="str">
        <f t="shared" si="35"/>
        <v/>
      </c>
    </row>
    <row r="2268" spans="3:7" x14ac:dyDescent="0.3">
      <c r="C2268" t="str">
        <f>IFERROR(IF(B2268="","",VLOOKUP(B2268,CadProd!$A:$B,2,0)),"")</f>
        <v/>
      </c>
      <c r="D2268" t="str">
        <f>IFERROR(IF(B2268="","",VLOOKUP(B2268,CadProd!$A:$C,3,0)),"")</f>
        <v/>
      </c>
      <c r="G2268" s="1" t="str">
        <f t="shared" si="35"/>
        <v/>
      </c>
    </row>
    <row r="2269" spans="3:7" x14ac:dyDescent="0.3">
      <c r="C2269" t="str">
        <f>IFERROR(IF(B2269="","",VLOOKUP(B2269,CadProd!$A:$B,2,0)),"")</f>
        <v/>
      </c>
      <c r="D2269" t="str">
        <f>IFERROR(IF(B2269="","",VLOOKUP(B2269,CadProd!$A:$C,3,0)),"")</f>
        <v/>
      </c>
      <c r="G2269" s="1" t="str">
        <f t="shared" si="35"/>
        <v/>
      </c>
    </row>
    <row r="2270" spans="3:7" x14ac:dyDescent="0.3">
      <c r="C2270" t="str">
        <f>IFERROR(IF(B2270="","",VLOOKUP(B2270,CadProd!$A:$B,2,0)),"")</f>
        <v/>
      </c>
      <c r="D2270" t="str">
        <f>IFERROR(IF(B2270="","",VLOOKUP(B2270,CadProd!$A:$C,3,0)),"")</f>
        <v/>
      </c>
      <c r="G2270" s="1" t="str">
        <f t="shared" si="35"/>
        <v/>
      </c>
    </row>
    <row r="2271" spans="3:7" x14ac:dyDescent="0.3">
      <c r="C2271" t="str">
        <f>IFERROR(IF(B2271="","",VLOOKUP(B2271,CadProd!$A:$B,2,0)),"")</f>
        <v/>
      </c>
      <c r="D2271" t="str">
        <f>IFERROR(IF(B2271="","",VLOOKUP(B2271,CadProd!$A:$C,3,0)),"")</f>
        <v/>
      </c>
      <c r="G2271" s="1" t="str">
        <f t="shared" si="35"/>
        <v/>
      </c>
    </row>
    <row r="2272" spans="3:7" x14ac:dyDescent="0.3">
      <c r="C2272" t="str">
        <f>IFERROR(IF(B2272="","",VLOOKUP(B2272,CadProd!$A:$B,2,0)),"")</f>
        <v/>
      </c>
      <c r="D2272" t="str">
        <f>IFERROR(IF(B2272="","",VLOOKUP(B2272,CadProd!$A:$C,3,0)),"")</f>
        <v/>
      </c>
      <c r="G2272" s="1" t="str">
        <f t="shared" si="35"/>
        <v/>
      </c>
    </row>
    <row r="2273" spans="3:7" x14ac:dyDescent="0.3">
      <c r="C2273" t="str">
        <f>IFERROR(IF(B2273="","",VLOOKUP(B2273,CadProd!$A:$B,2,0)),"")</f>
        <v/>
      </c>
      <c r="D2273" t="str">
        <f>IFERROR(IF(B2273="","",VLOOKUP(B2273,CadProd!$A:$C,3,0)),"")</f>
        <v/>
      </c>
      <c r="G2273" s="1" t="str">
        <f t="shared" si="35"/>
        <v/>
      </c>
    </row>
    <row r="2274" spans="3:7" x14ac:dyDescent="0.3">
      <c r="C2274" t="str">
        <f>IFERROR(IF(B2274="","",VLOOKUP(B2274,CadProd!$A:$B,2,0)),"")</f>
        <v/>
      </c>
      <c r="D2274" t="str">
        <f>IFERROR(IF(B2274="","",VLOOKUP(B2274,CadProd!$A:$C,3,0)),"")</f>
        <v/>
      </c>
      <c r="G2274" s="1" t="str">
        <f t="shared" si="35"/>
        <v/>
      </c>
    </row>
    <row r="2275" spans="3:7" x14ac:dyDescent="0.3">
      <c r="C2275" t="str">
        <f>IFERROR(IF(B2275="","",VLOOKUP(B2275,CadProd!$A:$B,2,0)),"")</f>
        <v/>
      </c>
      <c r="D2275" t="str">
        <f>IFERROR(IF(B2275="","",VLOOKUP(B2275,CadProd!$A:$C,3,0)),"")</f>
        <v/>
      </c>
      <c r="G2275" s="1" t="str">
        <f t="shared" si="35"/>
        <v/>
      </c>
    </row>
    <row r="2276" spans="3:7" x14ac:dyDescent="0.3">
      <c r="C2276" t="str">
        <f>IFERROR(IF(B2276="","",VLOOKUP(B2276,CadProd!$A:$B,2,0)),"")</f>
        <v/>
      </c>
      <c r="D2276" t="str">
        <f>IFERROR(IF(B2276="","",VLOOKUP(B2276,CadProd!$A:$C,3,0)),"")</f>
        <v/>
      </c>
      <c r="G2276" s="1" t="str">
        <f t="shared" si="35"/>
        <v/>
      </c>
    </row>
    <row r="2277" spans="3:7" x14ac:dyDescent="0.3">
      <c r="C2277" t="str">
        <f>IFERROR(IF(B2277="","",VLOOKUP(B2277,CadProd!$A:$B,2,0)),"")</f>
        <v/>
      </c>
      <c r="D2277" t="str">
        <f>IFERROR(IF(B2277="","",VLOOKUP(B2277,CadProd!$A:$C,3,0)),"")</f>
        <v/>
      </c>
      <c r="G2277" s="1" t="str">
        <f t="shared" si="35"/>
        <v/>
      </c>
    </row>
    <row r="2278" spans="3:7" x14ac:dyDescent="0.3">
      <c r="C2278" t="str">
        <f>IFERROR(IF(B2278="","",VLOOKUP(B2278,CadProd!$A:$B,2,0)),"")</f>
        <v/>
      </c>
      <c r="D2278" t="str">
        <f>IFERROR(IF(B2278="","",VLOOKUP(B2278,CadProd!$A:$C,3,0)),"")</f>
        <v/>
      </c>
      <c r="G2278" s="1" t="str">
        <f t="shared" si="35"/>
        <v/>
      </c>
    </row>
    <row r="2279" spans="3:7" x14ac:dyDescent="0.3">
      <c r="C2279" t="str">
        <f>IFERROR(IF(B2279="","",VLOOKUP(B2279,CadProd!$A:$B,2,0)),"")</f>
        <v/>
      </c>
      <c r="D2279" t="str">
        <f>IFERROR(IF(B2279="","",VLOOKUP(B2279,CadProd!$A:$C,3,0)),"")</f>
        <v/>
      </c>
      <c r="G2279" s="1" t="str">
        <f t="shared" si="35"/>
        <v/>
      </c>
    </row>
    <row r="2280" spans="3:7" x14ac:dyDescent="0.3">
      <c r="C2280" t="str">
        <f>IFERROR(IF(B2280="","",VLOOKUP(B2280,CadProd!$A:$B,2,0)),"")</f>
        <v/>
      </c>
      <c r="D2280" t="str">
        <f>IFERROR(IF(B2280="","",VLOOKUP(B2280,CadProd!$A:$C,3,0)),"")</f>
        <v/>
      </c>
      <c r="G2280" s="1" t="str">
        <f t="shared" si="35"/>
        <v/>
      </c>
    </row>
    <row r="2281" spans="3:7" x14ac:dyDescent="0.3">
      <c r="C2281" t="str">
        <f>IFERROR(IF(B2281="","",VLOOKUP(B2281,CadProd!$A:$B,2,0)),"")</f>
        <v/>
      </c>
      <c r="D2281" t="str">
        <f>IFERROR(IF(B2281="","",VLOOKUP(B2281,CadProd!$A:$C,3,0)),"")</f>
        <v/>
      </c>
      <c r="G2281" s="1" t="str">
        <f t="shared" si="35"/>
        <v/>
      </c>
    </row>
    <row r="2282" spans="3:7" x14ac:dyDescent="0.3">
      <c r="C2282" t="str">
        <f>IFERROR(IF(B2282="","",VLOOKUP(B2282,CadProd!$A:$B,2,0)),"")</f>
        <v/>
      </c>
      <c r="D2282" t="str">
        <f>IFERROR(IF(B2282="","",VLOOKUP(B2282,CadProd!$A:$C,3,0)),"")</f>
        <v/>
      </c>
      <c r="G2282" s="1" t="str">
        <f t="shared" si="35"/>
        <v/>
      </c>
    </row>
    <row r="2283" spans="3:7" x14ac:dyDescent="0.3">
      <c r="C2283" t="str">
        <f>IFERROR(IF(B2283="","",VLOOKUP(B2283,CadProd!$A:$B,2,0)),"")</f>
        <v/>
      </c>
      <c r="D2283" t="str">
        <f>IFERROR(IF(B2283="","",VLOOKUP(B2283,CadProd!$A:$C,3,0)),"")</f>
        <v/>
      </c>
      <c r="G2283" s="1" t="str">
        <f t="shared" si="35"/>
        <v/>
      </c>
    </row>
    <row r="2284" spans="3:7" x14ac:dyDescent="0.3">
      <c r="C2284" t="str">
        <f>IFERROR(IF(B2284="","",VLOOKUP(B2284,CadProd!$A:$B,2,0)),"")</f>
        <v/>
      </c>
      <c r="D2284" t="str">
        <f>IFERROR(IF(B2284="","",VLOOKUP(B2284,CadProd!$A:$C,3,0)),"")</f>
        <v/>
      </c>
      <c r="G2284" s="1" t="str">
        <f t="shared" si="35"/>
        <v/>
      </c>
    </row>
    <row r="2285" spans="3:7" x14ac:dyDescent="0.3">
      <c r="C2285" t="str">
        <f>IFERROR(IF(B2285="","",VLOOKUP(B2285,CadProd!$A:$B,2,0)),"")</f>
        <v/>
      </c>
      <c r="D2285" t="str">
        <f>IFERROR(IF(B2285="","",VLOOKUP(B2285,CadProd!$A:$C,3,0)),"")</f>
        <v/>
      </c>
      <c r="G2285" s="1" t="str">
        <f t="shared" si="35"/>
        <v/>
      </c>
    </row>
    <row r="2286" spans="3:7" x14ac:dyDescent="0.3">
      <c r="C2286" t="str">
        <f>IFERROR(IF(B2286="","",VLOOKUP(B2286,CadProd!$A:$B,2,0)),"")</f>
        <v/>
      </c>
      <c r="D2286" t="str">
        <f>IFERROR(IF(B2286="","",VLOOKUP(B2286,CadProd!$A:$C,3,0)),"")</f>
        <v/>
      </c>
      <c r="G2286" s="1" t="str">
        <f t="shared" si="35"/>
        <v/>
      </c>
    </row>
    <row r="2287" spans="3:7" x14ac:dyDescent="0.3">
      <c r="C2287" t="str">
        <f>IFERROR(IF(B2287="","",VLOOKUP(B2287,CadProd!$A:$B,2,0)),"")</f>
        <v/>
      </c>
      <c r="D2287" t="str">
        <f>IFERROR(IF(B2287="","",VLOOKUP(B2287,CadProd!$A:$C,3,0)),"")</f>
        <v/>
      </c>
      <c r="G2287" s="1" t="str">
        <f t="shared" si="35"/>
        <v/>
      </c>
    </row>
    <row r="2288" spans="3:7" x14ac:dyDescent="0.3">
      <c r="C2288" t="str">
        <f>IFERROR(IF(B2288="","",VLOOKUP(B2288,CadProd!$A:$B,2,0)),"")</f>
        <v/>
      </c>
      <c r="D2288" t="str">
        <f>IFERROR(IF(B2288="","",VLOOKUP(B2288,CadProd!$A:$C,3,0)),"")</f>
        <v/>
      </c>
      <c r="G2288" s="1" t="str">
        <f t="shared" si="35"/>
        <v/>
      </c>
    </row>
    <row r="2289" spans="3:7" x14ac:dyDescent="0.3">
      <c r="C2289" t="str">
        <f>IFERROR(IF(B2289="","",VLOOKUP(B2289,CadProd!$A:$B,2,0)),"")</f>
        <v/>
      </c>
      <c r="D2289" t="str">
        <f>IFERROR(IF(B2289="","",VLOOKUP(B2289,CadProd!$A:$C,3,0)),"")</f>
        <v/>
      </c>
      <c r="G2289" s="1" t="str">
        <f t="shared" si="35"/>
        <v/>
      </c>
    </row>
    <row r="2290" spans="3:7" x14ac:dyDescent="0.3">
      <c r="C2290" t="str">
        <f>IFERROR(IF(B2290="","",VLOOKUP(B2290,CadProd!$A:$B,2,0)),"")</f>
        <v/>
      </c>
      <c r="D2290" t="str">
        <f>IFERROR(IF(B2290="","",VLOOKUP(B2290,CadProd!$A:$C,3,0)),"")</f>
        <v/>
      </c>
      <c r="G2290" s="1" t="str">
        <f t="shared" si="35"/>
        <v/>
      </c>
    </row>
    <row r="2291" spans="3:7" x14ac:dyDescent="0.3">
      <c r="C2291" t="str">
        <f>IFERROR(IF(B2291="","",VLOOKUP(B2291,CadProd!$A:$B,2,0)),"")</f>
        <v/>
      </c>
      <c r="D2291" t="str">
        <f>IFERROR(IF(B2291="","",VLOOKUP(B2291,CadProd!$A:$C,3,0)),"")</f>
        <v/>
      </c>
      <c r="G2291" s="1" t="str">
        <f t="shared" si="35"/>
        <v/>
      </c>
    </row>
    <row r="2292" spans="3:7" x14ac:dyDescent="0.3">
      <c r="C2292" t="str">
        <f>IFERROR(IF(B2292="","",VLOOKUP(B2292,CadProd!$A:$B,2,0)),"")</f>
        <v/>
      </c>
      <c r="D2292" t="str">
        <f>IFERROR(IF(B2292="","",VLOOKUP(B2292,CadProd!$A:$C,3,0)),"")</f>
        <v/>
      </c>
      <c r="G2292" s="1" t="str">
        <f t="shared" si="35"/>
        <v/>
      </c>
    </row>
    <row r="2293" spans="3:7" x14ac:dyDescent="0.3">
      <c r="C2293" t="str">
        <f>IFERROR(IF(B2293="","",VLOOKUP(B2293,CadProd!$A:$B,2,0)),"")</f>
        <v/>
      </c>
      <c r="D2293" t="str">
        <f>IFERROR(IF(B2293="","",VLOOKUP(B2293,CadProd!$A:$C,3,0)),"")</f>
        <v/>
      </c>
      <c r="G2293" s="1" t="str">
        <f t="shared" si="35"/>
        <v/>
      </c>
    </row>
    <row r="2294" spans="3:7" x14ac:dyDescent="0.3">
      <c r="C2294" t="str">
        <f>IFERROR(IF(B2294="","",VLOOKUP(B2294,CadProd!$A:$B,2,0)),"")</f>
        <v/>
      </c>
      <c r="D2294" t="str">
        <f>IFERROR(IF(B2294="","",VLOOKUP(B2294,CadProd!$A:$C,3,0)),"")</f>
        <v/>
      </c>
      <c r="G2294" s="1" t="str">
        <f t="shared" si="35"/>
        <v/>
      </c>
    </row>
    <row r="2295" spans="3:7" x14ac:dyDescent="0.3">
      <c r="C2295" t="str">
        <f>IFERROR(IF(B2295="","",VLOOKUP(B2295,CadProd!$A:$B,2,0)),"")</f>
        <v/>
      </c>
      <c r="D2295" t="str">
        <f>IFERROR(IF(B2295="","",VLOOKUP(B2295,CadProd!$A:$C,3,0)),"")</f>
        <v/>
      </c>
      <c r="G2295" s="1" t="str">
        <f t="shared" si="35"/>
        <v/>
      </c>
    </row>
    <row r="2296" spans="3:7" x14ac:dyDescent="0.3">
      <c r="C2296" t="str">
        <f>IFERROR(IF(B2296="","",VLOOKUP(B2296,CadProd!$A:$B,2,0)),"")</f>
        <v/>
      </c>
      <c r="D2296" t="str">
        <f>IFERROR(IF(B2296="","",VLOOKUP(B2296,CadProd!$A:$C,3,0)),"")</f>
        <v/>
      </c>
      <c r="G2296" s="1" t="str">
        <f t="shared" si="35"/>
        <v/>
      </c>
    </row>
    <row r="2297" spans="3:7" x14ac:dyDescent="0.3">
      <c r="C2297" t="str">
        <f>IFERROR(IF(B2297="","",VLOOKUP(B2297,CadProd!$A:$B,2,0)),"")</f>
        <v/>
      </c>
      <c r="D2297" t="str">
        <f>IFERROR(IF(B2297="","",VLOOKUP(B2297,CadProd!$A:$C,3,0)),"")</f>
        <v/>
      </c>
      <c r="G2297" s="1" t="str">
        <f t="shared" si="35"/>
        <v/>
      </c>
    </row>
    <row r="2298" spans="3:7" x14ac:dyDescent="0.3">
      <c r="C2298" t="str">
        <f>IFERROR(IF(B2298="","",VLOOKUP(B2298,CadProd!$A:$B,2,0)),"")</f>
        <v/>
      </c>
      <c r="D2298" t="str">
        <f>IFERROR(IF(B2298="","",VLOOKUP(B2298,CadProd!$A:$C,3,0)),"")</f>
        <v/>
      </c>
      <c r="G2298" s="1" t="str">
        <f t="shared" si="35"/>
        <v/>
      </c>
    </row>
    <row r="2299" spans="3:7" x14ac:dyDescent="0.3">
      <c r="C2299" t="str">
        <f>IFERROR(IF(B2299="","",VLOOKUP(B2299,CadProd!$A:$B,2,0)),"")</f>
        <v/>
      </c>
      <c r="D2299" t="str">
        <f>IFERROR(IF(B2299="","",VLOOKUP(B2299,CadProd!$A:$C,3,0)),"")</f>
        <v/>
      </c>
      <c r="G2299" s="1" t="str">
        <f t="shared" si="35"/>
        <v/>
      </c>
    </row>
    <row r="2300" spans="3:7" x14ac:dyDescent="0.3">
      <c r="C2300" t="str">
        <f>IFERROR(IF(B2300="","",VLOOKUP(B2300,CadProd!$A:$B,2,0)),"")</f>
        <v/>
      </c>
      <c r="D2300" t="str">
        <f>IFERROR(IF(B2300="","",VLOOKUP(B2300,CadProd!$A:$C,3,0)),"")</f>
        <v/>
      </c>
      <c r="G2300" s="1" t="str">
        <f t="shared" si="35"/>
        <v/>
      </c>
    </row>
    <row r="2301" spans="3:7" x14ac:dyDescent="0.3">
      <c r="C2301" t="str">
        <f>IFERROR(IF(B2301="","",VLOOKUP(B2301,CadProd!$A:$B,2,0)),"")</f>
        <v/>
      </c>
      <c r="D2301" t="str">
        <f>IFERROR(IF(B2301="","",VLOOKUP(B2301,CadProd!$A:$C,3,0)),"")</f>
        <v/>
      </c>
      <c r="G2301" s="1" t="str">
        <f t="shared" si="35"/>
        <v/>
      </c>
    </row>
    <row r="2302" spans="3:7" x14ac:dyDescent="0.3">
      <c r="C2302" t="str">
        <f>IFERROR(IF(B2302="","",VLOOKUP(B2302,CadProd!$A:$B,2,0)),"")</f>
        <v/>
      </c>
      <c r="D2302" t="str">
        <f>IFERROR(IF(B2302="","",VLOOKUP(B2302,CadProd!$A:$C,3,0)),"")</f>
        <v/>
      </c>
      <c r="G2302" s="1" t="str">
        <f t="shared" si="35"/>
        <v/>
      </c>
    </row>
    <row r="2303" spans="3:7" x14ac:dyDescent="0.3">
      <c r="C2303" t="str">
        <f>IFERROR(IF(B2303="","",VLOOKUP(B2303,CadProd!$A:$B,2,0)),"")</f>
        <v/>
      </c>
      <c r="D2303" t="str">
        <f>IFERROR(IF(B2303="","",VLOOKUP(B2303,CadProd!$A:$C,3,0)),"")</f>
        <v/>
      </c>
      <c r="G2303" s="1" t="str">
        <f t="shared" si="35"/>
        <v/>
      </c>
    </row>
    <row r="2304" spans="3:7" x14ac:dyDescent="0.3">
      <c r="C2304" t="str">
        <f>IFERROR(IF(B2304="","",VLOOKUP(B2304,CadProd!$A:$B,2,0)),"")</f>
        <v/>
      </c>
      <c r="D2304" t="str">
        <f>IFERROR(IF(B2304="","",VLOOKUP(B2304,CadProd!$A:$C,3,0)),"")</f>
        <v/>
      </c>
      <c r="G2304" s="1" t="str">
        <f t="shared" si="35"/>
        <v/>
      </c>
    </row>
    <row r="2305" spans="3:7" x14ac:dyDescent="0.3">
      <c r="C2305" t="str">
        <f>IFERROR(IF(B2305="","",VLOOKUP(B2305,CadProd!$A:$B,2,0)),"")</f>
        <v/>
      </c>
      <c r="D2305" t="str">
        <f>IFERROR(IF(B2305="","",VLOOKUP(B2305,CadProd!$A:$C,3,0)),"")</f>
        <v/>
      </c>
      <c r="G2305" s="1" t="str">
        <f t="shared" si="35"/>
        <v/>
      </c>
    </row>
    <row r="2306" spans="3:7" x14ac:dyDescent="0.3">
      <c r="C2306" t="str">
        <f>IFERROR(IF(B2306="","",VLOOKUP(B2306,CadProd!$A:$B,2,0)),"")</f>
        <v/>
      </c>
      <c r="D2306" t="str">
        <f>IFERROR(IF(B2306="","",VLOOKUP(B2306,CadProd!$A:$C,3,0)),"")</f>
        <v/>
      </c>
      <c r="G2306" s="1" t="str">
        <f t="shared" si="35"/>
        <v/>
      </c>
    </row>
    <row r="2307" spans="3:7" x14ac:dyDescent="0.3">
      <c r="C2307" t="str">
        <f>IFERROR(IF(B2307="","",VLOOKUP(B2307,CadProd!$A:$B,2,0)),"")</f>
        <v/>
      </c>
      <c r="D2307" t="str">
        <f>IFERROR(IF(B2307="","",VLOOKUP(B2307,CadProd!$A:$C,3,0)),"")</f>
        <v/>
      </c>
      <c r="G2307" s="1" t="str">
        <f t="shared" si="35"/>
        <v/>
      </c>
    </row>
    <row r="2308" spans="3:7" x14ac:dyDescent="0.3">
      <c r="C2308" t="str">
        <f>IFERROR(IF(B2308="","",VLOOKUP(B2308,CadProd!$A:$B,2,0)),"")</f>
        <v/>
      </c>
      <c r="D2308" t="str">
        <f>IFERROR(IF(B2308="","",VLOOKUP(B2308,CadProd!$A:$C,3,0)),"")</f>
        <v/>
      </c>
      <c r="G2308" s="1" t="str">
        <f t="shared" si="35"/>
        <v/>
      </c>
    </row>
    <row r="2309" spans="3:7" x14ac:dyDescent="0.3">
      <c r="C2309" t="str">
        <f>IFERROR(IF(B2309="","",VLOOKUP(B2309,CadProd!$A:$B,2,0)),"")</f>
        <v/>
      </c>
      <c r="D2309" t="str">
        <f>IFERROR(IF(B2309="","",VLOOKUP(B2309,CadProd!$A:$C,3,0)),"")</f>
        <v/>
      </c>
      <c r="G2309" s="1" t="str">
        <f t="shared" si="35"/>
        <v/>
      </c>
    </row>
    <row r="2310" spans="3:7" x14ac:dyDescent="0.3">
      <c r="C2310" t="str">
        <f>IFERROR(IF(B2310="","",VLOOKUP(B2310,CadProd!$A:$B,2,0)),"")</f>
        <v/>
      </c>
      <c r="D2310" t="str">
        <f>IFERROR(IF(B2310="","",VLOOKUP(B2310,CadProd!$A:$C,3,0)),"")</f>
        <v/>
      </c>
      <c r="G2310" s="1" t="str">
        <f t="shared" si="35"/>
        <v/>
      </c>
    </row>
    <row r="2311" spans="3:7" x14ac:dyDescent="0.3">
      <c r="C2311" t="str">
        <f>IFERROR(IF(B2311="","",VLOOKUP(B2311,CadProd!$A:$B,2,0)),"")</f>
        <v/>
      </c>
      <c r="D2311" t="str">
        <f>IFERROR(IF(B2311="","",VLOOKUP(B2311,CadProd!$A:$C,3,0)),"")</f>
        <v/>
      </c>
      <c r="G2311" s="1" t="str">
        <f t="shared" si="35"/>
        <v/>
      </c>
    </row>
    <row r="2312" spans="3:7" x14ac:dyDescent="0.3">
      <c r="C2312" t="str">
        <f>IFERROR(IF(B2312="","",VLOOKUP(B2312,CadProd!$A:$B,2,0)),"")</f>
        <v/>
      </c>
      <c r="D2312" t="str">
        <f>IFERROR(IF(B2312="","",VLOOKUP(B2312,CadProd!$A:$C,3,0)),"")</f>
        <v/>
      </c>
      <c r="G2312" s="1" t="str">
        <f t="shared" si="35"/>
        <v/>
      </c>
    </row>
    <row r="2313" spans="3:7" x14ac:dyDescent="0.3">
      <c r="C2313" t="str">
        <f>IFERROR(IF(B2313="","",VLOOKUP(B2313,CadProd!$A:$B,2,0)),"")</f>
        <v/>
      </c>
      <c r="D2313" t="str">
        <f>IFERROR(IF(B2313="","",VLOOKUP(B2313,CadProd!$A:$C,3,0)),"")</f>
        <v/>
      </c>
      <c r="G2313" s="1" t="str">
        <f t="shared" si="35"/>
        <v/>
      </c>
    </row>
    <row r="2314" spans="3:7" x14ac:dyDescent="0.3">
      <c r="C2314" t="str">
        <f>IFERROR(IF(B2314="","",VLOOKUP(B2314,CadProd!$A:$B,2,0)),"")</f>
        <v/>
      </c>
      <c r="D2314" t="str">
        <f>IFERROR(IF(B2314="","",VLOOKUP(B2314,CadProd!$A:$C,3,0)),"")</f>
        <v/>
      </c>
      <c r="G2314" s="1" t="str">
        <f t="shared" si="35"/>
        <v/>
      </c>
    </row>
    <row r="2315" spans="3:7" x14ac:dyDescent="0.3">
      <c r="C2315" t="str">
        <f>IFERROR(IF(B2315="","",VLOOKUP(B2315,CadProd!$A:$B,2,0)),"")</f>
        <v/>
      </c>
      <c r="D2315" t="str">
        <f>IFERROR(IF(B2315="","",VLOOKUP(B2315,CadProd!$A:$C,3,0)),"")</f>
        <v/>
      </c>
      <c r="G2315" s="1" t="str">
        <f t="shared" ref="G2315:G2378" si="36">IFERROR(IF(B2315="","",F2315*E2315),"")</f>
        <v/>
      </c>
    </row>
    <row r="2316" spans="3:7" x14ac:dyDescent="0.3">
      <c r="C2316" t="str">
        <f>IFERROR(IF(B2316="","",VLOOKUP(B2316,CadProd!$A:$B,2,0)),"")</f>
        <v/>
      </c>
      <c r="D2316" t="str">
        <f>IFERROR(IF(B2316="","",VLOOKUP(B2316,CadProd!$A:$C,3,0)),"")</f>
        <v/>
      </c>
      <c r="G2316" s="1" t="str">
        <f t="shared" si="36"/>
        <v/>
      </c>
    </row>
    <row r="2317" spans="3:7" x14ac:dyDescent="0.3">
      <c r="C2317" t="str">
        <f>IFERROR(IF(B2317="","",VLOOKUP(B2317,CadProd!$A:$B,2,0)),"")</f>
        <v/>
      </c>
      <c r="D2317" t="str">
        <f>IFERROR(IF(B2317="","",VLOOKUP(B2317,CadProd!$A:$C,3,0)),"")</f>
        <v/>
      </c>
      <c r="G2317" s="1" t="str">
        <f t="shared" si="36"/>
        <v/>
      </c>
    </row>
    <row r="2318" spans="3:7" x14ac:dyDescent="0.3">
      <c r="C2318" t="str">
        <f>IFERROR(IF(B2318="","",VLOOKUP(B2318,CadProd!$A:$B,2,0)),"")</f>
        <v/>
      </c>
      <c r="D2318" t="str">
        <f>IFERROR(IF(B2318="","",VLOOKUP(B2318,CadProd!$A:$C,3,0)),"")</f>
        <v/>
      </c>
      <c r="G2318" s="1" t="str">
        <f t="shared" si="36"/>
        <v/>
      </c>
    </row>
    <row r="2319" spans="3:7" x14ac:dyDescent="0.3">
      <c r="C2319" t="str">
        <f>IFERROR(IF(B2319="","",VLOOKUP(B2319,CadProd!$A:$B,2,0)),"")</f>
        <v/>
      </c>
      <c r="D2319" t="str">
        <f>IFERROR(IF(B2319="","",VLOOKUP(B2319,CadProd!$A:$C,3,0)),"")</f>
        <v/>
      </c>
      <c r="G2319" s="1" t="str">
        <f t="shared" si="36"/>
        <v/>
      </c>
    </row>
    <row r="2320" spans="3:7" x14ac:dyDescent="0.3">
      <c r="C2320" t="str">
        <f>IFERROR(IF(B2320="","",VLOOKUP(B2320,CadProd!$A:$B,2,0)),"")</f>
        <v/>
      </c>
      <c r="D2320" t="str">
        <f>IFERROR(IF(B2320="","",VLOOKUP(B2320,CadProd!$A:$C,3,0)),"")</f>
        <v/>
      </c>
      <c r="G2320" s="1" t="str">
        <f t="shared" si="36"/>
        <v/>
      </c>
    </row>
    <row r="2321" spans="3:7" x14ac:dyDescent="0.3">
      <c r="C2321" t="str">
        <f>IFERROR(IF(B2321="","",VLOOKUP(B2321,CadProd!$A:$B,2,0)),"")</f>
        <v/>
      </c>
      <c r="D2321" t="str">
        <f>IFERROR(IF(B2321="","",VLOOKUP(B2321,CadProd!$A:$C,3,0)),"")</f>
        <v/>
      </c>
      <c r="G2321" s="1" t="str">
        <f t="shared" si="36"/>
        <v/>
      </c>
    </row>
    <row r="2322" spans="3:7" x14ac:dyDescent="0.3">
      <c r="C2322" t="str">
        <f>IFERROR(IF(B2322="","",VLOOKUP(B2322,CadProd!$A:$B,2,0)),"")</f>
        <v/>
      </c>
      <c r="D2322" t="str">
        <f>IFERROR(IF(B2322="","",VLOOKUP(B2322,CadProd!$A:$C,3,0)),"")</f>
        <v/>
      </c>
      <c r="G2322" s="1" t="str">
        <f t="shared" si="36"/>
        <v/>
      </c>
    </row>
    <row r="2323" spans="3:7" x14ac:dyDescent="0.3">
      <c r="C2323" t="str">
        <f>IFERROR(IF(B2323="","",VLOOKUP(B2323,CadProd!$A:$B,2,0)),"")</f>
        <v/>
      </c>
      <c r="D2323" t="str">
        <f>IFERROR(IF(B2323="","",VLOOKUP(B2323,CadProd!$A:$C,3,0)),"")</f>
        <v/>
      </c>
      <c r="G2323" s="1" t="str">
        <f t="shared" si="36"/>
        <v/>
      </c>
    </row>
    <row r="2324" spans="3:7" x14ac:dyDescent="0.3">
      <c r="C2324" t="str">
        <f>IFERROR(IF(B2324="","",VLOOKUP(B2324,CadProd!$A:$B,2,0)),"")</f>
        <v/>
      </c>
      <c r="D2324" t="str">
        <f>IFERROR(IF(B2324="","",VLOOKUP(B2324,CadProd!$A:$C,3,0)),"")</f>
        <v/>
      </c>
      <c r="G2324" s="1" t="str">
        <f t="shared" si="36"/>
        <v/>
      </c>
    </row>
    <row r="2325" spans="3:7" x14ac:dyDescent="0.3">
      <c r="C2325" t="str">
        <f>IFERROR(IF(B2325="","",VLOOKUP(B2325,CadProd!$A:$B,2,0)),"")</f>
        <v/>
      </c>
      <c r="D2325" t="str">
        <f>IFERROR(IF(B2325="","",VLOOKUP(B2325,CadProd!$A:$C,3,0)),"")</f>
        <v/>
      </c>
      <c r="G2325" s="1" t="str">
        <f t="shared" si="36"/>
        <v/>
      </c>
    </row>
    <row r="2326" spans="3:7" x14ac:dyDescent="0.3">
      <c r="C2326" t="str">
        <f>IFERROR(IF(B2326="","",VLOOKUP(B2326,CadProd!$A:$B,2,0)),"")</f>
        <v/>
      </c>
      <c r="D2326" t="str">
        <f>IFERROR(IF(B2326="","",VLOOKUP(B2326,CadProd!$A:$C,3,0)),"")</f>
        <v/>
      </c>
      <c r="G2326" s="1" t="str">
        <f t="shared" si="36"/>
        <v/>
      </c>
    </row>
    <row r="2327" spans="3:7" x14ac:dyDescent="0.3">
      <c r="C2327" t="str">
        <f>IFERROR(IF(B2327="","",VLOOKUP(B2327,CadProd!$A:$B,2,0)),"")</f>
        <v/>
      </c>
      <c r="D2327" t="str">
        <f>IFERROR(IF(B2327="","",VLOOKUP(B2327,CadProd!$A:$C,3,0)),"")</f>
        <v/>
      </c>
      <c r="G2327" s="1" t="str">
        <f t="shared" si="36"/>
        <v/>
      </c>
    </row>
    <row r="2328" spans="3:7" x14ac:dyDescent="0.3">
      <c r="C2328" t="str">
        <f>IFERROR(IF(B2328="","",VLOOKUP(B2328,CadProd!$A:$B,2,0)),"")</f>
        <v/>
      </c>
      <c r="D2328" t="str">
        <f>IFERROR(IF(B2328="","",VLOOKUP(B2328,CadProd!$A:$C,3,0)),"")</f>
        <v/>
      </c>
      <c r="G2328" s="1" t="str">
        <f t="shared" si="36"/>
        <v/>
      </c>
    </row>
    <row r="2329" spans="3:7" x14ac:dyDescent="0.3">
      <c r="C2329" t="str">
        <f>IFERROR(IF(B2329="","",VLOOKUP(B2329,CadProd!$A:$B,2,0)),"")</f>
        <v/>
      </c>
      <c r="D2329" t="str">
        <f>IFERROR(IF(B2329="","",VLOOKUP(B2329,CadProd!$A:$C,3,0)),"")</f>
        <v/>
      </c>
      <c r="G2329" s="1" t="str">
        <f t="shared" si="36"/>
        <v/>
      </c>
    </row>
    <row r="2330" spans="3:7" x14ac:dyDescent="0.3">
      <c r="C2330" t="str">
        <f>IFERROR(IF(B2330="","",VLOOKUP(B2330,CadProd!$A:$B,2,0)),"")</f>
        <v/>
      </c>
      <c r="D2330" t="str">
        <f>IFERROR(IF(B2330="","",VLOOKUP(B2330,CadProd!$A:$C,3,0)),"")</f>
        <v/>
      </c>
      <c r="G2330" s="1" t="str">
        <f t="shared" si="36"/>
        <v/>
      </c>
    </row>
    <row r="2331" spans="3:7" x14ac:dyDescent="0.3">
      <c r="C2331" t="str">
        <f>IFERROR(IF(B2331="","",VLOOKUP(B2331,CadProd!$A:$B,2,0)),"")</f>
        <v/>
      </c>
      <c r="D2331" t="str">
        <f>IFERROR(IF(B2331="","",VLOOKUP(B2331,CadProd!$A:$C,3,0)),"")</f>
        <v/>
      </c>
      <c r="G2331" s="1" t="str">
        <f t="shared" si="36"/>
        <v/>
      </c>
    </row>
    <row r="2332" spans="3:7" x14ac:dyDescent="0.3">
      <c r="C2332" t="str">
        <f>IFERROR(IF(B2332="","",VLOOKUP(B2332,CadProd!$A:$B,2,0)),"")</f>
        <v/>
      </c>
      <c r="D2332" t="str">
        <f>IFERROR(IF(B2332="","",VLOOKUP(B2332,CadProd!$A:$C,3,0)),"")</f>
        <v/>
      </c>
      <c r="G2332" s="1" t="str">
        <f t="shared" si="36"/>
        <v/>
      </c>
    </row>
    <row r="2333" spans="3:7" x14ac:dyDescent="0.3">
      <c r="C2333" t="str">
        <f>IFERROR(IF(B2333="","",VLOOKUP(B2333,CadProd!$A:$B,2,0)),"")</f>
        <v/>
      </c>
      <c r="D2333" t="str">
        <f>IFERROR(IF(B2333="","",VLOOKUP(B2333,CadProd!$A:$C,3,0)),"")</f>
        <v/>
      </c>
      <c r="G2333" s="1" t="str">
        <f t="shared" si="36"/>
        <v/>
      </c>
    </row>
    <row r="2334" spans="3:7" x14ac:dyDescent="0.3">
      <c r="C2334" t="str">
        <f>IFERROR(IF(B2334="","",VLOOKUP(B2334,CadProd!$A:$B,2,0)),"")</f>
        <v/>
      </c>
      <c r="D2334" t="str">
        <f>IFERROR(IF(B2334="","",VLOOKUP(B2334,CadProd!$A:$C,3,0)),"")</f>
        <v/>
      </c>
      <c r="G2334" s="1" t="str">
        <f t="shared" si="36"/>
        <v/>
      </c>
    </row>
    <row r="2335" spans="3:7" x14ac:dyDescent="0.3">
      <c r="C2335" t="str">
        <f>IFERROR(IF(B2335="","",VLOOKUP(B2335,CadProd!$A:$B,2,0)),"")</f>
        <v/>
      </c>
      <c r="D2335" t="str">
        <f>IFERROR(IF(B2335="","",VLOOKUP(B2335,CadProd!$A:$C,3,0)),"")</f>
        <v/>
      </c>
      <c r="G2335" s="1" t="str">
        <f t="shared" si="36"/>
        <v/>
      </c>
    </row>
    <row r="2336" spans="3:7" x14ac:dyDescent="0.3">
      <c r="C2336" t="str">
        <f>IFERROR(IF(B2336="","",VLOOKUP(B2336,CadProd!$A:$B,2,0)),"")</f>
        <v/>
      </c>
      <c r="D2336" t="str">
        <f>IFERROR(IF(B2336="","",VLOOKUP(B2336,CadProd!$A:$C,3,0)),"")</f>
        <v/>
      </c>
      <c r="G2336" s="1" t="str">
        <f t="shared" si="36"/>
        <v/>
      </c>
    </row>
    <row r="2337" spans="3:7" x14ac:dyDescent="0.3">
      <c r="C2337" t="str">
        <f>IFERROR(IF(B2337="","",VLOOKUP(B2337,CadProd!$A:$B,2,0)),"")</f>
        <v/>
      </c>
      <c r="D2337" t="str">
        <f>IFERROR(IF(B2337="","",VLOOKUP(B2337,CadProd!$A:$C,3,0)),"")</f>
        <v/>
      </c>
      <c r="G2337" s="1" t="str">
        <f t="shared" si="36"/>
        <v/>
      </c>
    </row>
    <row r="2338" spans="3:7" x14ac:dyDescent="0.3">
      <c r="C2338" t="str">
        <f>IFERROR(IF(B2338="","",VLOOKUP(B2338,CadProd!$A:$B,2,0)),"")</f>
        <v/>
      </c>
      <c r="D2338" t="str">
        <f>IFERROR(IF(B2338="","",VLOOKUP(B2338,CadProd!$A:$C,3,0)),"")</f>
        <v/>
      </c>
      <c r="G2338" s="1" t="str">
        <f t="shared" si="36"/>
        <v/>
      </c>
    </row>
    <row r="2339" spans="3:7" x14ac:dyDescent="0.3">
      <c r="C2339" t="str">
        <f>IFERROR(IF(B2339="","",VLOOKUP(B2339,CadProd!$A:$B,2,0)),"")</f>
        <v/>
      </c>
      <c r="D2339" t="str">
        <f>IFERROR(IF(B2339="","",VLOOKUP(B2339,CadProd!$A:$C,3,0)),"")</f>
        <v/>
      </c>
      <c r="G2339" s="1" t="str">
        <f t="shared" si="36"/>
        <v/>
      </c>
    </row>
    <row r="2340" spans="3:7" x14ac:dyDescent="0.3">
      <c r="C2340" t="str">
        <f>IFERROR(IF(B2340="","",VLOOKUP(B2340,CadProd!$A:$B,2,0)),"")</f>
        <v/>
      </c>
      <c r="D2340" t="str">
        <f>IFERROR(IF(B2340="","",VLOOKUP(B2340,CadProd!$A:$C,3,0)),"")</f>
        <v/>
      </c>
      <c r="G2340" s="1" t="str">
        <f t="shared" si="36"/>
        <v/>
      </c>
    </row>
    <row r="2341" spans="3:7" x14ac:dyDescent="0.3">
      <c r="C2341" t="str">
        <f>IFERROR(IF(B2341="","",VLOOKUP(B2341,CadProd!$A:$B,2,0)),"")</f>
        <v/>
      </c>
      <c r="D2341" t="str">
        <f>IFERROR(IF(B2341="","",VLOOKUP(B2341,CadProd!$A:$C,3,0)),"")</f>
        <v/>
      </c>
      <c r="G2341" s="1" t="str">
        <f t="shared" si="36"/>
        <v/>
      </c>
    </row>
    <row r="2342" spans="3:7" x14ac:dyDescent="0.3">
      <c r="C2342" t="str">
        <f>IFERROR(IF(B2342="","",VLOOKUP(B2342,CadProd!$A:$B,2,0)),"")</f>
        <v/>
      </c>
      <c r="D2342" t="str">
        <f>IFERROR(IF(B2342="","",VLOOKUP(B2342,CadProd!$A:$C,3,0)),"")</f>
        <v/>
      </c>
      <c r="G2342" s="1" t="str">
        <f t="shared" si="36"/>
        <v/>
      </c>
    </row>
    <row r="2343" spans="3:7" x14ac:dyDescent="0.3">
      <c r="C2343" t="str">
        <f>IFERROR(IF(B2343="","",VLOOKUP(B2343,CadProd!$A:$B,2,0)),"")</f>
        <v/>
      </c>
      <c r="D2343" t="str">
        <f>IFERROR(IF(B2343="","",VLOOKUP(B2343,CadProd!$A:$C,3,0)),"")</f>
        <v/>
      </c>
      <c r="G2343" s="1" t="str">
        <f t="shared" si="36"/>
        <v/>
      </c>
    </row>
    <row r="2344" spans="3:7" x14ac:dyDescent="0.3">
      <c r="C2344" t="str">
        <f>IFERROR(IF(B2344="","",VLOOKUP(B2344,CadProd!$A:$B,2,0)),"")</f>
        <v/>
      </c>
      <c r="D2344" t="str">
        <f>IFERROR(IF(B2344="","",VLOOKUP(B2344,CadProd!$A:$C,3,0)),"")</f>
        <v/>
      </c>
      <c r="G2344" s="1" t="str">
        <f t="shared" si="36"/>
        <v/>
      </c>
    </row>
    <row r="2345" spans="3:7" x14ac:dyDescent="0.3">
      <c r="C2345" t="str">
        <f>IFERROR(IF(B2345="","",VLOOKUP(B2345,CadProd!$A:$B,2,0)),"")</f>
        <v/>
      </c>
      <c r="D2345" t="str">
        <f>IFERROR(IF(B2345="","",VLOOKUP(B2345,CadProd!$A:$C,3,0)),"")</f>
        <v/>
      </c>
      <c r="G2345" s="1" t="str">
        <f t="shared" si="36"/>
        <v/>
      </c>
    </row>
    <row r="2346" spans="3:7" x14ac:dyDescent="0.3">
      <c r="C2346" t="str">
        <f>IFERROR(IF(B2346="","",VLOOKUP(B2346,CadProd!$A:$B,2,0)),"")</f>
        <v/>
      </c>
      <c r="D2346" t="str">
        <f>IFERROR(IF(B2346="","",VLOOKUP(B2346,CadProd!$A:$C,3,0)),"")</f>
        <v/>
      </c>
      <c r="G2346" s="1" t="str">
        <f t="shared" si="36"/>
        <v/>
      </c>
    </row>
    <row r="2347" spans="3:7" x14ac:dyDescent="0.3">
      <c r="C2347" t="str">
        <f>IFERROR(IF(B2347="","",VLOOKUP(B2347,CadProd!$A:$B,2,0)),"")</f>
        <v/>
      </c>
      <c r="D2347" t="str">
        <f>IFERROR(IF(B2347="","",VLOOKUP(B2347,CadProd!$A:$C,3,0)),"")</f>
        <v/>
      </c>
      <c r="G2347" s="1" t="str">
        <f t="shared" si="36"/>
        <v/>
      </c>
    </row>
    <row r="2348" spans="3:7" x14ac:dyDescent="0.3">
      <c r="C2348" t="str">
        <f>IFERROR(IF(B2348="","",VLOOKUP(B2348,CadProd!$A:$B,2,0)),"")</f>
        <v/>
      </c>
      <c r="D2348" t="str">
        <f>IFERROR(IF(B2348="","",VLOOKUP(B2348,CadProd!$A:$C,3,0)),"")</f>
        <v/>
      </c>
      <c r="G2348" s="1" t="str">
        <f t="shared" si="36"/>
        <v/>
      </c>
    </row>
    <row r="2349" spans="3:7" x14ac:dyDescent="0.3">
      <c r="C2349" t="str">
        <f>IFERROR(IF(B2349="","",VLOOKUP(B2349,CadProd!$A:$B,2,0)),"")</f>
        <v/>
      </c>
      <c r="D2349" t="str">
        <f>IFERROR(IF(B2349="","",VLOOKUP(B2349,CadProd!$A:$C,3,0)),"")</f>
        <v/>
      </c>
      <c r="G2349" s="1" t="str">
        <f t="shared" si="36"/>
        <v/>
      </c>
    </row>
    <row r="2350" spans="3:7" x14ac:dyDescent="0.3">
      <c r="C2350" t="str">
        <f>IFERROR(IF(B2350="","",VLOOKUP(B2350,CadProd!$A:$B,2,0)),"")</f>
        <v/>
      </c>
      <c r="D2350" t="str">
        <f>IFERROR(IF(B2350="","",VLOOKUP(B2350,CadProd!$A:$C,3,0)),"")</f>
        <v/>
      </c>
      <c r="G2350" s="1" t="str">
        <f t="shared" si="36"/>
        <v/>
      </c>
    </row>
    <row r="2351" spans="3:7" x14ac:dyDescent="0.3">
      <c r="C2351" t="str">
        <f>IFERROR(IF(B2351="","",VLOOKUP(B2351,CadProd!$A:$B,2,0)),"")</f>
        <v/>
      </c>
      <c r="D2351" t="str">
        <f>IFERROR(IF(B2351="","",VLOOKUP(B2351,CadProd!$A:$C,3,0)),"")</f>
        <v/>
      </c>
      <c r="G2351" s="1" t="str">
        <f t="shared" si="36"/>
        <v/>
      </c>
    </row>
    <row r="2352" spans="3:7" x14ac:dyDescent="0.3">
      <c r="C2352" t="str">
        <f>IFERROR(IF(B2352="","",VLOOKUP(B2352,CadProd!$A:$B,2,0)),"")</f>
        <v/>
      </c>
      <c r="D2352" t="str">
        <f>IFERROR(IF(B2352="","",VLOOKUP(B2352,CadProd!$A:$C,3,0)),"")</f>
        <v/>
      </c>
      <c r="G2352" s="1" t="str">
        <f t="shared" si="36"/>
        <v/>
      </c>
    </row>
    <row r="2353" spans="3:7" x14ac:dyDescent="0.3">
      <c r="C2353" t="str">
        <f>IFERROR(IF(B2353="","",VLOOKUP(B2353,CadProd!$A:$B,2,0)),"")</f>
        <v/>
      </c>
      <c r="D2353" t="str">
        <f>IFERROR(IF(B2353="","",VLOOKUP(B2353,CadProd!$A:$C,3,0)),"")</f>
        <v/>
      </c>
      <c r="G2353" s="1" t="str">
        <f t="shared" si="36"/>
        <v/>
      </c>
    </row>
    <row r="2354" spans="3:7" x14ac:dyDescent="0.3">
      <c r="C2354" t="str">
        <f>IFERROR(IF(B2354="","",VLOOKUP(B2354,CadProd!$A:$B,2,0)),"")</f>
        <v/>
      </c>
      <c r="D2354" t="str">
        <f>IFERROR(IF(B2354="","",VLOOKUP(B2354,CadProd!$A:$C,3,0)),"")</f>
        <v/>
      </c>
      <c r="G2354" s="1" t="str">
        <f t="shared" si="36"/>
        <v/>
      </c>
    </row>
    <row r="2355" spans="3:7" x14ac:dyDescent="0.3">
      <c r="C2355" t="str">
        <f>IFERROR(IF(B2355="","",VLOOKUP(B2355,CadProd!$A:$B,2,0)),"")</f>
        <v/>
      </c>
      <c r="D2355" t="str">
        <f>IFERROR(IF(B2355="","",VLOOKUP(B2355,CadProd!$A:$C,3,0)),"")</f>
        <v/>
      </c>
      <c r="G2355" s="1" t="str">
        <f t="shared" si="36"/>
        <v/>
      </c>
    </row>
    <row r="2356" spans="3:7" x14ac:dyDescent="0.3">
      <c r="C2356" t="str">
        <f>IFERROR(IF(B2356="","",VLOOKUP(B2356,CadProd!$A:$B,2,0)),"")</f>
        <v/>
      </c>
      <c r="D2356" t="str">
        <f>IFERROR(IF(B2356="","",VLOOKUP(B2356,CadProd!$A:$C,3,0)),"")</f>
        <v/>
      </c>
      <c r="G2356" s="1" t="str">
        <f t="shared" si="36"/>
        <v/>
      </c>
    </row>
    <row r="2357" spans="3:7" x14ac:dyDescent="0.3">
      <c r="C2357" t="str">
        <f>IFERROR(IF(B2357="","",VLOOKUP(B2357,CadProd!$A:$B,2,0)),"")</f>
        <v/>
      </c>
      <c r="D2357" t="str">
        <f>IFERROR(IF(B2357="","",VLOOKUP(B2357,CadProd!$A:$C,3,0)),"")</f>
        <v/>
      </c>
      <c r="G2357" s="1" t="str">
        <f t="shared" si="36"/>
        <v/>
      </c>
    </row>
    <row r="2358" spans="3:7" x14ac:dyDescent="0.3">
      <c r="C2358" t="str">
        <f>IFERROR(IF(B2358="","",VLOOKUP(B2358,CadProd!$A:$B,2,0)),"")</f>
        <v/>
      </c>
      <c r="D2358" t="str">
        <f>IFERROR(IF(B2358="","",VLOOKUP(B2358,CadProd!$A:$C,3,0)),"")</f>
        <v/>
      </c>
      <c r="G2358" s="1" t="str">
        <f t="shared" si="36"/>
        <v/>
      </c>
    </row>
    <row r="2359" spans="3:7" x14ac:dyDescent="0.3">
      <c r="C2359" t="str">
        <f>IFERROR(IF(B2359="","",VLOOKUP(B2359,CadProd!$A:$B,2,0)),"")</f>
        <v/>
      </c>
      <c r="D2359" t="str">
        <f>IFERROR(IF(B2359="","",VLOOKUP(B2359,CadProd!$A:$C,3,0)),"")</f>
        <v/>
      </c>
      <c r="G2359" s="1" t="str">
        <f t="shared" si="36"/>
        <v/>
      </c>
    </row>
    <row r="2360" spans="3:7" x14ac:dyDescent="0.3">
      <c r="C2360" t="str">
        <f>IFERROR(IF(B2360="","",VLOOKUP(B2360,CadProd!$A:$B,2,0)),"")</f>
        <v/>
      </c>
      <c r="D2360" t="str">
        <f>IFERROR(IF(B2360="","",VLOOKUP(B2360,CadProd!$A:$C,3,0)),"")</f>
        <v/>
      </c>
      <c r="G2360" s="1" t="str">
        <f t="shared" si="36"/>
        <v/>
      </c>
    </row>
    <row r="2361" spans="3:7" x14ac:dyDescent="0.3">
      <c r="C2361" t="str">
        <f>IFERROR(IF(B2361="","",VLOOKUP(B2361,CadProd!$A:$B,2,0)),"")</f>
        <v/>
      </c>
      <c r="D2361" t="str">
        <f>IFERROR(IF(B2361="","",VLOOKUP(B2361,CadProd!$A:$C,3,0)),"")</f>
        <v/>
      </c>
      <c r="G2361" s="1" t="str">
        <f t="shared" si="36"/>
        <v/>
      </c>
    </row>
    <row r="2362" spans="3:7" x14ac:dyDescent="0.3">
      <c r="C2362" t="str">
        <f>IFERROR(IF(B2362="","",VLOOKUP(B2362,CadProd!$A:$B,2,0)),"")</f>
        <v/>
      </c>
      <c r="D2362" t="str">
        <f>IFERROR(IF(B2362="","",VLOOKUP(B2362,CadProd!$A:$C,3,0)),"")</f>
        <v/>
      </c>
      <c r="G2362" s="1" t="str">
        <f t="shared" si="36"/>
        <v/>
      </c>
    </row>
    <row r="2363" spans="3:7" x14ac:dyDescent="0.3">
      <c r="C2363" t="str">
        <f>IFERROR(IF(B2363="","",VLOOKUP(B2363,CadProd!$A:$B,2,0)),"")</f>
        <v/>
      </c>
      <c r="D2363" t="str">
        <f>IFERROR(IF(B2363="","",VLOOKUP(B2363,CadProd!$A:$C,3,0)),"")</f>
        <v/>
      </c>
      <c r="G2363" s="1" t="str">
        <f t="shared" si="36"/>
        <v/>
      </c>
    </row>
    <row r="2364" spans="3:7" x14ac:dyDescent="0.3">
      <c r="C2364" t="str">
        <f>IFERROR(IF(B2364="","",VLOOKUP(B2364,CadProd!$A:$B,2,0)),"")</f>
        <v/>
      </c>
      <c r="D2364" t="str">
        <f>IFERROR(IF(B2364="","",VLOOKUP(B2364,CadProd!$A:$C,3,0)),"")</f>
        <v/>
      </c>
      <c r="G2364" s="1" t="str">
        <f t="shared" si="36"/>
        <v/>
      </c>
    </row>
    <row r="2365" spans="3:7" x14ac:dyDescent="0.3">
      <c r="C2365" t="str">
        <f>IFERROR(IF(B2365="","",VLOOKUP(B2365,CadProd!$A:$B,2,0)),"")</f>
        <v/>
      </c>
      <c r="D2365" t="str">
        <f>IFERROR(IF(B2365="","",VLOOKUP(B2365,CadProd!$A:$C,3,0)),"")</f>
        <v/>
      </c>
      <c r="G2365" s="1" t="str">
        <f t="shared" si="36"/>
        <v/>
      </c>
    </row>
    <row r="2366" spans="3:7" x14ac:dyDescent="0.3">
      <c r="C2366" t="str">
        <f>IFERROR(IF(B2366="","",VLOOKUP(B2366,CadProd!$A:$B,2,0)),"")</f>
        <v/>
      </c>
      <c r="D2366" t="str">
        <f>IFERROR(IF(B2366="","",VLOOKUP(B2366,CadProd!$A:$C,3,0)),"")</f>
        <v/>
      </c>
      <c r="G2366" s="1" t="str">
        <f t="shared" si="36"/>
        <v/>
      </c>
    </row>
    <row r="2367" spans="3:7" x14ac:dyDescent="0.3">
      <c r="C2367" t="str">
        <f>IFERROR(IF(B2367="","",VLOOKUP(B2367,CadProd!$A:$B,2,0)),"")</f>
        <v/>
      </c>
      <c r="D2367" t="str">
        <f>IFERROR(IF(B2367="","",VLOOKUP(B2367,CadProd!$A:$C,3,0)),"")</f>
        <v/>
      </c>
      <c r="G2367" s="1" t="str">
        <f t="shared" si="36"/>
        <v/>
      </c>
    </row>
    <row r="2368" spans="3:7" x14ac:dyDescent="0.3">
      <c r="C2368" t="str">
        <f>IFERROR(IF(B2368="","",VLOOKUP(B2368,CadProd!$A:$B,2,0)),"")</f>
        <v/>
      </c>
      <c r="D2368" t="str">
        <f>IFERROR(IF(B2368="","",VLOOKUP(B2368,CadProd!$A:$C,3,0)),"")</f>
        <v/>
      </c>
      <c r="G2368" s="1" t="str">
        <f t="shared" si="36"/>
        <v/>
      </c>
    </row>
    <row r="2369" spans="3:7" x14ac:dyDescent="0.3">
      <c r="C2369" t="str">
        <f>IFERROR(IF(B2369="","",VLOOKUP(B2369,CadProd!$A:$B,2,0)),"")</f>
        <v/>
      </c>
      <c r="D2369" t="str">
        <f>IFERROR(IF(B2369="","",VLOOKUP(B2369,CadProd!$A:$C,3,0)),"")</f>
        <v/>
      </c>
      <c r="G2369" s="1" t="str">
        <f t="shared" si="36"/>
        <v/>
      </c>
    </row>
    <row r="2370" spans="3:7" x14ac:dyDescent="0.3">
      <c r="C2370" t="str">
        <f>IFERROR(IF(B2370="","",VLOOKUP(B2370,CadProd!$A:$B,2,0)),"")</f>
        <v/>
      </c>
      <c r="D2370" t="str">
        <f>IFERROR(IF(B2370="","",VLOOKUP(B2370,CadProd!$A:$C,3,0)),"")</f>
        <v/>
      </c>
      <c r="G2370" s="1" t="str">
        <f t="shared" si="36"/>
        <v/>
      </c>
    </row>
    <row r="2371" spans="3:7" x14ac:dyDescent="0.3">
      <c r="C2371" t="str">
        <f>IFERROR(IF(B2371="","",VLOOKUP(B2371,CadProd!$A:$B,2,0)),"")</f>
        <v/>
      </c>
      <c r="D2371" t="str">
        <f>IFERROR(IF(B2371="","",VLOOKUP(B2371,CadProd!$A:$C,3,0)),"")</f>
        <v/>
      </c>
      <c r="G2371" s="1" t="str">
        <f t="shared" si="36"/>
        <v/>
      </c>
    </row>
    <row r="2372" spans="3:7" x14ac:dyDescent="0.3">
      <c r="C2372" t="str">
        <f>IFERROR(IF(B2372="","",VLOOKUP(B2372,CadProd!$A:$B,2,0)),"")</f>
        <v/>
      </c>
      <c r="D2372" t="str">
        <f>IFERROR(IF(B2372="","",VLOOKUP(B2372,CadProd!$A:$C,3,0)),"")</f>
        <v/>
      </c>
      <c r="G2372" s="1" t="str">
        <f t="shared" si="36"/>
        <v/>
      </c>
    </row>
    <row r="2373" spans="3:7" x14ac:dyDescent="0.3">
      <c r="C2373" t="str">
        <f>IFERROR(IF(B2373="","",VLOOKUP(B2373,CadProd!$A:$B,2,0)),"")</f>
        <v/>
      </c>
      <c r="D2373" t="str">
        <f>IFERROR(IF(B2373="","",VLOOKUP(B2373,CadProd!$A:$C,3,0)),"")</f>
        <v/>
      </c>
      <c r="G2373" s="1" t="str">
        <f t="shared" si="36"/>
        <v/>
      </c>
    </row>
    <row r="2374" spans="3:7" x14ac:dyDescent="0.3">
      <c r="C2374" t="str">
        <f>IFERROR(IF(B2374="","",VLOOKUP(B2374,CadProd!$A:$B,2,0)),"")</f>
        <v/>
      </c>
      <c r="D2374" t="str">
        <f>IFERROR(IF(B2374="","",VLOOKUP(B2374,CadProd!$A:$C,3,0)),"")</f>
        <v/>
      </c>
      <c r="G2374" s="1" t="str">
        <f t="shared" si="36"/>
        <v/>
      </c>
    </row>
    <row r="2375" spans="3:7" x14ac:dyDescent="0.3">
      <c r="C2375" t="str">
        <f>IFERROR(IF(B2375="","",VLOOKUP(B2375,CadProd!$A:$B,2,0)),"")</f>
        <v/>
      </c>
      <c r="D2375" t="str">
        <f>IFERROR(IF(B2375="","",VLOOKUP(B2375,CadProd!$A:$C,3,0)),"")</f>
        <v/>
      </c>
      <c r="G2375" s="1" t="str">
        <f t="shared" si="36"/>
        <v/>
      </c>
    </row>
    <row r="2376" spans="3:7" x14ac:dyDescent="0.3">
      <c r="C2376" t="str">
        <f>IFERROR(IF(B2376="","",VLOOKUP(B2376,CadProd!$A:$B,2,0)),"")</f>
        <v/>
      </c>
      <c r="D2376" t="str">
        <f>IFERROR(IF(B2376="","",VLOOKUP(B2376,CadProd!$A:$C,3,0)),"")</f>
        <v/>
      </c>
      <c r="G2376" s="1" t="str">
        <f t="shared" si="36"/>
        <v/>
      </c>
    </row>
    <row r="2377" spans="3:7" x14ac:dyDescent="0.3">
      <c r="C2377" t="str">
        <f>IFERROR(IF(B2377="","",VLOOKUP(B2377,CadProd!$A:$B,2,0)),"")</f>
        <v/>
      </c>
      <c r="D2377" t="str">
        <f>IFERROR(IF(B2377="","",VLOOKUP(B2377,CadProd!$A:$C,3,0)),"")</f>
        <v/>
      </c>
      <c r="G2377" s="1" t="str">
        <f t="shared" si="36"/>
        <v/>
      </c>
    </row>
    <row r="2378" spans="3:7" x14ac:dyDescent="0.3">
      <c r="C2378" t="str">
        <f>IFERROR(IF(B2378="","",VLOOKUP(B2378,CadProd!$A:$B,2,0)),"")</f>
        <v/>
      </c>
      <c r="D2378" t="str">
        <f>IFERROR(IF(B2378="","",VLOOKUP(B2378,CadProd!$A:$C,3,0)),"")</f>
        <v/>
      </c>
      <c r="G2378" s="1" t="str">
        <f t="shared" si="36"/>
        <v/>
      </c>
    </row>
    <row r="2379" spans="3:7" x14ac:dyDescent="0.3">
      <c r="C2379" t="str">
        <f>IFERROR(IF(B2379="","",VLOOKUP(B2379,CadProd!$A:$B,2,0)),"")</f>
        <v/>
      </c>
      <c r="D2379" t="str">
        <f>IFERROR(IF(B2379="","",VLOOKUP(B2379,CadProd!$A:$C,3,0)),"")</f>
        <v/>
      </c>
      <c r="G2379" s="1" t="str">
        <f t="shared" ref="G2379:G2442" si="37">IFERROR(IF(B2379="","",F2379*E2379),"")</f>
        <v/>
      </c>
    </row>
    <row r="2380" spans="3:7" x14ac:dyDescent="0.3">
      <c r="C2380" t="str">
        <f>IFERROR(IF(B2380="","",VLOOKUP(B2380,CadProd!$A:$B,2,0)),"")</f>
        <v/>
      </c>
      <c r="D2380" t="str">
        <f>IFERROR(IF(B2380="","",VLOOKUP(B2380,CadProd!$A:$C,3,0)),"")</f>
        <v/>
      </c>
      <c r="G2380" s="1" t="str">
        <f t="shared" si="37"/>
        <v/>
      </c>
    </row>
    <row r="2381" spans="3:7" x14ac:dyDescent="0.3">
      <c r="C2381" t="str">
        <f>IFERROR(IF(B2381="","",VLOOKUP(B2381,CadProd!$A:$B,2,0)),"")</f>
        <v/>
      </c>
      <c r="D2381" t="str">
        <f>IFERROR(IF(B2381="","",VLOOKUP(B2381,CadProd!$A:$C,3,0)),"")</f>
        <v/>
      </c>
      <c r="G2381" s="1" t="str">
        <f t="shared" si="37"/>
        <v/>
      </c>
    </row>
    <row r="2382" spans="3:7" x14ac:dyDescent="0.3">
      <c r="C2382" t="str">
        <f>IFERROR(IF(B2382="","",VLOOKUP(B2382,CadProd!$A:$B,2,0)),"")</f>
        <v/>
      </c>
      <c r="D2382" t="str">
        <f>IFERROR(IF(B2382="","",VLOOKUP(B2382,CadProd!$A:$C,3,0)),"")</f>
        <v/>
      </c>
      <c r="G2382" s="1" t="str">
        <f t="shared" si="37"/>
        <v/>
      </c>
    </row>
    <row r="2383" spans="3:7" x14ac:dyDescent="0.3">
      <c r="C2383" t="str">
        <f>IFERROR(IF(B2383="","",VLOOKUP(B2383,CadProd!$A:$B,2,0)),"")</f>
        <v/>
      </c>
      <c r="D2383" t="str">
        <f>IFERROR(IF(B2383="","",VLOOKUP(B2383,CadProd!$A:$C,3,0)),"")</f>
        <v/>
      </c>
      <c r="G2383" s="1" t="str">
        <f t="shared" si="37"/>
        <v/>
      </c>
    </row>
    <row r="2384" spans="3:7" x14ac:dyDescent="0.3">
      <c r="C2384" t="str">
        <f>IFERROR(IF(B2384="","",VLOOKUP(B2384,CadProd!$A:$B,2,0)),"")</f>
        <v/>
      </c>
      <c r="D2384" t="str">
        <f>IFERROR(IF(B2384="","",VLOOKUP(B2384,CadProd!$A:$C,3,0)),"")</f>
        <v/>
      </c>
      <c r="G2384" s="1" t="str">
        <f t="shared" si="37"/>
        <v/>
      </c>
    </row>
    <row r="2385" spans="3:7" x14ac:dyDescent="0.3">
      <c r="C2385" t="str">
        <f>IFERROR(IF(B2385="","",VLOOKUP(B2385,CadProd!$A:$B,2,0)),"")</f>
        <v/>
      </c>
      <c r="D2385" t="str">
        <f>IFERROR(IF(B2385="","",VLOOKUP(B2385,CadProd!$A:$C,3,0)),"")</f>
        <v/>
      </c>
      <c r="G2385" s="1" t="str">
        <f t="shared" si="37"/>
        <v/>
      </c>
    </row>
    <row r="2386" spans="3:7" x14ac:dyDescent="0.3">
      <c r="C2386" t="str">
        <f>IFERROR(IF(B2386="","",VLOOKUP(B2386,CadProd!$A:$B,2,0)),"")</f>
        <v/>
      </c>
      <c r="D2386" t="str">
        <f>IFERROR(IF(B2386="","",VLOOKUP(B2386,CadProd!$A:$C,3,0)),"")</f>
        <v/>
      </c>
      <c r="G2386" s="1" t="str">
        <f t="shared" si="37"/>
        <v/>
      </c>
    </row>
    <row r="2387" spans="3:7" x14ac:dyDescent="0.3">
      <c r="C2387" t="str">
        <f>IFERROR(IF(B2387="","",VLOOKUP(B2387,CadProd!$A:$B,2,0)),"")</f>
        <v/>
      </c>
      <c r="D2387" t="str">
        <f>IFERROR(IF(B2387="","",VLOOKUP(B2387,CadProd!$A:$C,3,0)),"")</f>
        <v/>
      </c>
      <c r="G2387" s="1" t="str">
        <f t="shared" si="37"/>
        <v/>
      </c>
    </row>
    <row r="2388" spans="3:7" x14ac:dyDescent="0.3">
      <c r="C2388" t="str">
        <f>IFERROR(IF(B2388="","",VLOOKUP(B2388,CadProd!$A:$B,2,0)),"")</f>
        <v/>
      </c>
      <c r="D2388" t="str">
        <f>IFERROR(IF(B2388="","",VLOOKUP(B2388,CadProd!$A:$C,3,0)),"")</f>
        <v/>
      </c>
      <c r="G2388" s="1" t="str">
        <f t="shared" si="37"/>
        <v/>
      </c>
    </row>
    <row r="2389" spans="3:7" x14ac:dyDescent="0.3">
      <c r="C2389" t="str">
        <f>IFERROR(IF(B2389="","",VLOOKUP(B2389,CadProd!$A:$B,2,0)),"")</f>
        <v/>
      </c>
      <c r="D2389" t="str">
        <f>IFERROR(IF(B2389="","",VLOOKUP(B2389,CadProd!$A:$C,3,0)),"")</f>
        <v/>
      </c>
      <c r="G2389" s="1" t="str">
        <f t="shared" si="37"/>
        <v/>
      </c>
    </row>
    <row r="2390" spans="3:7" x14ac:dyDescent="0.3">
      <c r="C2390" t="str">
        <f>IFERROR(IF(B2390="","",VLOOKUP(B2390,CadProd!$A:$B,2,0)),"")</f>
        <v/>
      </c>
      <c r="D2390" t="str">
        <f>IFERROR(IF(B2390="","",VLOOKUP(B2390,CadProd!$A:$C,3,0)),"")</f>
        <v/>
      </c>
      <c r="G2390" s="1" t="str">
        <f t="shared" si="37"/>
        <v/>
      </c>
    </row>
    <row r="2391" spans="3:7" x14ac:dyDescent="0.3">
      <c r="C2391" t="str">
        <f>IFERROR(IF(B2391="","",VLOOKUP(B2391,CadProd!$A:$B,2,0)),"")</f>
        <v/>
      </c>
      <c r="D2391" t="str">
        <f>IFERROR(IF(B2391="","",VLOOKUP(B2391,CadProd!$A:$C,3,0)),"")</f>
        <v/>
      </c>
      <c r="G2391" s="1" t="str">
        <f t="shared" si="37"/>
        <v/>
      </c>
    </row>
    <row r="2392" spans="3:7" x14ac:dyDescent="0.3">
      <c r="C2392" t="str">
        <f>IFERROR(IF(B2392="","",VLOOKUP(B2392,CadProd!$A:$B,2,0)),"")</f>
        <v/>
      </c>
      <c r="D2392" t="str">
        <f>IFERROR(IF(B2392="","",VLOOKUP(B2392,CadProd!$A:$C,3,0)),"")</f>
        <v/>
      </c>
      <c r="G2392" s="1" t="str">
        <f t="shared" si="37"/>
        <v/>
      </c>
    </row>
    <row r="2393" spans="3:7" x14ac:dyDescent="0.3">
      <c r="C2393" t="str">
        <f>IFERROR(IF(B2393="","",VLOOKUP(B2393,CadProd!$A:$B,2,0)),"")</f>
        <v/>
      </c>
      <c r="D2393" t="str">
        <f>IFERROR(IF(B2393="","",VLOOKUP(B2393,CadProd!$A:$C,3,0)),"")</f>
        <v/>
      </c>
      <c r="G2393" s="1" t="str">
        <f t="shared" si="37"/>
        <v/>
      </c>
    </row>
    <row r="2394" spans="3:7" x14ac:dyDescent="0.3">
      <c r="C2394" t="str">
        <f>IFERROR(IF(B2394="","",VLOOKUP(B2394,CadProd!$A:$B,2,0)),"")</f>
        <v/>
      </c>
      <c r="D2394" t="str">
        <f>IFERROR(IF(B2394="","",VLOOKUP(B2394,CadProd!$A:$C,3,0)),"")</f>
        <v/>
      </c>
      <c r="G2394" s="1" t="str">
        <f t="shared" si="37"/>
        <v/>
      </c>
    </row>
    <row r="2395" spans="3:7" x14ac:dyDescent="0.3">
      <c r="C2395" t="str">
        <f>IFERROR(IF(B2395="","",VLOOKUP(B2395,CadProd!$A:$B,2,0)),"")</f>
        <v/>
      </c>
      <c r="D2395" t="str">
        <f>IFERROR(IF(B2395="","",VLOOKUP(B2395,CadProd!$A:$C,3,0)),"")</f>
        <v/>
      </c>
      <c r="G2395" s="1" t="str">
        <f t="shared" si="37"/>
        <v/>
      </c>
    </row>
    <row r="2396" spans="3:7" x14ac:dyDescent="0.3">
      <c r="C2396" t="str">
        <f>IFERROR(IF(B2396="","",VLOOKUP(B2396,CadProd!$A:$B,2,0)),"")</f>
        <v/>
      </c>
      <c r="D2396" t="str">
        <f>IFERROR(IF(B2396="","",VLOOKUP(B2396,CadProd!$A:$C,3,0)),"")</f>
        <v/>
      </c>
      <c r="G2396" s="1" t="str">
        <f t="shared" si="37"/>
        <v/>
      </c>
    </row>
    <row r="2397" spans="3:7" x14ac:dyDescent="0.3">
      <c r="C2397" t="str">
        <f>IFERROR(IF(B2397="","",VLOOKUP(B2397,CadProd!$A:$B,2,0)),"")</f>
        <v/>
      </c>
      <c r="D2397" t="str">
        <f>IFERROR(IF(B2397="","",VLOOKUP(B2397,CadProd!$A:$C,3,0)),"")</f>
        <v/>
      </c>
      <c r="G2397" s="1" t="str">
        <f t="shared" si="37"/>
        <v/>
      </c>
    </row>
    <row r="2398" spans="3:7" x14ac:dyDescent="0.3">
      <c r="C2398" t="str">
        <f>IFERROR(IF(B2398="","",VLOOKUP(B2398,CadProd!$A:$B,2,0)),"")</f>
        <v/>
      </c>
      <c r="D2398" t="str">
        <f>IFERROR(IF(B2398="","",VLOOKUP(B2398,CadProd!$A:$C,3,0)),"")</f>
        <v/>
      </c>
      <c r="G2398" s="1" t="str">
        <f t="shared" si="37"/>
        <v/>
      </c>
    </row>
    <row r="2399" spans="3:7" x14ac:dyDescent="0.3">
      <c r="C2399" t="str">
        <f>IFERROR(IF(B2399="","",VLOOKUP(B2399,CadProd!$A:$B,2,0)),"")</f>
        <v/>
      </c>
      <c r="D2399" t="str">
        <f>IFERROR(IF(B2399="","",VLOOKUP(B2399,CadProd!$A:$C,3,0)),"")</f>
        <v/>
      </c>
      <c r="G2399" s="1" t="str">
        <f t="shared" si="37"/>
        <v/>
      </c>
    </row>
    <row r="2400" spans="3:7" x14ac:dyDescent="0.3">
      <c r="C2400" t="str">
        <f>IFERROR(IF(B2400="","",VLOOKUP(B2400,CadProd!$A:$B,2,0)),"")</f>
        <v/>
      </c>
      <c r="D2400" t="str">
        <f>IFERROR(IF(B2400="","",VLOOKUP(B2400,CadProd!$A:$C,3,0)),"")</f>
        <v/>
      </c>
      <c r="G2400" s="1" t="str">
        <f t="shared" si="37"/>
        <v/>
      </c>
    </row>
    <row r="2401" spans="3:7" x14ac:dyDescent="0.3">
      <c r="C2401" t="str">
        <f>IFERROR(IF(B2401="","",VLOOKUP(B2401,CadProd!$A:$B,2,0)),"")</f>
        <v/>
      </c>
      <c r="D2401" t="str">
        <f>IFERROR(IF(B2401="","",VLOOKUP(B2401,CadProd!$A:$C,3,0)),"")</f>
        <v/>
      </c>
      <c r="G2401" s="1" t="str">
        <f t="shared" si="37"/>
        <v/>
      </c>
    </row>
    <row r="2402" spans="3:7" x14ac:dyDescent="0.3">
      <c r="C2402" t="str">
        <f>IFERROR(IF(B2402="","",VLOOKUP(B2402,CadProd!$A:$B,2,0)),"")</f>
        <v/>
      </c>
      <c r="D2402" t="str">
        <f>IFERROR(IF(B2402="","",VLOOKUP(B2402,CadProd!$A:$C,3,0)),"")</f>
        <v/>
      </c>
      <c r="G2402" s="1" t="str">
        <f t="shared" si="37"/>
        <v/>
      </c>
    </row>
    <row r="2403" spans="3:7" x14ac:dyDescent="0.3">
      <c r="C2403" t="str">
        <f>IFERROR(IF(B2403="","",VLOOKUP(B2403,CadProd!$A:$B,2,0)),"")</f>
        <v/>
      </c>
      <c r="D2403" t="str">
        <f>IFERROR(IF(B2403="","",VLOOKUP(B2403,CadProd!$A:$C,3,0)),"")</f>
        <v/>
      </c>
      <c r="G2403" s="1" t="str">
        <f t="shared" si="37"/>
        <v/>
      </c>
    </row>
    <row r="2404" spans="3:7" x14ac:dyDescent="0.3">
      <c r="C2404" t="str">
        <f>IFERROR(IF(B2404="","",VLOOKUP(B2404,CadProd!$A:$B,2,0)),"")</f>
        <v/>
      </c>
      <c r="D2404" t="str">
        <f>IFERROR(IF(B2404="","",VLOOKUP(B2404,CadProd!$A:$C,3,0)),"")</f>
        <v/>
      </c>
      <c r="G2404" s="1" t="str">
        <f t="shared" si="37"/>
        <v/>
      </c>
    </row>
    <row r="2405" spans="3:7" x14ac:dyDescent="0.3">
      <c r="C2405" t="str">
        <f>IFERROR(IF(B2405="","",VLOOKUP(B2405,CadProd!$A:$B,2,0)),"")</f>
        <v/>
      </c>
      <c r="D2405" t="str">
        <f>IFERROR(IF(B2405="","",VLOOKUP(B2405,CadProd!$A:$C,3,0)),"")</f>
        <v/>
      </c>
      <c r="G2405" s="1" t="str">
        <f t="shared" si="37"/>
        <v/>
      </c>
    </row>
    <row r="2406" spans="3:7" x14ac:dyDescent="0.3">
      <c r="C2406" t="str">
        <f>IFERROR(IF(B2406="","",VLOOKUP(B2406,CadProd!$A:$B,2,0)),"")</f>
        <v/>
      </c>
      <c r="D2406" t="str">
        <f>IFERROR(IF(B2406="","",VLOOKUP(B2406,CadProd!$A:$C,3,0)),"")</f>
        <v/>
      </c>
      <c r="G2406" s="1" t="str">
        <f t="shared" si="37"/>
        <v/>
      </c>
    </row>
    <row r="2407" spans="3:7" x14ac:dyDescent="0.3">
      <c r="C2407" t="str">
        <f>IFERROR(IF(B2407="","",VLOOKUP(B2407,CadProd!$A:$B,2,0)),"")</f>
        <v/>
      </c>
      <c r="D2407" t="str">
        <f>IFERROR(IF(B2407="","",VLOOKUP(B2407,CadProd!$A:$C,3,0)),"")</f>
        <v/>
      </c>
      <c r="G2407" s="1" t="str">
        <f t="shared" si="37"/>
        <v/>
      </c>
    </row>
    <row r="2408" spans="3:7" x14ac:dyDescent="0.3">
      <c r="C2408" t="str">
        <f>IFERROR(IF(B2408="","",VLOOKUP(B2408,CadProd!$A:$B,2,0)),"")</f>
        <v/>
      </c>
      <c r="D2408" t="str">
        <f>IFERROR(IF(B2408="","",VLOOKUP(B2408,CadProd!$A:$C,3,0)),"")</f>
        <v/>
      </c>
      <c r="G2408" s="1" t="str">
        <f t="shared" si="37"/>
        <v/>
      </c>
    </row>
    <row r="2409" spans="3:7" x14ac:dyDescent="0.3">
      <c r="C2409" t="str">
        <f>IFERROR(IF(B2409="","",VLOOKUP(B2409,CadProd!$A:$B,2,0)),"")</f>
        <v/>
      </c>
      <c r="D2409" t="str">
        <f>IFERROR(IF(B2409="","",VLOOKUP(B2409,CadProd!$A:$C,3,0)),"")</f>
        <v/>
      </c>
      <c r="G2409" s="1" t="str">
        <f t="shared" si="37"/>
        <v/>
      </c>
    </row>
    <row r="2410" spans="3:7" x14ac:dyDescent="0.3">
      <c r="C2410" t="str">
        <f>IFERROR(IF(B2410="","",VLOOKUP(B2410,CadProd!$A:$B,2,0)),"")</f>
        <v/>
      </c>
      <c r="D2410" t="str">
        <f>IFERROR(IF(B2410="","",VLOOKUP(B2410,CadProd!$A:$C,3,0)),"")</f>
        <v/>
      </c>
      <c r="G2410" s="1" t="str">
        <f t="shared" si="37"/>
        <v/>
      </c>
    </row>
    <row r="2411" spans="3:7" x14ac:dyDescent="0.3">
      <c r="C2411" t="str">
        <f>IFERROR(IF(B2411="","",VLOOKUP(B2411,CadProd!$A:$B,2,0)),"")</f>
        <v/>
      </c>
      <c r="D2411" t="str">
        <f>IFERROR(IF(B2411="","",VLOOKUP(B2411,CadProd!$A:$C,3,0)),"")</f>
        <v/>
      </c>
      <c r="G2411" s="1" t="str">
        <f t="shared" si="37"/>
        <v/>
      </c>
    </row>
    <row r="2412" spans="3:7" x14ac:dyDescent="0.3">
      <c r="C2412" t="str">
        <f>IFERROR(IF(B2412="","",VLOOKUP(B2412,CadProd!$A:$B,2,0)),"")</f>
        <v/>
      </c>
      <c r="D2412" t="str">
        <f>IFERROR(IF(B2412="","",VLOOKUP(B2412,CadProd!$A:$C,3,0)),"")</f>
        <v/>
      </c>
      <c r="G2412" s="1" t="str">
        <f t="shared" si="37"/>
        <v/>
      </c>
    </row>
    <row r="2413" spans="3:7" x14ac:dyDescent="0.3">
      <c r="C2413" t="str">
        <f>IFERROR(IF(B2413="","",VLOOKUP(B2413,CadProd!$A:$B,2,0)),"")</f>
        <v/>
      </c>
      <c r="D2413" t="str">
        <f>IFERROR(IF(B2413="","",VLOOKUP(B2413,CadProd!$A:$C,3,0)),"")</f>
        <v/>
      </c>
      <c r="G2413" s="1" t="str">
        <f t="shared" si="37"/>
        <v/>
      </c>
    </row>
    <row r="2414" spans="3:7" x14ac:dyDescent="0.3">
      <c r="C2414" t="str">
        <f>IFERROR(IF(B2414="","",VLOOKUP(B2414,CadProd!$A:$B,2,0)),"")</f>
        <v/>
      </c>
      <c r="D2414" t="str">
        <f>IFERROR(IF(B2414="","",VLOOKUP(B2414,CadProd!$A:$C,3,0)),"")</f>
        <v/>
      </c>
      <c r="G2414" s="1" t="str">
        <f t="shared" si="37"/>
        <v/>
      </c>
    </row>
    <row r="2415" spans="3:7" x14ac:dyDescent="0.3">
      <c r="C2415" t="str">
        <f>IFERROR(IF(B2415="","",VLOOKUP(B2415,CadProd!$A:$B,2,0)),"")</f>
        <v/>
      </c>
      <c r="D2415" t="str">
        <f>IFERROR(IF(B2415="","",VLOOKUP(B2415,CadProd!$A:$C,3,0)),"")</f>
        <v/>
      </c>
      <c r="G2415" s="1" t="str">
        <f t="shared" si="37"/>
        <v/>
      </c>
    </row>
    <row r="2416" spans="3:7" x14ac:dyDescent="0.3">
      <c r="C2416" t="str">
        <f>IFERROR(IF(B2416="","",VLOOKUP(B2416,CadProd!$A:$B,2,0)),"")</f>
        <v/>
      </c>
      <c r="D2416" t="str">
        <f>IFERROR(IF(B2416="","",VLOOKUP(B2416,CadProd!$A:$C,3,0)),"")</f>
        <v/>
      </c>
      <c r="G2416" s="1" t="str">
        <f t="shared" si="37"/>
        <v/>
      </c>
    </row>
    <row r="2417" spans="3:7" x14ac:dyDescent="0.3">
      <c r="C2417" t="str">
        <f>IFERROR(IF(B2417="","",VLOOKUP(B2417,CadProd!$A:$B,2,0)),"")</f>
        <v/>
      </c>
      <c r="D2417" t="str">
        <f>IFERROR(IF(B2417="","",VLOOKUP(B2417,CadProd!$A:$C,3,0)),"")</f>
        <v/>
      </c>
      <c r="G2417" s="1" t="str">
        <f t="shared" si="37"/>
        <v/>
      </c>
    </row>
    <row r="2418" spans="3:7" x14ac:dyDescent="0.3">
      <c r="C2418" t="str">
        <f>IFERROR(IF(B2418="","",VLOOKUP(B2418,CadProd!$A:$B,2,0)),"")</f>
        <v/>
      </c>
      <c r="D2418" t="str">
        <f>IFERROR(IF(B2418="","",VLOOKUP(B2418,CadProd!$A:$C,3,0)),"")</f>
        <v/>
      </c>
      <c r="G2418" s="1" t="str">
        <f t="shared" si="37"/>
        <v/>
      </c>
    </row>
    <row r="2419" spans="3:7" x14ac:dyDescent="0.3">
      <c r="C2419" t="str">
        <f>IFERROR(IF(B2419="","",VLOOKUP(B2419,CadProd!$A:$B,2,0)),"")</f>
        <v/>
      </c>
      <c r="D2419" t="str">
        <f>IFERROR(IF(B2419="","",VLOOKUP(B2419,CadProd!$A:$C,3,0)),"")</f>
        <v/>
      </c>
      <c r="G2419" s="1" t="str">
        <f t="shared" si="37"/>
        <v/>
      </c>
    </row>
    <row r="2420" spans="3:7" x14ac:dyDescent="0.3">
      <c r="C2420" t="str">
        <f>IFERROR(IF(B2420="","",VLOOKUP(B2420,CadProd!$A:$B,2,0)),"")</f>
        <v/>
      </c>
      <c r="D2420" t="str">
        <f>IFERROR(IF(B2420="","",VLOOKUP(B2420,CadProd!$A:$C,3,0)),"")</f>
        <v/>
      </c>
      <c r="G2420" s="1" t="str">
        <f t="shared" si="37"/>
        <v/>
      </c>
    </row>
    <row r="2421" spans="3:7" x14ac:dyDescent="0.3">
      <c r="C2421" t="str">
        <f>IFERROR(IF(B2421="","",VLOOKUP(B2421,CadProd!$A:$B,2,0)),"")</f>
        <v/>
      </c>
      <c r="D2421" t="str">
        <f>IFERROR(IF(B2421="","",VLOOKUP(B2421,CadProd!$A:$C,3,0)),"")</f>
        <v/>
      </c>
      <c r="G2421" s="1" t="str">
        <f t="shared" si="37"/>
        <v/>
      </c>
    </row>
    <row r="2422" spans="3:7" x14ac:dyDescent="0.3">
      <c r="C2422" t="str">
        <f>IFERROR(IF(B2422="","",VLOOKUP(B2422,CadProd!$A:$B,2,0)),"")</f>
        <v/>
      </c>
      <c r="D2422" t="str">
        <f>IFERROR(IF(B2422="","",VLOOKUP(B2422,CadProd!$A:$C,3,0)),"")</f>
        <v/>
      </c>
      <c r="G2422" s="1" t="str">
        <f t="shared" si="37"/>
        <v/>
      </c>
    </row>
    <row r="2423" spans="3:7" x14ac:dyDescent="0.3">
      <c r="C2423" t="str">
        <f>IFERROR(IF(B2423="","",VLOOKUP(B2423,CadProd!$A:$B,2,0)),"")</f>
        <v/>
      </c>
      <c r="D2423" t="str">
        <f>IFERROR(IF(B2423="","",VLOOKUP(B2423,CadProd!$A:$C,3,0)),"")</f>
        <v/>
      </c>
      <c r="G2423" s="1" t="str">
        <f t="shared" si="37"/>
        <v/>
      </c>
    </row>
    <row r="2424" spans="3:7" x14ac:dyDescent="0.3">
      <c r="C2424" t="str">
        <f>IFERROR(IF(B2424="","",VLOOKUP(B2424,CadProd!$A:$B,2,0)),"")</f>
        <v/>
      </c>
      <c r="D2424" t="str">
        <f>IFERROR(IF(B2424="","",VLOOKUP(B2424,CadProd!$A:$C,3,0)),"")</f>
        <v/>
      </c>
      <c r="G2424" s="1" t="str">
        <f t="shared" si="37"/>
        <v/>
      </c>
    </row>
    <row r="2425" spans="3:7" x14ac:dyDescent="0.3">
      <c r="C2425" t="str">
        <f>IFERROR(IF(B2425="","",VLOOKUP(B2425,CadProd!$A:$B,2,0)),"")</f>
        <v/>
      </c>
      <c r="D2425" t="str">
        <f>IFERROR(IF(B2425="","",VLOOKUP(B2425,CadProd!$A:$C,3,0)),"")</f>
        <v/>
      </c>
      <c r="G2425" s="1" t="str">
        <f t="shared" si="37"/>
        <v/>
      </c>
    </row>
    <row r="2426" spans="3:7" x14ac:dyDescent="0.3">
      <c r="C2426" t="str">
        <f>IFERROR(IF(B2426="","",VLOOKUP(B2426,CadProd!$A:$B,2,0)),"")</f>
        <v/>
      </c>
      <c r="D2426" t="str">
        <f>IFERROR(IF(B2426="","",VLOOKUP(B2426,CadProd!$A:$C,3,0)),"")</f>
        <v/>
      </c>
      <c r="G2426" s="1" t="str">
        <f t="shared" si="37"/>
        <v/>
      </c>
    </row>
    <row r="2427" spans="3:7" x14ac:dyDescent="0.3">
      <c r="C2427" t="str">
        <f>IFERROR(IF(B2427="","",VLOOKUP(B2427,CadProd!$A:$B,2,0)),"")</f>
        <v/>
      </c>
      <c r="D2427" t="str">
        <f>IFERROR(IF(B2427="","",VLOOKUP(B2427,CadProd!$A:$C,3,0)),"")</f>
        <v/>
      </c>
      <c r="G2427" s="1" t="str">
        <f t="shared" si="37"/>
        <v/>
      </c>
    </row>
    <row r="2428" spans="3:7" x14ac:dyDescent="0.3">
      <c r="C2428" t="str">
        <f>IFERROR(IF(B2428="","",VLOOKUP(B2428,CadProd!$A:$B,2,0)),"")</f>
        <v/>
      </c>
      <c r="D2428" t="str">
        <f>IFERROR(IF(B2428="","",VLOOKUP(B2428,CadProd!$A:$C,3,0)),"")</f>
        <v/>
      </c>
      <c r="G2428" s="1" t="str">
        <f t="shared" si="37"/>
        <v/>
      </c>
    </row>
    <row r="2429" spans="3:7" x14ac:dyDescent="0.3">
      <c r="C2429" t="str">
        <f>IFERROR(IF(B2429="","",VLOOKUP(B2429,CadProd!$A:$B,2,0)),"")</f>
        <v/>
      </c>
      <c r="D2429" t="str">
        <f>IFERROR(IF(B2429="","",VLOOKUP(B2429,CadProd!$A:$C,3,0)),"")</f>
        <v/>
      </c>
      <c r="G2429" s="1" t="str">
        <f t="shared" si="37"/>
        <v/>
      </c>
    </row>
    <row r="2430" spans="3:7" x14ac:dyDescent="0.3">
      <c r="C2430" t="str">
        <f>IFERROR(IF(B2430="","",VLOOKUP(B2430,CadProd!$A:$B,2,0)),"")</f>
        <v/>
      </c>
      <c r="D2430" t="str">
        <f>IFERROR(IF(B2430="","",VLOOKUP(B2430,CadProd!$A:$C,3,0)),"")</f>
        <v/>
      </c>
      <c r="G2430" s="1" t="str">
        <f t="shared" si="37"/>
        <v/>
      </c>
    </row>
    <row r="2431" spans="3:7" x14ac:dyDescent="0.3">
      <c r="C2431" t="str">
        <f>IFERROR(IF(B2431="","",VLOOKUP(B2431,CadProd!$A:$B,2,0)),"")</f>
        <v/>
      </c>
      <c r="D2431" t="str">
        <f>IFERROR(IF(B2431="","",VLOOKUP(B2431,CadProd!$A:$C,3,0)),"")</f>
        <v/>
      </c>
      <c r="G2431" s="1" t="str">
        <f t="shared" si="37"/>
        <v/>
      </c>
    </row>
    <row r="2432" spans="3:7" x14ac:dyDescent="0.3">
      <c r="C2432" t="str">
        <f>IFERROR(IF(B2432="","",VLOOKUP(B2432,CadProd!$A:$B,2,0)),"")</f>
        <v/>
      </c>
      <c r="D2432" t="str">
        <f>IFERROR(IF(B2432="","",VLOOKUP(B2432,CadProd!$A:$C,3,0)),"")</f>
        <v/>
      </c>
      <c r="G2432" s="1" t="str">
        <f t="shared" si="37"/>
        <v/>
      </c>
    </row>
    <row r="2433" spans="3:7" x14ac:dyDescent="0.3">
      <c r="C2433" t="str">
        <f>IFERROR(IF(B2433="","",VLOOKUP(B2433,CadProd!$A:$B,2,0)),"")</f>
        <v/>
      </c>
      <c r="D2433" t="str">
        <f>IFERROR(IF(B2433="","",VLOOKUP(B2433,CadProd!$A:$C,3,0)),"")</f>
        <v/>
      </c>
      <c r="G2433" s="1" t="str">
        <f t="shared" si="37"/>
        <v/>
      </c>
    </row>
    <row r="2434" spans="3:7" x14ac:dyDescent="0.3">
      <c r="C2434" t="str">
        <f>IFERROR(IF(B2434="","",VLOOKUP(B2434,CadProd!$A:$B,2,0)),"")</f>
        <v/>
      </c>
      <c r="D2434" t="str">
        <f>IFERROR(IF(B2434="","",VLOOKUP(B2434,CadProd!$A:$C,3,0)),"")</f>
        <v/>
      </c>
      <c r="G2434" s="1" t="str">
        <f t="shared" si="37"/>
        <v/>
      </c>
    </row>
    <row r="2435" spans="3:7" x14ac:dyDescent="0.3">
      <c r="C2435" t="str">
        <f>IFERROR(IF(B2435="","",VLOOKUP(B2435,CadProd!$A:$B,2,0)),"")</f>
        <v/>
      </c>
      <c r="D2435" t="str">
        <f>IFERROR(IF(B2435="","",VLOOKUP(B2435,CadProd!$A:$C,3,0)),"")</f>
        <v/>
      </c>
      <c r="G2435" s="1" t="str">
        <f t="shared" si="37"/>
        <v/>
      </c>
    </row>
    <row r="2436" spans="3:7" x14ac:dyDescent="0.3">
      <c r="C2436" t="str">
        <f>IFERROR(IF(B2436="","",VLOOKUP(B2436,CadProd!$A:$B,2,0)),"")</f>
        <v/>
      </c>
      <c r="D2436" t="str">
        <f>IFERROR(IF(B2436="","",VLOOKUP(B2436,CadProd!$A:$C,3,0)),"")</f>
        <v/>
      </c>
      <c r="G2436" s="1" t="str">
        <f t="shared" si="37"/>
        <v/>
      </c>
    </row>
    <row r="2437" spans="3:7" x14ac:dyDescent="0.3">
      <c r="C2437" t="str">
        <f>IFERROR(IF(B2437="","",VLOOKUP(B2437,CadProd!$A:$B,2,0)),"")</f>
        <v/>
      </c>
      <c r="D2437" t="str">
        <f>IFERROR(IF(B2437="","",VLOOKUP(B2437,CadProd!$A:$C,3,0)),"")</f>
        <v/>
      </c>
      <c r="G2437" s="1" t="str">
        <f t="shared" si="37"/>
        <v/>
      </c>
    </row>
    <row r="2438" spans="3:7" x14ac:dyDescent="0.3">
      <c r="C2438" t="str">
        <f>IFERROR(IF(B2438="","",VLOOKUP(B2438,CadProd!$A:$B,2,0)),"")</f>
        <v/>
      </c>
      <c r="D2438" t="str">
        <f>IFERROR(IF(B2438="","",VLOOKUP(B2438,CadProd!$A:$C,3,0)),"")</f>
        <v/>
      </c>
      <c r="G2438" s="1" t="str">
        <f t="shared" si="37"/>
        <v/>
      </c>
    </row>
    <row r="2439" spans="3:7" x14ac:dyDescent="0.3">
      <c r="C2439" t="str">
        <f>IFERROR(IF(B2439="","",VLOOKUP(B2439,CadProd!$A:$B,2,0)),"")</f>
        <v/>
      </c>
      <c r="D2439" t="str">
        <f>IFERROR(IF(B2439="","",VLOOKUP(B2439,CadProd!$A:$C,3,0)),"")</f>
        <v/>
      </c>
      <c r="G2439" s="1" t="str">
        <f t="shared" si="37"/>
        <v/>
      </c>
    </row>
    <row r="2440" spans="3:7" x14ac:dyDescent="0.3">
      <c r="C2440" t="str">
        <f>IFERROR(IF(B2440="","",VLOOKUP(B2440,CadProd!$A:$B,2,0)),"")</f>
        <v/>
      </c>
      <c r="D2440" t="str">
        <f>IFERROR(IF(B2440="","",VLOOKUP(B2440,CadProd!$A:$C,3,0)),"")</f>
        <v/>
      </c>
      <c r="G2440" s="1" t="str">
        <f t="shared" si="37"/>
        <v/>
      </c>
    </row>
    <row r="2441" spans="3:7" x14ac:dyDescent="0.3">
      <c r="C2441" t="str">
        <f>IFERROR(IF(B2441="","",VLOOKUP(B2441,CadProd!$A:$B,2,0)),"")</f>
        <v/>
      </c>
      <c r="D2441" t="str">
        <f>IFERROR(IF(B2441="","",VLOOKUP(B2441,CadProd!$A:$C,3,0)),"")</f>
        <v/>
      </c>
      <c r="G2441" s="1" t="str">
        <f t="shared" si="37"/>
        <v/>
      </c>
    </row>
    <row r="2442" spans="3:7" x14ac:dyDescent="0.3">
      <c r="C2442" t="str">
        <f>IFERROR(IF(B2442="","",VLOOKUP(B2442,CadProd!$A:$B,2,0)),"")</f>
        <v/>
      </c>
      <c r="D2442" t="str">
        <f>IFERROR(IF(B2442="","",VLOOKUP(B2442,CadProd!$A:$C,3,0)),"")</f>
        <v/>
      </c>
      <c r="G2442" s="1" t="str">
        <f t="shared" si="37"/>
        <v/>
      </c>
    </row>
    <row r="2443" spans="3:7" x14ac:dyDescent="0.3">
      <c r="C2443" t="str">
        <f>IFERROR(IF(B2443="","",VLOOKUP(B2443,CadProd!$A:$B,2,0)),"")</f>
        <v/>
      </c>
      <c r="D2443" t="str">
        <f>IFERROR(IF(B2443="","",VLOOKUP(B2443,CadProd!$A:$C,3,0)),"")</f>
        <v/>
      </c>
      <c r="G2443" s="1" t="str">
        <f t="shared" ref="G2443:G2506" si="38">IFERROR(IF(B2443="","",F2443*E2443),"")</f>
        <v/>
      </c>
    </row>
    <row r="2444" spans="3:7" x14ac:dyDescent="0.3">
      <c r="C2444" t="str">
        <f>IFERROR(IF(B2444="","",VLOOKUP(B2444,CadProd!$A:$B,2,0)),"")</f>
        <v/>
      </c>
      <c r="D2444" t="str">
        <f>IFERROR(IF(B2444="","",VLOOKUP(B2444,CadProd!$A:$C,3,0)),"")</f>
        <v/>
      </c>
      <c r="G2444" s="1" t="str">
        <f t="shared" si="38"/>
        <v/>
      </c>
    </row>
    <row r="2445" spans="3:7" x14ac:dyDescent="0.3">
      <c r="C2445" t="str">
        <f>IFERROR(IF(B2445="","",VLOOKUP(B2445,CadProd!$A:$B,2,0)),"")</f>
        <v/>
      </c>
      <c r="D2445" t="str">
        <f>IFERROR(IF(B2445="","",VLOOKUP(B2445,CadProd!$A:$C,3,0)),"")</f>
        <v/>
      </c>
      <c r="G2445" s="1" t="str">
        <f t="shared" si="38"/>
        <v/>
      </c>
    </row>
    <row r="2446" spans="3:7" x14ac:dyDescent="0.3">
      <c r="C2446" t="str">
        <f>IFERROR(IF(B2446="","",VLOOKUP(B2446,CadProd!$A:$B,2,0)),"")</f>
        <v/>
      </c>
      <c r="D2446" t="str">
        <f>IFERROR(IF(B2446="","",VLOOKUP(B2446,CadProd!$A:$C,3,0)),"")</f>
        <v/>
      </c>
      <c r="G2446" s="1" t="str">
        <f t="shared" si="38"/>
        <v/>
      </c>
    </row>
    <row r="2447" spans="3:7" x14ac:dyDescent="0.3">
      <c r="C2447" t="str">
        <f>IFERROR(IF(B2447="","",VLOOKUP(B2447,CadProd!$A:$B,2,0)),"")</f>
        <v/>
      </c>
      <c r="D2447" t="str">
        <f>IFERROR(IF(B2447="","",VLOOKUP(B2447,CadProd!$A:$C,3,0)),"")</f>
        <v/>
      </c>
      <c r="G2447" s="1" t="str">
        <f t="shared" si="38"/>
        <v/>
      </c>
    </row>
    <row r="2448" spans="3:7" x14ac:dyDescent="0.3">
      <c r="C2448" t="str">
        <f>IFERROR(IF(B2448="","",VLOOKUP(B2448,CadProd!$A:$B,2,0)),"")</f>
        <v/>
      </c>
      <c r="D2448" t="str">
        <f>IFERROR(IF(B2448="","",VLOOKUP(B2448,CadProd!$A:$C,3,0)),"")</f>
        <v/>
      </c>
      <c r="G2448" s="1" t="str">
        <f t="shared" si="38"/>
        <v/>
      </c>
    </row>
    <row r="2449" spans="3:7" x14ac:dyDescent="0.3">
      <c r="C2449" t="str">
        <f>IFERROR(IF(B2449="","",VLOOKUP(B2449,CadProd!$A:$B,2,0)),"")</f>
        <v/>
      </c>
      <c r="D2449" t="str">
        <f>IFERROR(IF(B2449="","",VLOOKUP(B2449,CadProd!$A:$C,3,0)),"")</f>
        <v/>
      </c>
      <c r="G2449" s="1" t="str">
        <f t="shared" si="38"/>
        <v/>
      </c>
    </row>
    <row r="2450" spans="3:7" x14ac:dyDescent="0.3">
      <c r="C2450" t="str">
        <f>IFERROR(IF(B2450="","",VLOOKUP(B2450,CadProd!$A:$B,2,0)),"")</f>
        <v/>
      </c>
      <c r="D2450" t="str">
        <f>IFERROR(IF(B2450="","",VLOOKUP(B2450,CadProd!$A:$C,3,0)),"")</f>
        <v/>
      </c>
      <c r="G2450" s="1" t="str">
        <f t="shared" si="38"/>
        <v/>
      </c>
    </row>
    <row r="2451" spans="3:7" x14ac:dyDescent="0.3">
      <c r="C2451" t="str">
        <f>IFERROR(IF(B2451="","",VLOOKUP(B2451,CadProd!$A:$B,2,0)),"")</f>
        <v/>
      </c>
      <c r="D2451" t="str">
        <f>IFERROR(IF(B2451="","",VLOOKUP(B2451,CadProd!$A:$C,3,0)),"")</f>
        <v/>
      </c>
      <c r="G2451" s="1" t="str">
        <f t="shared" si="38"/>
        <v/>
      </c>
    </row>
    <row r="2452" spans="3:7" x14ac:dyDescent="0.3">
      <c r="C2452" t="str">
        <f>IFERROR(IF(B2452="","",VLOOKUP(B2452,CadProd!$A:$B,2,0)),"")</f>
        <v/>
      </c>
      <c r="D2452" t="str">
        <f>IFERROR(IF(B2452="","",VLOOKUP(B2452,CadProd!$A:$C,3,0)),"")</f>
        <v/>
      </c>
      <c r="G2452" s="1" t="str">
        <f t="shared" si="38"/>
        <v/>
      </c>
    </row>
    <row r="2453" spans="3:7" x14ac:dyDescent="0.3">
      <c r="C2453" t="str">
        <f>IFERROR(IF(B2453="","",VLOOKUP(B2453,CadProd!$A:$B,2,0)),"")</f>
        <v/>
      </c>
      <c r="D2453" t="str">
        <f>IFERROR(IF(B2453="","",VLOOKUP(B2453,CadProd!$A:$C,3,0)),"")</f>
        <v/>
      </c>
      <c r="G2453" s="1" t="str">
        <f t="shared" si="38"/>
        <v/>
      </c>
    </row>
    <row r="2454" spans="3:7" x14ac:dyDescent="0.3">
      <c r="C2454" t="str">
        <f>IFERROR(IF(B2454="","",VLOOKUP(B2454,CadProd!$A:$B,2,0)),"")</f>
        <v/>
      </c>
      <c r="D2454" t="str">
        <f>IFERROR(IF(B2454="","",VLOOKUP(B2454,CadProd!$A:$C,3,0)),"")</f>
        <v/>
      </c>
      <c r="G2454" s="1" t="str">
        <f t="shared" si="38"/>
        <v/>
      </c>
    </row>
    <row r="2455" spans="3:7" x14ac:dyDescent="0.3">
      <c r="C2455" t="str">
        <f>IFERROR(IF(B2455="","",VLOOKUP(B2455,CadProd!$A:$B,2,0)),"")</f>
        <v/>
      </c>
      <c r="D2455" t="str">
        <f>IFERROR(IF(B2455="","",VLOOKUP(B2455,CadProd!$A:$C,3,0)),"")</f>
        <v/>
      </c>
      <c r="G2455" s="1" t="str">
        <f t="shared" si="38"/>
        <v/>
      </c>
    </row>
    <row r="2456" spans="3:7" x14ac:dyDescent="0.3">
      <c r="C2456" t="str">
        <f>IFERROR(IF(B2456="","",VLOOKUP(B2456,CadProd!$A:$B,2,0)),"")</f>
        <v/>
      </c>
      <c r="D2456" t="str">
        <f>IFERROR(IF(B2456="","",VLOOKUP(B2456,CadProd!$A:$C,3,0)),"")</f>
        <v/>
      </c>
      <c r="G2456" s="1" t="str">
        <f t="shared" si="38"/>
        <v/>
      </c>
    </row>
    <row r="2457" spans="3:7" x14ac:dyDescent="0.3">
      <c r="C2457" t="str">
        <f>IFERROR(IF(B2457="","",VLOOKUP(B2457,CadProd!$A:$B,2,0)),"")</f>
        <v/>
      </c>
      <c r="D2457" t="str">
        <f>IFERROR(IF(B2457="","",VLOOKUP(B2457,CadProd!$A:$C,3,0)),"")</f>
        <v/>
      </c>
      <c r="G2457" s="1" t="str">
        <f t="shared" si="38"/>
        <v/>
      </c>
    </row>
    <row r="2458" spans="3:7" x14ac:dyDescent="0.3">
      <c r="C2458" t="str">
        <f>IFERROR(IF(B2458="","",VLOOKUP(B2458,CadProd!$A:$B,2,0)),"")</f>
        <v/>
      </c>
      <c r="D2458" t="str">
        <f>IFERROR(IF(B2458="","",VLOOKUP(B2458,CadProd!$A:$C,3,0)),"")</f>
        <v/>
      </c>
      <c r="G2458" s="1" t="str">
        <f t="shared" si="38"/>
        <v/>
      </c>
    </row>
    <row r="2459" spans="3:7" x14ac:dyDescent="0.3">
      <c r="C2459" t="str">
        <f>IFERROR(IF(B2459="","",VLOOKUP(B2459,CadProd!$A:$B,2,0)),"")</f>
        <v/>
      </c>
      <c r="D2459" t="str">
        <f>IFERROR(IF(B2459="","",VLOOKUP(B2459,CadProd!$A:$C,3,0)),"")</f>
        <v/>
      </c>
      <c r="G2459" s="1" t="str">
        <f t="shared" si="38"/>
        <v/>
      </c>
    </row>
    <row r="2460" spans="3:7" x14ac:dyDescent="0.3">
      <c r="C2460" t="str">
        <f>IFERROR(IF(B2460="","",VLOOKUP(B2460,CadProd!$A:$B,2,0)),"")</f>
        <v/>
      </c>
      <c r="D2460" t="str">
        <f>IFERROR(IF(B2460="","",VLOOKUP(B2460,CadProd!$A:$C,3,0)),"")</f>
        <v/>
      </c>
      <c r="G2460" s="1" t="str">
        <f t="shared" si="38"/>
        <v/>
      </c>
    </row>
    <row r="2461" spans="3:7" x14ac:dyDescent="0.3">
      <c r="C2461" t="str">
        <f>IFERROR(IF(B2461="","",VLOOKUP(B2461,CadProd!$A:$B,2,0)),"")</f>
        <v/>
      </c>
      <c r="D2461" t="str">
        <f>IFERROR(IF(B2461="","",VLOOKUP(B2461,CadProd!$A:$C,3,0)),"")</f>
        <v/>
      </c>
      <c r="G2461" s="1" t="str">
        <f t="shared" si="38"/>
        <v/>
      </c>
    </row>
    <row r="2462" spans="3:7" x14ac:dyDescent="0.3">
      <c r="C2462" t="str">
        <f>IFERROR(IF(B2462="","",VLOOKUP(B2462,CadProd!$A:$B,2,0)),"")</f>
        <v/>
      </c>
      <c r="D2462" t="str">
        <f>IFERROR(IF(B2462="","",VLOOKUP(B2462,CadProd!$A:$C,3,0)),"")</f>
        <v/>
      </c>
      <c r="G2462" s="1" t="str">
        <f t="shared" si="38"/>
        <v/>
      </c>
    </row>
    <row r="2463" spans="3:7" x14ac:dyDescent="0.3">
      <c r="C2463" t="str">
        <f>IFERROR(IF(B2463="","",VLOOKUP(B2463,CadProd!$A:$B,2,0)),"")</f>
        <v/>
      </c>
      <c r="D2463" t="str">
        <f>IFERROR(IF(B2463="","",VLOOKUP(B2463,CadProd!$A:$C,3,0)),"")</f>
        <v/>
      </c>
      <c r="G2463" s="1" t="str">
        <f t="shared" si="38"/>
        <v/>
      </c>
    </row>
    <row r="2464" spans="3:7" x14ac:dyDescent="0.3">
      <c r="C2464" t="str">
        <f>IFERROR(IF(B2464="","",VLOOKUP(B2464,CadProd!$A:$B,2,0)),"")</f>
        <v/>
      </c>
      <c r="D2464" t="str">
        <f>IFERROR(IF(B2464="","",VLOOKUP(B2464,CadProd!$A:$C,3,0)),"")</f>
        <v/>
      </c>
      <c r="G2464" s="1" t="str">
        <f t="shared" si="38"/>
        <v/>
      </c>
    </row>
    <row r="2465" spans="3:7" x14ac:dyDescent="0.3">
      <c r="C2465" t="str">
        <f>IFERROR(IF(B2465="","",VLOOKUP(B2465,CadProd!$A:$B,2,0)),"")</f>
        <v/>
      </c>
      <c r="D2465" t="str">
        <f>IFERROR(IF(B2465="","",VLOOKUP(B2465,CadProd!$A:$C,3,0)),"")</f>
        <v/>
      </c>
      <c r="G2465" s="1" t="str">
        <f t="shared" si="38"/>
        <v/>
      </c>
    </row>
    <row r="2466" spans="3:7" x14ac:dyDescent="0.3">
      <c r="C2466" t="str">
        <f>IFERROR(IF(B2466="","",VLOOKUP(B2466,CadProd!$A:$B,2,0)),"")</f>
        <v/>
      </c>
      <c r="D2466" t="str">
        <f>IFERROR(IF(B2466="","",VLOOKUP(B2466,CadProd!$A:$C,3,0)),"")</f>
        <v/>
      </c>
      <c r="G2466" s="1" t="str">
        <f t="shared" si="38"/>
        <v/>
      </c>
    </row>
    <row r="2467" spans="3:7" x14ac:dyDescent="0.3">
      <c r="C2467" t="str">
        <f>IFERROR(IF(B2467="","",VLOOKUP(B2467,CadProd!$A:$B,2,0)),"")</f>
        <v/>
      </c>
      <c r="D2467" t="str">
        <f>IFERROR(IF(B2467="","",VLOOKUP(B2467,CadProd!$A:$C,3,0)),"")</f>
        <v/>
      </c>
      <c r="G2467" s="1" t="str">
        <f t="shared" si="38"/>
        <v/>
      </c>
    </row>
    <row r="2468" spans="3:7" x14ac:dyDescent="0.3">
      <c r="C2468" t="str">
        <f>IFERROR(IF(B2468="","",VLOOKUP(B2468,CadProd!$A:$B,2,0)),"")</f>
        <v/>
      </c>
      <c r="D2468" t="str">
        <f>IFERROR(IF(B2468="","",VLOOKUP(B2468,CadProd!$A:$C,3,0)),"")</f>
        <v/>
      </c>
      <c r="G2468" s="1" t="str">
        <f t="shared" si="38"/>
        <v/>
      </c>
    </row>
    <row r="2469" spans="3:7" x14ac:dyDescent="0.3">
      <c r="C2469" t="str">
        <f>IFERROR(IF(B2469="","",VLOOKUP(B2469,CadProd!$A:$B,2,0)),"")</f>
        <v/>
      </c>
      <c r="D2469" t="str">
        <f>IFERROR(IF(B2469="","",VLOOKUP(B2469,CadProd!$A:$C,3,0)),"")</f>
        <v/>
      </c>
      <c r="G2469" s="1" t="str">
        <f t="shared" si="38"/>
        <v/>
      </c>
    </row>
    <row r="2470" spans="3:7" x14ac:dyDescent="0.3">
      <c r="C2470" t="str">
        <f>IFERROR(IF(B2470="","",VLOOKUP(B2470,CadProd!$A:$B,2,0)),"")</f>
        <v/>
      </c>
      <c r="D2470" t="str">
        <f>IFERROR(IF(B2470="","",VLOOKUP(B2470,CadProd!$A:$C,3,0)),"")</f>
        <v/>
      </c>
      <c r="G2470" s="1" t="str">
        <f t="shared" si="38"/>
        <v/>
      </c>
    </row>
    <row r="2471" spans="3:7" x14ac:dyDescent="0.3">
      <c r="C2471" t="str">
        <f>IFERROR(IF(B2471="","",VLOOKUP(B2471,CadProd!$A:$B,2,0)),"")</f>
        <v/>
      </c>
      <c r="D2471" t="str">
        <f>IFERROR(IF(B2471="","",VLOOKUP(B2471,CadProd!$A:$C,3,0)),"")</f>
        <v/>
      </c>
      <c r="G2471" s="1" t="str">
        <f t="shared" si="38"/>
        <v/>
      </c>
    </row>
    <row r="2472" spans="3:7" x14ac:dyDescent="0.3">
      <c r="C2472" t="str">
        <f>IFERROR(IF(B2472="","",VLOOKUP(B2472,CadProd!$A:$B,2,0)),"")</f>
        <v/>
      </c>
      <c r="D2472" t="str">
        <f>IFERROR(IF(B2472="","",VLOOKUP(B2472,CadProd!$A:$C,3,0)),"")</f>
        <v/>
      </c>
      <c r="G2472" s="1" t="str">
        <f t="shared" si="38"/>
        <v/>
      </c>
    </row>
    <row r="2473" spans="3:7" x14ac:dyDescent="0.3">
      <c r="C2473" t="str">
        <f>IFERROR(IF(B2473="","",VLOOKUP(B2473,CadProd!$A:$B,2,0)),"")</f>
        <v/>
      </c>
      <c r="D2473" t="str">
        <f>IFERROR(IF(B2473="","",VLOOKUP(B2473,CadProd!$A:$C,3,0)),"")</f>
        <v/>
      </c>
      <c r="G2473" s="1" t="str">
        <f t="shared" si="38"/>
        <v/>
      </c>
    </row>
    <row r="2474" spans="3:7" x14ac:dyDescent="0.3">
      <c r="C2474" t="str">
        <f>IFERROR(IF(B2474="","",VLOOKUP(B2474,CadProd!$A:$B,2,0)),"")</f>
        <v/>
      </c>
      <c r="D2474" t="str">
        <f>IFERROR(IF(B2474="","",VLOOKUP(B2474,CadProd!$A:$C,3,0)),"")</f>
        <v/>
      </c>
      <c r="G2474" s="1" t="str">
        <f t="shared" si="38"/>
        <v/>
      </c>
    </row>
    <row r="2475" spans="3:7" x14ac:dyDescent="0.3">
      <c r="C2475" t="str">
        <f>IFERROR(IF(B2475="","",VLOOKUP(B2475,CadProd!$A:$B,2,0)),"")</f>
        <v/>
      </c>
      <c r="D2475" t="str">
        <f>IFERROR(IF(B2475="","",VLOOKUP(B2475,CadProd!$A:$C,3,0)),"")</f>
        <v/>
      </c>
      <c r="G2475" s="1" t="str">
        <f t="shared" si="38"/>
        <v/>
      </c>
    </row>
    <row r="2476" spans="3:7" x14ac:dyDescent="0.3">
      <c r="C2476" t="str">
        <f>IFERROR(IF(B2476="","",VLOOKUP(B2476,CadProd!$A:$B,2,0)),"")</f>
        <v/>
      </c>
      <c r="D2476" t="str">
        <f>IFERROR(IF(B2476="","",VLOOKUP(B2476,CadProd!$A:$C,3,0)),"")</f>
        <v/>
      </c>
      <c r="G2476" s="1" t="str">
        <f t="shared" si="38"/>
        <v/>
      </c>
    </row>
    <row r="2477" spans="3:7" x14ac:dyDescent="0.3">
      <c r="C2477" t="str">
        <f>IFERROR(IF(B2477="","",VLOOKUP(B2477,CadProd!$A:$B,2,0)),"")</f>
        <v/>
      </c>
      <c r="D2477" t="str">
        <f>IFERROR(IF(B2477="","",VLOOKUP(B2477,CadProd!$A:$C,3,0)),"")</f>
        <v/>
      </c>
      <c r="G2477" s="1" t="str">
        <f t="shared" si="38"/>
        <v/>
      </c>
    </row>
    <row r="2478" spans="3:7" x14ac:dyDescent="0.3">
      <c r="C2478" t="str">
        <f>IFERROR(IF(B2478="","",VLOOKUP(B2478,CadProd!$A:$B,2,0)),"")</f>
        <v/>
      </c>
      <c r="D2478" t="str">
        <f>IFERROR(IF(B2478="","",VLOOKUP(B2478,CadProd!$A:$C,3,0)),"")</f>
        <v/>
      </c>
      <c r="G2478" s="1" t="str">
        <f t="shared" si="38"/>
        <v/>
      </c>
    </row>
    <row r="2479" spans="3:7" x14ac:dyDescent="0.3">
      <c r="C2479" t="str">
        <f>IFERROR(IF(B2479="","",VLOOKUP(B2479,CadProd!$A:$B,2,0)),"")</f>
        <v/>
      </c>
      <c r="D2479" t="str">
        <f>IFERROR(IF(B2479="","",VLOOKUP(B2479,CadProd!$A:$C,3,0)),"")</f>
        <v/>
      </c>
      <c r="G2479" s="1" t="str">
        <f t="shared" si="38"/>
        <v/>
      </c>
    </row>
    <row r="2480" spans="3:7" x14ac:dyDescent="0.3">
      <c r="C2480" t="str">
        <f>IFERROR(IF(B2480="","",VLOOKUP(B2480,CadProd!$A:$B,2,0)),"")</f>
        <v/>
      </c>
      <c r="D2480" t="str">
        <f>IFERROR(IF(B2480="","",VLOOKUP(B2480,CadProd!$A:$C,3,0)),"")</f>
        <v/>
      </c>
      <c r="G2480" s="1" t="str">
        <f t="shared" si="38"/>
        <v/>
      </c>
    </row>
    <row r="2481" spans="3:7" x14ac:dyDescent="0.3">
      <c r="C2481" t="str">
        <f>IFERROR(IF(B2481="","",VLOOKUP(B2481,CadProd!$A:$B,2,0)),"")</f>
        <v/>
      </c>
      <c r="D2481" t="str">
        <f>IFERROR(IF(B2481="","",VLOOKUP(B2481,CadProd!$A:$C,3,0)),"")</f>
        <v/>
      </c>
      <c r="G2481" s="1" t="str">
        <f t="shared" si="38"/>
        <v/>
      </c>
    </row>
    <row r="2482" spans="3:7" x14ac:dyDescent="0.3">
      <c r="C2482" t="str">
        <f>IFERROR(IF(B2482="","",VLOOKUP(B2482,CadProd!$A:$B,2,0)),"")</f>
        <v/>
      </c>
      <c r="D2482" t="str">
        <f>IFERROR(IF(B2482="","",VLOOKUP(B2482,CadProd!$A:$C,3,0)),"")</f>
        <v/>
      </c>
      <c r="G2482" s="1" t="str">
        <f t="shared" si="38"/>
        <v/>
      </c>
    </row>
    <row r="2483" spans="3:7" x14ac:dyDescent="0.3">
      <c r="C2483" t="str">
        <f>IFERROR(IF(B2483="","",VLOOKUP(B2483,CadProd!$A:$B,2,0)),"")</f>
        <v/>
      </c>
      <c r="D2483" t="str">
        <f>IFERROR(IF(B2483="","",VLOOKUP(B2483,CadProd!$A:$C,3,0)),"")</f>
        <v/>
      </c>
      <c r="G2483" s="1" t="str">
        <f t="shared" si="38"/>
        <v/>
      </c>
    </row>
    <row r="2484" spans="3:7" x14ac:dyDescent="0.3">
      <c r="C2484" t="str">
        <f>IFERROR(IF(B2484="","",VLOOKUP(B2484,CadProd!$A:$B,2,0)),"")</f>
        <v/>
      </c>
      <c r="D2484" t="str">
        <f>IFERROR(IF(B2484="","",VLOOKUP(B2484,CadProd!$A:$C,3,0)),"")</f>
        <v/>
      </c>
      <c r="G2484" s="1" t="str">
        <f t="shared" si="38"/>
        <v/>
      </c>
    </row>
    <row r="2485" spans="3:7" x14ac:dyDescent="0.3">
      <c r="C2485" t="str">
        <f>IFERROR(IF(B2485="","",VLOOKUP(B2485,CadProd!$A:$B,2,0)),"")</f>
        <v/>
      </c>
      <c r="D2485" t="str">
        <f>IFERROR(IF(B2485="","",VLOOKUP(B2485,CadProd!$A:$C,3,0)),"")</f>
        <v/>
      </c>
      <c r="G2485" s="1" t="str">
        <f t="shared" si="38"/>
        <v/>
      </c>
    </row>
    <row r="2486" spans="3:7" x14ac:dyDescent="0.3">
      <c r="C2486" t="str">
        <f>IFERROR(IF(B2486="","",VLOOKUP(B2486,CadProd!$A:$B,2,0)),"")</f>
        <v/>
      </c>
      <c r="D2486" t="str">
        <f>IFERROR(IF(B2486="","",VLOOKUP(B2486,CadProd!$A:$C,3,0)),"")</f>
        <v/>
      </c>
      <c r="G2486" s="1" t="str">
        <f t="shared" si="38"/>
        <v/>
      </c>
    </row>
    <row r="2487" spans="3:7" x14ac:dyDescent="0.3">
      <c r="C2487" t="str">
        <f>IFERROR(IF(B2487="","",VLOOKUP(B2487,CadProd!$A:$B,2,0)),"")</f>
        <v/>
      </c>
      <c r="D2487" t="str">
        <f>IFERROR(IF(B2487="","",VLOOKUP(B2487,CadProd!$A:$C,3,0)),"")</f>
        <v/>
      </c>
      <c r="G2487" s="1" t="str">
        <f t="shared" si="38"/>
        <v/>
      </c>
    </row>
    <row r="2488" spans="3:7" x14ac:dyDescent="0.3">
      <c r="C2488" t="str">
        <f>IFERROR(IF(B2488="","",VLOOKUP(B2488,CadProd!$A:$B,2,0)),"")</f>
        <v/>
      </c>
      <c r="D2488" t="str">
        <f>IFERROR(IF(B2488="","",VLOOKUP(B2488,CadProd!$A:$C,3,0)),"")</f>
        <v/>
      </c>
      <c r="G2488" s="1" t="str">
        <f t="shared" si="38"/>
        <v/>
      </c>
    </row>
    <row r="2489" spans="3:7" x14ac:dyDescent="0.3">
      <c r="C2489" t="str">
        <f>IFERROR(IF(B2489="","",VLOOKUP(B2489,CadProd!$A:$B,2,0)),"")</f>
        <v/>
      </c>
      <c r="D2489" t="str">
        <f>IFERROR(IF(B2489="","",VLOOKUP(B2489,CadProd!$A:$C,3,0)),"")</f>
        <v/>
      </c>
      <c r="G2489" s="1" t="str">
        <f t="shared" si="38"/>
        <v/>
      </c>
    </row>
    <row r="2490" spans="3:7" x14ac:dyDescent="0.3">
      <c r="C2490" t="str">
        <f>IFERROR(IF(B2490="","",VLOOKUP(B2490,CadProd!$A:$B,2,0)),"")</f>
        <v/>
      </c>
      <c r="D2490" t="str">
        <f>IFERROR(IF(B2490="","",VLOOKUP(B2490,CadProd!$A:$C,3,0)),"")</f>
        <v/>
      </c>
      <c r="G2490" s="1" t="str">
        <f t="shared" si="38"/>
        <v/>
      </c>
    </row>
    <row r="2491" spans="3:7" x14ac:dyDescent="0.3">
      <c r="C2491" t="str">
        <f>IFERROR(IF(B2491="","",VLOOKUP(B2491,CadProd!$A:$B,2,0)),"")</f>
        <v/>
      </c>
      <c r="D2491" t="str">
        <f>IFERROR(IF(B2491="","",VLOOKUP(B2491,CadProd!$A:$C,3,0)),"")</f>
        <v/>
      </c>
      <c r="G2491" s="1" t="str">
        <f t="shared" si="38"/>
        <v/>
      </c>
    </row>
    <row r="2492" spans="3:7" x14ac:dyDescent="0.3">
      <c r="C2492" t="str">
        <f>IFERROR(IF(B2492="","",VLOOKUP(B2492,CadProd!$A:$B,2,0)),"")</f>
        <v/>
      </c>
      <c r="D2492" t="str">
        <f>IFERROR(IF(B2492="","",VLOOKUP(B2492,CadProd!$A:$C,3,0)),"")</f>
        <v/>
      </c>
      <c r="G2492" s="1" t="str">
        <f t="shared" si="38"/>
        <v/>
      </c>
    </row>
    <row r="2493" spans="3:7" x14ac:dyDescent="0.3">
      <c r="C2493" t="str">
        <f>IFERROR(IF(B2493="","",VLOOKUP(B2493,CadProd!$A:$B,2,0)),"")</f>
        <v/>
      </c>
      <c r="D2493" t="str">
        <f>IFERROR(IF(B2493="","",VLOOKUP(B2493,CadProd!$A:$C,3,0)),"")</f>
        <v/>
      </c>
      <c r="G2493" s="1" t="str">
        <f t="shared" si="38"/>
        <v/>
      </c>
    </row>
    <row r="2494" spans="3:7" x14ac:dyDescent="0.3">
      <c r="C2494" t="str">
        <f>IFERROR(IF(B2494="","",VLOOKUP(B2494,CadProd!$A:$B,2,0)),"")</f>
        <v/>
      </c>
      <c r="D2494" t="str">
        <f>IFERROR(IF(B2494="","",VLOOKUP(B2494,CadProd!$A:$C,3,0)),"")</f>
        <v/>
      </c>
      <c r="G2494" s="1" t="str">
        <f t="shared" si="38"/>
        <v/>
      </c>
    </row>
    <row r="2495" spans="3:7" x14ac:dyDescent="0.3">
      <c r="C2495" t="str">
        <f>IFERROR(IF(B2495="","",VLOOKUP(B2495,CadProd!$A:$B,2,0)),"")</f>
        <v/>
      </c>
      <c r="D2495" t="str">
        <f>IFERROR(IF(B2495="","",VLOOKUP(B2495,CadProd!$A:$C,3,0)),"")</f>
        <v/>
      </c>
      <c r="G2495" s="1" t="str">
        <f t="shared" si="38"/>
        <v/>
      </c>
    </row>
    <row r="2496" spans="3:7" x14ac:dyDescent="0.3">
      <c r="C2496" t="str">
        <f>IFERROR(IF(B2496="","",VLOOKUP(B2496,CadProd!$A:$B,2,0)),"")</f>
        <v/>
      </c>
      <c r="D2496" t="str">
        <f>IFERROR(IF(B2496="","",VLOOKUP(B2496,CadProd!$A:$C,3,0)),"")</f>
        <v/>
      </c>
      <c r="G2496" s="1" t="str">
        <f t="shared" si="38"/>
        <v/>
      </c>
    </row>
    <row r="2497" spans="3:7" x14ac:dyDescent="0.3">
      <c r="C2497" t="str">
        <f>IFERROR(IF(B2497="","",VLOOKUP(B2497,CadProd!$A:$B,2,0)),"")</f>
        <v/>
      </c>
      <c r="D2497" t="str">
        <f>IFERROR(IF(B2497="","",VLOOKUP(B2497,CadProd!$A:$C,3,0)),"")</f>
        <v/>
      </c>
      <c r="G2497" s="1" t="str">
        <f t="shared" si="38"/>
        <v/>
      </c>
    </row>
    <row r="2498" spans="3:7" x14ac:dyDescent="0.3">
      <c r="C2498" t="str">
        <f>IFERROR(IF(B2498="","",VLOOKUP(B2498,CadProd!$A:$B,2,0)),"")</f>
        <v/>
      </c>
      <c r="D2498" t="str">
        <f>IFERROR(IF(B2498="","",VLOOKUP(B2498,CadProd!$A:$C,3,0)),"")</f>
        <v/>
      </c>
      <c r="G2498" s="1" t="str">
        <f t="shared" si="38"/>
        <v/>
      </c>
    </row>
    <row r="2499" spans="3:7" x14ac:dyDescent="0.3">
      <c r="C2499" t="str">
        <f>IFERROR(IF(B2499="","",VLOOKUP(B2499,CadProd!$A:$B,2,0)),"")</f>
        <v/>
      </c>
      <c r="D2499" t="str">
        <f>IFERROR(IF(B2499="","",VLOOKUP(B2499,CadProd!$A:$C,3,0)),"")</f>
        <v/>
      </c>
      <c r="G2499" s="1" t="str">
        <f t="shared" si="38"/>
        <v/>
      </c>
    </row>
    <row r="2500" spans="3:7" x14ac:dyDescent="0.3">
      <c r="C2500" t="str">
        <f>IFERROR(IF(B2500="","",VLOOKUP(B2500,CadProd!$A:$B,2,0)),"")</f>
        <v/>
      </c>
      <c r="D2500" t="str">
        <f>IFERROR(IF(B2500="","",VLOOKUP(B2500,CadProd!$A:$C,3,0)),"")</f>
        <v/>
      </c>
      <c r="G2500" s="1" t="str">
        <f t="shared" si="38"/>
        <v/>
      </c>
    </row>
    <row r="2501" spans="3:7" x14ac:dyDescent="0.3">
      <c r="C2501" t="str">
        <f>IFERROR(IF(B2501="","",VLOOKUP(B2501,CadProd!$A:$B,2,0)),"")</f>
        <v/>
      </c>
      <c r="D2501" t="str">
        <f>IFERROR(IF(B2501="","",VLOOKUP(B2501,CadProd!$A:$C,3,0)),"")</f>
        <v/>
      </c>
      <c r="G2501" s="1" t="str">
        <f t="shared" si="38"/>
        <v/>
      </c>
    </row>
    <row r="2502" spans="3:7" x14ac:dyDescent="0.3">
      <c r="C2502" t="str">
        <f>IFERROR(IF(B2502="","",VLOOKUP(B2502,CadProd!$A:$B,2,0)),"")</f>
        <v/>
      </c>
      <c r="D2502" t="str">
        <f>IFERROR(IF(B2502="","",VLOOKUP(B2502,CadProd!$A:$C,3,0)),"")</f>
        <v/>
      </c>
      <c r="G2502" s="1" t="str">
        <f t="shared" si="38"/>
        <v/>
      </c>
    </row>
    <row r="2503" spans="3:7" x14ac:dyDescent="0.3">
      <c r="C2503" t="str">
        <f>IFERROR(IF(B2503="","",VLOOKUP(B2503,CadProd!$A:$B,2,0)),"")</f>
        <v/>
      </c>
      <c r="D2503" t="str">
        <f>IFERROR(IF(B2503="","",VLOOKUP(B2503,CadProd!$A:$C,3,0)),"")</f>
        <v/>
      </c>
      <c r="G2503" s="1" t="str">
        <f t="shared" si="38"/>
        <v/>
      </c>
    </row>
    <row r="2504" spans="3:7" x14ac:dyDescent="0.3">
      <c r="C2504" t="str">
        <f>IFERROR(IF(B2504="","",VLOOKUP(B2504,CadProd!$A:$B,2,0)),"")</f>
        <v/>
      </c>
      <c r="D2504" t="str">
        <f>IFERROR(IF(B2504="","",VLOOKUP(B2504,CadProd!$A:$C,3,0)),"")</f>
        <v/>
      </c>
      <c r="G2504" s="1" t="str">
        <f t="shared" si="38"/>
        <v/>
      </c>
    </row>
    <row r="2505" spans="3:7" x14ac:dyDescent="0.3">
      <c r="C2505" t="str">
        <f>IFERROR(IF(B2505="","",VLOOKUP(B2505,CadProd!$A:$B,2,0)),"")</f>
        <v/>
      </c>
      <c r="D2505" t="str">
        <f>IFERROR(IF(B2505="","",VLOOKUP(B2505,CadProd!$A:$C,3,0)),"")</f>
        <v/>
      </c>
      <c r="G2505" s="1" t="str">
        <f t="shared" si="38"/>
        <v/>
      </c>
    </row>
    <row r="2506" spans="3:7" x14ac:dyDescent="0.3">
      <c r="C2506" t="str">
        <f>IFERROR(IF(B2506="","",VLOOKUP(B2506,CadProd!$A:$B,2,0)),"")</f>
        <v/>
      </c>
      <c r="D2506" t="str">
        <f>IFERROR(IF(B2506="","",VLOOKUP(B2506,CadProd!$A:$C,3,0)),"")</f>
        <v/>
      </c>
      <c r="G2506" s="1" t="str">
        <f t="shared" si="38"/>
        <v/>
      </c>
    </row>
    <row r="2507" spans="3:7" x14ac:dyDescent="0.3">
      <c r="C2507" t="str">
        <f>IFERROR(IF(B2507="","",VLOOKUP(B2507,CadProd!$A:$B,2,0)),"")</f>
        <v/>
      </c>
      <c r="D2507" t="str">
        <f>IFERROR(IF(B2507="","",VLOOKUP(B2507,CadProd!$A:$C,3,0)),"")</f>
        <v/>
      </c>
      <c r="G2507" s="1" t="str">
        <f t="shared" ref="G2507:G2570" si="39">IFERROR(IF(B2507="","",F2507*E2507),"")</f>
        <v/>
      </c>
    </row>
    <row r="2508" spans="3:7" x14ac:dyDescent="0.3">
      <c r="C2508" t="str">
        <f>IFERROR(IF(B2508="","",VLOOKUP(B2508,CadProd!$A:$B,2,0)),"")</f>
        <v/>
      </c>
      <c r="D2508" t="str">
        <f>IFERROR(IF(B2508="","",VLOOKUP(B2508,CadProd!$A:$C,3,0)),"")</f>
        <v/>
      </c>
      <c r="G2508" s="1" t="str">
        <f t="shared" si="39"/>
        <v/>
      </c>
    </row>
    <row r="2509" spans="3:7" x14ac:dyDescent="0.3">
      <c r="C2509" t="str">
        <f>IFERROR(IF(B2509="","",VLOOKUP(B2509,CadProd!$A:$B,2,0)),"")</f>
        <v/>
      </c>
      <c r="D2509" t="str">
        <f>IFERROR(IF(B2509="","",VLOOKUP(B2509,CadProd!$A:$C,3,0)),"")</f>
        <v/>
      </c>
      <c r="G2509" s="1" t="str">
        <f t="shared" si="39"/>
        <v/>
      </c>
    </row>
    <row r="2510" spans="3:7" x14ac:dyDescent="0.3">
      <c r="C2510" t="str">
        <f>IFERROR(IF(B2510="","",VLOOKUP(B2510,CadProd!$A:$B,2,0)),"")</f>
        <v/>
      </c>
      <c r="D2510" t="str">
        <f>IFERROR(IF(B2510="","",VLOOKUP(B2510,CadProd!$A:$C,3,0)),"")</f>
        <v/>
      </c>
      <c r="G2510" s="1" t="str">
        <f t="shared" si="39"/>
        <v/>
      </c>
    </row>
    <row r="2511" spans="3:7" x14ac:dyDescent="0.3">
      <c r="C2511" t="str">
        <f>IFERROR(IF(B2511="","",VLOOKUP(B2511,CadProd!$A:$B,2,0)),"")</f>
        <v/>
      </c>
      <c r="D2511" t="str">
        <f>IFERROR(IF(B2511="","",VLOOKUP(B2511,CadProd!$A:$C,3,0)),"")</f>
        <v/>
      </c>
      <c r="G2511" s="1" t="str">
        <f t="shared" si="39"/>
        <v/>
      </c>
    </row>
    <row r="2512" spans="3:7" x14ac:dyDescent="0.3">
      <c r="C2512" t="str">
        <f>IFERROR(IF(B2512="","",VLOOKUP(B2512,CadProd!$A:$B,2,0)),"")</f>
        <v/>
      </c>
      <c r="D2512" t="str">
        <f>IFERROR(IF(B2512="","",VLOOKUP(B2512,CadProd!$A:$C,3,0)),"")</f>
        <v/>
      </c>
      <c r="G2512" s="1" t="str">
        <f t="shared" si="39"/>
        <v/>
      </c>
    </row>
    <row r="2513" spans="3:7" x14ac:dyDescent="0.3">
      <c r="C2513" t="str">
        <f>IFERROR(IF(B2513="","",VLOOKUP(B2513,CadProd!$A:$B,2,0)),"")</f>
        <v/>
      </c>
      <c r="D2513" t="str">
        <f>IFERROR(IF(B2513="","",VLOOKUP(B2513,CadProd!$A:$C,3,0)),"")</f>
        <v/>
      </c>
      <c r="G2513" s="1" t="str">
        <f t="shared" si="39"/>
        <v/>
      </c>
    </row>
    <row r="2514" spans="3:7" x14ac:dyDescent="0.3">
      <c r="C2514" t="str">
        <f>IFERROR(IF(B2514="","",VLOOKUP(B2514,CadProd!$A:$B,2,0)),"")</f>
        <v/>
      </c>
      <c r="D2514" t="str">
        <f>IFERROR(IF(B2514="","",VLOOKUP(B2514,CadProd!$A:$C,3,0)),"")</f>
        <v/>
      </c>
      <c r="G2514" s="1" t="str">
        <f t="shared" si="39"/>
        <v/>
      </c>
    </row>
    <row r="2515" spans="3:7" x14ac:dyDescent="0.3">
      <c r="C2515" t="str">
        <f>IFERROR(IF(B2515="","",VLOOKUP(B2515,CadProd!$A:$B,2,0)),"")</f>
        <v/>
      </c>
      <c r="D2515" t="str">
        <f>IFERROR(IF(B2515="","",VLOOKUP(B2515,CadProd!$A:$C,3,0)),"")</f>
        <v/>
      </c>
      <c r="G2515" s="1" t="str">
        <f t="shared" si="39"/>
        <v/>
      </c>
    </row>
    <row r="2516" spans="3:7" x14ac:dyDescent="0.3">
      <c r="C2516" t="str">
        <f>IFERROR(IF(B2516="","",VLOOKUP(B2516,CadProd!$A:$B,2,0)),"")</f>
        <v/>
      </c>
      <c r="D2516" t="str">
        <f>IFERROR(IF(B2516="","",VLOOKUP(B2516,CadProd!$A:$C,3,0)),"")</f>
        <v/>
      </c>
      <c r="G2516" s="1" t="str">
        <f t="shared" si="39"/>
        <v/>
      </c>
    </row>
    <row r="2517" spans="3:7" x14ac:dyDescent="0.3">
      <c r="C2517" t="str">
        <f>IFERROR(IF(B2517="","",VLOOKUP(B2517,CadProd!$A:$B,2,0)),"")</f>
        <v/>
      </c>
      <c r="D2517" t="str">
        <f>IFERROR(IF(B2517="","",VLOOKUP(B2517,CadProd!$A:$C,3,0)),"")</f>
        <v/>
      </c>
      <c r="G2517" s="1" t="str">
        <f t="shared" si="39"/>
        <v/>
      </c>
    </row>
    <row r="2518" spans="3:7" x14ac:dyDescent="0.3">
      <c r="C2518" t="str">
        <f>IFERROR(IF(B2518="","",VLOOKUP(B2518,CadProd!$A:$B,2,0)),"")</f>
        <v/>
      </c>
      <c r="D2518" t="str">
        <f>IFERROR(IF(B2518="","",VLOOKUP(B2518,CadProd!$A:$C,3,0)),"")</f>
        <v/>
      </c>
      <c r="G2518" s="1" t="str">
        <f t="shared" si="39"/>
        <v/>
      </c>
    </row>
    <row r="2519" spans="3:7" x14ac:dyDescent="0.3">
      <c r="C2519" t="str">
        <f>IFERROR(IF(B2519="","",VLOOKUP(B2519,CadProd!$A:$B,2,0)),"")</f>
        <v/>
      </c>
      <c r="D2519" t="str">
        <f>IFERROR(IF(B2519="","",VLOOKUP(B2519,CadProd!$A:$C,3,0)),"")</f>
        <v/>
      </c>
      <c r="G2519" s="1" t="str">
        <f t="shared" si="39"/>
        <v/>
      </c>
    </row>
    <row r="2520" spans="3:7" x14ac:dyDescent="0.3">
      <c r="C2520" t="str">
        <f>IFERROR(IF(B2520="","",VLOOKUP(B2520,CadProd!$A:$B,2,0)),"")</f>
        <v/>
      </c>
      <c r="D2520" t="str">
        <f>IFERROR(IF(B2520="","",VLOOKUP(B2520,CadProd!$A:$C,3,0)),"")</f>
        <v/>
      </c>
      <c r="G2520" s="1" t="str">
        <f t="shared" si="39"/>
        <v/>
      </c>
    </row>
    <row r="2521" spans="3:7" x14ac:dyDescent="0.3">
      <c r="C2521" t="str">
        <f>IFERROR(IF(B2521="","",VLOOKUP(B2521,CadProd!$A:$B,2,0)),"")</f>
        <v/>
      </c>
      <c r="D2521" t="str">
        <f>IFERROR(IF(B2521="","",VLOOKUP(B2521,CadProd!$A:$C,3,0)),"")</f>
        <v/>
      </c>
      <c r="G2521" s="1" t="str">
        <f t="shared" si="39"/>
        <v/>
      </c>
    </row>
    <row r="2522" spans="3:7" x14ac:dyDescent="0.3">
      <c r="C2522" t="str">
        <f>IFERROR(IF(B2522="","",VLOOKUP(B2522,CadProd!$A:$B,2,0)),"")</f>
        <v/>
      </c>
      <c r="D2522" t="str">
        <f>IFERROR(IF(B2522="","",VLOOKUP(B2522,CadProd!$A:$C,3,0)),"")</f>
        <v/>
      </c>
      <c r="G2522" s="1" t="str">
        <f t="shared" si="39"/>
        <v/>
      </c>
    </row>
    <row r="2523" spans="3:7" x14ac:dyDescent="0.3">
      <c r="C2523" t="str">
        <f>IFERROR(IF(B2523="","",VLOOKUP(B2523,CadProd!$A:$B,2,0)),"")</f>
        <v/>
      </c>
      <c r="D2523" t="str">
        <f>IFERROR(IF(B2523="","",VLOOKUP(B2523,CadProd!$A:$C,3,0)),"")</f>
        <v/>
      </c>
      <c r="G2523" s="1" t="str">
        <f t="shared" si="39"/>
        <v/>
      </c>
    </row>
    <row r="2524" spans="3:7" x14ac:dyDescent="0.3">
      <c r="C2524" t="str">
        <f>IFERROR(IF(B2524="","",VLOOKUP(B2524,CadProd!$A:$B,2,0)),"")</f>
        <v/>
      </c>
      <c r="D2524" t="str">
        <f>IFERROR(IF(B2524="","",VLOOKUP(B2524,CadProd!$A:$C,3,0)),"")</f>
        <v/>
      </c>
      <c r="G2524" s="1" t="str">
        <f t="shared" si="39"/>
        <v/>
      </c>
    </row>
    <row r="2525" spans="3:7" x14ac:dyDescent="0.3">
      <c r="C2525" t="str">
        <f>IFERROR(IF(B2525="","",VLOOKUP(B2525,CadProd!$A:$B,2,0)),"")</f>
        <v/>
      </c>
      <c r="D2525" t="str">
        <f>IFERROR(IF(B2525="","",VLOOKUP(B2525,CadProd!$A:$C,3,0)),"")</f>
        <v/>
      </c>
      <c r="G2525" s="1" t="str">
        <f t="shared" si="39"/>
        <v/>
      </c>
    </row>
    <row r="2526" spans="3:7" x14ac:dyDescent="0.3">
      <c r="C2526" t="str">
        <f>IFERROR(IF(B2526="","",VLOOKUP(B2526,CadProd!$A:$B,2,0)),"")</f>
        <v/>
      </c>
      <c r="D2526" t="str">
        <f>IFERROR(IF(B2526="","",VLOOKUP(B2526,CadProd!$A:$C,3,0)),"")</f>
        <v/>
      </c>
      <c r="G2526" s="1" t="str">
        <f t="shared" si="39"/>
        <v/>
      </c>
    </row>
    <row r="2527" spans="3:7" x14ac:dyDescent="0.3">
      <c r="C2527" t="str">
        <f>IFERROR(IF(B2527="","",VLOOKUP(B2527,CadProd!$A:$B,2,0)),"")</f>
        <v/>
      </c>
      <c r="D2527" t="str">
        <f>IFERROR(IF(B2527="","",VLOOKUP(B2527,CadProd!$A:$C,3,0)),"")</f>
        <v/>
      </c>
      <c r="G2527" s="1" t="str">
        <f t="shared" si="39"/>
        <v/>
      </c>
    </row>
    <row r="2528" spans="3:7" x14ac:dyDescent="0.3">
      <c r="C2528" t="str">
        <f>IFERROR(IF(B2528="","",VLOOKUP(B2528,CadProd!$A:$B,2,0)),"")</f>
        <v/>
      </c>
      <c r="D2528" t="str">
        <f>IFERROR(IF(B2528="","",VLOOKUP(B2528,CadProd!$A:$C,3,0)),"")</f>
        <v/>
      </c>
      <c r="G2528" s="1" t="str">
        <f t="shared" si="39"/>
        <v/>
      </c>
    </row>
    <row r="2529" spans="3:7" x14ac:dyDescent="0.3">
      <c r="C2529" t="str">
        <f>IFERROR(IF(B2529="","",VLOOKUP(B2529,CadProd!$A:$B,2,0)),"")</f>
        <v/>
      </c>
      <c r="D2529" t="str">
        <f>IFERROR(IF(B2529="","",VLOOKUP(B2529,CadProd!$A:$C,3,0)),"")</f>
        <v/>
      </c>
      <c r="G2529" s="1" t="str">
        <f t="shared" si="39"/>
        <v/>
      </c>
    </row>
    <row r="2530" spans="3:7" x14ac:dyDescent="0.3">
      <c r="C2530" t="str">
        <f>IFERROR(IF(B2530="","",VLOOKUP(B2530,CadProd!$A:$B,2,0)),"")</f>
        <v/>
      </c>
      <c r="D2530" t="str">
        <f>IFERROR(IF(B2530="","",VLOOKUP(B2530,CadProd!$A:$C,3,0)),"")</f>
        <v/>
      </c>
      <c r="G2530" s="1" t="str">
        <f t="shared" si="39"/>
        <v/>
      </c>
    </row>
    <row r="2531" spans="3:7" x14ac:dyDescent="0.3">
      <c r="C2531" t="str">
        <f>IFERROR(IF(B2531="","",VLOOKUP(B2531,CadProd!$A:$B,2,0)),"")</f>
        <v/>
      </c>
      <c r="D2531" t="str">
        <f>IFERROR(IF(B2531="","",VLOOKUP(B2531,CadProd!$A:$C,3,0)),"")</f>
        <v/>
      </c>
      <c r="G2531" s="1" t="str">
        <f t="shared" si="39"/>
        <v/>
      </c>
    </row>
    <row r="2532" spans="3:7" x14ac:dyDescent="0.3">
      <c r="C2532" t="str">
        <f>IFERROR(IF(B2532="","",VLOOKUP(B2532,CadProd!$A:$B,2,0)),"")</f>
        <v/>
      </c>
      <c r="D2532" t="str">
        <f>IFERROR(IF(B2532="","",VLOOKUP(B2532,CadProd!$A:$C,3,0)),"")</f>
        <v/>
      </c>
      <c r="G2532" s="1" t="str">
        <f t="shared" si="39"/>
        <v/>
      </c>
    </row>
    <row r="2533" spans="3:7" x14ac:dyDescent="0.3">
      <c r="C2533" t="str">
        <f>IFERROR(IF(B2533="","",VLOOKUP(B2533,CadProd!$A:$B,2,0)),"")</f>
        <v/>
      </c>
      <c r="D2533" t="str">
        <f>IFERROR(IF(B2533="","",VLOOKUP(B2533,CadProd!$A:$C,3,0)),"")</f>
        <v/>
      </c>
      <c r="G2533" s="1" t="str">
        <f t="shared" si="39"/>
        <v/>
      </c>
    </row>
    <row r="2534" spans="3:7" x14ac:dyDescent="0.3">
      <c r="C2534" t="str">
        <f>IFERROR(IF(B2534="","",VLOOKUP(B2534,CadProd!$A:$B,2,0)),"")</f>
        <v/>
      </c>
      <c r="D2534" t="str">
        <f>IFERROR(IF(B2534="","",VLOOKUP(B2534,CadProd!$A:$C,3,0)),"")</f>
        <v/>
      </c>
      <c r="G2534" s="1" t="str">
        <f t="shared" si="39"/>
        <v/>
      </c>
    </row>
    <row r="2535" spans="3:7" x14ac:dyDescent="0.3">
      <c r="C2535" t="str">
        <f>IFERROR(IF(B2535="","",VLOOKUP(B2535,CadProd!$A:$B,2,0)),"")</f>
        <v/>
      </c>
      <c r="D2535" t="str">
        <f>IFERROR(IF(B2535="","",VLOOKUP(B2535,CadProd!$A:$C,3,0)),"")</f>
        <v/>
      </c>
      <c r="G2535" s="1" t="str">
        <f t="shared" si="39"/>
        <v/>
      </c>
    </row>
    <row r="2536" spans="3:7" x14ac:dyDescent="0.3">
      <c r="C2536" t="str">
        <f>IFERROR(IF(B2536="","",VLOOKUP(B2536,CadProd!$A:$B,2,0)),"")</f>
        <v/>
      </c>
      <c r="D2536" t="str">
        <f>IFERROR(IF(B2536="","",VLOOKUP(B2536,CadProd!$A:$C,3,0)),"")</f>
        <v/>
      </c>
      <c r="G2536" s="1" t="str">
        <f t="shared" si="39"/>
        <v/>
      </c>
    </row>
    <row r="2537" spans="3:7" x14ac:dyDescent="0.3">
      <c r="C2537" t="str">
        <f>IFERROR(IF(B2537="","",VLOOKUP(B2537,CadProd!$A:$B,2,0)),"")</f>
        <v/>
      </c>
      <c r="D2537" t="str">
        <f>IFERROR(IF(B2537="","",VLOOKUP(B2537,CadProd!$A:$C,3,0)),"")</f>
        <v/>
      </c>
      <c r="G2537" s="1" t="str">
        <f t="shared" si="39"/>
        <v/>
      </c>
    </row>
    <row r="2538" spans="3:7" x14ac:dyDescent="0.3">
      <c r="C2538" t="str">
        <f>IFERROR(IF(B2538="","",VLOOKUP(B2538,CadProd!$A:$B,2,0)),"")</f>
        <v/>
      </c>
      <c r="D2538" t="str">
        <f>IFERROR(IF(B2538="","",VLOOKUP(B2538,CadProd!$A:$C,3,0)),"")</f>
        <v/>
      </c>
      <c r="G2538" s="1" t="str">
        <f t="shared" si="39"/>
        <v/>
      </c>
    </row>
    <row r="2539" spans="3:7" x14ac:dyDescent="0.3">
      <c r="C2539" t="str">
        <f>IFERROR(IF(B2539="","",VLOOKUP(B2539,CadProd!$A:$B,2,0)),"")</f>
        <v/>
      </c>
      <c r="D2539" t="str">
        <f>IFERROR(IF(B2539="","",VLOOKUP(B2539,CadProd!$A:$C,3,0)),"")</f>
        <v/>
      </c>
      <c r="G2539" s="1" t="str">
        <f t="shared" si="39"/>
        <v/>
      </c>
    </row>
    <row r="2540" spans="3:7" x14ac:dyDescent="0.3">
      <c r="C2540" t="str">
        <f>IFERROR(IF(B2540="","",VLOOKUP(B2540,CadProd!$A:$B,2,0)),"")</f>
        <v/>
      </c>
      <c r="D2540" t="str">
        <f>IFERROR(IF(B2540="","",VLOOKUP(B2540,CadProd!$A:$C,3,0)),"")</f>
        <v/>
      </c>
      <c r="G2540" s="1" t="str">
        <f t="shared" si="39"/>
        <v/>
      </c>
    </row>
    <row r="2541" spans="3:7" x14ac:dyDescent="0.3">
      <c r="C2541" t="str">
        <f>IFERROR(IF(B2541="","",VLOOKUP(B2541,CadProd!$A:$B,2,0)),"")</f>
        <v/>
      </c>
      <c r="D2541" t="str">
        <f>IFERROR(IF(B2541="","",VLOOKUP(B2541,CadProd!$A:$C,3,0)),"")</f>
        <v/>
      </c>
      <c r="G2541" s="1" t="str">
        <f t="shared" si="39"/>
        <v/>
      </c>
    </row>
    <row r="2542" spans="3:7" x14ac:dyDescent="0.3">
      <c r="C2542" t="str">
        <f>IFERROR(IF(B2542="","",VLOOKUP(B2542,CadProd!$A:$B,2,0)),"")</f>
        <v/>
      </c>
      <c r="D2542" t="str">
        <f>IFERROR(IF(B2542="","",VLOOKUP(B2542,CadProd!$A:$C,3,0)),"")</f>
        <v/>
      </c>
      <c r="G2542" s="1" t="str">
        <f t="shared" si="39"/>
        <v/>
      </c>
    </row>
    <row r="2543" spans="3:7" x14ac:dyDescent="0.3">
      <c r="C2543" t="str">
        <f>IFERROR(IF(B2543="","",VLOOKUP(B2543,CadProd!$A:$B,2,0)),"")</f>
        <v/>
      </c>
      <c r="D2543" t="str">
        <f>IFERROR(IF(B2543="","",VLOOKUP(B2543,CadProd!$A:$C,3,0)),"")</f>
        <v/>
      </c>
      <c r="G2543" s="1" t="str">
        <f t="shared" si="39"/>
        <v/>
      </c>
    </row>
    <row r="2544" spans="3:7" x14ac:dyDescent="0.3">
      <c r="C2544" t="str">
        <f>IFERROR(IF(B2544="","",VLOOKUP(B2544,CadProd!$A:$B,2,0)),"")</f>
        <v/>
      </c>
      <c r="D2544" t="str">
        <f>IFERROR(IF(B2544="","",VLOOKUP(B2544,CadProd!$A:$C,3,0)),"")</f>
        <v/>
      </c>
      <c r="G2544" s="1" t="str">
        <f t="shared" si="39"/>
        <v/>
      </c>
    </row>
    <row r="2545" spans="3:7" x14ac:dyDescent="0.3">
      <c r="C2545" t="str">
        <f>IFERROR(IF(B2545="","",VLOOKUP(B2545,CadProd!$A:$B,2,0)),"")</f>
        <v/>
      </c>
      <c r="D2545" t="str">
        <f>IFERROR(IF(B2545="","",VLOOKUP(B2545,CadProd!$A:$C,3,0)),"")</f>
        <v/>
      </c>
      <c r="G2545" s="1" t="str">
        <f t="shared" si="39"/>
        <v/>
      </c>
    </row>
    <row r="2546" spans="3:7" x14ac:dyDescent="0.3">
      <c r="C2546" t="str">
        <f>IFERROR(IF(B2546="","",VLOOKUP(B2546,CadProd!$A:$B,2,0)),"")</f>
        <v/>
      </c>
      <c r="D2546" t="str">
        <f>IFERROR(IF(B2546="","",VLOOKUP(B2546,CadProd!$A:$C,3,0)),"")</f>
        <v/>
      </c>
      <c r="G2546" s="1" t="str">
        <f t="shared" si="39"/>
        <v/>
      </c>
    </row>
    <row r="2547" spans="3:7" x14ac:dyDescent="0.3">
      <c r="C2547" t="str">
        <f>IFERROR(IF(B2547="","",VLOOKUP(B2547,CadProd!$A:$B,2,0)),"")</f>
        <v/>
      </c>
      <c r="D2547" t="str">
        <f>IFERROR(IF(B2547="","",VLOOKUP(B2547,CadProd!$A:$C,3,0)),"")</f>
        <v/>
      </c>
      <c r="G2547" s="1" t="str">
        <f t="shared" si="39"/>
        <v/>
      </c>
    </row>
    <row r="2548" spans="3:7" x14ac:dyDescent="0.3">
      <c r="C2548" t="str">
        <f>IFERROR(IF(B2548="","",VLOOKUP(B2548,CadProd!$A:$B,2,0)),"")</f>
        <v/>
      </c>
      <c r="D2548" t="str">
        <f>IFERROR(IF(B2548="","",VLOOKUP(B2548,CadProd!$A:$C,3,0)),"")</f>
        <v/>
      </c>
      <c r="G2548" s="1" t="str">
        <f t="shared" si="39"/>
        <v/>
      </c>
    </row>
    <row r="2549" spans="3:7" x14ac:dyDescent="0.3">
      <c r="C2549" t="str">
        <f>IFERROR(IF(B2549="","",VLOOKUP(B2549,CadProd!$A:$B,2,0)),"")</f>
        <v/>
      </c>
      <c r="D2549" t="str">
        <f>IFERROR(IF(B2549="","",VLOOKUP(B2549,CadProd!$A:$C,3,0)),"")</f>
        <v/>
      </c>
      <c r="G2549" s="1" t="str">
        <f t="shared" si="39"/>
        <v/>
      </c>
    </row>
    <row r="2550" spans="3:7" x14ac:dyDescent="0.3">
      <c r="C2550" t="str">
        <f>IFERROR(IF(B2550="","",VLOOKUP(B2550,CadProd!$A:$B,2,0)),"")</f>
        <v/>
      </c>
      <c r="D2550" t="str">
        <f>IFERROR(IF(B2550="","",VLOOKUP(B2550,CadProd!$A:$C,3,0)),"")</f>
        <v/>
      </c>
      <c r="G2550" s="1" t="str">
        <f t="shared" si="39"/>
        <v/>
      </c>
    </row>
    <row r="2551" spans="3:7" x14ac:dyDescent="0.3">
      <c r="C2551" t="str">
        <f>IFERROR(IF(B2551="","",VLOOKUP(B2551,CadProd!$A:$B,2,0)),"")</f>
        <v/>
      </c>
      <c r="D2551" t="str">
        <f>IFERROR(IF(B2551="","",VLOOKUP(B2551,CadProd!$A:$C,3,0)),"")</f>
        <v/>
      </c>
      <c r="G2551" s="1" t="str">
        <f t="shared" si="39"/>
        <v/>
      </c>
    </row>
    <row r="2552" spans="3:7" x14ac:dyDescent="0.3">
      <c r="C2552" t="str">
        <f>IFERROR(IF(B2552="","",VLOOKUP(B2552,CadProd!$A:$B,2,0)),"")</f>
        <v/>
      </c>
      <c r="D2552" t="str">
        <f>IFERROR(IF(B2552="","",VLOOKUP(B2552,CadProd!$A:$C,3,0)),"")</f>
        <v/>
      </c>
      <c r="G2552" s="1" t="str">
        <f t="shared" si="39"/>
        <v/>
      </c>
    </row>
    <row r="2553" spans="3:7" x14ac:dyDescent="0.3">
      <c r="C2553" t="str">
        <f>IFERROR(IF(B2553="","",VLOOKUP(B2553,CadProd!$A:$B,2,0)),"")</f>
        <v/>
      </c>
      <c r="D2553" t="str">
        <f>IFERROR(IF(B2553="","",VLOOKUP(B2553,CadProd!$A:$C,3,0)),"")</f>
        <v/>
      </c>
      <c r="G2553" s="1" t="str">
        <f t="shared" si="39"/>
        <v/>
      </c>
    </row>
    <row r="2554" spans="3:7" x14ac:dyDescent="0.3">
      <c r="C2554" t="str">
        <f>IFERROR(IF(B2554="","",VLOOKUP(B2554,CadProd!$A:$B,2,0)),"")</f>
        <v/>
      </c>
      <c r="D2554" t="str">
        <f>IFERROR(IF(B2554="","",VLOOKUP(B2554,CadProd!$A:$C,3,0)),"")</f>
        <v/>
      </c>
      <c r="G2554" s="1" t="str">
        <f t="shared" si="39"/>
        <v/>
      </c>
    </row>
    <row r="2555" spans="3:7" x14ac:dyDescent="0.3">
      <c r="C2555" t="str">
        <f>IFERROR(IF(B2555="","",VLOOKUP(B2555,CadProd!$A:$B,2,0)),"")</f>
        <v/>
      </c>
      <c r="D2555" t="str">
        <f>IFERROR(IF(B2555="","",VLOOKUP(B2555,CadProd!$A:$C,3,0)),"")</f>
        <v/>
      </c>
      <c r="G2555" s="1" t="str">
        <f t="shared" si="39"/>
        <v/>
      </c>
    </row>
    <row r="2556" spans="3:7" x14ac:dyDescent="0.3">
      <c r="C2556" t="str">
        <f>IFERROR(IF(B2556="","",VLOOKUP(B2556,CadProd!$A:$B,2,0)),"")</f>
        <v/>
      </c>
      <c r="D2556" t="str">
        <f>IFERROR(IF(B2556="","",VLOOKUP(B2556,CadProd!$A:$C,3,0)),"")</f>
        <v/>
      </c>
      <c r="G2556" s="1" t="str">
        <f t="shared" si="39"/>
        <v/>
      </c>
    </row>
    <row r="2557" spans="3:7" x14ac:dyDescent="0.3">
      <c r="C2557" t="str">
        <f>IFERROR(IF(B2557="","",VLOOKUP(B2557,CadProd!$A:$B,2,0)),"")</f>
        <v/>
      </c>
      <c r="D2557" t="str">
        <f>IFERROR(IF(B2557="","",VLOOKUP(B2557,CadProd!$A:$C,3,0)),"")</f>
        <v/>
      </c>
      <c r="G2557" s="1" t="str">
        <f t="shared" si="39"/>
        <v/>
      </c>
    </row>
    <row r="2558" spans="3:7" x14ac:dyDescent="0.3">
      <c r="C2558" t="str">
        <f>IFERROR(IF(B2558="","",VLOOKUP(B2558,CadProd!$A:$B,2,0)),"")</f>
        <v/>
      </c>
      <c r="D2558" t="str">
        <f>IFERROR(IF(B2558="","",VLOOKUP(B2558,CadProd!$A:$C,3,0)),"")</f>
        <v/>
      </c>
      <c r="G2558" s="1" t="str">
        <f t="shared" si="39"/>
        <v/>
      </c>
    </row>
    <row r="2559" spans="3:7" x14ac:dyDescent="0.3">
      <c r="C2559" t="str">
        <f>IFERROR(IF(B2559="","",VLOOKUP(B2559,CadProd!$A:$B,2,0)),"")</f>
        <v/>
      </c>
      <c r="D2559" t="str">
        <f>IFERROR(IF(B2559="","",VLOOKUP(B2559,CadProd!$A:$C,3,0)),"")</f>
        <v/>
      </c>
      <c r="G2559" s="1" t="str">
        <f t="shared" si="39"/>
        <v/>
      </c>
    </row>
    <row r="2560" spans="3:7" x14ac:dyDescent="0.3">
      <c r="C2560" t="str">
        <f>IFERROR(IF(B2560="","",VLOOKUP(B2560,CadProd!$A:$B,2,0)),"")</f>
        <v/>
      </c>
      <c r="D2560" t="str">
        <f>IFERROR(IF(B2560="","",VLOOKUP(B2560,CadProd!$A:$C,3,0)),"")</f>
        <v/>
      </c>
      <c r="G2560" s="1" t="str">
        <f t="shared" si="39"/>
        <v/>
      </c>
    </row>
    <row r="2561" spans="3:7" x14ac:dyDescent="0.3">
      <c r="C2561" t="str">
        <f>IFERROR(IF(B2561="","",VLOOKUP(B2561,CadProd!$A:$B,2,0)),"")</f>
        <v/>
      </c>
      <c r="D2561" t="str">
        <f>IFERROR(IF(B2561="","",VLOOKUP(B2561,CadProd!$A:$C,3,0)),"")</f>
        <v/>
      </c>
      <c r="G2561" s="1" t="str">
        <f t="shared" si="39"/>
        <v/>
      </c>
    </row>
    <row r="2562" spans="3:7" x14ac:dyDescent="0.3">
      <c r="C2562" t="str">
        <f>IFERROR(IF(B2562="","",VLOOKUP(B2562,CadProd!$A:$B,2,0)),"")</f>
        <v/>
      </c>
      <c r="D2562" t="str">
        <f>IFERROR(IF(B2562="","",VLOOKUP(B2562,CadProd!$A:$C,3,0)),"")</f>
        <v/>
      </c>
      <c r="G2562" s="1" t="str">
        <f t="shared" si="39"/>
        <v/>
      </c>
    </row>
    <row r="2563" spans="3:7" x14ac:dyDescent="0.3">
      <c r="C2563" t="str">
        <f>IFERROR(IF(B2563="","",VLOOKUP(B2563,CadProd!$A:$B,2,0)),"")</f>
        <v/>
      </c>
      <c r="D2563" t="str">
        <f>IFERROR(IF(B2563="","",VLOOKUP(B2563,CadProd!$A:$C,3,0)),"")</f>
        <v/>
      </c>
      <c r="G2563" s="1" t="str">
        <f t="shared" si="39"/>
        <v/>
      </c>
    </row>
    <row r="2564" spans="3:7" x14ac:dyDescent="0.3">
      <c r="C2564" t="str">
        <f>IFERROR(IF(B2564="","",VLOOKUP(B2564,CadProd!$A:$B,2,0)),"")</f>
        <v/>
      </c>
      <c r="D2564" t="str">
        <f>IFERROR(IF(B2564="","",VLOOKUP(B2564,CadProd!$A:$C,3,0)),"")</f>
        <v/>
      </c>
      <c r="G2564" s="1" t="str">
        <f t="shared" si="39"/>
        <v/>
      </c>
    </row>
    <row r="2565" spans="3:7" x14ac:dyDescent="0.3">
      <c r="C2565" t="str">
        <f>IFERROR(IF(B2565="","",VLOOKUP(B2565,CadProd!$A:$B,2,0)),"")</f>
        <v/>
      </c>
      <c r="D2565" t="str">
        <f>IFERROR(IF(B2565="","",VLOOKUP(B2565,CadProd!$A:$C,3,0)),"")</f>
        <v/>
      </c>
      <c r="G2565" s="1" t="str">
        <f t="shared" si="39"/>
        <v/>
      </c>
    </row>
    <row r="2566" spans="3:7" x14ac:dyDescent="0.3">
      <c r="C2566" t="str">
        <f>IFERROR(IF(B2566="","",VLOOKUP(B2566,CadProd!$A:$B,2,0)),"")</f>
        <v/>
      </c>
      <c r="D2566" t="str">
        <f>IFERROR(IF(B2566="","",VLOOKUP(B2566,CadProd!$A:$C,3,0)),"")</f>
        <v/>
      </c>
      <c r="G2566" s="1" t="str">
        <f t="shared" si="39"/>
        <v/>
      </c>
    </row>
    <row r="2567" spans="3:7" x14ac:dyDescent="0.3">
      <c r="C2567" t="str">
        <f>IFERROR(IF(B2567="","",VLOOKUP(B2567,CadProd!$A:$B,2,0)),"")</f>
        <v/>
      </c>
      <c r="D2567" t="str">
        <f>IFERROR(IF(B2567="","",VLOOKUP(B2567,CadProd!$A:$C,3,0)),"")</f>
        <v/>
      </c>
      <c r="G2567" s="1" t="str">
        <f t="shared" si="39"/>
        <v/>
      </c>
    </row>
    <row r="2568" spans="3:7" x14ac:dyDescent="0.3">
      <c r="C2568" t="str">
        <f>IFERROR(IF(B2568="","",VLOOKUP(B2568,CadProd!$A:$B,2,0)),"")</f>
        <v/>
      </c>
      <c r="D2568" t="str">
        <f>IFERROR(IF(B2568="","",VLOOKUP(B2568,CadProd!$A:$C,3,0)),"")</f>
        <v/>
      </c>
      <c r="G2568" s="1" t="str">
        <f t="shared" si="39"/>
        <v/>
      </c>
    </row>
    <row r="2569" spans="3:7" x14ac:dyDescent="0.3">
      <c r="C2569" t="str">
        <f>IFERROR(IF(B2569="","",VLOOKUP(B2569,CadProd!$A:$B,2,0)),"")</f>
        <v/>
      </c>
      <c r="D2569" t="str">
        <f>IFERROR(IF(B2569="","",VLOOKUP(B2569,CadProd!$A:$C,3,0)),"")</f>
        <v/>
      </c>
      <c r="G2569" s="1" t="str">
        <f t="shared" si="39"/>
        <v/>
      </c>
    </row>
    <row r="2570" spans="3:7" x14ac:dyDescent="0.3">
      <c r="C2570" t="str">
        <f>IFERROR(IF(B2570="","",VLOOKUP(B2570,CadProd!$A:$B,2,0)),"")</f>
        <v/>
      </c>
      <c r="D2570" t="str">
        <f>IFERROR(IF(B2570="","",VLOOKUP(B2570,CadProd!$A:$C,3,0)),"")</f>
        <v/>
      </c>
      <c r="G2570" s="1" t="str">
        <f t="shared" si="39"/>
        <v/>
      </c>
    </row>
    <row r="2571" spans="3:7" x14ac:dyDescent="0.3">
      <c r="C2571" t="str">
        <f>IFERROR(IF(B2571="","",VLOOKUP(B2571,CadProd!$A:$B,2,0)),"")</f>
        <v/>
      </c>
      <c r="D2571" t="str">
        <f>IFERROR(IF(B2571="","",VLOOKUP(B2571,CadProd!$A:$C,3,0)),"")</f>
        <v/>
      </c>
      <c r="G2571" s="1" t="str">
        <f t="shared" ref="G2571:G2634" si="40">IFERROR(IF(B2571="","",F2571*E2571),"")</f>
        <v/>
      </c>
    </row>
    <row r="2572" spans="3:7" x14ac:dyDescent="0.3">
      <c r="C2572" t="str">
        <f>IFERROR(IF(B2572="","",VLOOKUP(B2572,CadProd!$A:$B,2,0)),"")</f>
        <v/>
      </c>
      <c r="D2572" t="str">
        <f>IFERROR(IF(B2572="","",VLOOKUP(B2572,CadProd!$A:$C,3,0)),"")</f>
        <v/>
      </c>
      <c r="G2572" s="1" t="str">
        <f t="shared" si="40"/>
        <v/>
      </c>
    </row>
    <row r="2573" spans="3:7" x14ac:dyDescent="0.3">
      <c r="C2573" t="str">
        <f>IFERROR(IF(B2573="","",VLOOKUP(B2573,CadProd!$A:$B,2,0)),"")</f>
        <v/>
      </c>
      <c r="D2573" t="str">
        <f>IFERROR(IF(B2573="","",VLOOKUP(B2573,CadProd!$A:$C,3,0)),"")</f>
        <v/>
      </c>
      <c r="G2573" s="1" t="str">
        <f t="shared" si="40"/>
        <v/>
      </c>
    </row>
    <row r="2574" spans="3:7" x14ac:dyDescent="0.3">
      <c r="C2574" t="str">
        <f>IFERROR(IF(B2574="","",VLOOKUP(B2574,CadProd!$A:$B,2,0)),"")</f>
        <v/>
      </c>
      <c r="D2574" t="str">
        <f>IFERROR(IF(B2574="","",VLOOKUP(B2574,CadProd!$A:$C,3,0)),"")</f>
        <v/>
      </c>
      <c r="G2574" s="1" t="str">
        <f t="shared" si="40"/>
        <v/>
      </c>
    </row>
    <row r="2575" spans="3:7" x14ac:dyDescent="0.3">
      <c r="C2575" t="str">
        <f>IFERROR(IF(B2575="","",VLOOKUP(B2575,CadProd!$A:$B,2,0)),"")</f>
        <v/>
      </c>
      <c r="D2575" t="str">
        <f>IFERROR(IF(B2575="","",VLOOKUP(B2575,CadProd!$A:$C,3,0)),"")</f>
        <v/>
      </c>
      <c r="G2575" s="1" t="str">
        <f t="shared" si="40"/>
        <v/>
      </c>
    </row>
    <row r="2576" spans="3:7" x14ac:dyDescent="0.3">
      <c r="C2576" t="str">
        <f>IFERROR(IF(B2576="","",VLOOKUP(B2576,CadProd!$A:$B,2,0)),"")</f>
        <v/>
      </c>
      <c r="D2576" t="str">
        <f>IFERROR(IF(B2576="","",VLOOKUP(B2576,CadProd!$A:$C,3,0)),"")</f>
        <v/>
      </c>
      <c r="G2576" s="1" t="str">
        <f t="shared" si="40"/>
        <v/>
      </c>
    </row>
    <row r="2577" spans="3:7" x14ac:dyDescent="0.3">
      <c r="C2577" t="str">
        <f>IFERROR(IF(B2577="","",VLOOKUP(B2577,CadProd!$A:$B,2,0)),"")</f>
        <v/>
      </c>
      <c r="D2577" t="str">
        <f>IFERROR(IF(B2577="","",VLOOKUP(B2577,CadProd!$A:$C,3,0)),"")</f>
        <v/>
      </c>
      <c r="G2577" s="1" t="str">
        <f t="shared" si="40"/>
        <v/>
      </c>
    </row>
    <row r="2578" spans="3:7" x14ac:dyDescent="0.3">
      <c r="C2578" t="str">
        <f>IFERROR(IF(B2578="","",VLOOKUP(B2578,CadProd!$A:$B,2,0)),"")</f>
        <v/>
      </c>
      <c r="D2578" t="str">
        <f>IFERROR(IF(B2578="","",VLOOKUP(B2578,CadProd!$A:$C,3,0)),"")</f>
        <v/>
      </c>
      <c r="G2578" s="1" t="str">
        <f t="shared" si="40"/>
        <v/>
      </c>
    </row>
    <row r="2579" spans="3:7" x14ac:dyDescent="0.3">
      <c r="C2579" t="str">
        <f>IFERROR(IF(B2579="","",VLOOKUP(B2579,CadProd!$A:$B,2,0)),"")</f>
        <v/>
      </c>
      <c r="D2579" t="str">
        <f>IFERROR(IF(B2579="","",VLOOKUP(B2579,CadProd!$A:$C,3,0)),"")</f>
        <v/>
      </c>
      <c r="G2579" s="1" t="str">
        <f t="shared" si="40"/>
        <v/>
      </c>
    </row>
    <row r="2580" spans="3:7" x14ac:dyDescent="0.3">
      <c r="C2580" t="str">
        <f>IFERROR(IF(B2580="","",VLOOKUP(B2580,CadProd!$A:$B,2,0)),"")</f>
        <v/>
      </c>
      <c r="D2580" t="str">
        <f>IFERROR(IF(B2580="","",VLOOKUP(B2580,CadProd!$A:$C,3,0)),"")</f>
        <v/>
      </c>
      <c r="G2580" s="1" t="str">
        <f t="shared" si="40"/>
        <v/>
      </c>
    </row>
    <row r="2581" spans="3:7" x14ac:dyDescent="0.3">
      <c r="C2581" t="str">
        <f>IFERROR(IF(B2581="","",VLOOKUP(B2581,CadProd!$A:$B,2,0)),"")</f>
        <v/>
      </c>
      <c r="D2581" t="str">
        <f>IFERROR(IF(B2581="","",VLOOKUP(B2581,CadProd!$A:$C,3,0)),"")</f>
        <v/>
      </c>
      <c r="G2581" s="1" t="str">
        <f t="shared" si="40"/>
        <v/>
      </c>
    </row>
    <row r="2582" spans="3:7" x14ac:dyDescent="0.3">
      <c r="C2582" t="str">
        <f>IFERROR(IF(B2582="","",VLOOKUP(B2582,CadProd!$A:$B,2,0)),"")</f>
        <v/>
      </c>
      <c r="D2582" t="str">
        <f>IFERROR(IF(B2582="","",VLOOKUP(B2582,CadProd!$A:$C,3,0)),"")</f>
        <v/>
      </c>
      <c r="G2582" s="1" t="str">
        <f t="shared" si="40"/>
        <v/>
      </c>
    </row>
    <row r="2583" spans="3:7" x14ac:dyDescent="0.3">
      <c r="C2583" t="str">
        <f>IFERROR(IF(B2583="","",VLOOKUP(B2583,CadProd!$A:$B,2,0)),"")</f>
        <v/>
      </c>
      <c r="D2583" t="str">
        <f>IFERROR(IF(B2583="","",VLOOKUP(B2583,CadProd!$A:$C,3,0)),"")</f>
        <v/>
      </c>
      <c r="G2583" s="1" t="str">
        <f t="shared" si="40"/>
        <v/>
      </c>
    </row>
    <row r="2584" spans="3:7" x14ac:dyDescent="0.3">
      <c r="C2584" t="str">
        <f>IFERROR(IF(B2584="","",VLOOKUP(B2584,CadProd!$A:$B,2,0)),"")</f>
        <v/>
      </c>
      <c r="D2584" t="str">
        <f>IFERROR(IF(B2584="","",VLOOKUP(B2584,CadProd!$A:$C,3,0)),"")</f>
        <v/>
      </c>
      <c r="G2584" s="1" t="str">
        <f t="shared" si="40"/>
        <v/>
      </c>
    </row>
    <row r="2585" spans="3:7" x14ac:dyDescent="0.3">
      <c r="C2585" t="str">
        <f>IFERROR(IF(B2585="","",VLOOKUP(B2585,CadProd!$A:$B,2,0)),"")</f>
        <v/>
      </c>
      <c r="D2585" t="str">
        <f>IFERROR(IF(B2585="","",VLOOKUP(B2585,CadProd!$A:$C,3,0)),"")</f>
        <v/>
      </c>
      <c r="G2585" s="1" t="str">
        <f t="shared" si="40"/>
        <v/>
      </c>
    </row>
    <row r="2586" spans="3:7" x14ac:dyDescent="0.3">
      <c r="C2586" t="str">
        <f>IFERROR(IF(B2586="","",VLOOKUP(B2586,CadProd!$A:$B,2,0)),"")</f>
        <v/>
      </c>
      <c r="D2586" t="str">
        <f>IFERROR(IF(B2586="","",VLOOKUP(B2586,CadProd!$A:$C,3,0)),"")</f>
        <v/>
      </c>
      <c r="G2586" s="1" t="str">
        <f t="shared" si="40"/>
        <v/>
      </c>
    </row>
    <row r="2587" spans="3:7" x14ac:dyDescent="0.3">
      <c r="C2587" t="str">
        <f>IFERROR(IF(B2587="","",VLOOKUP(B2587,CadProd!$A:$B,2,0)),"")</f>
        <v/>
      </c>
      <c r="D2587" t="str">
        <f>IFERROR(IF(B2587="","",VLOOKUP(B2587,CadProd!$A:$C,3,0)),"")</f>
        <v/>
      </c>
      <c r="G2587" s="1" t="str">
        <f t="shared" si="40"/>
        <v/>
      </c>
    </row>
    <row r="2588" spans="3:7" x14ac:dyDescent="0.3">
      <c r="C2588" t="str">
        <f>IFERROR(IF(B2588="","",VLOOKUP(B2588,CadProd!$A:$B,2,0)),"")</f>
        <v/>
      </c>
      <c r="D2588" t="str">
        <f>IFERROR(IF(B2588="","",VLOOKUP(B2588,CadProd!$A:$C,3,0)),"")</f>
        <v/>
      </c>
      <c r="G2588" s="1" t="str">
        <f t="shared" si="40"/>
        <v/>
      </c>
    </row>
    <row r="2589" spans="3:7" x14ac:dyDescent="0.3">
      <c r="C2589" t="str">
        <f>IFERROR(IF(B2589="","",VLOOKUP(B2589,CadProd!$A:$B,2,0)),"")</f>
        <v/>
      </c>
      <c r="D2589" t="str">
        <f>IFERROR(IF(B2589="","",VLOOKUP(B2589,CadProd!$A:$C,3,0)),"")</f>
        <v/>
      </c>
      <c r="G2589" s="1" t="str">
        <f t="shared" si="40"/>
        <v/>
      </c>
    </row>
    <row r="2590" spans="3:7" x14ac:dyDescent="0.3">
      <c r="C2590" t="str">
        <f>IFERROR(IF(B2590="","",VLOOKUP(B2590,CadProd!$A:$B,2,0)),"")</f>
        <v/>
      </c>
      <c r="D2590" t="str">
        <f>IFERROR(IF(B2590="","",VLOOKUP(B2590,CadProd!$A:$C,3,0)),"")</f>
        <v/>
      </c>
      <c r="G2590" s="1" t="str">
        <f t="shared" si="40"/>
        <v/>
      </c>
    </row>
    <row r="2591" spans="3:7" x14ac:dyDescent="0.3">
      <c r="C2591" t="str">
        <f>IFERROR(IF(B2591="","",VLOOKUP(B2591,CadProd!$A:$B,2,0)),"")</f>
        <v/>
      </c>
      <c r="D2591" t="str">
        <f>IFERROR(IF(B2591="","",VLOOKUP(B2591,CadProd!$A:$C,3,0)),"")</f>
        <v/>
      </c>
      <c r="G2591" s="1" t="str">
        <f t="shared" si="40"/>
        <v/>
      </c>
    </row>
    <row r="2592" spans="3:7" x14ac:dyDescent="0.3">
      <c r="C2592" t="str">
        <f>IFERROR(IF(B2592="","",VLOOKUP(B2592,CadProd!$A:$B,2,0)),"")</f>
        <v/>
      </c>
      <c r="D2592" t="str">
        <f>IFERROR(IF(B2592="","",VLOOKUP(B2592,CadProd!$A:$C,3,0)),"")</f>
        <v/>
      </c>
      <c r="G2592" s="1" t="str">
        <f t="shared" si="40"/>
        <v/>
      </c>
    </row>
    <row r="2593" spans="3:7" x14ac:dyDescent="0.3">
      <c r="C2593" t="str">
        <f>IFERROR(IF(B2593="","",VLOOKUP(B2593,CadProd!$A:$B,2,0)),"")</f>
        <v/>
      </c>
      <c r="D2593" t="str">
        <f>IFERROR(IF(B2593="","",VLOOKUP(B2593,CadProd!$A:$C,3,0)),"")</f>
        <v/>
      </c>
      <c r="G2593" s="1" t="str">
        <f t="shared" si="40"/>
        <v/>
      </c>
    </row>
    <row r="2594" spans="3:7" x14ac:dyDescent="0.3">
      <c r="C2594" t="str">
        <f>IFERROR(IF(B2594="","",VLOOKUP(B2594,CadProd!$A:$B,2,0)),"")</f>
        <v/>
      </c>
      <c r="D2594" t="str">
        <f>IFERROR(IF(B2594="","",VLOOKUP(B2594,CadProd!$A:$C,3,0)),"")</f>
        <v/>
      </c>
      <c r="G2594" s="1" t="str">
        <f t="shared" si="40"/>
        <v/>
      </c>
    </row>
    <row r="2595" spans="3:7" x14ac:dyDescent="0.3">
      <c r="C2595" t="str">
        <f>IFERROR(IF(B2595="","",VLOOKUP(B2595,CadProd!$A:$B,2,0)),"")</f>
        <v/>
      </c>
      <c r="D2595" t="str">
        <f>IFERROR(IF(B2595="","",VLOOKUP(B2595,CadProd!$A:$C,3,0)),"")</f>
        <v/>
      </c>
      <c r="G2595" s="1" t="str">
        <f t="shared" si="40"/>
        <v/>
      </c>
    </row>
    <row r="2596" spans="3:7" x14ac:dyDescent="0.3">
      <c r="C2596" t="str">
        <f>IFERROR(IF(B2596="","",VLOOKUP(B2596,CadProd!$A:$B,2,0)),"")</f>
        <v/>
      </c>
      <c r="D2596" t="str">
        <f>IFERROR(IF(B2596="","",VLOOKUP(B2596,CadProd!$A:$C,3,0)),"")</f>
        <v/>
      </c>
      <c r="G2596" s="1" t="str">
        <f t="shared" si="40"/>
        <v/>
      </c>
    </row>
    <row r="2597" spans="3:7" x14ac:dyDescent="0.3">
      <c r="C2597" t="str">
        <f>IFERROR(IF(B2597="","",VLOOKUP(B2597,CadProd!$A:$B,2,0)),"")</f>
        <v/>
      </c>
      <c r="D2597" t="str">
        <f>IFERROR(IF(B2597="","",VLOOKUP(B2597,CadProd!$A:$C,3,0)),"")</f>
        <v/>
      </c>
      <c r="G2597" s="1" t="str">
        <f t="shared" si="40"/>
        <v/>
      </c>
    </row>
    <row r="2598" spans="3:7" x14ac:dyDescent="0.3">
      <c r="C2598" t="str">
        <f>IFERROR(IF(B2598="","",VLOOKUP(B2598,CadProd!$A:$B,2,0)),"")</f>
        <v/>
      </c>
      <c r="D2598" t="str">
        <f>IFERROR(IF(B2598="","",VLOOKUP(B2598,CadProd!$A:$C,3,0)),"")</f>
        <v/>
      </c>
      <c r="G2598" s="1" t="str">
        <f t="shared" si="40"/>
        <v/>
      </c>
    </row>
    <row r="2599" spans="3:7" x14ac:dyDescent="0.3">
      <c r="C2599" t="str">
        <f>IFERROR(IF(B2599="","",VLOOKUP(B2599,CadProd!$A:$B,2,0)),"")</f>
        <v/>
      </c>
      <c r="D2599" t="str">
        <f>IFERROR(IF(B2599="","",VLOOKUP(B2599,CadProd!$A:$C,3,0)),"")</f>
        <v/>
      </c>
      <c r="G2599" s="1" t="str">
        <f t="shared" si="40"/>
        <v/>
      </c>
    </row>
    <row r="2600" spans="3:7" x14ac:dyDescent="0.3">
      <c r="C2600" t="str">
        <f>IFERROR(IF(B2600="","",VLOOKUP(B2600,CadProd!$A:$B,2,0)),"")</f>
        <v/>
      </c>
      <c r="D2600" t="str">
        <f>IFERROR(IF(B2600="","",VLOOKUP(B2600,CadProd!$A:$C,3,0)),"")</f>
        <v/>
      </c>
      <c r="G2600" s="1" t="str">
        <f t="shared" si="40"/>
        <v/>
      </c>
    </row>
    <row r="2601" spans="3:7" x14ac:dyDescent="0.3">
      <c r="C2601" t="str">
        <f>IFERROR(IF(B2601="","",VLOOKUP(B2601,CadProd!$A:$B,2,0)),"")</f>
        <v/>
      </c>
      <c r="D2601" t="str">
        <f>IFERROR(IF(B2601="","",VLOOKUP(B2601,CadProd!$A:$C,3,0)),"")</f>
        <v/>
      </c>
      <c r="G2601" s="1" t="str">
        <f t="shared" si="40"/>
        <v/>
      </c>
    </row>
    <row r="2602" spans="3:7" x14ac:dyDescent="0.3">
      <c r="C2602" t="str">
        <f>IFERROR(IF(B2602="","",VLOOKUP(B2602,CadProd!$A:$B,2,0)),"")</f>
        <v/>
      </c>
      <c r="D2602" t="str">
        <f>IFERROR(IF(B2602="","",VLOOKUP(B2602,CadProd!$A:$C,3,0)),"")</f>
        <v/>
      </c>
      <c r="G2602" s="1" t="str">
        <f t="shared" si="40"/>
        <v/>
      </c>
    </row>
    <row r="2603" spans="3:7" x14ac:dyDescent="0.3">
      <c r="C2603" t="str">
        <f>IFERROR(IF(B2603="","",VLOOKUP(B2603,CadProd!$A:$B,2,0)),"")</f>
        <v/>
      </c>
      <c r="D2603" t="str">
        <f>IFERROR(IF(B2603="","",VLOOKUP(B2603,CadProd!$A:$C,3,0)),"")</f>
        <v/>
      </c>
      <c r="G2603" s="1" t="str">
        <f t="shared" si="40"/>
        <v/>
      </c>
    </row>
    <row r="2604" spans="3:7" x14ac:dyDescent="0.3">
      <c r="C2604" t="str">
        <f>IFERROR(IF(B2604="","",VLOOKUP(B2604,CadProd!$A:$B,2,0)),"")</f>
        <v/>
      </c>
      <c r="D2604" t="str">
        <f>IFERROR(IF(B2604="","",VLOOKUP(B2604,CadProd!$A:$C,3,0)),"")</f>
        <v/>
      </c>
      <c r="G2604" s="1" t="str">
        <f t="shared" si="40"/>
        <v/>
      </c>
    </row>
    <row r="2605" spans="3:7" x14ac:dyDescent="0.3">
      <c r="C2605" t="str">
        <f>IFERROR(IF(B2605="","",VLOOKUP(B2605,CadProd!$A:$B,2,0)),"")</f>
        <v/>
      </c>
      <c r="D2605" t="str">
        <f>IFERROR(IF(B2605="","",VLOOKUP(B2605,CadProd!$A:$C,3,0)),"")</f>
        <v/>
      </c>
      <c r="G2605" s="1" t="str">
        <f t="shared" si="40"/>
        <v/>
      </c>
    </row>
    <row r="2606" spans="3:7" x14ac:dyDescent="0.3">
      <c r="C2606" t="str">
        <f>IFERROR(IF(B2606="","",VLOOKUP(B2606,CadProd!$A:$B,2,0)),"")</f>
        <v/>
      </c>
      <c r="D2606" t="str">
        <f>IFERROR(IF(B2606="","",VLOOKUP(B2606,CadProd!$A:$C,3,0)),"")</f>
        <v/>
      </c>
      <c r="G2606" s="1" t="str">
        <f t="shared" si="40"/>
        <v/>
      </c>
    </row>
    <row r="2607" spans="3:7" x14ac:dyDescent="0.3">
      <c r="C2607" t="str">
        <f>IFERROR(IF(B2607="","",VLOOKUP(B2607,CadProd!$A:$B,2,0)),"")</f>
        <v/>
      </c>
      <c r="D2607" t="str">
        <f>IFERROR(IF(B2607="","",VLOOKUP(B2607,CadProd!$A:$C,3,0)),"")</f>
        <v/>
      </c>
      <c r="G2607" s="1" t="str">
        <f t="shared" si="40"/>
        <v/>
      </c>
    </row>
    <row r="2608" spans="3:7" x14ac:dyDescent="0.3">
      <c r="C2608" t="str">
        <f>IFERROR(IF(B2608="","",VLOOKUP(B2608,CadProd!$A:$B,2,0)),"")</f>
        <v/>
      </c>
      <c r="D2608" t="str">
        <f>IFERROR(IF(B2608="","",VLOOKUP(B2608,CadProd!$A:$C,3,0)),"")</f>
        <v/>
      </c>
      <c r="G2608" s="1" t="str">
        <f t="shared" si="40"/>
        <v/>
      </c>
    </row>
    <row r="2609" spans="3:7" x14ac:dyDescent="0.3">
      <c r="C2609" t="str">
        <f>IFERROR(IF(B2609="","",VLOOKUP(B2609,CadProd!$A:$B,2,0)),"")</f>
        <v/>
      </c>
      <c r="D2609" t="str">
        <f>IFERROR(IF(B2609="","",VLOOKUP(B2609,CadProd!$A:$C,3,0)),"")</f>
        <v/>
      </c>
      <c r="G2609" s="1" t="str">
        <f t="shared" si="40"/>
        <v/>
      </c>
    </row>
    <row r="2610" spans="3:7" x14ac:dyDescent="0.3">
      <c r="C2610" t="str">
        <f>IFERROR(IF(B2610="","",VLOOKUP(B2610,CadProd!$A:$B,2,0)),"")</f>
        <v/>
      </c>
      <c r="D2610" t="str">
        <f>IFERROR(IF(B2610="","",VLOOKUP(B2610,CadProd!$A:$C,3,0)),"")</f>
        <v/>
      </c>
      <c r="G2610" s="1" t="str">
        <f t="shared" si="40"/>
        <v/>
      </c>
    </row>
    <row r="2611" spans="3:7" x14ac:dyDescent="0.3">
      <c r="C2611" t="str">
        <f>IFERROR(IF(B2611="","",VLOOKUP(B2611,CadProd!$A:$B,2,0)),"")</f>
        <v/>
      </c>
      <c r="D2611" t="str">
        <f>IFERROR(IF(B2611="","",VLOOKUP(B2611,CadProd!$A:$C,3,0)),"")</f>
        <v/>
      </c>
      <c r="G2611" s="1" t="str">
        <f t="shared" si="40"/>
        <v/>
      </c>
    </row>
    <row r="2612" spans="3:7" x14ac:dyDescent="0.3">
      <c r="C2612" t="str">
        <f>IFERROR(IF(B2612="","",VLOOKUP(B2612,CadProd!$A:$B,2,0)),"")</f>
        <v/>
      </c>
      <c r="D2612" t="str">
        <f>IFERROR(IF(B2612="","",VLOOKUP(B2612,CadProd!$A:$C,3,0)),"")</f>
        <v/>
      </c>
      <c r="G2612" s="1" t="str">
        <f t="shared" si="40"/>
        <v/>
      </c>
    </row>
    <row r="2613" spans="3:7" x14ac:dyDescent="0.3">
      <c r="C2613" t="str">
        <f>IFERROR(IF(B2613="","",VLOOKUP(B2613,CadProd!$A:$B,2,0)),"")</f>
        <v/>
      </c>
      <c r="D2613" t="str">
        <f>IFERROR(IF(B2613="","",VLOOKUP(B2613,CadProd!$A:$C,3,0)),"")</f>
        <v/>
      </c>
      <c r="G2613" s="1" t="str">
        <f t="shared" si="40"/>
        <v/>
      </c>
    </row>
    <row r="2614" spans="3:7" x14ac:dyDescent="0.3">
      <c r="C2614" t="str">
        <f>IFERROR(IF(B2614="","",VLOOKUP(B2614,CadProd!$A:$B,2,0)),"")</f>
        <v/>
      </c>
      <c r="D2614" t="str">
        <f>IFERROR(IF(B2614="","",VLOOKUP(B2614,CadProd!$A:$C,3,0)),"")</f>
        <v/>
      </c>
      <c r="G2614" s="1" t="str">
        <f t="shared" si="40"/>
        <v/>
      </c>
    </row>
    <row r="2615" spans="3:7" x14ac:dyDescent="0.3">
      <c r="C2615" t="str">
        <f>IFERROR(IF(B2615="","",VLOOKUP(B2615,CadProd!$A:$B,2,0)),"")</f>
        <v/>
      </c>
      <c r="D2615" t="str">
        <f>IFERROR(IF(B2615="","",VLOOKUP(B2615,CadProd!$A:$C,3,0)),"")</f>
        <v/>
      </c>
      <c r="G2615" s="1" t="str">
        <f t="shared" si="40"/>
        <v/>
      </c>
    </row>
    <row r="2616" spans="3:7" x14ac:dyDescent="0.3">
      <c r="C2616" t="str">
        <f>IFERROR(IF(B2616="","",VLOOKUP(B2616,CadProd!$A:$B,2,0)),"")</f>
        <v/>
      </c>
      <c r="D2616" t="str">
        <f>IFERROR(IF(B2616="","",VLOOKUP(B2616,CadProd!$A:$C,3,0)),"")</f>
        <v/>
      </c>
      <c r="G2616" s="1" t="str">
        <f t="shared" si="40"/>
        <v/>
      </c>
    </row>
    <row r="2617" spans="3:7" x14ac:dyDescent="0.3">
      <c r="C2617" t="str">
        <f>IFERROR(IF(B2617="","",VLOOKUP(B2617,CadProd!$A:$B,2,0)),"")</f>
        <v/>
      </c>
      <c r="D2617" t="str">
        <f>IFERROR(IF(B2617="","",VLOOKUP(B2617,CadProd!$A:$C,3,0)),"")</f>
        <v/>
      </c>
      <c r="G2617" s="1" t="str">
        <f t="shared" si="40"/>
        <v/>
      </c>
    </row>
    <row r="2618" spans="3:7" x14ac:dyDescent="0.3">
      <c r="C2618" t="str">
        <f>IFERROR(IF(B2618="","",VLOOKUP(B2618,CadProd!$A:$B,2,0)),"")</f>
        <v/>
      </c>
      <c r="D2618" t="str">
        <f>IFERROR(IF(B2618="","",VLOOKUP(B2618,CadProd!$A:$C,3,0)),"")</f>
        <v/>
      </c>
      <c r="G2618" s="1" t="str">
        <f t="shared" si="40"/>
        <v/>
      </c>
    </row>
    <row r="2619" spans="3:7" x14ac:dyDescent="0.3">
      <c r="C2619" t="str">
        <f>IFERROR(IF(B2619="","",VLOOKUP(B2619,CadProd!$A:$B,2,0)),"")</f>
        <v/>
      </c>
      <c r="D2619" t="str">
        <f>IFERROR(IF(B2619="","",VLOOKUP(B2619,CadProd!$A:$C,3,0)),"")</f>
        <v/>
      </c>
      <c r="G2619" s="1" t="str">
        <f t="shared" si="40"/>
        <v/>
      </c>
    </row>
    <row r="2620" spans="3:7" x14ac:dyDescent="0.3">
      <c r="C2620" t="str">
        <f>IFERROR(IF(B2620="","",VLOOKUP(B2620,CadProd!$A:$B,2,0)),"")</f>
        <v/>
      </c>
      <c r="D2620" t="str">
        <f>IFERROR(IF(B2620="","",VLOOKUP(B2620,CadProd!$A:$C,3,0)),"")</f>
        <v/>
      </c>
      <c r="G2620" s="1" t="str">
        <f t="shared" si="40"/>
        <v/>
      </c>
    </row>
    <row r="2621" spans="3:7" x14ac:dyDescent="0.3">
      <c r="C2621" t="str">
        <f>IFERROR(IF(B2621="","",VLOOKUP(B2621,CadProd!$A:$B,2,0)),"")</f>
        <v/>
      </c>
      <c r="D2621" t="str">
        <f>IFERROR(IF(B2621="","",VLOOKUP(B2621,CadProd!$A:$C,3,0)),"")</f>
        <v/>
      </c>
      <c r="G2621" s="1" t="str">
        <f t="shared" si="40"/>
        <v/>
      </c>
    </row>
    <row r="2622" spans="3:7" x14ac:dyDescent="0.3">
      <c r="C2622" t="str">
        <f>IFERROR(IF(B2622="","",VLOOKUP(B2622,CadProd!$A:$B,2,0)),"")</f>
        <v/>
      </c>
      <c r="D2622" t="str">
        <f>IFERROR(IF(B2622="","",VLOOKUP(B2622,CadProd!$A:$C,3,0)),"")</f>
        <v/>
      </c>
      <c r="G2622" s="1" t="str">
        <f t="shared" si="40"/>
        <v/>
      </c>
    </row>
    <row r="2623" spans="3:7" x14ac:dyDescent="0.3">
      <c r="C2623" t="str">
        <f>IFERROR(IF(B2623="","",VLOOKUP(B2623,CadProd!$A:$B,2,0)),"")</f>
        <v/>
      </c>
      <c r="D2623" t="str">
        <f>IFERROR(IF(B2623="","",VLOOKUP(B2623,CadProd!$A:$C,3,0)),"")</f>
        <v/>
      </c>
      <c r="G2623" s="1" t="str">
        <f t="shared" si="40"/>
        <v/>
      </c>
    </row>
    <row r="2624" spans="3:7" x14ac:dyDescent="0.3">
      <c r="C2624" t="str">
        <f>IFERROR(IF(B2624="","",VLOOKUP(B2624,CadProd!$A:$B,2,0)),"")</f>
        <v/>
      </c>
      <c r="D2624" t="str">
        <f>IFERROR(IF(B2624="","",VLOOKUP(B2624,CadProd!$A:$C,3,0)),"")</f>
        <v/>
      </c>
      <c r="G2624" s="1" t="str">
        <f t="shared" si="40"/>
        <v/>
      </c>
    </row>
    <row r="2625" spans="3:7" x14ac:dyDescent="0.3">
      <c r="C2625" t="str">
        <f>IFERROR(IF(B2625="","",VLOOKUP(B2625,CadProd!$A:$B,2,0)),"")</f>
        <v/>
      </c>
      <c r="D2625" t="str">
        <f>IFERROR(IF(B2625="","",VLOOKUP(B2625,CadProd!$A:$C,3,0)),"")</f>
        <v/>
      </c>
      <c r="G2625" s="1" t="str">
        <f t="shared" si="40"/>
        <v/>
      </c>
    </row>
    <row r="2626" spans="3:7" x14ac:dyDescent="0.3">
      <c r="C2626" t="str">
        <f>IFERROR(IF(B2626="","",VLOOKUP(B2626,CadProd!$A:$B,2,0)),"")</f>
        <v/>
      </c>
      <c r="D2626" t="str">
        <f>IFERROR(IF(B2626="","",VLOOKUP(B2626,CadProd!$A:$C,3,0)),"")</f>
        <v/>
      </c>
      <c r="G2626" s="1" t="str">
        <f t="shared" si="40"/>
        <v/>
      </c>
    </row>
    <row r="2627" spans="3:7" x14ac:dyDescent="0.3">
      <c r="C2627" t="str">
        <f>IFERROR(IF(B2627="","",VLOOKUP(B2627,CadProd!$A:$B,2,0)),"")</f>
        <v/>
      </c>
      <c r="D2627" t="str">
        <f>IFERROR(IF(B2627="","",VLOOKUP(B2627,CadProd!$A:$C,3,0)),"")</f>
        <v/>
      </c>
      <c r="G2627" s="1" t="str">
        <f t="shared" si="40"/>
        <v/>
      </c>
    </row>
    <row r="2628" spans="3:7" x14ac:dyDescent="0.3">
      <c r="C2628" t="str">
        <f>IFERROR(IF(B2628="","",VLOOKUP(B2628,CadProd!$A:$B,2,0)),"")</f>
        <v/>
      </c>
      <c r="D2628" t="str">
        <f>IFERROR(IF(B2628="","",VLOOKUP(B2628,CadProd!$A:$C,3,0)),"")</f>
        <v/>
      </c>
      <c r="G2628" s="1" t="str">
        <f t="shared" si="40"/>
        <v/>
      </c>
    </row>
    <row r="2629" spans="3:7" x14ac:dyDescent="0.3">
      <c r="C2629" t="str">
        <f>IFERROR(IF(B2629="","",VLOOKUP(B2629,CadProd!$A:$B,2,0)),"")</f>
        <v/>
      </c>
      <c r="D2629" t="str">
        <f>IFERROR(IF(B2629="","",VLOOKUP(B2629,CadProd!$A:$C,3,0)),"")</f>
        <v/>
      </c>
      <c r="G2629" s="1" t="str">
        <f t="shared" si="40"/>
        <v/>
      </c>
    </row>
    <row r="2630" spans="3:7" x14ac:dyDescent="0.3">
      <c r="C2630" t="str">
        <f>IFERROR(IF(B2630="","",VLOOKUP(B2630,CadProd!$A:$B,2,0)),"")</f>
        <v/>
      </c>
      <c r="D2630" t="str">
        <f>IFERROR(IF(B2630="","",VLOOKUP(B2630,CadProd!$A:$C,3,0)),"")</f>
        <v/>
      </c>
      <c r="G2630" s="1" t="str">
        <f t="shared" si="40"/>
        <v/>
      </c>
    </row>
    <row r="2631" spans="3:7" x14ac:dyDescent="0.3">
      <c r="C2631" t="str">
        <f>IFERROR(IF(B2631="","",VLOOKUP(B2631,CadProd!$A:$B,2,0)),"")</f>
        <v/>
      </c>
      <c r="D2631" t="str">
        <f>IFERROR(IF(B2631="","",VLOOKUP(B2631,CadProd!$A:$C,3,0)),"")</f>
        <v/>
      </c>
      <c r="G2631" s="1" t="str">
        <f t="shared" si="40"/>
        <v/>
      </c>
    </row>
    <row r="2632" spans="3:7" x14ac:dyDescent="0.3">
      <c r="C2632" t="str">
        <f>IFERROR(IF(B2632="","",VLOOKUP(B2632,CadProd!$A:$B,2,0)),"")</f>
        <v/>
      </c>
      <c r="D2632" t="str">
        <f>IFERROR(IF(B2632="","",VLOOKUP(B2632,CadProd!$A:$C,3,0)),"")</f>
        <v/>
      </c>
      <c r="G2632" s="1" t="str">
        <f t="shared" si="40"/>
        <v/>
      </c>
    </row>
    <row r="2633" spans="3:7" x14ac:dyDescent="0.3">
      <c r="C2633" t="str">
        <f>IFERROR(IF(B2633="","",VLOOKUP(B2633,CadProd!$A:$B,2,0)),"")</f>
        <v/>
      </c>
      <c r="D2633" t="str">
        <f>IFERROR(IF(B2633="","",VLOOKUP(B2633,CadProd!$A:$C,3,0)),"")</f>
        <v/>
      </c>
      <c r="G2633" s="1" t="str">
        <f t="shared" si="40"/>
        <v/>
      </c>
    </row>
    <row r="2634" spans="3:7" x14ac:dyDescent="0.3">
      <c r="C2634" t="str">
        <f>IFERROR(IF(B2634="","",VLOOKUP(B2634,CadProd!$A:$B,2,0)),"")</f>
        <v/>
      </c>
      <c r="D2634" t="str">
        <f>IFERROR(IF(B2634="","",VLOOKUP(B2634,CadProd!$A:$C,3,0)),"")</f>
        <v/>
      </c>
      <c r="G2634" s="1" t="str">
        <f t="shared" si="40"/>
        <v/>
      </c>
    </row>
    <row r="2635" spans="3:7" x14ac:dyDescent="0.3">
      <c r="C2635" t="str">
        <f>IFERROR(IF(B2635="","",VLOOKUP(B2635,CadProd!$A:$B,2,0)),"")</f>
        <v/>
      </c>
      <c r="D2635" t="str">
        <f>IFERROR(IF(B2635="","",VLOOKUP(B2635,CadProd!$A:$C,3,0)),"")</f>
        <v/>
      </c>
      <c r="G2635" s="1" t="str">
        <f t="shared" ref="G2635:G2698" si="41">IFERROR(IF(B2635="","",F2635*E2635),"")</f>
        <v/>
      </c>
    </row>
    <row r="2636" spans="3:7" x14ac:dyDescent="0.3">
      <c r="C2636" t="str">
        <f>IFERROR(IF(B2636="","",VLOOKUP(B2636,CadProd!$A:$B,2,0)),"")</f>
        <v/>
      </c>
      <c r="D2636" t="str">
        <f>IFERROR(IF(B2636="","",VLOOKUP(B2636,CadProd!$A:$C,3,0)),"")</f>
        <v/>
      </c>
      <c r="G2636" s="1" t="str">
        <f t="shared" si="41"/>
        <v/>
      </c>
    </row>
    <row r="2637" spans="3:7" x14ac:dyDescent="0.3">
      <c r="C2637" t="str">
        <f>IFERROR(IF(B2637="","",VLOOKUP(B2637,CadProd!$A:$B,2,0)),"")</f>
        <v/>
      </c>
      <c r="D2637" t="str">
        <f>IFERROR(IF(B2637="","",VLOOKUP(B2637,CadProd!$A:$C,3,0)),"")</f>
        <v/>
      </c>
      <c r="G2637" s="1" t="str">
        <f t="shared" si="41"/>
        <v/>
      </c>
    </row>
    <row r="2638" spans="3:7" x14ac:dyDescent="0.3">
      <c r="C2638" t="str">
        <f>IFERROR(IF(B2638="","",VLOOKUP(B2638,CadProd!$A:$B,2,0)),"")</f>
        <v/>
      </c>
      <c r="D2638" t="str">
        <f>IFERROR(IF(B2638="","",VLOOKUP(B2638,CadProd!$A:$C,3,0)),"")</f>
        <v/>
      </c>
      <c r="G2638" s="1" t="str">
        <f t="shared" si="41"/>
        <v/>
      </c>
    </row>
    <row r="2639" spans="3:7" x14ac:dyDescent="0.3">
      <c r="C2639" t="str">
        <f>IFERROR(IF(B2639="","",VLOOKUP(B2639,CadProd!$A:$B,2,0)),"")</f>
        <v/>
      </c>
      <c r="D2639" t="str">
        <f>IFERROR(IF(B2639="","",VLOOKUP(B2639,CadProd!$A:$C,3,0)),"")</f>
        <v/>
      </c>
      <c r="G2639" s="1" t="str">
        <f t="shared" si="41"/>
        <v/>
      </c>
    </row>
    <row r="2640" spans="3:7" x14ac:dyDescent="0.3">
      <c r="C2640" t="str">
        <f>IFERROR(IF(B2640="","",VLOOKUP(B2640,CadProd!$A:$B,2,0)),"")</f>
        <v/>
      </c>
      <c r="D2640" t="str">
        <f>IFERROR(IF(B2640="","",VLOOKUP(B2640,CadProd!$A:$C,3,0)),"")</f>
        <v/>
      </c>
      <c r="G2640" s="1" t="str">
        <f t="shared" si="41"/>
        <v/>
      </c>
    </row>
    <row r="2641" spans="3:7" x14ac:dyDescent="0.3">
      <c r="C2641" t="str">
        <f>IFERROR(IF(B2641="","",VLOOKUP(B2641,CadProd!$A:$B,2,0)),"")</f>
        <v/>
      </c>
      <c r="D2641" t="str">
        <f>IFERROR(IF(B2641="","",VLOOKUP(B2641,CadProd!$A:$C,3,0)),"")</f>
        <v/>
      </c>
      <c r="G2641" s="1" t="str">
        <f t="shared" si="41"/>
        <v/>
      </c>
    </row>
    <row r="2642" spans="3:7" x14ac:dyDescent="0.3">
      <c r="C2642" t="str">
        <f>IFERROR(IF(B2642="","",VLOOKUP(B2642,CadProd!$A:$B,2,0)),"")</f>
        <v/>
      </c>
      <c r="D2642" t="str">
        <f>IFERROR(IF(B2642="","",VLOOKUP(B2642,CadProd!$A:$C,3,0)),"")</f>
        <v/>
      </c>
      <c r="G2642" s="1" t="str">
        <f t="shared" si="41"/>
        <v/>
      </c>
    </row>
    <row r="2643" spans="3:7" x14ac:dyDescent="0.3">
      <c r="C2643" t="str">
        <f>IFERROR(IF(B2643="","",VLOOKUP(B2643,CadProd!$A:$B,2,0)),"")</f>
        <v/>
      </c>
      <c r="D2643" t="str">
        <f>IFERROR(IF(B2643="","",VLOOKUP(B2643,CadProd!$A:$C,3,0)),"")</f>
        <v/>
      </c>
      <c r="G2643" s="1" t="str">
        <f t="shared" si="41"/>
        <v/>
      </c>
    </row>
    <row r="2644" spans="3:7" x14ac:dyDescent="0.3">
      <c r="C2644" t="str">
        <f>IFERROR(IF(B2644="","",VLOOKUP(B2644,CadProd!$A:$B,2,0)),"")</f>
        <v/>
      </c>
      <c r="D2644" t="str">
        <f>IFERROR(IF(B2644="","",VLOOKUP(B2644,CadProd!$A:$C,3,0)),"")</f>
        <v/>
      </c>
      <c r="G2644" s="1" t="str">
        <f t="shared" si="41"/>
        <v/>
      </c>
    </row>
    <row r="2645" spans="3:7" x14ac:dyDescent="0.3">
      <c r="C2645" t="str">
        <f>IFERROR(IF(B2645="","",VLOOKUP(B2645,CadProd!$A:$B,2,0)),"")</f>
        <v/>
      </c>
      <c r="D2645" t="str">
        <f>IFERROR(IF(B2645="","",VLOOKUP(B2645,CadProd!$A:$C,3,0)),"")</f>
        <v/>
      </c>
      <c r="G2645" s="1" t="str">
        <f t="shared" si="41"/>
        <v/>
      </c>
    </row>
    <row r="2646" spans="3:7" x14ac:dyDescent="0.3">
      <c r="C2646" t="str">
        <f>IFERROR(IF(B2646="","",VLOOKUP(B2646,CadProd!$A:$B,2,0)),"")</f>
        <v/>
      </c>
      <c r="D2646" t="str">
        <f>IFERROR(IF(B2646="","",VLOOKUP(B2646,CadProd!$A:$C,3,0)),"")</f>
        <v/>
      </c>
      <c r="G2646" s="1" t="str">
        <f t="shared" si="41"/>
        <v/>
      </c>
    </row>
    <row r="2647" spans="3:7" x14ac:dyDescent="0.3">
      <c r="C2647" t="str">
        <f>IFERROR(IF(B2647="","",VLOOKUP(B2647,CadProd!$A:$B,2,0)),"")</f>
        <v/>
      </c>
      <c r="D2647" t="str">
        <f>IFERROR(IF(B2647="","",VLOOKUP(B2647,CadProd!$A:$C,3,0)),"")</f>
        <v/>
      </c>
      <c r="G2647" s="1" t="str">
        <f t="shared" si="41"/>
        <v/>
      </c>
    </row>
    <row r="2648" spans="3:7" x14ac:dyDescent="0.3">
      <c r="C2648" t="str">
        <f>IFERROR(IF(B2648="","",VLOOKUP(B2648,CadProd!$A:$B,2,0)),"")</f>
        <v/>
      </c>
      <c r="D2648" t="str">
        <f>IFERROR(IF(B2648="","",VLOOKUP(B2648,CadProd!$A:$C,3,0)),"")</f>
        <v/>
      </c>
      <c r="G2648" s="1" t="str">
        <f t="shared" si="41"/>
        <v/>
      </c>
    </row>
    <row r="2649" spans="3:7" x14ac:dyDescent="0.3">
      <c r="C2649" t="str">
        <f>IFERROR(IF(B2649="","",VLOOKUP(B2649,CadProd!$A:$B,2,0)),"")</f>
        <v/>
      </c>
      <c r="D2649" t="str">
        <f>IFERROR(IF(B2649="","",VLOOKUP(B2649,CadProd!$A:$C,3,0)),"")</f>
        <v/>
      </c>
      <c r="G2649" s="1" t="str">
        <f t="shared" si="41"/>
        <v/>
      </c>
    </row>
    <row r="2650" spans="3:7" x14ac:dyDescent="0.3">
      <c r="C2650" t="str">
        <f>IFERROR(IF(B2650="","",VLOOKUP(B2650,CadProd!$A:$B,2,0)),"")</f>
        <v/>
      </c>
      <c r="D2650" t="str">
        <f>IFERROR(IF(B2650="","",VLOOKUP(B2650,CadProd!$A:$C,3,0)),"")</f>
        <v/>
      </c>
      <c r="G2650" s="1" t="str">
        <f t="shared" si="41"/>
        <v/>
      </c>
    </row>
    <row r="2651" spans="3:7" x14ac:dyDescent="0.3">
      <c r="C2651" t="str">
        <f>IFERROR(IF(B2651="","",VLOOKUP(B2651,CadProd!$A:$B,2,0)),"")</f>
        <v/>
      </c>
      <c r="D2651" t="str">
        <f>IFERROR(IF(B2651="","",VLOOKUP(B2651,CadProd!$A:$C,3,0)),"")</f>
        <v/>
      </c>
      <c r="G2651" s="1" t="str">
        <f t="shared" si="41"/>
        <v/>
      </c>
    </row>
    <row r="2652" spans="3:7" x14ac:dyDescent="0.3">
      <c r="C2652" t="str">
        <f>IFERROR(IF(B2652="","",VLOOKUP(B2652,CadProd!$A:$B,2,0)),"")</f>
        <v/>
      </c>
      <c r="D2652" t="str">
        <f>IFERROR(IF(B2652="","",VLOOKUP(B2652,CadProd!$A:$C,3,0)),"")</f>
        <v/>
      </c>
      <c r="G2652" s="1" t="str">
        <f t="shared" si="41"/>
        <v/>
      </c>
    </row>
    <row r="2653" spans="3:7" x14ac:dyDescent="0.3">
      <c r="C2653" t="str">
        <f>IFERROR(IF(B2653="","",VLOOKUP(B2653,CadProd!$A:$B,2,0)),"")</f>
        <v/>
      </c>
      <c r="D2653" t="str">
        <f>IFERROR(IF(B2653="","",VLOOKUP(B2653,CadProd!$A:$C,3,0)),"")</f>
        <v/>
      </c>
      <c r="G2653" s="1" t="str">
        <f t="shared" si="41"/>
        <v/>
      </c>
    </row>
    <row r="2654" spans="3:7" x14ac:dyDescent="0.3">
      <c r="C2654" t="str">
        <f>IFERROR(IF(B2654="","",VLOOKUP(B2654,CadProd!$A:$B,2,0)),"")</f>
        <v/>
      </c>
      <c r="D2654" t="str">
        <f>IFERROR(IF(B2654="","",VLOOKUP(B2654,CadProd!$A:$C,3,0)),"")</f>
        <v/>
      </c>
      <c r="G2654" s="1" t="str">
        <f t="shared" si="41"/>
        <v/>
      </c>
    </row>
    <row r="2655" spans="3:7" x14ac:dyDescent="0.3">
      <c r="C2655" t="str">
        <f>IFERROR(IF(B2655="","",VLOOKUP(B2655,CadProd!$A:$B,2,0)),"")</f>
        <v/>
      </c>
      <c r="D2655" t="str">
        <f>IFERROR(IF(B2655="","",VLOOKUP(B2655,CadProd!$A:$C,3,0)),"")</f>
        <v/>
      </c>
      <c r="G2655" s="1" t="str">
        <f t="shared" si="41"/>
        <v/>
      </c>
    </row>
    <row r="2656" spans="3:7" x14ac:dyDescent="0.3">
      <c r="C2656" t="str">
        <f>IFERROR(IF(B2656="","",VLOOKUP(B2656,CadProd!$A:$B,2,0)),"")</f>
        <v/>
      </c>
      <c r="D2656" t="str">
        <f>IFERROR(IF(B2656="","",VLOOKUP(B2656,CadProd!$A:$C,3,0)),"")</f>
        <v/>
      </c>
      <c r="G2656" s="1" t="str">
        <f t="shared" si="41"/>
        <v/>
      </c>
    </row>
    <row r="2657" spans="3:7" x14ac:dyDescent="0.3">
      <c r="C2657" t="str">
        <f>IFERROR(IF(B2657="","",VLOOKUP(B2657,CadProd!$A:$B,2,0)),"")</f>
        <v/>
      </c>
      <c r="D2657" t="str">
        <f>IFERROR(IF(B2657="","",VLOOKUP(B2657,CadProd!$A:$C,3,0)),"")</f>
        <v/>
      </c>
      <c r="G2657" s="1" t="str">
        <f t="shared" si="41"/>
        <v/>
      </c>
    </row>
    <row r="2658" spans="3:7" x14ac:dyDescent="0.3">
      <c r="C2658" t="str">
        <f>IFERROR(IF(B2658="","",VLOOKUP(B2658,CadProd!$A:$B,2,0)),"")</f>
        <v/>
      </c>
      <c r="D2658" t="str">
        <f>IFERROR(IF(B2658="","",VLOOKUP(B2658,CadProd!$A:$C,3,0)),"")</f>
        <v/>
      </c>
      <c r="G2658" s="1" t="str">
        <f t="shared" si="41"/>
        <v/>
      </c>
    </row>
    <row r="2659" spans="3:7" x14ac:dyDescent="0.3">
      <c r="C2659" t="str">
        <f>IFERROR(IF(B2659="","",VLOOKUP(B2659,CadProd!$A:$B,2,0)),"")</f>
        <v/>
      </c>
      <c r="D2659" t="str">
        <f>IFERROR(IF(B2659="","",VLOOKUP(B2659,CadProd!$A:$C,3,0)),"")</f>
        <v/>
      </c>
      <c r="G2659" s="1" t="str">
        <f t="shared" si="41"/>
        <v/>
      </c>
    </row>
    <row r="2660" spans="3:7" x14ac:dyDescent="0.3">
      <c r="C2660" t="str">
        <f>IFERROR(IF(B2660="","",VLOOKUP(B2660,CadProd!$A:$B,2,0)),"")</f>
        <v/>
      </c>
      <c r="D2660" t="str">
        <f>IFERROR(IF(B2660="","",VLOOKUP(B2660,CadProd!$A:$C,3,0)),"")</f>
        <v/>
      </c>
      <c r="G2660" s="1" t="str">
        <f t="shared" si="41"/>
        <v/>
      </c>
    </row>
    <row r="2661" spans="3:7" x14ac:dyDescent="0.3">
      <c r="C2661" t="str">
        <f>IFERROR(IF(B2661="","",VLOOKUP(B2661,CadProd!$A:$B,2,0)),"")</f>
        <v/>
      </c>
      <c r="D2661" t="str">
        <f>IFERROR(IF(B2661="","",VLOOKUP(B2661,CadProd!$A:$C,3,0)),"")</f>
        <v/>
      </c>
      <c r="G2661" s="1" t="str">
        <f t="shared" si="41"/>
        <v/>
      </c>
    </row>
    <row r="2662" spans="3:7" x14ac:dyDescent="0.3">
      <c r="C2662" t="str">
        <f>IFERROR(IF(B2662="","",VLOOKUP(B2662,CadProd!$A:$B,2,0)),"")</f>
        <v/>
      </c>
      <c r="D2662" t="str">
        <f>IFERROR(IF(B2662="","",VLOOKUP(B2662,CadProd!$A:$C,3,0)),"")</f>
        <v/>
      </c>
      <c r="G2662" s="1" t="str">
        <f t="shared" si="41"/>
        <v/>
      </c>
    </row>
    <row r="2663" spans="3:7" x14ac:dyDescent="0.3">
      <c r="C2663" t="str">
        <f>IFERROR(IF(B2663="","",VLOOKUP(B2663,CadProd!$A:$B,2,0)),"")</f>
        <v/>
      </c>
      <c r="D2663" t="str">
        <f>IFERROR(IF(B2663="","",VLOOKUP(B2663,CadProd!$A:$C,3,0)),"")</f>
        <v/>
      </c>
      <c r="G2663" s="1" t="str">
        <f t="shared" si="41"/>
        <v/>
      </c>
    </row>
    <row r="2664" spans="3:7" x14ac:dyDescent="0.3">
      <c r="C2664" t="str">
        <f>IFERROR(IF(B2664="","",VLOOKUP(B2664,CadProd!$A:$B,2,0)),"")</f>
        <v/>
      </c>
      <c r="D2664" t="str">
        <f>IFERROR(IF(B2664="","",VLOOKUP(B2664,CadProd!$A:$C,3,0)),"")</f>
        <v/>
      </c>
      <c r="G2664" s="1" t="str">
        <f t="shared" si="41"/>
        <v/>
      </c>
    </row>
    <row r="2665" spans="3:7" x14ac:dyDescent="0.3">
      <c r="C2665" t="str">
        <f>IFERROR(IF(B2665="","",VLOOKUP(B2665,CadProd!$A:$B,2,0)),"")</f>
        <v/>
      </c>
      <c r="D2665" t="str">
        <f>IFERROR(IF(B2665="","",VLOOKUP(B2665,CadProd!$A:$C,3,0)),"")</f>
        <v/>
      </c>
      <c r="G2665" s="1" t="str">
        <f t="shared" si="41"/>
        <v/>
      </c>
    </row>
    <row r="2666" spans="3:7" x14ac:dyDescent="0.3">
      <c r="C2666" t="str">
        <f>IFERROR(IF(B2666="","",VLOOKUP(B2666,CadProd!$A:$B,2,0)),"")</f>
        <v/>
      </c>
      <c r="D2666" t="str">
        <f>IFERROR(IF(B2666="","",VLOOKUP(B2666,CadProd!$A:$C,3,0)),"")</f>
        <v/>
      </c>
      <c r="G2666" s="1" t="str">
        <f t="shared" si="41"/>
        <v/>
      </c>
    </row>
    <row r="2667" spans="3:7" x14ac:dyDescent="0.3">
      <c r="C2667" t="str">
        <f>IFERROR(IF(B2667="","",VLOOKUP(B2667,CadProd!$A:$B,2,0)),"")</f>
        <v/>
      </c>
      <c r="D2667" t="str">
        <f>IFERROR(IF(B2667="","",VLOOKUP(B2667,CadProd!$A:$C,3,0)),"")</f>
        <v/>
      </c>
      <c r="G2667" s="1" t="str">
        <f t="shared" si="41"/>
        <v/>
      </c>
    </row>
    <row r="2668" spans="3:7" x14ac:dyDescent="0.3">
      <c r="C2668" t="str">
        <f>IFERROR(IF(B2668="","",VLOOKUP(B2668,CadProd!$A:$B,2,0)),"")</f>
        <v/>
      </c>
      <c r="D2668" t="str">
        <f>IFERROR(IF(B2668="","",VLOOKUP(B2668,CadProd!$A:$C,3,0)),"")</f>
        <v/>
      </c>
      <c r="G2668" s="1" t="str">
        <f t="shared" si="41"/>
        <v/>
      </c>
    </row>
    <row r="2669" spans="3:7" x14ac:dyDescent="0.3">
      <c r="C2669" t="str">
        <f>IFERROR(IF(B2669="","",VLOOKUP(B2669,CadProd!$A:$B,2,0)),"")</f>
        <v/>
      </c>
      <c r="D2669" t="str">
        <f>IFERROR(IF(B2669="","",VLOOKUP(B2669,CadProd!$A:$C,3,0)),"")</f>
        <v/>
      </c>
      <c r="G2669" s="1" t="str">
        <f t="shared" si="41"/>
        <v/>
      </c>
    </row>
    <row r="2670" spans="3:7" x14ac:dyDescent="0.3">
      <c r="C2670" t="str">
        <f>IFERROR(IF(B2670="","",VLOOKUP(B2670,CadProd!$A:$B,2,0)),"")</f>
        <v/>
      </c>
      <c r="D2670" t="str">
        <f>IFERROR(IF(B2670="","",VLOOKUP(B2670,CadProd!$A:$C,3,0)),"")</f>
        <v/>
      </c>
      <c r="G2670" s="1" t="str">
        <f t="shared" si="41"/>
        <v/>
      </c>
    </row>
    <row r="2671" spans="3:7" x14ac:dyDescent="0.3">
      <c r="C2671" t="str">
        <f>IFERROR(IF(B2671="","",VLOOKUP(B2671,CadProd!$A:$B,2,0)),"")</f>
        <v/>
      </c>
      <c r="D2671" t="str">
        <f>IFERROR(IF(B2671="","",VLOOKUP(B2671,CadProd!$A:$C,3,0)),"")</f>
        <v/>
      </c>
      <c r="G2671" s="1" t="str">
        <f t="shared" si="41"/>
        <v/>
      </c>
    </row>
    <row r="2672" spans="3:7" x14ac:dyDescent="0.3">
      <c r="C2672" t="str">
        <f>IFERROR(IF(B2672="","",VLOOKUP(B2672,CadProd!$A:$B,2,0)),"")</f>
        <v/>
      </c>
      <c r="D2672" t="str">
        <f>IFERROR(IF(B2672="","",VLOOKUP(B2672,CadProd!$A:$C,3,0)),"")</f>
        <v/>
      </c>
      <c r="G2672" s="1" t="str">
        <f t="shared" si="41"/>
        <v/>
      </c>
    </row>
    <row r="2673" spans="3:7" x14ac:dyDescent="0.3">
      <c r="C2673" t="str">
        <f>IFERROR(IF(B2673="","",VLOOKUP(B2673,CadProd!$A:$B,2,0)),"")</f>
        <v/>
      </c>
      <c r="D2673" t="str">
        <f>IFERROR(IF(B2673="","",VLOOKUP(B2673,CadProd!$A:$C,3,0)),"")</f>
        <v/>
      </c>
      <c r="G2673" s="1" t="str">
        <f t="shared" si="41"/>
        <v/>
      </c>
    </row>
    <row r="2674" spans="3:7" x14ac:dyDescent="0.3">
      <c r="C2674" t="str">
        <f>IFERROR(IF(B2674="","",VLOOKUP(B2674,CadProd!$A:$B,2,0)),"")</f>
        <v/>
      </c>
      <c r="D2674" t="str">
        <f>IFERROR(IF(B2674="","",VLOOKUP(B2674,CadProd!$A:$C,3,0)),"")</f>
        <v/>
      </c>
      <c r="G2674" s="1" t="str">
        <f t="shared" si="41"/>
        <v/>
      </c>
    </row>
    <row r="2675" spans="3:7" x14ac:dyDescent="0.3">
      <c r="C2675" t="str">
        <f>IFERROR(IF(B2675="","",VLOOKUP(B2675,CadProd!$A:$B,2,0)),"")</f>
        <v/>
      </c>
      <c r="D2675" t="str">
        <f>IFERROR(IF(B2675="","",VLOOKUP(B2675,CadProd!$A:$C,3,0)),"")</f>
        <v/>
      </c>
      <c r="G2675" s="1" t="str">
        <f t="shared" si="41"/>
        <v/>
      </c>
    </row>
    <row r="2676" spans="3:7" x14ac:dyDescent="0.3">
      <c r="C2676" t="str">
        <f>IFERROR(IF(B2676="","",VLOOKUP(B2676,CadProd!$A:$B,2,0)),"")</f>
        <v/>
      </c>
      <c r="D2676" t="str">
        <f>IFERROR(IF(B2676="","",VLOOKUP(B2676,CadProd!$A:$C,3,0)),"")</f>
        <v/>
      </c>
      <c r="G2676" s="1" t="str">
        <f t="shared" si="41"/>
        <v/>
      </c>
    </row>
    <row r="2677" spans="3:7" x14ac:dyDescent="0.3">
      <c r="C2677" t="str">
        <f>IFERROR(IF(B2677="","",VLOOKUP(B2677,CadProd!$A:$B,2,0)),"")</f>
        <v/>
      </c>
      <c r="D2677" t="str">
        <f>IFERROR(IF(B2677="","",VLOOKUP(B2677,CadProd!$A:$C,3,0)),"")</f>
        <v/>
      </c>
      <c r="G2677" s="1" t="str">
        <f t="shared" si="41"/>
        <v/>
      </c>
    </row>
    <row r="2678" spans="3:7" x14ac:dyDescent="0.3">
      <c r="C2678" t="str">
        <f>IFERROR(IF(B2678="","",VLOOKUP(B2678,CadProd!$A:$B,2,0)),"")</f>
        <v/>
      </c>
      <c r="D2678" t="str">
        <f>IFERROR(IF(B2678="","",VLOOKUP(B2678,CadProd!$A:$C,3,0)),"")</f>
        <v/>
      </c>
      <c r="G2678" s="1" t="str">
        <f t="shared" si="41"/>
        <v/>
      </c>
    </row>
    <row r="2679" spans="3:7" x14ac:dyDescent="0.3">
      <c r="C2679" t="str">
        <f>IFERROR(IF(B2679="","",VLOOKUP(B2679,CadProd!$A:$B,2,0)),"")</f>
        <v/>
      </c>
      <c r="D2679" t="str">
        <f>IFERROR(IF(B2679="","",VLOOKUP(B2679,CadProd!$A:$C,3,0)),"")</f>
        <v/>
      </c>
      <c r="G2679" s="1" t="str">
        <f t="shared" si="41"/>
        <v/>
      </c>
    </row>
    <row r="2680" spans="3:7" x14ac:dyDescent="0.3">
      <c r="C2680" t="str">
        <f>IFERROR(IF(B2680="","",VLOOKUP(B2680,CadProd!$A:$B,2,0)),"")</f>
        <v/>
      </c>
      <c r="D2680" t="str">
        <f>IFERROR(IF(B2680="","",VLOOKUP(B2680,CadProd!$A:$C,3,0)),"")</f>
        <v/>
      </c>
      <c r="G2680" s="1" t="str">
        <f t="shared" si="41"/>
        <v/>
      </c>
    </row>
    <row r="2681" spans="3:7" x14ac:dyDescent="0.3">
      <c r="C2681" t="str">
        <f>IFERROR(IF(B2681="","",VLOOKUP(B2681,CadProd!$A:$B,2,0)),"")</f>
        <v/>
      </c>
      <c r="D2681" t="str">
        <f>IFERROR(IF(B2681="","",VLOOKUP(B2681,CadProd!$A:$C,3,0)),"")</f>
        <v/>
      </c>
      <c r="G2681" s="1" t="str">
        <f t="shared" si="41"/>
        <v/>
      </c>
    </row>
    <row r="2682" spans="3:7" x14ac:dyDescent="0.3">
      <c r="C2682" t="str">
        <f>IFERROR(IF(B2682="","",VLOOKUP(B2682,CadProd!$A:$B,2,0)),"")</f>
        <v/>
      </c>
      <c r="D2682" t="str">
        <f>IFERROR(IF(B2682="","",VLOOKUP(B2682,CadProd!$A:$C,3,0)),"")</f>
        <v/>
      </c>
      <c r="G2682" s="1" t="str">
        <f t="shared" si="41"/>
        <v/>
      </c>
    </row>
    <row r="2683" spans="3:7" x14ac:dyDescent="0.3">
      <c r="C2683" t="str">
        <f>IFERROR(IF(B2683="","",VLOOKUP(B2683,CadProd!$A:$B,2,0)),"")</f>
        <v/>
      </c>
      <c r="D2683" t="str">
        <f>IFERROR(IF(B2683="","",VLOOKUP(B2683,CadProd!$A:$C,3,0)),"")</f>
        <v/>
      </c>
      <c r="G2683" s="1" t="str">
        <f t="shared" si="41"/>
        <v/>
      </c>
    </row>
    <row r="2684" spans="3:7" x14ac:dyDescent="0.3">
      <c r="C2684" t="str">
        <f>IFERROR(IF(B2684="","",VLOOKUP(B2684,CadProd!$A:$B,2,0)),"")</f>
        <v/>
      </c>
      <c r="D2684" t="str">
        <f>IFERROR(IF(B2684="","",VLOOKUP(B2684,CadProd!$A:$C,3,0)),"")</f>
        <v/>
      </c>
      <c r="G2684" s="1" t="str">
        <f t="shared" si="41"/>
        <v/>
      </c>
    </row>
    <row r="2685" spans="3:7" x14ac:dyDescent="0.3">
      <c r="C2685" t="str">
        <f>IFERROR(IF(B2685="","",VLOOKUP(B2685,CadProd!$A:$B,2,0)),"")</f>
        <v/>
      </c>
      <c r="D2685" t="str">
        <f>IFERROR(IF(B2685="","",VLOOKUP(B2685,CadProd!$A:$C,3,0)),"")</f>
        <v/>
      </c>
      <c r="G2685" s="1" t="str">
        <f t="shared" si="41"/>
        <v/>
      </c>
    </row>
    <row r="2686" spans="3:7" x14ac:dyDescent="0.3">
      <c r="C2686" t="str">
        <f>IFERROR(IF(B2686="","",VLOOKUP(B2686,CadProd!$A:$B,2,0)),"")</f>
        <v/>
      </c>
      <c r="D2686" t="str">
        <f>IFERROR(IF(B2686="","",VLOOKUP(B2686,CadProd!$A:$C,3,0)),"")</f>
        <v/>
      </c>
      <c r="G2686" s="1" t="str">
        <f t="shared" si="41"/>
        <v/>
      </c>
    </row>
    <row r="2687" spans="3:7" x14ac:dyDescent="0.3">
      <c r="C2687" t="str">
        <f>IFERROR(IF(B2687="","",VLOOKUP(B2687,CadProd!$A:$B,2,0)),"")</f>
        <v/>
      </c>
      <c r="D2687" t="str">
        <f>IFERROR(IF(B2687="","",VLOOKUP(B2687,CadProd!$A:$C,3,0)),"")</f>
        <v/>
      </c>
      <c r="G2687" s="1" t="str">
        <f t="shared" si="41"/>
        <v/>
      </c>
    </row>
    <row r="2688" spans="3:7" x14ac:dyDescent="0.3">
      <c r="C2688" t="str">
        <f>IFERROR(IF(B2688="","",VLOOKUP(B2688,CadProd!$A:$B,2,0)),"")</f>
        <v/>
      </c>
      <c r="D2688" t="str">
        <f>IFERROR(IF(B2688="","",VLOOKUP(B2688,CadProd!$A:$C,3,0)),"")</f>
        <v/>
      </c>
      <c r="G2688" s="1" t="str">
        <f t="shared" si="41"/>
        <v/>
      </c>
    </row>
    <row r="2689" spans="3:7" x14ac:dyDescent="0.3">
      <c r="C2689" t="str">
        <f>IFERROR(IF(B2689="","",VLOOKUP(B2689,CadProd!$A:$B,2,0)),"")</f>
        <v/>
      </c>
      <c r="D2689" t="str">
        <f>IFERROR(IF(B2689="","",VLOOKUP(B2689,CadProd!$A:$C,3,0)),"")</f>
        <v/>
      </c>
      <c r="G2689" s="1" t="str">
        <f t="shared" si="41"/>
        <v/>
      </c>
    </row>
    <row r="2690" spans="3:7" x14ac:dyDescent="0.3">
      <c r="C2690" t="str">
        <f>IFERROR(IF(B2690="","",VLOOKUP(B2690,CadProd!$A:$B,2,0)),"")</f>
        <v/>
      </c>
      <c r="D2690" t="str">
        <f>IFERROR(IF(B2690="","",VLOOKUP(B2690,CadProd!$A:$C,3,0)),"")</f>
        <v/>
      </c>
      <c r="G2690" s="1" t="str">
        <f t="shared" si="41"/>
        <v/>
      </c>
    </row>
    <row r="2691" spans="3:7" x14ac:dyDescent="0.3">
      <c r="C2691" t="str">
        <f>IFERROR(IF(B2691="","",VLOOKUP(B2691,CadProd!$A:$B,2,0)),"")</f>
        <v/>
      </c>
      <c r="D2691" t="str">
        <f>IFERROR(IF(B2691="","",VLOOKUP(B2691,CadProd!$A:$C,3,0)),"")</f>
        <v/>
      </c>
      <c r="G2691" s="1" t="str">
        <f t="shared" si="41"/>
        <v/>
      </c>
    </row>
    <row r="2692" spans="3:7" x14ac:dyDescent="0.3">
      <c r="C2692" t="str">
        <f>IFERROR(IF(B2692="","",VLOOKUP(B2692,CadProd!$A:$B,2,0)),"")</f>
        <v/>
      </c>
      <c r="D2692" t="str">
        <f>IFERROR(IF(B2692="","",VLOOKUP(B2692,CadProd!$A:$C,3,0)),"")</f>
        <v/>
      </c>
      <c r="G2692" s="1" t="str">
        <f t="shared" si="41"/>
        <v/>
      </c>
    </row>
    <row r="2693" spans="3:7" x14ac:dyDescent="0.3">
      <c r="C2693" t="str">
        <f>IFERROR(IF(B2693="","",VLOOKUP(B2693,CadProd!$A:$B,2,0)),"")</f>
        <v/>
      </c>
      <c r="D2693" t="str">
        <f>IFERROR(IF(B2693="","",VLOOKUP(B2693,CadProd!$A:$C,3,0)),"")</f>
        <v/>
      </c>
      <c r="G2693" s="1" t="str">
        <f t="shared" si="41"/>
        <v/>
      </c>
    </row>
    <row r="2694" spans="3:7" x14ac:dyDescent="0.3">
      <c r="C2694" t="str">
        <f>IFERROR(IF(B2694="","",VLOOKUP(B2694,CadProd!$A:$B,2,0)),"")</f>
        <v/>
      </c>
      <c r="D2694" t="str">
        <f>IFERROR(IF(B2694="","",VLOOKUP(B2694,CadProd!$A:$C,3,0)),"")</f>
        <v/>
      </c>
      <c r="G2694" s="1" t="str">
        <f t="shared" si="41"/>
        <v/>
      </c>
    </row>
    <row r="2695" spans="3:7" x14ac:dyDescent="0.3">
      <c r="C2695" t="str">
        <f>IFERROR(IF(B2695="","",VLOOKUP(B2695,CadProd!$A:$B,2,0)),"")</f>
        <v/>
      </c>
      <c r="D2695" t="str">
        <f>IFERROR(IF(B2695="","",VLOOKUP(B2695,CadProd!$A:$C,3,0)),"")</f>
        <v/>
      </c>
      <c r="G2695" s="1" t="str">
        <f t="shared" si="41"/>
        <v/>
      </c>
    </row>
    <row r="2696" spans="3:7" x14ac:dyDescent="0.3">
      <c r="C2696" t="str">
        <f>IFERROR(IF(B2696="","",VLOOKUP(B2696,CadProd!$A:$B,2,0)),"")</f>
        <v/>
      </c>
      <c r="D2696" t="str">
        <f>IFERROR(IF(B2696="","",VLOOKUP(B2696,CadProd!$A:$C,3,0)),"")</f>
        <v/>
      </c>
      <c r="G2696" s="1" t="str">
        <f t="shared" si="41"/>
        <v/>
      </c>
    </row>
    <row r="2697" spans="3:7" x14ac:dyDescent="0.3">
      <c r="C2697" t="str">
        <f>IFERROR(IF(B2697="","",VLOOKUP(B2697,CadProd!$A:$B,2,0)),"")</f>
        <v/>
      </c>
      <c r="D2697" t="str">
        <f>IFERROR(IF(B2697="","",VLOOKUP(B2697,CadProd!$A:$C,3,0)),"")</f>
        <v/>
      </c>
      <c r="G2697" s="1" t="str">
        <f t="shared" si="41"/>
        <v/>
      </c>
    </row>
    <row r="2698" spans="3:7" x14ac:dyDescent="0.3">
      <c r="C2698" t="str">
        <f>IFERROR(IF(B2698="","",VLOOKUP(B2698,CadProd!$A:$B,2,0)),"")</f>
        <v/>
      </c>
      <c r="D2698" t="str">
        <f>IFERROR(IF(B2698="","",VLOOKUP(B2698,CadProd!$A:$C,3,0)),"")</f>
        <v/>
      </c>
      <c r="G2698" s="1" t="str">
        <f t="shared" si="41"/>
        <v/>
      </c>
    </row>
    <row r="2699" spans="3:7" x14ac:dyDescent="0.3">
      <c r="C2699" t="str">
        <f>IFERROR(IF(B2699="","",VLOOKUP(B2699,CadProd!$A:$B,2,0)),"")</f>
        <v/>
      </c>
      <c r="D2699" t="str">
        <f>IFERROR(IF(B2699="","",VLOOKUP(B2699,CadProd!$A:$C,3,0)),"")</f>
        <v/>
      </c>
      <c r="G2699" s="1" t="str">
        <f t="shared" ref="G2699:G2762" si="42">IFERROR(IF(B2699="","",F2699*E2699),"")</f>
        <v/>
      </c>
    </row>
    <row r="2700" spans="3:7" x14ac:dyDescent="0.3">
      <c r="C2700" t="str">
        <f>IFERROR(IF(B2700="","",VLOOKUP(B2700,CadProd!$A:$B,2,0)),"")</f>
        <v/>
      </c>
      <c r="D2700" t="str">
        <f>IFERROR(IF(B2700="","",VLOOKUP(B2700,CadProd!$A:$C,3,0)),"")</f>
        <v/>
      </c>
      <c r="G2700" s="1" t="str">
        <f t="shared" si="42"/>
        <v/>
      </c>
    </row>
    <row r="2701" spans="3:7" x14ac:dyDescent="0.3">
      <c r="C2701" t="str">
        <f>IFERROR(IF(B2701="","",VLOOKUP(B2701,CadProd!$A:$B,2,0)),"")</f>
        <v/>
      </c>
      <c r="D2701" t="str">
        <f>IFERROR(IF(B2701="","",VLOOKUP(B2701,CadProd!$A:$C,3,0)),"")</f>
        <v/>
      </c>
      <c r="G2701" s="1" t="str">
        <f t="shared" si="42"/>
        <v/>
      </c>
    </row>
    <row r="2702" spans="3:7" x14ac:dyDescent="0.3">
      <c r="C2702" t="str">
        <f>IFERROR(IF(B2702="","",VLOOKUP(B2702,CadProd!$A:$B,2,0)),"")</f>
        <v/>
      </c>
      <c r="D2702" t="str">
        <f>IFERROR(IF(B2702="","",VLOOKUP(B2702,CadProd!$A:$C,3,0)),"")</f>
        <v/>
      </c>
      <c r="G2702" s="1" t="str">
        <f t="shared" si="42"/>
        <v/>
      </c>
    </row>
    <row r="2703" spans="3:7" x14ac:dyDescent="0.3">
      <c r="C2703" t="str">
        <f>IFERROR(IF(B2703="","",VLOOKUP(B2703,CadProd!$A:$B,2,0)),"")</f>
        <v/>
      </c>
      <c r="D2703" t="str">
        <f>IFERROR(IF(B2703="","",VLOOKUP(B2703,CadProd!$A:$C,3,0)),"")</f>
        <v/>
      </c>
      <c r="G2703" s="1" t="str">
        <f t="shared" si="42"/>
        <v/>
      </c>
    </row>
    <row r="2704" spans="3:7" x14ac:dyDescent="0.3">
      <c r="C2704" t="str">
        <f>IFERROR(IF(B2704="","",VLOOKUP(B2704,CadProd!$A:$B,2,0)),"")</f>
        <v/>
      </c>
      <c r="D2704" t="str">
        <f>IFERROR(IF(B2704="","",VLOOKUP(B2704,CadProd!$A:$C,3,0)),"")</f>
        <v/>
      </c>
      <c r="G2704" s="1" t="str">
        <f t="shared" si="42"/>
        <v/>
      </c>
    </row>
    <row r="2705" spans="3:7" x14ac:dyDescent="0.3">
      <c r="C2705" t="str">
        <f>IFERROR(IF(B2705="","",VLOOKUP(B2705,CadProd!$A:$B,2,0)),"")</f>
        <v/>
      </c>
      <c r="D2705" t="str">
        <f>IFERROR(IF(B2705="","",VLOOKUP(B2705,CadProd!$A:$C,3,0)),"")</f>
        <v/>
      </c>
      <c r="G2705" s="1" t="str">
        <f t="shared" si="42"/>
        <v/>
      </c>
    </row>
    <row r="2706" spans="3:7" x14ac:dyDescent="0.3">
      <c r="C2706" t="str">
        <f>IFERROR(IF(B2706="","",VLOOKUP(B2706,CadProd!$A:$B,2,0)),"")</f>
        <v/>
      </c>
      <c r="D2706" t="str">
        <f>IFERROR(IF(B2706="","",VLOOKUP(B2706,CadProd!$A:$C,3,0)),"")</f>
        <v/>
      </c>
      <c r="G2706" s="1" t="str">
        <f t="shared" si="42"/>
        <v/>
      </c>
    </row>
    <row r="2707" spans="3:7" x14ac:dyDescent="0.3">
      <c r="C2707" t="str">
        <f>IFERROR(IF(B2707="","",VLOOKUP(B2707,CadProd!$A:$B,2,0)),"")</f>
        <v/>
      </c>
      <c r="D2707" t="str">
        <f>IFERROR(IF(B2707="","",VLOOKUP(B2707,CadProd!$A:$C,3,0)),"")</f>
        <v/>
      </c>
      <c r="G2707" s="1" t="str">
        <f t="shared" si="42"/>
        <v/>
      </c>
    </row>
    <row r="2708" spans="3:7" x14ac:dyDescent="0.3">
      <c r="C2708" t="str">
        <f>IFERROR(IF(B2708="","",VLOOKUP(B2708,CadProd!$A:$B,2,0)),"")</f>
        <v/>
      </c>
      <c r="D2708" t="str">
        <f>IFERROR(IF(B2708="","",VLOOKUP(B2708,CadProd!$A:$C,3,0)),"")</f>
        <v/>
      </c>
      <c r="G2708" s="1" t="str">
        <f t="shared" si="42"/>
        <v/>
      </c>
    </row>
    <row r="2709" spans="3:7" x14ac:dyDescent="0.3">
      <c r="C2709" t="str">
        <f>IFERROR(IF(B2709="","",VLOOKUP(B2709,CadProd!$A:$B,2,0)),"")</f>
        <v/>
      </c>
      <c r="D2709" t="str">
        <f>IFERROR(IF(B2709="","",VLOOKUP(B2709,CadProd!$A:$C,3,0)),"")</f>
        <v/>
      </c>
      <c r="G2709" s="1" t="str">
        <f t="shared" si="42"/>
        <v/>
      </c>
    </row>
    <row r="2710" spans="3:7" x14ac:dyDescent="0.3">
      <c r="C2710" t="str">
        <f>IFERROR(IF(B2710="","",VLOOKUP(B2710,CadProd!$A:$B,2,0)),"")</f>
        <v/>
      </c>
      <c r="D2710" t="str">
        <f>IFERROR(IF(B2710="","",VLOOKUP(B2710,CadProd!$A:$C,3,0)),"")</f>
        <v/>
      </c>
      <c r="G2710" s="1" t="str">
        <f t="shared" si="42"/>
        <v/>
      </c>
    </row>
    <row r="2711" spans="3:7" x14ac:dyDescent="0.3">
      <c r="C2711" t="str">
        <f>IFERROR(IF(B2711="","",VLOOKUP(B2711,CadProd!$A:$B,2,0)),"")</f>
        <v/>
      </c>
      <c r="D2711" t="str">
        <f>IFERROR(IF(B2711="","",VLOOKUP(B2711,CadProd!$A:$C,3,0)),"")</f>
        <v/>
      </c>
      <c r="G2711" s="1" t="str">
        <f t="shared" si="42"/>
        <v/>
      </c>
    </row>
    <row r="2712" spans="3:7" x14ac:dyDescent="0.3">
      <c r="C2712" t="str">
        <f>IFERROR(IF(B2712="","",VLOOKUP(B2712,CadProd!$A:$B,2,0)),"")</f>
        <v/>
      </c>
      <c r="D2712" t="str">
        <f>IFERROR(IF(B2712="","",VLOOKUP(B2712,CadProd!$A:$C,3,0)),"")</f>
        <v/>
      </c>
      <c r="G2712" s="1" t="str">
        <f t="shared" si="42"/>
        <v/>
      </c>
    </row>
    <row r="2713" spans="3:7" x14ac:dyDescent="0.3">
      <c r="C2713" t="str">
        <f>IFERROR(IF(B2713="","",VLOOKUP(B2713,CadProd!$A:$B,2,0)),"")</f>
        <v/>
      </c>
      <c r="D2713" t="str">
        <f>IFERROR(IF(B2713="","",VLOOKUP(B2713,CadProd!$A:$C,3,0)),"")</f>
        <v/>
      </c>
      <c r="G2713" s="1" t="str">
        <f t="shared" si="42"/>
        <v/>
      </c>
    </row>
    <row r="2714" spans="3:7" x14ac:dyDescent="0.3">
      <c r="C2714" t="str">
        <f>IFERROR(IF(B2714="","",VLOOKUP(B2714,CadProd!$A:$B,2,0)),"")</f>
        <v/>
      </c>
      <c r="D2714" t="str">
        <f>IFERROR(IF(B2714="","",VLOOKUP(B2714,CadProd!$A:$C,3,0)),"")</f>
        <v/>
      </c>
      <c r="G2714" s="1" t="str">
        <f t="shared" si="42"/>
        <v/>
      </c>
    </row>
    <row r="2715" spans="3:7" x14ac:dyDescent="0.3">
      <c r="C2715" t="str">
        <f>IFERROR(IF(B2715="","",VLOOKUP(B2715,CadProd!$A:$B,2,0)),"")</f>
        <v/>
      </c>
      <c r="D2715" t="str">
        <f>IFERROR(IF(B2715="","",VLOOKUP(B2715,CadProd!$A:$C,3,0)),"")</f>
        <v/>
      </c>
      <c r="G2715" s="1" t="str">
        <f t="shared" si="42"/>
        <v/>
      </c>
    </row>
    <row r="2716" spans="3:7" x14ac:dyDescent="0.3">
      <c r="C2716" t="str">
        <f>IFERROR(IF(B2716="","",VLOOKUP(B2716,CadProd!$A:$B,2,0)),"")</f>
        <v/>
      </c>
      <c r="D2716" t="str">
        <f>IFERROR(IF(B2716="","",VLOOKUP(B2716,CadProd!$A:$C,3,0)),"")</f>
        <v/>
      </c>
      <c r="G2716" s="1" t="str">
        <f t="shared" si="42"/>
        <v/>
      </c>
    </row>
    <row r="2717" spans="3:7" x14ac:dyDescent="0.3">
      <c r="C2717" t="str">
        <f>IFERROR(IF(B2717="","",VLOOKUP(B2717,CadProd!$A:$B,2,0)),"")</f>
        <v/>
      </c>
      <c r="D2717" t="str">
        <f>IFERROR(IF(B2717="","",VLOOKUP(B2717,CadProd!$A:$C,3,0)),"")</f>
        <v/>
      </c>
      <c r="G2717" s="1" t="str">
        <f t="shared" si="42"/>
        <v/>
      </c>
    </row>
    <row r="2718" spans="3:7" x14ac:dyDescent="0.3">
      <c r="C2718" t="str">
        <f>IFERROR(IF(B2718="","",VLOOKUP(B2718,CadProd!$A:$B,2,0)),"")</f>
        <v/>
      </c>
      <c r="D2718" t="str">
        <f>IFERROR(IF(B2718="","",VLOOKUP(B2718,CadProd!$A:$C,3,0)),"")</f>
        <v/>
      </c>
      <c r="G2718" s="1" t="str">
        <f t="shared" si="42"/>
        <v/>
      </c>
    </row>
    <row r="2719" spans="3:7" x14ac:dyDescent="0.3">
      <c r="C2719" t="str">
        <f>IFERROR(IF(B2719="","",VLOOKUP(B2719,CadProd!$A:$B,2,0)),"")</f>
        <v/>
      </c>
      <c r="D2719" t="str">
        <f>IFERROR(IF(B2719="","",VLOOKUP(B2719,CadProd!$A:$C,3,0)),"")</f>
        <v/>
      </c>
      <c r="G2719" s="1" t="str">
        <f t="shared" si="42"/>
        <v/>
      </c>
    </row>
    <row r="2720" spans="3:7" x14ac:dyDescent="0.3">
      <c r="C2720" t="str">
        <f>IFERROR(IF(B2720="","",VLOOKUP(B2720,CadProd!$A:$B,2,0)),"")</f>
        <v/>
      </c>
      <c r="D2720" t="str">
        <f>IFERROR(IF(B2720="","",VLOOKUP(B2720,CadProd!$A:$C,3,0)),"")</f>
        <v/>
      </c>
      <c r="G2720" s="1" t="str">
        <f t="shared" si="42"/>
        <v/>
      </c>
    </row>
    <row r="2721" spans="3:7" x14ac:dyDescent="0.3">
      <c r="C2721" t="str">
        <f>IFERROR(IF(B2721="","",VLOOKUP(B2721,CadProd!$A:$B,2,0)),"")</f>
        <v/>
      </c>
      <c r="D2721" t="str">
        <f>IFERROR(IF(B2721="","",VLOOKUP(B2721,CadProd!$A:$C,3,0)),"")</f>
        <v/>
      </c>
      <c r="G2721" s="1" t="str">
        <f t="shared" si="42"/>
        <v/>
      </c>
    </row>
    <row r="2722" spans="3:7" x14ac:dyDescent="0.3">
      <c r="C2722" t="str">
        <f>IFERROR(IF(B2722="","",VLOOKUP(B2722,CadProd!$A:$B,2,0)),"")</f>
        <v/>
      </c>
      <c r="D2722" t="str">
        <f>IFERROR(IF(B2722="","",VLOOKUP(B2722,CadProd!$A:$C,3,0)),"")</f>
        <v/>
      </c>
      <c r="G2722" s="1" t="str">
        <f t="shared" si="42"/>
        <v/>
      </c>
    </row>
    <row r="2723" spans="3:7" x14ac:dyDescent="0.3">
      <c r="C2723" t="str">
        <f>IFERROR(IF(B2723="","",VLOOKUP(B2723,CadProd!$A:$B,2,0)),"")</f>
        <v/>
      </c>
      <c r="D2723" t="str">
        <f>IFERROR(IF(B2723="","",VLOOKUP(B2723,CadProd!$A:$C,3,0)),"")</f>
        <v/>
      </c>
      <c r="G2723" s="1" t="str">
        <f t="shared" si="42"/>
        <v/>
      </c>
    </row>
    <row r="2724" spans="3:7" x14ac:dyDescent="0.3">
      <c r="C2724" t="str">
        <f>IFERROR(IF(B2724="","",VLOOKUP(B2724,CadProd!$A:$B,2,0)),"")</f>
        <v/>
      </c>
      <c r="D2724" t="str">
        <f>IFERROR(IF(B2724="","",VLOOKUP(B2724,CadProd!$A:$C,3,0)),"")</f>
        <v/>
      </c>
      <c r="G2724" s="1" t="str">
        <f t="shared" si="42"/>
        <v/>
      </c>
    </row>
    <row r="2725" spans="3:7" x14ac:dyDescent="0.3">
      <c r="C2725" t="str">
        <f>IFERROR(IF(B2725="","",VLOOKUP(B2725,CadProd!$A:$B,2,0)),"")</f>
        <v/>
      </c>
      <c r="D2725" t="str">
        <f>IFERROR(IF(B2725="","",VLOOKUP(B2725,CadProd!$A:$C,3,0)),"")</f>
        <v/>
      </c>
      <c r="G2725" s="1" t="str">
        <f t="shared" si="42"/>
        <v/>
      </c>
    </row>
    <row r="2726" spans="3:7" x14ac:dyDescent="0.3">
      <c r="C2726" t="str">
        <f>IFERROR(IF(B2726="","",VLOOKUP(B2726,CadProd!$A:$B,2,0)),"")</f>
        <v/>
      </c>
      <c r="D2726" t="str">
        <f>IFERROR(IF(B2726="","",VLOOKUP(B2726,CadProd!$A:$C,3,0)),"")</f>
        <v/>
      </c>
      <c r="G2726" s="1" t="str">
        <f t="shared" si="42"/>
        <v/>
      </c>
    </row>
    <row r="2727" spans="3:7" x14ac:dyDescent="0.3">
      <c r="C2727" t="str">
        <f>IFERROR(IF(B2727="","",VLOOKUP(B2727,CadProd!$A:$B,2,0)),"")</f>
        <v/>
      </c>
      <c r="D2727" t="str">
        <f>IFERROR(IF(B2727="","",VLOOKUP(B2727,CadProd!$A:$C,3,0)),"")</f>
        <v/>
      </c>
      <c r="G2727" s="1" t="str">
        <f t="shared" si="42"/>
        <v/>
      </c>
    </row>
    <row r="2728" spans="3:7" x14ac:dyDescent="0.3">
      <c r="C2728" t="str">
        <f>IFERROR(IF(B2728="","",VLOOKUP(B2728,CadProd!$A:$B,2,0)),"")</f>
        <v/>
      </c>
      <c r="D2728" t="str">
        <f>IFERROR(IF(B2728="","",VLOOKUP(B2728,CadProd!$A:$C,3,0)),"")</f>
        <v/>
      </c>
      <c r="G2728" s="1" t="str">
        <f t="shared" si="42"/>
        <v/>
      </c>
    </row>
    <row r="2729" spans="3:7" x14ac:dyDescent="0.3">
      <c r="C2729" t="str">
        <f>IFERROR(IF(B2729="","",VLOOKUP(B2729,CadProd!$A:$B,2,0)),"")</f>
        <v/>
      </c>
      <c r="D2729" t="str">
        <f>IFERROR(IF(B2729="","",VLOOKUP(B2729,CadProd!$A:$C,3,0)),"")</f>
        <v/>
      </c>
      <c r="G2729" s="1" t="str">
        <f t="shared" si="42"/>
        <v/>
      </c>
    </row>
    <row r="2730" spans="3:7" x14ac:dyDescent="0.3">
      <c r="C2730" t="str">
        <f>IFERROR(IF(B2730="","",VLOOKUP(B2730,CadProd!$A:$B,2,0)),"")</f>
        <v/>
      </c>
      <c r="D2730" t="str">
        <f>IFERROR(IF(B2730="","",VLOOKUP(B2730,CadProd!$A:$C,3,0)),"")</f>
        <v/>
      </c>
      <c r="G2730" s="1" t="str">
        <f t="shared" si="42"/>
        <v/>
      </c>
    </row>
    <row r="2731" spans="3:7" x14ac:dyDescent="0.3">
      <c r="C2731" t="str">
        <f>IFERROR(IF(B2731="","",VLOOKUP(B2731,CadProd!$A:$B,2,0)),"")</f>
        <v/>
      </c>
      <c r="D2731" t="str">
        <f>IFERROR(IF(B2731="","",VLOOKUP(B2731,CadProd!$A:$C,3,0)),"")</f>
        <v/>
      </c>
      <c r="G2731" s="1" t="str">
        <f t="shared" si="42"/>
        <v/>
      </c>
    </row>
    <row r="2732" spans="3:7" x14ac:dyDescent="0.3">
      <c r="C2732" t="str">
        <f>IFERROR(IF(B2732="","",VLOOKUP(B2732,CadProd!$A:$B,2,0)),"")</f>
        <v/>
      </c>
      <c r="D2732" t="str">
        <f>IFERROR(IF(B2732="","",VLOOKUP(B2732,CadProd!$A:$C,3,0)),"")</f>
        <v/>
      </c>
      <c r="G2732" s="1" t="str">
        <f t="shared" si="42"/>
        <v/>
      </c>
    </row>
    <row r="2733" spans="3:7" x14ac:dyDescent="0.3">
      <c r="C2733" t="str">
        <f>IFERROR(IF(B2733="","",VLOOKUP(B2733,CadProd!$A:$B,2,0)),"")</f>
        <v/>
      </c>
      <c r="D2733" t="str">
        <f>IFERROR(IF(B2733="","",VLOOKUP(B2733,CadProd!$A:$C,3,0)),"")</f>
        <v/>
      </c>
      <c r="G2733" s="1" t="str">
        <f t="shared" si="42"/>
        <v/>
      </c>
    </row>
    <row r="2734" spans="3:7" x14ac:dyDescent="0.3">
      <c r="C2734" t="str">
        <f>IFERROR(IF(B2734="","",VLOOKUP(B2734,CadProd!$A:$B,2,0)),"")</f>
        <v/>
      </c>
      <c r="D2734" t="str">
        <f>IFERROR(IF(B2734="","",VLOOKUP(B2734,CadProd!$A:$C,3,0)),"")</f>
        <v/>
      </c>
      <c r="G2734" s="1" t="str">
        <f t="shared" si="42"/>
        <v/>
      </c>
    </row>
    <row r="2735" spans="3:7" x14ac:dyDescent="0.3">
      <c r="C2735" t="str">
        <f>IFERROR(IF(B2735="","",VLOOKUP(B2735,CadProd!$A:$B,2,0)),"")</f>
        <v/>
      </c>
      <c r="D2735" t="str">
        <f>IFERROR(IF(B2735="","",VLOOKUP(B2735,CadProd!$A:$C,3,0)),"")</f>
        <v/>
      </c>
      <c r="G2735" s="1" t="str">
        <f t="shared" si="42"/>
        <v/>
      </c>
    </row>
    <row r="2736" spans="3:7" x14ac:dyDescent="0.3">
      <c r="C2736" t="str">
        <f>IFERROR(IF(B2736="","",VLOOKUP(B2736,CadProd!$A:$B,2,0)),"")</f>
        <v/>
      </c>
      <c r="D2736" t="str">
        <f>IFERROR(IF(B2736="","",VLOOKUP(B2736,CadProd!$A:$C,3,0)),"")</f>
        <v/>
      </c>
      <c r="G2736" s="1" t="str">
        <f t="shared" si="42"/>
        <v/>
      </c>
    </row>
    <row r="2737" spans="3:7" x14ac:dyDescent="0.3">
      <c r="C2737" t="str">
        <f>IFERROR(IF(B2737="","",VLOOKUP(B2737,CadProd!$A:$B,2,0)),"")</f>
        <v/>
      </c>
      <c r="D2737" t="str">
        <f>IFERROR(IF(B2737="","",VLOOKUP(B2737,CadProd!$A:$C,3,0)),"")</f>
        <v/>
      </c>
      <c r="G2737" s="1" t="str">
        <f t="shared" si="42"/>
        <v/>
      </c>
    </row>
    <row r="2738" spans="3:7" x14ac:dyDescent="0.3">
      <c r="C2738" t="str">
        <f>IFERROR(IF(B2738="","",VLOOKUP(B2738,CadProd!$A:$B,2,0)),"")</f>
        <v/>
      </c>
      <c r="D2738" t="str">
        <f>IFERROR(IF(B2738="","",VLOOKUP(B2738,CadProd!$A:$C,3,0)),"")</f>
        <v/>
      </c>
      <c r="G2738" s="1" t="str">
        <f t="shared" si="42"/>
        <v/>
      </c>
    </row>
    <row r="2739" spans="3:7" x14ac:dyDescent="0.3">
      <c r="C2739" t="str">
        <f>IFERROR(IF(B2739="","",VLOOKUP(B2739,CadProd!$A:$B,2,0)),"")</f>
        <v/>
      </c>
      <c r="D2739" t="str">
        <f>IFERROR(IF(B2739="","",VLOOKUP(B2739,CadProd!$A:$C,3,0)),"")</f>
        <v/>
      </c>
      <c r="G2739" s="1" t="str">
        <f t="shared" si="42"/>
        <v/>
      </c>
    </row>
    <row r="2740" spans="3:7" x14ac:dyDescent="0.3">
      <c r="C2740" t="str">
        <f>IFERROR(IF(B2740="","",VLOOKUP(B2740,CadProd!$A:$B,2,0)),"")</f>
        <v/>
      </c>
      <c r="D2740" t="str">
        <f>IFERROR(IF(B2740="","",VLOOKUP(B2740,CadProd!$A:$C,3,0)),"")</f>
        <v/>
      </c>
      <c r="G2740" s="1" t="str">
        <f t="shared" si="42"/>
        <v/>
      </c>
    </row>
    <row r="2741" spans="3:7" x14ac:dyDescent="0.3">
      <c r="C2741" t="str">
        <f>IFERROR(IF(B2741="","",VLOOKUP(B2741,CadProd!$A:$B,2,0)),"")</f>
        <v/>
      </c>
      <c r="D2741" t="str">
        <f>IFERROR(IF(B2741="","",VLOOKUP(B2741,CadProd!$A:$C,3,0)),"")</f>
        <v/>
      </c>
      <c r="G2741" s="1" t="str">
        <f t="shared" si="42"/>
        <v/>
      </c>
    </row>
    <row r="2742" spans="3:7" x14ac:dyDescent="0.3">
      <c r="C2742" t="str">
        <f>IFERROR(IF(B2742="","",VLOOKUP(B2742,CadProd!$A:$B,2,0)),"")</f>
        <v/>
      </c>
      <c r="D2742" t="str">
        <f>IFERROR(IF(B2742="","",VLOOKUP(B2742,CadProd!$A:$C,3,0)),"")</f>
        <v/>
      </c>
      <c r="G2742" s="1" t="str">
        <f t="shared" si="42"/>
        <v/>
      </c>
    </row>
    <row r="2743" spans="3:7" x14ac:dyDescent="0.3">
      <c r="C2743" t="str">
        <f>IFERROR(IF(B2743="","",VLOOKUP(B2743,CadProd!$A:$B,2,0)),"")</f>
        <v/>
      </c>
      <c r="D2743" t="str">
        <f>IFERROR(IF(B2743="","",VLOOKUP(B2743,CadProd!$A:$C,3,0)),"")</f>
        <v/>
      </c>
      <c r="G2743" s="1" t="str">
        <f t="shared" si="42"/>
        <v/>
      </c>
    </row>
    <row r="2744" spans="3:7" x14ac:dyDescent="0.3">
      <c r="C2744" t="str">
        <f>IFERROR(IF(B2744="","",VLOOKUP(B2744,CadProd!$A:$B,2,0)),"")</f>
        <v/>
      </c>
      <c r="D2744" t="str">
        <f>IFERROR(IF(B2744="","",VLOOKUP(B2744,CadProd!$A:$C,3,0)),"")</f>
        <v/>
      </c>
      <c r="G2744" s="1" t="str">
        <f t="shared" si="42"/>
        <v/>
      </c>
    </row>
    <row r="2745" spans="3:7" x14ac:dyDescent="0.3">
      <c r="C2745" t="str">
        <f>IFERROR(IF(B2745="","",VLOOKUP(B2745,CadProd!$A:$B,2,0)),"")</f>
        <v/>
      </c>
      <c r="D2745" t="str">
        <f>IFERROR(IF(B2745="","",VLOOKUP(B2745,CadProd!$A:$C,3,0)),"")</f>
        <v/>
      </c>
      <c r="G2745" s="1" t="str">
        <f t="shared" si="42"/>
        <v/>
      </c>
    </row>
    <row r="2746" spans="3:7" x14ac:dyDescent="0.3">
      <c r="C2746" t="str">
        <f>IFERROR(IF(B2746="","",VLOOKUP(B2746,CadProd!$A:$B,2,0)),"")</f>
        <v/>
      </c>
      <c r="D2746" t="str">
        <f>IFERROR(IF(B2746="","",VLOOKUP(B2746,CadProd!$A:$C,3,0)),"")</f>
        <v/>
      </c>
      <c r="G2746" s="1" t="str">
        <f t="shared" si="42"/>
        <v/>
      </c>
    </row>
    <row r="2747" spans="3:7" x14ac:dyDescent="0.3">
      <c r="C2747" t="str">
        <f>IFERROR(IF(B2747="","",VLOOKUP(B2747,CadProd!$A:$B,2,0)),"")</f>
        <v/>
      </c>
      <c r="D2747" t="str">
        <f>IFERROR(IF(B2747="","",VLOOKUP(B2747,CadProd!$A:$C,3,0)),"")</f>
        <v/>
      </c>
      <c r="G2747" s="1" t="str">
        <f t="shared" si="42"/>
        <v/>
      </c>
    </row>
    <row r="2748" spans="3:7" x14ac:dyDescent="0.3">
      <c r="C2748" t="str">
        <f>IFERROR(IF(B2748="","",VLOOKUP(B2748,CadProd!$A:$B,2,0)),"")</f>
        <v/>
      </c>
      <c r="D2748" t="str">
        <f>IFERROR(IF(B2748="","",VLOOKUP(B2748,CadProd!$A:$C,3,0)),"")</f>
        <v/>
      </c>
      <c r="G2748" s="1" t="str">
        <f t="shared" si="42"/>
        <v/>
      </c>
    </row>
    <row r="2749" spans="3:7" x14ac:dyDescent="0.3">
      <c r="C2749" t="str">
        <f>IFERROR(IF(B2749="","",VLOOKUP(B2749,CadProd!$A:$B,2,0)),"")</f>
        <v/>
      </c>
      <c r="D2749" t="str">
        <f>IFERROR(IF(B2749="","",VLOOKUP(B2749,CadProd!$A:$C,3,0)),"")</f>
        <v/>
      </c>
      <c r="G2749" s="1" t="str">
        <f t="shared" si="42"/>
        <v/>
      </c>
    </row>
    <row r="2750" spans="3:7" x14ac:dyDescent="0.3">
      <c r="C2750" t="str">
        <f>IFERROR(IF(B2750="","",VLOOKUP(B2750,CadProd!$A:$B,2,0)),"")</f>
        <v/>
      </c>
      <c r="D2750" t="str">
        <f>IFERROR(IF(B2750="","",VLOOKUP(B2750,CadProd!$A:$C,3,0)),"")</f>
        <v/>
      </c>
      <c r="G2750" s="1" t="str">
        <f t="shared" si="42"/>
        <v/>
      </c>
    </row>
    <row r="2751" spans="3:7" x14ac:dyDescent="0.3">
      <c r="C2751" t="str">
        <f>IFERROR(IF(B2751="","",VLOOKUP(B2751,CadProd!$A:$B,2,0)),"")</f>
        <v/>
      </c>
      <c r="D2751" t="str">
        <f>IFERROR(IF(B2751="","",VLOOKUP(B2751,CadProd!$A:$C,3,0)),"")</f>
        <v/>
      </c>
      <c r="G2751" s="1" t="str">
        <f t="shared" si="42"/>
        <v/>
      </c>
    </row>
    <row r="2752" spans="3:7" x14ac:dyDescent="0.3">
      <c r="C2752" t="str">
        <f>IFERROR(IF(B2752="","",VLOOKUP(B2752,CadProd!$A:$B,2,0)),"")</f>
        <v/>
      </c>
      <c r="D2752" t="str">
        <f>IFERROR(IF(B2752="","",VLOOKUP(B2752,CadProd!$A:$C,3,0)),"")</f>
        <v/>
      </c>
      <c r="G2752" s="1" t="str">
        <f t="shared" si="42"/>
        <v/>
      </c>
    </row>
    <row r="2753" spans="3:7" x14ac:dyDescent="0.3">
      <c r="C2753" t="str">
        <f>IFERROR(IF(B2753="","",VLOOKUP(B2753,CadProd!$A:$B,2,0)),"")</f>
        <v/>
      </c>
      <c r="D2753" t="str">
        <f>IFERROR(IF(B2753="","",VLOOKUP(B2753,CadProd!$A:$C,3,0)),"")</f>
        <v/>
      </c>
      <c r="G2753" s="1" t="str">
        <f t="shared" si="42"/>
        <v/>
      </c>
    </row>
    <row r="2754" spans="3:7" x14ac:dyDescent="0.3">
      <c r="C2754" t="str">
        <f>IFERROR(IF(B2754="","",VLOOKUP(B2754,CadProd!$A:$B,2,0)),"")</f>
        <v/>
      </c>
      <c r="D2754" t="str">
        <f>IFERROR(IF(B2754="","",VLOOKUP(B2754,CadProd!$A:$C,3,0)),"")</f>
        <v/>
      </c>
      <c r="G2754" s="1" t="str">
        <f t="shared" si="42"/>
        <v/>
      </c>
    </row>
    <row r="2755" spans="3:7" x14ac:dyDescent="0.3">
      <c r="C2755" t="str">
        <f>IFERROR(IF(B2755="","",VLOOKUP(B2755,CadProd!$A:$B,2,0)),"")</f>
        <v/>
      </c>
      <c r="D2755" t="str">
        <f>IFERROR(IF(B2755="","",VLOOKUP(B2755,CadProd!$A:$C,3,0)),"")</f>
        <v/>
      </c>
      <c r="G2755" s="1" t="str">
        <f t="shared" si="42"/>
        <v/>
      </c>
    </row>
    <row r="2756" spans="3:7" x14ac:dyDescent="0.3">
      <c r="C2756" t="str">
        <f>IFERROR(IF(B2756="","",VLOOKUP(B2756,CadProd!$A:$B,2,0)),"")</f>
        <v/>
      </c>
      <c r="D2756" t="str">
        <f>IFERROR(IF(B2756="","",VLOOKUP(B2756,CadProd!$A:$C,3,0)),"")</f>
        <v/>
      </c>
      <c r="G2756" s="1" t="str">
        <f t="shared" si="42"/>
        <v/>
      </c>
    </row>
    <row r="2757" spans="3:7" x14ac:dyDescent="0.3">
      <c r="C2757" t="str">
        <f>IFERROR(IF(B2757="","",VLOOKUP(B2757,CadProd!$A:$B,2,0)),"")</f>
        <v/>
      </c>
      <c r="D2757" t="str">
        <f>IFERROR(IF(B2757="","",VLOOKUP(B2757,CadProd!$A:$C,3,0)),"")</f>
        <v/>
      </c>
      <c r="G2757" s="1" t="str">
        <f t="shared" si="42"/>
        <v/>
      </c>
    </row>
    <row r="2758" spans="3:7" x14ac:dyDescent="0.3">
      <c r="C2758" t="str">
        <f>IFERROR(IF(B2758="","",VLOOKUP(B2758,CadProd!$A:$B,2,0)),"")</f>
        <v/>
      </c>
      <c r="D2758" t="str">
        <f>IFERROR(IF(B2758="","",VLOOKUP(B2758,CadProd!$A:$C,3,0)),"")</f>
        <v/>
      </c>
      <c r="G2758" s="1" t="str">
        <f t="shared" si="42"/>
        <v/>
      </c>
    </row>
    <row r="2759" spans="3:7" x14ac:dyDescent="0.3">
      <c r="C2759" t="str">
        <f>IFERROR(IF(B2759="","",VLOOKUP(B2759,CadProd!$A:$B,2,0)),"")</f>
        <v/>
      </c>
      <c r="D2759" t="str">
        <f>IFERROR(IF(B2759="","",VLOOKUP(B2759,CadProd!$A:$C,3,0)),"")</f>
        <v/>
      </c>
      <c r="G2759" s="1" t="str">
        <f t="shared" si="42"/>
        <v/>
      </c>
    </row>
    <row r="2760" spans="3:7" x14ac:dyDescent="0.3">
      <c r="C2760" t="str">
        <f>IFERROR(IF(B2760="","",VLOOKUP(B2760,CadProd!$A:$B,2,0)),"")</f>
        <v/>
      </c>
      <c r="D2760" t="str">
        <f>IFERROR(IF(B2760="","",VLOOKUP(B2760,CadProd!$A:$C,3,0)),"")</f>
        <v/>
      </c>
      <c r="G2760" s="1" t="str">
        <f t="shared" si="42"/>
        <v/>
      </c>
    </row>
    <row r="2761" spans="3:7" x14ac:dyDescent="0.3">
      <c r="C2761" t="str">
        <f>IFERROR(IF(B2761="","",VLOOKUP(B2761,CadProd!$A:$B,2,0)),"")</f>
        <v/>
      </c>
      <c r="D2761" t="str">
        <f>IFERROR(IF(B2761="","",VLOOKUP(B2761,CadProd!$A:$C,3,0)),"")</f>
        <v/>
      </c>
      <c r="G2761" s="1" t="str">
        <f t="shared" si="42"/>
        <v/>
      </c>
    </row>
    <row r="2762" spans="3:7" x14ac:dyDescent="0.3">
      <c r="C2762" t="str">
        <f>IFERROR(IF(B2762="","",VLOOKUP(B2762,CadProd!$A:$B,2,0)),"")</f>
        <v/>
      </c>
      <c r="D2762" t="str">
        <f>IFERROR(IF(B2762="","",VLOOKUP(B2762,CadProd!$A:$C,3,0)),"")</f>
        <v/>
      </c>
      <c r="G2762" s="1" t="str">
        <f t="shared" si="42"/>
        <v/>
      </c>
    </row>
    <row r="2763" spans="3:7" x14ac:dyDescent="0.3">
      <c r="C2763" t="str">
        <f>IFERROR(IF(B2763="","",VLOOKUP(B2763,CadProd!$A:$B,2,0)),"")</f>
        <v/>
      </c>
      <c r="D2763" t="str">
        <f>IFERROR(IF(B2763="","",VLOOKUP(B2763,CadProd!$A:$C,3,0)),"")</f>
        <v/>
      </c>
      <c r="G2763" s="1" t="str">
        <f t="shared" ref="G2763:G2826" si="43">IFERROR(IF(B2763="","",F2763*E2763),"")</f>
        <v/>
      </c>
    </row>
    <row r="2764" spans="3:7" x14ac:dyDescent="0.3">
      <c r="C2764" t="str">
        <f>IFERROR(IF(B2764="","",VLOOKUP(B2764,CadProd!$A:$B,2,0)),"")</f>
        <v/>
      </c>
      <c r="D2764" t="str">
        <f>IFERROR(IF(B2764="","",VLOOKUP(B2764,CadProd!$A:$C,3,0)),"")</f>
        <v/>
      </c>
      <c r="G2764" s="1" t="str">
        <f t="shared" si="43"/>
        <v/>
      </c>
    </row>
    <row r="2765" spans="3:7" x14ac:dyDescent="0.3">
      <c r="C2765" t="str">
        <f>IFERROR(IF(B2765="","",VLOOKUP(B2765,CadProd!$A:$B,2,0)),"")</f>
        <v/>
      </c>
      <c r="D2765" t="str">
        <f>IFERROR(IF(B2765="","",VLOOKUP(B2765,CadProd!$A:$C,3,0)),"")</f>
        <v/>
      </c>
      <c r="G2765" s="1" t="str">
        <f t="shared" si="43"/>
        <v/>
      </c>
    </row>
    <row r="2766" spans="3:7" x14ac:dyDescent="0.3">
      <c r="C2766" t="str">
        <f>IFERROR(IF(B2766="","",VLOOKUP(B2766,CadProd!$A:$B,2,0)),"")</f>
        <v/>
      </c>
      <c r="D2766" t="str">
        <f>IFERROR(IF(B2766="","",VLOOKUP(B2766,CadProd!$A:$C,3,0)),"")</f>
        <v/>
      </c>
      <c r="G2766" s="1" t="str">
        <f t="shared" si="43"/>
        <v/>
      </c>
    </row>
    <row r="2767" spans="3:7" x14ac:dyDescent="0.3">
      <c r="C2767" t="str">
        <f>IFERROR(IF(B2767="","",VLOOKUP(B2767,CadProd!$A:$B,2,0)),"")</f>
        <v/>
      </c>
      <c r="D2767" t="str">
        <f>IFERROR(IF(B2767="","",VLOOKUP(B2767,CadProd!$A:$C,3,0)),"")</f>
        <v/>
      </c>
      <c r="G2767" s="1" t="str">
        <f t="shared" si="43"/>
        <v/>
      </c>
    </row>
    <row r="2768" spans="3:7" x14ac:dyDescent="0.3">
      <c r="C2768" t="str">
        <f>IFERROR(IF(B2768="","",VLOOKUP(B2768,CadProd!$A:$B,2,0)),"")</f>
        <v/>
      </c>
      <c r="D2768" t="str">
        <f>IFERROR(IF(B2768="","",VLOOKUP(B2768,CadProd!$A:$C,3,0)),"")</f>
        <v/>
      </c>
      <c r="G2768" s="1" t="str">
        <f t="shared" si="43"/>
        <v/>
      </c>
    </row>
    <row r="2769" spans="3:7" x14ac:dyDescent="0.3">
      <c r="C2769" t="str">
        <f>IFERROR(IF(B2769="","",VLOOKUP(B2769,CadProd!$A:$B,2,0)),"")</f>
        <v/>
      </c>
      <c r="D2769" t="str">
        <f>IFERROR(IF(B2769="","",VLOOKUP(B2769,CadProd!$A:$C,3,0)),"")</f>
        <v/>
      </c>
      <c r="G2769" s="1" t="str">
        <f t="shared" si="43"/>
        <v/>
      </c>
    </row>
    <row r="2770" spans="3:7" x14ac:dyDescent="0.3">
      <c r="C2770" t="str">
        <f>IFERROR(IF(B2770="","",VLOOKUP(B2770,CadProd!$A:$B,2,0)),"")</f>
        <v/>
      </c>
      <c r="D2770" t="str">
        <f>IFERROR(IF(B2770="","",VLOOKUP(B2770,CadProd!$A:$C,3,0)),"")</f>
        <v/>
      </c>
      <c r="G2770" s="1" t="str">
        <f t="shared" si="43"/>
        <v/>
      </c>
    </row>
    <row r="2771" spans="3:7" x14ac:dyDescent="0.3">
      <c r="C2771" t="str">
        <f>IFERROR(IF(B2771="","",VLOOKUP(B2771,CadProd!$A:$B,2,0)),"")</f>
        <v/>
      </c>
      <c r="D2771" t="str">
        <f>IFERROR(IF(B2771="","",VLOOKUP(B2771,CadProd!$A:$C,3,0)),"")</f>
        <v/>
      </c>
      <c r="G2771" s="1" t="str">
        <f t="shared" si="43"/>
        <v/>
      </c>
    </row>
    <row r="2772" spans="3:7" x14ac:dyDescent="0.3">
      <c r="C2772" t="str">
        <f>IFERROR(IF(B2772="","",VLOOKUP(B2772,CadProd!$A:$B,2,0)),"")</f>
        <v/>
      </c>
      <c r="D2772" t="str">
        <f>IFERROR(IF(B2772="","",VLOOKUP(B2772,CadProd!$A:$C,3,0)),"")</f>
        <v/>
      </c>
      <c r="G2772" s="1" t="str">
        <f t="shared" si="43"/>
        <v/>
      </c>
    </row>
    <row r="2773" spans="3:7" x14ac:dyDescent="0.3">
      <c r="C2773" t="str">
        <f>IFERROR(IF(B2773="","",VLOOKUP(B2773,CadProd!$A:$B,2,0)),"")</f>
        <v/>
      </c>
      <c r="D2773" t="str">
        <f>IFERROR(IF(B2773="","",VLOOKUP(B2773,CadProd!$A:$C,3,0)),"")</f>
        <v/>
      </c>
      <c r="G2773" s="1" t="str">
        <f t="shared" si="43"/>
        <v/>
      </c>
    </row>
    <row r="2774" spans="3:7" x14ac:dyDescent="0.3">
      <c r="C2774" t="str">
        <f>IFERROR(IF(B2774="","",VLOOKUP(B2774,CadProd!$A:$B,2,0)),"")</f>
        <v/>
      </c>
      <c r="D2774" t="str">
        <f>IFERROR(IF(B2774="","",VLOOKUP(B2774,CadProd!$A:$C,3,0)),"")</f>
        <v/>
      </c>
      <c r="G2774" s="1" t="str">
        <f t="shared" si="43"/>
        <v/>
      </c>
    </row>
    <row r="2775" spans="3:7" x14ac:dyDescent="0.3">
      <c r="C2775" t="str">
        <f>IFERROR(IF(B2775="","",VLOOKUP(B2775,CadProd!$A:$B,2,0)),"")</f>
        <v/>
      </c>
      <c r="D2775" t="str">
        <f>IFERROR(IF(B2775="","",VLOOKUP(B2775,CadProd!$A:$C,3,0)),"")</f>
        <v/>
      </c>
      <c r="G2775" s="1" t="str">
        <f t="shared" si="43"/>
        <v/>
      </c>
    </row>
    <row r="2776" spans="3:7" x14ac:dyDescent="0.3">
      <c r="C2776" t="str">
        <f>IFERROR(IF(B2776="","",VLOOKUP(B2776,CadProd!$A:$B,2,0)),"")</f>
        <v/>
      </c>
      <c r="D2776" t="str">
        <f>IFERROR(IF(B2776="","",VLOOKUP(B2776,CadProd!$A:$C,3,0)),"")</f>
        <v/>
      </c>
      <c r="G2776" s="1" t="str">
        <f t="shared" si="43"/>
        <v/>
      </c>
    </row>
    <row r="2777" spans="3:7" x14ac:dyDescent="0.3">
      <c r="C2777" t="str">
        <f>IFERROR(IF(B2777="","",VLOOKUP(B2777,CadProd!$A:$B,2,0)),"")</f>
        <v/>
      </c>
      <c r="D2777" t="str">
        <f>IFERROR(IF(B2777="","",VLOOKUP(B2777,CadProd!$A:$C,3,0)),"")</f>
        <v/>
      </c>
      <c r="G2777" s="1" t="str">
        <f t="shared" si="43"/>
        <v/>
      </c>
    </row>
    <row r="2778" spans="3:7" x14ac:dyDescent="0.3">
      <c r="C2778" t="str">
        <f>IFERROR(IF(B2778="","",VLOOKUP(B2778,CadProd!$A:$B,2,0)),"")</f>
        <v/>
      </c>
      <c r="D2778" t="str">
        <f>IFERROR(IF(B2778="","",VLOOKUP(B2778,CadProd!$A:$C,3,0)),"")</f>
        <v/>
      </c>
      <c r="G2778" s="1" t="str">
        <f t="shared" si="43"/>
        <v/>
      </c>
    </row>
    <row r="2779" spans="3:7" x14ac:dyDescent="0.3">
      <c r="C2779" t="str">
        <f>IFERROR(IF(B2779="","",VLOOKUP(B2779,CadProd!$A:$B,2,0)),"")</f>
        <v/>
      </c>
      <c r="D2779" t="str">
        <f>IFERROR(IF(B2779="","",VLOOKUP(B2779,CadProd!$A:$C,3,0)),"")</f>
        <v/>
      </c>
      <c r="G2779" s="1" t="str">
        <f t="shared" si="43"/>
        <v/>
      </c>
    </row>
    <row r="2780" spans="3:7" x14ac:dyDescent="0.3">
      <c r="C2780" t="str">
        <f>IFERROR(IF(B2780="","",VLOOKUP(B2780,CadProd!$A:$B,2,0)),"")</f>
        <v/>
      </c>
      <c r="D2780" t="str">
        <f>IFERROR(IF(B2780="","",VLOOKUP(B2780,CadProd!$A:$C,3,0)),"")</f>
        <v/>
      </c>
      <c r="G2780" s="1" t="str">
        <f t="shared" si="43"/>
        <v/>
      </c>
    </row>
    <row r="2781" spans="3:7" x14ac:dyDescent="0.3">
      <c r="C2781" t="str">
        <f>IFERROR(IF(B2781="","",VLOOKUP(B2781,CadProd!$A:$B,2,0)),"")</f>
        <v/>
      </c>
      <c r="D2781" t="str">
        <f>IFERROR(IF(B2781="","",VLOOKUP(B2781,CadProd!$A:$C,3,0)),"")</f>
        <v/>
      </c>
      <c r="G2781" s="1" t="str">
        <f t="shared" si="43"/>
        <v/>
      </c>
    </row>
    <row r="2782" spans="3:7" x14ac:dyDescent="0.3">
      <c r="C2782" t="str">
        <f>IFERROR(IF(B2782="","",VLOOKUP(B2782,CadProd!$A:$B,2,0)),"")</f>
        <v/>
      </c>
      <c r="D2782" t="str">
        <f>IFERROR(IF(B2782="","",VLOOKUP(B2782,CadProd!$A:$C,3,0)),"")</f>
        <v/>
      </c>
      <c r="G2782" s="1" t="str">
        <f t="shared" si="43"/>
        <v/>
      </c>
    </row>
    <row r="2783" spans="3:7" x14ac:dyDescent="0.3">
      <c r="C2783" t="str">
        <f>IFERROR(IF(B2783="","",VLOOKUP(B2783,CadProd!$A:$B,2,0)),"")</f>
        <v/>
      </c>
      <c r="D2783" t="str">
        <f>IFERROR(IF(B2783="","",VLOOKUP(B2783,CadProd!$A:$C,3,0)),"")</f>
        <v/>
      </c>
      <c r="G2783" s="1" t="str">
        <f t="shared" si="43"/>
        <v/>
      </c>
    </row>
    <row r="2784" spans="3:7" x14ac:dyDescent="0.3">
      <c r="C2784" t="str">
        <f>IFERROR(IF(B2784="","",VLOOKUP(B2784,CadProd!$A:$B,2,0)),"")</f>
        <v/>
      </c>
      <c r="D2784" t="str">
        <f>IFERROR(IF(B2784="","",VLOOKUP(B2784,CadProd!$A:$C,3,0)),"")</f>
        <v/>
      </c>
      <c r="G2784" s="1" t="str">
        <f t="shared" si="43"/>
        <v/>
      </c>
    </row>
    <row r="2785" spans="3:7" x14ac:dyDescent="0.3">
      <c r="C2785" t="str">
        <f>IFERROR(IF(B2785="","",VLOOKUP(B2785,CadProd!$A:$B,2,0)),"")</f>
        <v/>
      </c>
      <c r="D2785" t="str">
        <f>IFERROR(IF(B2785="","",VLOOKUP(B2785,CadProd!$A:$C,3,0)),"")</f>
        <v/>
      </c>
      <c r="G2785" s="1" t="str">
        <f t="shared" si="43"/>
        <v/>
      </c>
    </row>
    <row r="2786" spans="3:7" x14ac:dyDescent="0.3">
      <c r="C2786" t="str">
        <f>IFERROR(IF(B2786="","",VLOOKUP(B2786,CadProd!$A:$B,2,0)),"")</f>
        <v/>
      </c>
      <c r="D2786" t="str">
        <f>IFERROR(IF(B2786="","",VLOOKUP(B2786,CadProd!$A:$C,3,0)),"")</f>
        <v/>
      </c>
      <c r="G2786" s="1" t="str">
        <f t="shared" si="43"/>
        <v/>
      </c>
    </row>
    <row r="2787" spans="3:7" x14ac:dyDescent="0.3">
      <c r="C2787" t="str">
        <f>IFERROR(IF(B2787="","",VLOOKUP(B2787,CadProd!$A:$B,2,0)),"")</f>
        <v/>
      </c>
      <c r="D2787" t="str">
        <f>IFERROR(IF(B2787="","",VLOOKUP(B2787,CadProd!$A:$C,3,0)),"")</f>
        <v/>
      </c>
      <c r="G2787" s="1" t="str">
        <f t="shared" si="43"/>
        <v/>
      </c>
    </row>
    <row r="2788" spans="3:7" x14ac:dyDescent="0.3">
      <c r="C2788" t="str">
        <f>IFERROR(IF(B2788="","",VLOOKUP(B2788,CadProd!$A:$B,2,0)),"")</f>
        <v/>
      </c>
      <c r="D2788" t="str">
        <f>IFERROR(IF(B2788="","",VLOOKUP(B2788,CadProd!$A:$C,3,0)),"")</f>
        <v/>
      </c>
      <c r="G2788" s="1" t="str">
        <f t="shared" si="43"/>
        <v/>
      </c>
    </row>
    <row r="2789" spans="3:7" x14ac:dyDescent="0.3">
      <c r="C2789" t="str">
        <f>IFERROR(IF(B2789="","",VLOOKUP(B2789,CadProd!$A:$B,2,0)),"")</f>
        <v/>
      </c>
      <c r="D2789" t="str">
        <f>IFERROR(IF(B2789="","",VLOOKUP(B2789,CadProd!$A:$C,3,0)),"")</f>
        <v/>
      </c>
      <c r="G2789" s="1" t="str">
        <f t="shared" si="43"/>
        <v/>
      </c>
    </row>
    <row r="2790" spans="3:7" x14ac:dyDescent="0.3">
      <c r="C2790" t="str">
        <f>IFERROR(IF(B2790="","",VLOOKUP(B2790,CadProd!$A:$B,2,0)),"")</f>
        <v/>
      </c>
      <c r="D2790" t="str">
        <f>IFERROR(IF(B2790="","",VLOOKUP(B2790,CadProd!$A:$C,3,0)),"")</f>
        <v/>
      </c>
      <c r="G2790" s="1" t="str">
        <f t="shared" si="43"/>
        <v/>
      </c>
    </row>
    <row r="2791" spans="3:7" x14ac:dyDescent="0.3">
      <c r="C2791" t="str">
        <f>IFERROR(IF(B2791="","",VLOOKUP(B2791,CadProd!$A:$B,2,0)),"")</f>
        <v/>
      </c>
      <c r="D2791" t="str">
        <f>IFERROR(IF(B2791="","",VLOOKUP(B2791,CadProd!$A:$C,3,0)),"")</f>
        <v/>
      </c>
      <c r="G2791" s="1" t="str">
        <f t="shared" si="43"/>
        <v/>
      </c>
    </row>
    <row r="2792" spans="3:7" x14ac:dyDescent="0.3">
      <c r="C2792" t="str">
        <f>IFERROR(IF(B2792="","",VLOOKUP(B2792,CadProd!$A:$B,2,0)),"")</f>
        <v/>
      </c>
      <c r="D2792" t="str">
        <f>IFERROR(IF(B2792="","",VLOOKUP(B2792,CadProd!$A:$C,3,0)),"")</f>
        <v/>
      </c>
      <c r="G2792" s="1" t="str">
        <f t="shared" si="43"/>
        <v/>
      </c>
    </row>
    <row r="2793" spans="3:7" x14ac:dyDescent="0.3">
      <c r="C2793" t="str">
        <f>IFERROR(IF(B2793="","",VLOOKUP(B2793,CadProd!$A:$B,2,0)),"")</f>
        <v/>
      </c>
      <c r="D2793" t="str">
        <f>IFERROR(IF(B2793="","",VLOOKUP(B2793,CadProd!$A:$C,3,0)),"")</f>
        <v/>
      </c>
      <c r="G2793" s="1" t="str">
        <f t="shared" si="43"/>
        <v/>
      </c>
    </row>
    <row r="2794" spans="3:7" x14ac:dyDescent="0.3">
      <c r="C2794" t="str">
        <f>IFERROR(IF(B2794="","",VLOOKUP(B2794,CadProd!$A:$B,2,0)),"")</f>
        <v/>
      </c>
      <c r="D2794" t="str">
        <f>IFERROR(IF(B2794="","",VLOOKUP(B2794,CadProd!$A:$C,3,0)),"")</f>
        <v/>
      </c>
      <c r="G2794" s="1" t="str">
        <f t="shared" si="43"/>
        <v/>
      </c>
    </row>
    <row r="2795" spans="3:7" x14ac:dyDescent="0.3">
      <c r="C2795" t="str">
        <f>IFERROR(IF(B2795="","",VLOOKUP(B2795,CadProd!$A:$B,2,0)),"")</f>
        <v/>
      </c>
      <c r="D2795" t="str">
        <f>IFERROR(IF(B2795="","",VLOOKUP(B2795,CadProd!$A:$C,3,0)),"")</f>
        <v/>
      </c>
      <c r="G2795" s="1" t="str">
        <f t="shared" si="43"/>
        <v/>
      </c>
    </row>
    <row r="2796" spans="3:7" x14ac:dyDescent="0.3">
      <c r="C2796" t="str">
        <f>IFERROR(IF(B2796="","",VLOOKUP(B2796,CadProd!$A:$B,2,0)),"")</f>
        <v/>
      </c>
      <c r="D2796" t="str">
        <f>IFERROR(IF(B2796="","",VLOOKUP(B2796,CadProd!$A:$C,3,0)),"")</f>
        <v/>
      </c>
      <c r="G2796" s="1" t="str">
        <f t="shared" si="43"/>
        <v/>
      </c>
    </row>
    <row r="2797" spans="3:7" x14ac:dyDescent="0.3">
      <c r="C2797" t="str">
        <f>IFERROR(IF(B2797="","",VLOOKUP(B2797,CadProd!$A:$B,2,0)),"")</f>
        <v/>
      </c>
      <c r="D2797" t="str">
        <f>IFERROR(IF(B2797="","",VLOOKUP(B2797,CadProd!$A:$C,3,0)),"")</f>
        <v/>
      </c>
      <c r="G2797" s="1" t="str">
        <f t="shared" si="43"/>
        <v/>
      </c>
    </row>
    <row r="2798" spans="3:7" x14ac:dyDescent="0.3">
      <c r="C2798" t="str">
        <f>IFERROR(IF(B2798="","",VLOOKUP(B2798,CadProd!$A:$B,2,0)),"")</f>
        <v/>
      </c>
      <c r="D2798" t="str">
        <f>IFERROR(IF(B2798="","",VLOOKUP(B2798,CadProd!$A:$C,3,0)),"")</f>
        <v/>
      </c>
      <c r="G2798" s="1" t="str">
        <f t="shared" si="43"/>
        <v/>
      </c>
    </row>
    <row r="2799" spans="3:7" x14ac:dyDescent="0.3">
      <c r="C2799" t="str">
        <f>IFERROR(IF(B2799="","",VLOOKUP(B2799,CadProd!$A:$B,2,0)),"")</f>
        <v/>
      </c>
      <c r="D2799" t="str">
        <f>IFERROR(IF(B2799="","",VLOOKUP(B2799,CadProd!$A:$C,3,0)),"")</f>
        <v/>
      </c>
      <c r="G2799" s="1" t="str">
        <f t="shared" si="43"/>
        <v/>
      </c>
    </row>
    <row r="2800" spans="3:7" x14ac:dyDescent="0.3">
      <c r="C2800" t="str">
        <f>IFERROR(IF(B2800="","",VLOOKUP(B2800,CadProd!$A:$B,2,0)),"")</f>
        <v/>
      </c>
      <c r="D2800" t="str">
        <f>IFERROR(IF(B2800="","",VLOOKUP(B2800,CadProd!$A:$C,3,0)),"")</f>
        <v/>
      </c>
      <c r="G2800" s="1" t="str">
        <f t="shared" si="43"/>
        <v/>
      </c>
    </row>
    <row r="2801" spans="3:7" x14ac:dyDescent="0.3">
      <c r="C2801" t="str">
        <f>IFERROR(IF(B2801="","",VLOOKUP(B2801,CadProd!$A:$B,2,0)),"")</f>
        <v/>
      </c>
      <c r="D2801" t="str">
        <f>IFERROR(IF(B2801="","",VLOOKUP(B2801,CadProd!$A:$C,3,0)),"")</f>
        <v/>
      </c>
      <c r="G2801" s="1" t="str">
        <f t="shared" si="43"/>
        <v/>
      </c>
    </row>
    <row r="2802" spans="3:7" x14ac:dyDescent="0.3">
      <c r="C2802" t="str">
        <f>IFERROR(IF(B2802="","",VLOOKUP(B2802,CadProd!$A:$B,2,0)),"")</f>
        <v/>
      </c>
      <c r="D2802" t="str">
        <f>IFERROR(IF(B2802="","",VLOOKUP(B2802,CadProd!$A:$C,3,0)),"")</f>
        <v/>
      </c>
      <c r="G2802" s="1" t="str">
        <f t="shared" si="43"/>
        <v/>
      </c>
    </row>
    <row r="2803" spans="3:7" x14ac:dyDescent="0.3">
      <c r="C2803" t="str">
        <f>IFERROR(IF(B2803="","",VLOOKUP(B2803,CadProd!$A:$B,2,0)),"")</f>
        <v/>
      </c>
      <c r="D2803" t="str">
        <f>IFERROR(IF(B2803="","",VLOOKUP(B2803,CadProd!$A:$C,3,0)),"")</f>
        <v/>
      </c>
      <c r="G2803" s="1" t="str">
        <f t="shared" si="43"/>
        <v/>
      </c>
    </row>
    <row r="2804" spans="3:7" x14ac:dyDescent="0.3">
      <c r="C2804" t="str">
        <f>IFERROR(IF(B2804="","",VLOOKUP(B2804,CadProd!$A:$B,2,0)),"")</f>
        <v/>
      </c>
      <c r="D2804" t="str">
        <f>IFERROR(IF(B2804="","",VLOOKUP(B2804,CadProd!$A:$C,3,0)),"")</f>
        <v/>
      </c>
      <c r="G2804" s="1" t="str">
        <f t="shared" si="43"/>
        <v/>
      </c>
    </row>
    <row r="2805" spans="3:7" x14ac:dyDescent="0.3">
      <c r="C2805" t="str">
        <f>IFERROR(IF(B2805="","",VLOOKUP(B2805,CadProd!$A:$B,2,0)),"")</f>
        <v/>
      </c>
      <c r="D2805" t="str">
        <f>IFERROR(IF(B2805="","",VLOOKUP(B2805,CadProd!$A:$C,3,0)),"")</f>
        <v/>
      </c>
      <c r="G2805" s="1" t="str">
        <f t="shared" si="43"/>
        <v/>
      </c>
    </row>
    <row r="2806" spans="3:7" x14ac:dyDescent="0.3">
      <c r="C2806" t="str">
        <f>IFERROR(IF(B2806="","",VLOOKUP(B2806,CadProd!$A:$B,2,0)),"")</f>
        <v/>
      </c>
      <c r="D2806" t="str">
        <f>IFERROR(IF(B2806="","",VLOOKUP(B2806,CadProd!$A:$C,3,0)),"")</f>
        <v/>
      </c>
      <c r="G2806" s="1" t="str">
        <f t="shared" si="43"/>
        <v/>
      </c>
    </row>
    <row r="2807" spans="3:7" x14ac:dyDescent="0.3">
      <c r="C2807" t="str">
        <f>IFERROR(IF(B2807="","",VLOOKUP(B2807,CadProd!$A:$B,2,0)),"")</f>
        <v/>
      </c>
      <c r="D2807" t="str">
        <f>IFERROR(IF(B2807="","",VLOOKUP(B2807,CadProd!$A:$C,3,0)),"")</f>
        <v/>
      </c>
      <c r="G2807" s="1" t="str">
        <f t="shared" si="43"/>
        <v/>
      </c>
    </row>
    <row r="2808" spans="3:7" x14ac:dyDescent="0.3">
      <c r="C2808" t="str">
        <f>IFERROR(IF(B2808="","",VLOOKUP(B2808,CadProd!$A:$B,2,0)),"")</f>
        <v/>
      </c>
      <c r="D2808" t="str">
        <f>IFERROR(IF(B2808="","",VLOOKUP(B2808,CadProd!$A:$C,3,0)),"")</f>
        <v/>
      </c>
      <c r="G2808" s="1" t="str">
        <f t="shared" si="43"/>
        <v/>
      </c>
    </row>
    <row r="2809" spans="3:7" x14ac:dyDescent="0.3">
      <c r="C2809" t="str">
        <f>IFERROR(IF(B2809="","",VLOOKUP(B2809,CadProd!$A:$B,2,0)),"")</f>
        <v/>
      </c>
      <c r="D2809" t="str">
        <f>IFERROR(IF(B2809="","",VLOOKUP(B2809,CadProd!$A:$C,3,0)),"")</f>
        <v/>
      </c>
      <c r="G2809" s="1" t="str">
        <f t="shared" si="43"/>
        <v/>
      </c>
    </row>
    <row r="2810" spans="3:7" x14ac:dyDescent="0.3">
      <c r="C2810" t="str">
        <f>IFERROR(IF(B2810="","",VLOOKUP(B2810,CadProd!$A:$B,2,0)),"")</f>
        <v/>
      </c>
      <c r="D2810" t="str">
        <f>IFERROR(IF(B2810="","",VLOOKUP(B2810,CadProd!$A:$C,3,0)),"")</f>
        <v/>
      </c>
      <c r="G2810" s="1" t="str">
        <f t="shared" si="43"/>
        <v/>
      </c>
    </row>
    <row r="2811" spans="3:7" x14ac:dyDescent="0.3">
      <c r="C2811" t="str">
        <f>IFERROR(IF(B2811="","",VLOOKUP(B2811,CadProd!$A:$B,2,0)),"")</f>
        <v/>
      </c>
      <c r="D2811" t="str">
        <f>IFERROR(IF(B2811="","",VLOOKUP(B2811,CadProd!$A:$C,3,0)),"")</f>
        <v/>
      </c>
      <c r="G2811" s="1" t="str">
        <f t="shared" si="43"/>
        <v/>
      </c>
    </row>
    <row r="2812" spans="3:7" x14ac:dyDescent="0.3">
      <c r="C2812" t="str">
        <f>IFERROR(IF(B2812="","",VLOOKUP(B2812,CadProd!$A:$B,2,0)),"")</f>
        <v/>
      </c>
      <c r="D2812" t="str">
        <f>IFERROR(IF(B2812="","",VLOOKUP(B2812,CadProd!$A:$C,3,0)),"")</f>
        <v/>
      </c>
      <c r="G2812" s="1" t="str">
        <f t="shared" si="43"/>
        <v/>
      </c>
    </row>
    <row r="2813" spans="3:7" x14ac:dyDescent="0.3">
      <c r="C2813" t="str">
        <f>IFERROR(IF(B2813="","",VLOOKUP(B2813,CadProd!$A:$B,2,0)),"")</f>
        <v/>
      </c>
      <c r="D2813" t="str">
        <f>IFERROR(IF(B2813="","",VLOOKUP(B2813,CadProd!$A:$C,3,0)),"")</f>
        <v/>
      </c>
      <c r="G2813" s="1" t="str">
        <f t="shared" si="43"/>
        <v/>
      </c>
    </row>
    <row r="2814" spans="3:7" x14ac:dyDescent="0.3">
      <c r="C2814" t="str">
        <f>IFERROR(IF(B2814="","",VLOOKUP(B2814,CadProd!$A:$B,2,0)),"")</f>
        <v/>
      </c>
      <c r="D2814" t="str">
        <f>IFERROR(IF(B2814="","",VLOOKUP(B2814,CadProd!$A:$C,3,0)),"")</f>
        <v/>
      </c>
      <c r="G2814" s="1" t="str">
        <f t="shared" si="43"/>
        <v/>
      </c>
    </row>
    <row r="2815" spans="3:7" x14ac:dyDescent="0.3">
      <c r="C2815" t="str">
        <f>IFERROR(IF(B2815="","",VLOOKUP(B2815,CadProd!$A:$B,2,0)),"")</f>
        <v/>
      </c>
      <c r="D2815" t="str">
        <f>IFERROR(IF(B2815="","",VLOOKUP(B2815,CadProd!$A:$C,3,0)),"")</f>
        <v/>
      </c>
      <c r="G2815" s="1" t="str">
        <f t="shared" si="43"/>
        <v/>
      </c>
    </row>
    <row r="2816" spans="3:7" x14ac:dyDescent="0.3">
      <c r="C2816" t="str">
        <f>IFERROR(IF(B2816="","",VLOOKUP(B2816,CadProd!$A:$B,2,0)),"")</f>
        <v/>
      </c>
      <c r="D2816" t="str">
        <f>IFERROR(IF(B2816="","",VLOOKUP(B2816,CadProd!$A:$C,3,0)),"")</f>
        <v/>
      </c>
      <c r="G2816" s="1" t="str">
        <f t="shared" si="43"/>
        <v/>
      </c>
    </row>
    <row r="2817" spans="3:7" x14ac:dyDescent="0.3">
      <c r="C2817" t="str">
        <f>IFERROR(IF(B2817="","",VLOOKUP(B2817,CadProd!$A:$B,2,0)),"")</f>
        <v/>
      </c>
      <c r="D2817" t="str">
        <f>IFERROR(IF(B2817="","",VLOOKUP(B2817,CadProd!$A:$C,3,0)),"")</f>
        <v/>
      </c>
      <c r="G2817" s="1" t="str">
        <f t="shared" si="43"/>
        <v/>
      </c>
    </row>
    <row r="2818" spans="3:7" x14ac:dyDescent="0.3">
      <c r="C2818" t="str">
        <f>IFERROR(IF(B2818="","",VLOOKUP(B2818,CadProd!$A:$B,2,0)),"")</f>
        <v/>
      </c>
      <c r="D2818" t="str">
        <f>IFERROR(IF(B2818="","",VLOOKUP(B2818,CadProd!$A:$C,3,0)),"")</f>
        <v/>
      </c>
      <c r="G2818" s="1" t="str">
        <f t="shared" si="43"/>
        <v/>
      </c>
    </row>
    <row r="2819" spans="3:7" x14ac:dyDescent="0.3">
      <c r="C2819" t="str">
        <f>IFERROR(IF(B2819="","",VLOOKUP(B2819,CadProd!$A:$B,2,0)),"")</f>
        <v/>
      </c>
      <c r="D2819" t="str">
        <f>IFERROR(IF(B2819="","",VLOOKUP(B2819,CadProd!$A:$C,3,0)),"")</f>
        <v/>
      </c>
      <c r="G2819" s="1" t="str">
        <f t="shared" si="43"/>
        <v/>
      </c>
    </row>
    <row r="2820" spans="3:7" x14ac:dyDescent="0.3">
      <c r="C2820" t="str">
        <f>IFERROR(IF(B2820="","",VLOOKUP(B2820,CadProd!$A:$B,2,0)),"")</f>
        <v/>
      </c>
      <c r="D2820" t="str">
        <f>IFERROR(IF(B2820="","",VLOOKUP(B2820,CadProd!$A:$C,3,0)),"")</f>
        <v/>
      </c>
      <c r="G2820" s="1" t="str">
        <f t="shared" si="43"/>
        <v/>
      </c>
    </row>
    <row r="2821" spans="3:7" x14ac:dyDescent="0.3">
      <c r="C2821" t="str">
        <f>IFERROR(IF(B2821="","",VLOOKUP(B2821,CadProd!$A:$B,2,0)),"")</f>
        <v/>
      </c>
      <c r="D2821" t="str">
        <f>IFERROR(IF(B2821="","",VLOOKUP(B2821,CadProd!$A:$C,3,0)),"")</f>
        <v/>
      </c>
      <c r="G2821" s="1" t="str">
        <f t="shared" si="43"/>
        <v/>
      </c>
    </row>
    <row r="2822" spans="3:7" x14ac:dyDescent="0.3">
      <c r="C2822" t="str">
        <f>IFERROR(IF(B2822="","",VLOOKUP(B2822,CadProd!$A:$B,2,0)),"")</f>
        <v/>
      </c>
      <c r="D2822" t="str">
        <f>IFERROR(IF(B2822="","",VLOOKUP(B2822,CadProd!$A:$C,3,0)),"")</f>
        <v/>
      </c>
      <c r="G2822" s="1" t="str">
        <f t="shared" si="43"/>
        <v/>
      </c>
    </row>
    <row r="2823" spans="3:7" x14ac:dyDescent="0.3">
      <c r="C2823" t="str">
        <f>IFERROR(IF(B2823="","",VLOOKUP(B2823,CadProd!$A:$B,2,0)),"")</f>
        <v/>
      </c>
      <c r="D2823" t="str">
        <f>IFERROR(IF(B2823="","",VLOOKUP(B2823,CadProd!$A:$C,3,0)),"")</f>
        <v/>
      </c>
      <c r="G2823" s="1" t="str">
        <f t="shared" si="43"/>
        <v/>
      </c>
    </row>
    <row r="2824" spans="3:7" x14ac:dyDescent="0.3">
      <c r="C2824" t="str">
        <f>IFERROR(IF(B2824="","",VLOOKUP(B2824,CadProd!$A:$B,2,0)),"")</f>
        <v/>
      </c>
      <c r="D2824" t="str">
        <f>IFERROR(IF(B2824="","",VLOOKUP(B2824,CadProd!$A:$C,3,0)),"")</f>
        <v/>
      </c>
      <c r="G2824" s="1" t="str">
        <f t="shared" si="43"/>
        <v/>
      </c>
    </row>
    <row r="2825" spans="3:7" x14ac:dyDescent="0.3">
      <c r="C2825" t="str">
        <f>IFERROR(IF(B2825="","",VLOOKUP(B2825,CadProd!$A:$B,2,0)),"")</f>
        <v/>
      </c>
      <c r="D2825" t="str">
        <f>IFERROR(IF(B2825="","",VLOOKUP(B2825,CadProd!$A:$C,3,0)),"")</f>
        <v/>
      </c>
      <c r="G2825" s="1" t="str">
        <f t="shared" si="43"/>
        <v/>
      </c>
    </row>
    <row r="2826" spans="3:7" x14ac:dyDescent="0.3">
      <c r="C2826" t="str">
        <f>IFERROR(IF(B2826="","",VLOOKUP(B2826,CadProd!$A:$B,2,0)),"")</f>
        <v/>
      </c>
      <c r="D2826" t="str">
        <f>IFERROR(IF(B2826="","",VLOOKUP(B2826,CadProd!$A:$C,3,0)),"")</f>
        <v/>
      </c>
      <c r="G2826" s="1" t="str">
        <f t="shared" si="43"/>
        <v/>
      </c>
    </row>
    <row r="2827" spans="3:7" x14ac:dyDescent="0.3">
      <c r="C2827" t="str">
        <f>IFERROR(IF(B2827="","",VLOOKUP(B2827,CadProd!$A:$B,2,0)),"")</f>
        <v/>
      </c>
      <c r="D2827" t="str">
        <f>IFERROR(IF(B2827="","",VLOOKUP(B2827,CadProd!$A:$C,3,0)),"")</f>
        <v/>
      </c>
      <c r="G2827" s="1" t="str">
        <f t="shared" ref="G2827:G2890" si="44">IFERROR(IF(B2827="","",F2827*E2827),"")</f>
        <v/>
      </c>
    </row>
    <row r="2828" spans="3:7" x14ac:dyDescent="0.3">
      <c r="C2828" t="str">
        <f>IFERROR(IF(B2828="","",VLOOKUP(B2828,CadProd!$A:$B,2,0)),"")</f>
        <v/>
      </c>
      <c r="D2828" t="str">
        <f>IFERROR(IF(B2828="","",VLOOKUP(B2828,CadProd!$A:$C,3,0)),"")</f>
        <v/>
      </c>
      <c r="G2828" s="1" t="str">
        <f t="shared" si="44"/>
        <v/>
      </c>
    </row>
    <row r="2829" spans="3:7" x14ac:dyDescent="0.3">
      <c r="C2829" t="str">
        <f>IFERROR(IF(B2829="","",VLOOKUP(B2829,CadProd!$A:$B,2,0)),"")</f>
        <v/>
      </c>
      <c r="D2829" t="str">
        <f>IFERROR(IF(B2829="","",VLOOKUP(B2829,CadProd!$A:$C,3,0)),"")</f>
        <v/>
      </c>
      <c r="G2829" s="1" t="str">
        <f t="shared" si="44"/>
        <v/>
      </c>
    </row>
    <row r="2830" spans="3:7" x14ac:dyDescent="0.3">
      <c r="C2830" t="str">
        <f>IFERROR(IF(B2830="","",VLOOKUP(B2830,CadProd!$A:$B,2,0)),"")</f>
        <v/>
      </c>
      <c r="D2830" t="str">
        <f>IFERROR(IF(B2830="","",VLOOKUP(B2830,CadProd!$A:$C,3,0)),"")</f>
        <v/>
      </c>
      <c r="G2830" s="1" t="str">
        <f t="shared" si="44"/>
        <v/>
      </c>
    </row>
    <row r="2831" spans="3:7" x14ac:dyDescent="0.3">
      <c r="C2831" t="str">
        <f>IFERROR(IF(B2831="","",VLOOKUP(B2831,CadProd!$A:$B,2,0)),"")</f>
        <v/>
      </c>
      <c r="D2831" t="str">
        <f>IFERROR(IF(B2831="","",VLOOKUP(B2831,CadProd!$A:$C,3,0)),"")</f>
        <v/>
      </c>
      <c r="G2831" s="1" t="str">
        <f t="shared" si="44"/>
        <v/>
      </c>
    </row>
    <row r="2832" spans="3:7" x14ac:dyDescent="0.3">
      <c r="C2832" t="str">
        <f>IFERROR(IF(B2832="","",VLOOKUP(B2832,CadProd!$A:$B,2,0)),"")</f>
        <v/>
      </c>
      <c r="D2832" t="str">
        <f>IFERROR(IF(B2832="","",VLOOKUP(B2832,CadProd!$A:$C,3,0)),"")</f>
        <v/>
      </c>
      <c r="G2832" s="1" t="str">
        <f t="shared" si="44"/>
        <v/>
      </c>
    </row>
    <row r="2833" spans="3:7" x14ac:dyDescent="0.3">
      <c r="C2833" t="str">
        <f>IFERROR(IF(B2833="","",VLOOKUP(B2833,CadProd!$A:$B,2,0)),"")</f>
        <v/>
      </c>
      <c r="D2833" t="str">
        <f>IFERROR(IF(B2833="","",VLOOKUP(B2833,CadProd!$A:$C,3,0)),"")</f>
        <v/>
      </c>
      <c r="G2833" s="1" t="str">
        <f t="shared" si="44"/>
        <v/>
      </c>
    </row>
    <row r="2834" spans="3:7" x14ac:dyDescent="0.3">
      <c r="C2834" t="str">
        <f>IFERROR(IF(B2834="","",VLOOKUP(B2834,CadProd!$A:$B,2,0)),"")</f>
        <v/>
      </c>
      <c r="D2834" t="str">
        <f>IFERROR(IF(B2834="","",VLOOKUP(B2834,CadProd!$A:$C,3,0)),"")</f>
        <v/>
      </c>
      <c r="G2834" s="1" t="str">
        <f t="shared" si="44"/>
        <v/>
      </c>
    </row>
    <row r="2835" spans="3:7" x14ac:dyDescent="0.3">
      <c r="C2835" t="str">
        <f>IFERROR(IF(B2835="","",VLOOKUP(B2835,CadProd!$A:$B,2,0)),"")</f>
        <v/>
      </c>
      <c r="D2835" t="str">
        <f>IFERROR(IF(B2835="","",VLOOKUP(B2835,CadProd!$A:$C,3,0)),"")</f>
        <v/>
      </c>
      <c r="G2835" s="1" t="str">
        <f t="shared" si="44"/>
        <v/>
      </c>
    </row>
    <row r="2836" spans="3:7" x14ac:dyDescent="0.3">
      <c r="C2836" t="str">
        <f>IFERROR(IF(B2836="","",VLOOKUP(B2836,CadProd!$A:$B,2,0)),"")</f>
        <v/>
      </c>
      <c r="D2836" t="str">
        <f>IFERROR(IF(B2836="","",VLOOKUP(B2836,CadProd!$A:$C,3,0)),"")</f>
        <v/>
      </c>
      <c r="G2836" s="1" t="str">
        <f t="shared" si="44"/>
        <v/>
      </c>
    </row>
    <row r="2837" spans="3:7" x14ac:dyDescent="0.3">
      <c r="C2837" t="str">
        <f>IFERROR(IF(B2837="","",VLOOKUP(B2837,CadProd!$A:$B,2,0)),"")</f>
        <v/>
      </c>
      <c r="D2837" t="str">
        <f>IFERROR(IF(B2837="","",VLOOKUP(B2837,CadProd!$A:$C,3,0)),"")</f>
        <v/>
      </c>
      <c r="G2837" s="1" t="str">
        <f t="shared" si="44"/>
        <v/>
      </c>
    </row>
    <row r="2838" spans="3:7" x14ac:dyDescent="0.3">
      <c r="C2838" t="str">
        <f>IFERROR(IF(B2838="","",VLOOKUP(B2838,CadProd!$A:$B,2,0)),"")</f>
        <v/>
      </c>
      <c r="D2838" t="str">
        <f>IFERROR(IF(B2838="","",VLOOKUP(B2838,CadProd!$A:$C,3,0)),"")</f>
        <v/>
      </c>
      <c r="G2838" s="1" t="str">
        <f t="shared" si="44"/>
        <v/>
      </c>
    </row>
    <row r="2839" spans="3:7" x14ac:dyDescent="0.3">
      <c r="C2839" t="str">
        <f>IFERROR(IF(B2839="","",VLOOKUP(B2839,CadProd!$A:$B,2,0)),"")</f>
        <v/>
      </c>
      <c r="D2839" t="str">
        <f>IFERROR(IF(B2839="","",VLOOKUP(B2839,CadProd!$A:$C,3,0)),"")</f>
        <v/>
      </c>
      <c r="G2839" s="1" t="str">
        <f t="shared" si="44"/>
        <v/>
      </c>
    </row>
    <row r="2840" spans="3:7" x14ac:dyDescent="0.3">
      <c r="C2840" t="str">
        <f>IFERROR(IF(B2840="","",VLOOKUP(B2840,CadProd!$A:$B,2,0)),"")</f>
        <v/>
      </c>
      <c r="D2840" t="str">
        <f>IFERROR(IF(B2840="","",VLOOKUP(B2840,CadProd!$A:$C,3,0)),"")</f>
        <v/>
      </c>
      <c r="G2840" s="1" t="str">
        <f t="shared" si="44"/>
        <v/>
      </c>
    </row>
    <row r="2841" spans="3:7" x14ac:dyDescent="0.3">
      <c r="C2841" t="str">
        <f>IFERROR(IF(B2841="","",VLOOKUP(B2841,CadProd!$A:$B,2,0)),"")</f>
        <v/>
      </c>
      <c r="D2841" t="str">
        <f>IFERROR(IF(B2841="","",VLOOKUP(B2841,CadProd!$A:$C,3,0)),"")</f>
        <v/>
      </c>
      <c r="G2841" s="1" t="str">
        <f t="shared" si="44"/>
        <v/>
      </c>
    </row>
    <row r="2842" spans="3:7" x14ac:dyDescent="0.3">
      <c r="C2842" t="str">
        <f>IFERROR(IF(B2842="","",VLOOKUP(B2842,CadProd!$A:$B,2,0)),"")</f>
        <v/>
      </c>
      <c r="D2842" t="str">
        <f>IFERROR(IF(B2842="","",VLOOKUP(B2842,CadProd!$A:$C,3,0)),"")</f>
        <v/>
      </c>
      <c r="G2842" s="1" t="str">
        <f t="shared" si="44"/>
        <v/>
      </c>
    </row>
    <row r="2843" spans="3:7" x14ac:dyDescent="0.3">
      <c r="C2843" t="str">
        <f>IFERROR(IF(B2843="","",VLOOKUP(B2843,CadProd!$A:$B,2,0)),"")</f>
        <v/>
      </c>
      <c r="D2843" t="str">
        <f>IFERROR(IF(B2843="","",VLOOKUP(B2843,CadProd!$A:$C,3,0)),"")</f>
        <v/>
      </c>
      <c r="G2843" s="1" t="str">
        <f t="shared" si="44"/>
        <v/>
      </c>
    </row>
    <row r="2844" spans="3:7" x14ac:dyDescent="0.3">
      <c r="C2844" t="str">
        <f>IFERROR(IF(B2844="","",VLOOKUP(B2844,CadProd!$A:$B,2,0)),"")</f>
        <v/>
      </c>
      <c r="D2844" t="str">
        <f>IFERROR(IF(B2844="","",VLOOKUP(B2844,CadProd!$A:$C,3,0)),"")</f>
        <v/>
      </c>
      <c r="G2844" s="1" t="str">
        <f t="shared" si="44"/>
        <v/>
      </c>
    </row>
    <row r="2845" spans="3:7" x14ac:dyDescent="0.3">
      <c r="C2845" t="str">
        <f>IFERROR(IF(B2845="","",VLOOKUP(B2845,CadProd!$A:$B,2,0)),"")</f>
        <v/>
      </c>
      <c r="D2845" t="str">
        <f>IFERROR(IF(B2845="","",VLOOKUP(B2845,CadProd!$A:$C,3,0)),"")</f>
        <v/>
      </c>
      <c r="G2845" s="1" t="str">
        <f t="shared" si="44"/>
        <v/>
      </c>
    </row>
    <row r="2846" spans="3:7" x14ac:dyDescent="0.3">
      <c r="C2846" t="str">
        <f>IFERROR(IF(B2846="","",VLOOKUP(B2846,CadProd!$A:$B,2,0)),"")</f>
        <v/>
      </c>
      <c r="D2846" t="str">
        <f>IFERROR(IF(B2846="","",VLOOKUP(B2846,CadProd!$A:$C,3,0)),"")</f>
        <v/>
      </c>
      <c r="G2846" s="1" t="str">
        <f t="shared" si="44"/>
        <v/>
      </c>
    </row>
    <row r="2847" spans="3:7" x14ac:dyDescent="0.3">
      <c r="C2847" t="str">
        <f>IFERROR(IF(B2847="","",VLOOKUP(B2847,CadProd!$A:$B,2,0)),"")</f>
        <v/>
      </c>
      <c r="D2847" t="str">
        <f>IFERROR(IF(B2847="","",VLOOKUP(B2847,CadProd!$A:$C,3,0)),"")</f>
        <v/>
      </c>
      <c r="G2847" s="1" t="str">
        <f t="shared" si="44"/>
        <v/>
      </c>
    </row>
    <row r="2848" spans="3:7" x14ac:dyDescent="0.3">
      <c r="C2848" t="str">
        <f>IFERROR(IF(B2848="","",VLOOKUP(B2848,CadProd!$A:$B,2,0)),"")</f>
        <v/>
      </c>
      <c r="D2848" t="str">
        <f>IFERROR(IF(B2848="","",VLOOKUP(B2848,CadProd!$A:$C,3,0)),"")</f>
        <v/>
      </c>
      <c r="G2848" s="1" t="str">
        <f t="shared" si="44"/>
        <v/>
      </c>
    </row>
    <row r="2849" spans="3:7" x14ac:dyDescent="0.3">
      <c r="C2849" t="str">
        <f>IFERROR(IF(B2849="","",VLOOKUP(B2849,CadProd!$A:$B,2,0)),"")</f>
        <v/>
      </c>
      <c r="D2849" t="str">
        <f>IFERROR(IF(B2849="","",VLOOKUP(B2849,CadProd!$A:$C,3,0)),"")</f>
        <v/>
      </c>
      <c r="G2849" s="1" t="str">
        <f t="shared" si="44"/>
        <v/>
      </c>
    </row>
    <row r="2850" spans="3:7" x14ac:dyDescent="0.3">
      <c r="C2850" t="str">
        <f>IFERROR(IF(B2850="","",VLOOKUP(B2850,CadProd!$A:$B,2,0)),"")</f>
        <v/>
      </c>
      <c r="D2850" t="str">
        <f>IFERROR(IF(B2850="","",VLOOKUP(B2850,CadProd!$A:$C,3,0)),"")</f>
        <v/>
      </c>
      <c r="G2850" s="1" t="str">
        <f t="shared" si="44"/>
        <v/>
      </c>
    </row>
    <row r="2851" spans="3:7" x14ac:dyDescent="0.3">
      <c r="C2851" t="str">
        <f>IFERROR(IF(B2851="","",VLOOKUP(B2851,CadProd!$A:$B,2,0)),"")</f>
        <v/>
      </c>
      <c r="D2851" t="str">
        <f>IFERROR(IF(B2851="","",VLOOKUP(B2851,CadProd!$A:$C,3,0)),"")</f>
        <v/>
      </c>
      <c r="G2851" s="1" t="str">
        <f t="shared" si="44"/>
        <v/>
      </c>
    </row>
    <row r="2852" spans="3:7" x14ac:dyDescent="0.3">
      <c r="C2852" t="str">
        <f>IFERROR(IF(B2852="","",VLOOKUP(B2852,CadProd!$A:$B,2,0)),"")</f>
        <v/>
      </c>
      <c r="D2852" t="str">
        <f>IFERROR(IF(B2852="","",VLOOKUP(B2852,CadProd!$A:$C,3,0)),"")</f>
        <v/>
      </c>
      <c r="G2852" s="1" t="str">
        <f t="shared" si="44"/>
        <v/>
      </c>
    </row>
    <row r="2853" spans="3:7" x14ac:dyDescent="0.3">
      <c r="C2853" t="str">
        <f>IFERROR(IF(B2853="","",VLOOKUP(B2853,CadProd!$A:$B,2,0)),"")</f>
        <v/>
      </c>
      <c r="D2853" t="str">
        <f>IFERROR(IF(B2853="","",VLOOKUP(B2853,CadProd!$A:$C,3,0)),"")</f>
        <v/>
      </c>
      <c r="G2853" s="1" t="str">
        <f t="shared" si="44"/>
        <v/>
      </c>
    </row>
    <row r="2854" spans="3:7" x14ac:dyDescent="0.3">
      <c r="C2854" t="str">
        <f>IFERROR(IF(B2854="","",VLOOKUP(B2854,CadProd!$A:$B,2,0)),"")</f>
        <v/>
      </c>
      <c r="D2854" t="str">
        <f>IFERROR(IF(B2854="","",VLOOKUP(B2854,CadProd!$A:$C,3,0)),"")</f>
        <v/>
      </c>
      <c r="G2854" s="1" t="str">
        <f t="shared" si="44"/>
        <v/>
      </c>
    </row>
    <row r="2855" spans="3:7" x14ac:dyDescent="0.3">
      <c r="C2855" t="str">
        <f>IFERROR(IF(B2855="","",VLOOKUP(B2855,CadProd!$A:$B,2,0)),"")</f>
        <v/>
      </c>
      <c r="D2855" t="str">
        <f>IFERROR(IF(B2855="","",VLOOKUP(B2855,CadProd!$A:$C,3,0)),"")</f>
        <v/>
      </c>
      <c r="G2855" s="1" t="str">
        <f t="shared" si="44"/>
        <v/>
      </c>
    </row>
    <row r="2856" spans="3:7" x14ac:dyDescent="0.3">
      <c r="C2856" t="str">
        <f>IFERROR(IF(B2856="","",VLOOKUP(B2856,CadProd!$A:$B,2,0)),"")</f>
        <v/>
      </c>
      <c r="D2856" t="str">
        <f>IFERROR(IF(B2856="","",VLOOKUP(B2856,CadProd!$A:$C,3,0)),"")</f>
        <v/>
      </c>
      <c r="G2856" s="1" t="str">
        <f t="shared" si="44"/>
        <v/>
      </c>
    </row>
    <row r="2857" spans="3:7" x14ac:dyDescent="0.3">
      <c r="C2857" t="str">
        <f>IFERROR(IF(B2857="","",VLOOKUP(B2857,CadProd!$A:$B,2,0)),"")</f>
        <v/>
      </c>
      <c r="D2857" t="str">
        <f>IFERROR(IF(B2857="","",VLOOKUP(B2857,CadProd!$A:$C,3,0)),"")</f>
        <v/>
      </c>
      <c r="G2857" s="1" t="str">
        <f t="shared" si="44"/>
        <v/>
      </c>
    </row>
    <row r="2858" spans="3:7" x14ac:dyDescent="0.3">
      <c r="C2858" t="str">
        <f>IFERROR(IF(B2858="","",VLOOKUP(B2858,CadProd!$A:$B,2,0)),"")</f>
        <v/>
      </c>
      <c r="D2858" t="str">
        <f>IFERROR(IF(B2858="","",VLOOKUP(B2858,CadProd!$A:$C,3,0)),"")</f>
        <v/>
      </c>
      <c r="G2858" s="1" t="str">
        <f t="shared" si="44"/>
        <v/>
      </c>
    </row>
    <row r="2859" spans="3:7" x14ac:dyDescent="0.3">
      <c r="C2859" t="str">
        <f>IFERROR(IF(B2859="","",VLOOKUP(B2859,CadProd!$A:$B,2,0)),"")</f>
        <v/>
      </c>
      <c r="D2859" t="str">
        <f>IFERROR(IF(B2859="","",VLOOKUP(B2859,CadProd!$A:$C,3,0)),"")</f>
        <v/>
      </c>
      <c r="G2859" s="1" t="str">
        <f t="shared" si="44"/>
        <v/>
      </c>
    </row>
    <row r="2860" spans="3:7" x14ac:dyDescent="0.3">
      <c r="C2860" t="str">
        <f>IFERROR(IF(B2860="","",VLOOKUP(B2860,CadProd!$A:$B,2,0)),"")</f>
        <v/>
      </c>
      <c r="D2860" t="str">
        <f>IFERROR(IF(B2860="","",VLOOKUP(B2860,CadProd!$A:$C,3,0)),"")</f>
        <v/>
      </c>
      <c r="G2860" s="1" t="str">
        <f t="shared" si="44"/>
        <v/>
      </c>
    </row>
    <row r="2861" spans="3:7" x14ac:dyDescent="0.3">
      <c r="C2861" t="str">
        <f>IFERROR(IF(B2861="","",VLOOKUP(B2861,CadProd!$A:$B,2,0)),"")</f>
        <v/>
      </c>
      <c r="D2861" t="str">
        <f>IFERROR(IF(B2861="","",VLOOKUP(B2861,CadProd!$A:$C,3,0)),"")</f>
        <v/>
      </c>
      <c r="G2861" s="1" t="str">
        <f t="shared" si="44"/>
        <v/>
      </c>
    </row>
    <row r="2862" spans="3:7" x14ac:dyDescent="0.3">
      <c r="C2862" t="str">
        <f>IFERROR(IF(B2862="","",VLOOKUP(B2862,CadProd!$A:$B,2,0)),"")</f>
        <v/>
      </c>
      <c r="D2862" t="str">
        <f>IFERROR(IF(B2862="","",VLOOKUP(B2862,CadProd!$A:$C,3,0)),"")</f>
        <v/>
      </c>
      <c r="G2862" s="1" t="str">
        <f t="shared" si="44"/>
        <v/>
      </c>
    </row>
    <row r="2863" spans="3:7" x14ac:dyDescent="0.3">
      <c r="C2863" t="str">
        <f>IFERROR(IF(B2863="","",VLOOKUP(B2863,CadProd!$A:$B,2,0)),"")</f>
        <v/>
      </c>
      <c r="D2863" t="str">
        <f>IFERROR(IF(B2863="","",VLOOKUP(B2863,CadProd!$A:$C,3,0)),"")</f>
        <v/>
      </c>
      <c r="G2863" s="1" t="str">
        <f t="shared" si="44"/>
        <v/>
      </c>
    </row>
    <row r="2864" spans="3:7" x14ac:dyDescent="0.3">
      <c r="C2864" t="str">
        <f>IFERROR(IF(B2864="","",VLOOKUP(B2864,CadProd!$A:$B,2,0)),"")</f>
        <v/>
      </c>
      <c r="D2864" t="str">
        <f>IFERROR(IF(B2864="","",VLOOKUP(B2864,CadProd!$A:$C,3,0)),"")</f>
        <v/>
      </c>
      <c r="G2864" s="1" t="str">
        <f t="shared" si="44"/>
        <v/>
      </c>
    </row>
    <row r="2865" spans="3:7" x14ac:dyDescent="0.3">
      <c r="C2865" t="str">
        <f>IFERROR(IF(B2865="","",VLOOKUP(B2865,CadProd!$A:$B,2,0)),"")</f>
        <v/>
      </c>
      <c r="D2865" t="str">
        <f>IFERROR(IF(B2865="","",VLOOKUP(B2865,CadProd!$A:$C,3,0)),"")</f>
        <v/>
      </c>
      <c r="G2865" s="1" t="str">
        <f t="shared" si="44"/>
        <v/>
      </c>
    </row>
    <row r="2866" spans="3:7" x14ac:dyDescent="0.3">
      <c r="C2866" t="str">
        <f>IFERROR(IF(B2866="","",VLOOKUP(B2866,CadProd!$A:$B,2,0)),"")</f>
        <v/>
      </c>
      <c r="D2866" t="str">
        <f>IFERROR(IF(B2866="","",VLOOKUP(B2866,CadProd!$A:$C,3,0)),"")</f>
        <v/>
      </c>
      <c r="G2866" s="1" t="str">
        <f t="shared" si="44"/>
        <v/>
      </c>
    </row>
    <row r="2867" spans="3:7" x14ac:dyDescent="0.3">
      <c r="C2867" t="str">
        <f>IFERROR(IF(B2867="","",VLOOKUP(B2867,CadProd!$A:$B,2,0)),"")</f>
        <v/>
      </c>
      <c r="D2867" t="str">
        <f>IFERROR(IF(B2867="","",VLOOKUP(B2867,CadProd!$A:$C,3,0)),"")</f>
        <v/>
      </c>
      <c r="G2867" s="1" t="str">
        <f t="shared" si="44"/>
        <v/>
      </c>
    </row>
    <row r="2868" spans="3:7" x14ac:dyDescent="0.3">
      <c r="C2868" t="str">
        <f>IFERROR(IF(B2868="","",VLOOKUP(B2868,CadProd!$A:$B,2,0)),"")</f>
        <v/>
      </c>
      <c r="D2868" t="str">
        <f>IFERROR(IF(B2868="","",VLOOKUP(B2868,CadProd!$A:$C,3,0)),"")</f>
        <v/>
      </c>
      <c r="G2868" s="1" t="str">
        <f t="shared" si="44"/>
        <v/>
      </c>
    </row>
    <row r="2869" spans="3:7" x14ac:dyDescent="0.3">
      <c r="C2869" t="str">
        <f>IFERROR(IF(B2869="","",VLOOKUP(B2869,CadProd!$A:$B,2,0)),"")</f>
        <v/>
      </c>
      <c r="D2869" t="str">
        <f>IFERROR(IF(B2869="","",VLOOKUP(B2869,CadProd!$A:$C,3,0)),"")</f>
        <v/>
      </c>
      <c r="G2869" s="1" t="str">
        <f t="shared" si="44"/>
        <v/>
      </c>
    </row>
    <row r="2870" spans="3:7" x14ac:dyDescent="0.3">
      <c r="C2870" t="str">
        <f>IFERROR(IF(B2870="","",VLOOKUP(B2870,CadProd!$A:$B,2,0)),"")</f>
        <v/>
      </c>
      <c r="D2870" t="str">
        <f>IFERROR(IF(B2870="","",VLOOKUP(B2870,CadProd!$A:$C,3,0)),"")</f>
        <v/>
      </c>
      <c r="G2870" s="1" t="str">
        <f t="shared" si="44"/>
        <v/>
      </c>
    </row>
    <row r="2871" spans="3:7" x14ac:dyDescent="0.3">
      <c r="C2871" t="str">
        <f>IFERROR(IF(B2871="","",VLOOKUP(B2871,CadProd!$A:$B,2,0)),"")</f>
        <v/>
      </c>
      <c r="D2871" t="str">
        <f>IFERROR(IF(B2871="","",VLOOKUP(B2871,CadProd!$A:$C,3,0)),"")</f>
        <v/>
      </c>
      <c r="G2871" s="1" t="str">
        <f t="shared" si="44"/>
        <v/>
      </c>
    </row>
    <row r="2872" spans="3:7" x14ac:dyDescent="0.3">
      <c r="C2872" t="str">
        <f>IFERROR(IF(B2872="","",VLOOKUP(B2872,CadProd!$A:$B,2,0)),"")</f>
        <v/>
      </c>
      <c r="D2872" t="str">
        <f>IFERROR(IF(B2872="","",VLOOKUP(B2872,CadProd!$A:$C,3,0)),"")</f>
        <v/>
      </c>
      <c r="G2872" s="1" t="str">
        <f t="shared" si="44"/>
        <v/>
      </c>
    </row>
    <row r="2873" spans="3:7" x14ac:dyDescent="0.3">
      <c r="C2873" t="str">
        <f>IFERROR(IF(B2873="","",VLOOKUP(B2873,CadProd!$A:$B,2,0)),"")</f>
        <v/>
      </c>
      <c r="D2873" t="str">
        <f>IFERROR(IF(B2873="","",VLOOKUP(B2873,CadProd!$A:$C,3,0)),"")</f>
        <v/>
      </c>
      <c r="G2873" s="1" t="str">
        <f t="shared" si="44"/>
        <v/>
      </c>
    </row>
    <row r="2874" spans="3:7" x14ac:dyDescent="0.3">
      <c r="C2874" t="str">
        <f>IFERROR(IF(B2874="","",VLOOKUP(B2874,CadProd!$A:$B,2,0)),"")</f>
        <v/>
      </c>
      <c r="D2874" t="str">
        <f>IFERROR(IF(B2874="","",VLOOKUP(B2874,CadProd!$A:$C,3,0)),"")</f>
        <v/>
      </c>
      <c r="G2874" s="1" t="str">
        <f t="shared" si="44"/>
        <v/>
      </c>
    </row>
    <row r="2875" spans="3:7" x14ac:dyDescent="0.3">
      <c r="C2875" t="str">
        <f>IFERROR(IF(B2875="","",VLOOKUP(B2875,CadProd!$A:$B,2,0)),"")</f>
        <v/>
      </c>
      <c r="D2875" t="str">
        <f>IFERROR(IF(B2875="","",VLOOKUP(B2875,CadProd!$A:$C,3,0)),"")</f>
        <v/>
      </c>
      <c r="G2875" s="1" t="str">
        <f t="shared" si="44"/>
        <v/>
      </c>
    </row>
    <row r="2876" spans="3:7" x14ac:dyDescent="0.3">
      <c r="C2876" t="str">
        <f>IFERROR(IF(B2876="","",VLOOKUP(B2876,CadProd!$A:$B,2,0)),"")</f>
        <v/>
      </c>
      <c r="D2876" t="str">
        <f>IFERROR(IF(B2876="","",VLOOKUP(B2876,CadProd!$A:$C,3,0)),"")</f>
        <v/>
      </c>
      <c r="G2876" s="1" t="str">
        <f t="shared" si="44"/>
        <v/>
      </c>
    </row>
    <row r="2877" spans="3:7" x14ac:dyDescent="0.3">
      <c r="C2877" t="str">
        <f>IFERROR(IF(B2877="","",VLOOKUP(B2877,CadProd!$A:$B,2,0)),"")</f>
        <v/>
      </c>
      <c r="D2877" t="str">
        <f>IFERROR(IF(B2877="","",VLOOKUP(B2877,CadProd!$A:$C,3,0)),"")</f>
        <v/>
      </c>
      <c r="G2877" s="1" t="str">
        <f t="shared" si="44"/>
        <v/>
      </c>
    </row>
    <row r="2878" spans="3:7" x14ac:dyDescent="0.3">
      <c r="C2878" t="str">
        <f>IFERROR(IF(B2878="","",VLOOKUP(B2878,CadProd!$A:$B,2,0)),"")</f>
        <v/>
      </c>
      <c r="D2878" t="str">
        <f>IFERROR(IF(B2878="","",VLOOKUP(B2878,CadProd!$A:$C,3,0)),"")</f>
        <v/>
      </c>
      <c r="G2878" s="1" t="str">
        <f t="shared" si="44"/>
        <v/>
      </c>
    </row>
    <row r="2879" spans="3:7" x14ac:dyDescent="0.3">
      <c r="C2879" t="str">
        <f>IFERROR(IF(B2879="","",VLOOKUP(B2879,CadProd!$A:$B,2,0)),"")</f>
        <v/>
      </c>
      <c r="D2879" t="str">
        <f>IFERROR(IF(B2879="","",VLOOKUP(B2879,CadProd!$A:$C,3,0)),"")</f>
        <v/>
      </c>
      <c r="G2879" s="1" t="str">
        <f t="shared" si="44"/>
        <v/>
      </c>
    </row>
    <row r="2880" spans="3:7" x14ac:dyDescent="0.3">
      <c r="C2880" t="str">
        <f>IFERROR(IF(B2880="","",VLOOKUP(B2880,CadProd!$A:$B,2,0)),"")</f>
        <v/>
      </c>
      <c r="D2880" t="str">
        <f>IFERROR(IF(B2880="","",VLOOKUP(B2880,CadProd!$A:$C,3,0)),"")</f>
        <v/>
      </c>
      <c r="G2880" s="1" t="str">
        <f t="shared" si="44"/>
        <v/>
      </c>
    </row>
    <row r="2881" spans="3:7" x14ac:dyDescent="0.3">
      <c r="C2881" t="str">
        <f>IFERROR(IF(B2881="","",VLOOKUP(B2881,CadProd!$A:$B,2,0)),"")</f>
        <v/>
      </c>
      <c r="D2881" t="str">
        <f>IFERROR(IF(B2881="","",VLOOKUP(B2881,CadProd!$A:$C,3,0)),"")</f>
        <v/>
      </c>
      <c r="G2881" s="1" t="str">
        <f t="shared" si="44"/>
        <v/>
      </c>
    </row>
    <row r="2882" spans="3:7" x14ac:dyDescent="0.3">
      <c r="C2882" t="str">
        <f>IFERROR(IF(B2882="","",VLOOKUP(B2882,CadProd!$A:$B,2,0)),"")</f>
        <v/>
      </c>
      <c r="D2882" t="str">
        <f>IFERROR(IF(B2882="","",VLOOKUP(B2882,CadProd!$A:$C,3,0)),"")</f>
        <v/>
      </c>
      <c r="G2882" s="1" t="str">
        <f t="shared" si="44"/>
        <v/>
      </c>
    </row>
    <row r="2883" spans="3:7" x14ac:dyDescent="0.3">
      <c r="C2883" t="str">
        <f>IFERROR(IF(B2883="","",VLOOKUP(B2883,CadProd!$A:$B,2,0)),"")</f>
        <v/>
      </c>
      <c r="D2883" t="str">
        <f>IFERROR(IF(B2883="","",VLOOKUP(B2883,CadProd!$A:$C,3,0)),"")</f>
        <v/>
      </c>
      <c r="G2883" s="1" t="str">
        <f t="shared" si="44"/>
        <v/>
      </c>
    </row>
    <row r="2884" spans="3:7" x14ac:dyDescent="0.3">
      <c r="C2884" t="str">
        <f>IFERROR(IF(B2884="","",VLOOKUP(B2884,CadProd!$A:$B,2,0)),"")</f>
        <v/>
      </c>
      <c r="D2884" t="str">
        <f>IFERROR(IF(B2884="","",VLOOKUP(B2884,CadProd!$A:$C,3,0)),"")</f>
        <v/>
      </c>
      <c r="G2884" s="1" t="str">
        <f t="shared" si="44"/>
        <v/>
      </c>
    </row>
    <row r="2885" spans="3:7" x14ac:dyDescent="0.3">
      <c r="C2885" t="str">
        <f>IFERROR(IF(B2885="","",VLOOKUP(B2885,CadProd!$A:$B,2,0)),"")</f>
        <v/>
      </c>
      <c r="D2885" t="str">
        <f>IFERROR(IF(B2885="","",VLOOKUP(B2885,CadProd!$A:$C,3,0)),"")</f>
        <v/>
      </c>
      <c r="G2885" s="1" t="str">
        <f t="shared" si="44"/>
        <v/>
      </c>
    </row>
    <row r="2886" spans="3:7" x14ac:dyDescent="0.3">
      <c r="C2886" t="str">
        <f>IFERROR(IF(B2886="","",VLOOKUP(B2886,CadProd!$A:$B,2,0)),"")</f>
        <v/>
      </c>
      <c r="D2886" t="str">
        <f>IFERROR(IF(B2886="","",VLOOKUP(B2886,CadProd!$A:$C,3,0)),"")</f>
        <v/>
      </c>
      <c r="G2886" s="1" t="str">
        <f t="shared" si="44"/>
        <v/>
      </c>
    </row>
    <row r="2887" spans="3:7" x14ac:dyDescent="0.3">
      <c r="C2887" t="str">
        <f>IFERROR(IF(B2887="","",VLOOKUP(B2887,CadProd!$A:$B,2,0)),"")</f>
        <v/>
      </c>
      <c r="D2887" t="str">
        <f>IFERROR(IF(B2887="","",VLOOKUP(B2887,CadProd!$A:$C,3,0)),"")</f>
        <v/>
      </c>
      <c r="G2887" s="1" t="str">
        <f t="shared" si="44"/>
        <v/>
      </c>
    </row>
    <row r="2888" spans="3:7" x14ac:dyDescent="0.3">
      <c r="C2888" t="str">
        <f>IFERROR(IF(B2888="","",VLOOKUP(B2888,CadProd!$A:$B,2,0)),"")</f>
        <v/>
      </c>
      <c r="D2888" t="str">
        <f>IFERROR(IF(B2888="","",VLOOKUP(B2888,CadProd!$A:$C,3,0)),"")</f>
        <v/>
      </c>
      <c r="G2888" s="1" t="str">
        <f t="shared" si="44"/>
        <v/>
      </c>
    </row>
    <row r="2889" spans="3:7" x14ac:dyDescent="0.3">
      <c r="C2889" t="str">
        <f>IFERROR(IF(B2889="","",VLOOKUP(B2889,CadProd!$A:$B,2,0)),"")</f>
        <v/>
      </c>
      <c r="D2889" t="str">
        <f>IFERROR(IF(B2889="","",VLOOKUP(B2889,CadProd!$A:$C,3,0)),"")</f>
        <v/>
      </c>
      <c r="G2889" s="1" t="str">
        <f t="shared" si="44"/>
        <v/>
      </c>
    </row>
    <row r="2890" spans="3:7" x14ac:dyDescent="0.3">
      <c r="C2890" t="str">
        <f>IFERROR(IF(B2890="","",VLOOKUP(B2890,CadProd!$A:$B,2,0)),"")</f>
        <v/>
      </c>
      <c r="D2890" t="str">
        <f>IFERROR(IF(B2890="","",VLOOKUP(B2890,CadProd!$A:$C,3,0)),"")</f>
        <v/>
      </c>
      <c r="G2890" s="1" t="str">
        <f t="shared" si="44"/>
        <v/>
      </c>
    </row>
    <row r="2891" spans="3:7" x14ac:dyDescent="0.3">
      <c r="C2891" t="str">
        <f>IFERROR(IF(B2891="","",VLOOKUP(B2891,CadProd!$A:$B,2,0)),"")</f>
        <v/>
      </c>
      <c r="D2891" t="str">
        <f>IFERROR(IF(B2891="","",VLOOKUP(B2891,CadProd!$A:$C,3,0)),"")</f>
        <v/>
      </c>
      <c r="G2891" s="1" t="str">
        <f t="shared" ref="G2891:G2954" si="45">IFERROR(IF(B2891="","",F2891*E2891),"")</f>
        <v/>
      </c>
    </row>
    <row r="2892" spans="3:7" x14ac:dyDescent="0.3">
      <c r="C2892" t="str">
        <f>IFERROR(IF(B2892="","",VLOOKUP(B2892,CadProd!$A:$B,2,0)),"")</f>
        <v/>
      </c>
      <c r="D2892" t="str">
        <f>IFERROR(IF(B2892="","",VLOOKUP(B2892,CadProd!$A:$C,3,0)),"")</f>
        <v/>
      </c>
      <c r="G2892" s="1" t="str">
        <f t="shared" si="45"/>
        <v/>
      </c>
    </row>
    <row r="2893" spans="3:7" x14ac:dyDescent="0.3">
      <c r="C2893" t="str">
        <f>IFERROR(IF(B2893="","",VLOOKUP(B2893,CadProd!$A:$B,2,0)),"")</f>
        <v/>
      </c>
      <c r="D2893" t="str">
        <f>IFERROR(IF(B2893="","",VLOOKUP(B2893,CadProd!$A:$C,3,0)),"")</f>
        <v/>
      </c>
      <c r="G2893" s="1" t="str">
        <f t="shared" si="45"/>
        <v/>
      </c>
    </row>
    <row r="2894" spans="3:7" x14ac:dyDescent="0.3">
      <c r="C2894" t="str">
        <f>IFERROR(IF(B2894="","",VLOOKUP(B2894,CadProd!$A:$B,2,0)),"")</f>
        <v/>
      </c>
      <c r="D2894" t="str">
        <f>IFERROR(IF(B2894="","",VLOOKUP(B2894,CadProd!$A:$C,3,0)),"")</f>
        <v/>
      </c>
      <c r="G2894" s="1" t="str">
        <f t="shared" si="45"/>
        <v/>
      </c>
    </row>
    <row r="2895" spans="3:7" x14ac:dyDescent="0.3">
      <c r="C2895" t="str">
        <f>IFERROR(IF(B2895="","",VLOOKUP(B2895,CadProd!$A:$B,2,0)),"")</f>
        <v/>
      </c>
      <c r="D2895" t="str">
        <f>IFERROR(IF(B2895="","",VLOOKUP(B2895,CadProd!$A:$C,3,0)),"")</f>
        <v/>
      </c>
      <c r="G2895" s="1" t="str">
        <f t="shared" si="45"/>
        <v/>
      </c>
    </row>
    <row r="2896" spans="3:7" x14ac:dyDescent="0.3">
      <c r="C2896" t="str">
        <f>IFERROR(IF(B2896="","",VLOOKUP(B2896,CadProd!$A:$B,2,0)),"")</f>
        <v/>
      </c>
      <c r="D2896" t="str">
        <f>IFERROR(IF(B2896="","",VLOOKUP(B2896,CadProd!$A:$C,3,0)),"")</f>
        <v/>
      </c>
      <c r="G2896" s="1" t="str">
        <f t="shared" si="45"/>
        <v/>
      </c>
    </row>
    <row r="2897" spans="3:7" x14ac:dyDescent="0.3">
      <c r="C2897" t="str">
        <f>IFERROR(IF(B2897="","",VLOOKUP(B2897,CadProd!$A:$B,2,0)),"")</f>
        <v/>
      </c>
      <c r="D2897" t="str">
        <f>IFERROR(IF(B2897="","",VLOOKUP(B2897,CadProd!$A:$C,3,0)),"")</f>
        <v/>
      </c>
      <c r="G2897" s="1" t="str">
        <f t="shared" si="45"/>
        <v/>
      </c>
    </row>
    <row r="2898" spans="3:7" x14ac:dyDescent="0.3">
      <c r="C2898" t="str">
        <f>IFERROR(IF(B2898="","",VLOOKUP(B2898,CadProd!$A:$B,2,0)),"")</f>
        <v/>
      </c>
      <c r="D2898" t="str">
        <f>IFERROR(IF(B2898="","",VLOOKUP(B2898,CadProd!$A:$C,3,0)),"")</f>
        <v/>
      </c>
      <c r="G2898" s="1" t="str">
        <f t="shared" si="45"/>
        <v/>
      </c>
    </row>
    <row r="2899" spans="3:7" x14ac:dyDescent="0.3">
      <c r="C2899" t="str">
        <f>IFERROR(IF(B2899="","",VLOOKUP(B2899,CadProd!$A:$B,2,0)),"")</f>
        <v/>
      </c>
      <c r="D2899" t="str">
        <f>IFERROR(IF(B2899="","",VLOOKUP(B2899,CadProd!$A:$C,3,0)),"")</f>
        <v/>
      </c>
      <c r="G2899" s="1" t="str">
        <f t="shared" si="45"/>
        <v/>
      </c>
    </row>
    <row r="2900" spans="3:7" x14ac:dyDescent="0.3">
      <c r="C2900" t="str">
        <f>IFERROR(IF(B2900="","",VLOOKUP(B2900,CadProd!$A:$B,2,0)),"")</f>
        <v/>
      </c>
      <c r="D2900" t="str">
        <f>IFERROR(IF(B2900="","",VLOOKUP(B2900,CadProd!$A:$C,3,0)),"")</f>
        <v/>
      </c>
      <c r="G2900" s="1" t="str">
        <f t="shared" si="45"/>
        <v/>
      </c>
    </row>
    <row r="2901" spans="3:7" x14ac:dyDescent="0.3">
      <c r="C2901" t="str">
        <f>IFERROR(IF(B2901="","",VLOOKUP(B2901,CadProd!$A:$B,2,0)),"")</f>
        <v/>
      </c>
      <c r="D2901" t="str">
        <f>IFERROR(IF(B2901="","",VLOOKUP(B2901,CadProd!$A:$C,3,0)),"")</f>
        <v/>
      </c>
      <c r="G2901" s="1" t="str">
        <f t="shared" si="45"/>
        <v/>
      </c>
    </row>
    <row r="2902" spans="3:7" x14ac:dyDescent="0.3">
      <c r="C2902" t="str">
        <f>IFERROR(IF(B2902="","",VLOOKUP(B2902,CadProd!$A:$B,2,0)),"")</f>
        <v/>
      </c>
      <c r="D2902" t="str">
        <f>IFERROR(IF(B2902="","",VLOOKUP(B2902,CadProd!$A:$C,3,0)),"")</f>
        <v/>
      </c>
      <c r="G2902" s="1" t="str">
        <f t="shared" si="45"/>
        <v/>
      </c>
    </row>
    <row r="2903" spans="3:7" x14ac:dyDescent="0.3">
      <c r="C2903" t="str">
        <f>IFERROR(IF(B2903="","",VLOOKUP(B2903,CadProd!$A:$B,2,0)),"")</f>
        <v/>
      </c>
      <c r="D2903" t="str">
        <f>IFERROR(IF(B2903="","",VLOOKUP(B2903,CadProd!$A:$C,3,0)),"")</f>
        <v/>
      </c>
      <c r="G2903" s="1" t="str">
        <f t="shared" si="45"/>
        <v/>
      </c>
    </row>
    <row r="2904" spans="3:7" x14ac:dyDescent="0.3">
      <c r="C2904" t="str">
        <f>IFERROR(IF(B2904="","",VLOOKUP(B2904,CadProd!$A:$B,2,0)),"")</f>
        <v/>
      </c>
      <c r="D2904" t="str">
        <f>IFERROR(IF(B2904="","",VLOOKUP(B2904,CadProd!$A:$C,3,0)),"")</f>
        <v/>
      </c>
      <c r="G2904" s="1" t="str">
        <f t="shared" si="45"/>
        <v/>
      </c>
    </row>
    <row r="2905" spans="3:7" x14ac:dyDescent="0.3">
      <c r="C2905" t="str">
        <f>IFERROR(IF(B2905="","",VLOOKUP(B2905,CadProd!$A:$B,2,0)),"")</f>
        <v/>
      </c>
      <c r="D2905" t="str">
        <f>IFERROR(IF(B2905="","",VLOOKUP(B2905,CadProd!$A:$C,3,0)),"")</f>
        <v/>
      </c>
      <c r="G2905" s="1" t="str">
        <f t="shared" si="45"/>
        <v/>
      </c>
    </row>
    <row r="2906" spans="3:7" x14ac:dyDescent="0.3">
      <c r="C2906" t="str">
        <f>IFERROR(IF(B2906="","",VLOOKUP(B2906,CadProd!$A:$B,2,0)),"")</f>
        <v/>
      </c>
      <c r="D2906" t="str">
        <f>IFERROR(IF(B2906="","",VLOOKUP(B2906,CadProd!$A:$C,3,0)),"")</f>
        <v/>
      </c>
      <c r="G2906" s="1" t="str">
        <f t="shared" si="45"/>
        <v/>
      </c>
    </row>
    <row r="2907" spans="3:7" x14ac:dyDescent="0.3">
      <c r="C2907" t="str">
        <f>IFERROR(IF(B2907="","",VLOOKUP(B2907,CadProd!$A:$B,2,0)),"")</f>
        <v/>
      </c>
      <c r="D2907" t="str">
        <f>IFERROR(IF(B2907="","",VLOOKUP(B2907,CadProd!$A:$C,3,0)),"")</f>
        <v/>
      </c>
      <c r="G2907" s="1" t="str">
        <f t="shared" si="45"/>
        <v/>
      </c>
    </row>
    <row r="2908" spans="3:7" x14ac:dyDescent="0.3">
      <c r="C2908" t="str">
        <f>IFERROR(IF(B2908="","",VLOOKUP(B2908,CadProd!$A:$B,2,0)),"")</f>
        <v/>
      </c>
      <c r="D2908" t="str">
        <f>IFERROR(IF(B2908="","",VLOOKUP(B2908,CadProd!$A:$C,3,0)),"")</f>
        <v/>
      </c>
      <c r="G2908" s="1" t="str">
        <f t="shared" si="45"/>
        <v/>
      </c>
    </row>
    <row r="2909" spans="3:7" x14ac:dyDescent="0.3">
      <c r="C2909" t="str">
        <f>IFERROR(IF(B2909="","",VLOOKUP(B2909,CadProd!$A:$B,2,0)),"")</f>
        <v/>
      </c>
      <c r="D2909" t="str">
        <f>IFERROR(IF(B2909="","",VLOOKUP(B2909,CadProd!$A:$C,3,0)),"")</f>
        <v/>
      </c>
      <c r="G2909" s="1" t="str">
        <f t="shared" si="45"/>
        <v/>
      </c>
    </row>
    <row r="2910" spans="3:7" x14ac:dyDescent="0.3">
      <c r="C2910" t="str">
        <f>IFERROR(IF(B2910="","",VLOOKUP(B2910,CadProd!$A:$B,2,0)),"")</f>
        <v/>
      </c>
      <c r="D2910" t="str">
        <f>IFERROR(IF(B2910="","",VLOOKUP(B2910,CadProd!$A:$C,3,0)),"")</f>
        <v/>
      </c>
      <c r="G2910" s="1" t="str">
        <f t="shared" si="45"/>
        <v/>
      </c>
    </row>
    <row r="2911" spans="3:7" x14ac:dyDescent="0.3">
      <c r="C2911" t="str">
        <f>IFERROR(IF(B2911="","",VLOOKUP(B2911,CadProd!$A:$B,2,0)),"")</f>
        <v/>
      </c>
      <c r="D2911" t="str">
        <f>IFERROR(IF(B2911="","",VLOOKUP(B2911,CadProd!$A:$C,3,0)),"")</f>
        <v/>
      </c>
      <c r="G2911" s="1" t="str">
        <f t="shared" si="45"/>
        <v/>
      </c>
    </row>
    <row r="2912" spans="3:7" x14ac:dyDescent="0.3">
      <c r="C2912" t="str">
        <f>IFERROR(IF(B2912="","",VLOOKUP(B2912,CadProd!$A:$B,2,0)),"")</f>
        <v/>
      </c>
      <c r="D2912" t="str">
        <f>IFERROR(IF(B2912="","",VLOOKUP(B2912,CadProd!$A:$C,3,0)),"")</f>
        <v/>
      </c>
      <c r="G2912" s="1" t="str">
        <f t="shared" si="45"/>
        <v/>
      </c>
    </row>
    <row r="2913" spans="3:7" x14ac:dyDescent="0.3">
      <c r="C2913" t="str">
        <f>IFERROR(IF(B2913="","",VLOOKUP(B2913,CadProd!$A:$B,2,0)),"")</f>
        <v/>
      </c>
      <c r="D2913" t="str">
        <f>IFERROR(IF(B2913="","",VLOOKUP(B2913,CadProd!$A:$C,3,0)),"")</f>
        <v/>
      </c>
      <c r="G2913" s="1" t="str">
        <f t="shared" si="45"/>
        <v/>
      </c>
    </row>
    <row r="2914" spans="3:7" x14ac:dyDescent="0.3">
      <c r="C2914" t="str">
        <f>IFERROR(IF(B2914="","",VLOOKUP(B2914,CadProd!$A:$B,2,0)),"")</f>
        <v/>
      </c>
      <c r="D2914" t="str">
        <f>IFERROR(IF(B2914="","",VLOOKUP(B2914,CadProd!$A:$C,3,0)),"")</f>
        <v/>
      </c>
      <c r="G2914" s="1" t="str">
        <f t="shared" si="45"/>
        <v/>
      </c>
    </row>
    <row r="2915" spans="3:7" x14ac:dyDescent="0.3">
      <c r="C2915" t="str">
        <f>IFERROR(IF(B2915="","",VLOOKUP(B2915,CadProd!$A:$B,2,0)),"")</f>
        <v/>
      </c>
      <c r="D2915" t="str">
        <f>IFERROR(IF(B2915="","",VLOOKUP(B2915,CadProd!$A:$C,3,0)),"")</f>
        <v/>
      </c>
      <c r="G2915" s="1" t="str">
        <f t="shared" si="45"/>
        <v/>
      </c>
    </row>
    <row r="2916" spans="3:7" x14ac:dyDescent="0.3">
      <c r="C2916" t="str">
        <f>IFERROR(IF(B2916="","",VLOOKUP(B2916,CadProd!$A:$B,2,0)),"")</f>
        <v/>
      </c>
      <c r="D2916" t="str">
        <f>IFERROR(IF(B2916="","",VLOOKUP(B2916,CadProd!$A:$C,3,0)),"")</f>
        <v/>
      </c>
      <c r="G2916" s="1" t="str">
        <f t="shared" si="45"/>
        <v/>
      </c>
    </row>
    <row r="2917" spans="3:7" x14ac:dyDescent="0.3">
      <c r="C2917" t="str">
        <f>IFERROR(IF(B2917="","",VLOOKUP(B2917,CadProd!$A:$B,2,0)),"")</f>
        <v/>
      </c>
      <c r="D2917" t="str">
        <f>IFERROR(IF(B2917="","",VLOOKUP(B2917,CadProd!$A:$C,3,0)),"")</f>
        <v/>
      </c>
      <c r="G2917" s="1" t="str">
        <f t="shared" si="45"/>
        <v/>
      </c>
    </row>
    <row r="2918" spans="3:7" x14ac:dyDescent="0.3">
      <c r="C2918" t="str">
        <f>IFERROR(IF(B2918="","",VLOOKUP(B2918,CadProd!$A:$B,2,0)),"")</f>
        <v/>
      </c>
      <c r="D2918" t="str">
        <f>IFERROR(IF(B2918="","",VLOOKUP(B2918,CadProd!$A:$C,3,0)),"")</f>
        <v/>
      </c>
      <c r="G2918" s="1" t="str">
        <f t="shared" si="45"/>
        <v/>
      </c>
    </row>
    <row r="2919" spans="3:7" x14ac:dyDescent="0.3">
      <c r="C2919" t="str">
        <f>IFERROR(IF(B2919="","",VLOOKUP(B2919,CadProd!$A:$B,2,0)),"")</f>
        <v/>
      </c>
      <c r="D2919" t="str">
        <f>IFERROR(IF(B2919="","",VLOOKUP(B2919,CadProd!$A:$C,3,0)),"")</f>
        <v/>
      </c>
      <c r="G2919" s="1" t="str">
        <f t="shared" si="45"/>
        <v/>
      </c>
    </row>
    <row r="2920" spans="3:7" x14ac:dyDescent="0.3">
      <c r="C2920" t="str">
        <f>IFERROR(IF(B2920="","",VLOOKUP(B2920,CadProd!$A:$B,2,0)),"")</f>
        <v/>
      </c>
      <c r="D2920" t="str">
        <f>IFERROR(IF(B2920="","",VLOOKUP(B2920,CadProd!$A:$C,3,0)),"")</f>
        <v/>
      </c>
      <c r="G2920" s="1" t="str">
        <f t="shared" si="45"/>
        <v/>
      </c>
    </row>
    <row r="2921" spans="3:7" x14ac:dyDescent="0.3">
      <c r="C2921" t="str">
        <f>IFERROR(IF(B2921="","",VLOOKUP(B2921,CadProd!$A:$B,2,0)),"")</f>
        <v/>
      </c>
      <c r="D2921" t="str">
        <f>IFERROR(IF(B2921="","",VLOOKUP(B2921,CadProd!$A:$C,3,0)),"")</f>
        <v/>
      </c>
      <c r="G2921" s="1" t="str">
        <f t="shared" si="45"/>
        <v/>
      </c>
    </row>
    <row r="2922" spans="3:7" x14ac:dyDescent="0.3">
      <c r="C2922" t="str">
        <f>IFERROR(IF(B2922="","",VLOOKUP(B2922,CadProd!$A:$B,2,0)),"")</f>
        <v/>
      </c>
      <c r="D2922" t="str">
        <f>IFERROR(IF(B2922="","",VLOOKUP(B2922,CadProd!$A:$C,3,0)),"")</f>
        <v/>
      </c>
      <c r="G2922" s="1" t="str">
        <f t="shared" si="45"/>
        <v/>
      </c>
    </row>
    <row r="2923" spans="3:7" x14ac:dyDescent="0.3">
      <c r="C2923" t="str">
        <f>IFERROR(IF(B2923="","",VLOOKUP(B2923,CadProd!$A:$B,2,0)),"")</f>
        <v/>
      </c>
      <c r="D2923" t="str">
        <f>IFERROR(IF(B2923="","",VLOOKUP(B2923,CadProd!$A:$C,3,0)),"")</f>
        <v/>
      </c>
      <c r="G2923" s="1" t="str">
        <f t="shared" si="45"/>
        <v/>
      </c>
    </row>
    <row r="2924" spans="3:7" x14ac:dyDescent="0.3">
      <c r="C2924" t="str">
        <f>IFERROR(IF(B2924="","",VLOOKUP(B2924,CadProd!$A:$B,2,0)),"")</f>
        <v/>
      </c>
      <c r="D2924" t="str">
        <f>IFERROR(IF(B2924="","",VLOOKUP(B2924,CadProd!$A:$C,3,0)),"")</f>
        <v/>
      </c>
      <c r="G2924" s="1" t="str">
        <f t="shared" si="45"/>
        <v/>
      </c>
    </row>
    <row r="2925" spans="3:7" x14ac:dyDescent="0.3">
      <c r="C2925" t="str">
        <f>IFERROR(IF(B2925="","",VLOOKUP(B2925,CadProd!$A:$B,2,0)),"")</f>
        <v/>
      </c>
      <c r="D2925" t="str">
        <f>IFERROR(IF(B2925="","",VLOOKUP(B2925,CadProd!$A:$C,3,0)),"")</f>
        <v/>
      </c>
      <c r="G2925" s="1" t="str">
        <f t="shared" si="45"/>
        <v/>
      </c>
    </row>
    <row r="2926" spans="3:7" x14ac:dyDescent="0.3">
      <c r="C2926" t="str">
        <f>IFERROR(IF(B2926="","",VLOOKUP(B2926,CadProd!$A:$B,2,0)),"")</f>
        <v/>
      </c>
      <c r="D2926" t="str">
        <f>IFERROR(IF(B2926="","",VLOOKUP(B2926,CadProd!$A:$C,3,0)),"")</f>
        <v/>
      </c>
      <c r="G2926" s="1" t="str">
        <f t="shared" si="45"/>
        <v/>
      </c>
    </row>
    <row r="2927" spans="3:7" x14ac:dyDescent="0.3">
      <c r="C2927" t="str">
        <f>IFERROR(IF(B2927="","",VLOOKUP(B2927,CadProd!$A:$B,2,0)),"")</f>
        <v/>
      </c>
      <c r="D2927" t="str">
        <f>IFERROR(IF(B2927="","",VLOOKUP(B2927,CadProd!$A:$C,3,0)),"")</f>
        <v/>
      </c>
      <c r="G2927" s="1" t="str">
        <f t="shared" si="45"/>
        <v/>
      </c>
    </row>
    <row r="2928" spans="3:7" x14ac:dyDescent="0.3">
      <c r="C2928" t="str">
        <f>IFERROR(IF(B2928="","",VLOOKUP(B2928,CadProd!$A:$B,2,0)),"")</f>
        <v/>
      </c>
      <c r="D2928" t="str">
        <f>IFERROR(IF(B2928="","",VLOOKUP(B2928,CadProd!$A:$C,3,0)),"")</f>
        <v/>
      </c>
      <c r="G2928" s="1" t="str">
        <f t="shared" si="45"/>
        <v/>
      </c>
    </row>
    <row r="2929" spans="3:7" x14ac:dyDescent="0.3">
      <c r="C2929" t="str">
        <f>IFERROR(IF(B2929="","",VLOOKUP(B2929,CadProd!$A:$B,2,0)),"")</f>
        <v/>
      </c>
      <c r="D2929" t="str">
        <f>IFERROR(IF(B2929="","",VLOOKUP(B2929,CadProd!$A:$C,3,0)),"")</f>
        <v/>
      </c>
      <c r="G2929" s="1" t="str">
        <f t="shared" si="45"/>
        <v/>
      </c>
    </row>
    <row r="2930" spans="3:7" x14ac:dyDescent="0.3">
      <c r="C2930" t="str">
        <f>IFERROR(IF(B2930="","",VLOOKUP(B2930,CadProd!$A:$B,2,0)),"")</f>
        <v/>
      </c>
      <c r="D2930" t="str">
        <f>IFERROR(IF(B2930="","",VLOOKUP(B2930,CadProd!$A:$C,3,0)),"")</f>
        <v/>
      </c>
      <c r="G2930" s="1" t="str">
        <f t="shared" si="45"/>
        <v/>
      </c>
    </row>
    <row r="2931" spans="3:7" x14ac:dyDescent="0.3">
      <c r="C2931" t="str">
        <f>IFERROR(IF(B2931="","",VLOOKUP(B2931,CadProd!$A:$B,2,0)),"")</f>
        <v/>
      </c>
      <c r="D2931" t="str">
        <f>IFERROR(IF(B2931="","",VLOOKUP(B2931,CadProd!$A:$C,3,0)),"")</f>
        <v/>
      </c>
      <c r="G2931" s="1" t="str">
        <f t="shared" si="45"/>
        <v/>
      </c>
    </row>
    <row r="2932" spans="3:7" x14ac:dyDescent="0.3">
      <c r="C2932" t="str">
        <f>IFERROR(IF(B2932="","",VLOOKUP(B2932,CadProd!$A:$B,2,0)),"")</f>
        <v/>
      </c>
      <c r="D2932" t="str">
        <f>IFERROR(IF(B2932="","",VLOOKUP(B2932,CadProd!$A:$C,3,0)),"")</f>
        <v/>
      </c>
      <c r="G2932" s="1" t="str">
        <f t="shared" si="45"/>
        <v/>
      </c>
    </row>
    <row r="2933" spans="3:7" x14ac:dyDescent="0.3">
      <c r="C2933" t="str">
        <f>IFERROR(IF(B2933="","",VLOOKUP(B2933,CadProd!$A:$B,2,0)),"")</f>
        <v/>
      </c>
      <c r="D2933" t="str">
        <f>IFERROR(IF(B2933="","",VLOOKUP(B2933,CadProd!$A:$C,3,0)),"")</f>
        <v/>
      </c>
      <c r="G2933" s="1" t="str">
        <f t="shared" si="45"/>
        <v/>
      </c>
    </row>
    <row r="2934" spans="3:7" x14ac:dyDescent="0.3">
      <c r="C2934" t="str">
        <f>IFERROR(IF(B2934="","",VLOOKUP(B2934,CadProd!$A:$B,2,0)),"")</f>
        <v/>
      </c>
      <c r="D2934" t="str">
        <f>IFERROR(IF(B2934="","",VLOOKUP(B2934,CadProd!$A:$C,3,0)),"")</f>
        <v/>
      </c>
      <c r="G2934" s="1" t="str">
        <f t="shared" si="45"/>
        <v/>
      </c>
    </row>
    <row r="2935" spans="3:7" x14ac:dyDescent="0.3">
      <c r="C2935" t="str">
        <f>IFERROR(IF(B2935="","",VLOOKUP(B2935,CadProd!$A:$B,2,0)),"")</f>
        <v/>
      </c>
      <c r="D2935" t="str">
        <f>IFERROR(IF(B2935="","",VLOOKUP(B2935,CadProd!$A:$C,3,0)),"")</f>
        <v/>
      </c>
      <c r="G2935" s="1" t="str">
        <f t="shared" si="45"/>
        <v/>
      </c>
    </row>
    <row r="2936" spans="3:7" x14ac:dyDescent="0.3">
      <c r="C2936" t="str">
        <f>IFERROR(IF(B2936="","",VLOOKUP(B2936,CadProd!$A:$B,2,0)),"")</f>
        <v/>
      </c>
      <c r="D2936" t="str">
        <f>IFERROR(IF(B2936="","",VLOOKUP(B2936,CadProd!$A:$C,3,0)),"")</f>
        <v/>
      </c>
      <c r="G2936" s="1" t="str">
        <f t="shared" si="45"/>
        <v/>
      </c>
    </row>
    <row r="2937" spans="3:7" x14ac:dyDescent="0.3">
      <c r="C2937" t="str">
        <f>IFERROR(IF(B2937="","",VLOOKUP(B2937,CadProd!$A:$B,2,0)),"")</f>
        <v/>
      </c>
      <c r="D2937" t="str">
        <f>IFERROR(IF(B2937="","",VLOOKUP(B2937,CadProd!$A:$C,3,0)),"")</f>
        <v/>
      </c>
      <c r="G2937" s="1" t="str">
        <f t="shared" si="45"/>
        <v/>
      </c>
    </row>
    <row r="2938" spans="3:7" x14ac:dyDescent="0.3">
      <c r="C2938" t="str">
        <f>IFERROR(IF(B2938="","",VLOOKUP(B2938,CadProd!$A:$B,2,0)),"")</f>
        <v/>
      </c>
      <c r="D2938" t="str">
        <f>IFERROR(IF(B2938="","",VLOOKUP(B2938,CadProd!$A:$C,3,0)),"")</f>
        <v/>
      </c>
      <c r="G2938" s="1" t="str">
        <f t="shared" si="45"/>
        <v/>
      </c>
    </row>
    <row r="2939" spans="3:7" x14ac:dyDescent="0.3">
      <c r="C2939" t="str">
        <f>IFERROR(IF(B2939="","",VLOOKUP(B2939,CadProd!$A:$B,2,0)),"")</f>
        <v/>
      </c>
      <c r="D2939" t="str">
        <f>IFERROR(IF(B2939="","",VLOOKUP(B2939,CadProd!$A:$C,3,0)),"")</f>
        <v/>
      </c>
      <c r="G2939" s="1" t="str">
        <f t="shared" si="45"/>
        <v/>
      </c>
    </row>
    <row r="2940" spans="3:7" x14ac:dyDescent="0.3">
      <c r="C2940" t="str">
        <f>IFERROR(IF(B2940="","",VLOOKUP(B2940,CadProd!$A:$B,2,0)),"")</f>
        <v/>
      </c>
      <c r="D2940" t="str">
        <f>IFERROR(IF(B2940="","",VLOOKUP(B2940,CadProd!$A:$C,3,0)),"")</f>
        <v/>
      </c>
      <c r="G2940" s="1" t="str">
        <f t="shared" si="45"/>
        <v/>
      </c>
    </row>
    <row r="2941" spans="3:7" x14ac:dyDescent="0.3">
      <c r="C2941" t="str">
        <f>IFERROR(IF(B2941="","",VLOOKUP(B2941,CadProd!$A:$B,2,0)),"")</f>
        <v/>
      </c>
      <c r="D2941" t="str">
        <f>IFERROR(IF(B2941="","",VLOOKUP(B2941,CadProd!$A:$C,3,0)),"")</f>
        <v/>
      </c>
      <c r="G2941" s="1" t="str">
        <f t="shared" si="45"/>
        <v/>
      </c>
    </row>
    <row r="2942" spans="3:7" x14ac:dyDescent="0.3">
      <c r="C2942" t="str">
        <f>IFERROR(IF(B2942="","",VLOOKUP(B2942,CadProd!$A:$B,2,0)),"")</f>
        <v/>
      </c>
      <c r="D2942" t="str">
        <f>IFERROR(IF(B2942="","",VLOOKUP(B2942,CadProd!$A:$C,3,0)),"")</f>
        <v/>
      </c>
      <c r="G2942" s="1" t="str">
        <f t="shared" si="45"/>
        <v/>
      </c>
    </row>
    <row r="2943" spans="3:7" x14ac:dyDescent="0.3">
      <c r="C2943" t="str">
        <f>IFERROR(IF(B2943="","",VLOOKUP(B2943,CadProd!$A:$B,2,0)),"")</f>
        <v/>
      </c>
      <c r="D2943" t="str">
        <f>IFERROR(IF(B2943="","",VLOOKUP(B2943,CadProd!$A:$C,3,0)),"")</f>
        <v/>
      </c>
      <c r="G2943" s="1" t="str">
        <f t="shared" si="45"/>
        <v/>
      </c>
    </row>
    <row r="2944" spans="3:7" x14ac:dyDescent="0.3">
      <c r="C2944" t="str">
        <f>IFERROR(IF(B2944="","",VLOOKUP(B2944,CadProd!$A:$B,2,0)),"")</f>
        <v/>
      </c>
      <c r="D2944" t="str">
        <f>IFERROR(IF(B2944="","",VLOOKUP(B2944,CadProd!$A:$C,3,0)),"")</f>
        <v/>
      </c>
      <c r="G2944" s="1" t="str">
        <f t="shared" si="45"/>
        <v/>
      </c>
    </row>
    <row r="2945" spans="3:7" x14ac:dyDescent="0.3">
      <c r="C2945" t="str">
        <f>IFERROR(IF(B2945="","",VLOOKUP(B2945,CadProd!$A:$B,2,0)),"")</f>
        <v/>
      </c>
      <c r="D2945" t="str">
        <f>IFERROR(IF(B2945="","",VLOOKUP(B2945,CadProd!$A:$C,3,0)),"")</f>
        <v/>
      </c>
      <c r="G2945" s="1" t="str">
        <f t="shared" si="45"/>
        <v/>
      </c>
    </row>
    <row r="2946" spans="3:7" x14ac:dyDescent="0.3">
      <c r="C2946" t="str">
        <f>IFERROR(IF(B2946="","",VLOOKUP(B2946,CadProd!$A:$B,2,0)),"")</f>
        <v/>
      </c>
      <c r="D2946" t="str">
        <f>IFERROR(IF(B2946="","",VLOOKUP(B2946,CadProd!$A:$C,3,0)),"")</f>
        <v/>
      </c>
      <c r="G2946" s="1" t="str">
        <f t="shared" si="45"/>
        <v/>
      </c>
    </row>
    <row r="2947" spans="3:7" x14ac:dyDescent="0.3">
      <c r="C2947" t="str">
        <f>IFERROR(IF(B2947="","",VLOOKUP(B2947,CadProd!$A:$B,2,0)),"")</f>
        <v/>
      </c>
      <c r="D2947" t="str">
        <f>IFERROR(IF(B2947="","",VLOOKUP(B2947,CadProd!$A:$C,3,0)),"")</f>
        <v/>
      </c>
      <c r="G2947" s="1" t="str">
        <f t="shared" si="45"/>
        <v/>
      </c>
    </row>
    <row r="2948" spans="3:7" x14ac:dyDescent="0.3">
      <c r="C2948" t="str">
        <f>IFERROR(IF(B2948="","",VLOOKUP(B2948,CadProd!$A:$B,2,0)),"")</f>
        <v/>
      </c>
      <c r="D2948" t="str">
        <f>IFERROR(IF(B2948="","",VLOOKUP(B2948,CadProd!$A:$C,3,0)),"")</f>
        <v/>
      </c>
      <c r="G2948" s="1" t="str">
        <f t="shared" si="45"/>
        <v/>
      </c>
    </row>
    <row r="2949" spans="3:7" x14ac:dyDescent="0.3">
      <c r="C2949" t="str">
        <f>IFERROR(IF(B2949="","",VLOOKUP(B2949,CadProd!$A:$B,2,0)),"")</f>
        <v/>
      </c>
      <c r="D2949" t="str">
        <f>IFERROR(IF(B2949="","",VLOOKUP(B2949,CadProd!$A:$C,3,0)),"")</f>
        <v/>
      </c>
      <c r="G2949" s="1" t="str">
        <f t="shared" si="45"/>
        <v/>
      </c>
    </row>
    <row r="2950" spans="3:7" x14ac:dyDescent="0.3">
      <c r="C2950" t="str">
        <f>IFERROR(IF(B2950="","",VLOOKUP(B2950,CadProd!$A:$B,2,0)),"")</f>
        <v/>
      </c>
      <c r="D2950" t="str">
        <f>IFERROR(IF(B2950="","",VLOOKUP(B2950,CadProd!$A:$C,3,0)),"")</f>
        <v/>
      </c>
      <c r="G2950" s="1" t="str">
        <f t="shared" si="45"/>
        <v/>
      </c>
    </row>
    <row r="2951" spans="3:7" x14ac:dyDescent="0.3">
      <c r="C2951" t="str">
        <f>IFERROR(IF(B2951="","",VLOOKUP(B2951,CadProd!$A:$B,2,0)),"")</f>
        <v/>
      </c>
      <c r="D2951" t="str">
        <f>IFERROR(IF(B2951="","",VLOOKUP(B2951,CadProd!$A:$C,3,0)),"")</f>
        <v/>
      </c>
      <c r="G2951" s="1" t="str">
        <f t="shared" si="45"/>
        <v/>
      </c>
    </row>
    <row r="2952" spans="3:7" x14ac:dyDescent="0.3">
      <c r="C2952" t="str">
        <f>IFERROR(IF(B2952="","",VLOOKUP(B2952,CadProd!$A:$B,2,0)),"")</f>
        <v/>
      </c>
      <c r="D2952" t="str">
        <f>IFERROR(IF(B2952="","",VLOOKUP(B2952,CadProd!$A:$C,3,0)),"")</f>
        <v/>
      </c>
      <c r="G2952" s="1" t="str">
        <f t="shared" si="45"/>
        <v/>
      </c>
    </row>
    <row r="2953" spans="3:7" x14ac:dyDescent="0.3">
      <c r="C2953" t="str">
        <f>IFERROR(IF(B2953="","",VLOOKUP(B2953,CadProd!$A:$B,2,0)),"")</f>
        <v/>
      </c>
      <c r="D2953" t="str">
        <f>IFERROR(IF(B2953="","",VLOOKUP(B2953,CadProd!$A:$C,3,0)),"")</f>
        <v/>
      </c>
      <c r="G2953" s="1" t="str">
        <f t="shared" si="45"/>
        <v/>
      </c>
    </row>
    <row r="2954" spans="3:7" x14ac:dyDescent="0.3">
      <c r="C2954" t="str">
        <f>IFERROR(IF(B2954="","",VLOOKUP(B2954,CadProd!$A:$B,2,0)),"")</f>
        <v/>
      </c>
      <c r="D2954" t="str">
        <f>IFERROR(IF(B2954="","",VLOOKUP(B2954,CadProd!$A:$C,3,0)),"")</f>
        <v/>
      </c>
      <c r="G2954" s="1" t="str">
        <f t="shared" si="45"/>
        <v/>
      </c>
    </row>
    <row r="2955" spans="3:7" x14ac:dyDescent="0.3">
      <c r="C2955" t="str">
        <f>IFERROR(IF(B2955="","",VLOOKUP(B2955,CadProd!$A:$B,2,0)),"")</f>
        <v/>
      </c>
      <c r="D2955" t="str">
        <f>IFERROR(IF(B2955="","",VLOOKUP(B2955,CadProd!$A:$C,3,0)),"")</f>
        <v/>
      </c>
      <c r="G2955" s="1" t="str">
        <f t="shared" ref="G2955:G2976" si="46">IFERROR(IF(B2955="","",F2955*E2955),"")</f>
        <v/>
      </c>
    </row>
    <row r="2956" spans="3:7" x14ac:dyDescent="0.3">
      <c r="C2956" t="str">
        <f>IFERROR(IF(B2956="","",VLOOKUP(B2956,CadProd!$A:$B,2,0)),"")</f>
        <v/>
      </c>
      <c r="D2956" t="str">
        <f>IFERROR(IF(B2956="","",VLOOKUP(B2956,CadProd!$A:$C,3,0)),"")</f>
        <v/>
      </c>
      <c r="G2956" s="1" t="str">
        <f t="shared" si="46"/>
        <v/>
      </c>
    </row>
    <row r="2957" spans="3:7" x14ac:dyDescent="0.3">
      <c r="C2957" t="str">
        <f>IFERROR(IF(B2957="","",VLOOKUP(B2957,CadProd!$A:$B,2,0)),"")</f>
        <v/>
      </c>
      <c r="D2957" t="str">
        <f>IFERROR(IF(B2957="","",VLOOKUP(B2957,CadProd!$A:$C,3,0)),"")</f>
        <v/>
      </c>
      <c r="G2957" s="1" t="str">
        <f t="shared" si="46"/>
        <v/>
      </c>
    </row>
    <row r="2958" spans="3:7" x14ac:dyDescent="0.3">
      <c r="C2958" t="str">
        <f>IFERROR(IF(B2958="","",VLOOKUP(B2958,CadProd!$A:$B,2,0)),"")</f>
        <v/>
      </c>
      <c r="D2958" t="str">
        <f>IFERROR(IF(B2958="","",VLOOKUP(B2958,CadProd!$A:$C,3,0)),"")</f>
        <v/>
      </c>
      <c r="G2958" s="1" t="str">
        <f t="shared" si="46"/>
        <v/>
      </c>
    </row>
    <row r="2959" spans="3:7" x14ac:dyDescent="0.3">
      <c r="C2959" t="str">
        <f>IFERROR(IF(B2959="","",VLOOKUP(B2959,CadProd!$A:$B,2,0)),"")</f>
        <v/>
      </c>
      <c r="D2959" t="str">
        <f>IFERROR(IF(B2959="","",VLOOKUP(B2959,CadProd!$A:$C,3,0)),"")</f>
        <v/>
      </c>
      <c r="G2959" s="1" t="str">
        <f t="shared" si="46"/>
        <v/>
      </c>
    </row>
    <row r="2960" spans="3:7" x14ac:dyDescent="0.3">
      <c r="C2960" t="str">
        <f>IFERROR(IF(B2960="","",VLOOKUP(B2960,CadProd!$A:$B,2,0)),"")</f>
        <v/>
      </c>
      <c r="D2960" t="str">
        <f>IFERROR(IF(B2960="","",VLOOKUP(B2960,CadProd!$A:$C,3,0)),"")</f>
        <v/>
      </c>
      <c r="G2960" s="1" t="str">
        <f t="shared" si="46"/>
        <v/>
      </c>
    </row>
    <row r="2961" spans="3:7" x14ac:dyDescent="0.3">
      <c r="C2961" t="str">
        <f>IFERROR(IF(B2961="","",VLOOKUP(B2961,CadProd!$A:$B,2,0)),"")</f>
        <v/>
      </c>
      <c r="D2961" t="str">
        <f>IFERROR(IF(B2961="","",VLOOKUP(B2961,CadProd!$A:$C,3,0)),"")</f>
        <v/>
      </c>
      <c r="G2961" s="1" t="str">
        <f t="shared" si="46"/>
        <v/>
      </c>
    </row>
    <row r="2962" spans="3:7" x14ac:dyDescent="0.3">
      <c r="C2962" t="str">
        <f>IFERROR(IF(B2962="","",VLOOKUP(B2962,CadProd!$A:$B,2,0)),"")</f>
        <v/>
      </c>
      <c r="D2962" t="str">
        <f>IFERROR(IF(B2962="","",VLOOKUP(B2962,CadProd!$A:$C,3,0)),"")</f>
        <v/>
      </c>
      <c r="G2962" s="1" t="str">
        <f t="shared" si="46"/>
        <v/>
      </c>
    </row>
    <row r="2963" spans="3:7" x14ac:dyDescent="0.3">
      <c r="C2963" t="str">
        <f>IFERROR(IF(B2963="","",VLOOKUP(B2963,CadProd!$A:$B,2,0)),"")</f>
        <v/>
      </c>
      <c r="D2963" t="str">
        <f>IFERROR(IF(B2963="","",VLOOKUP(B2963,CadProd!$A:$C,3,0)),"")</f>
        <v/>
      </c>
      <c r="G2963" s="1" t="str">
        <f t="shared" si="46"/>
        <v/>
      </c>
    </row>
    <row r="2964" spans="3:7" x14ac:dyDescent="0.3">
      <c r="C2964" t="str">
        <f>IFERROR(IF(B2964="","",VLOOKUP(B2964,CadProd!$A:$B,2,0)),"")</f>
        <v/>
      </c>
      <c r="D2964" t="str">
        <f>IFERROR(IF(B2964="","",VLOOKUP(B2964,CadProd!$A:$C,3,0)),"")</f>
        <v/>
      </c>
      <c r="G2964" s="1" t="str">
        <f t="shared" si="46"/>
        <v/>
      </c>
    </row>
    <row r="2965" spans="3:7" x14ac:dyDescent="0.3">
      <c r="C2965" t="str">
        <f>IFERROR(IF(B2965="","",VLOOKUP(B2965,CadProd!$A:$B,2,0)),"")</f>
        <v/>
      </c>
      <c r="D2965" t="str">
        <f>IFERROR(IF(B2965="","",VLOOKUP(B2965,CadProd!$A:$C,3,0)),"")</f>
        <v/>
      </c>
      <c r="G2965" s="1" t="str">
        <f t="shared" si="46"/>
        <v/>
      </c>
    </row>
    <row r="2966" spans="3:7" x14ac:dyDescent="0.3">
      <c r="C2966" t="str">
        <f>IFERROR(IF(B2966="","",VLOOKUP(B2966,CadProd!$A:$B,2,0)),"")</f>
        <v/>
      </c>
      <c r="D2966" t="str">
        <f>IFERROR(IF(B2966="","",VLOOKUP(B2966,CadProd!$A:$C,3,0)),"")</f>
        <v/>
      </c>
      <c r="G2966" s="1" t="str">
        <f t="shared" si="46"/>
        <v/>
      </c>
    </row>
    <row r="2967" spans="3:7" x14ac:dyDescent="0.3">
      <c r="C2967" t="str">
        <f>IFERROR(IF(B2967="","",VLOOKUP(B2967,CadProd!$A:$B,2,0)),"")</f>
        <v/>
      </c>
      <c r="D2967" t="str">
        <f>IFERROR(IF(B2967="","",VLOOKUP(B2967,CadProd!$A:$C,3,0)),"")</f>
        <v/>
      </c>
      <c r="G2967" s="1" t="str">
        <f t="shared" si="46"/>
        <v/>
      </c>
    </row>
    <row r="2968" spans="3:7" x14ac:dyDescent="0.3">
      <c r="C2968" t="str">
        <f>IFERROR(IF(B2968="","",VLOOKUP(B2968,CadProd!$A:$B,2,0)),"")</f>
        <v/>
      </c>
      <c r="D2968" t="str">
        <f>IFERROR(IF(B2968="","",VLOOKUP(B2968,CadProd!$A:$C,3,0)),"")</f>
        <v/>
      </c>
      <c r="G2968" s="1" t="str">
        <f t="shared" si="46"/>
        <v/>
      </c>
    </row>
    <row r="2969" spans="3:7" x14ac:dyDescent="0.3">
      <c r="C2969" t="str">
        <f>IFERROR(IF(B2969="","",VLOOKUP(B2969,CadProd!$A:$B,2,0)),"")</f>
        <v/>
      </c>
      <c r="D2969" t="str">
        <f>IFERROR(IF(B2969="","",VLOOKUP(B2969,CadProd!$A:$C,3,0)),"")</f>
        <v/>
      </c>
      <c r="G2969" s="1" t="str">
        <f t="shared" si="46"/>
        <v/>
      </c>
    </row>
    <row r="2970" spans="3:7" x14ac:dyDescent="0.3">
      <c r="C2970" t="str">
        <f>IFERROR(IF(B2970="","",VLOOKUP(B2970,CadProd!$A:$B,2,0)),"")</f>
        <v/>
      </c>
      <c r="D2970" t="str">
        <f>IFERROR(IF(B2970="","",VLOOKUP(B2970,CadProd!$A:$C,3,0)),"")</f>
        <v/>
      </c>
      <c r="G2970" s="1" t="str">
        <f t="shared" si="46"/>
        <v/>
      </c>
    </row>
    <row r="2971" spans="3:7" x14ac:dyDescent="0.3">
      <c r="C2971" t="str">
        <f>IFERROR(IF(B2971="","",VLOOKUP(B2971,CadProd!$A:$B,2,0)),"")</f>
        <v/>
      </c>
      <c r="D2971" t="str">
        <f>IFERROR(IF(B2971="","",VLOOKUP(B2971,CadProd!$A:$C,3,0)),"")</f>
        <v/>
      </c>
      <c r="G2971" s="1" t="str">
        <f t="shared" si="46"/>
        <v/>
      </c>
    </row>
    <row r="2972" spans="3:7" x14ac:dyDescent="0.3">
      <c r="C2972" t="str">
        <f>IFERROR(IF(B2972="","",VLOOKUP(B2972,CadProd!$A:$B,2,0)),"")</f>
        <v/>
      </c>
      <c r="D2972" t="str">
        <f>IFERROR(IF(B2972="","",VLOOKUP(B2972,CadProd!$A:$C,3,0)),"")</f>
        <v/>
      </c>
      <c r="G2972" s="1" t="str">
        <f t="shared" si="46"/>
        <v/>
      </c>
    </row>
    <row r="2973" spans="3:7" x14ac:dyDescent="0.3">
      <c r="C2973" t="str">
        <f>IFERROR(IF(B2973="","",VLOOKUP(B2973,CadProd!$A:$B,2,0)),"")</f>
        <v/>
      </c>
      <c r="D2973" t="str">
        <f>IFERROR(IF(B2973="","",VLOOKUP(B2973,CadProd!$A:$C,3,0)),"")</f>
        <v/>
      </c>
      <c r="G2973" s="1" t="str">
        <f t="shared" si="46"/>
        <v/>
      </c>
    </row>
    <row r="2974" spans="3:7" x14ac:dyDescent="0.3">
      <c r="C2974" t="str">
        <f>IFERROR(IF(B2974="","",VLOOKUP(B2974,CadProd!$A:$B,2,0)),"")</f>
        <v/>
      </c>
      <c r="D2974" t="str">
        <f>IFERROR(IF(B2974="","",VLOOKUP(B2974,CadProd!$A:$C,3,0)),"")</f>
        <v/>
      </c>
      <c r="G2974" s="1" t="str">
        <f t="shared" si="46"/>
        <v/>
      </c>
    </row>
    <row r="2975" spans="3:7" x14ac:dyDescent="0.3">
      <c r="C2975" t="str">
        <f>IFERROR(IF(B2975="","",VLOOKUP(B2975,CadProd!$A:$B,2,0)),"")</f>
        <v/>
      </c>
      <c r="D2975" t="str">
        <f>IFERROR(IF(B2975="","",VLOOKUP(B2975,CadProd!$A:$C,3,0)),"")</f>
        <v/>
      </c>
      <c r="G2975" s="1" t="str">
        <f t="shared" si="46"/>
        <v/>
      </c>
    </row>
    <row r="2976" spans="3:7" x14ac:dyDescent="0.3">
      <c r="C2976" t="str">
        <f>IFERROR(IF(B2976="","",VLOOKUP(B2976,CadProd!$A:$B,2,0)),"")</f>
        <v/>
      </c>
      <c r="D2976" t="str">
        <f>IFERROR(IF(B2976="","",VLOOKUP(B2976,CadProd!$A:$C,3,0)),"")</f>
        <v/>
      </c>
      <c r="G2976" s="1" t="str">
        <f t="shared" si="46"/>
        <v/>
      </c>
    </row>
    <row r="2977" customFormat="1" x14ac:dyDescent="0.3"/>
    <row r="2978" customFormat="1" x14ac:dyDescent="0.3"/>
    <row r="2979" customFormat="1" x14ac:dyDescent="0.3"/>
    <row r="2980" customFormat="1" x14ac:dyDescent="0.3"/>
    <row r="2981" customFormat="1" x14ac:dyDescent="0.3"/>
    <row r="2982" customFormat="1" x14ac:dyDescent="0.3"/>
    <row r="2983" customFormat="1" x14ac:dyDescent="0.3"/>
    <row r="2984" customFormat="1" x14ac:dyDescent="0.3"/>
    <row r="2985" customFormat="1" x14ac:dyDescent="0.3"/>
    <row r="2986" customFormat="1" x14ac:dyDescent="0.3"/>
    <row r="2987" customFormat="1" x14ac:dyDescent="0.3"/>
    <row r="2988" customFormat="1" x14ac:dyDescent="0.3"/>
    <row r="2989" customFormat="1" x14ac:dyDescent="0.3"/>
    <row r="2990" customFormat="1" x14ac:dyDescent="0.3"/>
    <row r="2991" customFormat="1" x14ac:dyDescent="0.3"/>
    <row r="2992" customFormat="1" x14ac:dyDescent="0.3"/>
    <row r="2993" customFormat="1" x14ac:dyDescent="0.3"/>
    <row r="2994" customFormat="1" x14ac:dyDescent="0.3"/>
    <row r="2995" customFormat="1" x14ac:dyDescent="0.3"/>
    <row r="2996" customFormat="1" x14ac:dyDescent="0.3"/>
    <row r="2997" customFormat="1" x14ac:dyDescent="0.3"/>
    <row r="2998" customFormat="1" x14ac:dyDescent="0.3"/>
    <row r="2999" customFormat="1" x14ac:dyDescent="0.3"/>
    <row r="3000" customFormat="1" x14ac:dyDescent="0.3"/>
    <row r="3001" customFormat="1" x14ac:dyDescent="0.3"/>
    <row r="3002" customFormat="1" x14ac:dyDescent="0.3"/>
    <row r="3003" customFormat="1" x14ac:dyDescent="0.3"/>
    <row r="3004" customFormat="1" x14ac:dyDescent="0.3"/>
    <row r="3005" customFormat="1" x14ac:dyDescent="0.3"/>
    <row r="3006" customFormat="1" x14ac:dyDescent="0.3"/>
    <row r="3007" customFormat="1" x14ac:dyDescent="0.3"/>
    <row r="3008" customFormat="1" x14ac:dyDescent="0.3"/>
    <row r="3009" customFormat="1" x14ac:dyDescent="0.3"/>
    <row r="3010" customFormat="1" x14ac:dyDescent="0.3"/>
    <row r="3011" customFormat="1" x14ac:dyDescent="0.3"/>
    <row r="3012" customFormat="1" x14ac:dyDescent="0.3"/>
    <row r="3013" customFormat="1" x14ac:dyDescent="0.3"/>
    <row r="3014" customFormat="1" x14ac:dyDescent="0.3"/>
    <row r="3015" customFormat="1" x14ac:dyDescent="0.3"/>
    <row r="3016" customFormat="1" x14ac:dyDescent="0.3"/>
    <row r="3017" customFormat="1" x14ac:dyDescent="0.3"/>
    <row r="3018" customFormat="1" x14ac:dyDescent="0.3"/>
    <row r="3019" customFormat="1" x14ac:dyDescent="0.3"/>
    <row r="3020" customFormat="1" x14ac:dyDescent="0.3"/>
    <row r="3021" customFormat="1" x14ac:dyDescent="0.3"/>
    <row r="3022" customFormat="1" x14ac:dyDescent="0.3"/>
    <row r="3023" customFormat="1" x14ac:dyDescent="0.3"/>
    <row r="3024" customFormat="1" x14ac:dyDescent="0.3"/>
    <row r="3025" customFormat="1" x14ac:dyDescent="0.3"/>
    <row r="3026" customFormat="1" x14ac:dyDescent="0.3"/>
    <row r="3027" customFormat="1" x14ac:dyDescent="0.3"/>
    <row r="3028" customFormat="1" x14ac:dyDescent="0.3"/>
    <row r="3029" customFormat="1" x14ac:dyDescent="0.3"/>
    <row r="3030" customFormat="1" x14ac:dyDescent="0.3"/>
    <row r="3031" customFormat="1" x14ac:dyDescent="0.3"/>
    <row r="3032" customFormat="1" x14ac:dyDescent="0.3"/>
    <row r="3033" customFormat="1" x14ac:dyDescent="0.3"/>
    <row r="3034" customFormat="1" x14ac:dyDescent="0.3"/>
    <row r="3035" customFormat="1" x14ac:dyDescent="0.3"/>
    <row r="3036" customFormat="1" x14ac:dyDescent="0.3"/>
    <row r="3037" customFormat="1" x14ac:dyDescent="0.3"/>
    <row r="3038" customFormat="1" x14ac:dyDescent="0.3"/>
    <row r="3039" customFormat="1" x14ac:dyDescent="0.3"/>
    <row r="3040" customFormat="1" x14ac:dyDescent="0.3"/>
    <row r="3041" customFormat="1" x14ac:dyDescent="0.3"/>
    <row r="3042" customFormat="1" x14ac:dyDescent="0.3"/>
    <row r="3043" customFormat="1" x14ac:dyDescent="0.3"/>
    <row r="3044" customFormat="1" x14ac:dyDescent="0.3"/>
    <row r="3045" customFormat="1" x14ac:dyDescent="0.3"/>
    <row r="3046" customFormat="1" x14ac:dyDescent="0.3"/>
    <row r="3047" customFormat="1" x14ac:dyDescent="0.3"/>
    <row r="3048" customFormat="1" x14ac:dyDescent="0.3"/>
    <row r="3049" customFormat="1" x14ac:dyDescent="0.3"/>
    <row r="3050" customFormat="1" x14ac:dyDescent="0.3"/>
    <row r="3051" customFormat="1" x14ac:dyDescent="0.3"/>
    <row r="3052" customFormat="1" x14ac:dyDescent="0.3"/>
    <row r="3053" customFormat="1" x14ac:dyDescent="0.3"/>
    <row r="3054" customFormat="1" x14ac:dyDescent="0.3"/>
    <row r="3055" customFormat="1" x14ac:dyDescent="0.3"/>
    <row r="3056" customFormat="1" x14ac:dyDescent="0.3"/>
    <row r="3057" customFormat="1" x14ac:dyDescent="0.3"/>
    <row r="3058" customFormat="1" x14ac:dyDescent="0.3"/>
    <row r="3059" customFormat="1" x14ac:dyDescent="0.3"/>
    <row r="3060" customFormat="1" x14ac:dyDescent="0.3"/>
    <row r="3061" customFormat="1" x14ac:dyDescent="0.3"/>
    <row r="3062" customFormat="1" x14ac:dyDescent="0.3"/>
    <row r="3063" customFormat="1" x14ac:dyDescent="0.3"/>
    <row r="3064" customFormat="1" x14ac:dyDescent="0.3"/>
    <row r="3065" customFormat="1" x14ac:dyDescent="0.3"/>
    <row r="3066" customFormat="1" x14ac:dyDescent="0.3"/>
    <row r="3067" customFormat="1" x14ac:dyDescent="0.3"/>
    <row r="3068" customFormat="1" x14ac:dyDescent="0.3"/>
    <row r="3069" customFormat="1" x14ac:dyDescent="0.3"/>
    <row r="3070" customFormat="1" x14ac:dyDescent="0.3"/>
    <row r="3071" customFormat="1" x14ac:dyDescent="0.3"/>
    <row r="3072" customFormat="1" x14ac:dyDescent="0.3"/>
    <row r="3073" customFormat="1" x14ac:dyDescent="0.3"/>
    <row r="3074" customFormat="1" x14ac:dyDescent="0.3"/>
    <row r="3075" customFormat="1" x14ac:dyDescent="0.3"/>
    <row r="3076" customFormat="1" x14ac:dyDescent="0.3"/>
    <row r="3077" customFormat="1" x14ac:dyDescent="0.3"/>
    <row r="3078" customFormat="1" x14ac:dyDescent="0.3"/>
    <row r="3079" customFormat="1" x14ac:dyDescent="0.3"/>
    <row r="3080" customFormat="1" x14ac:dyDescent="0.3"/>
    <row r="3081" customFormat="1" x14ac:dyDescent="0.3"/>
    <row r="3082" customFormat="1" x14ac:dyDescent="0.3"/>
    <row r="3083" customFormat="1" x14ac:dyDescent="0.3"/>
    <row r="3084" customFormat="1" x14ac:dyDescent="0.3"/>
    <row r="3085" customFormat="1" x14ac:dyDescent="0.3"/>
    <row r="3086" customFormat="1" x14ac:dyDescent="0.3"/>
    <row r="3087" customFormat="1" x14ac:dyDescent="0.3"/>
    <row r="3088" customFormat="1" x14ac:dyDescent="0.3"/>
    <row r="3089" customFormat="1" x14ac:dyDescent="0.3"/>
    <row r="3090" customFormat="1" x14ac:dyDescent="0.3"/>
    <row r="3091" customFormat="1" x14ac:dyDescent="0.3"/>
    <row r="3092" customFormat="1" x14ac:dyDescent="0.3"/>
    <row r="3093" customFormat="1" x14ac:dyDescent="0.3"/>
    <row r="3094" customFormat="1" x14ac:dyDescent="0.3"/>
    <row r="3095" customFormat="1" x14ac:dyDescent="0.3"/>
    <row r="3096" customFormat="1" x14ac:dyDescent="0.3"/>
    <row r="3097" customFormat="1" x14ac:dyDescent="0.3"/>
    <row r="3098" customFormat="1" x14ac:dyDescent="0.3"/>
    <row r="3099" customFormat="1" x14ac:dyDescent="0.3"/>
    <row r="3100" customFormat="1" x14ac:dyDescent="0.3"/>
    <row r="3101" customFormat="1" x14ac:dyDescent="0.3"/>
    <row r="3102" customFormat="1" x14ac:dyDescent="0.3"/>
    <row r="3103" customFormat="1" x14ac:dyDescent="0.3"/>
    <row r="3104" customFormat="1" x14ac:dyDescent="0.3"/>
    <row r="3105" customFormat="1" x14ac:dyDescent="0.3"/>
    <row r="3106" customFormat="1" x14ac:dyDescent="0.3"/>
    <row r="3107" customFormat="1" x14ac:dyDescent="0.3"/>
    <row r="3108" customFormat="1" x14ac:dyDescent="0.3"/>
    <row r="3109" customFormat="1" x14ac:dyDescent="0.3"/>
    <row r="3110" customFormat="1" x14ac:dyDescent="0.3"/>
    <row r="3111" customFormat="1" x14ac:dyDescent="0.3"/>
    <row r="3112" customFormat="1" x14ac:dyDescent="0.3"/>
    <row r="3113" customFormat="1" x14ac:dyDescent="0.3"/>
    <row r="3114" customFormat="1" x14ac:dyDescent="0.3"/>
    <row r="3115" customFormat="1" x14ac:dyDescent="0.3"/>
    <row r="3116" customFormat="1" x14ac:dyDescent="0.3"/>
    <row r="3117" customFormat="1" x14ac:dyDescent="0.3"/>
    <row r="3118" customFormat="1" x14ac:dyDescent="0.3"/>
    <row r="3119" customFormat="1" x14ac:dyDescent="0.3"/>
    <row r="3120" customFormat="1" x14ac:dyDescent="0.3"/>
    <row r="3121" customFormat="1" x14ac:dyDescent="0.3"/>
    <row r="3122" customFormat="1" x14ac:dyDescent="0.3"/>
    <row r="3123" customFormat="1" x14ac:dyDescent="0.3"/>
    <row r="3124" customFormat="1" x14ac:dyDescent="0.3"/>
    <row r="3125" customFormat="1" x14ac:dyDescent="0.3"/>
    <row r="3126" customFormat="1" x14ac:dyDescent="0.3"/>
    <row r="3127" customFormat="1" x14ac:dyDescent="0.3"/>
    <row r="3128" customFormat="1" x14ac:dyDescent="0.3"/>
    <row r="3129" customFormat="1" x14ac:dyDescent="0.3"/>
    <row r="3130" customFormat="1" x14ac:dyDescent="0.3"/>
    <row r="3131" customFormat="1" x14ac:dyDescent="0.3"/>
    <row r="3132" customFormat="1" x14ac:dyDescent="0.3"/>
    <row r="3133" customFormat="1" x14ac:dyDescent="0.3"/>
    <row r="3134" customFormat="1" x14ac:dyDescent="0.3"/>
    <row r="3135" customFormat="1" x14ac:dyDescent="0.3"/>
    <row r="3136" customFormat="1" x14ac:dyDescent="0.3"/>
    <row r="3137" customFormat="1" x14ac:dyDescent="0.3"/>
    <row r="3138" customFormat="1" x14ac:dyDescent="0.3"/>
    <row r="3139" customFormat="1" x14ac:dyDescent="0.3"/>
    <row r="3140" customFormat="1" x14ac:dyDescent="0.3"/>
    <row r="3141" customFormat="1" x14ac:dyDescent="0.3"/>
    <row r="3142" customFormat="1" x14ac:dyDescent="0.3"/>
    <row r="3143" customFormat="1" x14ac:dyDescent="0.3"/>
    <row r="3144" customFormat="1" x14ac:dyDescent="0.3"/>
    <row r="3145" customFormat="1" x14ac:dyDescent="0.3"/>
    <row r="3146" customFormat="1" x14ac:dyDescent="0.3"/>
    <row r="3147" customFormat="1" x14ac:dyDescent="0.3"/>
    <row r="3148" customFormat="1" x14ac:dyDescent="0.3"/>
    <row r="3149" customFormat="1" x14ac:dyDescent="0.3"/>
    <row r="3150" customFormat="1" x14ac:dyDescent="0.3"/>
    <row r="3151" customFormat="1" x14ac:dyDescent="0.3"/>
    <row r="3152" customFormat="1" x14ac:dyDescent="0.3"/>
    <row r="3153" customFormat="1" x14ac:dyDescent="0.3"/>
    <row r="3154" customFormat="1" x14ac:dyDescent="0.3"/>
    <row r="3155" customFormat="1" x14ac:dyDescent="0.3"/>
    <row r="3156" customFormat="1" x14ac:dyDescent="0.3"/>
    <row r="3157" customFormat="1" x14ac:dyDescent="0.3"/>
    <row r="3158" customFormat="1" x14ac:dyDescent="0.3"/>
    <row r="3159" customFormat="1" x14ac:dyDescent="0.3"/>
    <row r="3160" customFormat="1" x14ac:dyDescent="0.3"/>
    <row r="3161" customFormat="1" x14ac:dyDescent="0.3"/>
    <row r="3162" customFormat="1" x14ac:dyDescent="0.3"/>
    <row r="3163" customFormat="1" x14ac:dyDescent="0.3"/>
    <row r="3164" customFormat="1" x14ac:dyDescent="0.3"/>
    <row r="3165" customFormat="1" x14ac:dyDescent="0.3"/>
    <row r="3166" customFormat="1" x14ac:dyDescent="0.3"/>
    <row r="3167" customFormat="1" x14ac:dyDescent="0.3"/>
    <row r="3168" customFormat="1" x14ac:dyDescent="0.3"/>
    <row r="3169" customFormat="1" x14ac:dyDescent="0.3"/>
    <row r="3170" customFormat="1" x14ac:dyDescent="0.3"/>
    <row r="3171" customFormat="1" x14ac:dyDescent="0.3"/>
    <row r="3172" customFormat="1" x14ac:dyDescent="0.3"/>
    <row r="3173" customFormat="1" x14ac:dyDescent="0.3"/>
    <row r="3174" customFormat="1" x14ac:dyDescent="0.3"/>
    <row r="3175" customFormat="1" x14ac:dyDescent="0.3"/>
    <row r="3176" customFormat="1" x14ac:dyDescent="0.3"/>
    <row r="3177" customFormat="1" x14ac:dyDescent="0.3"/>
    <row r="3178" customFormat="1" x14ac:dyDescent="0.3"/>
    <row r="3179" customFormat="1" x14ac:dyDescent="0.3"/>
    <row r="3180" customFormat="1" x14ac:dyDescent="0.3"/>
    <row r="3181" customFormat="1" x14ac:dyDescent="0.3"/>
    <row r="3182" customFormat="1" x14ac:dyDescent="0.3"/>
    <row r="3183" customFormat="1" x14ac:dyDescent="0.3"/>
    <row r="3184" customFormat="1" x14ac:dyDescent="0.3"/>
    <row r="3185" customFormat="1" x14ac:dyDescent="0.3"/>
    <row r="3186" customFormat="1" x14ac:dyDescent="0.3"/>
    <row r="3187" customFormat="1" x14ac:dyDescent="0.3"/>
    <row r="3188" customFormat="1" x14ac:dyDescent="0.3"/>
    <row r="3189" customFormat="1" x14ac:dyDescent="0.3"/>
    <row r="3190" customFormat="1" x14ac:dyDescent="0.3"/>
    <row r="3191" customFormat="1" x14ac:dyDescent="0.3"/>
    <row r="3192" customFormat="1" x14ac:dyDescent="0.3"/>
    <row r="3193" customFormat="1" x14ac:dyDescent="0.3"/>
    <row r="3194" customFormat="1" x14ac:dyDescent="0.3"/>
    <row r="3195" customFormat="1" x14ac:dyDescent="0.3"/>
    <row r="3196" customFormat="1" x14ac:dyDescent="0.3"/>
    <row r="3197" customFormat="1" x14ac:dyDescent="0.3"/>
    <row r="3198" customFormat="1" x14ac:dyDescent="0.3"/>
    <row r="3199" customFormat="1" x14ac:dyDescent="0.3"/>
    <row r="3200" customFormat="1" x14ac:dyDescent="0.3"/>
    <row r="3201" customFormat="1" x14ac:dyDescent="0.3"/>
    <row r="3202" customFormat="1" x14ac:dyDescent="0.3"/>
    <row r="3203" customFormat="1" x14ac:dyDescent="0.3"/>
    <row r="3204" customFormat="1" x14ac:dyDescent="0.3"/>
    <row r="3205" customFormat="1" x14ac:dyDescent="0.3"/>
    <row r="3206" customFormat="1" x14ac:dyDescent="0.3"/>
    <row r="3207" customFormat="1" x14ac:dyDescent="0.3"/>
    <row r="3208" customFormat="1" x14ac:dyDescent="0.3"/>
    <row r="3209" customFormat="1" x14ac:dyDescent="0.3"/>
    <row r="3210" customFormat="1" x14ac:dyDescent="0.3"/>
    <row r="3211" customFormat="1" x14ac:dyDescent="0.3"/>
    <row r="3212" customFormat="1" x14ac:dyDescent="0.3"/>
    <row r="3213" customFormat="1" x14ac:dyDescent="0.3"/>
    <row r="3214" customFormat="1" x14ac:dyDescent="0.3"/>
    <row r="3215" customFormat="1" x14ac:dyDescent="0.3"/>
    <row r="3216" customFormat="1" x14ac:dyDescent="0.3"/>
    <row r="3217" customFormat="1" x14ac:dyDescent="0.3"/>
    <row r="3218" customFormat="1" x14ac:dyDescent="0.3"/>
    <row r="3219" customFormat="1" x14ac:dyDescent="0.3"/>
    <row r="3220" customFormat="1" x14ac:dyDescent="0.3"/>
    <row r="3221" customFormat="1" x14ac:dyDescent="0.3"/>
    <row r="3222" customFormat="1" x14ac:dyDescent="0.3"/>
    <row r="3223" customFormat="1" x14ac:dyDescent="0.3"/>
    <row r="3224" customFormat="1" x14ac:dyDescent="0.3"/>
    <row r="3225" customFormat="1" x14ac:dyDescent="0.3"/>
    <row r="3226" customFormat="1" x14ac:dyDescent="0.3"/>
    <row r="3227" customFormat="1" x14ac:dyDescent="0.3"/>
    <row r="3228" customFormat="1" x14ac:dyDescent="0.3"/>
    <row r="3229" customFormat="1" x14ac:dyDescent="0.3"/>
    <row r="3230" customFormat="1" x14ac:dyDescent="0.3"/>
    <row r="3231" customFormat="1" x14ac:dyDescent="0.3"/>
    <row r="3232" customFormat="1" x14ac:dyDescent="0.3"/>
    <row r="3233" customFormat="1" x14ac:dyDescent="0.3"/>
    <row r="3234" customFormat="1" x14ac:dyDescent="0.3"/>
    <row r="3235" customFormat="1" x14ac:dyDescent="0.3"/>
    <row r="3236" customFormat="1" x14ac:dyDescent="0.3"/>
    <row r="3237" customFormat="1" x14ac:dyDescent="0.3"/>
    <row r="3238" customFormat="1" x14ac:dyDescent="0.3"/>
    <row r="3239" customFormat="1" x14ac:dyDescent="0.3"/>
    <row r="3240" customFormat="1" x14ac:dyDescent="0.3"/>
    <row r="3241" customFormat="1" x14ac:dyDescent="0.3"/>
    <row r="3242" customFormat="1" x14ac:dyDescent="0.3"/>
    <row r="3243" customFormat="1" x14ac:dyDescent="0.3"/>
    <row r="3244" customFormat="1" x14ac:dyDescent="0.3"/>
    <row r="3245" customFormat="1" x14ac:dyDescent="0.3"/>
    <row r="3246" customFormat="1" x14ac:dyDescent="0.3"/>
    <row r="3247" customFormat="1" x14ac:dyDescent="0.3"/>
    <row r="3248" customFormat="1" x14ac:dyDescent="0.3"/>
    <row r="3249" customFormat="1" x14ac:dyDescent="0.3"/>
    <row r="3250" customFormat="1" x14ac:dyDescent="0.3"/>
    <row r="3251" customFormat="1" x14ac:dyDescent="0.3"/>
    <row r="3252" customFormat="1" x14ac:dyDescent="0.3"/>
    <row r="3253" customFormat="1" x14ac:dyDescent="0.3"/>
    <row r="3254" customFormat="1" x14ac:dyDescent="0.3"/>
    <row r="3255" customFormat="1" x14ac:dyDescent="0.3"/>
    <row r="3256" customFormat="1" x14ac:dyDescent="0.3"/>
    <row r="3257" customFormat="1" x14ac:dyDescent="0.3"/>
    <row r="3258" customFormat="1" x14ac:dyDescent="0.3"/>
    <row r="3259" customFormat="1" x14ac:dyDescent="0.3"/>
    <row r="3260" customFormat="1" x14ac:dyDescent="0.3"/>
    <row r="3261" customFormat="1" x14ac:dyDescent="0.3"/>
    <row r="3262" customFormat="1" x14ac:dyDescent="0.3"/>
    <row r="3263" customFormat="1" x14ac:dyDescent="0.3"/>
    <row r="3264" customFormat="1" x14ac:dyDescent="0.3"/>
    <row r="3265" customFormat="1" x14ac:dyDescent="0.3"/>
    <row r="3266" customFormat="1" x14ac:dyDescent="0.3"/>
    <row r="3267" customFormat="1" x14ac:dyDescent="0.3"/>
    <row r="3268" customFormat="1" x14ac:dyDescent="0.3"/>
    <row r="3269" customFormat="1" x14ac:dyDescent="0.3"/>
    <row r="3270" customFormat="1" x14ac:dyDescent="0.3"/>
    <row r="3271" customFormat="1" x14ac:dyDescent="0.3"/>
    <row r="3272" customFormat="1" x14ac:dyDescent="0.3"/>
    <row r="3273" customFormat="1" x14ac:dyDescent="0.3"/>
    <row r="3274" customFormat="1" x14ac:dyDescent="0.3"/>
    <row r="3275" customFormat="1" x14ac:dyDescent="0.3"/>
    <row r="3276" customFormat="1" x14ac:dyDescent="0.3"/>
    <row r="3277" customFormat="1" x14ac:dyDescent="0.3"/>
    <row r="3278" customFormat="1" x14ac:dyDescent="0.3"/>
    <row r="3279" customFormat="1" x14ac:dyDescent="0.3"/>
    <row r="3280" customFormat="1" x14ac:dyDescent="0.3"/>
    <row r="3281" customFormat="1" x14ac:dyDescent="0.3"/>
    <row r="3282" customFormat="1" x14ac:dyDescent="0.3"/>
    <row r="3283" customFormat="1" x14ac:dyDescent="0.3"/>
    <row r="3284" customFormat="1" x14ac:dyDescent="0.3"/>
    <row r="3285" customFormat="1" x14ac:dyDescent="0.3"/>
    <row r="3286" customFormat="1" x14ac:dyDescent="0.3"/>
    <row r="3287" customFormat="1" x14ac:dyDescent="0.3"/>
    <row r="3288" customFormat="1" x14ac:dyDescent="0.3"/>
    <row r="3289" customFormat="1" x14ac:dyDescent="0.3"/>
    <row r="3290" customFormat="1" x14ac:dyDescent="0.3"/>
    <row r="3291" customFormat="1" x14ac:dyDescent="0.3"/>
    <row r="3292" customFormat="1" x14ac:dyDescent="0.3"/>
    <row r="3293" customFormat="1" x14ac:dyDescent="0.3"/>
    <row r="3294" customFormat="1" x14ac:dyDescent="0.3"/>
    <row r="3295" customFormat="1" x14ac:dyDescent="0.3"/>
    <row r="3296" customFormat="1" x14ac:dyDescent="0.3"/>
    <row r="3297" customFormat="1" x14ac:dyDescent="0.3"/>
    <row r="3298" customFormat="1" x14ac:dyDescent="0.3"/>
    <row r="3299" customFormat="1" x14ac:dyDescent="0.3"/>
    <row r="3300" customFormat="1" x14ac:dyDescent="0.3"/>
    <row r="3301" customFormat="1" x14ac:dyDescent="0.3"/>
    <row r="3302" customFormat="1" x14ac:dyDescent="0.3"/>
    <row r="3303" customFormat="1" x14ac:dyDescent="0.3"/>
    <row r="3304" customFormat="1" x14ac:dyDescent="0.3"/>
    <row r="3305" customFormat="1" x14ac:dyDescent="0.3"/>
    <row r="3306" customFormat="1" x14ac:dyDescent="0.3"/>
    <row r="3307" customFormat="1" x14ac:dyDescent="0.3"/>
    <row r="3308" customFormat="1" x14ac:dyDescent="0.3"/>
    <row r="3309" customFormat="1" x14ac:dyDescent="0.3"/>
    <row r="3310" customFormat="1" x14ac:dyDescent="0.3"/>
    <row r="3311" customFormat="1" x14ac:dyDescent="0.3"/>
    <row r="3312" customFormat="1" x14ac:dyDescent="0.3"/>
    <row r="3313" customFormat="1" x14ac:dyDescent="0.3"/>
    <row r="3314" customFormat="1" x14ac:dyDescent="0.3"/>
    <row r="3315" customFormat="1" x14ac:dyDescent="0.3"/>
    <row r="3316" customFormat="1" x14ac:dyDescent="0.3"/>
    <row r="3317" customFormat="1" x14ac:dyDescent="0.3"/>
    <row r="3318" customFormat="1" x14ac:dyDescent="0.3"/>
    <row r="3319" customFormat="1" x14ac:dyDescent="0.3"/>
    <row r="3320" customFormat="1" x14ac:dyDescent="0.3"/>
    <row r="3321" customFormat="1" x14ac:dyDescent="0.3"/>
    <row r="3322" customFormat="1" x14ac:dyDescent="0.3"/>
    <row r="3323" customFormat="1" x14ac:dyDescent="0.3"/>
    <row r="3324" customFormat="1" x14ac:dyDescent="0.3"/>
    <row r="3325" customFormat="1" x14ac:dyDescent="0.3"/>
    <row r="3326" customFormat="1" x14ac:dyDescent="0.3"/>
    <row r="3327" customFormat="1" x14ac:dyDescent="0.3"/>
    <row r="3328" customFormat="1" x14ac:dyDescent="0.3"/>
    <row r="3329" customFormat="1" x14ac:dyDescent="0.3"/>
    <row r="3330" customFormat="1" x14ac:dyDescent="0.3"/>
    <row r="3331" customFormat="1" x14ac:dyDescent="0.3"/>
    <row r="3332" customFormat="1" x14ac:dyDescent="0.3"/>
    <row r="3333" customFormat="1" x14ac:dyDescent="0.3"/>
    <row r="3334" customFormat="1" x14ac:dyDescent="0.3"/>
    <row r="3335" customFormat="1" x14ac:dyDescent="0.3"/>
    <row r="3336" customFormat="1" x14ac:dyDescent="0.3"/>
    <row r="3337" customFormat="1" x14ac:dyDescent="0.3"/>
    <row r="3338" customFormat="1" x14ac:dyDescent="0.3"/>
    <row r="3339" customFormat="1" x14ac:dyDescent="0.3"/>
    <row r="3340" customFormat="1" x14ac:dyDescent="0.3"/>
    <row r="3341" customFormat="1" x14ac:dyDescent="0.3"/>
    <row r="3342" customFormat="1" x14ac:dyDescent="0.3"/>
    <row r="3343" customFormat="1" x14ac:dyDescent="0.3"/>
    <row r="3344" customFormat="1" x14ac:dyDescent="0.3"/>
    <row r="3345" customFormat="1" x14ac:dyDescent="0.3"/>
    <row r="3346" customFormat="1" x14ac:dyDescent="0.3"/>
    <row r="3347" customFormat="1" x14ac:dyDescent="0.3"/>
    <row r="3348" customFormat="1" x14ac:dyDescent="0.3"/>
    <row r="3349" customFormat="1" x14ac:dyDescent="0.3"/>
    <row r="3350" customFormat="1" x14ac:dyDescent="0.3"/>
    <row r="3351" customFormat="1" x14ac:dyDescent="0.3"/>
    <row r="3352" customFormat="1" x14ac:dyDescent="0.3"/>
    <row r="3353" customFormat="1" x14ac:dyDescent="0.3"/>
    <row r="3354" customFormat="1" x14ac:dyDescent="0.3"/>
    <row r="3355" customFormat="1" x14ac:dyDescent="0.3"/>
    <row r="3356" customFormat="1" x14ac:dyDescent="0.3"/>
    <row r="3357" customFormat="1" x14ac:dyDescent="0.3"/>
    <row r="3358" customFormat="1" x14ac:dyDescent="0.3"/>
    <row r="3359" customFormat="1" x14ac:dyDescent="0.3"/>
    <row r="3360" customFormat="1" x14ac:dyDescent="0.3"/>
    <row r="3361" customFormat="1" x14ac:dyDescent="0.3"/>
    <row r="3362" customFormat="1" x14ac:dyDescent="0.3"/>
    <row r="3363" customFormat="1" x14ac:dyDescent="0.3"/>
    <row r="3364" customFormat="1" x14ac:dyDescent="0.3"/>
    <row r="3365" customFormat="1" x14ac:dyDescent="0.3"/>
    <row r="3366" customFormat="1" x14ac:dyDescent="0.3"/>
    <row r="3367" customFormat="1" x14ac:dyDescent="0.3"/>
    <row r="3368" customFormat="1" x14ac:dyDescent="0.3"/>
    <row r="3369" customFormat="1" x14ac:dyDescent="0.3"/>
    <row r="3370" customFormat="1" x14ac:dyDescent="0.3"/>
    <row r="3371" customFormat="1" x14ac:dyDescent="0.3"/>
    <row r="3372" customFormat="1" x14ac:dyDescent="0.3"/>
    <row r="3373" customFormat="1" x14ac:dyDescent="0.3"/>
    <row r="3374" customFormat="1" x14ac:dyDescent="0.3"/>
    <row r="3375" customFormat="1" x14ac:dyDescent="0.3"/>
    <row r="3376" customFormat="1" x14ac:dyDescent="0.3"/>
    <row r="3377" customFormat="1" x14ac:dyDescent="0.3"/>
    <row r="3378" customFormat="1" x14ac:dyDescent="0.3"/>
    <row r="3379" customFormat="1" x14ac:dyDescent="0.3"/>
    <row r="3380" customFormat="1" x14ac:dyDescent="0.3"/>
    <row r="3381" customFormat="1" x14ac:dyDescent="0.3"/>
    <row r="3382" customFormat="1" x14ac:dyDescent="0.3"/>
    <row r="3383" customFormat="1" x14ac:dyDescent="0.3"/>
    <row r="3384" customFormat="1" x14ac:dyDescent="0.3"/>
    <row r="3385" customFormat="1" x14ac:dyDescent="0.3"/>
    <row r="3386" customFormat="1" x14ac:dyDescent="0.3"/>
    <row r="3387" customFormat="1" x14ac:dyDescent="0.3"/>
    <row r="3388" customFormat="1" x14ac:dyDescent="0.3"/>
    <row r="3389" customFormat="1" x14ac:dyDescent="0.3"/>
    <row r="3390" customFormat="1" x14ac:dyDescent="0.3"/>
    <row r="3391" customFormat="1" x14ac:dyDescent="0.3"/>
    <row r="3392" customFormat="1" x14ac:dyDescent="0.3"/>
    <row r="3393" customFormat="1" x14ac:dyDescent="0.3"/>
    <row r="3394" customFormat="1" x14ac:dyDescent="0.3"/>
    <row r="3395" customFormat="1" x14ac:dyDescent="0.3"/>
    <row r="3396" customFormat="1" x14ac:dyDescent="0.3"/>
    <row r="3397" customFormat="1" x14ac:dyDescent="0.3"/>
    <row r="3398" customFormat="1" x14ac:dyDescent="0.3"/>
    <row r="3399" customFormat="1" x14ac:dyDescent="0.3"/>
    <row r="3400" customFormat="1" x14ac:dyDescent="0.3"/>
    <row r="3401" customFormat="1" x14ac:dyDescent="0.3"/>
    <row r="3402" customFormat="1" x14ac:dyDescent="0.3"/>
    <row r="3403" customFormat="1" x14ac:dyDescent="0.3"/>
    <row r="3404" customFormat="1" x14ac:dyDescent="0.3"/>
    <row r="3405" customFormat="1" x14ac:dyDescent="0.3"/>
    <row r="3406" customFormat="1" x14ac:dyDescent="0.3"/>
    <row r="3407" customFormat="1" x14ac:dyDescent="0.3"/>
    <row r="3408" customFormat="1" x14ac:dyDescent="0.3"/>
    <row r="3409" customFormat="1" x14ac:dyDescent="0.3"/>
    <row r="3410" customFormat="1" x14ac:dyDescent="0.3"/>
    <row r="3411" customFormat="1" x14ac:dyDescent="0.3"/>
    <row r="3412" customFormat="1" x14ac:dyDescent="0.3"/>
    <row r="3413" customFormat="1" x14ac:dyDescent="0.3"/>
    <row r="3414" customFormat="1" x14ac:dyDescent="0.3"/>
    <row r="3415" customFormat="1" x14ac:dyDescent="0.3"/>
    <row r="3416" customFormat="1" x14ac:dyDescent="0.3"/>
    <row r="3417" customFormat="1" x14ac:dyDescent="0.3"/>
    <row r="3418" customFormat="1" x14ac:dyDescent="0.3"/>
    <row r="3419" customFormat="1" x14ac:dyDescent="0.3"/>
    <row r="3420" customFormat="1" x14ac:dyDescent="0.3"/>
    <row r="3421" customFormat="1" x14ac:dyDescent="0.3"/>
    <row r="3422" customFormat="1" x14ac:dyDescent="0.3"/>
    <row r="3423" customFormat="1" x14ac:dyDescent="0.3"/>
    <row r="3424" customFormat="1" x14ac:dyDescent="0.3"/>
    <row r="3425" customFormat="1" x14ac:dyDescent="0.3"/>
    <row r="3426" customFormat="1" x14ac:dyDescent="0.3"/>
    <row r="3427" customFormat="1" x14ac:dyDescent="0.3"/>
    <row r="3428" customFormat="1" x14ac:dyDescent="0.3"/>
    <row r="3429" customFormat="1" x14ac:dyDescent="0.3"/>
    <row r="3430" customFormat="1" x14ac:dyDescent="0.3"/>
    <row r="3431" customFormat="1" x14ac:dyDescent="0.3"/>
    <row r="3432" customFormat="1" x14ac:dyDescent="0.3"/>
    <row r="3433" customFormat="1" x14ac:dyDescent="0.3"/>
    <row r="3434" customFormat="1" x14ac:dyDescent="0.3"/>
    <row r="3435" customFormat="1" x14ac:dyDescent="0.3"/>
    <row r="3436" customFormat="1" x14ac:dyDescent="0.3"/>
    <row r="3437" customFormat="1" x14ac:dyDescent="0.3"/>
    <row r="3438" customFormat="1" x14ac:dyDescent="0.3"/>
    <row r="3439" customFormat="1" x14ac:dyDescent="0.3"/>
    <row r="3440" customFormat="1" x14ac:dyDescent="0.3"/>
    <row r="3441" customFormat="1" x14ac:dyDescent="0.3"/>
    <row r="3442" customFormat="1" x14ac:dyDescent="0.3"/>
    <row r="3443" customFormat="1" x14ac:dyDescent="0.3"/>
    <row r="3444" customFormat="1" x14ac:dyDescent="0.3"/>
    <row r="3445" customFormat="1" x14ac:dyDescent="0.3"/>
    <row r="3446" customFormat="1" x14ac:dyDescent="0.3"/>
    <row r="3447" customFormat="1" x14ac:dyDescent="0.3"/>
    <row r="3448" customFormat="1" x14ac:dyDescent="0.3"/>
    <row r="3449" customFormat="1" x14ac:dyDescent="0.3"/>
    <row r="3450" customFormat="1" x14ac:dyDescent="0.3"/>
    <row r="3451" customFormat="1" x14ac:dyDescent="0.3"/>
    <row r="3452" customFormat="1" x14ac:dyDescent="0.3"/>
    <row r="3453" customFormat="1" x14ac:dyDescent="0.3"/>
    <row r="3454" customFormat="1" x14ac:dyDescent="0.3"/>
    <row r="3455" customFormat="1" x14ac:dyDescent="0.3"/>
    <row r="3456" customFormat="1" x14ac:dyDescent="0.3"/>
    <row r="3457" customFormat="1" x14ac:dyDescent="0.3"/>
    <row r="3458" customFormat="1" x14ac:dyDescent="0.3"/>
    <row r="3459" customFormat="1" x14ac:dyDescent="0.3"/>
    <row r="3460" customFormat="1" x14ac:dyDescent="0.3"/>
    <row r="3461" customFormat="1" x14ac:dyDescent="0.3"/>
    <row r="3462" customFormat="1" x14ac:dyDescent="0.3"/>
    <row r="3463" customFormat="1" x14ac:dyDescent="0.3"/>
    <row r="3464" customFormat="1" x14ac:dyDescent="0.3"/>
    <row r="3465" customFormat="1" x14ac:dyDescent="0.3"/>
    <row r="3466" customFormat="1" x14ac:dyDescent="0.3"/>
    <row r="3467" customFormat="1" x14ac:dyDescent="0.3"/>
    <row r="3468" customFormat="1" x14ac:dyDescent="0.3"/>
    <row r="3469" customFormat="1" x14ac:dyDescent="0.3"/>
    <row r="3470" customFormat="1" x14ac:dyDescent="0.3"/>
    <row r="3471" customFormat="1" x14ac:dyDescent="0.3"/>
    <row r="3472" customFormat="1" x14ac:dyDescent="0.3"/>
    <row r="3473" customFormat="1" x14ac:dyDescent="0.3"/>
    <row r="3474" customFormat="1" x14ac:dyDescent="0.3"/>
    <row r="3475" customFormat="1" x14ac:dyDescent="0.3"/>
    <row r="3476" customFormat="1" x14ac:dyDescent="0.3"/>
    <row r="3477" customFormat="1" x14ac:dyDescent="0.3"/>
    <row r="3478" customFormat="1" x14ac:dyDescent="0.3"/>
    <row r="3479" customFormat="1" x14ac:dyDescent="0.3"/>
    <row r="3480" customFormat="1" x14ac:dyDescent="0.3"/>
    <row r="3481" customFormat="1" x14ac:dyDescent="0.3"/>
    <row r="3482" customFormat="1" x14ac:dyDescent="0.3"/>
    <row r="3483" customFormat="1" x14ac:dyDescent="0.3"/>
    <row r="3484" customFormat="1" x14ac:dyDescent="0.3"/>
    <row r="3485" customFormat="1" x14ac:dyDescent="0.3"/>
    <row r="3486" customFormat="1" x14ac:dyDescent="0.3"/>
    <row r="3487" customFormat="1" x14ac:dyDescent="0.3"/>
    <row r="3488" customFormat="1" x14ac:dyDescent="0.3"/>
    <row r="3489" customFormat="1" x14ac:dyDescent="0.3"/>
    <row r="3490" customFormat="1" x14ac:dyDescent="0.3"/>
    <row r="3491" customFormat="1" x14ac:dyDescent="0.3"/>
    <row r="3492" customFormat="1" x14ac:dyDescent="0.3"/>
    <row r="3493" customFormat="1" x14ac:dyDescent="0.3"/>
    <row r="3494" customFormat="1" x14ac:dyDescent="0.3"/>
    <row r="3495" customFormat="1" x14ac:dyDescent="0.3"/>
    <row r="3496" customFormat="1" x14ac:dyDescent="0.3"/>
    <row r="3497" customFormat="1" x14ac:dyDescent="0.3"/>
    <row r="3498" customFormat="1" x14ac:dyDescent="0.3"/>
    <row r="3499" customFormat="1" x14ac:dyDescent="0.3"/>
    <row r="3500" customFormat="1" x14ac:dyDescent="0.3"/>
    <row r="3501" customFormat="1" x14ac:dyDescent="0.3"/>
    <row r="3502" customFormat="1" x14ac:dyDescent="0.3"/>
    <row r="3503" customFormat="1" x14ac:dyDescent="0.3"/>
    <row r="3504" customFormat="1" x14ac:dyDescent="0.3"/>
    <row r="3505" customFormat="1" x14ac:dyDescent="0.3"/>
    <row r="3506" customFormat="1" x14ac:dyDescent="0.3"/>
    <row r="3507" customFormat="1" x14ac:dyDescent="0.3"/>
    <row r="3508" customFormat="1" x14ac:dyDescent="0.3"/>
    <row r="3509" customFormat="1" x14ac:dyDescent="0.3"/>
    <row r="3510" customFormat="1" x14ac:dyDescent="0.3"/>
    <row r="3511" customFormat="1" x14ac:dyDescent="0.3"/>
    <row r="3512" customFormat="1" x14ac:dyDescent="0.3"/>
    <row r="3513" customFormat="1" x14ac:dyDescent="0.3"/>
    <row r="3514" customFormat="1" x14ac:dyDescent="0.3"/>
    <row r="3515" customFormat="1" x14ac:dyDescent="0.3"/>
    <row r="3516" customFormat="1" x14ac:dyDescent="0.3"/>
    <row r="3517" customFormat="1" x14ac:dyDescent="0.3"/>
    <row r="3518" customFormat="1" x14ac:dyDescent="0.3"/>
    <row r="3519" customFormat="1" x14ac:dyDescent="0.3"/>
    <row r="3520" customFormat="1" x14ac:dyDescent="0.3"/>
    <row r="3521" customFormat="1" x14ac:dyDescent="0.3"/>
    <row r="3522" customFormat="1" x14ac:dyDescent="0.3"/>
    <row r="3523" customFormat="1" x14ac:dyDescent="0.3"/>
    <row r="3524" customFormat="1" x14ac:dyDescent="0.3"/>
    <row r="3525" customFormat="1" x14ac:dyDescent="0.3"/>
    <row r="3526" customFormat="1" x14ac:dyDescent="0.3"/>
    <row r="3527" customFormat="1" x14ac:dyDescent="0.3"/>
    <row r="3528" customFormat="1" x14ac:dyDescent="0.3"/>
    <row r="3529" customFormat="1" x14ac:dyDescent="0.3"/>
    <row r="3530" customFormat="1" x14ac:dyDescent="0.3"/>
    <row r="3531" customFormat="1" x14ac:dyDescent="0.3"/>
    <row r="3532" customFormat="1" x14ac:dyDescent="0.3"/>
    <row r="3533" customFormat="1" x14ac:dyDescent="0.3"/>
    <row r="3534" customFormat="1" x14ac:dyDescent="0.3"/>
    <row r="3535" customFormat="1" x14ac:dyDescent="0.3"/>
    <row r="3536" customFormat="1" x14ac:dyDescent="0.3"/>
    <row r="3537" customFormat="1" x14ac:dyDescent="0.3"/>
    <row r="3538" customFormat="1" x14ac:dyDescent="0.3"/>
    <row r="3539" customFormat="1" x14ac:dyDescent="0.3"/>
    <row r="3540" customFormat="1" x14ac:dyDescent="0.3"/>
    <row r="3541" customFormat="1" x14ac:dyDescent="0.3"/>
    <row r="3542" customFormat="1" x14ac:dyDescent="0.3"/>
    <row r="3543" customFormat="1" x14ac:dyDescent="0.3"/>
    <row r="3544" customFormat="1" x14ac:dyDescent="0.3"/>
    <row r="3545" customFormat="1" x14ac:dyDescent="0.3"/>
    <row r="3546" customFormat="1" x14ac:dyDescent="0.3"/>
    <row r="3547" customFormat="1" x14ac:dyDescent="0.3"/>
    <row r="3548" customFormat="1" x14ac:dyDescent="0.3"/>
    <row r="3549" customFormat="1" x14ac:dyDescent="0.3"/>
    <row r="3550" customFormat="1" x14ac:dyDescent="0.3"/>
    <row r="3551" customFormat="1" x14ac:dyDescent="0.3"/>
    <row r="3552" customFormat="1" x14ac:dyDescent="0.3"/>
    <row r="3553" customFormat="1" x14ac:dyDescent="0.3"/>
    <row r="3554" customFormat="1" x14ac:dyDescent="0.3"/>
    <row r="3555" customFormat="1" x14ac:dyDescent="0.3"/>
    <row r="3556" customFormat="1" x14ac:dyDescent="0.3"/>
    <row r="3557" customFormat="1" x14ac:dyDescent="0.3"/>
    <row r="3558" customFormat="1" x14ac:dyDescent="0.3"/>
    <row r="3559" customFormat="1" x14ac:dyDescent="0.3"/>
    <row r="3560" customFormat="1" x14ac:dyDescent="0.3"/>
    <row r="3561" customFormat="1" x14ac:dyDescent="0.3"/>
    <row r="3562" customFormat="1" x14ac:dyDescent="0.3"/>
    <row r="3563" customFormat="1" x14ac:dyDescent="0.3"/>
    <row r="3564" customFormat="1" x14ac:dyDescent="0.3"/>
    <row r="3565" customFormat="1" x14ac:dyDescent="0.3"/>
    <row r="3566" customFormat="1" x14ac:dyDescent="0.3"/>
    <row r="3567" customFormat="1" x14ac:dyDescent="0.3"/>
    <row r="3568" customFormat="1" x14ac:dyDescent="0.3"/>
    <row r="3569" customFormat="1" x14ac:dyDescent="0.3"/>
    <row r="3570" customFormat="1" x14ac:dyDescent="0.3"/>
    <row r="3571" customFormat="1" x14ac:dyDescent="0.3"/>
    <row r="3572" customFormat="1" x14ac:dyDescent="0.3"/>
    <row r="3573" customFormat="1" x14ac:dyDescent="0.3"/>
    <row r="3574" customFormat="1" x14ac:dyDescent="0.3"/>
    <row r="3575" customFormat="1" x14ac:dyDescent="0.3"/>
    <row r="3576" customFormat="1" x14ac:dyDescent="0.3"/>
    <row r="3577" customFormat="1" x14ac:dyDescent="0.3"/>
    <row r="3578" customFormat="1" x14ac:dyDescent="0.3"/>
    <row r="3579" customFormat="1" x14ac:dyDescent="0.3"/>
    <row r="3580" customFormat="1" x14ac:dyDescent="0.3"/>
    <row r="3581" customFormat="1" x14ac:dyDescent="0.3"/>
    <row r="3582" customFormat="1" x14ac:dyDescent="0.3"/>
    <row r="3583" customFormat="1" x14ac:dyDescent="0.3"/>
    <row r="3584" customFormat="1" x14ac:dyDescent="0.3"/>
    <row r="3585" customFormat="1" x14ac:dyDescent="0.3"/>
    <row r="3586" customFormat="1" x14ac:dyDescent="0.3"/>
    <row r="3587" customFormat="1" x14ac:dyDescent="0.3"/>
    <row r="3588" customFormat="1" x14ac:dyDescent="0.3"/>
    <row r="3589" customFormat="1" x14ac:dyDescent="0.3"/>
    <row r="3590" customFormat="1" x14ac:dyDescent="0.3"/>
    <row r="3591" customFormat="1" x14ac:dyDescent="0.3"/>
    <row r="3592" customFormat="1" x14ac:dyDescent="0.3"/>
    <row r="3593" customFormat="1" x14ac:dyDescent="0.3"/>
    <row r="3594" customFormat="1" x14ac:dyDescent="0.3"/>
    <row r="3595" customFormat="1" x14ac:dyDescent="0.3"/>
    <row r="3596" customFormat="1" x14ac:dyDescent="0.3"/>
    <row r="3597" customFormat="1" x14ac:dyDescent="0.3"/>
    <row r="3598" customFormat="1" x14ac:dyDescent="0.3"/>
    <row r="3599" customFormat="1" x14ac:dyDescent="0.3"/>
    <row r="3600" customFormat="1" x14ac:dyDescent="0.3"/>
    <row r="3601" customFormat="1" x14ac:dyDescent="0.3"/>
    <row r="3602" customFormat="1" x14ac:dyDescent="0.3"/>
    <row r="3603" customFormat="1" x14ac:dyDescent="0.3"/>
    <row r="3604" customFormat="1" x14ac:dyDescent="0.3"/>
    <row r="3605" customFormat="1" x14ac:dyDescent="0.3"/>
    <row r="3606" customFormat="1" x14ac:dyDescent="0.3"/>
    <row r="3607" customFormat="1" x14ac:dyDescent="0.3"/>
    <row r="3608" customFormat="1" x14ac:dyDescent="0.3"/>
    <row r="3609" customFormat="1" x14ac:dyDescent="0.3"/>
    <row r="3610" customFormat="1" x14ac:dyDescent="0.3"/>
    <row r="3611" customFormat="1" x14ac:dyDescent="0.3"/>
    <row r="3612" customFormat="1" x14ac:dyDescent="0.3"/>
    <row r="3613" customFormat="1" x14ac:dyDescent="0.3"/>
    <row r="3614" customFormat="1" x14ac:dyDescent="0.3"/>
    <row r="3615" customFormat="1" x14ac:dyDescent="0.3"/>
    <row r="3616" customFormat="1" x14ac:dyDescent="0.3"/>
    <row r="3617" customFormat="1" x14ac:dyDescent="0.3"/>
    <row r="3618" customFormat="1" x14ac:dyDescent="0.3"/>
    <row r="3619" customFormat="1" x14ac:dyDescent="0.3"/>
    <row r="3620" customFormat="1" x14ac:dyDescent="0.3"/>
    <row r="3621" customFormat="1" x14ac:dyDescent="0.3"/>
    <row r="3622" customFormat="1" x14ac:dyDescent="0.3"/>
    <row r="3623" customFormat="1" x14ac:dyDescent="0.3"/>
    <row r="3624" customFormat="1" x14ac:dyDescent="0.3"/>
    <row r="3625" customFormat="1" x14ac:dyDescent="0.3"/>
    <row r="3626" customFormat="1" x14ac:dyDescent="0.3"/>
    <row r="3627" customFormat="1" x14ac:dyDescent="0.3"/>
    <row r="3628" customFormat="1" x14ac:dyDescent="0.3"/>
    <row r="3629" customFormat="1" x14ac:dyDescent="0.3"/>
    <row r="3630" customFormat="1" x14ac:dyDescent="0.3"/>
    <row r="3631" customFormat="1" x14ac:dyDescent="0.3"/>
    <row r="3632" customFormat="1" x14ac:dyDescent="0.3"/>
    <row r="3633" customFormat="1" x14ac:dyDescent="0.3"/>
    <row r="3634" customFormat="1" x14ac:dyDescent="0.3"/>
    <row r="3635" customFormat="1" x14ac:dyDescent="0.3"/>
    <row r="3636" customFormat="1" x14ac:dyDescent="0.3"/>
    <row r="3637" customFormat="1" x14ac:dyDescent="0.3"/>
    <row r="3638" customFormat="1" x14ac:dyDescent="0.3"/>
    <row r="3639" customFormat="1" x14ac:dyDescent="0.3"/>
    <row r="3640" customFormat="1" x14ac:dyDescent="0.3"/>
    <row r="3641" customFormat="1" x14ac:dyDescent="0.3"/>
    <row r="3642" customFormat="1" x14ac:dyDescent="0.3"/>
    <row r="3643" customFormat="1" x14ac:dyDescent="0.3"/>
    <row r="3644" customFormat="1" x14ac:dyDescent="0.3"/>
    <row r="3645" customFormat="1" x14ac:dyDescent="0.3"/>
    <row r="3646" customFormat="1" x14ac:dyDescent="0.3"/>
    <row r="3647" customFormat="1" x14ac:dyDescent="0.3"/>
    <row r="3648" customFormat="1" x14ac:dyDescent="0.3"/>
    <row r="3649" customFormat="1" x14ac:dyDescent="0.3"/>
    <row r="3650" customFormat="1" x14ac:dyDescent="0.3"/>
    <row r="3651" customFormat="1" x14ac:dyDescent="0.3"/>
    <row r="3652" customFormat="1" x14ac:dyDescent="0.3"/>
    <row r="3653" customFormat="1" x14ac:dyDescent="0.3"/>
    <row r="3654" customFormat="1" x14ac:dyDescent="0.3"/>
    <row r="3655" customFormat="1" x14ac:dyDescent="0.3"/>
    <row r="3656" customFormat="1" x14ac:dyDescent="0.3"/>
    <row r="3657" customFormat="1" x14ac:dyDescent="0.3"/>
    <row r="3658" customFormat="1" x14ac:dyDescent="0.3"/>
    <row r="3659" customFormat="1" x14ac:dyDescent="0.3"/>
    <row r="3660" customFormat="1" x14ac:dyDescent="0.3"/>
    <row r="3661" customFormat="1" x14ac:dyDescent="0.3"/>
    <row r="3662" customFormat="1" x14ac:dyDescent="0.3"/>
    <row r="3663" customFormat="1" x14ac:dyDescent="0.3"/>
    <row r="3664" customFormat="1" x14ac:dyDescent="0.3"/>
    <row r="3665" customFormat="1" x14ac:dyDescent="0.3"/>
    <row r="3666" customFormat="1" x14ac:dyDescent="0.3"/>
    <row r="3667" customFormat="1" x14ac:dyDescent="0.3"/>
    <row r="3668" customFormat="1" x14ac:dyDescent="0.3"/>
    <row r="3669" customFormat="1" x14ac:dyDescent="0.3"/>
    <row r="3670" customFormat="1" x14ac:dyDescent="0.3"/>
    <row r="3671" customFormat="1" x14ac:dyDescent="0.3"/>
    <row r="3672" customFormat="1" x14ac:dyDescent="0.3"/>
    <row r="3673" customFormat="1" x14ac:dyDescent="0.3"/>
    <row r="3674" customFormat="1" x14ac:dyDescent="0.3"/>
    <row r="3675" customFormat="1" x14ac:dyDescent="0.3"/>
    <row r="3676" customFormat="1" x14ac:dyDescent="0.3"/>
    <row r="3677" customFormat="1" x14ac:dyDescent="0.3"/>
    <row r="3678" customFormat="1" x14ac:dyDescent="0.3"/>
    <row r="3679" customFormat="1" x14ac:dyDescent="0.3"/>
    <row r="3680" customFormat="1" x14ac:dyDescent="0.3"/>
    <row r="3681" customFormat="1" x14ac:dyDescent="0.3"/>
    <row r="3682" customFormat="1" x14ac:dyDescent="0.3"/>
    <row r="3683" customFormat="1" x14ac:dyDescent="0.3"/>
    <row r="3684" customFormat="1" x14ac:dyDescent="0.3"/>
    <row r="3685" customFormat="1" x14ac:dyDescent="0.3"/>
    <row r="3686" customFormat="1" x14ac:dyDescent="0.3"/>
    <row r="3687" customFormat="1" x14ac:dyDescent="0.3"/>
    <row r="3688" customFormat="1" x14ac:dyDescent="0.3"/>
    <row r="3689" customFormat="1" x14ac:dyDescent="0.3"/>
    <row r="3690" customFormat="1" x14ac:dyDescent="0.3"/>
    <row r="3691" customFormat="1" x14ac:dyDescent="0.3"/>
    <row r="3692" customFormat="1" x14ac:dyDescent="0.3"/>
    <row r="3693" customFormat="1" x14ac:dyDescent="0.3"/>
    <row r="3694" customFormat="1" x14ac:dyDescent="0.3"/>
    <row r="3695" customFormat="1" x14ac:dyDescent="0.3"/>
    <row r="3696" customFormat="1" x14ac:dyDescent="0.3"/>
    <row r="3697" customFormat="1" x14ac:dyDescent="0.3"/>
    <row r="3698" customFormat="1" x14ac:dyDescent="0.3"/>
    <row r="3699" customFormat="1" x14ac:dyDescent="0.3"/>
    <row r="3700" customFormat="1" x14ac:dyDescent="0.3"/>
    <row r="3701" customFormat="1" x14ac:dyDescent="0.3"/>
    <row r="3702" customFormat="1" x14ac:dyDescent="0.3"/>
    <row r="3703" customFormat="1" x14ac:dyDescent="0.3"/>
    <row r="3704" customFormat="1" x14ac:dyDescent="0.3"/>
    <row r="3705" customFormat="1" x14ac:dyDescent="0.3"/>
    <row r="3706" customFormat="1" x14ac:dyDescent="0.3"/>
    <row r="3707" customFormat="1" x14ac:dyDescent="0.3"/>
    <row r="3708" customFormat="1" x14ac:dyDescent="0.3"/>
    <row r="3709" customFormat="1" x14ac:dyDescent="0.3"/>
    <row r="3710" customFormat="1" x14ac:dyDescent="0.3"/>
    <row r="3711" customFormat="1" x14ac:dyDescent="0.3"/>
    <row r="3712" customFormat="1" x14ac:dyDescent="0.3"/>
    <row r="3713" customFormat="1" x14ac:dyDescent="0.3"/>
    <row r="3714" customFormat="1" x14ac:dyDescent="0.3"/>
    <row r="3715" customFormat="1" x14ac:dyDescent="0.3"/>
    <row r="3716" customFormat="1" x14ac:dyDescent="0.3"/>
    <row r="3717" customFormat="1" x14ac:dyDescent="0.3"/>
    <row r="3718" customFormat="1" x14ac:dyDescent="0.3"/>
    <row r="3719" customFormat="1" x14ac:dyDescent="0.3"/>
    <row r="3720" customFormat="1" x14ac:dyDescent="0.3"/>
    <row r="3721" customFormat="1" x14ac:dyDescent="0.3"/>
    <row r="3722" customFormat="1" x14ac:dyDescent="0.3"/>
    <row r="3723" customFormat="1" x14ac:dyDescent="0.3"/>
    <row r="3724" customFormat="1" x14ac:dyDescent="0.3"/>
    <row r="3725" customFormat="1" x14ac:dyDescent="0.3"/>
    <row r="3726" customFormat="1" x14ac:dyDescent="0.3"/>
    <row r="3727" customFormat="1" x14ac:dyDescent="0.3"/>
    <row r="3728" customFormat="1" x14ac:dyDescent="0.3"/>
    <row r="3729" customFormat="1" x14ac:dyDescent="0.3"/>
    <row r="3730" customFormat="1" x14ac:dyDescent="0.3"/>
    <row r="3731" customFormat="1" x14ac:dyDescent="0.3"/>
    <row r="3732" customFormat="1" x14ac:dyDescent="0.3"/>
    <row r="3733" customFormat="1" x14ac:dyDescent="0.3"/>
    <row r="3734" customFormat="1" x14ac:dyDescent="0.3"/>
    <row r="3735" customFormat="1" x14ac:dyDescent="0.3"/>
    <row r="3736" customFormat="1" x14ac:dyDescent="0.3"/>
    <row r="3737" customFormat="1" x14ac:dyDescent="0.3"/>
    <row r="3738" customFormat="1" x14ac:dyDescent="0.3"/>
    <row r="3739" customFormat="1" x14ac:dyDescent="0.3"/>
    <row r="3740" customFormat="1" x14ac:dyDescent="0.3"/>
    <row r="3741" customFormat="1" x14ac:dyDescent="0.3"/>
    <row r="3742" customFormat="1" x14ac:dyDescent="0.3"/>
    <row r="3743" customFormat="1" x14ac:dyDescent="0.3"/>
    <row r="3744" customFormat="1" x14ac:dyDescent="0.3"/>
    <row r="3745" customFormat="1" x14ac:dyDescent="0.3"/>
    <row r="3746" customFormat="1" x14ac:dyDescent="0.3"/>
    <row r="3747" customFormat="1" x14ac:dyDescent="0.3"/>
    <row r="3748" customFormat="1" x14ac:dyDescent="0.3"/>
    <row r="3749" customFormat="1" x14ac:dyDescent="0.3"/>
    <row r="3750" customFormat="1" x14ac:dyDescent="0.3"/>
    <row r="3751" customFormat="1" x14ac:dyDescent="0.3"/>
    <row r="3752" customFormat="1" x14ac:dyDescent="0.3"/>
    <row r="3753" customFormat="1" x14ac:dyDescent="0.3"/>
    <row r="3754" customFormat="1" x14ac:dyDescent="0.3"/>
    <row r="3755" customFormat="1" x14ac:dyDescent="0.3"/>
    <row r="3756" customFormat="1" x14ac:dyDescent="0.3"/>
    <row r="3757" customFormat="1" x14ac:dyDescent="0.3"/>
    <row r="3758" customFormat="1" x14ac:dyDescent="0.3"/>
    <row r="3759" customFormat="1" x14ac:dyDescent="0.3"/>
    <row r="3760" customFormat="1" x14ac:dyDescent="0.3"/>
    <row r="3761" customFormat="1" x14ac:dyDescent="0.3"/>
    <row r="3762" customFormat="1" x14ac:dyDescent="0.3"/>
    <row r="3763" customFormat="1" x14ac:dyDescent="0.3"/>
    <row r="3764" customFormat="1" x14ac:dyDescent="0.3"/>
    <row r="3765" customFormat="1" x14ac:dyDescent="0.3"/>
    <row r="3766" customFormat="1" x14ac:dyDescent="0.3"/>
    <row r="3767" customFormat="1" x14ac:dyDescent="0.3"/>
    <row r="3768" customFormat="1" x14ac:dyDescent="0.3"/>
    <row r="3769" customFormat="1" x14ac:dyDescent="0.3"/>
    <row r="3770" customFormat="1" x14ac:dyDescent="0.3"/>
    <row r="3771" customFormat="1" x14ac:dyDescent="0.3"/>
    <row r="3772" customFormat="1" x14ac:dyDescent="0.3"/>
    <row r="3773" customFormat="1" x14ac:dyDescent="0.3"/>
    <row r="3774" customFormat="1" x14ac:dyDescent="0.3"/>
    <row r="3775" customFormat="1" x14ac:dyDescent="0.3"/>
    <row r="3776" customFormat="1" x14ac:dyDescent="0.3"/>
    <row r="3777" customFormat="1" x14ac:dyDescent="0.3"/>
    <row r="3778" customFormat="1" x14ac:dyDescent="0.3"/>
    <row r="3779" customFormat="1" x14ac:dyDescent="0.3"/>
    <row r="3780" customFormat="1" x14ac:dyDescent="0.3"/>
    <row r="3781" customFormat="1" x14ac:dyDescent="0.3"/>
    <row r="3782" customFormat="1" x14ac:dyDescent="0.3"/>
    <row r="3783" customFormat="1" x14ac:dyDescent="0.3"/>
    <row r="3784" customFormat="1" x14ac:dyDescent="0.3"/>
    <row r="3785" customFormat="1" x14ac:dyDescent="0.3"/>
    <row r="3786" customFormat="1" x14ac:dyDescent="0.3"/>
    <row r="3787" customFormat="1" x14ac:dyDescent="0.3"/>
    <row r="3788" customFormat="1" x14ac:dyDescent="0.3"/>
    <row r="3789" customFormat="1" x14ac:dyDescent="0.3"/>
    <row r="3790" customFormat="1" x14ac:dyDescent="0.3"/>
    <row r="3791" customFormat="1" x14ac:dyDescent="0.3"/>
    <row r="3792" customFormat="1" x14ac:dyDescent="0.3"/>
    <row r="3793" customFormat="1" x14ac:dyDescent="0.3"/>
    <row r="3794" customFormat="1" x14ac:dyDescent="0.3"/>
    <row r="3795" customFormat="1" x14ac:dyDescent="0.3"/>
    <row r="3796" customFormat="1" x14ac:dyDescent="0.3"/>
    <row r="3797" customFormat="1" x14ac:dyDescent="0.3"/>
    <row r="3798" customFormat="1" x14ac:dyDescent="0.3"/>
    <row r="3799" customFormat="1" x14ac:dyDescent="0.3"/>
    <row r="3800" customFormat="1" x14ac:dyDescent="0.3"/>
    <row r="3801" customFormat="1" x14ac:dyDescent="0.3"/>
    <row r="3802" customFormat="1" x14ac:dyDescent="0.3"/>
    <row r="3803" customFormat="1" x14ac:dyDescent="0.3"/>
    <row r="3804" customFormat="1" x14ac:dyDescent="0.3"/>
    <row r="3805" customFormat="1" x14ac:dyDescent="0.3"/>
    <row r="3806" customFormat="1" x14ac:dyDescent="0.3"/>
    <row r="3807" customFormat="1" x14ac:dyDescent="0.3"/>
    <row r="3808" customFormat="1" x14ac:dyDescent="0.3"/>
    <row r="3809" customFormat="1" x14ac:dyDescent="0.3"/>
    <row r="3810" customFormat="1" x14ac:dyDescent="0.3"/>
    <row r="3811" customFormat="1" x14ac:dyDescent="0.3"/>
    <row r="3812" customFormat="1" x14ac:dyDescent="0.3"/>
    <row r="3813" customFormat="1" x14ac:dyDescent="0.3"/>
    <row r="3814" customFormat="1" x14ac:dyDescent="0.3"/>
    <row r="3815" customFormat="1" x14ac:dyDescent="0.3"/>
    <row r="3816" customFormat="1" x14ac:dyDescent="0.3"/>
    <row r="3817" customFormat="1" x14ac:dyDescent="0.3"/>
    <row r="3818" customFormat="1" x14ac:dyDescent="0.3"/>
    <row r="3819" customFormat="1" x14ac:dyDescent="0.3"/>
    <row r="3820" customFormat="1" x14ac:dyDescent="0.3"/>
    <row r="3821" customFormat="1" x14ac:dyDescent="0.3"/>
    <row r="3822" customFormat="1" x14ac:dyDescent="0.3"/>
    <row r="3823" customFormat="1" x14ac:dyDescent="0.3"/>
    <row r="3824" customFormat="1" x14ac:dyDescent="0.3"/>
    <row r="3825" customFormat="1" x14ac:dyDescent="0.3"/>
    <row r="3826" customFormat="1" x14ac:dyDescent="0.3"/>
    <row r="3827" customFormat="1" x14ac:dyDescent="0.3"/>
    <row r="3828" customFormat="1" x14ac:dyDescent="0.3"/>
    <row r="3829" customFormat="1" x14ac:dyDescent="0.3"/>
    <row r="3830" customFormat="1" x14ac:dyDescent="0.3"/>
    <row r="3831" customFormat="1" x14ac:dyDescent="0.3"/>
    <row r="3832" customFormat="1" x14ac:dyDescent="0.3"/>
    <row r="3833" customFormat="1" x14ac:dyDescent="0.3"/>
    <row r="3834" customFormat="1" x14ac:dyDescent="0.3"/>
    <row r="3835" customFormat="1" x14ac:dyDescent="0.3"/>
    <row r="3836" customFormat="1" x14ac:dyDescent="0.3"/>
    <row r="3837" customFormat="1" x14ac:dyDescent="0.3"/>
    <row r="3838" customFormat="1" x14ac:dyDescent="0.3"/>
    <row r="3839" customFormat="1" x14ac:dyDescent="0.3"/>
    <row r="3840" customFormat="1" x14ac:dyDescent="0.3"/>
    <row r="3841" customFormat="1" x14ac:dyDescent="0.3"/>
    <row r="3842" customFormat="1" x14ac:dyDescent="0.3"/>
    <row r="3843" customFormat="1" x14ac:dyDescent="0.3"/>
    <row r="3844" customFormat="1" x14ac:dyDescent="0.3"/>
    <row r="3845" customFormat="1" x14ac:dyDescent="0.3"/>
    <row r="3846" customFormat="1" x14ac:dyDescent="0.3"/>
    <row r="3847" customFormat="1" x14ac:dyDescent="0.3"/>
    <row r="3848" customFormat="1" x14ac:dyDescent="0.3"/>
    <row r="3849" customFormat="1" x14ac:dyDescent="0.3"/>
    <row r="3850" customFormat="1" x14ac:dyDescent="0.3"/>
    <row r="3851" customFormat="1" x14ac:dyDescent="0.3"/>
    <row r="3852" customFormat="1" x14ac:dyDescent="0.3"/>
    <row r="3853" customFormat="1" x14ac:dyDescent="0.3"/>
    <row r="3854" customFormat="1" x14ac:dyDescent="0.3"/>
    <row r="3855" customFormat="1" x14ac:dyDescent="0.3"/>
    <row r="3856" customFormat="1" x14ac:dyDescent="0.3"/>
    <row r="3857" customFormat="1" x14ac:dyDescent="0.3"/>
    <row r="3858" customFormat="1" x14ac:dyDescent="0.3"/>
    <row r="3859" customFormat="1" x14ac:dyDescent="0.3"/>
    <row r="3860" customFormat="1" x14ac:dyDescent="0.3"/>
    <row r="3861" customFormat="1" x14ac:dyDescent="0.3"/>
    <row r="3862" customFormat="1" x14ac:dyDescent="0.3"/>
    <row r="3863" customFormat="1" x14ac:dyDescent="0.3"/>
    <row r="3864" customFormat="1" x14ac:dyDescent="0.3"/>
    <row r="3865" customFormat="1" x14ac:dyDescent="0.3"/>
    <row r="3866" customFormat="1" x14ac:dyDescent="0.3"/>
    <row r="3867" customFormat="1" x14ac:dyDescent="0.3"/>
    <row r="3868" customFormat="1" x14ac:dyDescent="0.3"/>
    <row r="3869" customFormat="1" x14ac:dyDescent="0.3"/>
    <row r="3870" customFormat="1" x14ac:dyDescent="0.3"/>
    <row r="3871" customFormat="1" x14ac:dyDescent="0.3"/>
    <row r="3872" customFormat="1" x14ac:dyDescent="0.3"/>
    <row r="3873" customFormat="1" x14ac:dyDescent="0.3"/>
    <row r="3874" customFormat="1" x14ac:dyDescent="0.3"/>
    <row r="3875" customFormat="1" x14ac:dyDescent="0.3"/>
    <row r="3876" customFormat="1" x14ac:dyDescent="0.3"/>
    <row r="3877" customFormat="1" x14ac:dyDescent="0.3"/>
    <row r="3878" customFormat="1" x14ac:dyDescent="0.3"/>
    <row r="3879" customFormat="1" x14ac:dyDescent="0.3"/>
    <row r="3880" customFormat="1" x14ac:dyDescent="0.3"/>
    <row r="3881" customFormat="1" x14ac:dyDescent="0.3"/>
    <row r="3882" customFormat="1" x14ac:dyDescent="0.3"/>
    <row r="3883" customFormat="1" x14ac:dyDescent="0.3"/>
    <row r="3884" customFormat="1" x14ac:dyDescent="0.3"/>
    <row r="3885" customFormat="1" x14ac:dyDescent="0.3"/>
    <row r="3886" customFormat="1" x14ac:dyDescent="0.3"/>
    <row r="3887" customFormat="1" x14ac:dyDescent="0.3"/>
    <row r="3888" customFormat="1" x14ac:dyDescent="0.3"/>
    <row r="3889" customFormat="1" x14ac:dyDescent="0.3"/>
    <row r="3890" customFormat="1" x14ac:dyDescent="0.3"/>
    <row r="3891" customFormat="1" x14ac:dyDescent="0.3"/>
    <row r="3892" customFormat="1" x14ac:dyDescent="0.3"/>
    <row r="3893" customFormat="1" x14ac:dyDescent="0.3"/>
    <row r="3894" customFormat="1" x14ac:dyDescent="0.3"/>
    <row r="3895" customFormat="1" x14ac:dyDescent="0.3"/>
    <row r="3896" customFormat="1" x14ac:dyDescent="0.3"/>
    <row r="3897" customFormat="1" x14ac:dyDescent="0.3"/>
    <row r="3898" customFormat="1" x14ac:dyDescent="0.3"/>
    <row r="3899" customFormat="1" x14ac:dyDescent="0.3"/>
    <row r="3900" customFormat="1" x14ac:dyDescent="0.3"/>
    <row r="3901" customFormat="1" x14ac:dyDescent="0.3"/>
    <row r="3902" customFormat="1" x14ac:dyDescent="0.3"/>
    <row r="3903" customFormat="1" x14ac:dyDescent="0.3"/>
    <row r="3904" customFormat="1" x14ac:dyDescent="0.3"/>
    <row r="3905" customFormat="1" x14ac:dyDescent="0.3"/>
    <row r="3906" customFormat="1" x14ac:dyDescent="0.3"/>
    <row r="3907" customFormat="1" x14ac:dyDescent="0.3"/>
    <row r="3908" customFormat="1" x14ac:dyDescent="0.3"/>
    <row r="3909" customFormat="1" x14ac:dyDescent="0.3"/>
    <row r="3910" customFormat="1" x14ac:dyDescent="0.3"/>
    <row r="3911" customFormat="1" x14ac:dyDescent="0.3"/>
    <row r="3912" customFormat="1" x14ac:dyDescent="0.3"/>
    <row r="3913" customFormat="1" x14ac:dyDescent="0.3"/>
    <row r="3914" customFormat="1" x14ac:dyDescent="0.3"/>
    <row r="3915" customFormat="1" x14ac:dyDescent="0.3"/>
    <row r="3916" customFormat="1" x14ac:dyDescent="0.3"/>
    <row r="3917" customFormat="1" x14ac:dyDescent="0.3"/>
    <row r="3918" customFormat="1" x14ac:dyDescent="0.3"/>
    <row r="3919" customFormat="1" x14ac:dyDescent="0.3"/>
    <row r="3920" customFormat="1" x14ac:dyDescent="0.3"/>
    <row r="3921" customFormat="1" x14ac:dyDescent="0.3"/>
    <row r="3922" customFormat="1" x14ac:dyDescent="0.3"/>
    <row r="3923" customFormat="1" x14ac:dyDescent="0.3"/>
    <row r="3924" customFormat="1" x14ac:dyDescent="0.3"/>
    <row r="3925" customFormat="1" x14ac:dyDescent="0.3"/>
    <row r="3926" customFormat="1" x14ac:dyDescent="0.3"/>
    <row r="3927" customFormat="1" x14ac:dyDescent="0.3"/>
    <row r="3928" customFormat="1" x14ac:dyDescent="0.3"/>
    <row r="3929" customFormat="1" x14ac:dyDescent="0.3"/>
    <row r="3930" customFormat="1" x14ac:dyDescent="0.3"/>
    <row r="3931" customFormat="1" x14ac:dyDescent="0.3"/>
    <row r="3932" customFormat="1" x14ac:dyDescent="0.3"/>
    <row r="3933" customFormat="1" x14ac:dyDescent="0.3"/>
    <row r="3934" customFormat="1" x14ac:dyDescent="0.3"/>
    <row r="3935" customFormat="1" x14ac:dyDescent="0.3"/>
    <row r="3936" customFormat="1" x14ac:dyDescent="0.3"/>
    <row r="3937" customFormat="1" x14ac:dyDescent="0.3"/>
    <row r="3938" customFormat="1" x14ac:dyDescent="0.3"/>
    <row r="3939" customFormat="1" x14ac:dyDescent="0.3"/>
    <row r="3940" customFormat="1" x14ac:dyDescent="0.3"/>
    <row r="3941" customFormat="1" x14ac:dyDescent="0.3"/>
    <row r="3942" customFormat="1" x14ac:dyDescent="0.3"/>
    <row r="3943" customFormat="1" x14ac:dyDescent="0.3"/>
    <row r="3944" customFormat="1" x14ac:dyDescent="0.3"/>
    <row r="3945" customFormat="1" x14ac:dyDescent="0.3"/>
    <row r="3946" customFormat="1" x14ac:dyDescent="0.3"/>
    <row r="3947" customFormat="1" x14ac:dyDescent="0.3"/>
    <row r="3948" customFormat="1" x14ac:dyDescent="0.3"/>
    <row r="3949" customFormat="1" x14ac:dyDescent="0.3"/>
    <row r="3950" customFormat="1" x14ac:dyDescent="0.3"/>
    <row r="3951" customFormat="1" x14ac:dyDescent="0.3"/>
    <row r="3952" customFormat="1" x14ac:dyDescent="0.3"/>
    <row r="3953" customFormat="1" x14ac:dyDescent="0.3"/>
    <row r="3954" customFormat="1" x14ac:dyDescent="0.3"/>
    <row r="3955" customFormat="1" x14ac:dyDescent="0.3"/>
    <row r="3956" customFormat="1" x14ac:dyDescent="0.3"/>
    <row r="3957" customFormat="1" x14ac:dyDescent="0.3"/>
    <row r="3958" customFormat="1" x14ac:dyDescent="0.3"/>
    <row r="3959" customFormat="1" x14ac:dyDescent="0.3"/>
    <row r="3960" customFormat="1" x14ac:dyDescent="0.3"/>
    <row r="3961" customFormat="1" x14ac:dyDescent="0.3"/>
    <row r="3962" customFormat="1" x14ac:dyDescent="0.3"/>
    <row r="3963" customFormat="1" x14ac:dyDescent="0.3"/>
    <row r="3964" customFormat="1" x14ac:dyDescent="0.3"/>
    <row r="3965" customFormat="1" x14ac:dyDescent="0.3"/>
    <row r="3966" customFormat="1" x14ac:dyDescent="0.3"/>
    <row r="3967" customFormat="1" x14ac:dyDescent="0.3"/>
    <row r="3968" customFormat="1" x14ac:dyDescent="0.3"/>
    <row r="3969" customFormat="1" x14ac:dyDescent="0.3"/>
    <row r="3970" customFormat="1" x14ac:dyDescent="0.3"/>
    <row r="3971" customFormat="1" x14ac:dyDescent="0.3"/>
    <row r="3972" customFormat="1" x14ac:dyDescent="0.3"/>
    <row r="3973" customFormat="1" x14ac:dyDescent="0.3"/>
    <row r="3974" customFormat="1" x14ac:dyDescent="0.3"/>
    <row r="3975" customFormat="1" x14ac:dyDescent="0.3"/>
    <row r="3976" customFormat="1" x14ac:dyDescent="0.3"/>
    <row r="3977" customFormat="1" x14ac:dyDescent="0.3"/>
    <row r="3978" customFormat="1" x14ac:dyDescent="0.3"/>
    <row r="3979" customFormat="1" x14ac:dyDescent="0.3"/>
    <row r="3980" customFormat="1" x14ac:dyDescent="0.3"/>
    <row r="3981" customFormat="1" x14ac:dyDescent="0.3"/>
    <row r="3982" customFormat="1" x14ac:dyDescent="0.3"/>
    <row r="3983" customFormat="1" x14ac:dyDescent="0.3"/>
    <row r="3984" customFormat="1" x14ac:dyDescent="0.3"/>
    <row r="3985" customFormat="1" x14ac:dyDescent="0.3"/>
    <row r="3986" customFormat="1" x14ac:dyDescent="0.3"/>
    <row r="3987" customFormat="1" x14ac:dyDescent="0.3"/>
    <row r="3988" customFormat="1" x14ac:dyDescent="0.3"/>
    <row r="3989" customFormat="1" x14ac:dyDescent="0.3"/>
    <row r="3990" customFormat="1" x14ac:dyDescent="0.3"/>
    <row r="3991" customFormat="1" x14ac:dyDescent="0.3"/>
    <row r="3992" customFormat="1" x14ac:dyDescent="0.3"/>
    <row r="3993" customFormat="1" x14ac:dyDescent="0.3"/>
    <row r="3994" customFormat="1" x14ac:dyDescent="0.3"/>
    <row r="3995" customFormat="1" x14ac:dyDescent="0.3"/>
    <row r="3996" customFormat="1" x14ac:dyDescent="0.3"/>
    <row r="3997" customFormat="1" x14ac:dyDescent="0.3"/>
    <row r="3998" customFormat="1" x14ac:dyDescent="0.3"/>
    <row r="3999" customFormat="1" x14ac:dyDescent="0.3"/>
    <row r="4000" customFormat="1" x14ac:dyDescent="0.3"/>
    <row r="4001" customFormat="1" x14ac:dyDescent="0.3"/>
    <row r="4002" customFormat="1" x14ac:dyDescent="0.3"/>
    <row r="4003" customFormat="1" x14ac:dyDescent="0.3"/>
    <row r="4004" customFormat="1" x14ac:dyDescent="0.3"/>
    <row r="4005" customFormat="1" x14ac:dyDescent="0.3"/>
    <row r="4006" customFormat="1" x14ac:dyDescent="0.3"/>
    <row r="4007" customFormat="1" x14ac:dyDescent="0.3"/>
    <row r="4008" customFormat="1" x14ac:dyDescent="0.3"/>
    <row r="4009" customFormat="1" x14ac:dyDescent="0.3"/>
    <row r="4010" customFormat="1" x14ac:dyDescent="0.3"/>
    <row r="4011" customFormat="1" x14ac:dyDescent="0.3"/>
    <row r="4012" customFormat="1" x14ac:dyDescent="0.3"/>
    <row r="4013" customFormat="1" x14ac:dyDescent="0.3"/>
    <row r="4014" customFormat="1" x14ac:dyDescent="0.3"/>
    <row r="4015" customFormat="1" x14ac:dyDescent="0.3"/>
    <row r="4016" customFormat="1" x14ac:dyDescent="0.3"/>
    <row r="4017" customFormat="1" x14ac:dyDescent="0.3"/>
    <row r="4018" customFormat="1" x14ac:dyDescent="0.3"/>
    <row r="4019" customFormat="1" x14ac:dyDescent="0.3"/>
    <row r="4020" customFormat="1" x14ac:dyDescent="0.3"/>
    <row r="4021" customFormat="1" x14ac:dyDescent="0.3"/>
    <row r="4022" customFormat="1" x14ac:dyDescent="0.3"/>
    <row r="4023" customFormat="1" x14ac:dyDescent="0.3"/>
    <row r="4024" customFormat="1" x14ac:dyDescent="0.3"/>
    <row r="4025" customFormat="1" x14ac:dyDescent="0.3"/>
    <row r="4026" customFormat="1" x14ac:dyDescent="0.3"/>
    <row r="4027" customFormat="1" x14ac:dyDescent="0.3"/>
    <row r="4028" customFormat="1" x14ac:dyDescent="0.3"/>
    <row r="4029" customFormat="1" x14ac:dyDescent="0.3"/>
    <row r="4030" customFormat="1" x14ac:dyDescent="0.3"/>
    <row r="4031" customFormat="1" x14ac:dyDescent="0.3"/>
    <row r="4032" customFormat="1" x14ac:dyDescent="0.3"/>
    <row r="4033" customFormat="1" x14ac:dyDescent="0.3"/>
    <row r="4034" customFormat="1" x14ac:dyDescent="0.3"/>
    <row r="4035" customFormat="1" x14ac:dyDescent="0.3"/>
    <row r="4036" customFormat="1" x14ac:dyDescent="0.3"/>
    <row r="4037" customFormat="1" x14ac:dyDescent="0.3"/>
    <row r="4038" customFormat="1" x14ac:dyDescent="0.3"/>
    <row r="4039" customFormat="1" x14ac:dyDescent="0.3"/>
    <row r="4040" customFormat="1" x14ac:dyDescent="0.3"/>
    <row r="4041" customFormat="1" x14ac:dyDescent="0.3"/>
    <row r="4042" customFormat="1" x14ac:dyDescent="0.3"/>
    <row r="4043" customFormat="1" x14ac:dyDescent="0.3"/>
    <row r="4044" customFormat="1" x14ac:dyDescent="0.3"/>
    <row r="4045" customFormat="1" x14ac:dyDescent="0.3"/>
    <row r="4046" customFormat="1" x14ac:dyDescent="0.3"/>
    <row r="4047" customFormat="1" x14ac:dyDescent="0.3"/>
    <row r="4048" customFormat="1" x14ac:dyDescent="0.3"/>
    <row r="4049" customFormat="1" x14ac:dyDescent="0.3"/>
    <row r="4050" customFormat="1" x14ac:dyDescent="0.3"/>
    <row r="4051" customFormat="1" x14ac:dyDescent="0.3"/>
    <row r="4052" customFormat="1" x14ac:dyDescent="0.3"/>
    <row r="4053" customFormat="1" x14ac:dyDescent="0.3"/>
    <row r="4054" customFormat="1" x14ac:dyDescent="0.3"/>
    <row r="4055" customFormat="1" x14ac:dyDescent="0.3"/>
    <row r="4056" customFormat="1" x14ac:dyDescent="0.3"/>
    <row r="4057" customFormat="1" x14ac:dyDescent="0.3"/>
    <row r="4058" customFormat="1" x14ac:dyDescent="0.3"/>
    <row r="4059" customFormat="1" x14ac:dyDescent="0.3"/>
    <row r="4060" customFormat="1" x14ac:dyDescent="0.3"/>
    <row r="4061" customFormat="1" x14ac:dyDescent="0.3"/>
    <row r="4062" customFormat="1" x14ac:dyDescent="0.3"/>
    <row r="4063" customFormat="1" x14ac:dyDescent="0.3"/>
    <row r="4064" customFormat="1" x14ac:dyDescent="0.3"/>
    <row r="4065" customFormat="1" x14ac:dyDescent="0.3"/>
    <row r="4066" customFormat="1" x14ac:dyDescent="0.3"/>
    <row r="4067" customFormat="1" x14ac:dyDescent="0.3"/>
    <row r="4068" customFormat="1" x14ac:dyDescent="0.3"/>
    <row r="4069" customFormat="1" x14ac:dyDescent="0.3"/>
    <row r="4070" customFormat="1" x14ac:dyDescent="0.3"/>
    <row r="4071" customFormat="1" x14ac:dyDescent="0.3"/>
    <row r="4072" customFormat="1" x14ac:dyDescent="0.3"/>
    <row r="4073" customFormat="1" x14ac:dyDescent="0.3"/>
    <row r="4074" customFormat="1" x14ac:dyDescent="0.3"/>
    <row r="4075" customFormat="1" x14ac:dyDescent="0.3"/>
    <row r="4076" customFormat="1" x14ac:dyDescent="0.3"/>
    <row r="4077" customFormat="1" x14ac:dyDescent="0.3"/>
    <row r="4078" customFormat="1" x14ac:dyDescent="0.3"/>
    <row r="4079" customFormat="1" x14ac:dyDescent="0.3"/>
    <row r="4080" customFormat="1" x14ac:dyDescent="0.3"/>
    <row r="4081" customFormat="1" x14ac:dyDescent="0.3"/>
    <row r="4082" customFormat="1" x14ac:dyDescent="0.3"/>
    <row r="4083" customFormat="1" x14ac:dyDescent="0.3"/>
    <row r="4084" customFormat="1" x14ac:dyDescent="0.3"/>
    <row r="4085" customFormat="1" x14ac:dyDescent="0.3"/>
    <row r="4086" customFormat="1" x14ac:dyDescent="0.3"/>
    <row r="4087" customFormat="1" x14ac:dyDescent="0.3"/>
    <row r="4088" customFormat="1" x14ac:dyDescent="0.3"/>
    <row r="4089" customFormat="1" x14ac:dyDescent="0.3"/>
    <row r="4090" customFormat="1" x14ac:dyDescent="0.3"/>
    <row r="4091" customFormat="1" x14ac:dyDescent="0.3"/>
    <row r="4092" customFormat="1" x14ac:dyDescent="0.3"/>
    <row r="4093" customFormat="1" x14ac:dyDescent="0.3"/>
    <row r="4094" customFormat="1" x14ac:dyDescent="0.3"/>
    <row r="4095" customFormat="1" x14ac:dyDescent="0.3"/>
    <row r="4096" customFormat="1" x14ac:dyDescent="0.3"/>
    <row r="4097" customFormat="1" x14ac:dyDescent="0.3"/>
    <row r="4098" customFormat="1" x14ac:dyDescent="0.3"/>
    <row r="4099" customFormat="1" x14ac:dyDescent="0.3"/>
    <row r="4100" customFormat="1" x14ac:dyDescent="0.3"/>
    <row r="4101" customFormat="1" x14ac:dyDescent="0.3"/>
    <row r="4102" customFormat="1" x14ac:dyDescent="0.3"/>
    <row r="4103" customFormat="1" x14ac:dyDescent="0.3"/>
    <row r="4104" customFormat="1" x14ac:dyDescent="0.3"/>
    <row r="4105" customFormat="1" x14ac:dyDescent="0.3"/>
    <row r="4106" customFormat="1" x14ac:dyDescent="0.3"/>
    <row r="4107" customFormat="1" x14ac:dyDescent="0.3"/>
    <row r="4108" customFormat="1" x14ac:dyDescent="0.3"/>
    <row r="4109" customFormat="1" x14ac:dyDescent="0.3"/>
    <row r="4110" customFormat="1" x14ac:dyDescent="0.3"/>
    <row r="4111" customFormat="1" x14ac:dyDescent="0.3"/>
    <row r="4112" customFormat="1" x14ac:dyDescent="0.3"/>
    <row r="4113" customFormat="1" x14ac:dyDescent="0.3"/>
    <row r="4114" customFormat="1" x14ac:dyDescent="0.3"/>
    <row r="4115" customFormat="1" x14ac:dyDescent="0.3"/>
    <row r="4116" customFormat="1" x14ac:dyDescent="0.3"/>
    <row r="4117" customFormat="1" x14ac:dyDescent="0.3"/>
    <row r="4118" customFormat="1" x14ac:dyDescent="0.3"/>
    <row r="4119" customFormat="1" x14ac:dyDescent="0.3"/>
    <row r="4120" customFormat="1" x14ac:dyDescent="0.3"/>
    <row r="4121" customFormat="1" x14ac:dyDescent="0.3"/>
    <row r="4122" customFormat="1" x14ac:dyDescent="0.3"/>
    <row r="4123" customFormat="1" x14ac:dyDescent="0.3"/>
    <row r="4124" customFormat="1" x14ac:dyDescent="0.3"/>
    <row r="4125" customFormat="1" x14ac:dyDescent="0.3"/>
    <row r="4126" customFormat="1" x14ac:dyDescent="0.3"/>
    <row r="4127" customFormat="1" x14ac:dyDescent="0.3"/>
    <row r="4128" customFormat="1" x14ac:dyDescent="0.3"/>
    <row r="4129" customFormat="1" x14ac:dyDescent="0.3"/>
    <row r="4130" customFormat="1" x14ac:dyDescent="0.3"/>
    <row r="4131" customFormat="1" x14ac:dyDescent="0.3"/>
    <row r="4132" customFormat="1" x14ac:dyDescent="0.3"/>
    <row r="4133" customFormat="1" x14ac:dyDescent="0.3"/>
    <row r="4134" customFormat="1" x14ac:dyDescent="0.3"/>
    <row r="4135" customFormat="1" x14ac:dyDescent="0.3"/>
    <row r="4136" customFormat="1" x14ac:dyDescent="0.3"/>
    <row r="4137" customFormat="1" x14ac:dyDescent="0.3"/>
    <row r="4138" customFormat="1" x14ac:dyDescent="0.3"/>
    <row r="4139" customFormat="1" x14ac:dyDescent="0.3"/>
    <row r="4140" customFormat="1" x14ac:dyDescent="0.3"/>
    <row r="4141" customFormat="1" x14ac:dyDescent="0.3"/>
    <row r="4142" customFormat="1" x14ac:dyDescent="0.3"/>
    <row r="4143" customFormat="1" x14ac:dyDescent="0.3"/>
    <row r="4144" customFormat="1" x14ac:dyDescent="0.3"/>
    <row r="4145" customFormat="1" x14ac:dyDescent="0.3"/>
    <row r="4146" customFormat="1" x14ac:dyDescent="0.3"/>
    <row r="4147" customFormat="1" x14ac:dyDescent="0.3"/>
    <row r="4148" customFormat="1" x14ac:dyDescent="0.3"/>
    <row r="4149" customFormat="1" x14ac:dyDescent="0.3"/>
    <row r="4150" customFormat="1" x14ac:dyDescent="0.3"/>
    <row r="4151" customFormat="1" x14ac:dyDescent="0.3"/>
    <row r="4152" customFormat="1" x14ac:dyDescent="0.3"/>
    <row r="4153" customFormat="1" x14ac:dyDescent="0.3"/>
    <row r="4154" customFormat="1" x14ac:dyDescent="0.3"/>
    <row r="4155" customFormat="1" x14ac:dyDescent="0.3"/>
    <row r="4156" customFormat="1" x14ac:dyDescent="0.3"/>
    <row r="4157" customFormat="1" x14ac:dyDescent="0.3"/>
    <row r="4158" customFormat="1" x14ac:dyDescent="0.3"/>
    <row r="4159" customFormat="1" x14ac:dyDescent="0.3"/>
    <row r="4160" customFormat="1" x14ac:dyDescent="0.3"/>
    <row r="4161" customFormat="1" x14ac:dyDescent="0.3"/>
    <row r="4162" customFormat="1" x14ac:dyDescent="0.3"/>
    <row r="4163" customFormat="1" x14ac:dyDescent="0.3"/>
    <row r="4164" customFormat="1" x14ac:dyDescent="0.3"/>
    <row r="4165" customFormat="1" x14ac:dyDescent="0.3"/>
    <row r="4166" customFormat="1" x14ac:dyDescent="0.3"/>
    <row r="4167" customFormat="1" x14ac:dyDescent="0.3"/>
    <row r="4168" customFormat="1" x14ac:dyDescent="0.3"/>
    <row r="4169" customFormat="1" x14ac:dyDescent="0.3"/>
    <row r="4170" customFormat="1" x14ac:dyDescent="0.3"/>
    <row r="4171" customFormat="1" x14ac:dyDescent="0.3"/>
    <row r="4172" customFormat="1" x14ac:dyDescent="0.3"/>
    <row r="4173" customFormat="1" x14ac:dyDescent="0.3"/>
    <row r="4174" customFormat="1" x14ac:dyDescent="0.3"/>
    <row r="4175" customFormat="1" x14ac:dyDescent="0.3"/>
    <row r="4176" customFormat="1" x14ac:dyDescent="0.3"/>
    <row r="4177" customFormat="1" x14ac:dyDescent="0.3"/>
    <row r="4178" customFormat="1" x14ac:dyDescent="0.3"/>
    <row r="4179" customFormat="1" x14ac:dyDescent="0.3"/>
    <row r="4180" customFormat="1" x14ac:dyDescent="0.3"/>
    <row r="4181" customFormat="1" x14ac:dyDescent="0.3"/>
    <row r="4182" customFormat="1" x14ac:dyDescent="0.3"/>
    <row r="4183" customFormat="1" x14ac:dyDescent="0.3"/>
    <row r="4184" customFormat="1" x14ac:dyDescent="0.3"/>
    <row r="4185" customFormat="1" x14ac:dyDescent="0.3"/>
    <row r="4186" customFormat="1" x14ac:dyDescent="0.3"/>
    <row r="4187" customFormat="1" x14ac:dyDescent="0.3"/>
    <row r="4188" customFormat="1" x14ac:dyDescent="0.3"/>
    <row r="4189" customFormat="1" x14ac:dyDescent="0.3"/>
    <row r="4190" customFormat="1" x14ac:dyDescent="0.3"/>
    <row r="4191" customFormat="1" x14ac:dyDescent="0.3"/>
    <row r="4192" customFormat="1" x14ac:dyDescent="0.3"/>
    <row r="4193" customFormat="1" x14ac:dyDescent="0.3"/>
    <row r="4194" customFormat="1" x14ac:dyDescent="0.3"/>
    <row r="4195" customFormat="1" x14ac:dyDescent="0.3"/>
    <row r="4196" customFormat="1" x14ac:dyDescent="0.3"/>
    <row r="4197" customFormat="1" x14ac:dyDescent="0.3"/>
    <row r="4198" customFormat="1" x14ac:dyDescent="0.3"/>
    <row r="4199" customFormat="1" x14ac:dyDescent="0.3"/>
    <row r="4200" customFormat="1" x14ac:dyDescent="0.3"/>
    <row r="4201" customFormat="1" x14ac:dyDescent="0.3"/>
    <row r="4202" customFormat="1" x14ac:dyDescent="0.3"/>
    <row r="4203" customFormat="1" x14ac:dyDescent="0.3"/>
    <row r="4204" customFormat="1" x14ac:dyDescent="0.3"/>
    <row r="4205" customFormat="1" x14ac:dyDescent="0.3"/>
    <row r="4206" customFormat="1" x14ac:dyDescent="0.3"/>
    <row r="4207" customFormat="1" x14ac:dyDescent="0.3"/>
    <row r="4208" customFormat="1" x14ac:dyDescent="0.3"/>
    <row r="4209" customFormat="1" x14ac:dyDescent="0.3"/>
    <row r="4210" customFormat="1" x14ac:dyDescent="0.3"/>
    <row r="4211" customFormat="1" x14ac:dyDescent="0.3"/>
    <row r="4212" customFormat="1" x14ac:dyDescent="0.3"/>
    <row r="4213" customFormat="1" x14ac:dyDescent="0.3"/>
    <row r="4214" customFormat="1" x14ac:dyDescent="0.3"/>
    <row r="4215" customFormat="1" x14ac:dyDescent="0.3"/>
    <row r="4216" customFormat="1" x14ac:dyDescent="0.3"/>
    <row r="4217" customFormat="1" x14ac:dyDescent="0.3"/>
    <row r="4218" customFormat="1" x14ac:dyDescent="0.3"/>
    <row r="4219" customFormat="1" x14ac:dyDescent="0.3"/>
    <row r="4220" customFormat="1" x14ac:dyDescent="0.3"/>
    <row r="4221" customFormat="1" x14ac:dyDescent="0.3"/>
    <row r="4222" customFormat="1" x14ac:dyDescent="0.3"/>
    <row r="4223" customFormat="1" x14ac:dyDescent="0.3"/>
    <row r="4224" customFormat="1" x14ac:dyDescent="0.3"/>
    <row r="4225" customFormat="1" x14ac:dyDescent="0.3"/>
    <row r="4226" customFormat="1" x14ac:dyDescent="0.3"/>
    <row r="4227" customFormat="1" x14ac:dyDescent="0.3"/>
    <row r="4228" customFormat="1" x14ac:dyDescent="0.3"/>
    <row r="4229" customFormat="1" x14ac:dyDescent="0.3"/>
    <row r="4230" customFormat="1" x14ac:dyDescent="0.3"/>
    <row r="4231" customFormat="1" x14ac:dyDescent="0.3"/>
    <row r="4232" customFormat="1" x14ac:dyDescent="0.3"/>
    <row r="4233" customFormat="1" x14ac:dyDescent="0.3"/>
    <row r="4234" customFormat="1" x14ac:dyDescent="0.3"/>
    <row r="4235" customFormat="1" x14ac:dyDescent="0.3"/>
    <row r="4236" customFormat="1" x14ac:dyDescent="0.3"/>
    <row r="4237" customFormat="1" x14ac:dyDescent="0.3"/>
    <row r="4238" customFormat="1" x14ac:dyDescent="0.3"/>
    <row r="4239" customFormat="1" x14ac:dyDescent="0.3"/>
    <row r="4240" customFormat="1" x14ac:dyDescent="0.3"/>
    <row r="4241" customFormat="1" x14ac:dyDescent="0.3"/>
    <row r="4242" customFormat="1" x14ac:dyDescent="0.3"/>
    <row r="4243" customFormat="1" x14ac:dyDescent="0.3"/>
    <row r="4244" customFormat="1" x14ac:dyDescent="0.3"/>
    <row r="4245" customFormat="1" x14ac:dyDescent="0.3"/>
    <row r="4246" customFormat="1" x14ac:dyDescent="0.3"/>
    <row r="4247" customFormat="1" x14ac:dyDescent="0.3"/>
    <row r="4248" customFormat="1" x14ac:dyDescent="0.3"/>
    <row r="4249" customFormat="1" x14ac:dyDescent="0.3"/>
    <row r="4250" customFormat="1" x14ac:dyDescent="0.3"/>
    <row r="4251" customFormat="1" x14ac:dyDescent="0.3"/>
    <row r="4252" customFormat="1" x14ac:dyDescent="0.3"/>
    <row r="4253" customFormat="1" x14ac:dyDescent="0.3"/>
    <row r="4254" customFormat="1" x14ac:dyDescent="0.3"/>
    <row r="4255" customFormat="1" x14ac:dyDescent="0.3"/>
    <row r="4256" customFormat="1" x14ac:dyDescent="0.3"/>
    <row r="4257" customFormat="1" x14ac:dyDescent="0.3"/>
    <row r="4258" customFormat="1" x14ac:dyDescent="0.3"/>
    <row r="4259" customFormat="1" x14ac:dyDescent="0.3"/>
    <row r="4260" customFormat="1" x14ac:dyDescent="0.3"/>
    <row r="4261" customFormat="1" x14ac:dyDescent="0.3"/>
    <row r="4262" customFormat="1" x14ac:dyDescent="0.3"/>
    <row r="4263" customFormat="1" x14ac:dyDescent="0.3"/>
    <row r="4264" customFormat="1" x14ac:dyDescent="0.3"/>
    <row r="4265" customFormat="1" x14ac:dyDescent="0.3"/>
    <row r="4266" customFormat="1" x14ac:dyDescent="0.3"/>
    <row r="4267" customFormat="1" x14ac:dyDescent="0.3"/>
    <row r="4268" customFormat="1" x14ac:dyDescent="0.3"/>
    <row r="4269" customFormat="1" x14ac:dyDescent="0.3"/>
    <row r="4270" customFormat="1" x14ac:dyDescent="0.3"/>
    <row r="4271" customFormat="1" x14ac:dyDescent="0.3"/>
    <row r="4272" customFormat="1" x14ac:dyDescent="0.3"/>
    <row r="4273" customFormat="1" x14ac:dyDescent="0.3"/>
    <row r="4274" customFormat="1" x14ac:dyDescent="0.3"/>
    <row r="4275" customFormat="1" x14ac:dyDescent="0.3"/>
    <row r="4276" customFormat="1" x14ac:dyDescent="0.3"/>
    <row r="4277" customFormat="1" x14ac:dyDescent="0.3"/>
    <row r="4278" customFormat="1" x14ac:dyDescent="0.3"/>
    <row r="4279" customFormat="1" x14ac:dyDescent="0.3"/>
    <row r="4280" customFormat="1" x14ac:dyDescent="0.3"/>
    <row r="4281" customFormat="1" x14ac:dyDescent="0.3"/>
    <row r="4282" customFormat="1" x14ac:dyDescent="0.3"/>
    <row r="4283" customFormat="1" x14ac:dyDescent="0.3"/>
    <row r="4284" customFormat="1" x14ac:dyDescent="0.3"/>
    <row r="4285" customFormat="1" x14ac:dyDescent="0.3"/>
    <row r="4286" customFormat="1" x14ac:dyDescent="0.3"/>
    <row r="4287" customFormat="1" x14ac:dyDescent="0.3"/>
    <row r="4288" customFormat="1" x14ac:dyDescent="0.3"/>
    <row r="4289" customFormat="1" x14ac:dyDescent="0.3"/>
    <row r="4290" customFormat="1" x14ac:dyDescent="0.3"/>
    <row r="4291" customFormat="1" x14ac:dyDescent="0.3"/>
    <row r="4292" customFormat="1" x14ac:dyDescent="0.3"/>
    <row r="4293" customFormat="1" x14ac:dyDescent="0.3"/>
    <row r="4294" customFormat="1" x14ac:dyDescent="0.3"/>
    <row r="4295" customFormat="1" x14ac:dyDescent="0.3"/>
    <row r="4296" customFormat="1" x14ac:dyDescent="0.3"/>
    <row r="4297" customFormat="1" x14ac:dyDescent="0.3"/>
    <row r="4298" customFormat="1" x14ac:dyDescent="0.3"/>
    <row r="4299" customFormat="1" x14ac:dyDescent="0.3"/>
    <row r="4300" customFormat="1" x14ac:dyDescent="0.3"/>
    <row r="4301" customFormat="1" x14ac:dyDescent="0.3"/>
    <row r="4302" customFormat="1" x14ac:dyDescent="0.3"/>
    <row r="4303" customFormat="1" x14ac:dyDescent="0.3"/>
    <row r="4304" customFormat="1" x14ac:dyDescent="0.3"/>
    <row r="4305" customFormat="1" x14ac:dyDescent="0.3"/>
    <row r="4306" customFormat="1" x14ac:dyDescent="0.3"/>
    <row r="4307" customFormat="1" x14ac:dyDescent="0.3"/>
    <row r="4308" customFormat="1" x14ac:dyDescent="0.3"/>
    <row r="4309" customFormat="1" x14ac:dyDescent="0.3"/>
    <row r="4310" customFormat="1" x14ac:dyDescent="0.3"/>
    <row r="4311" customFormat="1" x14ac:dyDescent="0.3"/>
    <row r="4312" customFormat="1" x14ac:dyDescent="0.3"/>
    <row r="4313" customFormat="1" x14ac:dyDescent="0.3"/>
    <row r="4314" customFormat="1" x14ac:dyDescent="0.3"/>
    <row r="4315" customFormat="1" x14ac:dyDescent="0.3"/>
    <row r="4316" customFormat="1" x14ac:dyDescent="0.3"/>
    <row r="4317" customFormat="1" x14ac:dyDescent="0.3"/>
    <row r="4318" customFormat="1" x14ac:dyDescent="0.3"/>
    <row r="4319" customFormat="1" x14ac:dyDescent="0.3"/>
    <row r="4320" customFormat="1" x14ac:dyDescent="0.3"/>
    <row r="4321" customFormat="1" x14ac:dyDescent="0.3"/>
    <row r="4322" customFormat="1" x14ac:dyDescent="0.3"/>
    <row r="4323" customFormat="1" x14ac:dyDescent="0.3"/>
    <row r="4324" customFormat="1" x14ac:dyDescent="0.3"/>
    <row r="4325" customFormat="1" x14ac:dyDescent="0.3"/>
    <row r="4326" customFormat="1" x14ac:dyDescent="0.3"/>
    <row r="4327" customFormat="1" x14ac:dyDescent="0.3"/>
    <row r="4328" customFormat="1" x14ac:dyDescent="0.3"/>
    <row r="4329" customFormat="1" x14ac:dyDescent="0.3"/>
    <row r="4330" customFormat="1" x14ac:dyDescent="0.3"/>
    <row r="4331" customFormat="1" x14ac:dyDescent="0.3"/>
    <row r="4332" customFormat="1" x14ac:dyDescent="0.3"/>
    <row r="4333" customFormat="1" x14ac:dyDescent="0.3"/>
    <row r="4334" customFormat="1" x14ac:dyDescent="0.3"/>
    <row r="4335" customFormat="1" x14ac:dyDescent="0.3"/>
    <row r="4336" customFormat="1" x14ac:dyDescent="0.3"/>
    <row r="4337" customFormat="1" x14ac:dyDescent="0.3"/>
    <row r="4338" customFormat="1" x14ac:dyDescent="0.3"/>
    <row r="4339" customFormat="1" x14ac:dyDescent="0.3"/>
    <row r="4340" customFormat="1" x14ac:dyDescent="0.3"/>
    <row r="4341" customFormat="1" x14ac:dyDescent="0.3"/>
    <row r="4342" customFormat="1" x14ac:dyDescent="0.3"/>
    <row r="4343" customFormat="1" x14ac:dyDescent="0.3"/>
    <row r="4344" customFormat="1" x14ac:dyDescent="0.3"/>
    <row r="4345" customFormat="1" x14ac:dyDescent="0.3"/>
    <row r="4346" customFormat="1" x14ac:dyDescent="0.3"/>
    <row r="4347" customFormat="1" x14ac:dyDescent="0.3"/>
    <row r="4348" customFormat="1" x14ac:dyDescent="0.3"/>
    <row r="4349" customFormat="1" x14ac:dyDescent="0.3"/>
    <row r="4350" customFormat="1" x14ac:dyDescent="0.3"/>
    <row r="4351" customFormat="1" x14ac:dyDescent="0.3"/>
    <row r="4352" customFormat="1" x14ac:dyDescent="0.3"/>
    <row r="4353" customFormat="1" x14ac:dyDescent="0.3"/>
    <row r="4354" customFormat="1" x14ac:dyDescent="0.3"/>
    <row r="4355" customFormat="1" x14ac:dyDescent="0.3"/>
    <row r="4356" customFormat="1" x14ac:dyDescent="0.3"/>
    <row r="4357" customFormat="1" x14ac:dyDescent="0.3"/>
    <row r="4358" customFormat="1" x14ac:dyDescent="0.3"/>
    <row r="4359" customFormat="1" x14ac:dyDescent="0.3"/>
    <row r="4360" customFormat="1" x14ac:dyDescent="0.3"/>
    <row r="4361" customFormat="1" x14ac:dyDescent="0.3"/>
    <row r="4362" customFormat="1" x14ac:dyDescent="0.3"/>
    <row r="4363" customFormat="1" x14ac:dyDescent="0.3"/>
    <row r="4364" customFormat="1" x14ac:dyDescent="0.3"/>
    <row r="4365" customFormat="1" x14ac:dyDescent="0.3"/>
    <row r="4366" customFormat="1" x14ac:dyDescent="0.3"/>
    <row r="4367" customFormat="1" x14ac:dyDescent="0.3"/>
    <row r="4368" customFormat="1" x14ac:dyDescent="0.3"/>
    <row r="4369" customFormat="1" x14ac:dyDescent="0.3"/>
    <row r="4370" customFormat="1" x14ac:dyDescent="0.3"/>
    <row r="4371" customFormat="1" x14ac:dyDescent="0.3"/>
    <row r="4372" customFormat="1" x14ac:dyDescent="0.3"/>
    <row r="4373" customFormat="1" x14ac:dyDescent="0.3"/>
    <row r="4374" customFormat="1" x14ac:dyDescent="0.3"/>
    <row r="4375" customFormat="1" x14ac:dyDescent="0.3"/>
    <row r="4376" customFormat="1" x14ac:dyDescent="0.3"/>
    <row r="4377" customFormat="1" x14ac:dyDescent="0.3"/>
    <row r="4378" customFormat="1" x14ac:dyDescent="0.3"/>
    <row r="4379" customFormat="1" x14ac:dyDescent="0.3"/>
    <row r="4380" customFormat="1" x14ac:dyDescent="0.3"/>
    <row r="4381" customFormat="1" x14ac:dyDescent="0.3"/>
    <row r="4382" customFormat="1" x14ac:dyDescent="0.3"/>
    <row r="4383" customFormat="1" x14ac:dyDescent="0.3"/>
    <row r="4384" customFormat="1" x14ac:dyDescent="0.3"/>
    <row r="4385" customFormat="1" x14ac:dyDescent="0.3"/>
    <row r="4386" customFormat="1" x14ac:dyDescent="0.3"/>
    <row r="4387" customFormat="1" x14ac:dyDescent="0.3"/>
    <row r="4388" customFormat="1" x14ac:dyDescent="0.3"/>
    <row r="4389" customFormat="1" x14ac:dyDescent="0.3"/>
    <row r="4390" customFormat="1" x14ac:dyDescent="0.3"/>
    <row r="4391" customFormat="1" x14ac:dyDescent="0.3"/>
    <row r="4392" customFormat="1" x14ac:dyDescent="0.3"/>
    <row r="4393" customFormat="1" x14ac:dyDescent="0.3"/>
    <row r="4394" customFormat="1" x14ac:dyDescent="0.3"/>
    <row r="4395" customFormat="1" x14ac:dyDescent="0.3"/>
    <row r="4396" customFormat="1" x14ac:dyDescent="0.3"/>
    <row r="4397" customFormat="1" x14ac:dyDescent="0.3"/>
    <row r="4398" customFormat="1" x14ac:dyDescent="0.3"/>
    <row r="4399" customFormat="1" x14ac:dyDescent="0.3"/>
    <row r="4400" customFormat="1" x14ac:dyDescent="0.3"/>
    <row r="4401" customFormat="1" x14ac:dyDescent="0.3"/>
    <row r="4402" customFormat="1" x14ac:dyDescent="0.3"/>
    <row r="4403" customFormat="1" x14ac:dyDescent="0.3"/>
    <row r="4404" customFormat="1" x14ac:dyDescent="0.3"/>
    <row r="4405" customFormat="1" x14ac:dyDescent="0.3"/>
    <row r="4406" customFormat="1" x14ac:dyDescent="0.3"/>
    <row r="4407" customFormat="1" x14ac:dyDescent="0.3"/>
    <row r="4408" customFormat="1" x14ac:dyDescent="0.3"/>
    <row r="4409" customFormat="1" x14ac:dyDescent="0.3"/>
    <row r="4410" customFormat="1" x14ac:dyDescent="0.3"/>
    <row r="4411" customFormat="1" x14ac:dyDescent="0.3"/>
    <row r="4412" customFormat="1" x14ac:dyDescent="0.3"/>
    <row r="4413" customFormat="1" x14ac:dyDescent="0.3"/>
    <row r="4414" customFormat="1" x14ac:dyDescent="0.3"/>
    <row r="4415" customFormat="1" x14ac:dyDescent="0.3"/>
    <row r="4416" customFormat="1" x14ac:dyDescent="0.3"/>
    <row r="4417" customFormat="1" x14ac:dyDescent="0.3"/>
    <row r="4418" customFormat="1" x14ac:dyDescent="0.3"/>
    <row r="4419" customFormat="1" x14ac:dyDescent="0.3"/>
    <row r="4420" customFormat="1" x14ac:dyDescent="0.3"/>
    <row r="4421" customFormat="1" x14ac:dyDescent="0.3"/>
    <row r="4422" customFormat="1" x14ac:dyDescent="0.3"/>
    <row r="4423" customFormat="1" x14ac:dyDescent="0.3"/>
    <row r="4424" customFormat="1" x14ac:dyDescent="0.3"/>
    <row r="4425" customFormat="1" x14ac:dyDescent="0.3"/>
    <row r="4426" customFormat="1" x14ac:dyDescent="0.3"/>
    <row r="4427" customFormat="1" x14ac:dyDescent="0.3"/>
    <row r="4428" customFormat="1" x14ac:dyDescent="0.3"/>
    <row r="4429" customFormat="1" x14ac:dyDescent="0.3"/>
    <row r="4430" customFormat="1" x14ac:dyDescent="0.3"/>
    <row r="4431" customFormat="1" x14ac:dyDescent="0.3"/>
    <row r="4432" customFormat="1" x14ac:dyDescent="0.3"/>
    <row r="4433" customFormat="1" x14ac:dyDescent="0.3"/>
    <row r="4434" customFormat="1" x14ac:dyDescent="0.3"/>
    <row r="4435" customFormat="1" x14ac:dyDescent="0.3"/>
    <row r="4436" customFormat="1" x14ac:dyDescent="0.3"/>
    <row r="4437" customFormat="1" x14ac:dyDescent="0.3"/>
    <row r="4438" customFormat="1" x14ac:dyDescent="0.3"/>
    <row r="4439" customFormat="1" x14ac:dyDescent="0.3"/>
    <row r="4440" customFormat="1" x14ac:dyDescent="0.3"/>
    <row r="4441" customFormat="1" x14ac:dyDescent="0.3"/>
    <row r="4442" customFormat="1" x14ac:dyDescent="0.3"/>
    <row r="4443" customFormat="1" x14ac:dyDescent="0.3"/>
    <row r="4444" customFormat="1" x14ac:dyDescent="0.3"/>
    <row r="4445" customFormat="1" x14ac:dyDescent="0.3"/>
    <row r="4446" customFormat="1" x14ac:dyDescent="0.3"/>
    <row r="4447" customFormat="1" x14ac:dyDescent="0.3"/>
    <row r="4448" customFormat="1" x14ac:dyDescent="0.3"/>
    <row r="4449" customFormat="1" x14ac:dyDescent="0.3"/>
    <row r="4450" customFormat="1" x14ac:dyDescent="0.3"/>
    <row r="4451" customFormat="1" x14ac:dyDescent="0.3"/>
    <row r="4452" customFormat="1" x14ac:dyDescent="0.3"/>
    <row r="4453" customFormat="1" x14ac:dyDescent="0.3"/>
    <row r="4454" customFormat="1" x14ac:dyDescent="0.3"/>
    <row r="4455" customFormat="1" x14ac:dyDescent="0.3"/>
    <row r="4456" customFormat="1" x14ac:dyDescent="0.3"/>
    <row r="4457" customFormat="1" x14ac:dyDescent="0.3"/>
    <row r="4458" customFormat="1" x14ac:dyDescent="0.3"/>
    <row r="4459" customFormat="1" x14ac:dyDescent="0.3"/>
    <row r="4460" customFormat="1" x14ac:dyDescent="0.3"/>
    <row r="4461" customFormat="1" x14ac:dyDescent="0.3"/>
    <row r="4462" customFormat="1" x14ac:dyDescent="0.3"/>
    <row r="4463" customFormat="1" x14ac:dyDescent="0.3"/>
    <row r="4464" customFormat="1" x14ac:dyDescent="0.3"/>
    <row r="4465" customFormat="1" x14ac:dyDescent="0.3"/>
    <row r="4466" customFormat="1" x14ac:dyDescent="0.3"/>
    <row r="4467" customFormat="1" x14ac:dyDescent="0.3"/>
    <row r="4468" customFormat="1" x14ac:dyDescent="0.3"/>
    <row r="4469" customFormat="1" x14ac:dyDescent="0.3"/>
    <row r="4470" customFormat="1" x14ac:dyDescent="0.3"/>
    <row r="4471" customFormat="1" x14ac:dyDescent="0.3"/>
    <row r="4472" customFormat="1" x14ac:dyDescent="0.3"/>
    <row r="4473" customFormat="1" x14ac:dyDescent="0.3"/>
    <row r="4474" customFormat="1" x14ac:dyDescent="0.3"/>
    <row r="4475" customFormat="1" x14ac:dyDescent="0.3"/>
    <row r="4476" customFormat="1" x14ac:dyDescent="0.3"/>
    <row r="4477" customFormat="1" x14ac:dyDescent="0.3"/>
    <row r="4478" customFormat="1" x14ac:dyDescent="0.3"/>
    <row r="4479" customFormat="1" x14ac:dyDescent="0.3"/>
    <row r="4480" customFormat="1" x14ac:dyDescent="0.3"/>
    <row r="4481" customFormat="1" x14ac:dyDescent="0.3"/>
    <row r="4482" customFormat="1" x14ac:dyDescent="0.3"/>
    <row r="4483" customFormat="1" x14ac:dyDescent="0.3"/>
    <row r="4484" customFormat="1" x14ac:dyDescent="0.3"/>
    <row r="4485" customFormat="1" x14ac:dyDescent="0.3"/>
    <row r="4486" customFormat="1" x14ac:dyDescent="0.3"/>
    <row r="4487" customFormat="1" x14ac:dyDescent="0.3"/>
    <row r="4488" customFormat="1" x14ac:dyDescent="0.3"/>
    <row r="4489" customFormat="1" x14ac:dyDescent="0.3"/>
    <row r="4490" customFormat="1" x14ac:dyDescent="0.3"/>
    <row r="4491" customFormat="1" x14ac:dyDescent="0.3"/>
    <row r="4492" customFormat="1" x14ac:dyDescent="0.3"/>
    <row r="4493" customFormat="1" x14ac:dyDescent="0.3"/>
    <row r="4494" customFormat="1" x14ac:dyDescent="0.3"/>
    <row r="4495" customFormat="1" x14ac:dyDescent="0.3"/>
    <row r="4496" customFormat="1" x14ac:dyDescent="0.3"/>
    <row r="4497" customFormat="1" x14ac:dyDescent="0.3"/>
    <row r="4498" customFormat="1" x14ac:dyDescent="0.3"/>
    <row r="4499" customFormat="1" x14ac:dyDescent="0.3"/>
    <row r="4500" customFormat="1" x14ac:dyDescent="0.3"/>
    <row r="4501" customFormat="1" x14ac:dyDescent="0.3"/>
    <row r="4502" customFormat="1" x14ac:dyDescent="0.3"/>
    <row r="4503" customFormat="1" x14ac:dyDescent="0.3"/>
    <row r="4504" customFormat="1" x14ac:dyDescent="0.3"/>
    <row r="4505" customFormat="1" x14ac:dyDescent="0.3"/>
    <row r="4506" customFormat="1" x14ac:dyDescent="0.3"/>
    <row r="4507" customFormat="1" x14ac:dyDescent="0.3"/>
    <row r="4508" customFormat="1" x14ac:dyDescent="0.3"/>
    <row r="4509" customFormat="1" x14ac:dyDescent="0.3"/>
    <row r="4510" customFormat="1" x14ac:dyDescent="0.3"/>
    <row r="4511" customFormat="1" x14ac:dyDescent="0.3"/>
    <row r="4512" customFormat="1" x14ac:dyDescent="0.3"/>
    <row r="4513" customFormat="1" x14ac:dyDescent="0.3"/>
    <row r="4514" customFormat="1" x14ac:dyDescent="0.3"/>
    <row r="4515" customFormat="1" x14ac:dyDescent="0.3"/>
    <row r="4516" customFormat="1" x14ac:dyDescent="0.3"/>
    <row r="4517" customFormat="1" x14ac:dyDescent="0.3"/>
    <row r="4518" customFormat="1" x14ac:dyDescent="0.3"/>
    <row r="4519" customFormat="1" x14ac:dyDescent="0.3"/>
    <row r="4520" customFormat="1" x14ac:dyDescent="0.3"/>
    <row r="4521" customFormat="1" x14ac:dyDescent="0.3"/>
    <row r="4522" customFormat="1" x14ac:dyDescent="0.3"/>
    <row r="4523" customFormat="1" x14ac:dyDescent="0.3"/>
    <row r="4524" customFormat="1" x14ac:dyDescent="0.3"/>
    <row r="4525" customFormat="1" x14ac:dyDescent="0.3"/>
    <row r="4526" customFormat="1" x14ac:dyDescent="0.3"/>
    <row r="4527" customFormat="1" x14ac:dyDescent="0.3"/>
    <row r="4528" customFormat="1" x14ac:dyDescent="0.3"/>
    <row r="4529" customFormat="1" x14ac:dyDescent="0.3"/>
    <row r="4530" customFormat="1" x14ac:dyDescent="0.3"/>
    <row r="4531" customFormat="1" x14ac:dyDescent="0.3"/>
    <row r="4532" customFormat="1" x14ac:dyDescent="0.3"/>
    <row r="4533" customFormat="1" x14ac:dyDescent="0.3"/>
    <row r="4534" customFormat="1" x14ac:dyDescent="0.3"/>
    <row r="4535" customFormat="1" x14ac:dyDescent="0.3"/>
    <row r="4536" customFormat="1" x14ac:dyDescent="0.3"/>
    <row r="4537" customFormat="1" x14ac:dyDescent="0.3"/>
    <row r="4538" customFormat="1" x14ac:dyDescent="0.3"/>
    <row r="4539" customFormat="1" x14ac:dyDescent="0.3"/>
    <row r="4540" customFormat="1" x14ac:dyDescent="0.3"/>
    <row r="4541" customFormat="1" x14ac:dyDescent="0.3"/>
    <row r="4542" customFormat="1" x14ac:dyDescent="0.3"/>
    <row r="4543" customFormat="1" x14ac:dyDescent="0.3"/>
    <row r="4544" customFormat="1" x14ac:dyDescent="0.3"/>
    <row r="4545" customFormat="1" x14ac:dyDescent="0.3"/>
    <row r="4546" customFormat="1" x14ac:dyDescent="0.3"/>
    <row r="4547" customFormat="1" x14ac:dyDescent="0.3"/>
    <row r="4548" customFormat="1" x14ac:dyDescent="0.3"/>
    <row r="4549" customFormat="1" x14ac:dyDescent="0.3"/>
    <row r="4550" customFormat="1" x14ac:dyDescent="0.3"/>
    <row r="4551" customFormat="1" x14ac:dyDescent="0.3"/>
    <row r="4552" customFormat="1" x14ac:dyDescent="0.3"/>
    <row r="4553" customFormat="1" x14ac:dyDescent="0.3"/>
    <row r="4554" customFormat="1" x14ac:dyDescent="0.3"/>
    <row r="4555" customFormat="1" x14ac:dyDescent="0.3"/>
    <row r="4556" customFormat="1" x14ac:dyDescent="0.3"/>
    <row r="4557" customFormat="1" x14ac:dyDescent="0.3"/>
    <row r="4558" customFormat="1" x14ac:dyDescent="0.3"/>
    <row r="4559" customFormat="1" x14ac:dyDescent="0.3"/>
    <row r="4560" customFormat="1" x14ac:dyDescent="0.3"/>
    <row r="4561" customFormat="1" x14ac:dyDescent="0.3"/>
    <row r="4562" customFormat="1" x14ac:dyDescent="0.3"/>
    <row r="4563" customFormat="1" x14ac:dyDescent="0.3"/>
    <row r="4564" customFormat="1" x14ac:dyDescent="0.3"/>
    <row r="4565" customFormat="1" x14ac:dyDescent="0.3"/>
    <row r="4566" customFormat="1" x14ac:dyDescent="0.3"/>
    <row r="4567" customFormat="1" x14ac:dyDescent="0.3"/>
    <row r="4568" customFormat="1" x14ac:dyDescent="0.3"/>
    <row r="4569" customFormat="1" x14ac:dyDescent="0.3"/>
    <row r="4570" customFormat="1" x14ac:dyDescent="0.3"/>
    <row r="4571" customFormat="1" x14ac:dyDescent="0.3"/>
    <row r="4572" customFormat="1" x14ac:dyDescent="0.3"/>
    <row r="4573" customFormat="1" x14ac:dyDescent="0.3"/>
    <row r="4574" customFormat="1" x14ac:dyDescent="0.3"/>
    <row r="4575" customFormat="1" x14ac:dyDescent="0.3"/>
    <row r="4576" customFormat="1" x14ac:dyDescent="0.3"/>
    <row r="4577" customFormat="1" x14ac:dyDescent="0.3"/>
    <row r="4578" customFormat="1" x14ac:dyDescent="0.3"/>
    <row r="4579" customFormat="1" x14ac:dyDescent="0.3"/>
    <row r="4580" customFormat="1" x14ac:dyDescent="0.3"/>
    <row r="4581" customFormat="1" x14ac:dyDescent="0.3"/>
    <row r="4582" customFormat="1" x14ac:dyDescent="0.3"/>
    <row r="4583" customFormat="1" x14ac:dyDescent="0.3"/>
    <row r="4584" customFormat="1" x14ac:dyDescent="0.3"/>
    <row r="4585" customFormat="1" x14ac:dyDescent="0.3"/>
    <row r="4586" customFormat="1" x14ac:dyDescent="0.3"/>
    <row r="4587" customFormat="1" x14ac:dyDescent="0.3"/>
    <row r="4588" customFormat="1" x14ac:dyDescent="0.3"/>
    <row r="4589" customFormat="1" x14ac:dyDescent="0.3"/>
    <row r="4590" customFormat="1" x14ac:dyDescent="0.3"/>
    <row r="4591" customFormat="1" x14ac:dyDescent="0.3"/>
    <row r="4592" customFormat="1" x14ac:dyDescent="0.3"/>
    <row r="4593" customFormat="1" x14ac:dyDescent="0.3"/>
    <row r="4594" customFormat="1" x14ac:dyDescent="0.3"/>
    <row r="4595" customFormat="1" x14ac:dyDescent="0.3"/>
    <row r="4596" customFormat="1" x14ac:dyDescent="0.3"/>
    <row r="4597" customFormat="1" x14ac:dyDescent="0.3"/>
    <row r="4598" customFormat="1" x14ac:dyDescent="0.3"/>
    <row r="4599" customFormat="1" x14ac:dyDescent="0.3"/>
    <row r="4600" customFormat="1" x14ac:dyDescent="0.3"/>
    <row r="4601" customFormat="1" x14ac:dyDescent="0.3"/>
    <row r="4602" customFormat="1" x14ac:dyDescent="0.3"/>
    <row r="4603" customFormat="1" x14ac:dyDescent="0.3"/>
    <row r="4604" customFormat="1" x14ac:dyDescent="0.3"/>
    <row r="4605" customFormat="1" x14ac:dyDescent="0.3"/>
    <row r="4606" customFormat="1" x14ac:dyDescent="0.3"/>
    <row r="4607" customFormat="1" x14ac:dyDescent="0.3"/>
    <row r="4608" customFormat="1" x14ac:dyDescent="0.3"/>
    <row r="4609" customFormat="1" x14ac:dyDescent="0.3"/>
    <row r="4610" customFormat="1" x14ac:dyDescent="0.3"/>
    <row r="4611" customFormat="1" x14ac:dyDescent="0.3"/>
    <row r="4612" customFormat="1" x14ac:dyDescent="0.3"/>
    <row r="4613" customFormat="1" x14ac:dyDescent="0.3"/>
    <row r="4614" customFormat="1" x14ac:dyDescent="0.3"/>
    <row r="4615" customFormat="1" x14ac:dyDescent="0.3"/>
    <row r="4616" customFormat="1" x14ac:dyDescent="0.3"/>
    <row r="4617" customFormat="1" x14ac:dyDescent="0.3"/>
    <row r="4618" customFormat="1" x14ac:dyDescent="0.3"/>
    <row r="4619" customFormat="1" x14ac:dyDescent="0.3"/>
    <row r="4620" customFormat="1" x14ac:dyDescent="0.3"/>
    <row r="4621" customFormat="1" x14ac:dyDescent="0.3"/>
    <row r="4622" customFormat="1" x14ac:dyDescent="0.3"/>
    <row r="4623" customFormat="1" x14ac:dyDescent="0.3"/>
    <row r="4624" customFormat="1" x14ac:dyDescent="0.3"/>
    <row r="4625" customFormat="1" x14ac:dyDescent="0.3"/>
    <row r="4626" customFormat="1" x14ac:dyDescent="0.3"/>
    <row r="4627" customFormat="1" x14ac:dyDescent="0.3"/>
    <row r="4628" customFormat="1" x14ac:dyDescent="0.3"/>
    <row r="4629" customFormat="1" x14ac:dyDescent="0.3"/>
    <row r="4630" customFormat="1" x14ac:dyDescent="0.3"/>
    <row r="4631" customFormat="1" x14ac:dyDescent="0.3"/>
    <row r="4632" customFormat="1" x14ac:dyDescent="0.3"/>
    <row r="4633" customFormat="1" x14ac:dyDescent="0.3"/>
    <row r="4634" customFormat="1" x14ac:dyDescent="0.3"/>
    <row r="4635" customFormat="1" x14ac:dyDescent="0.3"/>
    <row r="4636" customFormat="1" x14ac:dyDescent="0.3"/>
    <row r="4637" customFormat="1" x14ac:dyDescent="0.3"/>
    <row r="4638" customFormat="1" x14ac:dyDescent="0.3"/>
    <row r="4639" customFormat="1" x14ac:dyDescent="0.3"/>
    <row r="4640" customFormat="1" x14ac:dyDescent="0.3"/>
    <row r="4641" customFormat="1" x14ac:dyDescent="0.3"/>
    <row r="4642" customFormat="1" x14ac:dyDescent="0.3"/>
    <row r="4643" customFormat="1" x14ac:dyDescent="0.3"/>
    <row r="4644" customFormat="1" x14ac:dyDescent="0.3"/>
    <row r="4645" customFormat="1" x14ac:dyDescent="0.3"/>
    <row r="4646" customFormat="1" x14ac:dyDescent="0.3"/>
    <row r="4647" customFormat="1" x14ac:dyDescent="0.3"/>
    <row r="4648" customFormat="1" x14ac:dyDescent="0.3"/>
    <row r="4649" customFormat="1" x14ac:dyDescent="0.3"/>
    <row r="4650" customFormat="1" x14ac:dyDescent="0.3"/>
    <row r="4651" customFormat="1" x14ac:dyDescent="0.3"/>
    <row r="4652" customFormat="1" x14ac:dyDescent="0.3"/>
    <row r="4653" customFormat="1" x14ac:dyDescent="0.3"/>
    <row r="4654" customFormat="1" x14ac:dyDescent="0.3"/>
    <row r="4655" customFormat="1" x14ac:dyDescent="0.3"/>
    <row r="4656" customFormat="1" x14ac:dyDescent="0.3"/>
    <row r="4657" customFormat="1" x14ac:dyDescent="0.3"/>
    <row r="4658" customFormat="1" x14ac:dyDescent="0.3"/>
    <row r="4659" customFormat="1" x14ac:dyDescent="0.3"/>
    <row r="4660" customFormat="1" x14ac:dyDescent="0.3"/>
    <row r="4661" customFormat="1" x14ac:dyDescent="0.3"/>
    <row r="4662" customFormat="1" x14ac:dyDescent="0.3"/>
    <row r="4663" customFormat="1" x14ac:dyDescent="0.3"/>
    <row r="4664" customFormat="1" x14ac:dyDescent="0.3"/>
    <row r="4665" customFormat="1" x14ac:dyDescent="0.3"/>
    <row r="4666" customFormat="1" x14ac:dyDescent="0.3"/>
    <row r="4667" customFormat="1" x14ac:dyDescent="0.3"/>
    <row r="4668" customFormat="1" x14ac:dyDescent="0.3"/>
    <row r="4669" customFormat="1" x14ac:dyDescent="0.3"/>
    <row r="4670" customFormat="1" x14ac:dyDescent="0.3"/>
    <row r="4671" customFormat="1" x14ac:dyDescent="0.3"/>
    <row r="4672" customFormat="1" x14ac:dyDescent="0.3"/>
    <row r="4673" customFormat="1" x14ac:dyDescent="0.3"/>
    <row r="4674" customFormat="1" x14ac:dyDescent="0.3"/>
    <row r="4675" customFormat="1" x14ac:dyDescent="0.3"/>
    <row r="4676" customFormat="1" x14ac:dyDescent="0.3"/>
    <row r="4677" customFormat="1" x14ac:dyDescent="0.3"/>
    <row r="4678" customFormat="1" x14ac:dyDescent="0.3"/>
    <row r="4679" customFormat="1" x14ac:dyDescent="0.3"/>
    <row r="4680" customFormat="1" x14ac:dyDescent="0.3"/>
    <row r="4681" customFormat="1" x14ac:dyDescent="0.3"/>
    <row r="4682" customFormat="1" x14ac:dyDescent="0.3"/>
    <row r="4683" customFormat="1" x14ac:dyDescent="0.3"/>
    <row r="4684" customFormat="1" x14ac:dyDescent="0.3"/>
    <row r="4685" customFormat="1" x14ac:dyDescent="0.3"/>
    <row r="4686" customFormat="1" x14ac:dyDescent="0.3"/>
    <row r="4687" customFormat="1" x14ac:dyDescent="0.3"/>
    <row r="4688" customFormat="1" x14ac:dyDescent="0.3"/>
    <row r="4689" customFormat="1" x14ac:dyDescent="0.3"/>
    <row r="4690" customFormat="1" x14ac:dyDescent="0.3"/>
    <row r="4691" customFormat="1" x14ac:dyDescent="0.3"/>
    <row r="4692" customFormat="1" x14ac:dyDescent="0.3"/>
    <row r="4693" customFormat="1" x14ac:dyDescent="0.3"/>
    <row r="4694" customFormat="1" x14ac:dyDescent="0.3"/>
    <row r="4695" customFormat="1" x14ac:dyDescent="0.3"/>
    <row r="4696" customFormat="1" x14ac:dyDescent="0.3"/>
    <row r="4697" customFormat="1" x14ac:dyDescent="0.3"/>
    <row r="4698" customFormat="1" x14ac:dyDescent="0.3"/>
    <row r="4699" customFormat="1" x14ac:dyDescent="0.3"/>
    <row r="4700" customFormat="1" x14ac:dyDescent="0.3"/>
    <row r="4701" customFormat="1" x14ac:dyDescent="0.3"/>
    <row r="4702" customFormat="1" x14ac:dyDescent="0.3"/>
    <row r="4703" customFormat="1" x14ac:dyDescent="0.3"/>
    <row r="4704" customFormat="1" x14ac:dyDescent="0.3"/>
    <row r="4705" customFormat="1" x14ac:dyDescent="0.3"/>
    <row r="4706" customFormat="1" x14ac:dyDescent="0.3"/>
    <row r="4707" customFormat="1" x14ac:dyDescent="0.3"/>
    <row r="4708" customFormat="1" x14ac:dyDescent="0.3"/>
    <row r="4709" customFormat="1" x14ac:dyDescent="0.3"/>
    <row r="4710" customFormat="1" x14ac:dyDescent="0.3"/>
    <row r="4711" customFormat="1" x14ac:dyDescent="0.3"/>
    <row r="4712" customFormat="1" x14ac:dyDescent="0.3"/>
    <row r="4713" customFormat="1" x14ac:dyDescent="0.3"/>
    <row r="4714" customFormat="1" x14ac:dyDescent="0.3"/>
    <row r="4715" customFormat="1" x14ac:dyDescent="0.3"/>
    <row r="4716" customFormat="1" x14ac:dyDescent="0.3"/>
    <row r="4717" customFormat="1" x14ac:dyDescent="0.3"/>
    <row r="4718" customFormat="1" x14ac:dyDescent="0.3"/>
    <row r="4719" customFormat="1" x14ac:dyDescent="0.3"/>
    <row r="4720" customFormat="1" x14ac:dyDescent="0.3"/>
    <row r="4721" customFormat="1" x14ac:dyDescent="0.3"/>
    <row r="4722" customFormat="1" x14ac:dyDescent="0.3"/>
    <row r="4723" customFormat="1" x14ac:dyDescent="0.3"/>
    <row r="4724" customFormat="1" x14ac:dyDescent="0.3"/>
    <row r="4725" customFormat="1" x14ac:dyDescent="0.3"/>
    <row r="4726" customFormat="1" x14ac:dyDescent="0.3"/>
    <row r="4727" customFormat="1" x14ac:dyDescent="0.3"/>
    <row r="4728" customFormat="1" x14ac:dyDescent="0.3"/>
    <row r="4729" customFormat="1" x14ac:dyDescent="0.3"/>
    <row r="4730" customFormat="1" x14ac:dyDescent="0.3"/>
    <row r="4731" customFormat="1" x14ac:dyDescent="0.3"/>
    <row r="4732" customFormat="1" x14ac:dyDescent="0.3"/>
    <row r="4733" customFormat="1" x14ac:dyDescent="0.3"/>
    <row r="4734" customFormat="1" x14ac:dyDescent="0.3"/>
    <row r="4735" customFormat="1" x14ac:dyDescent="0.3"/>
    <row r="4736" customFormat="1" x14ac:dyDescent="0.3"/>
    <row r="4737" customFormat="1" x14ac:dyDescent="0.3"/>
    <row r="4738" customFormat="1" x14ac:dyDescent="0.3"/>
    <row r="4739" customFormat="1" x14ac:dyDescent="0.3"/>
    <row r="4740" customFormat="1" x14ac:dyDescent="0.3"/>
    <row r="4741" customFormat="1" x14ac:dyDescent="0.3"/>
    <row r="4742" customFormat="1" x14ac:dyDescent="0.3"/>
    <row r="4743" customFormat="1" x14ac:dyDescent="0.3"/>
    <row r="4744" customFormat="1" x14ac:dyDescent="0.3"/>
    <row r="4745" customFormat="1" x14ac:dyDescent="0.3"/>
    <row r="4746" customFormat="1" x14ac:dyDescent="0.3"/>
    <row r="4747" customFormat="1" x14ac:dyDescent="0.3"/>
    <row r="4748" customFormat="1" x14ac:dyDescent="0.3"/>
    <row r="4749" customFormat="1" x14ac:dyDescent="0.3"/>
    <row r="4750" customFormat="1" x14ac:dyDescent="0.3"/>
    <row r="4751" customFormat="1" x14ac:dyDescent="0.3"/>
    <row r="4752" customFormat="1" x14ac:dyDescent="0.3"/>
    <row r="4753" customFormat="1" x14ac:dyDescent="0.3"/>
    <row r="4754" customFormat="1" x14ac:dyDescent="0.3"/>
    <row r="4755" customFormat="1" x14ac:dyDescent="0.3"/>
    <row r="4756" customFormat="1" x14ac:dyDescent="0.3"/>
    <row r="4757" customFormat="1" x14ac:dyDescent="0.3"/>
    <row r="4758" customFormat="1" x14ac:dyDescent="0.3"/>
    <row r="4759" customFormat="1" x14ac:dyDescent="0.3"/>
    <row r="4760" customFormat="1" x14ac:dyDescent="0.3"/>
    <row r="4761" customFormat="1" x14ac:dyDescent="0.3"/>
    <row r="4762" customFormat="1" x14ac:dyDescent="0.3"/>
    <row r="4763" customFormat="1" x14ac:dyDescent="0.3"/>
    <row r="4764" customFormat="1" x14ac:dyDescent="0.3"/>
    <row r="4765" customFormat="1" x14ac:dyDescent="0.3"/>
    <row r="4766" customFormat="1" x14ac:dyDescent="0.3"/>
    <row r="4767" customFormat="1" x14ac:dyDescent="0.3"/>
    <row r="4768" customFormat="1" x14ac:dyDescent="0.3"/>
    <row r="4769" customFormat="1" x14ac:dyDescent="0.3"/>
    <row r="4770" customFormat="1" x14ac:dyDescent="0.3"/>
    <row r="4771" customFormat="1" x14ac:dyDescent="0.3"/>
    <row r="4772" customFormat="1" x14ac:dyDescent="0.3"/>
    <row r="4773" customFormat="1" x14ac:dyDescent="0.3"/>
    <row r="4774" customFormat="1" x14ac:dyDescent="0.3"/>
    <row r="4775" customFormat="1" x14ac:dyDescent="0.3"/>
    <row r="4776" customFormat="1" x14ac:dyDescent="0.3"/>
    <row r="4777" customFormat="1" x14ac:dyDescent="0.3"/>
    <row r="4778" customFormat="1" x14ac:dyDescent="0.3"/>
    <row r="4779" customFormat="1" x14ac:dyDescent="0.3"/>
    <row r="4780" customFormat="1" x14ac:dyDescent="0.3"/>
    <row r="4781" customFormat="1" x14ac:dyDescent="0.3"/>
    <row r="4782" customFormat="1" x14ac:dyDescent="0.3"/>
    <row r="4783" customFormat="1" x14ac:dyDescent="0.3"/>
    <row r="4784" customFormat="1" x14ac:dyDescent="0.3"/>
    <row r="4785" customFormat="1" x14ac:dyDescent="0.3"/>
    <row r="4786" customFormat="1" x14ac:dyDescent="0.3"/>
    <row r="4787" customFormat="1" x14ac:dyDescent="0.3"/>
    <row r="4788" customFormat="1" x14ac:dyDescent="0.3"/>
    <row r="4789" customFormat="1" x14ac:dyDescent="0.3"/>
    <row r="4790" customFormat="1" x14ac:dyDescent="0.3"/>
    <row r="4791" customFormat="1" x14ac:dyDescent="0.3"/>
    <row r="4792" customFormat="1" x14ac:dyDescent="0.3"/>
    <row r="4793" customFormat="1" x14ac:dyDescent="0.3"/>
    <row r="4794" customFormat="1" x14ac:dyDescent="0.3"/>
    <row r="4795" customFormat="1" x14ac:dyDescent="0.3"/>
    <row r="4796" customFormat="1" x14ac:dyDescent="0.3"/>
    <row r="4797" customFormat="1" x14ac:dyDescent="0.3"/>
    <row r="4798" customFormat="1" x14ac:dyDescent="0.3"/>
    <row r="4799" customFormat="1" x14ac:dyDescent="0.3"/>
    <row r="4800" customFormat="1" x14ac:dyDescent="0.3"/>
    <row r="4801" customFormat="1" x14ac:dyDescent="0.3"/>
    <row r="4802" customFormat="1" x14ac:dyDescent="0.3"/>
    <row r="4803" customFormat="1" x14ac:dyDescent="0.3"/>
    <row r="4804" customFormat="1" x14ac:dyDescent="0.3"/>
    <row r="4805" customFormat="1" x14ac:dyDescent="0.3"/>
    <row r="4806" customFormat="1" x14ac:dyDescent="0.3"/>
    <row r="4807" customFormat="1" x14ac:dyDescent="0.3"/>
    <row r="4808" customFormat="1" x14ac:dyDescent="0.3"/>
    <row r="4809" customFormat="1" x14ac:dyDescent="0.3"/>
    <row r="4810" customFormat="1" x14ac:dyDescent="0.3"/>
    <row r="4811" customFormat="1" x14ac:dyDescent="0.3"/>
    <row r="4812" customFormat="1" x14ac:dyDescent="0.3"/>
    <row r="4813" customFormat="1" x14ac:dyDescent="0.3"/>
    <row r="4814" customFormat="1" x14ac:dyDescent="0.3"/>
    <row r="4815" customFormat="1" x14ac:dyDescent="0.3"/>
    <row r="4816" customFormat="1" x14ac:dyDescent="0.3"/>
    <row r="4817" customFormat="1" x14ac:dyDescent="0.3"/>
    <row r="4818" customFormat="1" x14ac:dyDescent="0.3"/>
    <row r="4819" customFormat="1" x14ac:dyDescent="0.3"/>
    <row r="4820" customFormat="1" x14ac:dyDescent="0.3"/>
    <row r="4821" customFormat="1" x14ac:dyDescent="0.3"/>
    <row r="4822" customFormat="1" x14ac:dyDescent="0.3"/>
    <row r="4823" customFormat="1" x14ac:dyDescent="0.3"/>
    <row r="4824" customFormat="1" x14ac:dyDescent="0.3"/>
    <row r="4825" customFormat="1" x14ac:dyDescent="0.3"/>
    <row r="4826" customFormat="1" x14ac:dyDescent="0.3"/>
    <row r="4827" customFormat="1" x14ac:dyDescent="0.3"/>
    <row r="4828" customFormat="1" x14ac:dyDescent="0.3"/>
    <row r="4829" customFormat="1" x14ac:dyDescent="0.3"/>
    <row r="4830" customFormat="1" x14ac:dyDescent="0.3"/>
    <row r="4831" customFormat="1" x14ac:dyDescent="0.3"/>
    <row r="4832" customFormat="1" x14ac:dyDescent="0.3"/>
    <row r="4833" customFormat="1" x14ac:dyDescent="0.3"/>
    <row r="4834" customFormat="1" x14ac:dyDescent="0.3"/>
    <row r="4835" customFormat="1" x14ac:dyDescent="0.3"/>
    <row r="4836" customFormat="1" x14ac:dyDescent="0.3"/>
    <row r="4837" customFormat="1" x14ac:dyDescent="0.3"/>
    <row r="4838" customFormat="1" x14ac:dyDescent="0.3"/>
    <row r="4839" customFormat="1" x14ac:dyDescent="0.3"/>
    <row r="4840" customFormat="1" x14ac:dyDescent="0.3"/>
    <row r="4841" customFormat="1" x14ac:dyDescent="0.3"/>
    <row r="4842" customFormat="1" x14ac:dyDescent="0.3"/>
    <row r="4843" customFormat="1" x14ac:dyDescent="0.3"/>
    <row r="4844" customFormat="1" x14ac:dyDescent="0.3"/>
    <row r="4845" customFormat="1" x14ac:dyDescent="0.3"/>
    <row r="4846" customFormat="1" x14ac:dyDescent="0.3"/>
    <row r="4847" customFormat="1" x14ac:dyDescent="0.3"/>
    <row r="4848" customFormat="1" x14ac:dyDescent="0.3"/>
    <row r="4849" customFormat="1" x14ac:dyDescent="0.3"/>
    <row r="4850" customFormat="1" x14ac:dyDescent="0.3"/>
    <row r="4851" customFormat="1" x14ac:dyDescent="0.3"/>
    <row r="4852" customFormat="1" x14ac:dyDescent="0.3"/>
    <row r="4853" customFormat="1" x14ac:dyDescent="0.3"/>
    <row r="4854" customFormat="1" x14ac:dyDescent="0.3"/>
    <row r="4855" customFormat="1" x14ac:dyDescent="0.3"/>
    <row r="4856" customFormat="1" x14ac:dyDescent="0.3"/>
    <row r="4857" customFormat="1" x14ac:dyDescent="0.3"/>
    <row r="4858" customFormat="1" x14ac:dyDescent="0.3"/>
    <row r="4859" customFormat="1" x14ac:dyDescent="0.3"/>
    <row r="4860" customFormat="1" x14ac:dyDescent="0.3"/>
    <row r="4861" customFormat="1" x14ac:dyDescent="0.3"/>
    <row r="4862" customFormat="1" x14ac:dyDescent="0.3"/>
    <row r="4863" customFormat="1" x14ac:dyDescent="0.3"/>
    <row r="4864" customFormat="1" x14ac:dyDescent="0.3"/>
    <row r="4865" customFormat="1" x14ac:dyDescent="0.3"/>
    <row r="4866" customFormat="1" x14ac:dyDescent="0.3"/>
    <row r="4867" customFormat="1" x14ac:dyDescent="0.3"/>
    <row r="4868" customFormat="1" x14ac:dyDescent="0.3"/>
    <row r="4869" customFormat="1" x14ac:dyDescent="0.3"/>
    <row r="4870" customFormat="1" x14ac:dyDescent="0.3"/>
    <row r="4871" customFormat="1" x14ac:dyDescent="0.3"/>
    <row r="4872" customFormat="1" x14ac:dyDescent="0.3"/>
    <row r="4873" customFormat="1" x14ac:dyDescent="0.3"/>
    <row r="4874" customFormat="1" x14ac:dyDescent="0.3"/>
    <row r="4875" customFormat="1" x14ac:dyDescent="0.3"/>
    <row r="4876" customFormat="1" x14ac:dyDescent="0.3"/>
    <row r="4877" customFormat="1" x14ac:dyDescent="0.3"/>
    <row r="4878" customFormat="1" x14ac:dyDescent="0.3"/>
    <row r="4879" customFormat="1" x14ac:dyDescent="0.3"/>
    <row r="4880" customFormat="1" x14ac:dyDescent="0.3"/>
    <row r="4881" customFormat="1" x14ac:dyDescent="0.3"/>
    <row r="4882" customFormat="1" x14ac:dyDescent="0.3"/>
    <row r="4883" customFormat="1" x14ac:dyDescent="0.3"/>
    <row r="4884" customFormat="1" x14ac:dyDescent="0.3"/>
    <row r="4885" customFormat="1" x14ac:dyDescent="0.3"/>
    <row r="4886" customFormat="1" x14ac:dyDescent="0.3"/>
    <row r="4887" customFormat="1" x14ac:dyDescent="0.3"/>
    <row r="4888" customFormat="1" x14ac:dyDescent="0.3"/>
    <row r="4889" customFormat="1" x14ac:dyDescent="0.3"/>
    <row r="4890" customFormat="1" x14ac:dyDescent="0.3"/>
    <row r="4891" customFormat="1" x14ac:dyDescent="0.3"/>
    <row r="4892" customFormat="1" x14ac:dyDescent="0.3"/>
    <row r="4893" customFormat="1" x14ac:dyDescent="0.3"/>
    <row r="4894" customFormat="1" x14ac:dyDescent="0.3"/>
    <row r="4895" customFormat="1" x14ac:dyDescent="0.3"/>
    <row r="4896" customFormat="1" x14ac:dyDescent="0.3"/>
    <row r="4897" customFormat="1" x14ac:dyDescent="0.3"/>
    <row r="4898" customFormat="1" x14ac:dyDescent="0.3"/>
    <row r="4899" customFormat="1" x14ac:dyDescent="0.3"/>
    <row r="4900" customFormat="1" x14ac:dyDescent="0.3"/>
    <row r="4901" customFormat="1" x14ac:dyDescent="0.3"/>
    <row r="4902" customFormat="1" x14ac:dyDescent="0.3"/>
    <row r="4903" customFormat="1" x14ac:dyDescent="0.3"/>
    <row r="4904" customFormat="1" x14ac:dyDescent="0.3"/>
    <row r="4905" customFormat="1" x14ac:dyDescent="0.3"/>
    <row r="4906" customFormat="1" x14ac:dyDescent="0.3"/>
    <row r="4907" customFormat="1" x14ac:dyDescent="0.3"/>
    <row r="4908" customFormat="1" x14ac:dyDescent="0.3"/>
    <row r="4909" customFormat="1" x14ac:dyDescent="0.3"/>
    <row r="4910" customFormat="1" x14ac:dyDescent="0.3"/>
    <row r="4911" customFormat="1" x14ac:dyDescent="0.3"/>
    <row r="4912" customFormat="1" x14ac:dyDescent="0.3"/>
    <row r="4913" customFormat="1" x14ac:dyDescent="0.3"/>
    <row r="4914" customFormat="1" x14ac:dyDescent="0.3"/>
    <row r="4915" customFormat="1" x14ac:dyDescent="0.3"/>
    <row r="4916" customFormat="1" x14ac:dyDescent="0.3"/>
    <row r="4917" customFormat="1" x14ac:dyDescent="0.3"/>
    <row r="4918" customFormat="1" x14ac:dyDescent="0.3"/>
    <row r="4919" customFormat="1" x14ac:dyDescent="0.3"/>
    <row r="4920" customFormat="1" x14ac:dyDescent="0.3"/>
    <row r="4921" customFormat="1" x14ac:dyDescent="0.3"/>
    <row r="4922" customFormat="1" x14ac:dyDescent="0.3"/>
    <row r="4923" customFormat="1" x14ac:dyDescent="0.3"/>
    <row r="4924" customFormat="1" x14ac:dyDescent="0.3"/>
    <row r="4925" customFormat="1" x14ac:dyDescent="0.3"/>
    <row r="4926" customFormat="1" x14ac:dyDescent="0.3"/>
    <row r="4927" customFormat="1" x14ac:dyDescent="0.3"/>
    <row r="4928" customFormat="1" x14ac:dyDescent="0.3"/>
    <row r="4929" customFormat="1" x14ac:dyDescent="0.3"/>
    <row r="4930" customFormat="1" x14ac:dyDescent="0.3"/>
    <row r="4931" customFormat="1" x14ac:dyDescent="0.3"/>
    <row r="4932" customFormat="1" x14ac:dyDescent="0.3"/>
    <row r="4933" customFormat="1" x14ac:dyDescent="0.3"/>
    <row r="4934" customFormat="1" x14ac:dyDescent="0.3"/>
    <row r="4935" customFormat="1" x14ac:dyDescent="0.3"/>
    <row r="4936" customFormat="1" x14ac:dyDescent="0.3"/>
    <row r="4937" customFormat="1" x14ac:dyDescent="0.3"/>
    <row r="4938" customFormat="1" x14ac:dyDescent="0.3"/>
    <row r="4939" customFormat="1" x14ac:dyDescent="0.3"/>
    <row r="4940" customFormat="1" x14ac:dyDescent="0.3"/>
    <row r="4941" customFormat="1" x14ac:dyDescent="0.3"/>
    <row r="4942" customFormat="1" x14ac:dyDescent="0.3"/>
    <row r="4943" customFormat="1" x14ac:dyDescent="0.3"/>
    <row r="4944" customFormat="1" x14ac:dyDescent="0.3"/>
    <row r="4945" customFormat="1" x14ac:dyDescent="0.3"/>
    <row r="4946" customFormat="1" x14ac:dyDescent="0.3"/>
    <row r="4947" customFormat="1" x14ac:dyDescent="0.3"/>
    <row r="4948" customFormat="1" x14ac:dyDescent="0.3"/>
    <row r="4949" customFormat="1" x14ac:dyDescent="0.3"/>
    <row r="4950" customFormat="1" x14ac:dyDescent="0.3"/>
    <row r="4951" customFormat="1" x14ac:dyDescent="0.3"/>
    <row r="4952" customFormat="1" x14ac:dyDescent="0.3"/>
    <row r="4953" customFormat="1" x14ac:dyDescent="0.3"/>
    <row r="4954" customFormat="1" x14ac:dyDescent="0.3"/>
    <row r="4955" customFormat="1" x14ac:dyDescent="0.3"/>
    <row r="4956" customFormat="1" x14ac:dyDescent="0.3"/>
    <row r="4957" customFormat="1" x14ac:dyDescent="0.3"/>
    <row r="4958" customFormat="1" x14ac:dyDescent="0.3"/>
    <row r="4959" customFormat="1" x14ac:dyDescent="0.3"/>
    <row r="4960" customFormat="1" x14ac:dyDescent="0.3"/>
    <row r="4961" customFormat="1" x14ac:dyDescent="0.3"/>
    <row r="4962" customFormat="1" x14ac:dyDescent="0.3"/>
    <row r="4963" customFormat="1" x14ac:dyDescent="0.3"/>
    <row r="4964" customFormat="1" x14ac:dyDescent="0.3"/>
    <row r="4965" customFormat="1" x14ac:dyDescent="0.3"/>
    <row r="4966" customFormat="1" x14ac:dyDescent="0.3"/>
    <row r="4967" customFormat="1" x14ac:dyDescent="0.3"/>
    <row r="4968" customFormat="1" x14ac:dyDescent="0.3"/>
    <row r="4969" customFormat="1" x14ac:dyDescent="0.3"/>
    <row r="4970" customFormat="1" x14ac:dyDescent="0.3"/>
    <row r="4971" customFormat="1" x14ac:dyDescent="0.3"/>
    <row r="4972" customFormat="1" x14ac:dyDescent="0.3"/>
    <row r="4973" customFormat="1" x14ac:dyDescent="0.3"/>
    <row r="4974" customFormat="1" x14ac:dyDescent="0.3"/>
    <row r="4975" customFormat="1" x14ac:dyDescent="0.3"/>
    <row r="4976" customFormat="1" x14ac:dyDescent="0.3"/>
    <row r="4977" customFormat="1" x14ac:dyDescent="0.3"/>
    <row r="4978" customFormat="1" x14ac:dyDescent="0.3"/>
    <row r="4979" customFormat="1" x14ac:dyDescent="0.3"/>
    <row r="4980" customFormat="1" x14ac:dyDescent="0.3"/>
    <row r="4981" customFormat="1" x14ac:dyDescent="0.3"/>
    <row r="4982" customFormat="1" x14ac:dyDescent="0.3"/>
    <row r="4983" customFormat="1" x14ac:dyDescent="0.3"/>
    <row r="4984" customFormat="1" x14ac:dyDescent="0.3"/>
    <row r="4985" customFormat="1" x14ac:dyDescent="0.3"/>
    <row r="4986" customFormat="1" x14ac:dyDescent="0.3"/>
    <row r="4987" customFormat="1" x14ac:dyDescent="0.3"/>
    <row r="4988" customFormat="1" x14ac:dyDescent="0.3"/>
    <row r="4989" customFormat="1" x14ac:dyDescent="0.3"/>
    <row r="4990" customFormat="1" x14ac:dyDescent="0.3"/>
    <row r="4991" customFormat="1" x14ac:dyDescent="0.3"/>
    <row r="4992" customFormat="1" x14ac:dyDescent="0.3"/>
    <row r="4993" customFormat="1" x14ac:dyDescent="0.3"/>
    <row r="4994" customFormat="1" x14ac:dyDescent="0.3"/>
    <row r="4995" customFormat="1" x14ac:dyDescent="0.3"/>
    <row r="4996" customFormat="1" x14ac:dyDescent="0.3"/>
    <row r="4997" customFormat="1" x14ac:dyDescent="0.3"/>
    <row r="4998" customFormat="1" x14ac:dyDescent="0.3"/>
    <row r="4999" customFormat="1" x14ac:dyDescent="0.3"/>
    <row r="5000" customFormat="1" x14ac:dyDescent="0.3"/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A0D3C-1627-4B50-A430-0B1CCA9EEA91}">
  <sheetPr codeName="Planilha13"/>
  <dimension ref="A1:L2968"/>
  <sheetViews>
    <sheetView workbookViewId="0">
      <selection activeCell="D2" sqref="D2"/>
    </sheetView>
  </sheetViews>
  <sheetFormatPr defaultRowHeight="14.4" x14ac:dyDescent="0.3"/>
  <cols>
    <col min="1" max="1" width="11" bestFit="1" customWidth="1"/>
    <col min="2" max="2" width="12.33203125" bestFit="1" customWidth="1"/>
    <col min="3" max="3" width="26.77734375" customWidth="1"/>
    <col min="4" max="4" width="11.21875" bestFit="1" customWidth="1"/>
    <col min="5" max="5" width="14.88671875" style="1" bestFit="1" customWidth="1"/>
    <col min="6" max="6" width="14.88671875" style="1" customWidth="1"/>
    <col min="7" max="7" width="10.33203125" style="1" bestFit="1" customWidth="1"/>
    <col min="8" max="8" width="14.88671875" style="1" customWidth="1"/>
    <col min="9" max="9" width="13.44140625" style="1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15</v>
      </c>
      <c r="F1" t="s">
        <v>16</v>
      </c>
      <c r="G1" t="s">
        <v>20</v>
      </c>
      <c r="H1" t="str">
        <f>IFERROR(IF(H2&lt;0,"PREJUÍZO","LUCRO"),"")</f>
        <v>LUCRO</v>
      </c>
      <c r="I1" t="s">
        <v>18</v>
      </c>
      <c r="J1" s="6" t="str">
        <f>IFERROR(D2/G2-1,"")</f>
        <v/>
      </c>
      <c r="K1" t="str">
        <f>LEFT(J1,4)</f>
        <v/>
      </c>
      <c r="L1" t="str">
        <f>RIGHT(K1,2)</f>
        <v/>
      </c>
    </row>
    <row r="2" spans="1:12" x14ac:dyDescent="0.3">
      <c r="B2" t="str">
        <f>IFERROR(VLOOKUP(A2,CadProd!$A:$B,2,0),"")</f>
        <v/>
      </c>
      <c r="C2" t="str">
        <f>IFERROR(VLOOKUP(A2,CadProd!$A:$C,3,0),"")</f>
        <v/>
      </c>
      <c r="D2" s="1"/>
      <c r="E2" s="1">
        <f>IFERROR(VLOOKUP(A2,Estoque!$A:$G,7,0),0)</f>
        <v>0</v>
      </c>
      <c r="F2" s="1">
        <f>IFERROR(IF(A2="",0,VLOOKUP(J2,CustosInfo!$A:$D,4,0)),0)</f>
        <v>0</v>
      </c>
      <c r="G2" s="1">
        <f>E2+F2</f>
        <v>0</v>
      </c>
      <c r="H2" s="1">
        <f>D2-G2</f>
        <v>0</v>
      </c>
      <c r="I2" s="3" t="str">
        <f>IFERROR(IF(A2="","",IF(H2&lt;0,"PREJUÍZO","LUCRO DE "&amp;L1&amp;"%")),"")</f>
        <v/>
      </c>
      <c r="J2" t="str">
        <f ca="1">BD_INFO!F3</f>
        <v>03_2023</v>
      </c>
    </row>
    <row r="3" spans="1:12" x14ac:dyDescent="0.3">
      <c r="B3" t="str">
        <f>IFERROR(IF(A3="","",VLOOKUP(A3,CadProd!$A:$B,2,0)),"")</f>
        <v/>
      </c>
      <c r="C3" t="str">
        <f>IFERROR(IF(A3="","",VLOOKUP(A3,CadProd!$A:$C,3,0)),"")</f>
        <v/>
      </c>
      <c r="I3" s="1" t="str">
        <f>IFERROR(IF(A3="","",E3*#REF!),"")</f>
        <v/>
      </c>
    </row>
    <row r="4" spans="1:12" x14ac:dyDescent="0.3">
      <c r="A4" s="2"/>
      <c r="C4" t="str">
        <f>IFERROR(IF(A4="","",VLOOKUP(A4,CadProd!$A:$C,3,0)),"")</f>
        <v/>
      </c>
      <c r="I4" s="1" t="str">
        <f>IFERROR(IF(A4="","",E4*#REF!),"")</f>
        <v/>
      </c>
    </row>
    <row r="5" spans="1:12" x14ac:dyDescent="0.3">
      <c r="B5" t="str">
        <f>IFERROR(IF(A5="","",VLOOKUP(A5,CadProd!$A:$B,2,0)),"")</f>
        <v/>
      </c>
      <c r="C5" t="str">
        <f>IFERROR(IF(A5="","",VLOOKUP(A5,CadProd!$A:$C,3,0)),"")</f>
        <v/>
      </c>
      <c r="I5" s="1" t="str">
        <f>IFERROR(IF(A5="","",E5*#REF!),"")</f>
        <v/>
      </c>
    </row>
    <row r="6" spans="1:12" x14ac:dyDescent="0.3">
      <c r="B6" t="str">
        <f>IFERROR(IF(A6="","",VLOOKUP(A6,CadProd!$A:$B,2,0)),"")</f>
        <v/>
      </c>
      <c r="C6" t="str">
        <f>IFERROR(IF(A6="","",VLOOKUP(A6,CadProd!$A:$C,3,0)),"")</f>
        <v/>
      </c>
      <c r="I6" s="1" t="str">
        <f>IFERROR(IF(A6="","",E6*#REF!),"")</f>
        <v/>
      </c>
    </row>
    <row r="7" spans="1:12" x14ac:dyDescent="0.3">
      <c r="B7" t="str">
        <f>IFERROR(IF(A7="","",VLOOKUP(A7,CadProd!$A:$B,2,0)),"")</f>
        <v/>
      </c>
      <c r="C7" t="str">
        <f>IFERROR(IF(A7="","",VLOOKUP(A7,CadProd!$A:$C,3,0)),"")</f>
        <v/>
      </c>
      <c r="I7" s="1" t="str">
        <f>IFERROR(IF(A7="","",E7*#REF!),"")</f>
        <v/>
      </c>
    </row>
    <row r="8" spans="1:12" x14ac:dyDescent="0.3">
      <c r="B8" t="str">
        <f>IFERROR(IF(A8="","",VLOOKUP(A8,CadProd!$A:$B,2,0)),"")</f>
        <v/>
      </c>
      <c r="C8" t="str">
        <f>IFERROR(IF(A8="","",VLOOKUP(A8,CadProd!$A:$C,3,0)),"")</f>
        <v/>
      </c>
      <c r="I8" s="1" t="str">
        <f>IFERROR(IF(A8="","",E8*#REF!),"")</f>
        <v/>
      </c>
    </row>
    <row r="9" spans="1:12" x14ac:dyDescent="0.3">
      <c r="B9" t="str">
        <f>IFERROR(IF(A9="","",VLOOKUP(A9,CadProd!$A:$B,2,0)),"")</f>
        <v/>
      </c>
      <c r="C9" t="str">
        <f>IFERROR(IF(A9="","",VLOOKUP(A9,CadProd!$A:$C,3,0)),"")</f>
        <v/>
      </c>
      <c r="I9" s="1" t="str">
        <f>IFERROR(IF(A9="","",E9*#REF!),"")</f>
        <v/>
      </c>
    </row>
    <row r="10" spans="1:12" x14ac:dyDescent="0.3">
      <c r="B10" t="str">
        <f>IFERROR(IF(A10="","",VLOOKUP(A10,CadProd!$A:$B,2,0)),"")</f>
        <v/>
      </c>
      <c r="I10" s="1" t="str">
        <f>IFERROR(IF(A10="","",E10*#REF!),"")</f>
        <v/>
      </c>
    </row>
    <row r="11" spans="1:12" x14ac:dyDescent="0.3">
      <c r="B11" t="str">
        <f>IFERROR(IF(A11="","",VLOOKUP(A11,CadProd!$A:$B,2,0)),"")</f>
        <v/>
      </c>
      <c r="C11" t="str">
        <f>IFERROR(IF(A11="","",VLOOKUP(A11,CadProd!$A:$C,3,0)),"")</f>
        <v/>
      </c>
      <c r="I11" s="1" t="str">
        <f>IFERROR(IF(A11="","",E11*#REF!),"")</f>
        <v/>
      </c>
    </row>
    <row r="12" spans="1:12" x14ac:dyDescent="0.3">
      <c r="B12" t="str">
        <f>IFERROR(IF(A12="","",VLOOKUP(A12,CadProd!$A:$B,2,0)),"")</f>
        <v/>
      </c>
      <c r="C12" t="str">
        <f>IFERROR(IF(A12="","",VLOOKUP(A12,CadProd!$A:$C,3,0)),"")</f>
        <v/>
      </c>
      <c r="I12" s="1" t="str">
        <f>IFERROR(IF(A12="","",E12*#REF!),"")</f>
        <v/>
      </c>
    </row>
    <row r="13" spans="1:12" x14ac:dyDescent="0.3">
      <c r="B13" t="str">
        <f>IFERROR(IF(A13="","",VLOOKUP(A13,CadProd!$A:$B,2,0)),"")</f>
        <v/>
      </c>
      <c r="C13" t="str">
        <f>IFERROR(IF(A13="","",VLOOKUP(A13,CadProd!$A:$C,3,0)),"")</f>
        <v/>
      </c>
      <c r="I13" s="1" t="str">
        <f>IFERROR(IF(A13="","",E13*#REF!),"")</f>
        <v/>
      </c>
    </row>
    <row r="14" spans="1:12" x14ac:dyDescent="0.3">
      <c r="B14" t="str">
        <f>IFERROR(IF(A14="","",VLOOKUP(A14,CadProd!$A:$B,2,0)),"")</f>
        <v/>
      </c>
      <c r="C14" t="str">
        <f>IFERROR(IF(A14="","",VLOOKUP(A14,CadProd!$A:$C,3,0)),"")</f>
        <v/>
      </c>
      <c r="I14" s="1" t="str">
        <f>IFERROR(IF(A14="","",E14*#REF!),"")</f>
        <v/>
      </c>
    </row>
    <row r="15" spans="1:12" x14ac:dyDescent="0.3">
      <c r="B15" t="str">
        <f>IFERROR(IF(A15="","",VLOOKUP(A15,CadProd!$A:$B,2,0)),"")</f>
        <v/>
      </c>
      <c r="C15" t="str">
        <f>IFERROR(IF(A15="","",VLOOKUP(A15,CadProd!$A:$C,3,0)),"")</f>
        <v/>
      </c>
      <c r="I15" s="1" t="str">
        <f>IFERROR(IF(A15="","",E15*#REF!),"")</f>
        <v/>
      </c>
    </row>
    <row r="16" spans="1:12" x14ac:dyDescent="0.3">
      <c r="B16" t="str">
        <f>IFERROR(IF(A16="","",VLOOKUP(A16,CadProd!$A:$B,2,0)),"")</f>
        <v/>
      </c>
      <c r="C16" t="str">
        <f>IFERROR(IF(A16="","",VLOOKUP(A16,CadProd!$A:$C,3,0)),"")</f>
        <v/>
      </c>
      <c r="I16" s="1" t="str">
        <f>IFERROR(IF(A16="","",E16*#REF!),"")</f>
        <v/>
      </c>
    </row>
    <row r="17" spans="2:9" x14ac:dyDescent="0.3">
      <c r="B17" t="str">
        <f>IFERROR(IF(A17="","",VLOOKUP(A17,CadProd!$A:$B,2,0)),"")</f>
        <v/>
      </c>
      <c r="C17" t="str">
        <f>IFERROR(IF(A17="","",VLOOKUP(A17,CadProd!$A:$C,3,0)),"")</f>
        <v/>
      </c>
      <c r="I17" s="1" t="str">
        <f>IFERROR(IF(A17="","",E17*#REF!),"")</f>
        <v/>
      </c>
    </row>
    <row r="18" spans="2:9" x14ac:dyDescent="0.3">
      <c r="B18" t="str">
        <f>IFERROR(IF(A18="","",VLOOKUP(A18,CadProd!$A:$B,2,0)),"")</f>
        <v/>
      </c>
      <c r="C18" t="str">
        <f>IFERROR(IF(A18="","",VLOOKUP(A18,CadProd!$A:$C,3,0)),"")</f>
        <v/>
      </c>
      <c r="I18" s="1" t="str">
        <f>IFERROR(IF(A18="","",E18*#REF!),"")</f>
        <v/>
      </c>
    </row>
    <row r="19" spans="2:9" x14ac:dyDescent="0.3">
      <c r="B19" t="str">
        <f>IFERROR(IF(A19="","",VLOOKUP(A19,CadProd!$A:$B,2,0)),"")</f>
        <v/>
      </c>
      <c r="C19" t="str">
        <f>IFERROR(IF(A19="","",VLOOKUP(A19,CadProd!$A:$C,3,0)),"")</f>
        <v/>
      </c>
      <c r="I19" s="1" t="str">
        <f>IFERROR(IF(A19="","",E19*#REF!),"")</f>
        <v/>
      </c>
    </row>
    <row r="20" spans="2:9" x14ac:dyDescent="0.3">
      <c r="B20" t="str">
        <f>IFERROR(IF(A20="","",VLOOKUP(A20,CadProd!$A:$B,2,0)),"")</f>
        <v/>
      </c>
      <c r="C20" t="str">
        <f>IFERROR(IF(A20="","",VLOOKUP(A20,CadProd!$A:$C,3,0)),"")</f>
        <v/>
      </c>
      <c r="I20" s="1" t="str">
        <f>IFERROR(IF(A20="","",E20*#REF!),"")</f>
        <v/>
      </c>
    </row>
    <row r="21" spans="2:9" x14ac:dyDescent="0.3">
      <c r="B21" t="str">
        <f>IFERROR(IF(A21="","",VLOOKUP(A21,CadProd!$A:$B,2,0)),"")</f>
        <v/>
      </c>
      <c r="C21" t="str">
        <f>IFERROR(IF(A21="","",VLOOKUP(A21,CadProd!$A:$C,3,0)),"")</f>
        <v/>
      </c>
      <c r="I21" s="1" t="str">
        <f>IFERROR(IF(A21="","",E21*#REF!),"")</f>
        <v/>
      </c>
    </row>
    <row r="22" spans="2:9" x14ac:dyDescent="0.3">
      <c r="B22" t="str">
        <f>IFERROR(IF(A22="","",VLOOKUP(A22,CadProd!$A:$B,2,0)),"")</f>
        <v/>
      </c>
      <c r="C22" t="str">
        <f>IFERROR(IF(A22="","",VLOOKUP(A22,CadProd!$A:$C,3,0)),"")</f>
        <v/>
      </c>
      <c r="I22" s="1" t="str">
        <f>IFERROR(IF(A22="","",E22*#REF!),"")</f>
        <v/>
      </c>
    </row>
    <row r="23" spans="2:9" x14ac:dyDescent="0.3">
      <c r="B23" t="str">
        <f>IFERROR(IF(A23="","",VLOOKUP(A23,CadProd!$A:$B,2,0)),"")</f>
        <v/>
      </c>
      <c r="C23" t="str">
        <f>IFERROR(IF(A23="","",VLOOKUP(A23,CadProd!$A:$C,3,0)),"")</f>
        <v/>
      </c>
      <c r="I23" s="1" t="str">
        <f>IFERROR(IF(A23="","",E23*#REF!),"")</f>
        <v/>
      </c>
    </row>
    <row r="24" spans="2:9" x14ac:dyDescent="0.3">
      <c r="B24" t="str">
        <f>IFERROR(IF(A24="","",VLOOKUP(A24,CadProd!$A:$B,2,0)),"")</f>
        <v/>
      </c>
      <c r="C24" t="str">
        <f>IFERROR(IF(A24="","",VLOOKUP(A24,CadProd!$A:$C,3,0)),"")</f>
        <v/>
      </c>
      <c r="I24" s="1" t="str">
        <f>IFERROR(IF(A24="","",E24*#REF!),"")</f>
        <v/>
      </c>
    </row>
    <row r="25" spans="2:9" x14ac:dyDescent="0.3">
      <c r="B25" t="str">
        <f>IFERROR(IF(A25="","",VLOOKUP(A25,CadProd!$A:$B,2,0)),"")</f>
        <v/>
      </c>
      <c r="C25" t="str">
        <f>IFERROR(IF(A25="","",VLOOKUP(A25,CadProd!$A:$C,3,0)),"")</f>
        <v/>
      </c>
      <c r="I25" s="1" t="str">
        <f>IFERROR(IF(A25="","",E25*#REF!),"")</f>
        <v/>
      </c>
    </row>
    <row r="26" spans="2:9" x14ac:dyDescent="0.3">
      <c r="B26" t="str">
        <f>IFERROR(IF(A26="","",VLOOKUP(A26,CadProd!$A:$B,2,0)),"")</f>
        <v/>
      </c>
      <c r="C26" t="str">
        <f>IFERROR(IF(A26="","",VLOOKUP(A26,CadProd!$A:$C,3,0)),"")</f>
        <v/>
      </c>
      <c r="I26" s="1" t="str">
        <f>IFERROR(IF(A26="","",E26*#REF!),"")</f>
        <v/>
      </c>
    </row>
    <row r="27" spans="2:9" x14ac:dyDescent="0.3">
      <c r="B27" t="str">
        <f>IFERROR(IF(A27="","",VLOOKUP(A27,CadProd!$A:$B,2,0)),"")</f>
        <v/>
      </c>
      <c r="C27" t="str">
        <f>IFERROR(IF(A27="","",VLOOKUP(A27,CadProd!$A:$C,3,0)),"")</f>
        <v/>
      </c>
      <c r="I27" s="1" t="str">
        <f>IFERROR(IF(A27="","",E27*#REF!),"")</f>
        <v/>
      </c>
    </row>
    <row r="28" spans="2:9" x14ac:dyDescent="0.3">
      <c r="B28" t="str">
        <f>IFERROR(IF(A28="","",VLOOKUP(A28,CadProd!$A:$B,2,0)),"")</f>
        <v/>
      </c>
      <c r="C28" t="str">
        <f>IFERROR(IF(A28="","",VLOOKUP(A28,CadProd!$A:$C,3,0)),"")</f>
        <v/>
      </c>
      <c r="I28" s="1" t="str">
        <f>IFERROR(IF(A28="","",E28*#REF!),"")</f>
        <v/>
      </c>
    </row>
    <row r="29" spans="2:9" x14ac:dyDescent="0.3">
      <c r="B29" t="str">
        <f>IFERROR(IF(A29="","",VLOOKUP(A29,CadProd!$A:$B,2,0)),"")</f>
        <v/>
      </c>
      <c r="C29" t="str">
        <f>IFERROR(IF(A29="","",VLOOKUP(A29,CadProd!$A:$C,3,0)),"")</f>
        <v/>
      </c>
      <c r="I29" s="1" t="str">
        <f>IFERROR(IF(A29="","",E29*#REF!),"")</f>
        <v/>
      </c>
    </row>
    <row r="30" spans="2:9" x14ac:dyDescent="0.3">
      <c r="B30" t="str">
        <f>IFERROR(IF(A30="","",VLOOKUP(A30,CadProd!$A:$B,2,0)),"")</f>
        <v/>
      </c>
      <c r="C30" t="str">
        <f>IFERROR(IF(A30="","",VLOOKUP(A30,CadProd!$A:$C,3,0)),"")</f>
        <v/>
      </c>
      <c r="I30" s="1" t="str">
        <f>IFERROR(IF(A30="","",E30*#REF!),"")</f>
        <v/>
      </c>
    </row>
    <row r="31" spans="2:9" x14ac:dyDescent="0.3">
      <c r="B31" t="str">
        <f>IFERROR(IF(A31="","",VLOOKUP(A31,CadProd!$A:$B,2,0)),"")</f>
        <v/>
      </c>
      <c r="C31" t="str">
        <f>IFERROR(IF(A31="","",VLOOKUP(A31,CadProd!$A:$C,3,0)),"")</f>
        <v/>
      </c>
      <c r="I31" s="1" t="str">
        <f>IFERROR(IF(A31="","",E31*#REF!),"")</f>
        <v/>
      </c>
    </row>
    <row r="32" spans="2:9" x14ac:dyDescent="0.3">
      <c r="B32" t="str">
        <f>IFERROR(IF(A32="","",VLOOKUP(A32,CadProd!$A:$B,2,0)),"")</f>
        <v/>
      </c>
      <c r="C32" t="str">
        <f>IFERROR(IF(A32="","",VLOOKUP(A32,CadProd!$A:$C,3,0)),"")</f>
        <v/>
      </c>
      <c r="I32" s="1" t="str">
        <f>IFERROR(IF(A32="","",E32*#REF!),"")</f>
        <v/>
      </c>
    </row>
    <row r="33" spans="2:9" x14ac:dyDescent="0.3">
      <c r="B33" t="str">
        <f>IFERROR(IF(A33="","",VLOOKUP(A33,CadProd!$A:$B,2,0)),"")</f>
        <v/>
      </c>
      <c r="C33" t="str">
        <f>IFERROR(IF(A33="","",VLOOKUP(A33,CadProd!$A:$C,3,0)),"")</f>
        <v/>
      </c>
      <c r="I33" s="1" t="str">
        <f>IFERROR(IF(A33="","",E33*#REF!),"")</f>
        <v/>
      </c>
    </row>
    <row r="34" spans="2:9" x14ac:dyDescent="0.3">
      <c r="B34" t="str">
        <f>IFERROR(IF(A34="","",VLOOKUP(A34,CadProd!$A:$B,2,0)),"")</f>
        <v/>
      </c>
      <c r="C34" t="str">
        <f>IFERROR(IF(A34="","",VLOOKUP(A34,CadProd!$A:$C,3,0)),"")</f>
        <v/>
      </c>
      <c r="I34" s="1" t="str">
        <f>IFERROR(IF(A34="","",E34*#REF!),"")</f>
        <v/>
      </c>
    </row>
    <row r="35" spans="2:9" x14ac:dyDescent="0.3">
      <c r="B35" t="str">
        <f>IFERROR(IF(A35="","",VLOOKUP(A35,CadProd!$A:$B,2,0)),"")</f>
        <v/>
      </c>
      <c r="C35" t="str">
        <f>IFERROR(IF(A35="","",VLOOKUP(A35,CadProd!$A:$C,3,0)),"")</f>
        <v/>
      </c>
      <c r="I35" s="1" t="str">
        <f>IFERROR(IF(A35="","",E35*#REF!),"")</f>
        <v/>
      </c>
    </row>
    <row r="36" spans="2:9" x14ac:dyDescent="0.3">
      <c r="B36" t="str">
        <f>IFERROR(IF(A36="","",VLOOKUP(A36,CadProd!$A:$B,2,0)),"")</f>
        <v/>
      </c>
      <c r="C36" t="str">
        <f>IFERROR(IF(A36="","",VLOOKUP(A36,CadProd!$A:$C,3,0)),"")</f>
        <v/>
      </c>
      <c r="I36" s="1" t="str">
        <f>IFERROR(IF(A36="","",E36*#REF!),"")</f>
        <v/>
      </c>
    </row>
    <row r="37" spans="2:9" x14ac:dyDescent="0.3">
      <c r="B37" t="str">
        <f>IFERROR(IF(A37="","",VLOOKUP(A37,CadProd!$A:$B,2,0)),"")</f>
        <v/>
      </c>
      <c r="C37" t="str">
        <f>IFERROR(IF(A37="","",VLOOKUP(A37,CadProd!$A:$C,3,0)),"")</f>
        <v/>
      </c>
      <c r="I37" s="1" t="str">
        <f>IFERROR(IF(A37="","",E37*#REF!),"")</f>
        <v/>
      </c>
    </row>
    <row r="38" spans="2:9" x14ac:dyDescent="0.3">
      <c r="B38" t="str">
        <f>IFERROR(IF(A38="","",VLOOKUP(A38,CadProd!$A:$B,2,0)),"")</f>
        <v/>
      </c>
      <c r="C38" t="str">
        <f>IFERROR(IF(A38="","",VLOOKUP(A38,CadProd!$A:$C,3,0)),"")</f>
        <v/>
      </c>
      <c r="I38" s="1" t="str">
        <f>IFERROR(IF(A38="","",E38*#REF!),"")</f>
        <v/>
      </c>
    </row>
    <row r="39" spans="2:9" x14ac:dyDescent="0.3">
      <c r="B39" t="str">
        <f>IFERROR(IF(A39="","",VLOOKUP(A39,CadProd!$A:$B,2,0)),"")</f>
        <v/>
      </c>
      <c r="C39" t="str">
        <f>IFERROR(IF(A39="","",VLOOKUP(A39,CadProd!$A:$C,3,0)),"")</f>
        <v/>
      </c>
      <c r="I39" s="1" t="str">
        <f>IFERROR(IF(A39="","",E39*#REF!),"")</f>
        <v/>
      </c>
    </row>
    <row r="40" spans="2:9" x14ac:dyDescent="0.3">
      <c r="B40" t="str">
        <f>IFERROR(IF(A40="","",VLOOKUP(A40,CadProd!$A:$B,2,0)),"")</f>
        <v/>
      </c>
      <c r="C40" t="str">
        <f>IFERROR(IF(A40="","",VLOOKUP(A40,CadProd!$A:$C,3,0)),"")</f>
        <v/>
      </c>
      <c r="I40" s="1" t="str">
        <f>IFERROR(IF(A40="","",E40*#REF!),"")</f>
        <v/>
      </c>
    </row>
    <row r="41" spans="2:9" x14ac:dyDescent="0.3">
      <c r="B41" t="str">
        <f>IFERROR(IF(A41="","",VLOOKUP(A41,CadProd!$A:$B,2,0)),"")</f>
        <v/>
      </c>
      <c r="C41" t="str">
        <f>IFERROR(IF(A41="","",VLOOKUP(A41,CadProd!$A:$C,3,0)),"")</f>
        <v/>
      </c>
      <c r="I41" s="1" t="str">
        <f>IFERROR(IF(A41="","",E41*#REF!),"")</f>
        <v/>
      </c>
    </row>
    <row r="42" spans="2:9" x14ac:dyDescent="0.3">
      <c r="B42" t="str">
        <f>IFERROR(IF(A42="","",VLOOKUP(A42,CadProd!$A:$B,2,0)),"")</f>
        <v/>
      </c>
      <c r="C42" t="str">
        <f>IFERROR(IF(A42="","",VLOOKUP(A42,CadProd!$A:$C,3,0)),"")</f>
        <v/>
      </c>
      <c r="I42" s="1" t="str">
        <f>IFERROR(IF(A42="","",E42*#REF!),"")</f>
        <v/>
      </c>
    </row>
    <row r="43" spans="2:9" x14ac:dyDescent="0.3">
      <c r="B43" t="str">
        <f>IFERROR(IF(A43="","",VLOOKUP(A43,CadProd!$A:$B,2,0)),"")</f>
        <v/>
      </c>
      <c r="C43" t="str">
        <f>IFERROR(IF(A43="","",VLOOKUP(A43,CadProd!$A:$C,3,0)),"")</f>
        <v/>
      </c>
      <c r="I43" s="1" t="str">
        <f>IFERROR(IF(A43="","",E43*#REF!),"")</f>
        <v/>
      </c>
    </row>
    <row r="44" spans="2:9" x14ac:dyDescent="0.3">
      <c r="B44" t="str">
        <f>IFERROR(IF(A44="","",VLOOKUP(A44,CadProd!$A:$B,2,0)),"")</f>
        <v/>
      </c>
      <c r="C44" t="str">
        <f>IFERROR(IF(A44="","",VLOOKUP(A44,CadProd!$A:$C,3,0)),"")</f>
        <v/>
      </c>
      <c r="I44" s="1" t="str">
        <f>IFERROR(IF(A44="","",E44*#REF!),"")</f>
        <v/>
      </c>
    </row>
    <row r="45" spans="2:9" x14ac:dyDescent="0.3">
      <c r="B45" t="str">
        <f>IFERROR(IF(A45="","",VLOOKUP(A45,CadProd!$A:$B,2,0)),"")</f>
        <v/>
      </c>
      <c r="C45" t="str">
        <f>IFERROR(IF(A45="","",VLOOKUP(A45,CadProd!$A:$C,3,0)),"")</f>
        <v/>
      </c>
      <c r="I45" s="1" t="str">
        <f>IFERROR(IF(A45="","",E45*#REF!),"")</f>
        <v/>
      </c>
    </row>
    <row r="46" spans="2:9" x14ac:dyDescent="0.3">
      <c r="B46" t="str">
        <f>IFERROR(IF(A46="","",VLOOKUP(A46,CadProd!$A:$B,2,0)),"")</f>
        <v/>
      </c>
      <c r="C46" t="str">
        <f>IFERROR(IF(A46="","",VLOOKUP(A46,CadProd!$A:$C,3,0)),"")</f>
        <v/>
      </c>
      <c r="I46" s="1" t="str">
        <f>IFERROR(IF(A46="","",E46*#REF!),"")</f>
        <v/>
      </c>
    </row>
    <row r="47" spans="2:9" x14ac:dyDescent="0.3">
      <c r="B47" t="str">
        <f>IFERROR(IF(A47="","",VLOOKUP(A47,CadProd!$A:$B,2,0)),"")</f>
        <v/>
      </c>
      <c r="C47" t="str">
        <f>IFERROR(IF(A47="","",VLOOKUP(A47,CadProd!$A:$C,3,0)),"")</f>
        <v/>
      </c>
      <c r="I47" s="1" t="str">
        <f>IFERROR(IF(A47="","",E47*#REF!),"")</f>
        <v/>
      </c>
    </row>
    <row r="48" spans="2:9" x14ac:dyDescent="0.3">
      <c r="B48" t="str">
        <f>IFERROR(IF(A48="","",VLOOKUP(A48,CadProd!$A:$B,2,0)),"")</f>
        <v/>
      </c>
      <c r="C48" t="str">
        <f>IFERROR(IF(A48="","",VLOOKUP(A48,CadProd!$A:$C,3,0)),"")</f>
        <v/>
      </c>
      <c r="I48" s="1" t="str">
        <f>IFERROR(IF(A48="","",E48*#REF!),"")</f>
        <v/>
      </c>
    </row>
    <row r="49" spans="2:9" x14ac:dyDescent="0.3">
      <c r="B49" t="str">
        <f>IFERROR(IF(A49="","",VLOOKUP(A49,CadProd!$A:$B,2,0)),"")</f>
        <v/>
      </c>
      <c r="C49" t="str">
        <f>IFERROR(IF(A49="","",VLOOKUP(A49,CadProd!$A:$C,3,0)),"")</f>
        <v/>
      </c>
      <c r="I49" s="1" t="str">
        <f>IFERROR(IF(A49="","",E49*#REF!),"")</f>
        <v/>
      </c>
    </row>
    <row r="50" spans="2:9" x14ac:dyDescent="0.3">
      <c r="B50" t="str">
        <f>IFERROR(IF(A50="","",VLOOKUP(A50,CadProd!$A:$B,2,0)),"")</f>
        <v/>
      </c>
      <c r="C50" t="str">
        <f>IFERROR(IF(A50="","",VLOOKUP(A50,CadProd!$A:$C,3,0)),"")</f>
        <v/>
      </c>
      <c r="I50" s="1" t="str">
        <f>IFERROR(IF(A50="","",E50*#REF!),"")</f>
        <v/>
      </c>
    </row>
    <row r="51" spans="2:9" x14ac:dyDescent="0.3">
      <c r="B51" t="str">
        <f>IFERROR(IF(A51="","",VLOOKUP(A51,CadProd!$A:$B,2,0)),"")</f>
        <v/>
      </c>
      <c r="C51" t="str">
        <f>IFERROR(IF(A51="","",VLOOKUP(A51,CadProd!$A:$C,3,0)),"")</f>
        <v/>
      </c>
      <c r="I51" s="1" t="str">
        <f>IFERROR(IF(A51="","",E51*#REF!),"")</f>
        <v/>
      </c>
    </row>
    <row r="52" spans="2:9" x14ac:dyDescent="0.3">
      <c r="B52" t="str">
        <f>IFERROR(IF(A52="","",VLOOKUP(A52,CadProd!$A:$B,2,0)),"")</f>
        <v/>
      </c>
      <c r="C52" t="str">
        <f>IFERROR(IF(A52="","",VLOOKUP(A52,CadProd!$A:$C,3,0)),"")</f>
        <v/>
      </c>
      <c r="I52" s="1" t="str">
        <f>IFERROR(IF(A52="","",E52*#REF!),"")</f>
        <v/>
      </c>
    </row>
    <row r="53" spans="2:9" x14ac:dyDescent="0.3">
      <c r="B53" t="str">
        <f>IFERROR(IF(A53="","",VLOOKUP(A53,CadProd!$A:$B,2,0)),"")</f>
        <v/>
      </c>
      <c r="C53" t="str">
        <f>IFERROR(IF(A53="","",VLOOKUP(A53,CadProd!$A:$C,3,0)),"")</f>
        <v/>
      </c>
      <c r="I53" s="1" t="str">
        <f>IFERROR(IF(A53="","",E53*#REF!),"")</f>
        <v/>
      </c>
    </row>
    <row r="54" spans="2:9" x14ac:dyDescent="0.3">
      <c r="B54" t="str">
        <f>IFERROR(IF(A54="","",VLOOKUP(A54,CadProd!$A:$B,2,0)),"")</f>
        <v/>
      </c>
      <c r="C54" t="str">
        <f>IFERROR(IF(A54="","",VLOOKUP(A54,CadProd!$A:$C,3,0)),"")</f>
        <v/>
      </c>
      <c r="I54" s="1" t="str">
        <f>IFERROR(IF(A54="","",E54*#REF!),"")</f>
        <v/>
      </c>
    </row>
    <row r="55" spans="2:9" x14ac:dyDescent="0.3">
      <c r="B55" t="str">
        <f>IFERROR(IF(A55="","",VLOOKUP(A55,CadProd!$A:$B,2,0)),"")</f>
        <v/>
      </c>
      <c r="C55" t="str">
        <f>IFERROR(IF(A55="","",VLOOKUP(A55,CadProd!$A:$C,3,0)),"")</f>
        <v/>
      </c>
      <c r="I55" s="1" t="str">
        <f>IFERROR(IF(A55="","",E55*#REF!),"")</f>
        <v/>
      </c>
    </row>
    <row r="56" spans="2:9" x14ac:dyDescent="0.3">
      <c r="B56" t="str">
        <f>IFERROR(IF(A56="","",VLOOKUP(A56,CadProd!$A:$B,2,0)),"")</f>
        <v/>
      </c>
      <c r="C56" t="str">
        <f>IFERROR(IF(A56="","",VLOOKUP(A56,CadProd!$A:$C,3,0)),"")</f>
        <v/>
      </c>
      <c r="I56" s="1" t="str">
        <f>IFERROR(IF(A56="","",E56*#REF!),"")</f>
        <v/>
      </c>
    </row>
    <row r="57" spans="2:9" x14ac:dyDescent="0.3">
      <c r="B57" t="str">
        <f>IFERROR(IF(A57="","",VLOOKUP(A57,CadProd!$A:$B,2,0)),"")</f>
        <v/>
      </c>
      <c r="C57" t="str">
        <f>IFERROR(IF(A57="","",VLOOKUP(A57,CadProd!$A:$C,3,0)),"")</f>
        <v/>
      </c>
      <c r="I57" s="1" t="str">
        <f>IFERROR(IF(A57="","",E57*#REF!),"")</f>
        <v/>
      </c>
    </row>
    <row r="58" spans="2:9" x14ac:dyDescent="0.3">
      <c r="B58" t="str">
        <f>IFERROR(IF(A58="","",VLOOKUP(A58,CadProd!$A:$B,2,0)),"")</f>
        <v/>
      </c>
      <c r="C58" t="str">
        <f>IFERROR(IF(A58="","",VLOOKUP(A58,CadProd!$A:$C,3,0)),"")</f>
        <v/>
      </c>
      <c r="I58" s="1" t="str">
        <f>IFERROR(IF(A58="","",E58*#REF!),"")</f>
        <v/>
      </c>
    </row>
    <row r="59" spans="2:9" x14ac:dyDescent="0.3">
      <c r="B59" t="str">
        <f>IFERROR(IF(A59="","",VLOOKUP(A59,CadProd!$A:$B,2,0)),"")</f>
        <v/>
      </c>
      <c r="C59" t="str">
        <f>IFERROR(IF(A59="","",VLOOKUP(A59,CadProd!$A:$C,3,0)),"")</f>
        <v/>
      </c>
      <c r="I59" s="1" t="str">
        <f>IFERROR(IF(A59="","",E59*#REF!),"")</f>
        <v/>
      </c>
    </row>
    <row r="60" spans="2:9" x14ac:dyDescent="0.3">
      <c r="B60" t="str">
        <f>IFERROR(IF(A60="","",VLOOKUP(A60,CadProd!$A:$B,2,0)),"")</f>
        <v/>
      </c>
      <c r="C60" t="str">
        <f>IFERROR(IF(A60="","",VLOOKUP(A60,CadProd!$A:$C,3,0)),"")</f>
        <v/>
      </c>
      <c r="I60" s="1" t="str">
        <f>IFERROR(IF(A60="","",E60*#REF!),"")</f>
        <v/>
      </c>
    </row>
    <row r="61" spans="2:9" x14ac:dyDescent="0.3">
      <c r="B61" t="str">
        <f>IFERROR(IF(A61="","",VLOOKUP(A61,CadProd!$A:$B,2,0)),"")</f>
        <v/>
      </c>
      <c r="C61" t="str">
        <f>IFERROR(IF(A61="","",VLOOKUP(A61,CadProd!$A:$C,3,0)),"")</f>
        <v/>
      </c>
      <c r="I61" s="1" t="str">
        <f>IFERROR(IF(A61="","",E61*#REF!),"")</f>
        <v/>
      </c>
    </row>
    <row r="62" spans="2:9" x14ac:dyDescent="0.3">
      <c r="B62" t="str">
        <f>IFERROR(IF(A62="","",VLOOKUP(A62,CadProd!$A:$B,2,0)),"")</f>
        <v/>
      </c>
      <c r="C62" t="str">
        <f>IFERROR(IF(A62="","",VLOOKUP(A62,CadProd!$A:$C,3,0)),"")</f>
        <v/>
      </c>
      <c r="I62" s="1" t="str">
        <f>IFERROR(IF(A62="","",E62*#REF!),"")</f>
        <v/>
      </c>
    </row>
    <row r="63" spans="2:9" x14ac:dyDescent="0.3">
      <c r="B63" t="str">
        <f>IFERROR(IF(A63="","",VLOOKUP(A63,CadProd!$A:$B,2,0)),"")</f>
        <v/>
      </c>
      <c r="C63" t="str">
        <f>IFERROR(IF(A63="","",VLOOKUP(A63,CadProd!$A:$C,3,0)),"")</f>
        <v/>
      </c>
      <c r="I63" s="1" t="str">
        <f>IFERROR(IF(A63="","",E63*#REF!),"")</f>
        <v/>
      </c>
    </row>
    <row r="64" spans="2:9" x14ac:dyDescent="0.3">
      <c r="B64" t="str">
        <f>IFERROR(IF(A64="","",VLOOKUP(A64,CadProd!$A:$B,2,0)),"")</f>
        <v/>
      </c>
      <c r="C64" t="str">
        <f>IFERROR(IF(A64="","",VLOOKUP(A64,CadProd!$A:$C,3,0)),"")</f>
        <v/>
      </c>
      <c r="I64" s="1" t="str">
        <f>IFERROR(IF(A64="","",E64*#REF!),"")</f>
        <v/>
      </c>
    </row>
    <row r="65" spans="2:9" x14ac:dyDescent="0.3">
      <c r="B65" t="str">
        <f>IFERROR(IF(A65="","",VLOOKUP(A65,CadProd!$A:$B,2,0)),"")</f>
        <v/>
      </c>
      <c r="C65" t="str">
        <f>IFERROR(IF(A65="","",VLOOKUP(A65,CadProd!$A:$C,3,0)),"")</f>
        <v/>
      </c>
      <c r="I65" s="1" t="str">
        <f>IFERROR(IF(A65="","",E65*#REF!),"")</f>
        <v/>
      </c>
    </row>
    <row r="66" spans="2:9" x14ac:dyDescent="0.3">
      <c r="B66" t="str">
        <f>IFERROR(IF(A66="","",VLOOKUP(A66,CadProd!$A:$B,2,0)),"")</f>
        <v/>
      </c>
      <c r="C66" t="str">
        <f>IFERROR(IF(A66="","",VLOOKUP(A66,CadProd!$A:$C,3,0)),"")</f>
        <v/>
      </c>
      <c r="I66" s="1" t="str">
        <f>IFERROR(IF(A66="","",E66*#REF!),"")</f>
        <v/>
      </c>
    </row>
    <row r="67" spans="2:9" x14ac:dyDescent="0.3">
      <c r="B67" t="str">
        <f>IFERROR(IF(A67="","",VLOOKUP(A67,CadProd!$A:$B,2,0)),"")</f>
        <v/>
      </c>
      <c r="C67" t="str">
        <f>IFERROR(IF(A67="","",VLOOKUP(A67,CadProd!$A:$C,3,0)),"")</f>
        <v/>
      </c>
      <c r="I67" s="1" t="str">
        <f>IFERROR(IF(A67="","",E67*#REF!),"")</f>
        <v/>
      </c>
    </row>
    <row r="68" spans="2:9" x14ac:dyDescent="0.3">
      <c r="B68" t="str">
        <f>IFERROR(IF(A68="","",VLOOKUP(A68,CadProd!$A:$B,2,0)),"")</f>
        <v/>
      </c>
      <c r="C68" t="str">
        <f>IFERROR(IF(A68="","",VLOOKUP(A68,CadProd!$A:$C,3,0)),"")</f>
        <v/>
      </c>
      <c r="I68" s="1" t="str">
        <f>IFERROR(IF(A68="","",E68*#REF!),"")</f>
        <v/>
      </c>
    </row>
    <row r="69" spans="2:9" x14ac:dyDescent="0.3">
      <c r="B69" t="str">
        <f>IFERROR(IF(A69="","",VLOOKUP(A69,CadProd!$A:$B,2,0)),"")</f>
        <v/>
      </c>
      <c r="C69" t="str">
        <f>IFERROR(IF(A69="","",VLOOKUP(A69,CadProd!$A:$C,3,0)),"")</f>
        <v/>
      </c>
      <c r="I69" s="1" t="str">
        <f>IFERROR(IF(A69="","",E69*#REF!),"")</f>
        <v/>
      </c>
    </row>
    <row r="70" spans="2:9" x14ac:dyDescent="0.3">
      <c r="B70" t="str">
        <f>IFERROR(IF(A70="","",VLOOKUP(A70,CadProd!$A:$B,2,0)),"")</f>
        <v/>
      </c>
      <c r="C70" t="str">
        <f>IFERROR(IF(A70="","",VLOOKUP(A70,CadProd!$A:$C,3,0)),"")</f>
        <v/>
      </c>
      <c r="I70" s="1" t="str">
        <f>IFERROR(IF(A70="","",E70*#REF!),"")</f>
        <v/>
      </c>
    </row>
    <row r="71" spans="2:9" x14ac:dyDescent="0.3">
      <c r="B71" t="str">
        <f>IFERROR(IF(A71="","",VLOOKUP(A71,CadProd!$A:$B,2,0)),"")</f>
        <v/>
      </c>
      <c r="C71" t="str">
        <f>IFERROR(IF(A71="","",VLOOKUP(A71,CadProd!$A:$C,3,0)),"")</f>
        <v/>
      </c>
      <c r="I71" s="1" t="str">
        <f>IFERROR(IF(A71="","",E71*#REF!),"")</f>
        <v/>
      </c>
    </row>
    <row r="72" spans="2:9" x14ac:dyDescent="0.3">
      <c r="B72" t="str">
        <f>IFERROR(IF(A72="","",VLOOKUP(A72,CadProd!$A:$B,2,0)),"")</f>
        <v/>
      </c>
      <c r="C72" t="str">
        <f>IFERROR(IF(A72="","",VLOOKUP(A72,CadProd!$A:$C,3,0)),"")</f>
        <v/>
      </c>
      <c r="I72" s="1" t="str">
        <f>IFERROR(IF(A72="","",E72*#REF!),"")</f>
        <v/>
      </c>
    </row>
    <row r="73" spans="2:9" x14ac:dyDescent="0.3">
      <c r="B73" t="str">
        <f>IFERROR(IF(A73="","",VLOOKUP(A73,CadProd!$A:$B,2,0)),"")</f>
        <v/>
      </c>
      <c r="C73" t="str">
        <f>IFERROR(IF(A73="","",VLOOKUP(A73,CadProd!$A:$C,3,0)),"")</f>
        <v/>
      </c>
      <c r="I73" s="1" t="str">
        <f>IFERROR(IF(A73="","",E73*#REF!),"")</f>
        <v/>
      </c>
    </row>
    <row r="74" spans="2:9" x14ac:dyDescent="0.3">
      <c r="B74" t="str">
        <f>IFERROR(IF(A74="","",VLOOKUP(A74,CadProd!$A:$B,2,0)),"")</f>
        <v/>
      </c>
      <c r="C74" t="str">
        <f>IFERROR(IF(A74="","",VLOOKUP(A74,CadProd!$A:$C,3,0)),"")</f>
        <v/>
      </c>
      <c r="I74" s="1" t="str">
        <f>IFERROR(IF(A74="","",E74*#REF!),"")</f>
        <v/>
      </c>
    </row>
    <row r="75" spans="2:9" x14ac:dyDescent="0.3">
      <c r="B75" t="str">
        <f>IFERROR(IF(A75="","",VLOOKUP(A75,CadProd!$A:$B,2,0)),"")</f>
        <v/>
      </c>
      <c r="C75" t="str">
        <f>IFERROR(IF(A75="","",VLOOKUP(A75,CadProd!$A:$C,3,0)),"")</f>
        <v/>
      </c>
      <c r="I75" s="1" t="str">
        <f>IFERROR(IF(A75="","",E75*#REF!),"")</f>
        <v/>
      </c>
    </row>
    <row r="76" spans="2:9" x14ac:dyDescent="0.3">
      <c r="B76" t="str">
        <f>IFERROR(IF(A76="","",VLOOKUP(A76,CadProd!$A:$B,2,0)),"")</f>
        <v/>
      </c>
      <c r="C76" t="str">
        <f>IFERROR(IF(A76="","",VLOOKUP(A76,CadProd!$A:$C,3,0)),"")</f>
        <v/>
      </c>
      <c r="I76" s="1" t="str">
        <f>IFERROR(IF(A76="","",E76*#REF!),"")</f>
        <v/>
      </c>
    </row>
    <row r="77" spans="2:9" x14ac:dyDescent="0.3">
      <c r="B77" t="str">
        <f>IFERROR(IF(A77="","",VLOOKUP(A77,CadProd!$A:$B,2,0)),"")</f>
        <v/>
      </c>
      <c r="C77" t="str">
        <f>IFERROR(IF(A77="","",VLOOKUP(A77,CadProd!$A:$C,3,0)),"")</f>
        <v/>
      </c>
      <c r="I77" s="1" t="str">
        <f>IFERROR(IF(A77="","",E77*#REF!),"")</f>
        <v/>
      </c>
    </row>
    <row r="78" spans="2:9" x14ac:dyDescent="0.3">
      <c r="B78" t="str">
        <f>IFERROR(IF(A78="","",VLOOKUP(A78,CadProd!$A:$B,2,0)),"")</f>
        <v/>
      </c>
      <c r="C78" t="str">
        <f>IFERROR(IF(A78="","",VLOOKUP(A78,CadProd!$A:$C,3,0)),"")</f>
        <v/>
      </c>
      <c r="I78" s="1" t="str">
        <f>IFERROR(IF(A78="","",E78*#REF!),"")</f>
        <v/>
      </c>
    </row>
    <row r="79" spans="2:9" x14ac:dyDescent="0.3">
      <c r="B79" t="str">
        <f>IFERROR(IF(A79="","",VLOOKUP(A79,CadProd!$A:$B,2,0)),"")</f>
        <v/>
      </c>
      <c r="C79" t="str">
        <f>IFERROR(IF(A79="","",VLOOKUP(A79,CadProd!$A:$C,3,0)),"")</f>
        <v/>
      </c>
      <c r="I79" s="1" t="str">
        <f>IFERROR(IF(A79="","",E79*#REF!),"")</f>
        <v/>
      </c>
    </row>
    <row r="80" spans="2:9" x14ac:dyDescent="0.3">
      <c r="B80" t="str">
        <f>IFERROR(IF(A80="","",VLOOKUP(A80,CadProd!$A:$B,2,0)),"")</f>
        <v/>
      </c>
      <c r="C80" t="str">
        <f>IFERROR(IF(A80="","",VLOOKUP(A80,CadProd!$A:$C,3,0)),"")</f>
        <v/>
      </c>
      <c r="I80" s="1" t="str">
        <f>IFERROR(IF(A80="","",E80*#REF!),"")</f>
        <v/>
      </c>
    </row>
    <row r="81" spans="2:9" x14ac:dyDescent="0.3">
      <c r="B81" t="str">
        <f>IFERROR(IF(A81="","",VLOOKUP(A81,CadProd!$A:$B,2,0)),"")</f>
        <v/>
      </c>
      <c r="C81" t="str">
        <f>IFERROR(IF(A81="","",VLOOKUP(A81,CadProd!$A:$C,3,0)),"")</f>
        <v/>
      </c>
      <c r="I81" s="1" t="str">
        <f>IFERROR(IF(A81="","",E81*#REF!),"")</f>
        <v/>
      </c>
    </row>
    <row r="82" spans="2:9" x14ac:dyDescent="0.3">
      <c r="B82" t="str">
        <f>IFERROR(IF(A82="","",VLOOKUP(A82,CadProd!$A:$B,2,0)),"")</f>
        <v/>
      </c>
      <c r="C82" t="str">
        <f>IFERROR(IF(A82="","",VLOOKUP(A82,CadProd!$A:$C,3,0)),"")</f>
        <v/>
      </c>
      <c r="I82" s="1" t="str">
        <f>IFERROR(IF(A82="","",E82*#REF!),"")</f>
        <v/>
      </c>
    </row>
    <row r="83" spans="2:9" x14ac:dyDescent="0.3">
      <c r="B83" t="str">
        <f>IFERROR(IF(A83="","",VLOOKUP(A83,CadProd!$A:$B,2,0)),"")</f>
        <v/>
      </c>
      <c r="C83" t="str">
        <f>IFERROR(IF(A83="","",VLOOKUP(A83,CadProd!$A:$C,3,0)),"")</f>
        <v/>
      </c>
      <c r="I83" s="1" t="str">
        <f>IFERROR(IF(A83="","",E83*#REF!),"")</f>
        <v/>
      </c>
    </row>
    <row r="84" spans="2:9" x14ac:dyDescent="0.3">
      <c r="B84" t="str">
        <f>IFERROR(IF(A84="","",VLOOKUP(A84,CadProd!$A:$B,2,0)),"")</f>
        <v/>
      </c>
      <c r="C84" t="str">
        <f>IFERROR(IF(A84="","",VLOOKUP(A84,CadProd!$A:$C,3,0)),"")</f>
        <v/>
      </c>
      <c r="I84" s="1" t="str">
        <f>IFERROR(IF(A84="","",E84*#REF!),"")</f>
        <v/>
      </c>
    </row>
    <row r="85" spans="2:9" x14ac:dyDescent="0.3">
      <c r="B85" t="str">
        <f>IFERROR(IF(A85="","",VLOOKUP(A85,CadProd!$A:$B,2,0)),"")</f>
        <v/>
      </c>
      <c r="C85" t="str">
        <f>IFERROR(IF(A85="","",VLOOKUP(A85,CadProd!$A:$C,3,0)),"")</f>
        <v/>
      </c>
      <c r="I85" s="1" t="str">
        <f>IFERROR(IF(A85="","",E85*#REF!),"")</f>
        <v/>
      </c>
    </row>
    <row r="86" spans="2:9" x14ac:dyDescent="0.3">
      <c r="B86" t="str">
        <f>IFERROR(IF(A86="","",VLOOKUP(A86,CadProd!$A:$B,2,0)),"")</f>
        <v/>
      </c>
      <c r="C86" t="str">
        <f>IFERROR(IF(A86="","",VLOOKUP(A86,CadProd!$A:$C,3,0)),"")</f>
        <v/>
      </c>
      <c r="I86" s="1" t="str">
        <f>IFERROR(IF(A86="","",E86*#REF!),"")</f>
        <v/>
      </c>
    </row>
    <row r="87" spans="2:9" x14ac:dyDescent="0.3">
      <c r="B87" t="str">
        <f>IFERROR(IF(A87="","",VLOOKUP(A87,CadProd!$A:$B,2,0)),"")</f>
        <v/>
      </c>
      <c r="C87" t="str">
        <f>IFERROR(IF(A87="","",VLOOKUP(A87,CadProd!$A:$C,3,0)),"")</f>
        <v/>
      </c>
      <c r="I87" s="1" t="str">
        <f>IFERROR(IF(A87="","",E87*#REF!),"")</f>
        <v/>
      </c>
    </row>
    <row r="88" spans="2:9" x14ac:dyDescent="0.3">
      <c r="B88" t="str">
        <f>IFERROR(IF(A88="","",VLOOKUP(A88,CadProd!$A:$B,2,0)),"")</f>
        <v/>
      </c>
      <c r="C88" t="str">
        <f>IFERROR(IF(A88="","",VLOOKUP(A88,CadProd!$A:$C,3,0)),"")</f>
        <v/>
      </c>
      <c r="I88" s="1" t="str">
        <f>IFERROR(IF(A88="","",E88*#REF!),"")</f>
        <v/>
      </c>
    </row>
    <row r="89" spans="2:9" x14ac:dyDescent="0.3">
      <c r="B89" t="str">
        <f>IFERROR(IF(A89="","",VLOOKUP(A89,CadProd!$A:$B,2,0)),"")</f>
        <v/>
      </c>
      <c r="C89" t="str">
        <f>IFERROR(IF(A89="","",VLOOKUP(A89,CadProd!$A:$C,3,0)),"")</f>
        <v/>
      </c>
      <c r="I89" s="1" t="str">
        <f>IFERROR(IF(A89="","",E89*#REF!),"")</f>
        <v/>
      </c>
    </row>
    <row r="90" spans="2:9" x14ac:dyDescent="0.3">
      <c r="B90" t="str">
        <f>IFERROR(IF(A90="","",VLOOKUP(A90,CadProd!$A:$B,2,0)),"")</f>
        <v/>
      </c>
      <c r="C90" t="str">
        <f>IFERROR(IF(A90="","",VLOOKUP(A90,CadProd!$A:$C,3,0)),"")</f>
        <v/>
      </c>
      <c r="I90" s="1" t="str">
        <f>IFERROR(IF(A90="","",E90*#REF!),"")</f>
        <v/>
      </c>
    </row>
    <row r="91" spans="2:9" x14ac:dyDescent="0.3">
      <c r="B91" t="str">
        <f>IFERROR(IF(A91="","",VLOOKUP(A91,CadProd!$A:$B,2,0)),"")</f>
        <v/>
      </c>
      <c r="C91" t="str">
        <f>IFERROR(IF(A91="","",VLOOKUP(A91,CadProd!$A:$C,3,0)),"")</f>
        <v/>
      </c>
      <c r="I91" s="1" t="str">
        <f>IFERROR(IF(A91="","",E91*#REF!),"")</f>
        <v/>
      </c>
    </row>
    <row r="92" spans="2:9" x14ac:dyDescent="0.3">
      <c r="B92" t="str">
        <f>IFERROR(IF(A92="","",VLOOKUP(A92,CadProd!$A:$B,2,0)),"")</f>
        <v/>
      </c>
      <c r="C92" t="str">
        <f>IFERROR(IF(A92="","",VLOOKUP(A92,CadProd!$A:$C,3,0)),"")</f>
        <v/>
      </c>
      <c r="I92" s="1" t="str">
        <f>IFERROR(IF(A92="","",E92*#REF!),"")</f>
        <v/>
      </c>
    </row>
    <row r="93" spans="2:9" x14ac:dyDescent="0.3">
      <c r="B93" t="str">
        <f>IFERROR(IF(A93="","",VLOOKUP(A93,CadProd!$A:$B,2,0)),"")</f>
        <v/>
      </c>
      <c r="C93" t="str">
        <f>IFERROR(IF(A93="","",VLOOKUP(A93,CadProd!$A:$C,3,0)),"")</f>
        <v/>
      </c>
      <c r="I93" s="1" t="str">
        <f>IFERROR(IF(A93="","",E93*#REF!),"")</f>
        <v/>
      </c>
    </row>
    <row r="94" spans="2:9" x14ac:dyDescent="0.3">
      <c r="B94" t="str">
        <f>IFERROR(IF(A94="","",VLOOKUP(A94,CadProd!$A:$B,2,0)),"")</f>
        <v/>
      </c>
      <c r="C94" t="str">
        <f>IFERROR(IF(A94="","",VLOOKUP(A94,CadProd!$A:$C,3,0)),"")</f>
        <v/>
      </c>
      <c r="I94" s="1" t="str">
        <f>IFERROR(IF(A94="","",E94*#REF!),"")</f>
        <v/>
      </c>
    </row>
    <row r="95" spans="2:9" x14ac:dyDescent="0.3">
      <c r="B95" t="str">
        <f>IFERROR(IF(A95="","",VLOOKUP(A95,CadProd!$A:$B,2,0)),"")</f>
        <v/>
      </c>
      <c r="C95" t="str">
        <f>IFERROR(IF(A95="","",VLOOKUP(A95,CadProd!$A:$C,3,0)),"")</f>
        <v/>
      </c>
      <c r="I95" s="1" t="str">
        <f>IFERROR(IF(A95="","",E95*#REF!),"")</f>
        <v/>
      </c>
    </row>
    <row r="96" spans="2:9" x14ac:dyDescent="0.3">
      <c r="B96" t="str">
        <f>IFERROR(IF(A96="","",VLOOKUP(A96,CadProd!$A:$B,2,0)),"")</f>
        <v/>
      </c>
      <c r="C96" t="str">
        <f>IFERROR(IF(A96="","",VLOOKUP(A96,CadProd!$A:$C,3,0)),"")</f>
        <v/>
      </c>
      <c r="I96" s="1" t="str">
        <f>IFERROR(IF(A96="","",E96*#REF!),"")</f>
        <v/>
      </c>
    </row>
    <row r="97" spans="2:9" x14ac:dyDescent="0.3">
      <c r="B97" t="str">
        <f>IFERROR(IF(A97="","",VLOOKUP(A97,CadProd!$A:$B,2,0)),"")</f>
        <v/>
      </c>
      <c r="C97" t="str">
        <f>IFERROR(IF(A97="","",VLOOKUP(A97,CadProd!$A:$C,3,0)),"")</f>
        <v/>
      </c>
      <c r="I97" s="1" t="str">
        <f>IFERROR(IF(A97="","",E97*#REF!),"")</f>
        <v/>
      </c>
    </row>
    <row r="98" spans="2:9" x14ac:dyDescent="0.3">
      <c r="B98" t="str">
        <f>IFERROR(IF(A98="","",VLOOKUP(A98,CadProd!$A:$B,2,0)),"")</f>
        <v/>
      </c>
      <c r="C98" t="str">
        <f>IFERROR(IF(A98="","",VLOOKUP(A98,CadProd!$A:$C,3,0)),"")</f>
        <v/>
      </c>
      <c r="I98" s="1" t="str">
        <f>IFERROR(IF(A98="","",E98*#REF!),"")</f>
        <v/>
      </c>
    </row>
    <row r="99" spans="2:9" x14ac:dyDescent="0.3">
      <c r="B99" t="str">
        <f>IFERROR(IF(A99="","",VLOOKUP(A99,CadProd!$A:$B,2,0)),"")</f>
        <v/>
      </c>
      <c r="C99" t="str">
        <f>IFERROR(IF(A99="","",VLOOKUP(A99,CadProd!$A:$C,3,0)),"")</f>
        <v/>
      </c>
      <c r="I99" s="1" t="str">
        <f>IFERROR(IF(A99="","",E99*#REF!),"")</f>
        <v/>
      </c>
    </row>
    <row r="100" spans="2:9" x14ac:dyDescent="0.3">
      <c r="B100" t="str">
        <f>IFERROR(IF(A100="","",VLOOKUP(A100,CadProd!$A:$B,2,0)),"")</f>
        <v/>
      </c>
      <c r="C100" t="str">
        <f>IFERROR(IF(A100="","",VLOOKUP(A100,CadProd!$A:$C,3,0)),"")</f>
        <v/>
      </c>
      <c r="I100" s="1" t="str">
        <f>IFERROR(IF(A100="","",E100*#REF!),"")</f>
        <v/>
      </c>
    </row>
    <row r="101" spans="2:9" x14ac:dyDescent="0.3">
      <c r="B101" t="str">
        <f>IFERROR(IF(A101="","",VLOOKUP(A101,CadProd!$A:$B,2,0)),"")</f>
        <v/>
      </c>
      <c r="C101" t="str">
        <f>IFERROR(IF(A101="","",VLOOKUP(A101,CadProd!$A:$C,3,0)),"")</f>
        <v/>
      </c>
      <c r="I101" s="1" t="str">
        <f>IFERROR(IF(A101="","",E101*#REF!),"")</f>
        <v/>
      </c>
    </row>
    <row r="102" spans="2:9" x14ac:dyDescent="0.3">
      <c r="B102" t="str">
        <f>IFERROR(IF(A102="","",VLOOKUP(A102,CadProd!$A:$B,2,0)),"")</f>
        <v/>
      </c>
      <c r="C102" t="str">
        <f>IFERROR(IF(A102="","",VLOOKUP(A102,CadProd!$A:$C,3,0)),"")</f>
        <v/>
      </c>
      <c r="I102" s="1" t="str">
        <f>IFERROR(IF(A102="","",E102*#REF!),"")</f>
        <v/>
      </c>
    </row>
    <row r="103" spans="2:9" x14ac:dyDescent="0.3">
      <c r="B103" t="str">
        <f>IFERROR(IF(A103="","",VLOOKUP(A103,CadProd!$A:$B,2,0)),"")</f>
        <v/>
      </c>
      <c r="C103" t="str">
        <f>IFERROR(IF(A103="","",VLOOKUP(A103,CadProd!$A:$C,3,0)),"")</f>
        <v/>
      </c>
      <c r="I103" s="1" t="str">
        <f>IFERROR(IF(A103="","",E103*#REF!),"")</f>
        <v/>
      </c>
    </row>
    <row r="104" spans="2:9" x14ac:dyDescent="0.3">
      <c r="B104" t="str">
        <f>IFERROR(IF(A104="","",VLOOKUP(A104,CadProd!$A:$B,2,0)),"")</f>
        <v/>
      </c>
      <c r="C104" t="str">
        <f>IFERROR(IF(A104="","",VLOOKUP(A104,CadProd!$A:$C,3,0)),"")</f>
        <v/>
      </c>
      <c r="I104" s="1" t="str">
        <f>IFERROR(IF(A104="","",E104*#REF!),"")</f>
        <v/>
      </c>
    </row>
    <row r="105" spans="2:9" x14ac:dyDescent="0.3">
      <c r="B105" t="str">
        <f>IFERROR(IF(A105="","",VLOOKUP(A105,CadProd!$A:$B,2,0)),"")</f>
        <v/>
      </c>
      <c r="C105" t="str">
        <f>IFERROR(IF(A105="","",VLOOKUP(A105,CadProd!$A:$C,3,0)),"")</f>
        <v/>
      </c>
      <c r="I105" s="1" t="str">
        <f>IFERROR(IF(A105="","",E105*#REF!),"")</f>
        <v/>
      </c>
    </row>
    <row r="106" spans="2:9" x14ac:dyDescent="0.3">
      <c r="B106" t="str">
        <f>IFERROR(IF(A106="","",VLOOKUP(A106,CadProd!$A:$B,2,0)),"")</f>
        <v/>
      </c>
      <c r="C106" t="str">
        <f>IFERROR(IF(A106="","",VLOOKUP(A106,CadProd!$A:$C,3,0)),"")</f>
        <v/>
      </c>
      <c r="I106" s="1" t="str">
        <f>IFERROR(IF(A106="","",E106*#REF!),"")</f>
        <v/>
      </c>
    </row>
    <row r="107" spans="2:9" x14ac:dyDescent="0.3">
      <c r="B107" t="str">
        <f>IFERROR(IF(A107="","",VLOOKUP(A107,CadProd!$A:$B,2,0)),"")</f>
        <v/>
      </c>
      <c r="C107" t="str">
        <f>IFERROR(IF(A107="","",VLOOKUP(A107,CadProd!$A:$C,3,0)),"")</f>
        <v/>
      </c>
      <c r="I107" s="1" t="str">
        <f>IFERROR(IF(A107="","",E107*#REF!),"")</f>
        <v/>
      </c>
    </row>
    <row r="108" spans="2:9" x14ac:dyDescent="0.3">
      <c r="B108" t="str">
        <f>IFERROR(IF(A108="","",VLOOKUP(A108,CadProd!$A:$B,2,0)),"")</f>
        <v/>
      </c>
      <c r="C108" t="str">
        <f>IFERROR(IF(A108="","",VLOOKUP(A108,CadProd!$A:$C,3,0)),"")</f>
        <v/>
      </c>
      <c r="I108" s="1" t="str">
        <f>IFERROR(IF(A108="","",E108*#REF!),"")</f>
        <v/>
      </c>
    </row>
    <row r="109" spans="2:9" x14ac:dyDescent="0.3">
      <c r="B109" t="str">
        <f>IFERROR(IF(A109="","",VLOOKUP(A109,CadProd!$A:$B,2,0)),"")</f>
        <v/>
      </c>
      <c r="C109" t="str">
        <f>IFERROR(IF(A109="","",VLOOKUP(A109,CadProd!$A:$C,3,0)),"")</f>
        <v/>
      </c>
      <c r="I109" s="1" t="str">
        <f>IFERROR(IF(A109="","",E109*#REF!),"")</f>
        <v/>
      </c>
    </row>
    <row r="110" spans="2:9" x14ac:dyDescent="0.3">
      <c r="B110" t="str">
        <f>IFERROR(IF(A110="","",VLOOKUP(A110,CadProd!$A:$B,2,0)),"")</f>
        <v/>
      </c>
      <c r="C110" t="str">
        <f>IFERROR(IF(A110="","",VLOOKUP(A110,CadProd!$A:$C,3,0)),"")</f>
        <v/>
      </c>
      <c r="I110" s="1" t="str">
        <f>IFERROR(IF(A110="","",E110*#REF!),"")</f>
        <v/>
      </c>
    </row>
    <row r="111" spans="2:9" x14ac:dyDescent="0.3">
      <c r="B111" t="str">
        <f>IFERROR(IF(A111="","",VLOOKUP(A111,CadProd!$A:$B,2,0)),"")</f>
        <v/>
      </c>
      <c r="C111" t="str">
        <f>IFERROR(IF(A111="","",VLOOKUP(A111,CadProd!$A:$C,3,0)),"")</f>
        <v/>
      </c>
      <c r="I111" s="1" t="str">
        <f>IFERROR(IF(A111="","",E111*#REF!),"")</f>
        <v/>
      </c>
    </row>
    <row r="112" spans="2:9" x14ac:dyDescent="0.3">
      <c r="B112" t="str">
        <f>IFERROR(IF(A112="","",VLOOKUP(A112,CadProd!$A:$B,2,0)),"")</f>
        <v/>
      </c>
      <c r="C112" t="str">
        <f>IFERROR(IF(A112="","",VLOOKUP(A112,CadProd!$A:$C,3,0)),"")</f>
        <v/>
      </c>
      <c r="I112" s="1" t="str">
        <f>IFERROR(IF(A112="","",E112*#REF!),"")</f>
        <v/>
      </c>
    </row>
    <row r="113" spans="2:9" x14ac:dyDescent="0.3">
      <c r="B113" t="str">
        <f>IFERROR(IF(A113="","",VLOOKUP(A113,CadProd!$A:$B,2,0)),"")</f>
        <v/>
      </c>
      <c r="C113" t="str">
        <f>IFERROR(IF(A113="","",VLOOKUP(A113,CadProd!$A:$C,3,0)),"")</f>
        <v/>
      </c>
      <c r="I113" s="1" t="str">
        <f>IFERROR(IF(A113="","",E113*#REF!),"")</f>
        <v/>
      </c>
    </row>
    <row r="114" spans="2:9" x14ac:dyDescent="0.3">
      <c r="B114" t="str">
        <f>IFERROR(IF(A114="","",VLOOKUP(A114,CadProd!$A:$B,2,0)),"")</f>
        <v/>
      </c>
      <c r="C114" t="str">
        <f>IFERROR(IF(A114="","",VLOOKUP(A114,CadProd!$A:$C,3,0)),"")</f>
        <v/>
      </c>
      <c r="I114" s="1" t="str">
        <f>IFERROR(IF(A114="","",E114*#REF!),"")</f>
        <v/>
      </c>
    </row>
    <row r="115" spans="2:9" x14ac:dyDescent="0.3">
      <c r="B115" t="str">
        <f>IFERROR(IF(A115="","",VLOOKUP(A115,CadProd!$A:$B,2,0)),"")</f>
        <v/>
      </c>
      <c r="C115" t="str">
        <f>IFERROR(IF(A115="","",VLOOKUP(A115,CadProd!$A:$C,3,0)),"")</f>
        <v/>
      </c>
      <c r="I115" s="1" t="str">
        <f>IFERROR(IF(A115="","",E115*#REF!),"")</f>
        <v/>
      </c>
    </row>
    <row r="116" spans="2:9" x14ac:dyDescent="0.3">
      <c r="B116" t="str">
        <f>IFERROR(IF(A116="","",VLOOKUP(A116,CadProd!$A:$B,2,0)),"")</f>
        <v/>
      </c>
      <c r="C116" t="str">
        <f>IFERROR(IF(A116="","",VLOOKUP(A116,CadProd!$A:$C,3,0)),"")</f>
        <v/>
      </c>
      <c r="I116" s="1" t="str">
        <f>IFERROR(IF(A116="","",E116*#REF!),"")</f>
        <v/>
      </c>
    </row>
    <row r="117" spans="2:9" x14ac:dyDescent="0.3">
      <c r="B117" t="str">
        <f>IFERROR(IF(A117="","",VLOOKUP(A117,CadProd!$A:$B,2,0)),"")</f>
        <v/>
      </c>
      <c r="C117" t="str">
        <f>IFERROR(IF(A117="","",VLOOKUP(A117,CadProd!$A:$C,3,0)),"")</f>
        <v/>
      </c>
      <c r="I117" s="1" t="str">
        <f>IFERROR(IF(A117="","",E117*#REF!),"")</f>
        <v/>
      </c>
    </row>
    <row r="118" spans="2:9" x14ac:dyDescent="0.3">
      <c r="B118" t="str">
        <f>IFERROR(IF(A118="","",VLOOKUP(A118,CadProd!$A:$B,2,0)),"")</f>
        <v/>
      </c>
      <c r="C118" t="str">
        <f>IFERROR(IF(A118="","",VLOOKUP(A118,CadProd!$A:$C,3,0)),"")</f>
        <v/>
      </c>
      <c r="I118" s="1" t="str">
        <f>IFERROR(IF(A118="","",E118*#REF!),"")</f>
        <v/>
      </c>
    </row>
    <row r="119" spans="2:9" x14ac:dyDescent="0.3">
      <c r="B119" t="str">
        <f>IFERROR(IF(A119="","",VLOOKUP(A119,CadProd!$A:$B,2,0)),"")</f>
        <v/>
      </c>
      <c r="C119" t="str">
        <f>IFERROR(IF(A119="","",VLOOKUP(A119,CadProd!$A:$C,3,0)),"")</f>
        <v/>
      </c>
      <c r="I119" s="1" t="str">
        <f>IFERROR(IF(A119="","",E119*#REF!),"")</f>
        <v/>
      </c>
    </row>
    <row r="120" spans="2:9" x14ac:dyDescent="0.3">
      <c r="B120" t="str">
        <f>IFERROR(IF(A120="","",VLOOKUP(A120,CadProd!$A:$B,2,0)),"")</f>
        <v/>
      </c>
      <c r="C120" t="str">
        <f>IFERROR(IF(A120="","",VLOOKUP(A120,CadProd!$A:$C,3,0)),"")</f>
        <v/>
      </c>
      <c r="I120" s="1" t="str">
        <f>IFERROR(IF(A120="","",E120*#REF!),"")</f>
        <v/>
      </c>
    </row>
    <row r="121" spans="2:9" x14ac:dyDescent="0.3">
      <c r="B121" t="str">
        <f>IFERROR(IF(A121="","",VLOOKUP(A121,CadProd!$A:$B,2,0)),"")</f>
        <v/>
      </c>
      <c r="C121" t="str">
        <f>IFERROR(IF(A121="","",VLOOKUP(A121,CadProd!$A:$C,3,0)),"")</f>
        <v/>
      </c>
      <c r="I121" s="1" t="str">
        <f>IFERROR(IF(A121="","",E121*#REF!),"")</f>
        <v/>
      </c>
    </row>
    <row r="122" spans="2:9" x14ac:dyDescent="0.3">
      <c r="B122" t="str">
        <f>IFERROR(IF(A122="","",VLOOKUP(A122,CadProd!$A:$B,2,0)),"")</f>
        <v/>
      </c>
      <c r="C122" t="str">
        <f>IFERROR(IF(A122="","",VLOOKUP(A122,CadProd!$A:$C,3,0)),"")</f>
        <v/>
      </c>
      <c r="I122" s="1" t="str">
        <f>IFERROR(IF(A122="","",E122*#REF!),"")</f>
        <v/>
      </c>
    </row>
    <row r="123" spans="2:9" x14ac:dyDescent="0.3">
      <c r="B123" t="str">
        <f>IFERROR(IF(A123="","",VLOOKUP(A123,CadProd!$A:$B,2,0)),"")</f>
        <v/>
      </c>
      <c r="C123" t="str">
        <f>IFERROR(IF(A123="","",VLOOKUP(A123,CadProd!$A:$C,3,0)),"")</f>
        <v/>
      </c>
      <c r="I123" s="1" t="str">
        <f>IFERROR(IF(A123="","",E123*#REF!),"")</f>
        <v/>
      </c>
    </row>
    <row r="124" spans="2:9" x14ac:dyDescent="0.3">
      <c r="B124" t="str">
        <f>IFERROR(IF(A124="","",VLOOKUP(A124,CadProd!$A:$B,2,0)),"")</f>
        <v/>
      </c>
      <c r="C124" t="str">
        <f>IFERROR(IF(A124="","",VLOOKUP(A124,CadProd!$A:$C,3,0)),"")</f>
        <v/>
      </c>
      <c r="I124" s="1" t="str">
        <f>IFERROR(IF(A124="","",E124*#REF!),"")</f>
        <v/>
      </c>
    </row>
    <row r="125" spans="2:9" x14ac:dyDescent="0.3">
      <c r="B125" t="str">
        <f>IFERROR(IF(A125="","",VLOOKUP(A125,CadProd!$A:$B,2,0)),"")</f>
        <v/>
      </c>
      <c r="C125" t="str">
        <f>IFERROR(IF(A125="","",VLOOKUP(A125,CadProd!$A:$C,3,0)),"")</f>
        <v/>
      </c>
      <c r="I125" s="1" t="str">
        <f>IFERROR(IF(A125="","",E125*#REF!),"")</f>
        <v/>
      </c>
    </row>
    <row r="126" spans="2:9" x14ac:dyDescent="0.3">
      <c r="B126" t="str">
        <f>IFERROR(IF(A126="","",VLOOKUP(A126,CadProd!$A:$B,2,0)),"")</f>
        <v/>
      </c>
      <c r="C126" t="str">
        <f>IFERROR(IF(A126="","",VLOOKUP(A126,CadProd!$A:$C,3,0)),"")</f>
        <v/>
      </c>
      <c r="I126" s="1" t="str">
        <f>IFERROR(IF(A126="","",E126*#REF!),"")</f>
        <v/>
      </c>
    </row>
    <row r="127" spans="2:9" x14ac:dyDescent="0.3">
      <c r="B127" t="str">
        <f>IFERROR(IF(A127="","",VLOOKUP(A127,CadProd!$A:$B,2,0)),"")</f>
        <v/>
      </c>
      <c r="C127" t="str">
        <f>IFERROR(IF(A127="","",VLOOKUP(A127,CadProd!$A:$C,3,0)),"")</f>
        <v/>
      </c>
      <c r="I127" s="1" t="str">
        <f>IFERROR(IF(A127="","",E127*#REF!),"")</f>
        <v/>
      </c>
    </row>
    <row r="128" spans="2:9" x14ac:dyDescent="0.3">
      <c r="B128" t="str">
        <f>IFERROR(IF(A128="","",VLOOKUP(A128,CadProd!$A:$B,2,0)),"")</f>
        <v/>
      </c>
      <c r="C128" t="str">
        <f>IFERROR(IF(A128="","",VLOOKUP(A128,CadProd!$A:$C,3,0)),"")</f>
        <v/>
      </c>
      <c r="I128" s="1" t="str">
        <f>IFERROR(IF(A128="","",E128*#REF!),"")</f>
        <v/>
      </c>
    </row>
    <row r="129" spans="2:9" x14ac:dyDescent="0.3">
      <c r="B129" t="str">
        <f>IFERROR(IF(A129="","",VLOOKUP(A129,CadProd!$A:$B,2,0)),"")</f>
        <v/>
      </c>
      <c r="C129" t="str">
        <f>IFERROR(IF(A129="","",VLOOKUP(A129,CadProd!$A:$C,3,0)),"")</f>
        <v/>
      </c>
      <c r="I129" s="1" t="str">
        <f>IFERROR(IF(A129="","",E129*#REF!),"")</f>
        <v/>
      </c>
    </row>
    <row r="130" spans="2:9" x14ac:dyDescent="0.3">
      <c r="B130" t="str">
        <f>IFERROR(IF(A130="","",VLOOKUP(A130,CadProd!$A:$B,2,0)),"")</f>
        <v/>
      </c>
      <c r="C130" t="str">
        <f>IFERROR(IF(A130="","",VLOOKUP(A130,CadProd!$A:$C,3,0)),"")</f>
        <v/>
      </c>
      <c r="I130" s="1" t="str">
        <f>IFERROR(IF(A130="","",E130*#REF!),"")</f>
        <v/>
      </c>
    </row>
    <row r="131" spans="2:9" x14ac:dyDescent="0.3">
      <c r="B131" t="str">
        <f>IFERROR(IF(A131="","",VLOOKUP(A131,CadProd!$A:$B,2,0)),"")</f>
        <v/>
      </c>
      <c r="C131" t="str">
        <f>IFERROR(IF(A131="","",VLOOKUP(A131,CadProd!$A:$C,3,0)),"")</f>
        <v/>
      </c>
      <c r="I131" s="1" t="str">
        <f>IFERROR(IF(A131="","",E131*#REF!),"")</f>
        <v/>
      </c>
    </row>
    <row r="132" spans="2:9" x14ac:dyDescent="0.3">
      <c r="B132" t="str">
        <f>IFERROR(IF(A132="","",VLOOKUP(A132,CadProd!$A:$B,2,0)),"")</f>
        <v/>
      </c>
      <c r="C132" t="str">
        <f>IFERROR(IF(A132="","",VLOOKUP(A132,CadProd!$A:$C,3,0)),"")</f>
        <v/>
      </c>
      <c r="I132" s="1" t="str">
        <f>IFERROR(IF(A132="","",E132*#REF!),"")</f>
        <v/>
      </c>
    </row>
    <row r="133" spans="2:9" x14ac:dyDescent="0.3">
      <c r="B133" t="str">
        <f>IFERROR(IF(A133="","",VLOOKUP(A133,CadProd!$A:$B,2,0)),"")</f>
        <v/>
      </c>
      <c r="C133" t="str">
        <f>IFERROR(IF(A133="","",VLOOKUP(A133,CadProd!$A:$C,3,0)),"")</f>
        <v/>
      </c>
      <c r="I133" s="1" t="str">
        <f>IFERROR(IF(A133="","",E133*#REF!),"")</f>
        <v/>
      </c>
    </row>
    <row r="134" spans="2:9" x14ac:dyDescent="0.3">
      <c r="B134" t="str">
        <f>IFERROR(IF(A134="","",VLOOKUP(A134,CadProd!$A:$B,2,0)),"")</f>
        <v/>
      </c>
      <c r="C134" t="str">
        <f>IFERROR(IF(A134="","",VLOOKUP(A134,CadProd!$A:$C,3,0)),"")</f>
        <v/>
      </c>
      <c r="I134" s="1" t="str">
        <f>IFERROR(IF(A134="","",E134*#REF!),"")</f>
        <v/>
      </c>
    </row>
    <row r="135" spans="2:9" x14ac:dyDescent="0.3">
      <c r="B135" t="str">
        <f>IFERROR(IF(A135="","",VLOOKUP(A135,CadProd!$A:$B,2,0)),"")</f>
        <v/>
      </c>
      <c r="C135" t="str">
        <f>IFERROR(IF(A135="","",VLOOKUP(A135,CadProd!$A:$C,3,0)),"")</f>
        <v/>
      </c>
      <c r="I135" s="1" t="str">
        <f>IFERROR(IF(A135="","",E135*#REF!),"")</f>
        <v/>
      </c>
    </row>
    <row r="136" spans="2:9" x14ac:dyDescent="0.3">
      <c r="B136" t="str">
        <f>IFERROR(IF(A136="","",VLOOKUP(A136,CadProd!$A:$B,2,0)),"")</f>
        <v/>
      </c>
      <c r="C136" t="str">
        <f>IFERROR(IF(A136="","",VLOOKUP(A136,CadProd!$A:$C,3,0)),"")</f>
        <v/>
      </c>
      <c r="I136" s="1" t="str">
        <f>IFERROR(IF(A136="","",E136*#REF!),"")</f>
        <v/>
      </c>
    </row>
    <row r="137" spans="2:9" x14ac:dyDescent="0.3">
      <c r="B137" t="str">
        <f>IFERROR(IF(A137="","",VLOOKUP(A137,CadProd!$A:$B,2,0)),"")</f>
        <v/>
      </c>
      <c r="C137" t="str">
        <f>IFERROR(IF(A137="","",VLOOKUP(A137,CadProd!$A:$C,3,0)),"")</f>
        <v/>
      </c>
      <c r="I137" s="1" t="str">
        <f>IFERROR(IF(A137="","",E137*#REF!),"")</f>
        <v/>
      </c>
    </row>
    <row r="138" spans="2:9" x14ac:dyDescent="0.3">
      <c r="B138" t="str">
        <f>IFERROR(IF(A138="","",VLOOKUP(A138,CadProd!$A:$B,2,0)),"")</f>
        <v/>
      </c>
      <c r="C138" t="str">
        <f>IFERROR(IF(A138="","",VLOOKUP(A138,CadProd!$A:$C,3,0)),"")</f>
        <v/>
      </c>
      <c r="I138" s="1" t="str">
        <f>IFERROR(IF(A138="","",E138*#REF!),"")</f>
        <v/>
      </c>
    </row>
    <row r="139" spans="2:9" x14ac:dyDescent="0.3">
      <c r="B139" t="str">
        <f>IFERROR(IF(A139="","",VLOOKUP(A139,CadProd!$A:$B,2,0)),"")</f>
        <v/>
      </c>
      <c r="C139" t="str">
        <f>IFERROR(IF(A139="","",VLOOKUP(A139,CadProd!$A:$C,3,0)),"")</f>
        <v/>
      </c>
      <c r="I139" s="1" t="str">
        <f>IFERROR(IF(A139="","",E139*#REF!),"")</f>
        <v/>
      </c>
    </row>
    <row r="140" spans="2:9" x14ac:dyDescent="0.3">
      <c r="B140" t="str">
        <f>IFERROR(IF(A140="","",VLOOKUP(A140,CadProd!$A:$B,2,0)),"")</f>
        <v/>
      </c>
      <c r="C140" t="str">
        <f>IFERROR(IF(A140="","",VLOOKUP(A140,CadProd!$A:$C,3,0)),"")</f>
        <v/>
      </c>
      <c r="I140" s="1" t="str">
        <f>IFERROR(IF(A140="","",E140*#REF!),"")</f>
        <v/>
      </c>
    </row>
    <row r="141" spans="2:9" x14ac:dyDescent="0.3">
      <c r="B141" t="str">
        <f>IFERROR(IF(A141="","",VLOOKUP(A141,CadProd!$A:$B,2,0)),"")</f>
        <v/>
      </c>
      <c r="C141" t="str">
        <f>IFERROR(IF(A141="","",VLOOKUP(A141,CadProd!$A:$C,3,0)),"")</f>
        <v/>
      </c>
      <c r="I141" s="1" t="str">
        <f>IFERROR(IF(A141="","",E141*#REF!),"")</f>
        <v/>
      </c>
    </row>
    <row r="142" spans="2:9" x14ac:dyDescent="0.3">
      <c r="B142" t="str">
        <f>IFERROR(IF(A142="","",VLOOKUP(A142,CadProd!$A:$B,2,0)),"")</f>
        <v/>
      </c>
      <c r="C142" t="str">
        <f>IFERROR(IF(A142="","",VLOOKUP(A142,CadProd!$A:$C,3,0)),"")</f>
        <v/>
      </c>
      <c r="I142" s="1" t="str">
        <f>IFERROR(IF(A142="","",E142*#REF!),"")</f>
        <v/>
      </c>
    </row>
    <row r="143" spans="2:9" x14ac:dyDescent="0.3">
      <c r="B143" t="str">
        <f>IFERROR(IF(A143="","",VLOOKUP(A143,CadProd!$A:$B,2,0)),"")</f>
        <v/>
      </c>
      <c r="C143" t="str">
        <f>IFERROR(IF(A143="","",VLOOKUP(A143,CadProd!$A:$C,3,0)),"")</f>
        <v/>
      </c>
      <c r="I143" s="1" t="str">
        <f>IFERROR(IF(A143="","",E143*#REF!),"")</f>
        <v/>
      </c>
    </row>
    <row r="144" spans="2:9" x14ac:dyDescent="0.3">
      <c r="B144" t="str">
        <f>IFERROR(IF(A144="","",VLOOKUP(A144,CadProd!$A:$B,2,0)),"")</f>
        <v/>
      </c>
      <c r="C144" t="str">
        <f>IFERROR(IF(A144="","",VLOOKUP(A144,CadProd!$A:$C,3,0)),"")</f>
        <v/>
      </c>
      <c r="I144" s="1" t="str">
        <f>IFERROR(IF(A144="","",E144*#REF!),"")</f>
        <v/>
      </c>
    </row>
    <row r="145" spans="2:9" x14ac:dyDescent="0.3">
      <c r="B145" t="str">
        <f>IFERROR(IF(A145="","",VLOOKUP(A145,CadProd!$A:$B,2,0)),"")</f>
        <v/>
      </c>
      <c r="C145" t="str">
        <f>IFERROR(IF(A145="","",VLOOKUP(A145,CadProd!$A:$C,3,0)),"")</f>
        <v/>
      </c>
      <c r="I145" s="1" t="str">
        <f>IFERROR(IF(A145="","",E145*#REF!),"")</f>
        <v/>
      </c>
    </row>
    <row r="146" spans="2:9" x14ac:dyDescent="0.3">
      <c r="B146" t="str">
        <f>IFERROR(IF(A146="","",VLOOKUP(A146,CadProd!$A:$B,2,0)),"")</f>
        <v/>
      </c>
      <c r="C146" t="str">
        <f>IFERROR(IF(A146="","",VLOOKUP(A146,CadProd!$A:$C,3,0)),"")</f>
        <v/>
      </c>
      <c r="I146" s="1" t="str">
        <f>IFERROR(IF(A146="","",E146*#REF!),"")</f>
        <v/>
      </c>
    </row>
    <row r="147" spans="2:9" x14ac:dyDescent="0.3">
      <c r="B147" t="str">
        <f>IFERROR(IF(A147="","",VLOOKUP(A147,CadProd!$A:$B,2,0)),"")</f>
        <v/>
      </c>
      <c r="C147" t="str">
        <f>IFERROR(IF(A147="","",VLOOKUP(A147,CadProd!$A:$C,3,0)),"")</f>
        <v/>
      </c>
      <c r="I147" s="1" t="str">
        <f>IFERROR(IF(A147="","",E147*#REF!),"")</f>
        <v/>
      </c>
    </row>
    <row r="148" spans="2:9" x14ac:dyDescent="0.3">
      <c r="B148" t="str">
        <f>IFERROR(IF(A148="","",VLOOKUP(A148,CadProd!$A:$B,2,0)),"")</f>
        <v/>
      </c>
      <c r="C148" t="str">
        <f>IFERROR(IF(A148="","",VLOOKUP(A148,CadProd!$A:$C,3,0)),"")</f>
        <v/>
      </c>
      <c r="I148" s="1" t="str">
        <f>IFERROR(IF(A148="","",E148*#REF!),"")</f>
        <v/>
      </c>
    </row>
    <row r="149" spans="2:9" x14ac:dyDescent="0.3">
      <c r="B149" t="str">
        <f>IFERROR(IF(A149="","",VLOOKUP(A149,CadProd!$A:$B,2,0)),"")</f>
        <v/>
      </c>
      <c r="C149" t="str">
        <f>IFERROR(IF(A149="","",VLOOKUP(A149,CadProd!$A:$C,3,0)),"")</f>
        <v/>
      </c>
      <c r="I149" s="1" t="str">
        <f>IFERROR(IF(A149="","",E149*#REF!),"")</f>
        <v/>
      </c>
    </row>
    <row r="150" spans="2:9" x14ac:dyDescent="0.3">
      <c r="B150" t="str">
        <f>IFERROR(IF(A150="","",VLOOKUP(A150,CadProd!$A:$B,2,0)),"")</f>
        <v/>
      </c>
      <c r="C150" t="str">
        <f>IFERROR(IF(A150="","",VLOOKUP(A150,CadProd!$A:$C,3,0)),"")</f>
        <v/>
      </c>
      <c r="I150" s="1" t="str">
        <f>IFERROR(IF(A150="","",E150*#REF!),"")</f>
        <v/>
      </c>
    </row>
    <row r="151" spans="2:9" x14ac:dyDescent="0.3">
      <c r="B151" t="str">
        <f>IFERROR(IF(A151="","",VLOOKUP(A151,CadProd!$A:$B,2,0)),"")</f>
        <v/>
      </c>
      <c r="C151" t="str">
        <f>IFERROR(IF(A151="","",VLOOKUP(A151,CadProd!$A:$C,3,0)),"")</f>
        <v/>
      </c>
      <c r="I151" s="1" t="str">
        <f>IFERROR(IF(A151="","",E151*#REF!),"")</f>
        <v/>
      </c>
    </row>
    <row r="152" spans="2:9" x14ac:dyDescent="0.3">
      <c r="B152" t="str">
        <f>IFERROR(IF(A152="","",VLOOKUP(A152,CadProd!$A:$B,2,0)),"")</f>
        <v/>
      </c>
      <c r="C152" t="str">
        <f>IFERROR(IF(A152="","",VLOOKUP(A152,CadProd!$A:$C,3,0)),"")</f>
        <v/>
      </c>
      <c r="I152" s="1" t="str">
        <f>IFERROR(IF(A152="","",E152*#REF!),"")</f>
        <v/>
      </c>
    </row>
    <row r="153" spans="2:9" x14ac:dyDescent="0.3">
      <c r="B153" t="str">
        <f>IFERROR(IF(A153="","",VLOOKUP(A153,CadProd!$A:$B,2,0)),"")</f>
        <v/>
      </c>
      <c r="C153" t="str">
        <f>IFERROR(IF(A153="","",VLOOKUP(A153,CadProd!$A:$C,3,0)),"")</f>
        <v/>
      </c>
      <c r="I153" s="1" t="str">
        <f>IFERROR(IF(A153="","",E153*#REF!),"")</f>
        <v/>
      </c>
    </row>
    <row r="154" spans="2:9" x14ac:dyDescent="0.3">
      <c r="B154" t="str">
        <f>IFERROR(IF(A154="","",VLOOKUP(A154,CadProd!$A:$B,2,0)),"")</f>
        <v/>
      </c>
      <c r="C154" t="str">
        <f>IFERROR(IF(A154="","",VLOOKUP(A154,CadProd!$A:$C,3,0)),"")</f>
        <v/>
      </c>
      <c r="I154" s="1" t="str">
        <f>IFERROR(IF(A154="","",E154*#REF!),"")</f>
        <v/>
      </c>
    </row>
    <row r="155" spans="2:9" x14ac:dyDescent="0.3">
      <c r="B155" t="str">
        <f>IFERROR(IF(A155="","",VLOOKUP(A155,CadProd!$A:$B,2,0)),"")</f>
        <v/>
      </c>
      <c r="C155" t="str">
        <f>IFERROR(IF(A155="","",VLOOKUP(A155,CadProd!$A:$C,3,0)),"")</f>
        <v/>
      </c>
      <c r="I155" s="1" t="str">
        <f>IFERROR(IF(A155="","",E155*#REF!),"")</f>
        <v/>
      </c>
    </row>
    <row r="156" spans="2:9" x14ac:dyDescent="0.3">
      <c r="B156" t="str">
        <f>IFERROR(IF(A156="","",VLOOKUP(A156,CadProd!$A:$B,2,0)),"")</f>
        <v/>
      </c>
      <c r="C156" t="str">
        <f>IFERROR(IF(A156="","",VLOOKUP(A156,CadProd!$A:$C,3,0)),"")</f>
        <v/>
      </c>
      <c r="I156" s="1" t="str">
        <f>IFERROR(IF(A156="","",E156*#REF!),"")</f>
        <v/>
      </c>
    </row>
    <row r="157" spans="2:9" x14ac:dyDescent="0.3">
      <c r="B157" t="str">
        <f>IFERROR(IF(A157="","",VLOOKUP(A157,CadProd!$A:$B,2,0)),"")</f>
        <v/>
      </c>
      <c r="C157" t="str">
        <f>IFERROR(IF(A157="","",VLOOKUP(A157,CadProd!$A:$C,3,0)),"")</f>
        <v/>
      </c>
      <c r="I157" s="1" t="str">
        <f>IFERROR(IF(A157="","",E157*#REF!),"")</f>
        <v/>
      </c>
    </row>
    <row r="158" spans="2:9" x14ac:dyDescent="0.3">
      <c r="B158" t="str">
        <f>IFERROR(IF(A158="","",VLOOKUP(A158,CadProd!$A:$B,2,0)),"")</f>
        <v/>
      </c>
      <c r="C158" t="str">
        <f>IFERROR(IF(A158="","",VLOOKUP(A158,CadProd!$A:$C,3,0)),"")</f>
        <v/>
      </c>
      <c r="I158" s="1" t="str">
        <f>IFERROR(IF(A158="","",E158*#REF!),"")</f>
        <v/>
      </c>
    </row>
    <row r="159" spans="2:9" x14ac:dyDescent="0.3">
      <c r="B159" t="str">
        <f>IFERROR(IF(A159="","",VLOOKUP(A159,CadProd!$A:$B,2,0)),"")</f>
        <v/>
      </c>
      <c r="C159" t="str">
        <f>IFERROR(IF(A159="","",VLOOKUP(A159,CadProd!$A:$C,3,0)),"")</f>
        <v/>
      </c>
      <c r="I159" s="1" t="str">
        <f>IFERROR(IF(A159="","",E159*#REF!),"")</f>
        <v/>
      </c>
    </row>
    <row r="160" spans="2:9" x14ac:dyDescent="0.3">
      <c r="B160" t="str">
        <f>IFERROR(IF(A160="","",VLOOKUP(A160,CadProd!$A:$B,2,0)),"")</f>
        <v/>
      </c>
      <c r="C160" t="str">
        <f>IFERROR(IF(A160="","",VLOOKUP(A160,CadProd!$A:$C,3,0)),"")</f>
        <v/>
      </c>
      <c r="I160" s="1" t="str">
        <f>IFERROR(IF(A160="","",E160*#REF!),"")</f>
        <v/>
      </c>
    </row>
    <row r="161" spans="2:9" x14ac:dyDescent="0.3">
      <c r="B161" t="str">
        <f>IFERROR(IF(A161="","",VLOOKUP(A161,CadProd!$A:$B,2,0)),"")</f>
        <v/>
      </c>
      <c r="C161" t="str">
        <f>IFERROR(IF(A161="","",VLOOKUP(A161,CadProd!$A:$C,3,0)),"")</f>
        <v/>
      </c>
      <c r="I161" s="1" t="str">
        <f>IFERROR(IF(A161="","",E161*#REF!),"")</f>
        <v/>
      </c>
    </row>
    <row r="162" spans="2:9" x14ac:dyDescent="0.3">
      <c r="B162" t="str">
        <f>IFERROR(IF(A162="","",VLOOKUP(A162,CadProd!$A:$B,2,0)),"")</f>
        <v/>
      </c>
      <c r="C162" t="str">
        <f>IFERROR(IF(A162="","",VLOOKUP(A162,CadProd!$A:$C,3,0)),"")</f>
        <v/>
      </c>
      <c r="I162" s="1" t="str">
        <f>IFERROR(IF(A162="","",E162*#REF!),"")</f>
        <v/>
      </c>
    </row>
    <row r="163" spans="2:9" x14ac:dyDescent="0.3">
      <c r="B163" t="str">
        <f>IFERROR(IF(A163="","",VLOOKUP(A163,CadProd!$A:$B,2,0)),"")</f>
        <v/>
      </c>
      <c r="C163" t="str">
        <f>IFERROR(IF(A163="","",VLOOKUP(A163,CadProd!$A:$C,3,0)),"")</f>
        <v/>
      </c>
      <c r="I163" s="1" t="str">
        <f>IFERROR(IF(A163="","",E163*#REF!),"")</f>
        <v/>
      </c>
    </row>
    <row r="164" spans="2:9" x14ac:dyDescent="0.3">
      <c r="B164" t="str">
        <f>IFERROR(IF(A164="","",VLOOKUP(A164,CadProd!$A:$B,2,0)),"")</f>
        <v/>
      </c>
      <c r="C164" t="str">
        <f>IFERROR(IF(A164="","",VLOOKUP(A164,CadProd!$A:$C,3,0)),"")</f>
        <v/>
      </c>
      <c r="I164" s="1" t="str">
        <f>IFERROR(IF(A164="","",E164*#REF!),"")</f>
        <v/>
      </c>
    </row>
    <row r="165" spans="2:9" x14ac:dyDescent="0.3">
      <c r="B165" t="str">
        <f>IFERROR(IF(A165="","",VLOOKUP(A165,CadProd!$A:$B,2,0)),"")</f>
        <v/>
      </c>
      <c r="C165" t="str">
        <f>IFERROR(IF(A165="","",VLOOKUP(A165,CadProd!$A:$C,3,0)),"")</f>
        <v/>
      </c>
      <c r="I165" s="1" t="str">
        <f>IFERROR(IF(A165="","",E165*#REF!),"")</f>
        <v/>
      </c>
    </row>
    <row r="166" spans="2:9" x14ac:dyDescent="0.3">
      <c r="B166" t="str">
        <f>IFERROR(IF(A166="","",VLOOKUP(A166,CadProd!$A:$B,2,0)),"")</f>
        <v/>
      </c>
      <c r="C166" t="str">
        <f>IFERROR(IF(A166="","",VLOOKUP(A166,CadProd!$A:$C,3,0)),"")</f>
        <v/>
      </c>
      <c r="I166" s="1" t="str">
        <f>IFERROR(IF(A166="","",E166*#REF!),"")</f>
        <v/>
      </c>
    </row>
    <row r="167" spans="2:9" x14ac:dyDescent="0.3">
      <c r="B167" t="str">
        <f>IFERROR(IF(A167="","",VLOOKUP(A167,CadProd!$A:$B,2,0)),"")</f>
        <v/>
      </c>
      <c r="C167" t="str">
        <f>IFERROR(IF(A167="","",VLOOKUP(A167,CadProd!$A:$C,3,0)),"")</f>
        <v/>
      </c>
      <c r="I167" s="1" t="str">
        <f>IFERROR(IF(A167="","",E167*#REF!),"")</f>
        <v/>
      </c>
    </row>
    <row r="168" spans="2:9" x14ac:dyDescent="0.3">
      <c r="B168" t="str">
        <f>IFERROR(IF(A168="","",VLOOKUP(A168,CadProd!$A:$B,2,0)),"")</f>
        <v/>
      </c>
      <c r="C168" t="str">
        <f>IFERROR(IF(A168="","",VLOOKUP(A168,CadProd!$A:$C,3,0)),"")</f>
        <v/>
      </c>
      <c r="I168" s="1" t="str">
        <f>IFERROR(IF(A168="","",E168*#REF!),"")</f>
        <v/>
      </c>
    </row>
    <row r="169" spans="2:9" x14ac:dyDescent="0.3">
      <c r="B169" t="str">
        <f>IFERROR(IF(A169="","",VLOOKUP(A169,CadProd!$A:$B,2,0)),"")</f>
        <v/>
      </c>
      <c r="C169" t="str">
        <f>IFERROR(IF(A169="","",VLOOKUP(A169,CadProd!$A:$C,3,0)),"")</f>
        <v/>
      </c>
      <c r="I169" s="1" t="str">
        <f>IFERROR(IF(A169="","",E169*#REF!),"")</f>
        <v/>
      </c>
    </row>
    <row r="170" spans="2:9" x14ac:dyDescent="0.3">
      <c r="B170" t="str">
        <f>IFERROR(IF(A170="","",VLOOKUP(A170,CadProd!$A:$B,2,0)),"")</f>
        <v/>
      </c>
      <c r="C170" t="str">
        <f>IFERROR(IF(A170="","",VLOOKUP(A170,CadProd!$A:$C,3,0)),"")</f>
        <v/>
      </c>
      <c r="I170" s="1" t="str">
        <f>IFERROR(IF(A170="","",E170*#REF!),"")</f>
        <v/>
      </c>
    </row>
    <row r="171" spans="2:9" x14ac:dyDescent="0.3">
      <c r="B171" t="str">
        <f>IFERROR(IF(A171="","",VLOOKUP(A171,CadProd!$A:$B,2,0)),"")</f>
        <v/>
      </c>
      <c r="C171" t="str">
        <f>IFERROR(IF(A171="","",VLOOKUP(A171,CadProd!$A:$C,3,0)),"")</f>
        <v/>
      </c>
      <c r="I171" s="1" t="str">
        <f>IFERROR(IF(A171="","",E171*#REF!),"")</f>
        <v/>
      </c>
    </row>
    <row r="172" spans="2:9" x14ac:dyDescent="0.3">
      <c r="B172" t="str">
        <f>IFERROR(IF(A172="","",VLOOKUP(A172,CadProd!$A:$B,2,0)),"")</f>
        <v/>
      </c>
      <c r="C172" t="str">
        <f>IFERROR(IF(A172="","",VLOOKUP(A172,CadProd!$A:$C,3,0)),"")</f>
        <v/>
      </c>
      <c r="I172" s="1" t="str">
        <f>IFERROR(IF(A172="","",E172*#REF!),"")</f>
        <v/>
      </c>
    </row>
    <row r="173" spans="2:9" x14ac:dyDescent="0.3">
      <c r="B173" t="str">
        <f>IFERROR(IF(A173="","",VLOOKUP(A173,CadProd!$A:$B,2,0)),"")</f>
        <v/>
      </c>
      <c r="C173" t="str">
        <f>IFERROR(IF(A173="","",VLOOKUP(A173,CadProd!$A:$C,3,0)),"")</f>
        <v/>
      </c>
      <c r="I173" s="1" t="str">
        <f>IFERROR(IF(A173="","",E173*#REF!),"")</f>
        <v/>
      </c>
    </row>
    <row r="174" spans="2:9" x14ac:dyDescent="0.3">
      <c r="B174" t="str">
        <f>IFERROR(IF(A174="","",VLOOKUP(A174,CadProd!$A:$B,2,0)),"")</f>
        <v/>
      </c>
      <c r="C174" t="str">
        <f>IFERROR(IF(A174="","",VLOOKUP(A174,CadProd!$A:$C,3,0)),"")</f>
        <v/>
      </c>
      <c r="I174" s="1" t="str">
        <f>IFERROR(IF(A174="","",E174*#REF!),"")</f>
        <v/>
      </c>
    </row>
    <row r="175" spans="2:9" x14ac:dyDescent="0.3">
      <c r="B175" t="str">
        <f>IFERROR(IF(A175="","",VLOOKUP(A175,CadProd!$A:$B,2,0)),"")</f>
        <v/>
      </c>
      <c r="C175" t="str">
        <f>IFERROR(IF(A175="","",VLOOKUP(A175,CadProd!$A:$C,3,0)),"")</f>
        <v/>
      </c>
      <c r="I175" s="1" t="str">
        <f>IFERROR(IF(A175="","",E175*#REF!),"")</f>
        <v/>
      </c>
    </row>
    <row r="176" spans="2:9" x14ac:dyDescent="0.3">
      <c r="B176" t="str">
        <f>IFERROR(IF(A176="","",VLOOKUP(A176,CadProd!$A:$B,2,0)),"")</f>
        <v/>
      </c>
      <c r="C176" t="str">
        <f>IFERROR(IF(A176="","",VLOOKUP(A176,CadProd!$A:$C,3,0)),"")</f>
        <v/>
      </c>
      <c r="I176" s="1" t="str">
        <f>IFERROR(IF(A176="","",E176*#REF!),"")</f>
        <v/>
      </c>
    </row>
    <row r="177" spans="2:9" x14ac:dyDescent="0.3">
      <c r="B177" t="str">
        <f>IFERROR(IF(A177="","",VLOOKUP(A177,CadProd!$A:$B,2,0)),"")</f>
        <v/>
      </c>
      <c r="C177" t="str">
        <f>IFERROR(IF(A177="","",VLOOKUP(A177,CadProd!$A:$C,3,0)),"")</f>
        <v/>
      </c>
      <c r="I177" s="1" t="str">
        <f>IFERROR(IF(A177="","",E177*#REF!),"")</f>
        <v/>
      </c>
    </row>
    <row r="178" spans="2:9" x14ac:dyDescent="0.3">
      <c r="B178" t="str">
        <f>IFERROR(IF(A178="","",VLOOKUP(A178,CadProd!$A:$B,2,0)),"")</f>
        <v/>
      </c>
      <c r="C178" t="str">
        <f>IFERROR(IF(A178="","",VLOOKUP(A178,CadProd!$A:$C,3,0)),"")</f>
        <v/>
      </c>
      <c r="I178" s="1" t="str">
        <f>IFERROR(IF(A178="","",E178*#REF!),"")</f>
        <v/>
      </c>
    </row>
    <row r="179" spans="2:9" x14ac:dyDescent="0.3">
      <c r="B179" t="str">
        <f>IFERROR(IF(A179="","",VLOOKUP(A179,CadProd!$A:$B,2,0)),"")</f>
        <v/>
      </c>
      <c r="C179" t="str">
        <f>IFERROR(IF(A179="","",VLOOKUP(A179,CadProd!$A:$C,3,0)),"")</f>
        <v/>
      </c>
      <c r="I179" s="1" t="str">
        <f>IFERROR(IF(A179="","",E179*#REF!),"")</f>
        <v/>
      </c>
    </row>
    <row r="180" spans="2:9" x14ac:dyDescent="0.3">
      <c r="B180" t="str">
        <f>IFERROR(IF(A180="","",VLOOKUP(A180,CadProd!$A:$B,2,0)),"")</f>
        <v/>
      </c>
      <c r="C180" t="str">
        <f>IFERROR(IF(A180="","",VLOOKUP(A180,CadProd!$A:$C,3,0)),"")</f>
        <v/>
      </c>
      <c r="I180" s="1" t="str">
        <f>IFERROR(IF(A180="","",E180*#REF!),"")</f>
        <v/>
      </c>
    </row>
    <row r="181" spans="2:9" x14ac:dyDescent="0.3">
      <c r="B181" t="str">
        <f>IFERROR(IF(A181="","",VLOOKUP(A181,CadProd!$A:$B,2,0)),"")</f>
        <v/>
      </c>
      <c r="C181" t="str">
        <f>IFERROR(IF(A181="","",VLOOKUP(A181,CadProd!$A:$C,3,0)),"")</f>
        <v/>
      </c>
      <c r="I181" s="1" t="str">
        <f>IFERROR(IF(A181="","",E181*#REF!),"")</f>
        <v/>
      </c>
    </row>
    <row r="182" spans="2:9" x14ac:dyDescent="0.3">
      <c r="B182" t="str">
        <f>IFERROR(IF(A182="","",VLOOKUP(A182,CadProd!$A:$B,2,0)),"")</f>
        <v/>
      </c>
      <c r="C182" t="str">
        <f>IFERROR(IF(A182="","",VLOOKUP(A182,CadProd!$A:$C,3,0)),"")</f>
        <v/>
      </c>
      <c r="I182" s="1" t="str">
        <f>IFERROR(IF(A182="","",E182*#REF!),"")</f>
        <v/>
      </c>
    </row>
    <row r="183" spans="2:9" x14ac:dyDescent="0.3">
      <c r="B183" t="str">
        <f>IFERROR(IF(A183="","",VLOOKUP(A183,CadProd!$A:$B,2,0)),"")</f>
        <v/>
      </c>
      <c r="C183" t="str">
        <f>IFERROR(IF(A183="","",VLOOKUP(A183,CadProd!$A:$C,3,0)),"")</f>
        <v/>
      </c>
      <c r="I183" s="1" t="str">
        <f>IFERROR(IF(A183="","",E183*#REF!),"")</f>
        <v/>
      </c>
    </row>
    <row r="184" spans="2:9" x14ac:dyDescent="0.3">
      <c r="B184" t="str">
        <f>IFERROR(IF(A184="","",VLOOKUP(A184,CadProd!$A:$B,2,0)),"")</f>
        <v/>
      </c>
      <c r="C184" t="str">
        <f>IFERROR(IF(A184="","",VLOOKUP(A184,CadProd!$A:$C,3,0)),"")</f>
        <v/>
      </c>
      <c r="I184" s="1" t="str">
        <f>IFERROR(IF(A184="","",E184*#REF!),"")</f>
        <v/>
      </c>
    </row>
    <row r="185" spans="2:9" x14ac:dyDescent="0.3">
      <c r="B185" t="str">
        <f>IFERROR(IF(A185="","",VLOOKUP(A185,CadProd!$A:$B,2,0)),"")</f>
        <v/>
      </c>
      <c r="C185" t="str">
        <f>IFERROR(IF(A185="","",VLOOKUP(A185,CadProd!$A:$C,3,0)),"")</f>
        <v/>
      </c>
      <c r="I185" s="1" t="str">
        <f>IFERROR(IF(A185="","",E185*#REF!),"")</f>
        <v/>
      </c>
    </row>
    <row r="186" spans="2:9" x14ac:dyDescent="0.3">
      <c r="B186" t="str">
        <f>IFERROR(IF(A186="","",VLOOKUP(A186,CadProd!$A:$B,2,0)),"")</f>
        <v/>
      </c>
      <c r="C186" t="str">
        <f>IFERROR(IF(A186="","",VLOOKUP(A186,CadProd!$A:$C,3,0)),"")</f>
        <v/>
      </c>
      <c r="I186" s="1" t="str">
        <f>IFERROR(IF(A186="","",E186*#REF!),"")</f>
        <v/>
      </c>
    </row>
    <row r="187" spans="2:9" x14ac:dyDescent="0.3">
      <c r="B187" t="str">
        <f>IFERROR(IF(A187="","",VLOOKUP(A187,CadProd!$A:$B,2,0)),"")</f>
        <v/>
      </c>
      <c r="C187" t="str">
        <f>IFERROR(IF(A187="","",VLOOKUP(A187,CadProd!$A:$C,3,0)),"")</f>
        <v/>
      </c>
      <c r="I187" s="1" t="str">
        <f>IFERROR(IF(A187="","",E187*#REF!),"")</f>
        <v/>
      </c>
    </row>
    <row r="188" spans="2:9" x14ac:dyDescent="0.3">
      <c r="B188" t="str">
        <f>IFERROR(IF(A188="","",VLOOKUP(A188,CadProd!$A:$B,2,0)),"")</f>
        <v/>
      </c>
      <c r="C188" t="str">
        <f>IFERROR(IF(A188="","",VLOOKUP(A188,CadProd!$A:$C,3,0)),"")</f>
        <v/>
      </c>
      <c r="I188" s="1" t="str">
        <f>IFERROR(IF(A188="","",E188*#REF!),"")</f>
        <v/>
      </c>
    </row>
    <row r="189" spans="2:9" x14ac:dyDescent="0.3">
      <c r="B189" t="str">
        <f>IFERROR(IF(A189="","",VLOOKUP(A189,CadProd!$A:$B,2,0)),"")</f>
        <v/>
      </c>
      <c r="C189" t="str">
        <f>IFERROR(IF(A189="","",VLOOKUP(A189,CadProd!$A:$C,3,0)),"")</f>
        <v/>
      </c>
      <c r="I189" s="1" t="str">
        <f>IFERROR(IF(A189="","",E189*#REF!),"")</f>
        <v/>
      </c>
    </row>
    <row r="190" spans="2:9" x14ac:dyDescent="0.3">
      <c r="B190" t="str">
        <f>IFERROR(IF(A190="","",VLOOKUP(A190,CadProd!$A:$B,2,0)),"")</f>
        <v/>
      </c>
      <c r="C190" t="str">
        <f>IFERROR(IF(A190="","",VLOOKUP(A190,CadProd!$A:$C,3,0)),"")</f>
        <v/>
      </c>
      <c r="I190" s="1" t="str">
        <f>IFERROR(IF(A190="","",E190*#REF!),"")</f>
        <v/>
      </c>
    </row>
    <row r="191" spans="2:9" x14ac:dyDescent="0.3">
      <c r="B191" t="str">
        <f>IFERROR(IF(A191="","",VLOOKUP(A191,CadProd!$A:$B,2,0)),"")</f>
        <v/>
      </c>
      <c r="C191" t="str">
        <f>IFERROR(IF(A191="","",VLOOKUP(A191,CadProd!$A:$C,3,0)),"")</f>
        <v/>
      </c>
      <c r="I191" s="1" t="str">
        <f>IFERROR(IF(A191="","",E191*#REF!),"")</f>
        <v/>
      </c>
    </row>
    <row r="192" spans="2:9" x14ac:dyDescent="0.3">
      <c r="B192" t="str">
        <f>IFERROR(IF(A192="","",VLOOKUP(A192,CadProd!$A:$B,2,0)),"")</f>
        <v/>
      </c>
      <c r="C192" t="str">
        <f>IFERROR(IF(A192="","",VLOOKUP(A192,CadProd!$A:$C,3,0)),"")</f>
        <v/>
      </c>
      <c r="I192" s="1" t="str">
        <f>IFERROR(IF(A192="","",E192*#REF!),"")</f>
        <v/>
      </c>
    </row>
    <row r="193" spans="2:9" x14ac:dyDescent="0.3">
      <c r="B193" t="str">
        <f>IFERROR(IF(A193="","",VLOOKUP(A193,CadProd!$A:$B,2,0)),"")</f>
        <v/>
      </c>
      <c r="C193" t="str">
        <f>IFERROR(IF(A193="","",VLOOKUP(A193,CadProd!$A:$C,3,0)),"")</f>
        <v/>
      </c>
      <c r="I193" s="1" t="str">
        <f>IFERROR(IF(A193="","",E193*#REF!),"")</f>
        <v/>
      </c>
    </row>
    <row r="194" spans="2:9" x14ac:dyDescent="0.3">
      <c r="B194" t="str">
        <f>IFERROR(IF(A194="","",VLOOKUP(A194,CadProd!$A:$B,2,0)),"")</f>
        <v/>
      </c>
      <c r="C194" t="str">
        <f>IFERROR(IF(A194="","",VLOOKUP(A194,CadProd!$A:$C,3,0)),"")</f>
        <v/>
      </c>
      <c r="I194" s="1" t="str">
        <f>IFERROR(IF(A194="","",E194*#REF!),"")</f>
        <v/>
      </c>
    </row>
    <row r="195" spans="2:9" x14ac:dyDescent="0.3">
      <c r="B195" t="str">
        <f>IFERROR(IF(A195="","",VLOOKUP(A195,CadProd!$A:$B,2,0)),"")</f>
        <v/>
      </c>
      <c r="C195" t="str">
        <f>IFERROR(IF(A195="","",VLOOKUP(A195,CadProd!$A:$C,3,0)),"")</f>
        <v/>
      </c>
      <c r="I195" s="1" t="str">
        <f>IFERROR(IF(A195="","",E195*#REF!),"")</f>
        <v/>
      </c>
    </row>
    <row r="196" spans="2:9" x14ac:dyDescent="0.3">
      <c r="B196" t="str">
        <f>IFERROR(IF(A196="","",VLOOKUP(A196,CadProd!$A:$B,2,0)),"")</f>
        <v/>
      </c>
      <c r="C196" t="str">
        <f>IFERROR(IF(A196="","",VLOOKUP(A196,CadProd!$A:$C,3,0)),"")</f>
        <v/>
      </c>
      <c r="I196" s="1" t="str">
        <f>IFERROR(IF(A196="","",E196*#REF!),"")</f>
        <v/>
      </c>
    </row>
    <row r="197" spans="2:9" x14ac:dyDescent="0.3">
      <c r="B197" t="str">
        <f>IFERROR(IF(A197="","",VLOOKUP(A197,CadProd!$A:$B,2,0)),"")</f>
        <v/>
      </c>
      <c r="C197" t="str">
        <f>IFERROR(IF(A197="","",VLOOKUP(A197,CadProd!$A:$C,3,0)),"")</f>
        <v/>
      </c>
      <c r="I197" s="1" t="str">
        <f>IFERROR(IF(A197="","",E197*#REF!),"")</f>
        <v/>
      </c>
    </row>
    <row r="198" spans="2:9" x14ac:dyDescent="0.3">
      <c r="B198" t="str">
        <f>IFERROR(IF(A198="","",VLOOKUP(A198,CadProd!$A:$B,2,0)),"")</f>
        <v/>
      </c>
      <c r="C198" t="str">
        <f>IFERROR(IF(A198="","",VLOOKUP(A198,CadProd!$A:$C,3,0)),"")</f>
        <v/>
      </c>
      <c r="I198" s="1" t="str">
        <f>IFERROR(IF(A198="","",E198*#REF!),"")</f>
        <v/>
      </c>
    </row>
    <row r="199" spans="2:9" x14ac:dyDescent="0.3">
      <c r="B199" t="str">
        <f>IFERROR(IF(A199="","",VLOOKUP(A199,CadProd!$A:$B,2,0)),"")</f>
        <v/>
      </c>
      <c r="C199" t="str">
        <f>IFERROR(IF(A199="","",VLOOKUP(A199,CadProd!$A:$C,3,0)),"")</f>
        <v/>
      </c>
      <c r="I199" s="1" t="str">
        <f>IFERROR(IF(A199="","",E199*#REF!),"")</f>
        <v/>
      </c>
    </row>
    <row r="200" spans="2:9" x14ac:dyDescent="0.3">
      <c r="B200" t="str">
        <f>IFERROR(IF(A200="","",VLOOKUP(A200,CadProd!$A:$B,2,0)),"")</f>
        <v/>
      </c>
      <c r="C200" t="str">
        <f>IFERROR(IF(A200="","",VLOOKUP(A200,CadProd!$A:$C,3,0)),"")</f>
        <v/>
      </c>
      <c r="I200" s="1" t="str">
        <f>IFERROR(IF(A200="","",E200*#REF!),"")</f>
        <v/>
      </c>
    </row>
    <row r="201" spans="2:9" x14ac:dyDescent="0.3">
      <c r="B201" t="str">
        <f>IFERROR(IF(A201="","",VLOOKUP(A201,CadProd!$A:$B,2,0)),"")</f>
        <v/>
      </c>
      <c r="C201" t="str">
        <f>IFERROR(IF(A201="","",VLOOKUP(A201,CadProd!$A:$C,3,0)),"")</f>
        <v/>
      </c>
      <c r="I201" s="1" t="str">
        <f>IFERROR(IF(A201="","",E201*#REF!),"")</f>
        <v/>
      </c>
    </row>
    <row r="202" spans="2:9" x14ac:dyDescent="0.3">
      <c r="B202" t="str">
        <f>IFERROR(IF(A202="","",VLOOKUP(A202,CadProd!$A:$B,2,0)),"")</f>
        <v/>
      </c>
      <c r="C202" t="str">
        <f>IFERROR(IF(A202="","",VLOOKUP(A202,CadProd!$A:$C,3,0)),"")</f>
        <v/>
      </c>
      <c r="I202" s="1" t="str">
        <f>IFERROR(IF(A202="","",E202*#REF!),"")</f>
        <v/>
      </c>
    </row>
    <row r="203" spans="2:9" x14ac:dyDescent="0.3">
      <c r="B203" t="str">
        <f>IFERROR(IF(A203="","",VLOOKUP(A203,CadProd!$A:$B,2,0)),"")</f>
        <v/>
      </c>
      <c r="C203" t="str">
        <f>IFERROR(IF(A203="","",VLOOKUP(A203,CadProd!$A:$C,3,0)),"")</f>
        <v/>
      </c>
      <c r="I203" s="1" t="str">
        <f>IFERROR(IF(A203="","",E203*#REF!),"")</f>
        <v/>
      </c>
    </row>
    <row r="204" spans="2:9" x14ac:dyDescent="0.3">
      <c r="B204" t="str">
        <f>IFERROR(IF(A204="","",VLOOKUP(A204,CadProd!$A:$B,2,0)),"")</f>
        <v/>
      </c>
      <c r="C204" t="str">
        <f>IFERROR(IF(A204="","",VLOOKUP(A204,CadProd!$A:$C,3,0)),"")</f>
        <v/>
      </c>
      <c r="I204" s="1" t="str">
        <f>IFERROR(IF(A204="","",E204*#REF!),"")</f>
        <v/>
      </c>
    </row>
    <row r="205" spans="2:9" x14ac:dyDescent="0.3">
      <c r="B205" t="str">
        <f>IFERROR(IF(A205="","",VLOOKUP(A205,CadProd!$A:$B,2,0)),"")</f>
        <v/>
      </c>
      <c r="C205" t="str">
        <f>IFERROR(IF(A205="","",VLOOKUP(A205,CadProd!$A:$C,3,0)),"")</f>
        <v/>
      </c>
      <c r="I205" s="1" t="str">
        <f>IFERROR(IF(A205="","",E205*#REF!),"")</f>
        <v/>
      </c>
    </row>
    <row r="206" spans="2:9" x14ac:dyDescent="0.3">
      <c r="B206" t="str">
        <f>IFERROR(IF(A206="","",VLOOKUP(A206,CadProd!$A:$B,2,0)),"")</f>
        <v/>
      </c>
      <c r="C206" t="str">
        <f>IFERROR(IF(A206="","",VLOOKUP(A206,CadProd!$A:$C,3,0)),"")</f>
        <v/>
      </c>
      <c r="I206" s="1" t="str">
        <f>IFERROR(IF(A206="","",E206*#REF!),"")</f>
        <v/>
      </c>
    </row>
    <row r="207" spans="2:9" x14ac:dyDescent="0.3">
      <c r="B207" t="str">
        <f>IFERROR(IF(A207="","",VLOOKUP(A207,CadProd!$A:$B,2,0)),"")</f>
        <v/>
      </c>
      <c r="C207" t="str">
        <f>IFERROR(IF(A207="","",VLOOKUP(A207,CadProd!$A:$C,3,0)),"")</f>
        <v/>
      </c>
      <c r="I207" s="1" t="str">
        <f>IFERROR(IF(A207="","",E207*#REF!),"")</f>
        <v/>
      </c>
    </row>
    <row r="208" spans="2:9" x14ac:dyDescent="0.3">
      <c r="B208" t="str">
        <f>IFERROR(IF(A208="","",VLOOKUP(A208,CadProd!$A:$B,2,0)),"")</f>
        <v/>
      </c>
      <c r="C208" t="str">
        <f>IFERROR(IF(A208="","",VLOOKUP(A208,CadProd!$A:$C,3,0)),"")</f>
        <v/>
      </c>
      <c r="I208" s="1" t="str">
        <f>IFERROR(IF(A208="","",E208*#REF!),"")</f>
        <v/>
      </c>
    </row>
    <row r="209" spans="2:9" x14ac:dyDescent="0.3">
      <c r="B209" t="str">
        <f>IFERROR(IF(A209="","",VLOOKUP(A209,CadProd!$A:$B,2,0)),"")</f>
        <v/>
      </c>
      <c r="C209" t="str">
        <f>IFERROR(IF(A209="","",VLOOKUP(A209,CadProd!$A:$C,3,0)),"")</f>
        <v/>
      </c>
      <c r="I209" s="1" t="str">
        <f>IFERROR(IF(A209="","",E209*#REF!),"")</f>
        <v/>
      </c>
    </row>
    <row r="210" spans="2:9" x14ac:dyDescent="0.3">
      <c r="B210" t="str">
        <f>IFERROR(IF(A210="","",VLOOKUP(A210,CadProd!$A:$B,2,0)),"")</f>
        <v/>
      </c>
      <c r="C210" t="str">
        <f>IFERROR(IF(A210="","",VLOOKUP(A210,CadProd!$A:$C,3,0)),"")</f>
        <v/>
      </c>
      <c r="I210" s="1" t="str">
        <f>IFERROR(IF(A210="","",E210*#REF!),"")</f>
        <v/>
      </c>
    </row>
    <row r="211" spans="2:9" x14ac:dyDescent="0.3">
      <c r="B211" t="str">
        <f>IFERROR(IF(A211="","",VLOOKUP(A211,CadProd!$A:$B,2,0)),"")</f>
        <v/>
      </c>
      <c r="C211" t="str">
        <f>IFERROR(IF(A211="","",VLOOKUP(A211,CadProd!$A:$C,3,0)),"")</f>
        <v/>
      </c>
      <c r="I211" s="1" t="str">
        <f>IFERROR(IF(A211="","",E211*#REF!),"")</f>
        <v/>
      </c>
    </row>
    <row r="212" spans="2:9" x14ac:dyDescent="0.3">
      <c r="B212" t="str">
        <f>IFERROR(IF(A212="","",VLOOKUP(A212,CadProd!$A:$B,2,0)),"")</f>
        <v/>
      </c>
      <c r="C212" t="str">
        <f>IFERROR(IF(A212="","",VLOOKUP(A212,CadProd!$A:$C,3,0)),"")</f>
        <v/>
      </c>
      <c r="I212" s="1" t="str">
        <f>IFERROR(IF(A212="","",E212*#REF!),"")</f>
        <v/>
      </c>
    </row>
    <row r="213" spans="2:9" x14ac:dyDescent="0.3">
      <c r="B213" t="str">
        <f>IFERROR(IF(A213="","",VLOOKUP(A213,CadProd!$A:$B,2,0)),"")</f>
        <v/>
      </c>
      <c r="C213" t="str">
        <f>IFERROR(IF(A213="","",VLOOKUP(A213,CadProd!$A:$C,3,0)),"")</f>
        <v/>
      </c>
      <c r="I213" s="1" t="str">
        <f>IFERROR(IF(A213="","",E213*#REF!),"")</f>
        <v/>
      </c>
    </row>
    <row r="214" spans="2:9" x14ac:dyDescent="0.3">
      <c r="B214" t="str">
        <f>IFERROR(IF(A214="","",VLOOKUP(A214,CadProd!$A:$B,2,0)),"")</f>
        <v/>
      </c>
      <c r="C214" t="str">
        <f>IFERROR(IF(A214="","",VLOOKUP(A214,CadProd!$A:$C,3,0)),"")</f>
        <v/>
      </c>
      <c r="I214" s="1" t="str">
        <f>IFERROR(IF(A214="","",E214*#REF!),"")</f>
        <v/>
      </c>
    </row>
    <row r="215" spans="2:9" x14ac:dyDescent="0.3">
      <c r="B215" t="str">
        <f>IFERROR(IF(A215="","",VLOOKUP(A215,CadProd!$A:$B,2,0)),"")</f>
        <v/>
      </c>
      <c r="C215" t="str">
        <f>IFERROR(IF(A215="","",VLOOKUP(A215,CadProd!$A:$C,3,0)),"")</f>
        <v/>
      </c>
      <c r="I215" s="1" t="str">
        <f>IFERROR(IF(A215="","",E215*#REF!),"")</f>
        <v/>
      </c>
    </row>
    <row r="216" spans="2:9" x14ac:dyDescent="0.3">
      <c r="B216" t="str">
        <f>IFERROR(IF(A216="","",VLOOKUP(A216,CadProd!$A:$B,2,0)),"")</f>
        <v/>
      </c>
      <c r="C216" t="str">
        <f>IFERROR(IF(A216="","",VLOOKUP(A216,CadProd!$A:$C,3,0)),"")</f>
        <v/>
      </c>
      <c r="I216" s="1" t="str">
        <f>IFERROR(IF(A216="","",E216*#REF!),"")</f>
        <v/>
      </c>
    </row>
    <row r="217" spans="2:9" x14ac:dyDescent="0.3">
      <c r="B217" t="str">
        <f>IFERROR(IF(A217="","",VLOOKUP(A217,CadProd!$A:$B,2,0)),"")</f>
        <v/>
      </c>
      <c r="C217" t="str">
        <f>IFERROR(IF(A217="","",VLOOKUP(A217,CadProd!$A:$C,3,0)),"")</f>
        <v/>
      </c>
      <c r="I217" s="1" t="str">
        <f>IFERROR(IF(A217="","",E217*#REF!),"")</f>
        <v/>
      </c>
    </row>
    <row r="218" spans="2:9" x14ac:dyDescent="0.3">
      <c r="B218" t="str">
        <f>IFERROR(IF(A218="","",VLOOKUP(A218,CadProd!$A:$B,2,0)),"")</f>
        <v/>
      </c>
      <c r="C218" t="str">
        <f>IFERROR(IF(A218="","",VLOOKUP(A218,CadProd!$A:$C,3,0)),"")</f>
        <v/>
      </c>
      <c r="I218" s="1" t="str">
        <f>IFERROR(IF(A218="","",E218*#REF!),"")</f>
        <v/>
      </c>
    </row>
    <row r="219" spans="2:9" x14ac:dyDescent="0.3">
      <c r="B219" t="str">
        <f>IFERROR(IF(A219="","",VLOOKUP(A219,CadProd!$A:$B,2,0)),"")</f>
        <v/>
      </c>
      <c r="C219" t="str">
        <f>IFERROR(IF(A219="","",VLOOKUP(A219,CadProd!$A:$C,3,0)),"")</f>
        <v/>
      </c>
      <c r="I219" s="1" t="str">
        <f>IFERROR(IF(A219="","",E219*#REF!),"")</f>
        <v/>
      </c>
    </row>
    <row r="220" spans="2:9" x14ac:dyDescent="0.3">
      <c r="B220" t="str">
        <f>IFERROR(IF(A220="","",VLOOKUP(A220,CadProd!$A:$B,2,0)),"")</f>
        <v/>
      </c>
      <c r="C220" t="str">
        <f>IFERROR(IF(A220="","",VLOOKUP(A220,CadProd!$A:$C,3,0)),"")</f>
        <v/>
      </c>
      <c r="I220" s="1" t="str">
        <f>IFERROR(IF(A220="","",E220*#REF!),"")</f>
        <v/>
      </c>
    </row>
    <row r="221" spans="2:9" x14ac:dyDescent="0.3">
      <c r="B221" t="str">
        <f>IFERROR(IF(A221="","",VLOOKUP(A221,CadProd!$A:$B,2,0)),"")</f>
        <v/>
      </c>
      <c r="C221" t="str">
        <f>IFERROR(IF(A221="","",VLOOKUP(A221,CadProd!$A:$C,3,0)),"")</f>
        <v/>
      </c>
      <c r="I221" s="1" t="str">
        <f>IFERROR(IF(A221="","",E221*#REF!),"")</f>
        <v/>
      </c>
    </row>
    <row r="222" spans="2:9" x14ac:dyDescent="0.3">
      <c r="B222" t="str">
        <f>IFERROR(IF(A222="","",VLOOKUP(A222,CadProd!$A:$B,2,0)),"")</f>
        <v/>
      </c>
      <c r="C222" t="str">
        <f>IFERROR(IF(A222="","",VLOOKUP(A222,CadProd!$A:$C,3,0)),"")</f>
        <v/>
      </c>
      <c r="I222" s="1" t="str">
        <f>IFERROR(IF(A222="","",E222*#REF!),"")</f>
        <v/>
      </c>
    </row>
    <row r="223" spans="2:9" x14ac:dyDescent="0.3">
      <c r="B223" t="str">
        <f>IFERROR(IF(A223="","",VLOOKUP(A223,CadProd!$A:$B,2,0)),"")</f>
        <v/>
      </c>
      <c r="C223" t="str">
        <f>IFERROR(IF(A223="","",VLOOKUP(A223,CadProd!$A:$C,3,0)),"")</f>
        <v/>
      </c>
      <c r="I223" s="1" t="str">
        <f>IFERROR(IF(A223="","",E223*#REF!),"")</f>
        <v/>
      </c>
    </row>
    <row r="224" spans="2:9" x14ac:dyDescent="0.3">
      <c r="B224" t="str">
        <f>IFERROR(IF(A224="","",VLOOKUP(A224,CadProd!$A:$B,2,0)),"")</f>
        <v/>
      </c>
      <c r="C224" t="str">
        <f>IFERROR(IF(A224="","",VLOOKUP(A224,CadProd!$A:$C,3,0)),"")</f>
        <v/>
      </c>
      <c r="I224" s="1" t="str">
        <f>IFERROR(IF(A224="","",E224*#REF!),"")</f>
        <v/>
      </c>
    </row>
    <row r="225" spans="2:9" x14ac:dyDescent="0.3">
      <c r="B225" t="str">
        <f>IFERROR(IF(A225="","",VLOOKUP(A225,CadProd!$A:$B,2,0)),"")</f>
        <v/>
      </c>
      <c r="C225" t="str">
        <f>IFERROR(IF(A225="","",VLOOKUP(A225,CadProd!$A:$C,3,0)),"")</f>
        <v/>
      </c>
      <c r="I225" s="1" t="str">
        <f>IFERROR(IF(A225="","",E225*#REF!),"")</f>
        <v/>
      </c>
    </row>
    <row r="226" spans="2:9" x14ac:dyDescent="0.3">
      <c r="B226" t="str">
        <f>IFERROR(IF(A226="","",VLOOKUP(A226,CadProd!$A:$B,2,0)),"")</f>
        <v/>
      </c>
      <c r="C226" t="str">
        <f>IFERROR(IF(A226="","",VLOOKUP(A226,CadProd!$A:$C,3,0)),"")</f>
        <v/>
      </c>
      <c r="I226" s="1" t="str">
        <f>IFERROR(IF(A226="","",E226*#REF!),"")</f>
        <v/>
      </c>
    </row>
    <row r="227" spans="2:9" x14ac:dyDescent="0.3">
      <c r="B227" t="str">
        <f>IFERROR(IF(A227="","",VLOOKUP(A227,CadProd!$A:$B,2,0)),"")</f>
        <v/>
      </c>
      <c r="C227" t="str">
        <f>IFERROR(IF(A227="","",VLOOKUP(A227,CadProd!$A:$C,3,0)),"")</f>
        <v/>
      </c>
      <c r="I227" s="1" t="str">
        <f>IFERROR(IF(A227="","",E227*#REF!),"")</f>
        <v/>
      </c>
    </row>
    <row r="228" spans="2:9" x14ac:dyDescent="0.3">
      <c r="B228" t="str">
        <f>IFERROR(IF(A228="","",VLOOKUP(A228,CadProd!$A:$B,2,0)),"")</f>
        <v/>
      </c>
      <c r="C228" t="str">
        <f>IFERROR(IF(A228="","",VLOOKUP(A228,CadProd!$A:$C,3,0)),"")</f>
        <v/>
      </c>
      <c r="I228" s="1" t="str">
        <f>IFERROR(IF(A228="","",E228*#REF!),"")</f>
        <v/>
      </c>
    </row>
    <row r="229" spans="2:9" x14ac:dyDescent="0.3">
      <c r="B229" t="str">
        <f>IFERROR(IF(A229="","",VLOOKUP(A229,CadProd!$A:$B,2,0)),"")</f>
        <v/>
      </c>
      <c r="C229" t="str">
        <f>IFERROR(IF(A229="","",VLOOKUP(A229,CadProd!$A:$C,3,0)),"")</f>
        <v/>
      </c>
      <c r="I229" s="1" t="str">
        <f>IFERROR(IF(A229="","",E229*#REF!),"")</f>
        <v/>
      </c>
    </row>
    <row r="230" spans="2:9" x14ac:dyDescent="0.3">
      <c r="B230" t="str">
        <f>IFERROR(IF(A230="","",VLOOKUP(A230,CadProd!$A:$B,2,0)),"")</f>
        <v/>
      </c>
      <c r="C230" t="str">
        <f>IFERROR(IF(A230="","",VLOOKUP(A230,CadProd!$A:$C,3,0)),"")</f>
        <v/>
      </c>
      <c r="I230" s="1" t="str">
        <f>IFERROR(IF(A230="","",E230*#REF!),"")</f>
        <v/>
      </c>
    </row>
    <row r="231" spans="2:9" x14ac:dyDescent="0.3">
      <c r="B231" t="str">
        <f>IFERROR(IF(A231="","",VLOOKUP(A231,CadProd!$A:$B,2,0)),"")</f>
        <v/>
      </c>
      <c r="C231" t="str">
        <f>IFERROR(IF(A231="","",VLOOKUP(A231,CadProd!$A:$C,3,0)),"")</f>
        <v/>
      </c>
      <c r="I231" s="1" t="str">
        <f>IFERROR(IF(A231="","",E231*#REF!),"")</f>
        <v/>
      </c>
    </row>
    <row r="232" spans="2:9" x14ac:dyDescent="0.3">
      <c r="B232" t="str">
        <f>IFERROR(IF(A232="","",VLOOKUP(A232,CadProd!$A:$B,2,0)),"")</f>
        <v/>
      </c>
      <c r="C232" t="str">
        <f>IFERROR(IF(A232="","",VLOOKUP(A232,CadProd!$A:$C,3,0)),"")</f>
        <v/>
      </c>
      <c r="I232" s="1" t="str">
        <f>IFERROR(IF(A232="","",E232*#REF!),"")</f>
        <v/>
      </c>
    </row>
    <row r="233" spans="2:9" x14ac:dyDescent="0.3">
      <c r="B233" t="str">
        <f>IFERROR(IF(A233="","",VLOOKUP(A233,CadProd!$A:$B,2,0)),"")</f>
        <v/>
      </c>
      <c r="C233" t="str">
        <f>IFERROR(IF(A233="","",VLOOKUP(A233,CadProd!$A:$C,3,0)),"")</f>
        <v/>
      </c>
      <c r="I233" s="1" t="str">
        <f>IFERROR(IF(A233="","",E233*#REF!),"")</f>
        <v/>
      </c>
    </row>
    <row r="234" spans="2:9" x14ac:dyDescent="0.3">
      <c r="B234" t="str">
        <f>IFERROR(IF(A234="","",VLOOKUP(A234,CadProd!$A:$B,2,0)),"")</f>
        <v/>
      </c>
      <c r="C234" t="str">
        <f>IFERROR(IF(A234="","",VLOOKUP(A234,CadProd!$A:$C,3,0)),"")</f>
        <v/>
      </c>
      <c r="I234" s="1" t="str">
        <f>IFERROR(IF(A234="","",E234*#REF!),"")</f>
        <v/>
      </c>
    </row>
    <row r="235" spans="2:9" x14ac:dyDescent="0.3">
      <c r="B235" t="str">
        <f>IFERROR(IF(A235="","",VLOOKUP(A235,CadProd!$A:$B,2,0)),"")</f>
        <v/>
      </c>
      <c r="C235" t="str">
        <f>IFERROR(IF(A235="","",VLOOKUP(A235,CadProd!$A:$C,3,0)),"")</f>
        <v/>
      </c>
      <c r="I235" s="1" t="str">
        <f>IFERROR(IF(A235="","",E235*#REF!),"")</f>
        <v/>
      </c>
    </row>
    <row r="236" spans="2:9" x14ac:dyDescent="0.3">
      <c r="B236" t="str">
        <f>IFERROR(IF(A236="","",VLOOKUP(A236,CadProd!$A:$B,2,0)),"")</f>
        <v/>
      </c>
      <c r="C236" t="str">
        <f>IFERROR(IF(A236="","",VLOOKUP(A236,CadProd!$A:$C,3,0)),"")</f>
        <v/>
      </c>
      <c r="I236" s="1" t="str">
        <f>IFERROR(IF(A236="","",E236*#REF!),"")</f>
        <v/>
      </c>
    </row>
    <row r="237" spans="2:9" x14ac:dyDescent="0.3">
      <c r="B237" t="str">
        <f>IFERROR(IF(A237="","",VLOOKUP(A237,CadProd!$A:$B,2,0)),"")</f>
        <v/>
      </c>
      <c r="C237" t="str">
        <f>IFERROR(IF(A237="","",VLOOKUP(A237,CadProd!$A:$C,3,0)),"")</f>
        <v/>
      </c>
      <c r="I237" s="1" t="str">
        <f>IFERROR(IF(A237="","",E237*#REF!),"")</f>
        <v/>
      </c>
    </row>
    <row r="238" spans="2:9" x14ac:dyDescent="0.3">
      <c r="B238" t="str">
        <f>IFERROR(IF(A238="","",VLOOKUP(A238,CadProd!$A:$B,2,0)),"")</f>
        <v/>
      </c>
      <c r="C238" t="str">
        <f>IFERROR(IF(A238="","",VLOOKUP(A238,CadProd!$A:$C,3,0)),"")</f>
        <v/>
      </c>
      <c r="I238" s="1" t="str">
        <f>IFERROR(IF(A238="","",E238*#REF!),"")</f>
        <v/>
      </c>
    </row>
    <row r="239" spans="2:9" x14ac:dyDescent="0.3">
      <c r="B239" t="str">
        <f>IFERROR(IF(A239="","",VLOOKUP(A239,CadProd!$A:$B,2,0)),"")</f>
        <v/>
      </c>
      <c r="C239" t="str">
        <f>IFERROR(IF(A239="","",VLOOKUP(A239,CadProd!$A:$C,3,0)),"")</f>
        <v/>
      </c>
      <c r="I239" s="1" t="str">
        <f>IFERROR(IF(A239="","",E239*#REF!),"")</f>
        <v/>
      </c>
    </row>
    <row r="240" spans="2:9" x14ac:dyDescent="0.3">
      <c r="B240" t="str">
        <f>IFERROR(IF(A240="","",VLOOKUP(A240,CadProd!$A:$B,2,0)),"")</f>
        <v/>
      </c>
      <c r="C240" t="str">
        <f>IFERROR(IF(A240="","",VLOOKUP(A240,CadProd!$A:$C,3,0)),"")</f>
        <v/>
      </c>
      <c r="I240" s="1" t="str">
        <f>IFERROR(IF(A240="","",E240*#REF!),"")</f>
        <v/>
      </c>
    </row>
    <row r="241" spans="2:9" x14ac:dyDescent="0.3">
      <c r="B241" t="str">
        <f>IFERROR(IF(A241="","",VLOOKUP(A241,CadProd!$A:$B,2,0)),"")</f>
        <v/>
      </c>
      <c r="C241" t="str">
        <f>IFERROR(IF(A241="","",VLOOKUP(A241,CadProd!$A:$C,3,0)),"")</f>
        <v/>
      </c>
      <c r="I241" s="1" t="str">
        <f>IFERROR(IF(A241="","",E241*#REF!),"")</f>
        <v/>
      </c>
    </row>
    <row r="242" spans="2:9" x14ac:dyDescent="0.3">
      <c r="B242" t="str">
        <f>IFERROR(IF(A242="","",VLOOKUP(A242,CadProd!$A:$B,2,0)),"")</f>
        <v/>
      </c>
      <c r="C242" t="str">
        <f>IFERROR(IF(A242="","",VLOOKUP(A242,CadProd!$A:$C,3,0)),"")</f>
        <v/>
      </c>
      <c r="I242" s="1" t="str">
        <f>IFERROR(IF(A242="","",E242*#REF!),"")</f>
        <v/>
      </c>
    </row>
    <row r="243" spans="2:9" x14ac:dyDescent="0.3">
      <c r="B243" t="str">
        <f>IFERROR(IF(A243="","",VLOOKUP(A243,CadProd!$A:$B,2,0)),"")</f>
        <v/>
      </c>
      <c r="C243" t="str">
        <f>IFERROR(IF(A243="","",VLOOKUP(A243,CadProd!$A:$C,3,0)),"")</f>
        <v/>
      </c>
      <c r="I243" s="1" t="str">
        <f>IFERROR(IF(A243="","",E243*#REF!),"")</f>
        <v/>
      </c>
    </row>
    <row r="244" spans="2:9" x14ac:dyDescent="0.3">
      <c r="B244" t="str">
        <f>IFERROR(IF(A244="","",VLOOKUP(A244,CadProd!$A:$B,2,0)),"")</f>
        <v/>
      </c>
      <c r="C244" t="str">
        <f>IFERROR(IF(A244="","",VLOOKUP(A244,CadProd!$A:$C,3,0)),"")</f>
        <v/>
      </c>
      <c r="I244" s="1" t="str">
        <f>IFERROR(IF(A244="","",E244*#REF!),"")</f>
        <v/>
      </c>
    </row>
    <row r="245" spans="2:9" x14ac:dyDescent="0.3">
      <c r="B245" t="str">
        <f>IFERROR(IF(A245="","",VLOOKUP(A245,CadProd!$A:$B,2,0)),"")</f>
        <v/>
      </c>
      <c r="C245" t="str">
        <f>IFERROR(IF(A245="","",VLOOKUP(A245,CadProd!$A:$C,3,0)),"")</f>
        <v/>
      </c>
      <c r="I245" s="1" t="str">
        <f>IFERROR(IF(A245="","",E245*#REF!),"")</f>
        <v/>
      </c>
    </row>
    <row r="246" spans="2:9" x14ac:dyDescent="0.3">
      <c r="B246" t="str">
        <f>IFERROR(IF(A246="","",VLOOKUP(A246,CadProd!$A:$B,2,0)),"")</f>
        <v/>
      </c>
      <c r="C246" t="str">
        <f>IFERROR(IF(A246="","",VLOOKUP(A246,CadProd!$A:$C,3,0)),"")</f>
        <v/>
      </c>
      <c r="I246" s="1" t="str">
        <f>IFERROR(IF(A246="","",E246*#REF!),"")</f>
        <v/>
      </c>
    </row>
    <row r="247" spans="2:9" x14ac:dyDescent="0.3">
      <c r="B247" t="str">
        <f>IFERROR(IF(A247="","",VLOOKUP(A247,CadProd!$A:$B,2,0)),"")</f>
        <v/>
      </c>
      <c r="C247" t="str">
        <f>IFERROR(IF(A247="","",VLOOKUP(A247,CadProd!$A:$C,3,0)),"")</f>
        <v/>
      </c>
      <c r="I247" s="1" t="str">
        <f>IFERROR(IF(A247="","",E247*#REF!),"")</f>
        <v/>
      </c>
    </row>
    <row r="248" spans="2:9" x14ac:dyDescent="0.3">
      <c r="B248" t="str">
        <f>IFERROR(IF(A248="","",VLOOKUP(A248,CadProd!$A:$B,2,0)),"")</f>
        <v/>
      </c>
      <c r="C248" t="str">
        <f>IFERROR(IF(A248="","",VLOOKUP(A248,CadProd!$A:$C,3,0)),"")</f>
        <v/>
      </c>
      <c r="I248" s="1" t="str">
        <f>IFERROR(IF(A248="","",E248*#REF!),"")</f>
        <v/>
      </c>
    </row>
    <row r="249" spans="2:9" x14ac:dyDescent="0.3">
      <c r="B249" t="str">
        <f>IFERROR(IF(A249="","",VLOOKUP(A249,CadProd!$A:$B,2,0)),"")</f>
        <v/>
      </c>
      <c r="C249" t="str">
        <f>IFERROR(IF(A249="","",VLOOKUP(A249,CadProd!$A:$C,3,0)),"")</f>
        <v/>
      </c>
      <c r="I249" s="1" t="str">
        <f>IFERROR(IF(A249="","",E249*#REF!),"")</f>
        <v/>
      </c>
    </row>
    <row r="250" spans="2:9" x14ac:dyDescent="0.3">
      <c r="B250" t="str">
        <f>IFERROR(IF(A250="","",VLOOKUP(A250,CadProd!$A:$B,2,0)),"")</f>
        <v/>
      </c>
      <c r="C250" t="str">
        <f>IFERROR(IF(A250="","",VLOOKUP(A250,CadProd!$A:$C,3,0)),"")</f>
        <v/>
      </c>
      <c r="I250" s="1" t="str">
        <f>IFERROR(IF(A250="","",E250*#REF!),"")</f>
        <v/>
      </c>
    </row>
    <row r="251" spans="2:9" x14ac:dyDescent="0.3">
      <c r="B251" t="str">
        <f>IFERROR(IF(A251="","",VLOOKUP(A251,CadProd!$A:$B,2,0)),"")</f>
        <v/>
      </c>
      <c r="C251" t="str">
        <f>IFERROR(IF(A251="","",VLOOKUP(A251,CadProd!$A:$C,3,0)),"")</f>
        <v/>
      </c>
      <c r="I251" s="1" t="str">
        <f>IFERROR(IF(A251="","",E251*#REF!),"")</f>
        <v/>
      </c>
    </row>
    <row r="252" spans="2:9" x14ac:dyDescent="0.3">
      <c r="B252" t="str">
        <f>IFERROR(IF(A252="","",VLOOKUP(A252,CadProd!$A:$B,2,0)),"")</f>
        <v/>
      </c>
      <c r="C252" t="str">
        <f>IFERROR(IF(A252="","",VLOOKUP(A252,CadProd!$A:$C,3,0)),"")</f>
        <v/>
      </c>
      <c r="I252" s="1" t="str">
        <f>IFERROR(IF(A252="","",E252*#REF!),"")</f>
        <v/>
      </c>
    </row>
    <row r="253" spans="2:9" x14ac:dyDescent="0.3">
      <c r="B253" t="str">
        <f>IFERROR(IF(A253="","",VLOOKUP(A253,CadProd!$A:$B,2,0)),"")</f>
        <v/>
      </c>
      <c r="C253" t="str">
        <f>IFERROR(IF(A253="","",VLOOKUP(A253,CadProd!$A:$C,3,0)),"")</f>
        <v/>
      </c>
      <c r="I253" s="1" t="str">
        <f>IFERROR(IF(A253="","",E253*#REF!),"")</f>
        <v/>
      </c>
    </row>
    <row r="254" spans="2:9" x14ac:dyDescent="0.3">
      <c r="B254" t="str">
        <f>IFERROR(IF(A254="","",VLOOKUP(A254,CadProd!$A:$B,2,0)),"")</f>
        <v/>
      </c>
      <c r="C254" t="str">
        <f>IFERROR(IF(A254="","",VLOOKUP(A254,CadProd!$A:$C,3,0)),"")</f>
        <v/>
      </c>
      <c r="I254" s="1" t="str">
        <f>IFERROR(IF(A254="","",E254*#REF!),"")</f>
        <v/>
      </c>
    </row>
    <row r="255" spans="2:9" x14ac:dyDescent="0.3">
      <c r="B255" t="str">
        <f>IFERROR(IF(A255="","",VLOOKUP(A255,CadProd!$A:$B,2,0)),"")</f>
        <v/>
      </c>
      <c r="C255" t="str">
        <f>IFERROR(IF(A255="","",VLOOKUP(A255,CadProd!$A:$C,3,0)),"")</f>
        <v/>
      </c>
      <c r="I255" s="1" t="str">
        <f>IFERROR(IF(A255="","",E255*#REF!),"")</f>
        <v/>
      </c>
    </row>
    <row r="256" spans="2:9" x14ac:dyDescent="0.3">
      <c r="B256" t="str">
        <f>IFERROR(IF(A256="","",VLOOKUP(A256,CadProd!$A:$B,2,0)),"")</f>
        <v/>
      </c>
      <c r="C256" t="str">
        <f>IFERROR(IF(A256="","",VLOOKUP(A256,CadProd!$A:$C,3,0)),"")</f>
        <v/>
      </c>
      <c r="I256" s="1" t="str">
        <f>IFERROR(IF(A256="","",E256*#REF!),"")</f>
        <v/>
      </c>
    </row>
    <row r="257" spans="2:9" x14ac:dyDescent="0.3">
      <c r="B257" t="str">
        <f>IFERROR(IF(A257="","",VLOOKUP(A257,CadProd!$A:$B,2,0)),"")</f>
        <v/>
      </c>
      <c r="C257" t="str">
        <f>IFERROR(IF(A257="","",VLOOKUP(A257,CadProd!$A:$C,3,0)),"")</f>
        <v/>
      </c>
      <c r="I257" s="1" t="str">
        <f>IFERROR(IF(A257="","",E257*#REF!),"")</f>
        <v/>
      </c>
    </row>
    <row r="258" spans="2:9" x14ac:dyDescent="0.3">
      <c r="B258" t="str">
        <f>IFERROR(IF(A258="","",VLOOKUP(A258,CadProd!$A:$B,2,0)),"")</f>
        <v/>
      </c>
      <c r="C258" t="str">
        <f>IFERROR(IF(A258="","",VLOOKUP(A258,CadProd!$A:$C,3,0)),"")</f>
        <v/>
      </c>
      <c r="I258" s="1" t="str">
        <f>IFERROR(IF(A258="","",E258*#REF!),"")</f>
        <v/>
      </c>
    </row>
    <row r="259" spans="2:9" x14ac:dyDescent="0.3">
      <c r="B259" t="str">
        <f>IFERROR(IF(A259="","",VLOOKUP(A259,CadProd!$A:$B,2,0)),"")</f>
        <v/>
      </c>
      <c r="C259" t="str">
        <f>IFERROR(IF(A259="","",VLOOKUP(A259,CadProd!$A:$C,3,0)),"")</f>
        <v/>
      </c>
      <c r="I259" s="1" t="str">
        <f>IFERROR(IF(A259="","",E259*#REF!),"")</f>
        <v/>
      </c>
    </row>
    <row r="260" spans="2:9" x14ac:dyDescent="0.3">
      <c r="B260" t="str">
        <f>IFERROR(IF(A260="","",VLOOKUP(A260,CadProd!$A:$B,2,0)),"")</f>
        <v/>
      </c>
      <c r="C260" t="str">
        <f>IFERROR(IF(A260="","",VLOOKUP(A260,CadProd!$A:$C,3,0)),"")</f>
        <v/>
      </c>
      <c r="I260" s="1" t="str">
        <f>IFERROR(IF(A260="","",E260*#REF!),"")</f>
        <v/>
      </c>
    </row>
    <row r="261" spans="2:9" x14ac:dyDescent="0.3">
      <c r="B261" t="str">
        <f>IFERROR(IF(A261="","",VLOOKUP(A261,CadProd!$A:$B,2,0)),"")</f>
        <v/>
      </c>
      <c r="C261" t="str">
        <f>IFERROR(IF(A261="","",VLOOKUP(A261,CadProd!$A:$C,3,0)),"")</f>
        <v/>
      </c>
      <c r="I261" s="1" t="str">
        <f>IFERROR(IF(A261="","",E261*#REF!),"")</f>
        <v/>
      </c>
    </row>
    <row r="262" spans="2:9" x14ac:dyDescent="0.3">
      <c r="B262" t="str">
        <f>IFERROR(IF(A262="","",VLOOKUP(A262,CadProd!$A:$B,2,0)),"")</f>
        <v/>
      </c>
      <c r="C262" t="str">
        <f>IFERROR(IF(A262="","",VLOOKUP(A262,CadProd!$A:$C,3,0)),"")</f>
        <v/>
      </c>
      <c r="I262" s="1" t="str">
        <f>IFERROR(IF(A262="","",E262*#REF!),"")</f>
        <v/>
      </c>
    </row>
    <row r="263" spans="2:9" x14ac:dyDescent="0.3">
      <c r="B263" t="str">
        <f>IFERROR(IF(A263="","",VLOOKUP(A263,CadProd!$A:$B,2,0)),"")</f>
        <v/>
      </c>
      <c r="C263" t="str">
        <f>IFERROR(IF(A263="","",VLOOKUP(A263,CadProd!$A:$C,3,0)),"")</f>
        <v/>
      </c>
      <c r="I263" s="1" t="str">
        <f>IFERROR(IF(A263="","",E263*#REF!),"")</f>
        <v/>
      </c>
    </row>
    <row r="264" spans="2:9" x14ac:dyDescent="0.3">
      <c r="B264" t="str">
        <f>IFERROR(IF(A264="","",VLOOKUP(A264,CadProd!$A:$B,2,0)),"")</f>
        <v/>
      </c>
      <c r="C264" t="str">
        <f>IFERROR(IF(A264="","",VLOOKUP(A264,CadProd!$A:$C,3,0)),"")</f>
        <v/>
      </c>
      <c r="I264" s="1" t="str">
        <f>IFERROR(IF(A264="","",E264*#REF!),"")</f>
        <v/>
      </c>
    </row>
    <row r="265" spans="2:9" x14ac:dyDescent="0.3">
      <c r="B265" t="str">
        <f>IFERROR(IF(A265="","",VLOOKUP(A265,CadProd!$A:$B,2,0)),"")</f>
        <v/>
      </c>
      <c r="C265" t="str">
        <f>IFERROR(IF(A265="","",VLOOKUP(A265,CadProd!$A:$C,3,0)),"")</f>
        <v/>
      </c>
      <c r="I265" s="1" t="str">
        <f>IFERROR(IF(A265="","",E265*#REF!),"")</f>
        <v/>
      </c>
    </row>
    <row r="266" spans="2:9" x14ac:dyDescent="0.3">
      <c r="B266" t="str">
        <f>IFERROR(IF(A266="","",VLOOKUP(A266,CadProd!$A:$B,2,0)),"")</f>
        <v/>
      </c>
      <c r="C266" t="str">
        <f>IFERROR(IF(A266="","",VLOOKUP(A266,CadProd!$A:$C,3,0)),"")</f>
        <v/>
      </c>
      <c r="I266" s="1" t="str">
        <f>IFERROR(IF(A266="","",E266*#REF!),"")</f>
        <v/>
      </c>
    </row>
    <row r="267" spans="2:9" x14ac:dyDescent="0.3">
      <c r="B267" t="str">
        <f>IFERROR(IF(A267="","",VLOOKUP(A267,CadProd!$A:$B,2,0)),"")</f>
        <v/>
      </c>
      <c r="C267" t="str">
        <f>IFERROR(IF(A267="","",VLOOKUP(A267,CadProd!$A:$C,3,0)),"")</f>
        <v/>
      </c>
      <c r="I267" s="1" t="str">
        <f>IFERROR(IF(A267="","",E267*#REF!),"")</f>
        <v/>
      </c>
    </row>
    <row r="268" spans="2:9" x14ac:dyDescent="0.3">
      <c r="B268" t="str">
        <f>IFERROR(IF(A268="","",VLOOKUP(A268,CadProd!$A:$B,2,0)),"")</f>
        <v/>
      </c>
      <c r="C268" t="str">
        <f>IFERROR(IF(A268="","",VLOOKUP(A268,CadProd!$A:$C,3,0)),"")</f>
        <v/>
      </c>
      <c r="I268" s="1" t="str">
        <f>IFERROR(IF(A268="","",E268*#REF!),"")</f>
        <v/>
      </c>
    </row>
    <row r="269" spans="2:9" x14ac:dyDescent="0.3">
      <c r="B269" t="str">
        <f>IFERROR(IF(A269="","",VLOOKUP(A269,CadProd!$A:$B,2,0)),"")</f>
        <v/>
      </c>
      <c r="C269" t="str">
        <f>IFERROR(IF(A269="","",VLOOKUP(A269,CadProd!$A:$C,3,0)),"")</f>
        <v/>
      </c>
      <c r="I269" s="1" t="str">
        <f>IFERROR(IF(A269="","",E269*#REF!),"")</f>
        <v/>
      </c>
    </row>
    <row r="270" spans="2:9" x14ac:dyDescent="0.3">
      <c r="B270" t="str">
        <f>IFERROR(IF(A270="","",VLOOKUP(A270,CadProd!$A:$B,2,0)),"")</f>
        <v/>
      </c>
      <c r="C270" t="str">
        <f>IFERROR(IF(A270="","",VLOOKUP(A270,CadProd!$A:$C,3,0)),"")</f>
        <v/>
      </c>
      <c r="I270" s="1" t="str">
        <f>IFERROR(IF(A270="","",E270*#REF!),"")</f>
        <v/>
      </c>
    </row>
    <row r="271" spans="2:9" x14ac:dyDescent="0.3">
      <c r="B271" t="str">
        <f>IFERROR(IF(A271="","",VLOOKUP(A271,CadProd!$A:$B,2,0)),"")</f>
        <v/>
      </c>
      <c r="C271" t="str">
        <f>IFERROR(IF(A271="","",VLOOKUP(A271,CadProd!$A:$C,3,0)),"")</f>
        <v/>
      </c>
      <c r="I271" s="1" t="str">
        <f>IFERROR(IF(A271="","",E271*#REF!),"")</f>
        <v/>
      </c>
    </row>
    <row r="272" spans="2:9" x14ac:dyDescent="0.3">
      <c r="B272" t="str">
        <f>IFERROR(IF(A272="","",VLOOKUP(A272,CadProd!$A:$B,2,0)),"")</f>
        <v/>
      </c>
      <c r="C272" t="str">
        <f>IFERROR(IF(A272="","",VLOOKUP(A272,CadProd!$A:$C,3,0)),"")</f>
        <v/>
      </c>
      <c r="I272" s="1" t="str">
        <f>IFERROR(IF(A272="","",E272*#REF!),"")</f>
        <v/>
      </c>
    </row>
    <row r="273" spans="2:9" x14ac:dyDescent="0.3">
      <c r="B273" t="str">
        <f>IFERROR(IF(A273="","",VLOOKUP(A273,CadProd!$A:$B,2,0)),"")</f>
        <v/>
      </c>
      <c r="C273" t="str">
        <f>IFERROR(IF(A273="","",VLOOKUP(A273,CadProd!$A:$C,3,0)),"")</f>
        <v/>
      </c>
      <c r="I273" s="1" t="str">
        <f>IFERROR(IF(A273="","",E273*#REF!),"")</f>
        <v/>
      </c>
    </row>
    <row r="274" spans="2:9" x14ac:dyDescent="0.3">
      <c r="B274" t="str">
        <f>IFERROR(IF(A274="","",VLOOKUP(A274,CadProd!$A:$B,2,0)),"")</f>
        <v/>
      </c>
      <c r="C274" t="str">
        <f>IFERROR(IF(A274="","",VLOOKUP(A274,CadProd!$A:$C,3,0)),"")</f>
        <v/>
      </c>
      <c r="I274" s="1" t="str">
        <f>IFERROR(IF(A274="","",E274*#REF!),"")</f>
        <v/>
      </c>
    </row>
    <row r="275" spans="2:9" x14ac:dyDescent="0.3">
      <c r="B275" t="str">
        <f>IFERROR(IF(A275="","",VLOOKUP(A275,CadProd!$A:$B,2,0)),"")</f>
        <v/>
      </c>
      <c r="C275" t="str">
        <f>IFERROR(IF(A275="","",VLOOKUP(A275,CadProd!$A:$C,3,0)),"")</f>
        <v/>
      </c>
      <c r="I275" s="1" t="str">
        <f>IFERROR(IF(A275="","",E275*#REF!),"")</f>
        <v/>
      </c>
    </row>
    <row r="276" spans="2:9" x14ac:dyDescent="0.3">
      <c r="B276" t="str">
        <f>IFERROR(IF(A276="","",VLOOKUP(A276,CadProd!$A:$B,2,0)),"")</f>
        <v/>
      </c>
      <c r="C276" t="str">
        <f>IFERROR(IF(A276="","",VLOOKUP(A276,CadProd!$A:$C,3,0)),"")</f>
        <v/>
      </c>
      <c r="I276" s="1" t="str">
        <f>IFERROR(IF(A276="","",E276*#REF!),"")</f>
        <v/>
      </c>
    </row>
    <row r="277" spans="2:9" x14ac:dyDescent="0.3">
      <c r="B277" t="str">
        <f>IFERROR(IF(A277="","",VLOOKUP(A277,CadProd!$A:$B,2,0)),"")</f>
        <v/>
      </c>
      <c r="C277" t="str">
        <f>IFERROR(IF(A277="","",VLOOKUP(A277,CadProd!$A:$C,3,0)),"")</f>
        <v/>
      </c>
      <c r="I277" s="1" t="str">
        <f>IFERROR(IF(A277="","",E277*#REF!),"")</f>
        <v/>
      </c>
    </row>
    <row r="278" spans="2:9" x14ac:dyDescent="0.3">
      <c r="B278" t="str">
        <f>IFERROR(IF(A278="","",VLOOKUP(A278,CadProd!$A:$B,2,0)),"")</f>
        <v/>
      </c>
      <c r="C278" t="str">
        <f>IFERROR(IF(A278="","",VLOOKUP(A278,CadProd!$A:$C,3,0)),"")</f>
        <v/>
      </c>
      <c r="I278" s="1" t="str">
        <f>IFERROR(IF(A278="","",E278*#REF!),"")</f>
        <v/>
      </c>
    </row>
    <row r="279" spans="2:9" x14ac:dyDescent="0.3">
      <c r="B279" t="str">
        <f>IFERROR(IF(A279="","",VLOOKUP(A279,CadProd!$A:$B,2,0)),"")</f>
        <v/>
      </c>
      <c r="C279" t="str">
        <f>IFERROR(IF(A279="","",VLOOKUP(A279,CadProd!$A:$C,3,0)),"")</f>
        <v/>
      </c>
      <c r="I279" s="1" t="str">
        <f>IFERROR(IF(A279="","",E279*#REF!),"")</f>
        <v/>
      </c>
    </row>
    <row r="280" spans="2:9" x14ac:dyDescent="0.3">
      <c r="B280" t="str">
        <f>IFERROR(IF(A280="","",VLOOKUP(A280,CadProd!$A:$B,2,0)),"")</f>
        <v/>
      </c>
      <c r="C280" t="str">
        <f>IFERROR(IF(A280="","",VLOOKUP(A280,CadProd!$A:$C,3,0)),"")</f>
        <v/>
      </c>
      <c r="I280" s="1" t="str">
        <f>IFERROR(IF(A280="","",E280*#REF!),"")</f>
        <v/>
      </c>
    </row>
    <row r="281" spans="2:9" x14ac:dyDescent="0.3">
      <c r="B281" t="str">
        <f>IFERROR(IF(A281="","",VLOOKUP(A281,CadProd!$A:$B,2,0)),"")</f>
        <v/>
      </c>
      <c r="C281" t="str">
        <f>IFERROR(IF(A281="","",VLOOKUP(A281,CadProd!$A:$C,3,0)),"")</f>
        <v/>
      </c>
      <c r="I281" s="1" t="str">
        <f>IFERROR(IF(A281="","",E281*#REF!),"")</f>
        <v/>
      </c>
    </row>
    <row r="282" spans="2:9" x14ac:dyDescent="0.3">
      <c r="B282" t="str">
        <f>IFERROR(IF(A282="","",VLOOKUP(A282,CadProd!$A:$B,2,0)),"")</f>
        <v/>
      </c>
      <c r="C282" t="str">
        <f>IFERROR(IF(A282="","",VLOOKUP(A282,CadProd!$A:$C,3,0)),"")</f>
        <v/>
      </c>
      <c r="I282" s="1" t="str">
        <f>IFERROR(IF(A282="","",E282*#REF!),"")</f>
        <v/>
      </c>
    </row>
    <row r="283" spans="2:9" x14ac:dyDescent="0.3">
      <c r="B283" t="str">
        <f>IFERROR(IF(A283="","",VLOOKUP(A283,CadProd!$A:$B,2,0)),"")</f>
        <v/>
      </c>
      <c r="C283" t="str">
        <f>IFERROR(IF(A283="","",VLOOKUP(A283,CadProd!$A:$C,3,0)),"")</f>
        <v/>
      </c>
      <c r="I283" s="1" t="str">
        <f>IFERROR(IF(A283="","",E283*#REF!),"")</f>
        <v/>
      </c>
    </row>
    <row r="284" spans="2:9" x14ac:dyDescent="0.3">
      <c r="B284" t="str">
        <f>IFERROR(IF(A284="","",VLOOKUP(A284,CadProd!$A:$B,2,0)),"")</f>
        <v/>
      </c>
      <c r="C284" t="str">
        <f>IFERROR(IF(A284="","",VLOOKUP(A284,CadProd!$A:$C,3,0)),"")</f>
        <v/>
      </c>
      <c r="I284" s="1" t="str">
        <f>IFERROR(IF(A284="","",E284*#REF!),"")</f>
        <v/>
      </c>
    </row>
    <row r="285" spans="2:9" x14ac:dyDescent="0.3">
      <c r="B285" t="str">
        <f>IFERROR(IF(A285="","",VLOOKUP(A285,CadProd!$A:$B,2,0)),"")</f>
        <v/>
      </c>
      <c r="C285" t="str">
        <f>IFERROR(IF(A285="","",VLOOKUP(A285,CadProd!$A:$C,3,0)),"")</f>
        <v/>
      </c>
      <c r="I285" s="1" t="str">
        <f>IFERROR(IF(A285="","",E285*#REF!),"")</f>
        <v/>
      </c>
    </row>
    <row r="286" spans="2:9" x14ac:dyDescent="0.3">
      <c r="B286" t="str">
        <f>IFERROR(IF(A286="","",VLOOKUP(A286,CadProd!$A:$B,2,0)),"")</f>
        <v/>
      </c>
      <c r="C286" t="str">
        <f>IFERROR(IF(A286="","",VLOOKUP(A286,CadProd!$A:$C,3,0)),"")</f>
        <v/>
      </c>
      <c r="I286" s="1" t="str">
        <f>IFERROR(IF(A286="","",E286*#REF!),"")</f>
        <v/>
      </c>
    </row>
    <row r="287" spans="2:9" x14ac:dyDescent="0.3">
      <c r="B287" t="str">
        <f>IFERROR(IF(A287="","",VLOOKUP(A287,CadProd!$A:$B,2,0)),"")</f>
        <v/>
      </c>
      <c r="C287" t="str">
        <f>IFERROR(IF(A287="","",VLOOKUP(A287,CadProd!$A:$C,3,0)),"")</f>
        <v/>
      </c>
      <c r="I287" s="1" t="str">
        <f>IFERROR(IF(A287="","",E287*#REF!),"")</f>
        <v/>
      </c>
    </row>
    <row r="288" spans="2:9" x14ac:dyDescent="0.3">
      <c r="B288" t="str">
        <f>IFERROR(IF(A288="","",VLOOKUP(A288,CadProd!$A:$B,2,0)),"")</f>
        <v/>
      </c>
      <c r="C288" t="str">
        <f>IFERROR(IF(A288="","",VLOOKUP(A288,CadProd!$A:$C,3,0)),"")</f>
        <v/>
      </c>
      <c r="I288" s="1" t="str">
        <f>IFERROR(IF(A288="","",E288*#REF!),"")</f>
        <v/>
      </c>
    </row>
    <row r="289" spans="2:9" x14ac:dyDescent="0.3">
      <c r="B289" t="str">
        <f>IFERROR(IF(A289="","",VLOOKUP(A289,CadProd!$A:$B,2,0)),"")</f>
        <v/>
      </c>
      <c r="C289" t="str">
        <f>IFERROR(IF(A289="","",VLOOKUP(A289,CadProd!$A:$C,3,0)),"")</f>
        <v/>
      </c>
      <c r="I289" s="1" t="str">
        <f>IFERROR(IF(A289="","",E289*#REF!),"")</f>
        <v/>
      </c>
    </row>
    <row r="290" spans="2:9" x14ac:dyDescent="0.3">
      <c r="B290" t="str">
        <f>IFERROR(IF(A290="","",VLOOKUP(A290,CadProd!$A:$B,2,0)),"")</f>
        <v/>
      </c>
      <c r="C290" t="str">
        <f>IFERROR(IF(A290="","",VLOOKUP(A290,CadProd!$A:$C,3,0)),"")</f>
        <v/>
      </c>
      <c r="I290" s="1" t="str">
        <f>IFERROR(IF(A290="","",E290*#REF!),"")</f>
        <v/>
      </c>
    </row>
    <row r="291" spans="2:9" x14ac:dyDescent="0.3">
      <c r="B291" t="str">
        <f>IFERROR(IF(A291="","",VLOOKUP(A291,CadProd!$A:$B,2,0)),"")</f>
        <v/>
      </c>
      <c r="C291" t="str">
        <f>IFERROR(IF(A291="","",VLOOKUP(A291,CadProd!$A:$C,3,0)),"")</f>
        <v/>
      </c>
      <c r="I291" s="1" t="str">
        <f>IFERROR(IF(A291="","",E291*#REF!),"")</f>
        <v/>
      </c>
    </row>
    <row r="292" spans="2:9" x14ac:dyDescent="0.3">
      <c r="B292" t="str">
        <f>IFERROR(IF(A292="","",VLOOKUP(A292,CadProd!$A:$B,2,0)),"")</f>
        <v/>
      </c>
      <c r="C292" t="str">
        <f>IFERROR(IF(A292="","",VLOOKUP(A292,CadProd!$A:$C,3,0)),"")</f>
        <v/>
      </c>
      <c r="I292" s="1" t="str">
        <f>IFERROR(IF(A292="","",E292*#REF!),"")</f>
        <v/>
      </c>
    </row>
    <row r="293" spans="2:9" x14ac:dyDescent="0.3">
      <c r="B293" t="str">
        <f>IFERROR(IF(A293="","",VLOOKUP(A293,CadProd!$A:$B,2,0)),"")</f>
        <v/>
      </c>
      <c r="C293" t="str">
        <f>IFERROR(IF(A293="","",VLOOKUP(A293,CadProd!$A:$C,3,0)),"")</f>
        <v/>
      </c>
      <c r="I293" s="1" t="str">
        <f>IFERROR(IF(A293="","",E293*#REF!),"")</f>
        <v/>
      </c>
    </row>
    <row r="294" spans="2:9" x14ac:dyDescent="0.3">
      <c r="B294" t="str">
        <f>IFERROR(IF(A294="","",VLOOKUP(A294,CadProd!$A:$B,2,0)),"")</f>
        <v/>
      </c>
      <c r="C294" t="str">
        <f>IFERROR(IF(A294="","",VLOOKUP(A294,CadProd!$A:$C,3,0)),"")</f>
        <v/>
      </c>
      <c r="I294" s="1" t="str">
        <f>IFERROR(IF(A294="","",E294*#REF!),"")</f>
        <v/>
      </c>
    </row>
    <row r="295" spans="2:9" x14ac:dyDescent="0.3">
      <c r="B295" t="str">
        <f>IFERROR(IF(A295="","",VLOOKUP(A295,CadProd!$A:$B,2,0)),"")</f>
        <v/>
      </c>
      <c r="C295" t="str">
        <f>IFERROR(IF(A295="","",VLOOKUP(A295,CadProd!$A:$C,3,0)),"")</f>
        <v/>
      </c>
      <c r="I295" s="1" t="str">
        <f>IFERROR(IF(A295="","",E295*#REF!),"")</f>
        <v/>
      </c>
    </row>
    <row r="296" spans="2:9" x14ac:dyDescent="0.3">
      <c r="B296" t="str">
        <f>IFERROR(IF(A296="","",VLOOKUP(A296,CadProd!$A:$B,2,0)),"")</f>
        <v/>
      </c>
      <c r="C296" t="str">
        <f>IFERROR(IF(A296="","",VLOOKUP(A296,CadProd!$A:$C,3,0)),"")</f>
        <v/>
      </c>
      <c r="I296" s="1" t="str">
        <f>IFERROR(IF(A296="","",E296*#REF!),"")</f>
        <v/>
      </c>
    </row>
    <row r="297" spans="2:9" x14ac:dyDescent="0.3">
      <c r="B297" t="str">
        <f>IFERROR(IF(A297="","",VLOOKUP(A297,CadProd!$A:$B,2,0)),"")</f>
        <v/>
      </c>
      <c r="C297" t="str">
        <f>IFERROR(IF(A297="","",VLOOKUP(A297,CadProd!$A:$C,3,0)),"")</f>
        <v/>
      </c>
      <c r="I297" s="1" t="str">
        <f>IFERROR(IF(A297="","",E297*#REF!),"")</f>
        <v/>
      </c>
    </row>
    <row r="298" spans="2:9" x14ac:dyDescent="0.3">
      <c r="B298" t="str">
        <f>IFERROR(IF(A298="","",VLOOKUP(A298,CadProd!$A:$B,2,0)),"")</f>
        <v/>
      </c>
      <c r="C298" t="str">
        <f>IFERROR(IF(A298="","",VLOOKUP(A298,CadProd!$A:$C,3,0)),"")</f>
        <v/>
      </c>
      <c r="I298" s="1" t="str">
        <f>IFERROR(IF(A298="","",E298*#REF!),"")</f>
        <v/>
      </c>
    </row>
    <row r="299" spans="2:9" x14ac:dyDescent="0.3">
      <c r="B299" t="str">
        <f>IFERROR(IF(A299="","",VLOOKUP(A299,CadProd!$A:$B,2,0)),"")</f>
        <v/>
      </c>
      <c r="C299" t="str">
        <f>IFERROR(IF(A299="","",VLOOKUP(A299,CadProd!$A:$C,3,0)),"")</f>
        <v/>
      </c>
      <c r="I299" s="1" t="str">
        <f>IFERROR(IF(A299="","",E299*#REF!),"")</f>
        <v/>
      </c>
    </row>
    <row r="300" spans="2:9" x14ac:dyDescent="0.3">
      <c r="B300" t="str">
        <f>IFERROR(IF(A300="","",VLOOKUP(A300,CadProd!$A:$B,2,0)),"")</f>
        <v/>
      </c>
      <c r="C300" t="str">
        <f>IFERROR(IF(A300="","",VLOOKUP(A300,CadProd!$A:$C,3,0)),"")</f>
        <v/>
      </c>
      <c r="I300" s="1" t="str">
        <f>IFERROR(IF(A300="","",E300*#REF!),"")</f>
        <v/>
      </c>
    </row>
    <row r="301" spans="2:9" x14ac:dyDescent="0.3">
      <c r="B301" t="str">
        <f>IFERROR(IF(A301="","",VLOOKUP(A301,CadProd!$A:$B,2,0)),"")</f>
        <v/>
      </c>
      <c r="C301" t="str">
        <f>IFERROR(IF(A301="","",VLOOKUP(A301,CadProd!$A:$C,3,0)),"")</f>
        <v/>
      </c>
      <c r="I301" s="1" t="str">
        <f>IFERROR(IF(A301="","",E301*#REF!),"")</f>
        <v/>
      </c>
    </row>
    <row r="302" spans="2:9" x14ac:dyDescent="0.3">
      <c r="B302" t="str">
        <f>IFERROR(IF(A302="","",VLOOKUP(A302,CadProd!$A:$B,2,0)),"")</f>
        <v/>
      </c>
      <c r="C302" t="str">
        <f>IFERROR(IF(A302="","",VLOOKUP(A302,CadProd!$A:$C,3,0)),"")</f>
        <v/>
      </c>
      <c r="I302" s="1" t="str">
        <f>IFERROR(IF(A302="","",E302*#REF!),"")</f>
        <v/>
      </c>
    </row>
    <row r="303" spans="2:9" x14ac:dyDescent="0.3">
      <c r="B303" t="str">
        <f>IFERROR(IF(A303="","",VLOOKUP(A303,CadProd!$A:$B,2,0)),"")</f>
        <v/>
      </c>
      <c r="C303" t="str">
        <f>IFERROR(IF(A303="","",VLOOKUP(A303,CadProd!$A:$C,3,0)),"")</f>
        <v/>
      </c>
      <c r="I303" s="1" t="str">
        <f>IFERROR(IF(A303="","",E303*#REF!),"")</f>
        <v/>
      </c>
    </row>
    <row r="304" spans="2:9" x14ac:dyDescent="0.3">
      <c r="B304" t="str">
        <f>IFERROR(IF(A304="","",VLOOKUP(A304,CadProd!$A:$B,2,0)),"")</f>
        <v/>
      </c>
      <c r="C304" t="str">
        <f>IFERROR(IF(A304="","",VLOOKUP(A304,CadProd!$A:$C,3,0)),"")</f>
        <v/>
      </c>
      <c r="I304" s="1" t="str">
        <f>IFERROR(IF(A304="","",E304*#REF!),"")</f>
        <v/>
      </c>
    </row>
    <row r="305" spans="2:9" x14ac:dyDescent="0.3">
      <c r="B305" t="str">
        <f>IFERROR(IF(A305="","",VLOOKUP(A305,CadProd!$A:$B,2,0)),"")</f>
        <v/>
      </c>
      <c r="C305" t="str">
        <f>IFERROR(IF(A305="","",VLOOKUP(A305,CadProd!$A:$C,3,0)),"")</f>
        <v/>
      </c>
      <c r="I305" s="1" t="str">
        <f>IFERROR(IF(A305="","",E305*#REF!),"")</f>
        <v/>
      </c>
    </row>
    <row r="306" spans="2:9" x14ac:dyDescent="0.3">
      <c r="B306" t="str">
        <f>IFERROR(IF(A306="","",VLOOKUP(A306,CadProd!$A:$B,2,0)),"")</f>
        <v/>
      </c>
      <c r="C306" t="str">
        <f>IFERROR(IF(A306="","",VLOOKUP(A306,CadProd!$A:$C,3,0)),"")</f>
        <v/>
      </c>
      <c r="I306" s="1" t="str">
        <f>IFERROR(IF(A306="","",E306*#REF!),"")</f>
        <v/>
      </c>
    </row>
    <row r="307" spans="2:9" x14ac:dyDescent="0.3">
      <c r="B307" t="str">
        <f>IFERROR(IF(A307="","",VLOOKUP(A307,CadProd!$A:$B,2,0)),"")</f>
        <v/>
      </c>
      <c r="C307" t="str">
        <f>IFERROR(IF(A307="","",VLOOKUP(A307,CadProd!$A:$C,3,0)),"")</f>
        <v/>
      </c>
      <c r="I307" s="1" t="str">
        <f>IFERROR(IF(A307="","",E307*#REF!),"")</f>
        <v/>
      </c>
    </row>
    <row r="308" spans="2:9" x14ac:dyDescent="0.3">
      <c r="B308" t="str">
        <f>IFERROR(IF(A308="","",VLOOKUP(A308,CadProd!$A:$B,2,0)),"")</f>
        <v/>
      </c>
      <c r="C308" t="str">
        <f>IFERROR(IF(A308="","",VLOOKUP(A308,CadProd!$A:$C,3,0)),"")</f>
        <v/>
      </c>
      <c r="I308" s="1" t="str">
        <f>IFERROR(IF(A308="","",E308*#REF!),"")</f>
        <v/>
      </c>
    </row>
    <row r="309" spans="2:9" x14ac:dyDescent="0.3">
      <c r="B309" t="str">
        <f>IFERROR(IF(A309="","",VLOOKUP(A309,CadProd!$A:$B,2,0)),"")</f>
        <v/>
      </c>
      <c r="C309" t="str">
        <f>IFERROR(IF(A309="","",VLOOKUP(A309,CadProd!$A:$C,3,0)),"")</f>
        <v/>
      </c>
      <c r="I309" s="1" t="str">
        <f>IFERROR(IF(A309="","",E309*#REF!),"")</f>
        <v/>
      </c>
    </row>
    <row r="310" spans="2:9" x14ac:dyDescent="0.3">
      <c r="B310" t="str">
        <f>IFERROR(IF(A310="","",VLOOKUP(A310,CadProd!$A:$B,2,0)),"")</f>
        <v/>
      </c>
      <c r="C310" t="str">
        <f>IFERROR(IF(A310="","",VLOOKUP(A310,CadProd!$A:$C,3,0)),"")</f>
        <v/>
      </c>
      <c r="I310" s="1" t="str">
        <f>IFERROR(IF(A310="","",E310*#REF!),"")</f>
        <v/>
      </c>
    </row>
    <row r="311" spans="2:9" x14ac:dyDescent="0.3">
      <c r="B311" t="str">
        <f>IFERROR(IF(A311="","",VLOOKUP(A311,CadProd!$A:$B,2,0)),"")</f>
        <v/>
      </c>
      <c r="C311" t="str">
        <f>IFERROR(IF(A311="","",VLOOKUP(A311,CadProd!$A:$C,3,0)),"")</f>
        <v/>
      </c>
      <c r="I311" s="1" t="str">
        <f>IFERROR(IF(A311="","",E311*#REF!),"")</f>
        <v/>
      </c>
    </row>
    <row r="312" spans="2:9" x14ac:dyDescent="0.3">
      <c r="B312" t="str">
        <f>IFERROR(IF(A312="","",VLOOKUP(A312,CadProd!$A:$B,2,0)),"")</f>
        <v/>
      </c>
      <c r="C312" t="str">
        <f>IFERROR(IF(A312="","",VLOOKUP(A312,CadProd!$A:$C,3,0)),"")</f>
        <v/>
      </c>
      <c r="I312" s="1" t="str">
        <f>IFERROR(IF(A312="","",E312*#REF!),"")</f>
        <v/>
      </c>
    </row>
    <row r="313" spans="2:9" x14ac:dyDescent="0.3">
      <c r="B313" t="str">
        <f>IFERROR(IF(A313="","",VLOOKUP(A313,CadProd!$A:$B,2,0)),"")</f>
        <v/>
      </c>
      <c r="C313" t="str">
        <f>IFERROR(IF(A313="","",VLOOKUP(A313,CadProd!$A:$C,3,0)),"")</f>
        <v/>
      </c>
      <c r="I313" s="1" t="str">
        <f>IFERROR(IF(A313="","",E313*#REF!),"")</f>
        <v/>
      </c>
    </row>
    <row r="314" spans="2:9" x14ac:dyDescent="0.3">
      <c r="B314" t="str">
        <f>IFERROR(IF(A314="","",VLOOKUP(A314,CadProd!$A:$B,2,0)),"")</f>
        <v/>
      </c>
      <c r="C314" t="str">
        <f>IFERROR(IF(A314="","",VLOOKUP(A314,CadProd!$A:$C,3,0)),"")</f>
        <v/>
      </c>
      <c r="I314" s="1" t="str">
        <f>IFERROR(IF(A314="","",E314*#REF!),"")</f>
        <v/>
      </c>
    </row>
    <row r="315" spans="2:9" x14ac:dyDescent="0.3">
      <c r="B315" t="str">
        <f>IFERROR(IF(A315="","",VLOOKUP(A315,CadProd!$A:$B,2,0)),"")</f>
        <v/>
      </c>
      <c r="C315" t="str">
        <f>IFERROR(IF(A315="","",VLOOKUP(A315,CadProd!$A:$C,3,0)),"")</f>
        <v/>
      </c>
      <c r="I315" s="1" t="str">
        <f>IFERROR(IF(A315="","",E315*#REF!),"")</f>
        <v/>
      </c>
    </row>
    <row r="316" spans="2:9" x14ac:dyDescent="0.3">
      <c r="B316" t="str">
        <f>IFERROR(IF(A316="","",VLOOKUP(A316,CadProd!$A:$B,2,0)),"")</f>
        <v/>
      </c>
      <c r="C316" t="str">
        <f>IFERROR(IF(A316="","",VLOOKUP(A316,CadProd!$A:$C,3,0)),"")</f>
        <v/>
      </c>
      <c r="I316" s="1" t="str">
        <f>IFERROR(IF(A316="","",E316*#REF!),"")</f>
        <v/>
      </c>
    </row>
    <row r="317" spans="2:9" x14ac:dyDescent="0.3">
      <c r="B317" t="str">
        <f>IFERROR(IF(A317="","",VLOOKUP(A317,CadProd!$A:$B,2,0)),"")</f>
        <v/>
      </c>
      <c r="C317" t="str">
        <f>IFERROR(IF(A317="","",VLOOKUP(A317,CadProd!$A:$C,3,0)),"")</f>
        <v/>
      </c>
      <c r="I317" s="1" t="str">
        <f>IFERROR(IF(A317="","",E317*#REF!),"")</f>
        <v/>
      </c>
    </row>
    <row r="318" spans="2:9" x14ac:dyDescent="0.3">
      <c r="B318" t="str">
        <f>IFERROR(IF(A318="","",VLOOKUP(A318,CadProd!$A:$B,2,0)),"")</f>
        <v/>
      </c>
      <c r="C318" t="str">
        <f>IFERROR(IF(A318="","",VLOOKUP(A318,CadProd!$A:$C,3,0)),"")</f>
        <v/>
      </c>
      <c r="I318" s="1" t="str">
        <f>IFERROR(IF(A318="","",E318*#REF!),"")</f>
        <v/>
      </c>
    </row>
    <row r="319" spans="2:9" x14ac:dyDescent="0.3">
      <c r="B319" t="str">
        <f>IFERROR(IF(A319="","",VLOOKUP(A319,CadProd!$A:$B,2,0)),"")</f>
        <v/>
      </c>
      <c r="C319" t="str">
        <f>IFERROR(IF(A319="","",VLOOKUP(A319,CadProd!$A:$C,3,0)),"")</f>
        <v/>
      </c>
      <c r="I319" s="1" t="str">
        <f>IFERROR(IF(A319="","",E319*#REF!),"")</f>
        <v/>
      </c>
    </row>
    <row r="320" spans="2:9" x14ac:dyDescent="0.3">
      <c r="B320" t="str">
        <f>IFERROR(IF(A320="","",VLOOKUP(A320,CadProd!$A:$B,2,0)),"")</f>
        <v/>
      </c>
      <c r="C320" t="str">
        <f>IFERROR(IF(A320="","",VLOOKUP(A320,CadProd!$A:$C,3,0)),"")</f>
        <v/>
      </c>
      <c r="I320" s="1" t="str">
        <f>IFERROR(IF(A320="","",E320*#REF!),"")</f>
        <v/>
      </c>
    </row>
    <row r="321" spans="2:9" x14ac:dyDescent="0.3">
      <c r="B321" t="str">
        <f>IFERROR(IF(A321="","",VLOOKUP(A321,CadProd!$A:$B,2,0)),"")</f>
        <v/>
      </c>
      <c r="C321" t="str">
        <f>IFERROR(IF(A321="","",VLOOKUP(A321,CadProd!$A:$C,3,0)),"")</f>
        <v/>
      </c>
      <c r="I321" s="1" t="str">
        <f>IFERROR(IF(A321="","",E321*#REF!),"")</f>
        <v/>
      </c>
    </row>
    <row r="322" spans="2:9" x14ac:dyDescent="0.3">
      <c r="B322" t="str">
        <f>IFERROR(IF(A322="","",VLOOKUP(A322,CadProd!$A:$B,2,0)),"")</f>
        <v/>
      </c>
      <c r="C322" t="str">
        <f>IFERROR(IF(A322="","",VLOOKUP(A322,CadProd!$A:$C,3,0)),"")</f>
        <v/>
      </c>
      <c r="I322" s="1" t="str">
        <f>IFERROR(IF(A322="","",E322*#REF!),"")</f>
        <v/>
      </c>
    </row>
    <row r="323" spans="2:9" x14ac:dyDescent="0.3">
      <c r="B323" t="str">
        <f>IFERROR(IF(A323="","",VLOOKUP(A323,CadProd!$A:$B,2,0)),"")</f>
        <v/>
      </c>
      <c r="C323" t="str">
        <f>IFERROR(IF(A323="","",VLOOKUP(A323,CadProd!$A:$C,3,0)),"")</f>
        <v/>
      </c>
      <c r="I323" s="1" t="str">
        <f>IFERROR(IF(A323="","",E323*#REF!),"")</f>
        <v/>
      </c>
    </row>
    <row r="324" spans="2:9" x14ac:dyDescent="0.3">
      <c r="B324" t="str">
        <f>IFERROR(IF(A324="","",VLOOKUP(A324,CadProd!$A:$B,2,0)),"")</f>
        <v/>
      </c>
      <c r="C324" t="str">
        <f>IFERROR(IF(A324="","",VLOOKUP(A324,CadProd!$A:$C,3,0)),"")</f>
        <v/>
      </c>
      <c r="I324" s="1" t="str">
        <f>IFERROR(IF(A324="","",E324*#REF!),"")</f>
        <v/>
      </c>
    </row>
    <row r="325" spans="2:9" x14ac:dyDescent="0.3">
      <c r="B325" t="str">
        <f>IFERROR(IF(A325="","",VLOOKUP(A325,CadProd!$A:$B,2,0)),"")</f>
        <v/>
      </c>
      <c r="C325" t="str">
        <f>IFERROR(IF(A325="","",VLOOKUP(A325,CadProd!$A:$C,3,0)),"")</f>
        <v/>
      </c>
      <c r="I325" s="1" t="str">
        <f>IFERROR(IF(A325="","",E325*#REF!),"")</f>
        <v/>
      </c>
    </row>
    <row r="326" spans="2:9" x14ac:dyDescent="0.3">
      <c r="B326" t="str">
        <f>IFERROR(IF(A326="","",VLOOKUP(A326,CadProd!$A:$B,2,0)),"")</f>
        <v/>
      </c>
      <c r="C326" t="str">
        <f>IFERROR(IF(A326="","",VLOOKUP(A326,CadProd!$A:$C,3,0)),"")</f>
        <v/>
      </c>
      <c r="I326" s="1" t="str">
        <f>IFERROR(IF(A326="","",E326*#REF!),"")</f>
        <v/>
      </c>
    </row>
    <row r="327" spans="2:9" x14ac:dyDescent="0.3">
      <c r="B327" t="str">
        <f>IFERROR(IF(A327="","",VLOOKUP(A327,CadProd!$A:$B,2,0)),"")</f>
        <v/>
      </c>
      <c r="C327" t="str">
        <f>IFERROR(IF(A327="","",VLOOKUP(A327,CadProd!$A:$C,3,0)),"")</f>
        <v/>
      </c>
      <c r="I327" s="1" t="str">
        <f>IFERROR(IF(A327="","",E327*#REF!),"")</f>
        <v/>
      </c>
    </row>
    <row r="328" spans="2:9" x14ac:dyDescent="0.3">
      <c r="B328" t="str">
        <f>IFERROR(IF(A328="","",VLOOKUP(A328,CadProd!$A:$B,2,0)),"")</f>
        <v/>
      </c>
      <c r="C328" t="str">
        <f>IFERROR(IF(A328="","",VLOOKUP(A328,CadProd!$A:$C,3,0)),"")</f>
        <v/>
      </c>
      <c r="I328" s="1" t="str">
        <f>IFERROR(IF(A328="","",E328*#REF!),"")</f>
        <v/>
      </c>
    </row>
    <row r="329" spans="2:9" x14ac:dyDescent="0.3">
      <c r="B329" t="str">
        <f>IFERROR(IF(A329="","",VLOOKUP(A329,CadProd!$A:$B,2,0)),"")</f>
        <v/>
      </c>
      <c r="C329" t="str">
        <f>IFERROR(IF(A329="","",VLOOKUP(A329,CadProd!$A:$C,3,0)),"")</f>
        <v/>
      </c>
      <c r="I329" s="1" t="str">
        <f>IFERROR(IF(A329="","",E329*#REF!),"")</f>
        <v/>
      </c>
    </row>
    <row r="330" spans="2:9" x14ac:dyDescent="0.3">
      <c r="B330" t="str">
        <f>IFERROR(IF(A330="","",VLOOKUP(A330,CadProd!$A:$B,2,0)),"")</f>
        <v/>
      </c>
      <c r="C330" t="str">
        <f>IFERROR(IF(A330="","",VLOOKUP(A330,CadProd!$A:$C,3,0)),"")</f>
        <v/>
      </c>
      <c r="I330" s="1" t="str">
        <f>IFERROR(IF(A330="","",E330*#REF!),"")</f>
        <v/>
      </c>
    </row>
    <row r="331" spans="2:9" x14ac:dyDescent="0.3">
      <c r="B331" t="str">
        <f>IFERROR(IF(A331="","",VLOOKUP(A331,CadProd!$A:$B,2,0)),"")</f>
        <v/>
      </c>
      <c r="C331" t="str">
        <f>IFERROR(IF(A331="","",VLOOKUP(A331,CadProd!$A:$C,3,0)),"")</f>
        <v/>
      </c>
      <c r="I331" s="1" t="str">
        <f>IFERROR(IF(A331="","",E331*#REF!),"")</f>
        <v/>
      </c>
    </row>
    <row r="332" spans="2:9" x14ac:dyDescent="0.3">
      <c r="B332" t="str">
        <f>IFERROR(IF(A332="","",VLOOKUP(A332,CadProd!$A:$B,2,0)),"")</f>
        <v/>
      </c>
      <c r="C332" t="str">
        <f>IFERROR(IF(A332="","",VLOOKUP(A332,CadProd!$A:$C,3,0)),"")</f>
        <v/>
      </c>
      <c r="I332" s="1" t="str">
        <f>IFERROR(IF(A332="","",E332*#REF!),"")</f>
        <v/>
      </c>
    </row>
    <row r="333" spans="2:9" x14ac:dyDescent="0.3">
      <c r="B333" t="str">
        <f>IFERROR(IF(A333="","",VLOOKUP(A333,CadProd!$A:$B,2,0)),"")</f>
        <v/>
      </c>
      <c r="C333" t="str">
        <f>IFERROR(IF(A333="","",VLOOKUP(A333,CadProd!$A:$C,3,0)),"")</f>
        <v/>
      </c>
      <c r="I333" s="1" t="str">
        <f>IFERROR(IF(A333="","",E333*#REF!),"")</f>
        <v/>
      </c>
    </row>
    <row r="334" spans="2:9" x14ac:dyDescent="0.3">
      <c r="B334" t="str">
        <f>IFERROR(IF(A334="","",VLOOKUP(A334,CadProd!$A:$B,2,0)),"")</f>
        <v/>
      </c>
      <c r="C334" t="str">
        <f>IFERROR(IF(A334="","",VLOOKUP(A334,CadProd!$A:$C,3,0)),"")</f>
        <v/>
      </c>
      <c r="I334" s="1" t="str">
        <f>IFERROR(IF(A334="","",E334*#REF!),"")</f>
        <v/>
      </c>
    </row>
    <row r="335" spans="2:9" x14ac:dyDescent="0.3">
      <c r="B335" t="str">
        <f>IFERROR(IF(A335="","",VLOOKUP(A335,CadProd!$A:$B,2,0)),"")</f>
        <v/>
      </c>
      <c r="C335" t="str">
        <f>IFERROR(IF(A335="","",VLOOKUP(A335,CadProd!$A:$C,3,0)),"")</f>
        <v/>
      </c>
      <c r="I335" s="1" t="str">
        <f>IFERROR(IF(A335="","",E335*#REF!),"")</f>
        <v/>
      </c>
    </row>
    <row r="336" spans="2:9" x14ac:dyDescent="0.3">
      <c r="B336" t="str">
        <f>IFERROR(IF(A336="","",VLOOKUP(A336,CadProd!$A:$B,2,0)),"")</f>
        <v/>
      </c>
      <c r="C336" t="str">
        <f>IFERROR(IF(A336="","",VLOOKUP(A336,CadProd!$A:$C,3,0)),"")</f>
        <v/>
      </c>
      <c r="I336" s="1" t="str">
        <f>IFERROR(IF(A336="","",E336*#REF!),"")</f>
        <v/>
      </c>
    </row>
    <row r="337" spans="2:9" x14ac:dyDescent="0.3">
      <c r="B337" t="str">
        <f>IFERROR(IF(A337="","",VLOOKUP(A337,CadProd!$A:$B,2,0)),"")</f>
        <v/>
      </c>
      <c r="C337" t="str">
        <f>IFERROR(IF(A337="","",VLOOKUP(A337,CadProd!$A:$C,3,0)),"")</f>
        <v/>
      </c>
      <c r="I337" s="1" t="str">
        <f>IFERROR(IF(A337="","",E337*#REF!),"")</f>
        <v/>
      </c>
    </row>
    <row r="338" spans="2:9" x14ac:dyDescent="0.3">
      <c r="B338" t="str">
        <f>IFERROR(IF(A338="","",VLOOKUP(A338,CadProd!$A:$B,2,0)),"")</f>
        <v/>
      </c>
      <c r="C338" t="str">
        <f>IFERROR(IF(A338="","",VLOOKUP(A338,CadProd!$A:$C,3,0)),"")</f>
        <v/>
      </c>
      <c r="I338" s="1" t="str">
        <f>IFERROR(IF(A338="","",E338*#REF!),"")</f>
        <v/>
      </c>
    </row>
    <row r="339" spans="2:9" x14ac:dyDescent="0.3">
      <c r="B339" t="str">
        <f>IFERROR(IF(A339="","",VLOOKUP(A339,CadProd!$A:$B,2,0)),"")</f>
        <v/>
      </c>
      <c r="C339" t="str">
        <f>IFERROR(IF(A339="","",VLOOKUP(A339,CadProd!$A:$C,3,0)),"")</f>
        <v/>
      </c>
      <c r="I339" s="1" t="str">
        <f>IFERROR(IF(A339="","",E339*#REF!),"")</f>
        <v/>
      </c>
    </row>
    <row r="340" spans="2:9" x14ac:dyDescent="0.3">
      <c r="B340" t="str">
        <f>IFERROR(IF(A340="","",VLOOKUP(A340,CadProd!$A:$B,2,0)),"")</f>
        <v/>
      </c>
      <c r="C340" t="str">
        <f>IFERROR(IF(A340="","",VLOOKUP(A340,CadProd!$A:$C,3,0)),"")</f>
        <v/>
      </c>
      <c r="I340" s="1" t="str">
        <f>IFERROR(IF(A340="","",E340*#REF!),"")</f>
        <v/>
      </c>
    </row>
    <row r="341" spans="2:9" x14ac:dyDescent="0.3">
      <c r="B341" t="str">
        <f>IFERROR(IF(A341="","",VLOOKUP(A341,CadProd!$A:$B,2,0)),"")</f>
        <v/>
      </c>
      <c r="C341" t="str">
        <f>IFERROR(IF(A341="","",VLOOKUP(A341,CadProd!$A:$C,3,0)),"")</f>
        <v/>
      </c>
      <c r="I341" s="1" t="str">
        <f>IFERROR(IF(A341="","",E341*#REF!),"")</f>
        <v/>
      </c>
    </row>
    <row r="342" spans="2:9" x14ac:dyDescent="0.3">
      <c r="B342" t="str">
        <f>IFERROR(IF(A342="","",VLOOKUP(A342,CadProd!$A:$B,2,0)),"")</f>
        <v/>
      </c>
      <c r="C342" t="str">
        <f>IFERROR(IF(A342="","",VLOOKUP(A342,CadProd!$A:$C,3,0)),"")</f>
        <v/>
      </c>
      <c r="I342" s="1" t="str">
        <f>IFERROR(IF(A342="","",E342*#REF!),"")</f>
        <v/>
      </c>
    </row>
    <row r="343" spans="2:9" x14ac:dyDescent="0.3">
      <c r="B343" t="str">
        <f>IFERROR(IF(A343="","",VLOOKUP(A343,CadProd!$A:$B,2,0)),"")</f>
        <v/>
      </c>
      <c r="C343" t="str">
        <f>IFERROR(IF(A343="","",VLOOKUP(A343,CadProd!$A:$C,3,0)),"")</f>
        <v/>
      </c>
      <c r="I343" s="1" t="str">
        <f>IFERROR(IF(A343="","",E343*#REF!),"")</f>
        <v/>
      </c>
    </row>
    <row r="344" spans="2:9" x14ac:dyDescent="0.3">
      <c r="B344" t="str">
        <f>IFERROR(IF(A344="","",VLOOKUP(A344,CadProd!$A:$B,2,0)),"")</f>
        <v/>
      </c>
      <c r="C344" t="str">
        <f>IFERROR(IF(A344="","",VLOOKUP(A344,CadProd!$A:$C,3,0)),"")</f>
        <v/>
      </c>
      <c r="I344" s="1" t="str">
        <f>IFERROR(IF(A344="","",E344*#REF!),"")</f>
        <v/>
      </c>
    </row>
    <row r="345" spans="2:9" x14ac:dyDescent="0.3">
      <c r="B345" t="str">
        <f>IFERROR(IF(A345="","",VLOOKUP(A345,CadProd!$A:$B,2,0)),"")</f>
        <v/>
      </c>
      <c r="C345" t="str">
        <f>IFERROR(IF(A345="","",VLOOKUP(A345,CadProd!$A:$C,3,0)),"")</f>
        <v/>
      </c>
      <c r="I345" s="1" t="str">
        <f>IFERROR(IF(A345="","",E345*#REF!),"")</f>
        <v/>
      </c>
    </row>
    <row r="346" spans="2:9" x14ac:dyDescent="0.3">
      <c r="B346" t="str">
        <f>IFERROR(IF(A346="","",VLOOKUP(A346,CadProd!$A:$B,2,0)),"")</f>
        <v/>
      </c>
      <c r="C346" t="str">
        <f>IFERROR(IF(A346="","",VLOOKUP(A346,CadProd!$A:$C,3,0)),"")</f>
        <v/>
      </c>
      <c r="I346" s="1" t="str">
        <f>IFERROR(IF(A346="","",E346*#REF!),"")</f>
        <v/>
      </c>
    </row>
    <row r="347" spans="2:9" x14ac:dyDescent="0.3">
      <c r="B347" t="str">
        <f>IFERROR(IF(A347="","",VLOOKUP(A347,CadProd!$A:$B,2,0)),"")</f>
        <v/>
      </c>
      <c r="C347" t="str">
        <f>IFERROR(IF(A347="","",VLOOKUP(A347,CadProd!$A:$C,3,0)),"")</f>
        <v/>
      </c>
      <c r="I347" s="1" t="str">
        <f>IFERROR(IF(A347="","",E347*#REF!),"")</f>
        <v/>
      </c>
    </row>
    <row r="348" spans="2:9" x14ac:dyDescent="0.3">
      <c r="B348" t="str">
        <f>IFERROR(IF(A348="","",VLOOKUP(A348,CadProd!$A:$B,2,0)),"")</f>
        <v/>
      </c>
      <c r="C348" t="str">
        <f>IFERROR(IF(A348="","",VLOOKUP(A348,CadProd!$A:$C,3,0)),"")</f>
        <v/>
      </c>
      <c r="I348" s="1" t="str">
        <f>IFERROR(IF(A348="","",E348*#REF!),"")</f>
        <v/>
      </c>
    </row>
    <row r="349" spans="2:9" x14ac:dyDescent="0.3">
      <c r="B349" t="str">
        <f>IFERROR(IF(A349="","",VLOOKUP(A349,CadProd!$A:$B,2,0)),"")</f>
        <v/>
      </c>
      <c r="C349" t="str">
        <f>IFERROR(IF(A349="","",VLOOKUP(A349,CadProd!$A:$C,3,0)),"")</f>
        <v/>
      </c>
      <c r="I349" s="1" t="str">
        <f>IFERROR(IF(A349="","",E349*#REF!),"")</f>
        <v/>
      </c>
    </row>
    <row r="350" spans="2:9" x14ac:dyDescent="0.3">
      <c r="B350" t="str">
        <f>IFERROR(IF(A350="","",VLOOKUP(A350,CadProd!$A:$B,2,0)),"")</f>
        <v/>
      </c>
      <c r="C350" t="str">
        <f>IFERROR(IF(A350="","",VLOOKUP(A350,CadProd!$A:$C,3,0)),"")</f>
        <v/>
      </c>
      <c r="I350" s="1" t="str">
        <f>IFERROR(IF(A350="","",E350*#REF!),"")</f>
        <v/>
      </c>
    </row>
    <row r="351" spans="2:9" x14ac:dyDescent="0.3">
      <c r="B351" t="str">
        <f>IFERROR(IF(A351="","",VLOOKUP(A351,CadProd!$A:$B,2,0)),"")</f>
        <v/>
      </c>
      <c r="C351" t="str">
        <f>IFERROR(IF(A351="","",VLOOKUP(A351,CadProd!$A:$C,3,0)),"")</f>
        <v/>
      </c>
      <c r="I351" s="1" t="str">
        <f>IFERROR(IF(A351="","",E351*#REF!),"")</f>
        <v/>
      </c>
    </row>
    <row r="352" spans="2:9" x14ac:dyDescent="0.3">
      <c r="B352" t="str">
        <f>IFERROR(IF(A352="","",VLOOKUP(A352,CadProd!$A:$B,2,0)),"")</f>
        <v/>
      </c>
      <c r="C352" t="str">
        <f>IFERROR(IF(A352="","",VLOOKUP(A352,CadProd!$A:$C,3,0)),"")</f>
        <v/>
      </c>
      <c r="I352" s="1" t="str">
        <f>IFERROR(IF(A352="","",E352*#REF!),"")</f>
        <v/>
      </c>
    </row>
    <row r="353" spans="2:9" x14ac:dyDescent="0.3">
      <c r="B353" t="str">
        <f>IFERROR(IF(A353="","",VLOOKUP(A353,CadProd!$A:$B,2,0)),"")</f>
        <v/>
      </c>
      <c r="C353" t="str">
        <f>IFERROR(IF(A353="","",VLOOKUP(A353,CadProd!$A:$C,3,0)),"")</f>
        <v/>
      </c>
      <c r="I353" s="1" t="str">
        <f>IFERROR(IF(A353="","",E353*#REF!),"")</f>
        <v/>
      </c>
    </row>
    <row r="354" spans="2:9" x14ac:dyDescent="0.3">
      <c r="B354" t="str">
        <f>IFERROR(IF(A354="","",VLOOKUP(A354,CadProd!$A:$B,2,0)),"")</f>
        <v/>
      </c>
      <c r="C354" t="str">
        <f>IFERROR(IF(A354="","",VLOOKUP(A354,CadProd!$A:$C,3,0)),"")</f>
        <v/>
      </c>
      <c r="I354" s="1" t="str">
        <f>IFERROR(IF(A354="","",E354*#REF!),"")</f>
        <v/>
      </c>
    </row>
    <row r="355" spans="2:9" x14ac:dyDescent="0.3">
      <c r="B355" t="str">
        <f>IFERROR(IF(A355="","",VLOOKUP(A355,CadProd!$A:$B,2,0)),"")</f>
        <v/>
      </c>
      <c r="C355" t="str">
        <f>IFERROR(IF(A355="","",VLOOKUP(A355,CadProd!$A:$C,3,0)),"")</f>
        <v/>
      </c>
      <c r="I355" s="1" t="str">
        <f>IFERROR(IF(A355="","",E355*#REF!),"")</f>
        <v/>
      </c>
    </row>
    <row r="356" spans="2:9" x14ac:dyDescent="0.3">
      <c r="B356" t="str">
        <f>IFERROR(IF(A356="","",VLOOKUP(A356,CadProd!$A:$B,2,0)),"")</f>
        <v/>
      </c>
      <c r="C356" t="str">
        <f>IFERROR(IF(A356="","",VLOOKUP(A356,CadProd!$A:$C,3,0)),"")</f>
        <v/>
      </c>
      <c r="I356" s="1" t="str">
        <f>IFERROR(IF(A356="","",E356*#REF!),"")</f>
        <v/>
      </c>
    </row>
    <row r="357" spans="2:9" x14ac:dyDescent="0.3">
      <c r="B357" t="str">
        <f>IFERROR(IF(A357="","",VLOOKUP(A357,CadProd!$A:$B,2,0)),"")</f>
        <v/>
      </c>
      <c r="C357" t="str">
        <f>IFERROR(IF(A357="","",VLOOKUP(A357,CadProd!$A:$C,3,0)),"")</f>
        <v/>
      </c>
      <c r="I357" s="1" t="str">
        <f>IFERROR(IF(A357="","",E357*#REF!),"")</f>
        <v/>
      </c>
    </row>
    <row r="358" spans="2:9" x14ac:dyDescent="0.3">
      <c r="B358" t="str">
        <f>IFERROR(IF(A358="","",VLOOKUP(A358,CadProd!$A:$B,2,0)),"")</f>
        <v/>
      </c>
      <c r="C358" t="str">
        <f>IFERROR(IF(A358="","",VLOOKUP(A358,CadProd!$A:$C,3,0)),"")</f>
        <v/>
      </c>
      <c r="I358" s="1" t="str">
        <f>IFERROR(IF(A358="","",E358*#REF!),"")</f>
        <v/>
      </c>
    </row>
    <row r="359" spans="2:9" x14ac:dyDescent="0.3">
      <c r="B359" t="str">
        <f>IFERROR(IF(A359="","",VLOOKUP(A359,CadProd!$A:$B,2,0)),"")</f>
        <v/>
      </c>
      <c r="C359" t="str">
        <f>IFERROR(IF(A359="","",VLOOKUP(A359,CadProd!$A:$C,3,0)),"")</f>
        <v/>
      </c>
      <c r="I359" s="1" t="str">
        <f>IFERROR(IF(A359="","",E359*#REF!),"")</f>
        <v/>
      </c>
    </row>
    <row r="360" spans="2:9" x14ac:dyDescent="0.3">
      <c r="B360" t="str">
        <f>IFERROR(IF(A360="","",VLOOKUP(A360,CadProd!$A:$B,2,0)),"")</f>
        <v/>
      </c>
      <c r="C360" t="str">
        <f>IFERROR(IF(A360="","",VLOOKUP(A360,CadProd!$A:$C,3,0)),"")</f>
        <v/>
      </c>
      <c r="I360" s="1" t="str">
        <f>IFERROR(IF(A360="","",E360*#REF!),"")</f>
        <v/>
      </c>
    </row>
    <row r="361" spans="2:9" x14ac:dyDescent="0.3">
      <c r="B361" t="str">
        <f>IFERROR(IF(A361="","",VLOOKUP(A361,CadProd!$A:$B,2,0)),"")</f>
        <v/>
      </c>
      <c r="C361" t="str">
        <f>IFERROR(IF(A361="","",VLOOKUP(A361,CadProd!$A:$C,3,0)),"")</f>
        <v/>
      </c>
      <c r="I361" s="1" t="str">
        <f>IFERROR(IF(A361="","",E361*#REF!),"")</f>
        <v/>
      </c>
    </row>
    <row r="362" spans="2:9" x14ac:dyDescent="0.3">
      <c r="B362" t="str">
        <f>IFERROR(IF(A362="","",VLOOKUP(A362,CadProd!$A:$B,2,0)),"")</f>
        <v/>
      </c>
      <c r="C362" t="str">
        <f>IFERROR(IF(A362="","",VLOOKUP(A362,CadProd!$A:$C,3,0)),"")</f>
        <v/>
      </c>
      <c r="I362" s="1" t="str">
        <f>IFERROR(IF(A362="","",E362*#REF!),"")</f>
        <v/>
      </c>
    </row>
    <row r="363" spans="2:9" x14ac:dyDescent="0.3">
      <c r="B363" t="str">
        <f>IFERROR(IF(A363="","",VLOOKUP(A363,CadProd!$A:$B,2,0)),"")</f>
        <v/>
      </c>
      <c r="C363" t="str">
        <f>IFERROR(IF(A363="","",VLOOKUP(A363,CadProd!$A:$C,3,0)),"")</f>
        <v/>
      </c>
      <c r="I363" s="1" t="str">
        <f>IFERROR(IF(A363="","",E363*#REF!),"")</f>
        <v/>
      </c>
    </row>
    <row r="364" spans="2:9" x14ac:dyDescent="0.3">
      <c r="B364" t="str">
        <f>IFERROR(IF(A364="","",VLOOKUP(A364,CadProd!$A:$B,2,0)),"")</f>
        <v/>
      </c>
      <c r="C364" t="str">
        <f>IFERROR(IF(A364="","",VLOOKUP(A364,CadProd!$A:$C,3,0)),"")</f>
        <v/>
      </c>
      <c r="I364" s="1" t="str">
        <f>IFERROR(IF(A364="","",E364*#REF!),"")</f>
        <v/>
      </c>
    </row>
    <row r="365" spans="2:9" x14ac:dyDescent="0.3">
      <c r="B365" t="str">
        <f>IFERROR(IF(A365="","",VLOOKUP(A365,CadProd!$A:$B,2,0)),"")</f>
        <v/>
      </c>
      <c r="C365" t="str">
        <f>IFERROR(IF(A365="","",VLOOKUP(A365,CadProd!$A:$C,3,0)),"")</f>
        <v/>
      </c>
      <c r="I365" s="1" t="str">
        <f>IFERROR(IF(A365="","",E365*#REF!),"")</f>
        <v/>
      </c>
    </row>
    <row r="366" spans="2:9" x14ac:dyDescent="0.3">
      <c r="B366" t="str">
        <f>IFERROR(IF(A366="","",VLOOKUP(A366,CadProd!$A:$B,2,0)),"")</f>
        <v/>
      </c>
      <c r="C366" t="str">
        <f>IFERROR(IF(A366="","",VLOOKUP(A366,CadProd!$A:$C,3,0)),"")</f>
        <v/>
      </c>
      <c r="I366" s="1" t="str">
        <f>IFERROR(IF(A366="","",E366*#REF!),"")</f>
        <v/>
      </c>
    </row>
    <row r="367" spans="2:9" x14ac:dyDescent="0.3">
      <c r="B367" t="str">
        <f>IFERROR(IF(A367="","",VLOOKUP(A367,CadProd!$A:$B,2,0)),"")</f>
        <v/>
      </c>
      <c r="C367" t="str">
        <f>IFERROR(IF(A367="","",VLOOKUP(A367,CadProd!$A:$C,3,0)),"")</f>
        <v/>
      </c>
      <c r="I367" s="1" t="str">
        <f>IFERROR(IF(A367="","",E367*#REF!),"")</f>
        <v/>
      </c>
    </row>
    <row r="368" spans="2:9" x14ac:dyDescent="0.3">
      <c r="B368" t="str">
        <f>IFERROR(IF(A368="","",VLOOKUP(A368,CadProd!$A:$B,2,0)),"")</f>
        <v/>
      </c>
      <c r="C368" t="str">
        <f>IFERROR(IF(A368="","",VLOOKUP(A368,CadProd!$A:$C,3,0)),"")</f>
        <v/>
      </c>
      <c r="I368" s="1" t="str">
        <f>IFERROR(IF(A368="","",E368*#REF!),"")</f>
        <v/>
      </c>
    </row>
    <row r="369" spans="2:9" x14ac:dyDescent="0.3">
      <c r="B369" t="str">
        <f>IFERROR(IF(A369="","",VLOOKUP(A369,CadProd!$A:$B,2,0)),"")</f>
        <v/>
      </c>
      <c r="C369" t="str">
        <f>IFERROR(IF(A369="","",VLOOKUP(A369,CadProd!$A:$C,3,0)),"")</f>
        <v/>
      </c>
      <c r="I369" s="1" t="str">
        <f>IFERROR(IF(A369="","",E369*#REF!),"")</f>
        <v/>
      </c>
    </row>
    <row r="370" spans="2:9" x14ac:dyDescent="0.3">
      <c r="B370" t="str">
        <f>IFERROR(IF(A370="","",VLOOKUP(A370,CadProd!$A:$B,2,0)),"")</f>
        <v/>
      </c>
      <c r="C370" t="str">
        <f>IFERROR(IF(A370="","",VLOOKUP(A370,CadProd!$A:$C,3,0)),"")</f>
        <v/>
      </c>
      <c r="I370" s="1" t="str">
        <f>IFERROR(IF(A370="","",E370*#REF!),"")</f>
        <v/>
      </c>
    </row>
    <row r="371" spans="2:9" x14ac:dyDescent="0.3">
      <c r="B371" t="str">
        <f>IFERROR(IF(A371="","",VLOOKUP(A371,CadProd!$A:$B,2,0)),"")</f>
        <v/>
      </c>
      <c r="C371" t="str">
        <f>IFERROR(IF(A371="","",VLOOKUP(A371,CadProd!$A:$C,3,0)),"")</f>
        <v/>
      </c>
      <c r="I371" s="1" t="str">
        <f>IFERROR(IF(A371="","",E371*#REF!),"")</f>
        <v/>
      </c>
    </row>
    <row r="372" spans="2:9" x14ac:dyDescent="0.3">
      <c r="B372" t="str">
        <f>IFERROR(IF(A372="","",VLOOKUP(A372,CadProd!$A:$B,2,0)),"")</f>
        <v/>
      </c>
      <c r="C372" t="str">
        <f>IFERROR(IF(A372="","",VLOOKUP(A372,CadProd!$A:$C,3,0)),"")</f>
        <v/>
      </c>
      <c r="I372" s="1" t="str">
        <f>IFERROR(IF(A372="","",E372*#REF!),"")</f>
        <v/>
      </c>
    </row>
    <row r="373" spans="2:9" x14ac:dyDescent="0.3">
      <c r="B373" t="str">
        <f>IFERROR(IF(A373="","",VLOOKUP(A373,CadProd!$A:$B,2,0)),"")</f>
        <v/>
      </c>
      <c r="C373" t="str">
        <f>IFERROR(IF(A373="","",VLOOKUP(A373,CadProd!$A:$C,3,0)),"")</f>
        <v/>
      </c>
      <c r="I373" s="1" t="str">
        <f>IFERROR(IF(A373="","",E373*#REF!),"")</f>
        <v/>
      </c>
    </row>
    <row r="374" spans="2:9" x14ac:dyDescent="0.3">
      <c r="B374" t="str">
        <f>IFERROR(IF(A374="","",VLOOKUP(A374,CadProd!$A:$B,2,0)),"")</f>
        <v/>
      </c>
      <c r="C374" t="str">
        <f>IFERROR(IF(A374="","",VLOOKUP(A374,CadProd!$A:$C,3,0)),"")</f>
        <v/>
      </c>
      <c r="I374" s="1" t="str">
        <f>IFERROR(IF(A374="","",E374*#REF!),"")</f>
        <v/>
      </c>
    </row>
    <row r="375" spans="2:9" x14ac:dyDescent="0.3">
      <c r="B375" t="str">
        <f>IFERROR(IF(A375="","",VLOOKUP(A375,CadProd!$A:$B,2,0)),"")</f>
        <v/>
      </c>
      <c r="C375" t="str">
        <f>IFERROR(IF(A375="","",VLOOKUP(A375,CadProd!$A:$C,3,0)),"")</f>
        <v/>
      </c>
      <c r="I375" s="1" t="str">
        <f>IFERROR(IF(A375="","",E375*#REF!),"")</f>
        <v/>
      </c>
    </row>
    <row r="376" spans="2:9" x14ac:dyDescent="0.3">
      <c r="B376" t="str">
        <f>IFERROR(IF(A376="","",VLOOKUP(A376,CadProd!$A:$B,2,0)),"")</f>
        <v/>
      </c>
      <c r="C376" t="str">
        <f>IFERROR(IF(A376="","",VLOOKUP(A376,CadProd!$A:$C,3,0)),"")</f>
        <v/>
      </c>
      <c r="I376" s="1" t="str">
        <f>IFERROR(IF(A376="","",E376*#REF!),"")</f>
        <v/>
      </c>
    </row>
    <row r="377" spans="2:9" x14ac:dyDescent="0.3">
      <c r="B377" t="str">
        <f>IFERROR(IF(A377="","",VLOOKUP(A377,CadProd!$A:$B,2,0)),"")</f>
        <v/>
      </c>
      <c r="C377" t="str">
        <f>IFERROR(IF(A377="","",VLOOKUP(A377,CadProd!$A:$C,3,0)),"")</f>
        <v/>
      </c>
      <c r="I377" s="1" t="str">
        <f>IFERROR(IF(A377="","",E377*#REF!),"")</f>
        <v/>
      </c>
    </row>
    <row r="378" spans="2:9" x14ac:dyDescent="0.3">
      <c r="B378" t="str">
        <f>IFERROR(IF(A378="","",VLOOKUP(A378,CadProd!$A:$B,2,0)),"")</f>
        <v/>
      </c>
      <c r="C378" t="str">
        <f>IFERROR(IF(A378="","",VLOOKUP(A378,CadProd!$A:$C,3,0)),"")</f>
        <v/>
      </c>
      <c r="I378" s="1" t="str">
        <f>IFERROR(IF(A378="","",E378*#REF!),"")</f>
        <v/>
      </c>
    </row>
    <row r="379" spans="2:9" x14ac:dyDescent="0.3">
      <c r="B379" t="str">
        <f>IFERROR(IF(A379="","",VLOOKUP(A379,CadProd!$A:$B,2,0)),"")</f>
        <v/>
      </c>
      <c r="C379" t="str">
        <f>IFERROR(IF(A379="","",VLOOKUP(A379,CadProd!$A:$C,3,0)),"")</f>
        <v/>
      </c>
      <c r="I379" s="1" t="str">
        <f>IFERROR(IF(A379="","",E379*#REF!),"")</f>
        <v/>
      </c>
    </row>
    <row r="380" spans="2:9" x14ac:dyDescent="0.3">
      <c r="B380" t="str">
        <f>IFERROR(IF(A380="","",VLOOKUP(A380,CadProd!$A:$B,2,0)),"")</f>
        <v/>
      </c>
      <c r="C380" t="str">
        <f>IFERROR(IF(A380="","",VLOOKUP(A380,CadProd!$A:$C,3,0)),"")</f>
        <v/>
      </c>
      <c r="I380" s="1" t="str">
        <f>IFERROR(IF(A380="","",E380*#REF!),"")</f>
        <v/>
      </c>
    </row>
    <row r="381" spans="2:9" x14ac:dyDescent="0.3">
      <c r="B381" t="str">
        <f>IFERROR(IF(A381="","",VLOOKUP(A381,CadProd!$A:$B,2,0)),"")</f>
        <v/>
      </c>
      <c r="C381" t="str">
        <f>IFERROR(IF(A381="","",VLOOKUP(A381,CadProd!$A:$C,3,0)),"")</f>
        <v/>
      </c>
      <c r="I381" s="1" t="str">
        <f>IFERROR(IF(A381="","",E381*#REF!),"")</f>
        <v/>
      </c>
    </row>
    <row r="382" spans="2:9" x14ac:dyDescent="0.3">
      <c r="B382" t="str">
        <f>IFERROR(IF(A382="","",VLOOKUP(A382,CadProd!$A:$B,2,0)),"")</f>
        <v/>
      </c>
      <c r="C382" t="str">
        <f>IFERROR(IF(A382="","",VLOOKUP(A382,CadProd!$A:$C,3,0)),"")</f>
        <v/>
      </c>
      <c r="I382" s="1" t="str">
        <f>IFERROR(IF(A382="","",E382*#REF!),"")</f>
        <v/>
      </c>
    </row>
    <row r="383" spans="2:9" x14ac:dyDescent="0.3">
      <c r="B383" t="str">
        <f>IFERROR(IF(A383="","",VLOOKUP(A383,CadProd!$A:$B,2,0)),"")</f>
        <v/>
      </c>
      <c r="C383" t="str">
        <f>IFERROR(IF(A383="","",VLOOKUP(A383,CadProd!$A:$C,3,0)),"")</f>
        <v/>
      </c>
      <c r="I383" s="1" t="str">
        <f>IFERROR(IF(A383="","",E383*#REF!),"")</f>
        <v/>
      </c>
    </row>
    <row r="384" spans="2:9" x14ac:dyDescent="0.3">
      <c r="B384" t="str">
        <f>IFERROR(IF(A384="","",VLOOKUP(A384,CadProd!$A:$B,2,0)),"")</f>
        <v/>
      </c>
      <c r="C384" t="str">
        <f>IFERROR(IF(A384="","",VLOOKUP(A384,CadProd!$A:$C,3,0)),"")</f>
        <v/>
      </c>
      <c r="I384" s="1" t="str">
        <f>IFERROR(IF(A384="","",E384*#REF!),"")</f>
        <v/>
      </c>
    </row>
    <row r="385" spans="2:9" x14ac:dyDescent="0.3">
      <c r="B385" t="str">
        <f>IFERROR(IF(A385="","",VLOOKUP(A385,CadProd!$A:$B,2,0)),"")</f>
        <v/>
      </c>
      <c r="C385" t="str">
        <f>IFERROR(IF(A385="","",VLOOKUP(A385,CadProd!$A:$C,3,0)),"")</f>
        <v/>
      </c>
      <c r="I385" s="1" t="str">
        <f>IFERROR(IF(A385="","",E385*#REF!),"")</f>
        <v/>
      </c>
    </row>
    <row r="386" spans="2:9" x14ac:dyDescent="0.3">
      <c r="B386" t="str">
        <f>IFERROR(IF(A386="","",VLOOKUP(A386,CadProd!$A:$B,2,0)),"")</f>
        <v/>
      </c>
      <c r="C386" t="str">
        <f>IFERROR(IF(A386="","",VLOOKUP(A386,CadProd!$A:$C,3,0)),"")</f>
        <v/>
      </c>
      <c r="I386" s="1" t="str">
        <f>IFERROR(IF(A386="","",E386*#REF!),"")</f>
        <v/>
      </c>
    </row>
    <row r="387" spans="2:9" x14ac:dyDescent="0.3">
      <c r="B387" t="str">
        <f>IFERROR(IF(A387="","",VLOOKUP(A387,CadProd!$A:$B,2,0)),"")</f>
        <v/>
      </c>
      <c r="C387" t="str">
        <f>IFERROR(IF(A387="","",VLOOKUP(A387,CadProd!$A:$C,3,0)),"")</f>
        <v/>
      </c>
      <c r="I387" s="1" t="str">
        <f>IFERROR(IF(A387="","",E387*#REF!),"")</f>
        <v/>
      </c>
    </row>
    <row r="388" spans="2:9" x14ac:dyDescent="0.3">
      <c r="B388" t="str">
        <f>IFERROR(IF(A388="","",VLOOKUP(A388,CadProd!$A:$B,2,0)),"")</f>
        <v/>
      </c>
      <c r="C388" t="str">
        <f>IFERROR(IF(A388="","",VLOOKUP(A388,CadProd!$A:$C,3,0)),"")</f>
        <v/>
      </c>
      <c r="I388" s="1" t="str">
        <f>IFERROR(IF(A388="","",E388*#REF!),"")</f>
        <v/>
      </c>
    </row>
    <row r="389" spans="2:9" x14ac:dyDescent="0.3">
      <c r="B389" t="str">
        <f>IFERROR(IF(A389="","",VLOOKUP(A389,CadProd!$A:$B,2,0)),"")</f>
        <v/>
      </c>
      <c r="C389" t="str">
        <f>IFERROR(IF(A389="","",VLOOKUP(A389,CadProd!$A:$C,3,0)),"")</f>
        <v/>
      </c>
      <c r="I389" s="1" t="str">
        <f>IFERROR(IF(A389="","",E389*#REF!),"")</f>
        <v/>
      </c>
    </row>
    <row r="390" spans="2:9" x14ac:dyDescent="0.3">
      <c r="B390" t="str">
        <f>IFERROR(IF(A390="","",VLOOKUP(A390,CadProd!$A:$B,2,0)),"")</f>
        <v/>
      </c>
      <c r="C390" t="str">
        <f>IFERROR(IF(A390="","",VLOOKUP(A390,CadProd!$A:$C,3,0)),"")</f>
        <v/>
      </c>
      <c r="I390" s="1" t="str">
        <f>IFERROR(IF(A390="","",E390*#REF!),"")</f>
        <v/>
      </c>
    </row>
    <row r="391" spans="2:9" x14ac:dyDescent="0.3">
      <c r="B391" t="str">
        <f>IFERROR(IF(A391="","",VLOOKUP(A391,CadProd!$A:$B,2,0)),"")</f>
        <v/>
      </c>
      <c r="C391" t="str">
        <f>IFERROR(IF(A391="","",VLOOKUP(A391,CadProd!$A:$C,3,0)),"")</f>
        <v/>
      </c>
      <c r="I391" s="1" t="str">
        <f>IFERROR(IF(A391="","",E391*#REF!),"")</f>
        <v/>
      </c>
    </row>
    <row r="392" spans="2:9" x14ac:dyDescent="0.3">
      <c r="B392" t="str">
        <f>IFERROR(IF(A392="","",VLOOKUP(A392,CadProd!$A:$B,2,0)),"")</f>
        <v/>
      </c>
      <c r="C392" t="str">
        <f>IFERROR(IF(A392="","",VLOOKUP(A392,CadProd!$A:$C,3,0)),"")</f>
        <v/>
      </c>
      <c r="I392" s="1" t="str">
        <f>IFERROR(IF(A392="","",E392*#REF!),"")</f>
        <v/>
      </c>
    </row>
    <row r="393" spans="2:9" x14ac:dyDescent="0.3">
      <c r="B393" t="str">
        <f>IFERROR(IF(A393="","",VLOOKUP(A393,CadProd!$A:$B,2,0)),"")</f>
        <v/>
      </c>
      <c r="C393" t="str">
        <f>IFERROR(IF(A393="","",VLOOKUP(A393,CadProd!$A:$C,3,0)),"")</f>
        <v/>
      </c>
      <c r="I393" s="1" t="str">
        <f>IFERROR(IF(A393="","",E393*#REF!),"")</f>
        <v/>
      </c>
    </row>
    <row r="394" spans="2:9" x14ac:dyDescent="0.3">
      <c r="B394" t="str">
        <f>IFERROR(IF(A394="","",VLOOKUP(A394,CadProd!$A:$B,2,0)),"")</f>
        <v/>
      </c>
      <c r="C394" t="str">
        <f>IFERROR(IF(A394="","",VLOOKUP(A394,CadProd!$A:$C,3,0)),"")</f>
        <v/>
      </c>
      <c r="I394" s="1" t="str">
        <f>IFERROR(IF(A394="","",E394*#REF!),"")</f>
        <v/>
      </c>
    </row>
    <row r="395" spans="2:9" x14ac:dyDescent="0.3">
      <c r="B395" t="str">
        <f>IFERROR(IF(A395="","",VLOOKUP(A395,CadProd!$A:$B,2,0)),"")</f>
        <v/>
      </c>
      <c r="C395" t="str">
        <f>IFERROR(IF(A395="","",VLOOKUP(A395,CadProd!$A:$C,3,0)),"")</f>
        <v/>
      </c>
      <c r="I395" s="1" t="str">
        <f>IFERROR(IF(A395="","",E395*#REF!),"")</f>
        <v/>
      </c>
    </row>
    <row r="396" spans="2:9" x14ac:dyDescent="0.3">
      <c r="B396" t="str">
        <f>IFERROR(IF(A396="","",VLOOKUP(A396,CadProd!$A:$B,2,0)),"")</f>
        <v/>
      </c>
      <c r="C396" t="str">
        <f>IFERROR(IF(A396="","",VLOOKUP(A396,CadProd!$A:$C,3,0)),"")</f>
        <v/>
      </c>
      <c r="I396" s="1" t="str">
        <f>IFERROR(IF(A396="","",E396*#REF!),"")</f>
        <v/>
      </c>
    </row>
    <row r="397" spans="2:9" x14ac:dyDescent="0.3">
      <c r="B397" t="str">
        <f>IFERROR(IF(A397="","",VLOOKUP(A397,CadProd!$A:$B,2,0)),"")</f>
        <v/>
      </c>
      <c r="C397" t="str">
        <f>IFERROR(IF(A397="","",VLOOKUP(A397,CadProd!$A:$C,3,0)),"")</f>
        <v/>
      </c>
      <c r="I397" s="1" t="str">
        <f>IFERROR(IF(A397="","",E397*#REF!),"")</f>
        <v/>
      </c>
    </row>
    <row r="398" spans="2:9" x14ac:dyDescent="0.3">
      <c r="B398" t="str">
        <f>IFERROR(IF(A398="","",VLOOKUP(A398,CadProd!$A:$B,2,0)),"")</f>
        <v/>
      </c>
      <c r="C398" t="str">
        <f>IFERROR(IF(A398="","",VLOOKUP(A398,CadProd!$A:$C,3,0)),"")</f>
        <v/>
      </c>
      <c r="I398" s="1" t="str">
        <f>IFERROR(IF(A398="","",E398*#REF!),"")</f>
        <v/>
      </c>
    </row>
    <row r="399" spans="2:9" x14ac:dyDescent="0.3">
      <c r="B399" t="str">
        <f>IFERROR(IF(A399="","",VLOOKUP(A399,CadProd!$A:$B,2,0)),"")</f>
        <v/>
      </c>
      <c r="C399" t="str">
        <f>IFERROR(IF(A399="","",VLOOKUP(A399,CadProd!$A:$C,3,0)),"")</f>
        <v/>
      </c>
      <c r="I399" s="1" t="str">
        <f>IFERROR(IF(A399="","",E399*#REF!),"")</f>
        <v/>
      </c>
    </row>
    <row r="400" spans="2:9" x14ac:dyDescent="0.3">
      <c r="B400" t="str">
        <f>IFERROR(IF(A400="","",VLOOKUP(A400,CadProd!$A:$B,2,0)),"")</f>
        <v/>
      </c>
      <c r="C400" t="str">
        <f>IFERROR(IF(A400="","",VLOOKUP(A400,CadProd!$A:$C,3,0)),"")</f>
        <v/>
      </c>
      <c r="I400" s="1" t="str">
        <f>IFERROR(IF(A400="","",E400*#REF!),"")</f>
        <v/>
      </c>
    </row>
    <row r="401" spans="2:9" x14ac:dyDescent="0.3">
      <c r="B401" t="str">
        <f>IFERROR(IF(A401="","",VLOOKUP(A401,CadProd!$A:$B,2,0)),"")</f>
        <v/>
      </c>
      <c r="C401" t="str">
        <f>IFERROR(IF(A401="","",VLOOKUP(A401,CadProd!$A:$C,3,0)),"")</f>
        <v/>
      </c>
      <c r="I401" s="1" t="str">
        <f>IFERROR(IF(A401="","",E401*#REF!),"")</f>
        <v/>
      </c>
    </row>
    <row r="402" spans="2:9" x14ac:dyDescent="0.3">
      <c r="B402" t="str">
        <f>IFERROR(IF(A402="","",VLOOKUP(A402,CadProd!$A:$B,2,0)),"")</f>
        <v/>
      </c>
      <c r="C402" t="str">
        <f>IFERROR(IF(A402="","",VLOOKUP(A402,CadProd!$A:$C,3,0)),"")</f>
        <v/>
      </c>
      <c r="I402" s="1" t="str">
        <f>IFERROR(IF(A402="","",E402*#REF!),"")</f>
        <v/>
      </c>
    </row>
    <row r="403" spans="2:9" x14ac:dyDescent="0.3">
      <c r="B403" t="str">
        <f>IFERROR(IF(A403="","",VLOOKUP(A403,CadProd!$A:$B,2,0)),"")</f>
        <v/>
      </c>
      <c r="C403" t="str">
        <f>IFERROR(IF(A403="","",VLOOKUP(A403,CadProd!$A:$C,3,0)),"")</f>
        <v/>
      </c>
      <c r="I403" s="1" t="str">
        <f>IFERROR(IF(A403="","",E403*#REF!),"")</f>
        <v/>
      </c>
    </row>
    <row r="404" spans="2:9" x14ac:dyDescent="0.3">
      <c r="B404" t="str">
        <f>IFERROR(IF(A404="","",VLOOKUP(A404,CadProd!$A:$B,2,0)),"")</f>
        <v/>
      </c>
      <c r="C404" t="str">
        <f>IFERROR(IF(A404="","",VLOOKUP(A404,CadProd!$A:$C,3,0)),"")</f>
        <v/>
      </c>
      <c r="I404" s="1" t="str">
        <f>IFERROR(IF(A404="","",E404*#REF!),"")</f>
        <v/>
      </c>
    </row>
    <row r="405" spans="2:9" x14ac:dyDescent="0.3">
      <c r="B405" t="str">
        <f>IFERROR(IF(A405="","",VLOOKUP(A405,CadProd!$A:$B,2,0)),"")</f>
        <v/>
      </c>
      <c r="C405" t="str">
        <f>IFERROR(IF(A405="","",VLOOKUP(A405,CadProd!$A:$C,3,0)),"")</f>
        <v/>
      </c>
      <c r="I405" s="1" t="str">
        <f>IFERROR(IF(A405="","",E405*#REF!),"")</f>
        <v/>
      </c>
    </row>
    <row r="406" spans="2:9" x14ac:dyDescent="0.3">
      <c r="B406" t="str">
        <f>IFERROR(IF(A406="","",VLOOKUP(A406,CadProd!$A:$B,2,0)),"")</f>
        <v/>
      </c>
      <c r="C406" t="str">
        <f>IFERROR(IF(A406="","",VLOOKUP(A406,CadProd!$A:$C,3,0)),"")</f>
        <v/>
      </c>
      <c r="I406" s="1" t="str">
        <f>IFERROR(IF(A406="","",E406*#REF!),"")</f>
        <v/>
      </c>
    </row>
    <row r="407" spans="2:9" x14ac:dyDescent="0.3">
      <c r="B407" t="str">
        <f>IFERROR(IF(A407="","",VLOOKUP(A407,CadProd!$A:$B,2,0)),"")</f>
        <v/>
      </c>
      <c r="C407" t="str">
        <f>IFERROR(IF(A407="","",VLOOKUP(A407,CadProd!$A:$C,3,0)),"")</f>
        <v/>
      </c>
      <c r="I407" s="1" t="str">
        <f>IFERROR(IF(A407="","",E407*#REF!),"")</f>
        <v/>
      </c>
    </row>
    <row r="408" spans="2:9" x14ac:dyDescent="0.3">
      <c r="B408" t="str">
        <f>IFERROR(IF(A408="","",VLOOKUP(A408,CadProd!$A:$B,2,0)),"")</f>
        <v/>
      </c>
      <c r="C408" t="str">
        <f>IFERROR(IF(A408="","",VLOOKUP(A408,CadProd!$A:$C,3,0)),"")</f>
        <v/>
      </c>
      <c r="I408" s="1" t="str">
        <f>IFERROR(IF(A408="","",E408*#REF!),"")</f>
        <v/>
      </c>
    </row>
    <row r="409" spans="2:9" x14ac:dyDescent="0.3">
      <c r="B409" t="str">
        <f>IFERROR(IF(A409="","",VLOOKUP(A409,CadProd!$A:$B,2,0)),"")</f>
        <v/>
      </c>
      <c r="C409" t="str">
        <f>IFERROR(IF(A409="","",VLOOKUP(A409,CadProd!$A:$C,3,0)),"")</f>
        <v/>
      </c>
      <c r="I409" s="1" t="str">
        <f>IFERROR(IF(A409="","",E409*#REF!),"")</f>
        <v/>
      </c>
    </row>
    <row r="410" spans="2:9" x14ac:dyDescent="0.3">
      <c r="B410" t="str">
        <f>IFERROR(IF(A410="","",VLOOKUP(A410,CadProd!$A:$B,2,0)),"")</f>
        <v/>
      </c>
      <c r="C410" t="str">
        <f>IFERROR(IF(A410="","",VLOOKUP(A410,CadProd!$A:$C,3,0)),"")</f>
        <v/>
      </c>
      <c r="I410" s="1" t="str">
        <f>IFERROR(IF(A410="","",E410*#REF!),"")</f>
        <v/>
      </c>
    </row>
    <row r="411" spans="2:9" x14ac:dyDescent="0.3">
      <c r="B411" t="str">
        <f>IFERROR(IF(A411="","",VLOOKUP(A411,CadProd!$A:$B,2,0)),"")</f>
        <v/>
      </c>
      <c r="C411" t="str">
        <f>IFERROR(IF(A411="","",VLOOKUP(A411,CadProd!$A:$C,3,0)),"")</f>
        <v/>
      </c>
      <c r="I411" s="1" t="str">
        <f>IFERROR(IF(A411="","",E411*#REF!),"")</f>
        <v/>
      </c>
    </row>
    <row r="412" spans="2:9" x14ac:dyDescent="0.3">
      <c r="B412" t="str">
        <f>IFERROR(IF(A412="","",VLOOKUP(A412,CadProd!$A:$B,2,0)),"")</f>
        <v/>
      </c>
      <c r="C412" t="str">
        <f>IFERROR(IF(A412="","",VLOOKUP(A412,CadProd!$A:$C,3,0)),"")</f>
        <v/>
      </c>
      <c r="I412" s="1" t="str">
        <f>IFERROR(IF(A412="","",E412*#REF!),"")</f>
        <v/>
      </c>
    </row>
    <row r="413" spans="2:9" x14ac:dyDescent="0.3">
      <c r="B413" t="str">
        <f>IFERROR(IF(A413="","",VLOOKUP(A413,CadProd!$A:$B,2,0)),"")</f>
        <v/>
      </c>
      <c r="C413" t="str">
        <f>IFERROR(IF(A413="","",VLOOKUP(A413,CadProd!$A:$C,3,0)),"")</f>
        <v/>
      </c>
      <c r="I413" s="1" t="str">
        <f>IFERROR(IF(A413="","",E413*#REF!),"")</f>
        <v/>
      </c>
    </row>
    <row r="414" spans="2:9" x14ac:dyDescent="0.3">
      <c r="B414" t="str">
        <f>IFERROR(IF(A414="","",VLOOKUP(A414,CadProd!$A:$B,2,0)),"")</f>
        <v/>
      </c>
      <c r="C414" t="str">
        <f>IFERROR(IF(A414="","",VLOOKUP(A414,CadProd!$A:$C,3,0)),"")</f>
        <v/>
      </c>
      <c r="I414" s="1" t="str">
        <f>IFERROR(IF(A414="","",E414*#REF!),"")</f>
        <v/>
      </c>
    </row>
    <row r="415" spans="2:9" x14ac:dyDescent="0.3">
      <c r="B415" t="str">
        <f>IFERROR(IF(A415="","",VLOOKUP(A415,CadProd!$A:$B,2,0)),"")</f>
        <v/>
      </c>
      <c r="C415" t="str">
        <f>IFERROR(IF(A415="","",VLOOKUP(A415,CadProd!$A:$C,3,0)),"")</f>
        <v/>
      </c>
      <c r="I415" s="1" t="str">
        <f>IFERROR(IF(A415="","",E415*#REF!),"")</f>
        <v/>
      </c>
    </row>
    <row r="416" spans="2:9" x14ac:dyDescent="0.3">
      <c r="B416" t="str">
        <f>IFERROR(IF(A416="","",VLOOKUP(A416,CadProd!$A:$B,2,0)),"")</f>
        <v/>
      </c>
      <c r="C416" t="str">
        <f>IFERROR(IF(A416="","",VLOOKUP(A416,CadProd!$A:$C,3,0)),"")</f>
        <v/>
      </c>
      <c r="I416" s="1" t="str">
        <f>IFERROR(IF(A416="","",E416*#REF!),"")</f>
        <v/>
      </c>
    </row>
    <row r="417" spans="2:9" x14ac:dyDescent="0.3">
      <c r="B417" t="str">
        <f>IFERROR(IF(A417="","",VLOOKUP(A417,CadProd!$A:$B,2,0)),"")</f>
        <v/>
      </c>
      <c r="C417" t="str">
        <f>IFERROR(IF(A417="","",VLOOKUP(A417,CadProd!$A:$C,3,0)),"")</f>
        <v/>
      </c>
      <c r="I417" s="1" t="str">
        <f>IFERROR(IF(A417="","",E417*#REF!),"")</f>
        <v/>
      </c>
    </row>
    <row r="418" spans="2:9" x14ac:dyDescent="0.3">
      <c r="B418" t="str">
        <f>IFERROR(IF(A418="","",VLOOKUP(A418,CadProd!$A:$B,2,0)),"")</f>
        <v/>
      </c>
      <c r="C418" t="str">
        <f>IFERROR(IF(A418="","",VLOOKUP(A418,CadProd!$A:$C,3,0)),"")</f>
        <v/>
      </c>
      <c r="I418" s="1" t="str">
        <f>IFERROR(IF(A418="","",E418*#REF!),"")</f>
        <v/>
      </c>
    </row>
    <row r="419" spans="2:9" x14ac:dyDescent="0.3">
      <c r="B419" t="str">
        <f>IFERROR(IF(A419="","",VLOOKUP(A419,CadProd!$A:$B,2,0)),"")</f>
        <v/>
      </c>
      <c r="C419" t="str">
        <f>IFERROR(IF(A419="","",VLOOKUP(A419,CadProd!$A:$C,3,0)),"")</f>
        <v/>
      </c>
      <c r="I419" s="1" t="str">
        <f>IFERROR(IF(A419="","",E419*#REF!),"")</f>
        <v/>
      </c>
    </row>
    <row r="420" spans="2:9" x14ac:dyDescent="0.3">
      <c r="B420" t="str">
        <f>IFERROR(IF(A420="","",VLOOKUP(A420,CadProd!$A:$B,2,0)),"")</f>
        <v/>
      </c>
      <c r="C420" t="str">
        <f>IFERROR(IF(A420="","",VLOOKUP(A420,CadProd!$A:$C,3,0)),"")</f>
        <v/>
      </c>
      <c r="I420" s="1" t="str">
        <f>IFERROR(IF(A420="","",E420*#REF!),"")</f>
        <v/>
      </c>
    </row>
    <row r="421" spans="2:9" x14ac:dyDescent="0.3">
      <c r="B421" t="str">
        <f>IFERROR(IF(A421="","",VLOOKUP(A421,CadProd!$A:$B,2,0)),"")</f>
        <v/>
      </c>
      <c r="C421" t="str">
        <f>IFERROR(IF(A421="","",VLOOKUP(A421,CadProd!$A:$C,3,0)),"")</f>
        <v/>
      </c>
      <c r="I421" s="1" t="str">
        <f>IFERROR(IF(A421="","",E421*#REF!),"")</f>
        <v/>
      </c>
    </row>
    <row r="422" spans="2:9" x14ac:dyDescent="0.3">
      <c r="B422" t="str">
        <f>IFERROR(IF(A422="","",VLOOKUP(A422,CadProd!$A:$B,2,0)),"")</f>
        <v/>
      </c>
      <c r="C422" t="str">
        <f>IFERROR(IF(A422="","",VLOOKUP(A422,CadProd!$A:$C,3,0)),"")</f>
        <v/>
      </c>
      <c r="I422" s="1" t="str">
        <f>IFERROR(IF(A422="","",E422*#REF!),"")</f>
        <v/>
      </c>
    </row>
    <row r="423" spans="2:9" x14ac:dyDescent="0.3">
      <c r="B423" t="str">
        <f>IFERROR(IF(A423="","",VLOOKUP(A423,CadProd!$A:$B,2,0)),"")</f>
        <v/>
      </c>
      <c r="C423" t="str">
        <f>IFERROR(IF(A423="","",VLOOKUP(A423,CadProd!$A:$C,3,0)),"")</f>
        <v/>
      </c>
      <c r="I423" s="1" t="str">
        <f>IFERROR(IF(A423="","",E423*#REF!),"")</f>
        <v/>
      </c>
    </row>
    <row r="424" spans="2:9" x14ac:dyDescent="0.3">
      <c r="B424" t="str">
        <f>IFERROR(IF(A424="","",VLOOKUP(A424,CadProd!$A:$B,2,0)),"")</f>
        <v/>
      </c>
      <c r="C424" t="str">
        <f>IFERROR(IF(A424="","",VLOOKUP(A424,CadProd!$A:$C,3,0)),"")</f>
        <v/>
      </c>
      <c r="I424" s="1" t="str">
        <f>IFERROR(IF(A424="","",E424*#REF!),"")</f>
        <v/>
      </c>
    </row>
    <row r="425" spans="2:9" x14ac:dyDescent="0.3">
      <c r="B425" t="str">
        <f>IFERROR(IF(A425="","",VLOOKUP(A425,CadProd!$A:$B,2,0)),"")</f>
        <v/>
      </c>
      <c r="C425" t="str">
        <f>IFERROR(IF(A425="","",VLOOKUP(A425,CadProd!$A:$C,3,0)),"")</f>
        <v/>
      </c>
      <c r="I425" s="1" t="str">
        <f>IFERROR(IF(A425="","",E425*#REF!),"")</f>
        <v/>
      </c>
    </row>
    <row r="426" spans="2:9" x14ac:dyDescent="0.3">
      <c r="B426" t="str">
        <f>IFERROR(IF(A426="","",VLOOKUP(A426,CadProd!$A:$B,2,0)),"")</f>
        <v/>
      </c>
      <c r="C426" t="str">
        <f>IFERROR(IF(A426="","",VLOOKUP(A426,CadProd!$A:$C,3,0)),"")</f>
        <v/>
      </c>
      <c r="I426" s="1" t="str">
        <f>IFERROR(IF(A426="","",E426*#REF!),"")</f>
        <v/>
      </c>
    </row>
    <row r="427" spans="2:9" x14ac:dyDescent="0.3">
      <c r="B427" t="str">
        <f>IFERROR(IF(A427="","",VLOOKUP(A427,CadProd!$A:$B,2,0)),"")</f>
        <v/>
      </c>
      <c r="C427" t="str">
        <f>IFERROR(IF(A427="","",VLOOKUP(A427,CadProd!$A:$C,3,0)),"")</f>
        <v/>
      </c>
      <c r="I427" s="1" t="str">
        <f>IFERROR(IF(A427="","",E427*#REF!),"")</f>
        <v/>
      </c>
    </row>
    <row r="428" spans="2:9" x14ac:dyDescent="0.3">
      <c r="B428" t="str">
        <f>IFERROR(IF(A428="","",VLOOKUP(A428,CadProd!$A:$B,2,0)),"")</f>
        <v/>
      </c>
      <c r="C428" t="str">
        <f>IFERROR(IF(A428="","",VLOOKUP(A428,CadProd!$A:$C,3,0)),"")</f>
        <v/>
      </c>
      <c r="I428" s="1" t="str">
        <f>IFERROR(IF(A428="","",E428*#REF!),"")</f>
        <v/>
      </c>
    </row>
    <row r="429" spans="2:9" x14ac:dyDescent="0.3">
      <c r="B429" t="str">
        <f>IFERROR(IF(A429="","",VLOOKUP(A429,CadProd!$A:$B,2,0)),"")</f>
        <v/>
      </c>
      <c r="C429" t="str">
        <f>IFERROR(IF(A429="","",VLOOKUP(A429,CadProd!$A:$C,3,0)),"")</f>
        <v/>
      </c>
      <c r="I429" s="1" t="str">
        <f>IFERROR(IF(A429="","",E429*#REF!),"")</f>
        <v/>
      </c>
    </row>
    <row r="430" spans="2:9" x14ac:dyDescent="0.3">
      <c r="B430" t="str">
        <f>IFERROR(IF(A430="","",VLOOKUP(A430,CadProd!$A:$B,2,0)),"")</f>
        <v/>
      </c>
      <c r="C430" t="str">
        <f>IFERROR(IF(A430="","",VLOOKUP(A430,CadProd!$A:$C,3,0)),"")</f>
        <v/>
      </c>
      <c r="I430" s="1" t="str">
        <f>IFERROR(IF(A430="","",E430*#REF!),"")</f>
        <v/>
      </c>
    </row>
    <row r="431" spans="2:9" x14ac:dyDescent="0.3">
      <c r="B431" t="str">
        <f>IFERROR(IF(A431="","",VLOOKUP(A431,CadProd!$A:$B,2,0)),"")</f>
        <v/>
      </c>
      <c r="C431" t="str">
        <f>IFERROR(IF(A431="","",VLOOKUP(A431,CadProd!$A:$C,3,0)),"")</f>
        <v/>
      </c>
      <c r="I431" s="1" t="str">
        <f>IFERROR(IF(A431="","",E431*#REF!),"")</f>
        <v/>
      </c>
    </row>
    <row r="432" spans="2:9" x14ac:dyDescent="0.3">
      <c r="B432" t="str">
        <f>IFERROR(IF(A432="","",VLOOKUP(A432,CadProd!$A:$B,2,0)),"")</f>
        <v/>
      </c>
      <c r="C432" t="str">
        <f>IFERROR(IF(A432="","",VLOOKUP(A432,CadProd!$A:$C,3,0)),"")</f>
        <v/>
      </c>
      <c r="I432" s="1" t="str">
        <f>IFERROR(IF(A432="","",E432*#REF!),"")</f>
        <v/>
      </c>
    </row>
    <row r="433" spans="2:9" x14ac:dyDescent="0.3">
      <c r="B433" t="str">
        <f>IFERROR(IF(A433="","",VLOOKUP(A433,CadProd!$A:$B,2,0)),"")</f>
        <v/>
      </c>
      <c r="C433" t="str">
        <f>IFERROR(IF(A433="","",VLOOKUP(A433,CadProd!$A:$C,3,0)),"")</f>
        <v/>
      </c>
      <c r="I433" s="1" t="str">
        <f>IFERROR(IF(A433="","",E433*#REF!),"")</f>
        <v/>
      </c>
    </row>
    <row r="434" spans="2:9" x14ac:dyDescent="0.3">
      <c r="B434" t="str">
        <f>IFERROR(IF(A434="","",VLOOKUP(A434,CadProd!$A:$B,2,0)),"")</f>
        <v/>
      </c>
      <c r="C434" t="str">
        <f>IFERROR(IF(A434="","",VLOOKUP(A434,CadProd!$A:$C,3,0)),"")</f>
        <v/>
      </c>
      <c r="I434" s="1" t="str">
        <f>IFERROR(IF(A434="","",E434*#REF!),"")</f>
        <v/>
      </c>
    </row>
    <row r="435" spans="2:9" x14ac:dyDescent="0.3">
      <c r="B435" t="str">
        <f>IFERROR(IF(A435="","",VLOOKUP(A435,CadProd!$A:$B,2,0)),"")</f>
        <v/>
      </c>
      <c r="C435" t="str">
        <f>IFERROR(IF(A435="","",VLOOKUP(A435,CadProd!$A:$C,3,0)),"")</f>
        <v/>
      </c>
      <c r="I435" s="1" t="str">
        <f>IFERROR(IF(A435="","",E435*#REF!),"")</f>
        <v/>
      </c>
    </row>
    <row r="436" spans="2:9" x14ac:dyDescent="0.3">
      <c r="B436" t="str">
        <f>IFERROR(IF(A436="","",VLOOKUP(A436,CadProd!$A:$B,2,0)),"")</f>
        <v/>
      </c>
      <c r="C436" t="str">
        <f>IFERROR(IF(A436="","",VLOOKUP(A436,CadProd!$A:$C,3,0)),"")</f>
        <v/>
      </c>
      <c r="I436" s="1" t="str">
        <f>IFERROR(IF(A436="","",E436*#REF!),"")</f>
        <v/>
      </c>
    </row>
    <row r="437" spans="2:9" x14ac:dyDescent="0.3">
      <c r="B437" t="str">
        <f>IFERROR(IF(A437="","",VLOOKUP(A437,CadProd!$A:$B,2,0)),"")</f>
        <v/>
      </c>
      <c r="C437" t="str">
        <f>IFERROR(IF(A437="","",VLOOKUP(A437,CadProd!$A:$C,3,0)),"")</f>
        <v/>
      </c>
      <c r="I437" s="1" t="str">
        <f>IFERROR(IF(A437="","",E437*#REF!),"")</f>
        <v/>
      </c>
    </row>
    <row r="438" spans="2:9" x14ac:dyDescent="0.3">
      <c r="B438" t="str">
        <f>IFERROR(IF(A438="","",VLOOKUP(A438,CadProd!$A:$B,2,0)),"")</f>
        <v/>
      </c>
      <c r="C438" t="str">
        <f>IFERROR(IF(A438="","",VLOOKUP(A438,CadProd!$A:$C,3,0)),"")</f>
        <v/>
      </c>
      <c r="I438" s="1" t="str">
        <f>IFERROR(IF(A438="","",E438*#REF!),"")</f>
        <v/>
      </c>
    </row>
    <row r="439" spans="2:9" x14ac:dyDescent="0.3">
      <c r="B439" t="str">
        <f>IFERROR(IF(A439="","",VLOOKUP(A439,CadProd!$A:$B,2,0)),"")</f>
        <v/>
      </c>
      <c r="C439" t="str">
        <f>IFERROR(IF(A439="","",VLOOKUP(A439,CadProd!$A:$C,3,0)),"")</f>
        <v/>
      </c>
      <c r="I439" s="1" t="str">
        <f>IFERROR(IF(A439="","",E439*#REF!),"")</f>
        <v/>
      </c>
    </row>
    <row r="440" spans="2:9" x14ac:dyDescent="0.3">
      <c r="B440" t="str">
        <f>IFERROR(IF(A440="","",VLOOKUP(A440,CadProd!$A:$B,2,0)),"")</f>
        <v/>
      </c>
      <c r="C440" t="str">
        <f>IFERROR(IF(A440="","",VLOOKUP(A440,CadProd!$A:$C,3,0)),"")</f>
        <v/>
      </c>
      <c r="I440" s="1" t="str">
        <f>IFERROR(IF(A440="","",E440*#REF!),"")</f>
        <v/>
      </c>
    </row>
    <row r="441" spans="2:9" x14ac:dyDescent="0.3">
      <c r="B441" t="str">
        <f>IFERROR(IF(A441="","",VLOOKUP(A441,CadProd!$A:$B,2,0)),"")</f>
        <v/>
      </c>
      <c r="C441" t="str">
        <f>IFERROR(IF(A441="","",VLOOKUP(A441,CadProd!$A:$C,3,0)),"")</f>
        <v/>
      </c>
      <c r="I441" s="1" t="str">
        <f>IFERROR(IF(A441="","",E441*#REF!),"")</f>
        <v/>
      </c>
    </row>
    <row r="442" spans="2:9" x14ac:dyDescent="0.3">
      <c r="B442" t="str">
        <f>IFERROR(IF(A442="","",VLOOKUP(A442,CadProd!$A:$B,2,0)),"")</f>
        <v/>
      </c>
      <c r="C442" t="str">
        <f>IFERROR(IF(A442="","",VLOOKUP(A442,CadProd!$A:$C,3,0)),"")</f>
        <v/>
      </c>
      <c r="I442" s="1" t="str">
        <f>IFERROR(IF(A442="","",E442*#REF!),"")</f>
        <v/>
      </c>
    </row>
    <row r="443" spans="2:9" x14ac:dyDescent="0.3">
      <c r="B443" t="str">
        <f>IFERROR(IF(A443="","",VLOOKUP(A443,CadProd!$A:$B,2,0)),"")</f>
        <v/>
      </c>
      <c r="C443" t="str">
        <f>IFERROR(IF(A443="","",VLOOKUP(A443,CadProd!$A:$C,3,0)),"")</f>
        <v/>
      </c>
      <c r="I443" s="1" t="str">
        <f>IFERROR(IF(A443="","",E443*#REF!),"")</f>
        <v/>
      </c>
    </row>
    <row r="444" spans="2:9" x14ac:dyDescent="0.3">
      <c r="B444" t="str">
        <f>IFERROR(IF(A444="","",VLOOKUP(A444,CadProd!$A:$B,2,0)),"")</f>
        <v/>
      </c>
      <c r="C444" t="str">
        <f>IFERROR(IF(A444="","",VLOOKUP(A444,CadProd!$A:$C,3,0)),"")</f>
        <v/>
      </c>
      <c r="I444" s="1" t="str">
        <f>IFERROR(IF(A444="","",E444*#REF!),"")</f>
        <v/>
      </c>
    </row>
    <row r="445" spans="2:9" x14ac:dyDescent="0.3">
      <c r="B445" t="str">
        <f>IFERROR(IF(A445="","",VLOOKUP(A445,CadProd!$A:$B,2,0)),"")</f>
        <v/>
      </c>
      <c r="C445" t="str">
        <f>IFERROR(IF(A445="","",VLOOKUP(A445,CadProd!$A:$C,3,0)),"")</f>
        <v/>
      </c>
      <c r="I445" s="1" t="str">
        <f>IFERROR(IF(A445="","",E445*#REF!),"")</f>
        <v/>
      </c>
    </row>
    <row r="446" spans="2:9" x14ac:dyDescent="0.3">
      <c r="B446" t="str">
        <f>IFERROR(IF(A446="","",VLOOKUP(A446,CadProd!$A:$B,2,0)),"")</f>
        <v/>
      </c>
      <c r="C446" t="str">
        <f>IFERROR(IF(A446="","",VLOOKUP(A446,CadProd!$A:$C,3,0)),"")</f>
        <v/>
      </c>
      <c r="I446" s="1" t="str">
        <f>IFERROR(IF(A446="","",E446*#REF!),"")</f>
        <v/>
      </c>
    </row>
    <row r="447" spans="2:9" x14ac:dyDescent="0.3">
      <c r="B447" t="str">
        <f>IFERROR(IF(A447="","",VLOOKUP(A447,CadProd!$A:$B,2,0)),"")</f>
        <v/>
      </c>
      <c r="C447" t="str">
        <f>IFERROR(IF(A447="","",VLOOKUP(A447,CadProd!$A:$C,3,0)),"")</f>
        <v/>
      </c>
      <c r="I447" s="1" t="str">
        <f>IFERROR(IF(A447="","",E447*#REF!),"")</f>
        <v/>
      </c>
    </row>
    <row r="448" spans="2:9" x14ac:dyDescent="0.3">
      <c r="B448" t="str">
        <f>IFERROR(IF(A448="","",VLOOKUP(A448,CadProd!$A:$B,2,0)),"")</f>
        <v/>
      </c>
      <c r="C448" t="str">
        <f>IFERROR(IF(A448="","",VLOOKUP(A448,CadProd!$A:$C,3,0)),"")</f>
        <v/>
      </c>
      <c r="I448" s="1" t="str">
        <f>IFERROR(IF(A448="","",E448*#REF!),"")</f>
        <v/>
      </c>
    </row>
    <row r="449" spans="2:9" x14ac:dyDescent="0.3">
      <c r="B449" t="str">
        <f>IFERROR(IF(A449="","",VLOOKUP(A449,CadProd!$A:$B,2,0)),"")</f>
        <v/>
      </c>
      <c r="C449" t="str">
        <f>IFERROR(IF(A449="","",VLOOKUP(A449,CadProd!$A:$C,3,0)),"")</f>
        <v/>
      </c>
      <c r="I449" s="1" t="str">
        <f>IFERROR(IF(A449="","",E449*#REF!),"")</f>
        <v/>
      </c>
    </row>
    <row r="450" spans="2:9" x14ac:dyDescent="0.3">
      <c r="B450" t="str">
        <f>IFERROR(IF(A450="","",VLOOKUP(A450,CadProd!$A:$B,2,0)),"")</f>
        <v/>
      </c>
      <c r="C450" t="str">
        <f>IFERROR(IF(A450="","",VLOOKUP(A450,CadProd!$A:$C,3,0)),"")</f>
        <v/>
      </c>
      <c r="I450" s="1" t="str">
        <f>IFERROR(IF(A450="","",E450*#REF!),"")</f>
        <v/>
      </c>
    </row>
    <row r="451" spans="2:9" x14ac:dyDescent="0.3">
      <c r="B451" t="str">
        <f>IFERROR(IF(A451="","",VLOOKUP(A451,CadProd!$A:$B,2,0)),"")</f>
        <v/>
      </c>
      <c r="C451" t="str">
        <f>IFERROR(IF(A451="","",VLOOKUP(A451,CadProd!$A:$C,3,0)),"")</f>
        <v/>
      </c>
      <c r="I451" s="1" t="str">
        <f>IFERROR(IF(A451="","",E451*#REF!),"")</f>
        <v/>
      </c>
    </row>
    <row r="452" spans="2:9" x14ac:dyDescent="0.3">
      <c r="B452" t="str">
        <f>IFERROR(IF(A452="","",VLOOKUP(A452,CadProd!$A:$B,2,0)),"")</f>
        <v/>
      </c>
      <c r="C452" t="str">
        <f>IFERROR(IF(A452="","",VLOOKUP(A452,CadProd!$A:$C,3,0)),"")</f>
        <v/>
      </c>
      <c r="I452" s="1" t="str">
        <f>IFERROR(IF(A452="","",E452*#REF!),"")</f>
        <v/>
      </c>
    </row>
    <row r="453" spans="2:9" x14ac:dyDescent="0.3">
      <c r="B453" t="str">
        <f>IFERROR(IF(A453="","",VLOOKUP(A453,CadProd!$A:$B,2,0)),"")</f>
        <v/>
      </c>
      <c r="C453" t="str">
        <f>IFERROR(IF(A453="","",VLOOKUP(A453,CadProd!$A:$C,3,0)),"")</f>
        <v/>
      </c>
      <c r="I453" s="1" t="str">
        <f>IFERROR(IF(A453="","",E453*#REF!),"")</f>
        <v/>
      </c>
    </row>
    <row r="454" spans="2:9" x14ac:dyDescent="0.3">
      <c r="B454" t="str">
        <f>IFERROR(IF(A454="","",VLOOKUP(A454,CadProd!$A:$B,2,0)),"")</f>
        <v/>
      </c>
      <c r="C454" t="str">
        <f>IFERROR(IF(A454="","",VLOOKUP(A454,CadProd!$A:$C,3,0)),"")</f>
        <v/>
      </c>
      <c r="I454" s="1" t="str">
        <f>IFERROR(IF(A454="","",E454*#REF!),"")</f>
        <v/>
      </c>
    </row>
    <row r="455" spans="2:9" x14ac:dyDescent="0.3">
      <c r="B455" t="str">
        <f>IFERROR(IF(A455="","",VLOOKUP(A455,CadProd!$A:$B,2,0)),"")</f>
        <v/>
      </c>
      <c r="C455" t="str">
        <f>IFERROR(IF(A455="","",VLOOKUP(A455,CadProd!$A:$C,3,0)),"")</f>
        <v/>
      </c>
      <c r="I455" s="1" t="str">
        <f>IFERROR(IF(A455="","",E455*#REF!),"")</f>
        <v/>
      </c>
    </row>
    <row r="456" spans="2:9" x14ac:dyDescent="0.3">
      <c r="B456" t="str">
        <f>IFERROR(IF(A456="","",VLOOKUP(A456,CadProd!$A:$B,2,0)),"")</f>
        <v/>
      </c>
      <c r="C456" t="str">
        <f>IFERROR(IF(A456="","",VLOOKUP(A456,CadProd!$A:$C,3,0)),"")</f>
        <v/>
      </c>
      <c r="I456" s="1" t="str">
        <f>IFERROR(IF(A456="","",E456*#REF!),"")</f>
        <v/>
      </c>
    </row>
    <row r="457" spans="2:9" x14ac:dyDescent="0.3">
      <c r="B457" t="str">
        <f>IFERROR(IF(A457="","",VLOOKUP(A457,CadProd!$A:$B,2,0)),"")</f>
        <v/>
      </c>
      <c r="C457" t="str">
        <f>IFERROR(IF(A457="","",VLOOKUP(A457,CadProd!$A:$C,3,0)),"")</f>
        <v/>
      </c>
      <c r="I457" s="1" t="str">
        <f>IFERROR(IF(A457="","",E457*#REF!),"")</f>
        <v/>
      </c>
    </row>
    <row r="458" spans="2:9" x14ac:dyDescent="0.3">
      <c r="B458" t="str">
        <f>IFERROR(IF(A458="","",VLOOKUP(A458,CadProd!$A:$B,2,0)),"")</f>
        <v/>
      </c>
      <c r="C458" t="str">
        <f>IFERROR(IF(A458="","",VLOOKUP(A458,CadProd!$A:$C,3,0)),"")</f>
        <v/>
      </c>
      <c r="I458" s="1" t="str">
        <f>IFERROR(IF(A458="","",E458*#REF!),"")</f>
        <v/>
      </c>
    </row>
    <row r="459" spans="2:9" x14ac:dyDescent="0.3">
      <c r="B459" t="str">
        <f>IFERROR(IF(A459="","",VLOOKUP(A459,CadProd!$A:$B,2,0)),"")</f>
        <v/>
      </c>
      <c r="C459" t="str">
        <f>IFERROR(IF(A459="","",VLOOKUP(A459,CadProd!$A:$C,3,0)),"")</f>
        <v/>
      </c>
      <c r="I459" s="1" t="str">
        <f>IFERROR(IF(A459="","",E459*#REF!),"")</f>
        <v/>
      </c>
    </row>
    <row r="460" spans="2:9" x14ac:dyDescent="0.3">
      <c r="B460" t="str">
        <f>IFERROR(IF(A460="","",VLOOKUP(A460,CadProd!$A:$B,2,0)),"")</f>
        <v/>
      </c>
      <c r="C460" t="str">
        <f>IFERROR(IF(A460="","",VLOOKUP(A460,CadProd!$A:$C,3,0)),"")</f>
        <v/>
      </c>
      <c r="I460" s="1" t="str">
        <f>IFERROR(IF(A460="","",E460*#REF!),"")</f>
        <v/>
      </c>
    </row>
    <row r="461" spans="2:9" x14ac:dyDescent="0.3">
      <c r="B461" t="str">
        <f>IFERROR(IF(A461="","",VLOOKUP(A461,CadProd!$A:$B,2,0)),"")</f>
        <v/>
      </c>
      <c r="C461" t="str">
        <f>IFERROR(IF(A461="","",VLOOKUP(A461,CadProd!$A:$C,3,0)),"")</f>
        <v/>
      </c>
      <c r="I461" s="1" t="str">
        <f>IFERROR(IF(A461="","",E461*#REF!),"")</f>
        <v/>
      </c>
    </row>
    <row r="462" spans="2:9" x14ac:dyDescent="0.3">
      <c r="B462" t="str">
        <f>IFERROR(IF(A462="","",VLOOKUP(A462,CadProd!$A:$B,2,0)),"")</f>
        <v/>
      </c>
      <c r="C462" t="str">
        <f>IFERROR(IF(A462="","",VLOOKUP(A462,CadProd!$A:$C,3,0)),"")</f>
        <v/>
      </c>
      <c r="I462" s="1" t="str">
        <f>IFERROR(IF(A462="","",E462*#REF!),"")</f>
        <v/>
      </c>
    </row>
    <row r="463" spans="2:9" x14ac:dyDescent="0.3">
      <c r="B463" t="str">
        <f>IFERROR(IF(A463="","",VLOOKUP(A463,CadProd!$A:$B,2,0)),"")</f>
        <v/>
      </c>
      <c r="C463" t="str">
        <f>IFERROR(IF(A463="","",VLOOKUP(A463,CadProd!$A:$C,3,0)),"")</f>
        <v/>
      </c>
      <c r="I463" s="1" t="str">
        <f>IFERROR(IF(A463="","",E463*#REF!),"")</f>
        <v/>
      </c>
    </row>
    <row r="464" spans="2:9" x14ac:dyDescent="0.3">
      <c r="B464" t="str">
        <f>IFERROR(IF(A464="","",VLOOKUP(A464,CadProd!$A:$B,2,0)),"")</f>
        <v/>
      </c>
      <c r="C464" t="str">
        <f>IFERROR(IF(A464="","",VLOOKUP(A464,CadProd!$A:$C,3,0)),"")</f>
        <v/>
      </c>
      <c r="I464" s="1" t="str">
        <f>IFERROR(IF(A464="","",E464*#REF!),"")</f>
        <v/>
      </c>
    </row>
    <row r="465" spans="2:9" x14ac:dyDescent="0.3">
      <c r="B465" t="str">
        <f>IFERROR(IF(A465="","",VLOOKUP(A465,CadProd!$A:$B,2,0)),"")</f>
        <v/>
      </c>
      <c r="C465" t="str">
        <f>IFERROR(IF(A465="","",VLOOKUP(A465,CadProd!$A:$C,3,0)),"")</f>
        <v/>
      </c>
      <c r="I465" s="1" t="str">
        <f>IFERROR(IF(A465="","",E465*#REF!),"")</f>
        <v/>
      </c>
    </row>
    <row r="466" spans="2:9" x14ac:dyDescent="0.3">
      <c r="B466" t="str">
        <f>IFERROR(IF(A466="","",VLOOKUP(A466,CadProd!$A:$B,2,0)),"")</f>
        <v/>
      </c>
      <c r="C466" t="str">
        <f>IFERROR(IF(A466="","",VLOOKUP(A466,CadProd!$A:$C,3,0)),"")</f>
        <v/>
      </c>
      <c r="I466" s="1" t="str">
        <f>IFERROR(IF(A466="","",E466*#REF!),"")</f>
        <v/>
      </c>
    </row>
    <row r="467" spans="2:9" x14ac:dyDescent="0.3">
      <c r="B467" t="str">
        <f>IFERROR(IF(A467="","",VLOOKUP(A467,CadProd!$A:$B,2,0)),"")</f>
        <v/>
      </c>
      <c r="C467" t="str">
        <f>IFERROR(IF(A467="","",VLOOKUP(A467,CadProd!$A:$C,3,0)),"")</f>
        <v/>
      </c>
      <c r="I467" s="1" t="str">
        <f>IFERROR(IF(A467="","",E467*#REF!),"")</f>
        <v/>
      </c>
    </row>
    <row r="468" spans="2:9" x14ac:dyDescent="0.3">
      <c r="B468" t="str">
        <f>IFERROR(IF(A468="","",VLOOKUP(A468,CadProd!$A:$B,2,0)),"")</f>
        <v/>
      </c>
      <c r="C468" t="str">
        <f>IFERROR(IF(A468="","",VLOOKUP(A468,CadProd!$A:$C,3,0)),"")</f>
        <v/>
      </c>
      <c r="I468" s="1" t="str">
        <f>IFERROR(IF(A468="","",E468*#REF!),"")</f>
        <v/>
      </c>
    </row>
    <row r="469" spans="2:9" x14ac:dyDescent="0.3">
      <c r="B469" t="str">
        <f>IFERROR(IF(A469="","",VLOOKUP(A469,CadProd!$A:$B,2,0)),"")</f>
        <v/>
      </c>
      <c r="C469" t="str">
        <f>IFERROR(IF(A469="","",VLOOKUP(A469,CadProd!$A:$C,3,0)),"")</f>
        <v/>
      </c>
      <c r="I469" s="1" t="str">
        <f>IFERROR(IF(A469="","",E469*#REF!),"")</f>
        <v/>
      </c>
    </row>
    <row r="470" spans="2:9" x14ac:dyDescent="0.3">
      <c r="B470" t="str">
        <f>IFERROR(IF(A470="","",VLOOKUP(A470,CadProd!$A:$B,2,0)),"")</f>
        <v/>
      </c>
      <c r="C470" t="str">
        <f>IFERROR(IF(A470="","",VLOOKUP(A470,CadProd!$A:$C,3,0)),"")</f>
        <v/>
      </c>
      <c r="I470" s="1" t="str">
        <f>IFERROR(IF(A470="","",E470*#REF!),"")</f>
        <v/>
      </c>
    </row>
    <row r="471" spans="2:9" x14ac:dyDescent="0.3">
      <c r="B471" t="str">
        <f>IFERROR(IF(A471="","",VLOOKUP(A471,CadProd!$A:$B,2,0)),"")</f>
        <v/>
      </c>
      <c r="C471" t="str">
        <f>IFERROR(IF(A471="","",VLOOKUP(A471,CadProd!$A:$C,3,0)),"")</f>
        <v/>
      </c>
      <c r="I471" s="1" t="str">
        <f>IFERROR(IF(A471="","",E471*#REF!),"")</f>
        <v/>
      </c>
    </row>
    <row r="472" spans="2:9" x14ac:dyDescent="0.3">
      <c r="B472" t="str">
        <f>IFERROR(IF(A472="","",VLOOKUP(A472,CadProd!$A:$B,2,0)),"")</f>
        <v/>
      </c>
      <c r="C472" t="str">
        <f>IFERROR(IF(A472="","",VLOOKUP(A472,CadProd!$A:$C,3,0)),"")</f>
        <v/>
      </c>
      <c r="I472" s="1" t="str">
        <f>IFERROR(IF(A472="","",E472*#REF!),"")</f>
        <v/>
      </c>
    </row>
    <row r="473" spans="2:9" x14ac:dyDescent="0.3">
      <c r="B473" t="str">
        <f>IFERROR(IF(A473="","",VLOOKUP(A473,CadProd!$A:$B,2,0)),"")</f>
        <v/>
      </c>
      <c r="C473" t="str">
        <f>IFERROR(IF(A473="","",VLOOKUP(A473,CadProd!$A:$C,3,0)),"")</f>
        <v/>
      </c>
      <c r="I473" s="1" t="str">
        <f>IFERROR(IF(A473="","",E473*#REF!),"")</f>
        <v/>
      </c>
    </row>
    <row r="474" spans="2:9" x14ac:dyDescent="0.3">
      <c r="B474" t="str">
        <f>IFERROR(IF(A474="","",VLOOKUP(A474,CadProd!$A:$B,2,0)),"")</f>
        <v/>
      </c>
      <c r="C474" t="str">
        <f>IFERROR(IF(A474="","",VLOOKUP(A474,CadProd!$A:$C,3,0)),"")</f>
        <v/>
      </c>
      <c r="I474" s="1" t="str">
        <f>IFERROR(IF(A474="","",E474*#REF!),"")</f>
        <v/>
      </c>
    </row>
    <row r="475" spans="2:9" x14ac:dyDescent="0.3">
      <c r="B475" t="str">
        <f>IFERROR(IF(A475="","",VLOOKUP(A475,CadProd!$A:$B,2,0)),"")</f>
        <v/>
      </c>
      <c r="C475" t="str">
        <f>IFERROR(IF(A475="","",VLOOKUP(A475,CadProd!$A:$C,3,0)),"")</f>
        <v/>
      </c>
      <c r="I475" s="1" t="str">
        <f>IFERROR(IF(A475="","",E475*#REF!),"")</f>
        <v/>
      </c>
    </row>
    <row r="476" spans="2:9" x14ac:dyDescent="0.3">
      <c r="B476" t="str">
        <f>IFERROR(IF(A476="","",VLOOKUP(A476,CadProd!$A:$B,2,0)),"")</f>
        <v/>
      </c>
      <c r="C476" t="str">
        <f>IFERROR(IF(A476="","",VLOOKUP(A476,CadProd!$A:$C,3,0)),"")</f>
        <v/>
      </c>
      <c r="I476" s="1" t="str">
        <f>IFERROR(IF(A476="","",E476*#REF!),"")</f>
        <v/>
      </c>
    </row>
    <row r="477" spans="2:9" x14ac:dyDescent="0.3">
      <c r="B477" t="str">
        <f>IFERROR(IF(A477="","",VLOOKUP(A477,CadProd!$A:$B,2,0)),"")</f>
        <v/>
      </c>
      <c r="C477" t="str">
        <f>IFERROR(IF(A477="","",VLOOKUP(A477,CadProd!$A:$C,3,0)),"")</f>
        <v/>
      </c>
      <c r="I477" s="1" t="str">
        <f>IFERROR(IF(A477="","",E477*#REF!),"")</f>
        <v/>
      </c>
    </row>
    <row r="478" spans="2:9" x14ac:dyDescent="0.3">
      <c r="B478" t="str">
        <f>IFERROR(IF(A478="","",VLOOKUP(A478,CadProd!$A:$B,2,0)),"")</f>
        <v/>
      </c>
      <c r="C478" t="str">
        <f>IFERROR(IF(A478="","",VLOOKUP(A478,CadProd!$A:$C,3,0)),"")</f>
        <v/>
      </c>
      <c r="I478" s="1" t="str">
        <f>IFERROR(IF(A478="","",E478*#REF!),"")</f>
        <v/>
      </c>
    </row>
    <row r="479" spans="2:9" x14ac:dyDescent="0.3">
      <c r="B479" t="str">
        <f>IFERROR(IF(A479="","",VLOOKUP(A479,CadProd!$A:$B,2,0)),"")</f>
        <v/>
      </c>
      <c r="C479" t="str">
        <f>IFERROR(IF(A479="","",VLOOKUP(A479,CadProd!$A:$C,3,0)),"")</f>
        <v/>
      </c>
      <c r="I479" s="1" t="str">
        <f>IFERROR(IF(A479="","",E479*#REF!),"")</f>
        <v/>
      </c>
    </row>
    <row r="480" spans="2:9" x14ac:dyDescent="0.3">
      <c r="B480" t="str">
        <f>IFERROR(IF(A480="","",VLOOKUP(A480,CadProd!$A:$B,2,0)),"")</f>
        <v/>
      </c>
      <c r="C480" t="str">
        <f>IFERROR(IF(A480="","",VLOOKUP(A480,CadProd!$A:$C,3,0)),"")</f>
        <v/>
      </c>
      <c r="I480" s="1" t="str">
        <f>IFERROR(IF(A480="","",E480*#REF!),"")</f>
        <v/>
      </c>
    </row>
    <row r="481" spans="2:9" x14ac:dyDescent="0.3">
      <c r="B481" t="str">
        <f>IFERROR(IF(A481="","",VLOOKUP(A481,CadProd!$A:$B,2,0)),"")</f>
        <v/>
      </c>
      <c r="C481" t="str">
        <f>IFERROR(IF(A481="","",VLOOKUP(A481,CadProd!$A:$C,3,0)),"")</f>
        <v/>
      </c>
      <c r="I481" s="1" t="str">
        <f>IFERROR(IF(A481="","",E481*#REF!),"")</f>
        <v/>
      </c>
    </row>
    <row r="482" spans="2:9" x14ac:dyDescent="0.3">
      <c r="B482" t="str">
        <f>IFERROR(IF(A482="","",VLOOKUP(A482,CadProd!$A:$B,2,0)),"")</f>
        <v/>
      </c>
      <c r="C482" t="str">
        <f>IFERROR(IF(A482="","",VLOOKUP(A482,CadProd!$A:$C,3,0)),"")</f>
        <v/>
      </c>
      <c r="I482" s="1" t="str">
        <f>IFERROR(IF(A482="","",E482*#REF!),"")</f>
        <v/>
      </c>
    </row>
    <row r="483" spans="2:9" x14ac:dyDescent="0.3">
      <c r="B483" t="str">
        <f>IFERROR(IF(A483="","",VLOOKUP(A483,CadProd!$A:$B,2,0)),"")</f>
        <v/>
      </c>
      <c r="C483" t="str">
        <f>IFERROR(IF(A483="","",VLOOKUP(A483,CadProd!$A:$C,3,0)),"")</f>
        <v/>
      </c>
      <c r="I483" s="1" t="str">
        <f>IFERROR(IF(A483="","",E483*#REF!),"")</f>
        <v/>
      </c>
    </row>
    <row r="484" spans="2:9" x14ac:dyDescent="0.3">
      <c r="B484" t="str">
        <f>IFERROR(IF(A484="","",VLOOKUP(A484,CadProd!$A:$B,2,0)),"")</f>
        <v/>
      </c>
      <c r="C484" t="str">
        <f>IFERROR(IF(A484="","",VLOOKUP(A484,CadProd!$A:$C,3,0)),"")</f>
        <v/>
      </c>
      <c r="I484" s="1" t="str">
        <f>IFERROR(IF(A484="","",E484*#REF!),"")</f>
        <v/>
      </c>
    </row>
    <row r="485" spans="2:9" x14ac:dyDescent="0.3">
      <c r="B485" t="str">
        <f>IFERROR(IF(A485="","",VLOOKUP(A485,CadProd!$A:$B,2,0)),"")</f>
        <v/>
      </c>
      <c r="C485" t="str">
        <f>IFERROR(IF(A485="","",VLOOKUP(A485,CadProd!$A:$C,3,0)),"")</f>
        <v/>
      </c>
      <c r="I485" s="1" t="str">
        <f>IFERROR(IF(A485="","",E485*#REF!),"")</f>
        <v/>
      </c>
    </row>
    <row r="486" spans="2:9" x14ac:dyDescent="0.3">
      <c r="B486" t="str">
        <f>IFERROR(IF(A486="","",VLOOKUP(A486,CadProd!$A:$B,2,0)),"")</f>
        <v/>
      </c>
      <c r="C486" t="str">
        <f>IFERROR(IF(A486="","",VLOOKUP(A486,CadProd!$A:$C,3,0)),"")</f>
        <v/>
      </c>
      <c r="I486" s="1" t="str">
        <f>IFERROR(IF(A486="","",E486*#REF!),"")</f>
        <v/>
      </c>
    </row>
    <row r="487" spans="2:9" x14ac:dyDescent="0.3">
      <c r="B487" t="str">
        <f>IFERROR(IF(A487="","",VLOOKUP(A487,CadProd!$A:$B,2,0)),"")</f>
        <v/>
      </c>
      <c r="C487" t="str">
        <f>IFERROR(IF(A487="","",VLOOKUP(A487,CadProd!$A:$C,3,0)),"")</f>
        <v/>
      </c>
      <c r="I487" s="1" t="str">
        <f>IFERROR(IF(A487="","",E487*#REF!),"")</f>
        <v/>
      </c>
    </row>
    <row r="488" spans="2:9" x14ac:dyDescent="0.3">
      <c r="B488" t="str">
        <f>IFERROR(IF(A488="","",VLOOKUP(A488,CadProd!$A:$B,2,0)),"")</f>
        <v/>
      </c>
      <c r="C488" t="str">
        <f>IFERROR(IF(A488="","",VLOOKUP(A488,CadProd!$A:$C,3,0)),"")</f>
        <v/>
      </c>
      <c r="I488" s="1" t="str">
        <f>IFERROR(IF(A488="","",E488*#REF!),"")</f>
        <v/>
      </c>
    </row>
    <row r="489" spans="2:9" x14ac:dyDescent="0.3">
      <c r="B489" t="str">
        <f>IFERROR(IF(A489="","",VLOOKUP(A489,CadProd!$A:$B,2,0)),"")</f>
        <v/>
      </c>
      <c r="C489" t="str">
        <f>IFERROR(IF(A489="","",VLOOKUP(A489,CadProd!$A:$C,3,0)),"")</f>
        <v/>
      </c>
      <c r="I489" s="1" t="str">
        <f>IFERROR(IF(A489="","",E489*#REF!),"")</f>
        <v/>
      </c>
    </row>
    <row r="490" spans="2:9" x14ac:dyDescent="0.3">
      <c r="B490" t="str">
        <f>IFERROR(IF(A490="","",VLOOKUP(A490,CadProd!$A:$B,2,0)),"")</f>
        <v/>
      </c>
      <c r="C490" t="str">
        <f>IFERROR(IF(A490="","",VLOOKUP(A490,CadProd!$A:$C,3,0)),"")</f>
        <v/>
      </c>
      <c r="I490" s="1" t="str">
        <f>IFERROR(IF(A490="","",E490*#REF!),"")</f>
        <v/>
      </c>
    </row>
    <row r="491" spans="2:9" x14ac:dyDescent="0.3">
      <c r="B491" t="str">
        <f>IFERROR(IF(A491="","",VLOOKUP(A491,CadProd!$A:$B,2,0)),"")</f>
        <v/>
      </c>
      <c r="C491" t="str">
        <f>IFERROR(IF(A491="","",VLOOKUP(A491,CadProd!$A:$C,3,0)),"")</f>
        <v/>
      </c>
      <c r="I491" s="1" t="str">
        <f>IFERROR(IF(A491="","",E491*#REF!),"")</f>
        <v/>
      </c>
    </row>
    <row r="492" spans="2:9" x14ac:dyDescent="0.3">
      <c r="B492" t="str">
        <f>IFERROR(IF(A492="","",VLOOKUP(A492,CadProd!$A:$B,2,0)),"")</f>
        <v/>
      </c>
      <c r="C492" t="str">
        <f>IFERROR(IF(A492="","",VLOOKUP(A492,CadProd!$A:$C,3,0)),"")</f>
        <v/>
      </c>
      <c r="I492" s="1" t="str">
        <f>IFERROR(IF(A492="","",E492*#REF!),"")</f>
        <v/>
      </c>
    </row>
    <row r="493" spans="2:9" x14ac:dyDescent="0.3">
      <c r="B493" t="str">
        <f>IFERROR(IF(A493="","",VLOOKUP(A493,CadProd!$A:$B,2,0)),"")</f>
        <v/>
      </c>
      <c r="C493" t="str">
        <f>IFERROR(IF(A493="","",VLOOKUP(A493,CadProd!$A:$C,3,0)),"")</f>
        <v/>
      </c>
      <c r="I493" s="1" t="str">
        <f>IFERROR(IF(A493="","",E493*#REF!),"")</f>
        <v/>
      </c>
    </row>
    <row r="494" spans="2:9" x14ac:dyDescent="0.3">
      <c r="B494" t="str">
        <f>IFERROR(IF(A494="","",VLOOKUP(A494,CadProd!$A:$B,2,0)),"")</f>
        <v/>
      </c>
      <c r="C494" t="str">
        <f>IFERROR(IF(A494="","",VLOOKUP(A494,CadProd!$A:$C,3,0)),"")</f>
        <v/>
      </c>
      <c r="I494" s="1" t="str">
        <f>IFERROR(IF(A494="","",E494*#REF!),"")</f>
        <v/>
      </c>
    </row>
    <row r="495" spans="2:9" x14ac:dyDescent="0.3">
      <c r="B495" t="str">
        <f>IFERROR(IF(A495="","",VLOOKUP(A495,CadProd!$A:$B,2,0)),"")</f>
        <v/>
      </c>
      <c r="C495" t="str">
        <f>IFERROR(IF(A495="","",VLOOKUP(A495,CadProd!$A:$C,3,0)),"")</f>
        <v/>
      </c>
      <c r="I495" s="1" t="str">
        <f>IFERROR(IF(A495="","",E495*#REF!),"")</f>
        <v/>
      </c>
    </row>
    <row r="496" spans="2:9" x14ac:dyDescent="0.3">
      <c r="B496" t="str">
        <f>IFERROR(IF(A496="","",VLOOKUP(A496,CadProd!$A:$B,2,0)),"")</f>
        <v/>
      </c>
      <c r="C496" t="str">
        <f>IFERROR(IF(A496="","",VLOOKUP(A496,CadProd!$A:$C,3,0)),"")</f>
        <v/>
      </c>
      <c r="I496" s="1" t="str">
        <f>IFERROR(IF(A496="","",E496*#REF!),"")</f>
        <v/>
      </c>
    </row>
    <row r="497" spans="2:9" x14ac:dyDescent="0.3">
      <c r="B497" t="str">
        <f>IFERROR(IF(A497="","",VLOOKUP(A497,CadProd!$A:$B,2,0)),"")</f>
        <v/>
      </c>
      <c r="C497" t="str">
        <f>IFERROR(IF(A497="","",VLOOKUP(A497,CadProd!$A:$C,3,0)),"")</f>
        <v/>
      </c>
      <c r="I497" s="1" t="str">
        <f>IFERROR(IF(A497="","",E497*#REF!),"")</f>
        <v/>
      </c>
    </row>
    <row r="498" spans="2:9" x14ac:dyDescent="0.3">
      <c r="B498" t="str">
        <f>IFERROR(IF(A498="","",VLOOKUP(A498,CadProd!$A:$B,2,0)),"")</f>
        <v/>
      </c>
      <c r="C498" t="str">
        <f>IFERROR(IF(A498="","",VLOOKUP(A498,CadProd!$A:$C,3,0)),"")</f>
        <v/>
      </c>
      <c r="I498" s="1" t="str">
        <f>IFERROR(IF(A498="","",E498*#REF!),"")</f>
        <v/>
      </c>
    </row>
    <row r="499" spans="2:9" x14ac:dyDescent="0.3">
      <c r="B499" t="str">
        <f>IFERROR(IF(A499="","",VLOOKUP(A499,CadProd!$A:$B,2,0)),"")</f>
        <v/>
      </c>
      <c r="C499" t="str">
        <f>IFERROR(IF(A499="","",VLOOKUP(A499,CadProd!$A:$C,3,0)),"")</f>
        <v/>
      </c>
      <c r="I499" s="1" t="str">
        <f>IFERROR(IF(A499="","",E499*#REF!),"")</f>
        <v/>
      </c>
    </row>
    <row r="500" spans="2:9" x14ac:dyDescent="0.3">
      <c r="B500" t="str">
        <f>IFERROR(IF(A500="","",VLOOKUP(A500,CadProd!$A:$B,2,0)),"")</f>
        <v/>
      </c>
      <c r="C500" t="str">
        <f>IFERROR(IF(A500="","",VLOOKUP(A500,CadProd!$A:$C,3,0)),"")</f>
        <v/>
      </c>
      <c r="I500" s="1" t="str">
        <f>IFERROR(IF(A500="","",E500*#REF!),"")</f>
        <v/>
      </c>
    </row>
    <row r="501" spans="2:9" x14ac:dyDescent="0.3">
      <c r="B501" t="str">
        <f>IFERROR(IF(A501="","",VLOOKUP(A501,CadProd!$A:$B,2,0)),"")</f>
        <v/>
      </c>
      <c r="C501" t="str">
        <f>IFERROR(IF(A501="","",VLOOKUP(A501,CadProd!$A:$C,3,0)),"")</f>
        <v/>
      </c>
      <c r="I501" s="1" t="str">
        <f>IFERROR(IF(A501="","",E501*#REF!),"")</f>
        <v/>
      </c>
    </row>
    <row r="502" spans="2:9" x14ac:dyDescent="0.3">
      <c r="B502" t="str">
        <f>IFERROR(IF(A502="","",VLOOKUP(A502,CadProd!$A:$B,2,0)),"")</f>
        <v/>
      </c>
      <c r="C502" t="str">
        <f>IFERROR(IF(A502="","",VLOOKUP(A502,CadProd!$A:$C,3,0)),"")</f>
        <v/>
      </c>
      <c r="I502" s="1" t="str">
        <f>IFERROR(IF(A502="","",E502*#REF!),"")</f>
        <v/>
      </c>
    </row>
    <row r="503" spans="2:9" x14ac:dyDescent="0.3">
      <c r="B503" t="str">
        <f>IFERROR(IF(A503="","",VLOOKUP(A503,CadProd!$A:$B,2,0)),"")</f>
        <v/>
      </c>
      <c r="C503" t="str">
        <f>IFERROR(IF(A503="","",VLOOKUP(A503,CadProd!$A:$C,3,0)),"")</f>
        <v/>
      </c>
      <c r="I503" s="1" t="str">
        <f>IFERROR(IF(A503="","",E503*#REF!),"")</f>
        <v/>
      </c>
    </row>
    <row r="504" spans="2:9" x14ac:dyDescent="0.3">
      <c r="B504" t="str">
        <f>IFERROR(IF(A504="","",VLOOKUP(A504,CadProd!$A:$B,2,0)),"")</f>
        <v/>
      </c>
      <c r="C504" t="str">
        <f>IFERROR(IF(A504="","",VLOOKUP(A504,CadProd!$A:$C,3,0)),"")</f>
        <v/>
      </c>
      <c r="I504" s="1" t="str">
        <f>IFERROR(IF(A504="","",E504*#REF!),"")</f>
        <v/>
      </c>
    </row>
    <row r="505" spans="2:9" x14ac:dyDescent="0.3">
      <c r="B505" t="str">
        <f>IFERROR(IF(A505="","",VLOOKUP(A505,CadProd!$A:$B,2,0)),"")</f>
        <v/>
      </c>
      <c r="C505" t="str">
        <f>IFERROR(IF(A505="","",VLOOKUP(A505,CadProd!$A:$C,3,0)),"")</f>
        <v/>
      </c>
      <c r="I505" s="1" t="str">
        <f>IFERROR(IF(A505="","",E505*#REF!),"")</f>
        <v/>
      </c>
    </row>
    <row r="506" spans="2:9" x14ac:dyDescent="0.3">
      <c r="B506" t="str">
        <f>IFERROR(IF(A506="","",VLOOKUP(A506,CadProd!$A:$B,2,0)),"")</f>
        <v/>
      </c>
      <c r="C506" t="str">
        <f>IFERROR(IF(A506="","",VLOOKUP(A506,CadProd!$A:$C,3,0)),"")</f>
        <v/>
      </c>
      <c r="I506" s="1" t="str">
        <f>IFERROR(IF(A506="","",E506*#REF!),"")</f>
        <v/>
      </c>
    </row>
    <row r="507" spans="2:9" x14ac:dyDescent="0.3">
      <c r="B507" t="str">
        <f>IFERROR(IF(A507="","",VLOOKUP(A507,CadProd!$A:$B,2,0)),"")</f>
        <v/>
      </c>
      <c r="C507" t="str">
        <f>IFERROR(IF(A507="","",VLOOKUP(A507,CadProd!$A:$C,3,0)),"")</f>
        <v/>
      </c>
      <c r="I507" s="1" t="str">
        <f>IFERROR(IF(A507="","",E507*#REF!),"")</f>
        <v/>
      </c>
    </row>
    <row r="508" spans="2:9" x14ac:dyDescent="0.3">
      <c r="B508" t="str">
        <f>IFERROR(IF(A508="","",VLOOKUP(A508,CadProd!$A:$B,2,0)),"")</f>
        <v/>
      </c>
      <c r="C508" t="str">
        <f>IFERROR(IF(A508="","",VLOOKUP(A508,CadProd!$A:$C,3,0)),"")</f>
        <v/>
      </c>
      <c r="I508" s="1" t="str">
        <f>IFERROR(IF(A508="","",E508*#REF!),"")</f>
        <v/>
      </c>
    </row>
    <row r="509" spans="2:9" x14ac:dyDescent="0.3">
      <c r="B509" t="str">
        <f>IFERROR(IF(A509="","",VLOOKUP(A509,CadProd!$A:$B,2,0)),"")</f>
        <v/>
      </c>
      <c r="C509" t="str">
        <f>IFERROR(IF(A509="","",VLOOKUP(A509,CadProd!$A:$C,3,0)),"")</f>
        <v/>
      </c>
      <c r="I509" s="1" t="str">
        <f>IFERROR(IF(A509="","",E509*#REF!),"")</f>
        <v/>
      </c>
    </row>
    <row r="510" spans="2:9" x14ac:dyDescent="0.3">
      <c r="B510" t="str">
        <f>IFERROR(IF(A510="","",VLOOKUP(A510,CadProd!$A:$B,2,0)),"")</f>
        <v/>
      </c>
      <c r="C510" t="str">
        <f>IFERROR(IF(A510="","",VLOOKUP(A510,CadProd!$A:$C,3,0)),"")</f>
        <v/>
      </c>
      <c r="I510" s="1" t="str">
        <f>IFERROR(IF(A510="","",E510*#REF!),"")</f>
        <v/>
      </c>
    </row>
    <row r="511" spans="2:9" x14ac:dyDescent="0.3">
      <c r="B511" t="str">
        <f>IFERROR(IF(A511="","",VLOOKUP(A511,CadProd!$A:$B,2,0)),"")</f>
        <v/>
      </c>
      <c r="C511" t="str">
        <f>IFERROR(IF(A511="","",VLOOKUP(A511,CadProd!$A:$C,3,0)),"")</f>
        <v/>
      </c>
      <c r="I511" s="1" t="str">
        <f>IFERROR(IF(A511="","",E511*#REF!),"")</f>
        <v/>
      </c>
    </row>
    <row r="512" spans="2:9" x14ac:dyDescent="0.3">
      <c r="B512" t="str">
        <f>IFERROR(IF(A512="","",VLOOKUP(A512,CadProd!$A:$B,2,0)),"")</f>
        <v/>
      </c>
      <c r="C512" t="str">
        <f>IFERROR(IF(A512="","",VLOOKUP(A512,CadProd!$A:$C,3,0)),"")</f>
        <v/>
      </c>
      <c r="I512" s="1" t="str">
        <f>IFERROR(IF(A512="","",E512*#REF!),"")</f>
        <v/>
      </c>
    </row>
    <row r="513" spans="2:9" x14ac:dyDescent="0.3">
      <c r="B513" t="str">
        <f>IFERROR(IF(A513="","",VLOOKUP(A513,CadProd!$A:$B,2,0)),"")</f>
        <v/>
      </c>
      <c r="C513" t="str">
        <f>IFERROR(IF(A513="","",VLOOKUP(A513,CadProd!$A:$C,3,0)),"")</f>
        <v/>
      </c>
      <c r="I513" s="1" t="str">
        <f>IFERROR(IF(A513="","",E513*#REF!),"")</f>
        <v/>
      </c>
    </row>
    <row r="514" spans="2:9" x14ac:dyDescent="0.3">
      <c r="B514" t="str">
        <f>IFERROR(IF(A514="","",VLOOKUP(A514,CadProd!$A:$B,2,0)),"")</f>
        <v/>
      </c>
      <c r="C514" t="str">
        <f>IFERROR(IF(A514="","",VLOOKUP(A514,CadProd!$A:$C,3,0)),"")</f>
        <v/>
      </c>
      <c r="I514" s="1" t="str">
        <f>IFERROR(IF(A514="","",E514*#REF!),"")</f>
        <v/>
      </c>
    </row>
    <row r="515" spans="2:9" x14ac:dyDescent="0.3">
      <c r="B515" t="str">
        <f>IFERROR(IF(A515="","",VLOOKUP(A515,CadProd!$A:$B,2,0)),"")</f>
        <v/>
      </c>
      <c r="C515" t="str">
        <f>IFERROR(IF(A515="","",VLOOKUP(A515,CadProd!$A:$C,3,0)),"")</f>
        <v/>
      </c>
      <c r="I515" s="1" t="str">
        <f>IFERROR(IF(A515="","",E515*#REF!),"")</f>
        <v/>
      </c>
    </row>
    <row r="516" spans="2:9" x14ac:dyDescent="0.3">
      <c r="B516" t="str">
        <f>IFERROR(IF(A516="","",VLOOKUP(A516,CadProd!$A:$B,2,0)),"")</f>
        <v/>
      </c>
      <c r="C516" t="str">
        <f>IFERROR(IF(A516="","",VLOOKUP(A516,CadProd!$A:$C,3,0)),"")</f>
        <v/>
      </c>
      <c r="I516" s="1" t="str">
        <f>IFERROR(IF(A516="","",E516*#REF!),"")</f>
        <v/>
      </c>
    </row>
    <row r="517" spans="2:9" x14ac:dyDescent="0.3">
      <c r="B517" t="str">
        <f>IFERROR(IF(A517="","",VLOOKUP(A517,CadProd!$A:$B,2,0)),"")</f>
        <v/>
      </c>
      <c r="C517" t="str">
        <f>IFERROR(IF(A517="","",VLOOKUP(A517,CadProd!$A:$C,3,0)),"")</f>
        <v/>
      </c>
      <c r="I517" s="1" t="str">
        <f>IFERROR(IF(A517="","",E517*#REF!),"")</f>
        <v/>
      </c>
    </row>
    <row r="518" spans="2:9" x14ac:dyDescent="0.3">
      <c r="B518" t="str">
        <f>IFERROR(IF(A518="","",VLOOKUP(A518,CadProd!$A:$B,2,0)),"")</f>
        <v/>
      </c>
      <c r="C518" t="str">
        <f>IFERROR(IF(A518="","",VLOOKUP(A518,CadProd!$A:$C,3,0)),"")</f>
        <v/>
      </c>
      <c r="I518" s="1" t="str">
        <f>IFERROR(IF(A518="","",E518*#REF!),"")</f>
        <v/>
      </c>
    </row>
    <row r="519" spans="2:9" x14ac:dyDescent="0.3">
      <c r="B519" t="str">
        <f>IFERROR(IF(A519="","",VLOOKUP(A519,CadProd!$A:$B,2,0)),"")</f>
        <v/>
      </c>
      <c r="C519" t="str">
        <f>IFERROR(IF(A519="","",VLOOKUP(A519,CadProd!$A:$C,3,0)),"")</f>
        <v/>
      </c>
      <c r="I519" s="1" t="str">
        <f>IFERROR(IF(A519="","",E519*#REF!),"")</f>
        <v/>
      </c>
    </row>
    <row r="520" spans="2:9" x14ac:dyDescent="0.3">
      <c r="B520" t="str">
        <f>IFERROR(IF(A520="","",VLOOKUP(A520,CadProd!$A:$B,2,0)),"")</f>
        <v/>
      </c>
      <c r="C520" t="str">
        <f>IFERROR(IF(A520="","",VLOOKUP(A520,CadProd!$A:$C,3,0)),"")</f>
        <v/>
      </c>
      <c r="I520" s="1" t="str">
        <f>IFERROR(IF(A520="","",E520*#REF!),"")</f>
        <v/>
      </c>
    </row>
    <row r="521" spans="2:9" x14ac:dyDescent="0.3">
      <c r="B521" t="str">
        <f>IFERROR(IF(A521="","",VLOOKUP(A521,CadProd!$A:$B,2,0)),"")</f>
        <v/>
      </c>
      <c r="C521" t="str">
        <f>IFERROR(IF(A521="","",VLOOKUP(A521,CadProd!$A:$C,3,0)),"")</f>
        <v/>
      </c>
      <c r="I521" s="1" t="str">
        <f>IFERROR(IF(A521="","",E521*#REF!),"")</f>
        <v/>
      </c>
    </row>
    <row r="522" spans="2:9" x14ac:dyDescent="0.3">
      <c r="B522" t="str">
        <f>IFERROR(IF(A522="","",VLOOKUP(A522,CadProd!$A:$B,2,0)),"")</f>
        <v/>
      </c>
      <c r="C522" t="str">
        <f>IFERROR(IF(A522="","",VLOOKUP(A522,CadProd!$A:$C,3,0)),"")</f>
        <v/>
      </c>
      <c r="I522" s="1" t="str">
        <f>IFERROR(IF(A522="","",E522*#REF!),"")</f>
        <v/>
      </c>
    </row>
    <row r="523" spans="2:9" x14ac:dyDescent="0.3">
      <c r="B523" t="str">
        <f>IFERROR(IF(A523="","",VLOOKUP(A523,CadProd!$A:$B,2,0)),"")</f>
        <v/>
      </c>
      <c r="C523" t="str">
        <f>IFERROR(IF(A523="","",VLOOKUP(A523,CadProd!$A:$C,3,0)),"")</f>
        <v/>
      </c>
      <c r="I523" s="1" t="str">
        <f>IFERROR(IF(A523="","",E523*#REF!),"")</f>
        <v/>
      </c>
    </row>
    <row r="524" spans="2:9" x14ac:dyDescent="0.3">
      <c r="B524" t="str">
        <f>IFERROR(IF(A524="","",VLOOKUP(A524,CadProd!$A:$B,2,0)),"")</f>
        <v/>
      </c>
      <c r="C524" t="str">
        <f>IFERROR(IF(A524="","",VLOOKUP(A524,CadProd!$A:$C,3,0)),"")</f>
        <v/>
      </c>
      <c r="I524" s="1" t="str">
        <f>IFERROR(IF(A524="","",E524*#REF!),"")</f>
        <v/>
      </c>
    </row>
    <row r="525" spans="2:9" x14ac:dyDescent="0.3">
      <c r="B525" t="str">
        <f>IFERROR(IF(A525="","",VLOOKUP(A525,CadProd!$A:$B,2,0)),"")</f>
        <v/>
      </c>
      <c r="C525" t="str">
        <f>IFERROR(IF(A525="","",VLOOKUP(A525,CadProd!$A:$C,3,0)),"")</f>
        <v/>
      </c>
      <c r="I525" s="1" t="str">
        <f>IFERROR(IF(A525="","",E525*#REF!),"")</f>
        <v/>
      </c>
    </row>
    <row r="526" spans="2:9" x14ac:dyDescent="0.3">
      <c r="B526" t="str">
        <f>IFERROR(IF(A526="","",VLOOKUP(A526,CadProd!$A:$B,2,0)),"")</f>
        <v/>
      </c>
      <c r="C526" t="str">
        <f>IFERROR(IF(A526="","",VLOOKUP(A526,CadProd!$A:$C,3,0)),"")</f>
        <v/>
      </c>
      <c r="I526" s="1" t="str">
        <f>IFERROR(IF(A526="","",E526*#REF!),"")</f>
        <v/>
      </c>
    </row>
    <row r="527" spans="2:9" x14ac:dyDescent="0.3">
      <c r="B527" t="str">
        <f>IFERROR(IF(A527="","",VLOOKUP(A527,CadProd!$A:$B,2,0)),"")</f>
        <v/>
      </c>
      <c r="C527" t="str">
        <f>IFERROR(IF(A527="","",VLOOKUP(A527,CadProd!$A:$C,3,0)),"")</f>
        <v/>
      </c>
      <c r="I527" s="1" t="str">
        <f>IFERROR(IF(A527="","",E527*#REF!),"")</f>
        <v/>
      </c>
    </row>
    <row r="528" spans="2:9" x14ac:dyDescent="0.3">
      <c r="B528" t="str">
        <f>IFERROR(IF(A528="","",VLOOKUP(A528,CadProd!$A:$B,2,0)),"")</f>
        <v/>
      </c>
      <c r="C528" t="str">
        <f>IFERROR(IF(A528="","",VLOOKUP(A528,CadProd!$A:$C,3,0)),"")</f>
        <v/>
      </c>
      <c r="I528" s="1" t="str">
        <f>IFERROR(IF(A528="","",E528*#REF!),"")</f>
        <v/>
      </c>
    </row>
    <row r="529" spans="2:9" x14ac:dyDescent="0.3">
      <c r="B529" t="str">
        <f>IFERROR(IF(A529="","",VLOOKUP(A529,CadProd!$A:$B,2,0)),"")</f>
        <v/>
      </c>
      <c r="C529" t="str">
        <f>IFERROR(IF(A529="","",VLOOKUP(A529,CadProd!$A:$C,3,0)),"")</f>
        <v/>
      </c>
      <c r="I529" s="1" t="str">
        <f>IFERROR(IF(A529="","",E529*#REF!),"")</f>
        <v/>
      </c>
    </row>
    <row r="530" spans="2:9" x14ac:dyDescent="0.3">
      <c r="B530" t="str">
        <f>IFERROR(IF(A530="","",VLOOKUP(A530,CadProd!$A:$B,2,0)),"")</f>
        <v/>
      </c>
      <c r="C530" t="str">
        <f>IFERROR(IF(A530="","",VLOOKUP(A530,CadProd!$A:$C,3,0)),"")</f>
        <v/>
      </c>
      <c r="I530" s="1" t="str">
        <f>IFERROR(IF(A530="","",E530*#REF!),"")</f>
        <v/>
      </c>
    </row>
    <row r="531" spans="2:9" x14ac:dyDescent="0.3">
      <c r="B531" t="str">
        <f>IFERROR(IF(A531="","",VLOOKUP(A531,CadProd!$A:$B,2,0)),"")</f>
        <v/>
      </c>
      <c r="C531" t="str">
        <f>IFERROR(IF(A531="","",VLOOKUP(A531,CadProd!$A:$C,3,0)),"")</f>
        <v/>
      </c>
      <c r="I531" s="1" t="str">
        <f>IFERROR(IF(A531="","",E531*#REF!),"")</f>
        <v/>
      </c>
    </row>
    <row r="532" spans="2:9" x14ac:dyDescent="0.3">
      <c r="B532" t="str">
        <f>IFERROR(IF(A532="","",VLOOKUP(A532,CadProd!$A:$B,2,0)),"")</f>
        <v/>
      </c>
      <c r="C532" t="str">
        <f>IFERROR(IF(A532="","",VLOOKUP(A532,CadProd!$A:$C,3,0)),"")</f>
        <v/>
      </c>
      <c r="I532" s="1" t="str">
        <f>IFERROR(IF(A532="","",E532*#REF!),"")</f>
        <v/>
      </c>
    </row>
    <row r="533" spans="2:9" x14ac:dyDescent="0.3">
      <c r="B533" t="str">
        <f>IFERROR(IF(A533="","",VLOOKUP(A533,CadProd!$A:$B,2,0)),"")</f>
        <v/>
      </c>
      <c r="C533" t="str">
        <f>IFERROR(IF(A533="","",VLOOKUP(A533,CadProd!$A:$C,3,0)),"")</f>
        <v/>
      </c>
      <c r="I533" s="1" t="str">
        <f>IFERROR(IF(A533="","",E533*#REF!),"")</f>
        <v/>
      </c>
    </row>
    <row r="534" spans="2:9" x14ac:dyDescent="0.3">
      <c r="B534" t="str">
        <f>IFERROR(IF(A534="","",VLOOKUP(A534,CadProd!$A:$B,2,0)),"")</f>
        <v/>
      </c>
      <c r="C534" t="str">
        <f>IFERROR(IF(A534="","",VLOOKUP(A534,CadProd!$A:$C,3,0)),"")</f>
        <v/>
      </c>
      <c r="I534" s="1" t="str">
        <f>IFERROR(IF(A534="","",E534*#REF!),"")</f>
        <v/>
      </c>
    </row>
    <row r="535" spans="2:9" x14ac:dyDescent="0.3">
      <c r="B535" t="str">
        <f>IFERROR(IF(A535="","",VLOOKUP(A535,CadProd!$A:$B,2,0)),"")</f>
        <v/>
      </c>
      <c r="C535" t="str">
        <f>IFERROR(IF(A535="","",VLOOKUP(A535,CadProd!$A:$C,3,0)),"")</f>
        <v/>
      </c>
      <c r="I535" s="1" t="str">
        <f>IFERROR(IF(A535="","",E535*#REF!),"")</f>
        <v/>
      </c>
    </row>
    <row r="536" spans="2:9" x14ac:dyDescent="0.3">
      <c r="B536" t="str">
        <f>IFERROR(IF(A536="","",VLOOKUP(A536,CadProd!$A:$B,2,0)),"")</f>
        <v/>
      </c>
      <c r="C536" t="str">
        <f>IFERROR(IF(A536="","",VLOOKUP(A536,CadProd!$A:$C,3,0)),"")</f>
        <v/>
      </c>
      <c r="I536" s="1" t="str">
        <f>IFERROR(IF(A536="","",E536*#REF!),"")</f>
        <v/>
      </c>
    </row>
    <row r="537" spans="2:9" x14ac:dyDescent="0.3">
      <c r="B537" t="str">
        <f>IFERROR(IF(A537="","",VLOOKUP(A537,CadProd!$A:$B,2,0)),"")</f>
        <v/>
      </c>
      <c r="C537" t="str">
        <f>IFERROR(IF(A537="","",VLOOKUP(A537,CadProd!$A:$C,3,0)),"")</f>
        <v/>
      </c>
      <c r="I537" s="1" t="str">
        <f>IFERROR(IF(A537="","",E537*#REF!),"")</f>
        <v/>
      </c>
    </row>
    <row r="538" spans="2:9" x14ac:dyDescent="0.3">
      <c r="B538" t="str">
        <f>IFERROR(IF(A538="","",VLOOKUP(A538,CadProd!$A:$B,2,0)),"")</f>
        <v/>
      </c>
      <c r="C538" t="str">
        <f>IFERROR(IF(A538="","",VLOOKUP(A538,CadProd!$A:$C,3,0)),"")</f>
        <v/>
      </c>
      <c r="I538" s="1" t="str">
        <f>IFERROR(IF(A538="","",E538*#REF!),"")</f>
        <v/>
      </c>
    </row>
    <row r="539" spans="2:9" x14ac:dyDescent="0.3">
      <c r="B539" t="str">
        <f>IFERROR(IF(A539="","",VLOOKUP(A539,CadProd!$A:$B,2,0)),"")</f>
        <v/>
      </c>
      <c r="C539" t="str">
        <f>IFERROR(IF(A539="","",VLOOKUP(A539,CadProd!$A:$C,3,0)),"")</f>
        <v/>
      </c>
      <c r="I539" s="1" t="str">
        <f>IFERROR(IF(A539="","",E539*#REF!),"")</f>
        <v/>
      </c>
    </row>
    <row r="540" spans="2:9" x14ac:dyDescent="0.3">
      <c r="B540" t="str">
        <f>IFERROR(IF(A540="","",VLOOKUP(A540,CadProd!$A:$B,2,0)),"")</f>
        <v/>
      </c>
      <c r="C540" t="str">
        <f>IFERROR(IF(A540="","",VLOOKUP(A540,CadProd!$A:$C,3,0)),"")</f>
        <v/>
      </c>
      <c r="I540" s="1" t="str">
        <f>IFERROR(IF(A540="","",E540*#REF!),"")</f>
        <v/>
      </c>
    </row>
    <row r="541" spans="2:9" x14ac:dyDescent="0.3">
      <c r="B541" t="str">
        <f>IFERROR(IF(A541="","",VLOOKUP(A541,CadProd!$A:$B,2,0)),"")</f>
        <v/>
      </c>
      <c r="C541" t="str">
        <f>IFERROR(IF(A541="","",VLOOKUP(A541,CadProd!$A:$C,3,0)),"")</f>
        <v/>
      </c>
      <c r="I541" s="1" t="str">
        <f>IFERROR(IF(A541="","",E541*#REF!),"")</f>
        <v/>
      </c>
    </row>
    <row r="542" spans="2:9" x14ac:dyDescent="0.3">
      <c r="B542" t="str">
        <f>IFERROR(IF(A542="","",VLOOKUP(A542,CadProd!$A:$B,2,0)),"")</f>
        <v/>
      </c>
      <c r="C542" t="str">
        <f>IFERROR(IF(A542="","",VLOOKUP(A542,CadProd!$A:$C,3,0)),"")</f>
        <v/>
      </c>
      <c r="I542" s="1" t="str">
        <f>IFERROR(IF(A542="","",E542*#REF!),"")</f>
        <v/>
      </c>
    </row>
    <row r="543" spans="2:9" x14ac:dyDescent="0.3">
      <c r="B543" t="str">
        <f>IFERROR(IF(A543="","",VLOOKUP(A543,CadProd!$A:$B,2,0)),"")</f>
        <v/>
      </c>
      <c r="C543" t="str">
        <f>IFERROR(IF(A543="","",VLOOKUP(A543,CadProd!$A:$C,3,0)),"")</f>
        <v/>
      </c>
      <c r="I543" s="1" t="str">
        <f>IFERROR(IF(A543="","",E543*#REF!),"")</f>
        <v/>
      </c>
    </row>
    <row r="544" spans="2:9" x14ac:dyDescent="0.3">
      <c r="B544" t="str">
        <f>IFERROR(IF(A544="","",VLOOKUP(A544,CadProd!$A:$B,2,0)),"")</f>
        <v/>
      </c>
      <c r="C544" t="str">
        <f>IFERROR(IF(A544="","",VLOOKUP(A544,CadProd!$A:$C,3,0)),"")</f>
        <v/>
      </c>
      <c r="I544" s="1" t="str">
        <f>IFERROR(IF(A544="","",E544*#REF!),"")</f>
        <v/>
      </c>
    </row>
    <row r="545" spans="2:9" x14ac:dyDescent="0.3">
      <c r="B545" t="str">
        <f>IFERROR(IF(A545="","",VLOOKUP(A545,CadProd!$A:$B,2,0)),"")</f>
        <v/>
      </c>
      <c r="C545" t="str">
        <f>IFERROR(IF(A545="","",VLOOKUP(A545,CadProd!$A:$C,3,0)),"")</f>
        <v/>
      </c>
      <c r="I545" s="1" t="str">
        <f>IFERROR(IF(A545="","",E545*#REF!),"")</f>
        <v/>
      </c>
    </row>
    <row r="546" spans="2:9" x14ac:dyDescent="0.3">
      <c r="B546" t="str">
        <f>IFERROR(IF(A546="","",VLOOKUP(A546,CadProd!$A:$B,2,0)),"")</f>
        <v/>
      </c>
      <c r="C546" t="str">
        <f>IFERROR(IF(A546="","",VLOOKUP(A546,CadProd!$A:$C,3,0)),"")</f>
        <v/>
      </c>
      <c r="I546" s="1" t="str">
        <f>IFERROR(IF(A546="","",E546*#REF!),"")</f>
        <v/>
      </c>
    </row>
    <row r="547" spans="2:9" x14ac:dyDescent="0.3">
      <c r="B547" t="str">
        <f>IFERROR(IF(A547="","",VLOOKUP(A547,CadProd!$A:$B,2,0)),"")</f>
        <v/>
      </c>
      <c r="C547" t="str">
        <f>IFERROR(IF(A547="","",VLOOKUP(A547,CadProd!$A:$C,3,0)),"")</f>
        <v/>
      </c>
      <c r="I547" s="1" t="str">
        <f>IFERROR(IF(A547="","",E547*#REF!),"")</f>
        <v/>
      </c>
    </row>
    <row r="548" spans="2:9" x14ac:dyDescent="0.3">
      <c r="B548" t="str">
        <f>IFERROR(IF(A548="","",VLOOKUP(A548,CadProd!$A:$B,2,0)),"")</f>
        <v/>
      </c>
      <c r="C548" t="str">
        <f>IFERROR(IF(A548="","",VLOOKUP(A548,CadProd!$A:$C,3,0)),"")</f>
        <v/>
      </c>
      <c r="I548" s="1" t="str">
        <f>IFERROR(IF(A548="","",E548*#REF!),"")</f>
        <v/>
      </c>
    </row>
    <row r="549" spans="2:9" x14ac:dyDescent="0.3">
      <c r="B549" t="str">
        <f>IFERROR(IF(A549="","",VLOOKUP(A549,CadProd!$A:$B,2,0)),"")</f>
        <v/>
      </c>
      <c r="C549" t="str">
        <f>IFERROR(IF(A549="","",VLOOKUP(A549,CadProd!$A:$C,3,0)),"")</f>
        <v/>
      </c>
      <c r="I549" s="1" t="str">
        <f>IFERROR(IF(A549="","",E549*#REF!),"")</f>
        <v/>
      </c>
    </row>
    <row r="550" spans="2:9" x14ac:dyDescent="0.3">
      <c r="B550" t="str">
        <f>IFERROR(IF(A550="","",VLOOKUP(A550,CadProd!$A:$B,2,0)),"")</f>
        <v/>
      </c>
      <c r="C550" t="str">
        <f>IFERROR(IF(A550="","",VLOOKUP(A550,CadProd!$A:$C,3,0)),"")</f>
        <v/>
      </c>
      <c r="I550" s="1" t="str">
        <f>IFERROR(IF(A550="","",E550*#REF!),"")</f>
        <v/>
      </c>
    </row>
    <row r="551" spans="2:9" x14ac:dyDescent="0.3">
      <c r="B551" t="str">
        <f>IFERROR(IF(A551="","",VLOOKUP(A551,CadProd!$A:$B,2,0)),"")</f>
        <v/>
      </c>
      <c r="C551" t="str">
        <f>IFERROR(IF(A551="","",VLOOKUP(A551,CadProd!$A:$C,3,0)),"")</f>
        <v/>
      </c>
      <c r="I551" s="1" t="str">
        <f>IFERROR(IF(A551="","",E551*#REF!),"")</f>
        <v/>
      </c>
    </row>
    <row r="552" spans="2:9" x14ac:dyDescent="0.3">
      <c r="B552" t="str">
        <f>IFERROR(IF(A552="","",VLOOKUP(A552,CadProd!$A:$B,2,0)),"")</f>
        <v/>
      </c>
      <c r="C552" t="str">
        <f>IFERROR(IF(A552="","",VLOOKUP(A552,CadProd!$A:$C,3,0)),"")</f>
        <v/>
      </c>
      <c r="I552" s="1" t="str">
        <f>IFERROR(IF(A552="","",E552*#REF!),"")</f>
        <v/>
      </c>
    </row>
    <row r="553" spans="2:9" x14ac:dyDescent="0.3">
      <c r="B553" t="str">
        <f>IFERROR(IF(A553="","",VLOOKUP(A553,CadProd!$A:$B,2,0)),"")</f>
        <v/>
      </c>
      <c r="C553" t="str">
        <f>IFERROR(IF(A553="","",VLOOKUP(A553,CadProd!$A:$C,3,0)),"")</f>
        <v/>
      </c>
      <c r="I553" s="1" t="str">
        <f>IFERROR(IF(A553="","",E553*#REF!),"")</f>
        <v/>
      </c>
    </row>
    <row r="554" spans="2:9" x14ac:dyDescent="0.3">
      <c r="B554" t="str">
        <f>IFERROR(IF(A554="","",VLOOKUP(A554,CadProd!$A:$B,2,0)),"")</f>
        <v/>
      </c>
      <c r="C554" t="str">
        <f>IFERROR(IF(A554="","",VLOOKUP(A554,CadProd!$A:$C,3,0)),"")</f>
        <v/>
      </c>
      <c r="I554" s="1" t="str">
        <f>IFERROR(IF(A554="","",E554*#REF!),"")</f>
        <v/>
      </c>
    </row>
    <row r="555" spans="2:9" x14ac:dyDescent="0.3">
      <c r="B555" t="str">
        <f>IFERROR(IF(A555="","",VLOOKUP(A555,CadProd!$A:$B,2,0)),"")</f>
        <v/>
      </c>
      <c r="C555" t="str">
        <f>IFERROR(IF(A555="","",VLOOKUP(A555,CadProd!$A:$C,3,0)),"")</f>
        <v/>
      </c>
      <c r="I555" s="1" t="str">
        <f>IFERROR(IF(A555="","",E555*#REF!),"")</f>
        <v/>
      </c>
    </row>
    <row r="556" spans="2:9" x14ac:dyDescent="0.3">
      <c r="B556" t="str">
        <f>IFERROR(IF(A556="","",VLOOKUP(A556,CadProd!$A:$B,2,0)),"")</f>
        <v/>
      </c>
      <c r="C556" t="str">
        <f>IFERROR(IF(A556="","",VLOOKUP(A556,CadProd!$A:$C,3,0)),"")</f>
        <v/>
      </c>
      <c r="I556" s="1" t="str">
        <f>IFERROR(IF(A556="","",E556*#REF!),"")</f>
        <v/>
      </c>
    </row>
    <row r="557" spans="2:9" x14ac:dyDescent="0.3">
      <c r="B557" t="str">
        <f>IFERROR(IF(A557="","",VLOOKUP(A557,CadProd!$A:$B,2,0)),"")</f>
        <v/>
      </c>
      <c r="C557" t="str">
        <f>IFERROR(IF(A557="","",VLOOKUP(A557,CadProd!$A:$C,3,0)),"")</f>
        <v/>
      </c>
      <c r="I557" s="1" t="str">
        <f>IFERROR(IF(A557="","",E557*#REF!),"")</f>
        <v/>
      </c>
    </row>
    <row r="558" spans="2:9" x14ac:dyDescent="0.3">
      <c r="B558" t="str">
        <f>IFERROR(IF(A558="","",VLOOKUP(A558,CadProd!$A:$B,2,0)),"")</f>
        <v/>
      </c>
      <c r="C558" t="str">
        <f>IFERROR(IF(A558="","",VLOOKUP(A558,CadProd!$A:$C,3,0)),"")</f>
        <v/>
      </c>
      <c r="I558" s="1" t="str">
        <f>IFERROR(IF(A558="","",E558*#REF!),"")</f>
        <v/>
      </c>
    </row>
    <row r="559" spans="2:9" x14ac:dyDescent="0.3">
      <c r="B559" t="str">
        <f>IFERROR(IF(A559="","",VLOOKUP(A559,CadProd!$A:$B,2,0)),"")</f>
        <v/>
      </c>
      <c r="C559" t="str">
        <f>IFERROR(IF(A559="","",VLOOKUP(A559,CadProd!$A:$C,3,0)),"")</f>
        <v/>
      </c>
      <c r="I559" s="1" t="str">
        <f>IFERROR(IF(A559="","",E559*#REF!),"")</f>
        <v/>
      </c>
    </row>
    <row r="560" spans="2:9" x14ac:dyDescent="0.3">
      <c r="B560" t="str">
        <f>IFERROR(IF(A560="","",VLOOKUP(A560,CadProd!$A:$B,2,0)),"")</f>
        <v/>
      </c>
      <c r="C560" t="str">
        <f>IFERROR(IF(A560="","",VLOOKUP(A560,CadProd!$A:$C,3,0)),"")</f>
        <v/>
      </c>
      <c r="I560" s="1" t="str">
        <f>IFERROR(IF(A560="","",E560*#REF!),"")</f>
        <v/>
      </c>
    </row>
    <row r="561" spans="2:9" x14ac:dyDescent="0.3">
      <c r="B561" t="str">
        <f>IFERROR(IF(A561="","",VLOOKUP(A561,CadProd!$A:$B,2,0)),"")</f>
        <v/>
      </c>
      <c r="C561" t="str">
        <f>IFERROR(IF(A561="","",VLOOKUP(A561,CadProd!$A:$C,3,0)),"")</f>
        <v/>
      </c>
      <c r="I561" s="1" t="str">
        <f>IFERROR(IF(A561="","",E561*#REF!),"")</f>
        <v/>
      </c>
    </row>
    <row r="562" spans="2:9" x14ac:dyDescent="0.3">
      <c r="B562" t="str">
        <f>IFERROR(IF(A562="","",VLOOKUP(A562,CadProd!$A:$B,2,0)),"")</f>
        <v/>
      </c>
      <c r="C562" t="str">
        <f>IFERROR(IF(A562="","",VLOOKUP(A562,CadProd!$A:$C,3,0)),"")</f>
        <v/>
      </c>
      <c r="I562" s="1" t="str">
        <f>IFERROR(IF(A562="","",E562*#REF!),"")</f>
        <v/>
      </c>
    </row>
    <row r="563" spans="2:9" x14ac:dyDescent="0.3">
      <c r="B563" t="str">
        <f>IFERROR(IF(A563="","",VLOOKUP(A563,CadProd!$A:$B,2,0)),"")</f>
        <v/>
      </c>
      <c r="C563" t="str">
        <f>IFERROR(IF(A563="","",VLOOKUP(A563,CadProd!$A:$C,3,0)),"")</f>
        <v/>
      </c>
      <c r="I563" s="1" t="str">
        <f>IFERROR(IF(A563="","",E563*#REF!),"")</f>
        <v/>
      </c>
    </row>
    <row r="564" spans="2:9" x14ac:dyDescent="0.3">
      <c r="B564" t="str">
        <f>IFERROR(IF(A564="","",VLOOKUP(A564,CadProd!$A:$B,2,0)),"")</f>
        <v/>
      </c>
      <c r="C564" t="str">
        <f>IFERROR(IF(A564="","",VLOOKUP(A564,CadProd!$A:$C,3,0)),"")</f>
        <v/>
      </c>
      <c r="I564" s="1" t="str">
        <f>IFERROR(IF(A564="","",E564*#REF!),"")</f>
        <v/>
      </c>
    </row>
    <row r="565" spans="2:9" x14ac:dyDescent="0.3">
      <c r="B565" t="str">
        <f>IFERROR(IF(A565="","",VLOOKUP(A565,CadProd!$A:$B,2,0)),"")</f>
        <v/>
      </c>
      <c r="C565" t="str">
        <f>IFERROR(IF(A565="","",VLOOKUP(A565,CadProd!$A:$C,3,0)),"")</f>
        <v/>
      </c>
      <c r="I565" s="1" t="str">
        <f>IFERROR(IF(A565="","",E565*#REF!),"")</f>
        <v/>
      </c>
    </row>
    <row r="566" spans="2:9" x14ac:dyDescent="0.3">
      <c r="B566" t="str">
        <f>IFERROR(IF(A566="","",VLOOKUP(A566,CadProd!$A:$B,2,0)),"")</f>
        <v/>
      </c>
      <c r="C566" t="str">
        <f>IFERROR(IF(A566="","",VLOOKUP(A566,CadProd!$A:$C,3,0)),"")</f>
        <v/>
      </c>
      <c r="I566" s="1" t="str">
        <f>IFERROR(IF(A566="","",E566*#REF!),"")</f>
        <v/>
      </c>
    </row>
    <row r="567" spans="2:9" x14ac:dyDescent="0.3">
      <c r="B567" t="str">
        <f>IFERROR(IF(A567="","",VLOOKUP(A567,CadProd!$A:$B,2,0)),"")</f>
        <v/>
      </c>
      <c r="C567" t="str">
        <f>IFERROR(IF(A567="","",VLOOKUP(A567,CadProd!$A:$C,3,0)),"")</f>
        <v/>
      </c>
      <c r="I567" s="1" t="str">
        <f>IFERROR(IF(A567="","",E567*#REF!),"")</f>
        <v/>
      </c>
    </row>
    <row r="568" spans="2:9" x14ac:dyDescent="0.3">
      <c r="B568" t="str">
        <f>IFERROR(IF(A568="","",VLOOKUP(A568,CadProd!$A:$B,2,0)),"")</f>
        <v/>
      </c>
      <c r="C568" t="str">
        <f>IFERROR(IF(A568="","",VLOOKUP(A568,CadProd!$A:$C,3,0)),"")</f>
        <v/>
      </c>
      <c r="I568" s="1" t="str">
        <f>IFERROR(IF(A568="","",E568*#REF!),"")</f>
        <v/>
      </c>
    </row>
    <row r="569" spans="2:9" x14ac:dyDescent="0.3">
      <c r="B569" t="str">
        <f>IFERROR(IF(A569="","",VLOOKUP(A569,CadProd!$A:$B,2,0)),"")</f>
        <v/>
      </c>
      <c r="C569" t="str">
        <f>IFERROR(IF(A569="","",VLOOKUP(A569,CadProd!$A:$C,3,0)),"")</f>
        <v/>
      </c>
      <c r="I569" s="1" t="str">
        <f>IFERROR(IF(A569="","",E569*#REF!),"")</f>
        <v/>
      </c>
    </row>
    <row r="570" spans="2:9" x14ac:dyDescent="0.3">
      <c r="B570" t="str">
        <f>IFERROR(IF(A570="","",VLOOKUP(A570,CadProd!$A:$B,2,0)),"")</f>
        <v/>
      </c>
      <c r="C570" t="str">
        <f>IFERROR(IF(A570="","",VLOOKUP(A570,CadProd!$A:$C,3,0)),"")</f>
        <v/>
      </c>
      <c r="I570" s="1" t="str">
        <f>IFERROR(IF(A570="","",E570*#REF!),"")</f>
        <v/>
      </c>
    </row>
    <row r="571" spans="2:9" x14ac:dyDescent="0.3">
      <c r="B571" t="str">
        <f>IFERROR(IF(A571="","",VLOOKUP(A571,CadProd!$A:$B,2,0)),"")</f>
        <v/>
      </c>
      <c r="C571" t="str">
        <f>IFERROR(IF(A571="","",VLOOKUP(A571,CadProd!$A:$C,3,0)),"")</f>
        <v/>
      </c>
      <c r="I571" s="1" t="str">
        <f>IFERROR(IF(A571="","",E571*#REF!),"")</f>
        <v/>
      </c>
    </row>
    <row r="572" spans="2:9" x14ac:dyDescent="0.3">
      <c r="B572" t="str">
        <f>IFERROR(IF(A572="","",VLOOKUP(A572,CadProd!$A:$B,2,0)),"")</f>
        <v/>
      </c>
      <c r="C572" t="str">
        <f>IFERROR(IF(A572="","",VLOOKUP(A572,CadProd!$A:$C,3,0)),"")</f>
        <v/>
      </c>
      <c r="I572" s="1" t="str">
        <f>IFERROR(IF(A572="","",E572*#REF!),"")</f>
        <v/>
      </c>
    </row>
    <row r="573" spans="2:9" x14ac:dyDescent="0.3">
      <c r="B573" t="str">
        <f>IFERROR(IF(A573="","",VLOOKUP(A573,CadProd!$A:$B,2,0)),"")</f>
        <v/>
      </c>
      <c r="C573" t="str">
        <f>IFERROR(IF(A573="","",VLOOKUP(A573,CadProd!$A:$C,3,0)),"")</f>
        <v/>
      </c>
      <c r="I573" s="1" t="str">
        <f>IFERROR(IF(A573="","",E573*#REF!),"")</f>
        <v/>
      </c>
    </row>
    <row r="574" spans="2:9" x14ac:dyDescent="0.3">
      <c r="B574" t="str">
        <f>IFERROR(IF(A574="","",VLOOKUP(A574,CadProd!$A:$B,2,0)),"")</f>
        <v/>
      </c>
      <c r="C574" t="str">
        <f>IFERROR(IF(A574="","",VLOOKUP(A574,CadProd!$A:$C,3,0)),"")</f>
        <v/>
      </c>
      <c r="I574" s="1" t="str">
        <f>IFERROR(IF(A574="","",E574*#REF!),"")</f>
        <v/>
      </c>
    </row>
    <row r="575" spans="2:9" x14ac:dyDescent="0.3">
      <c r="B575" t="str">
        <f>IFERROR(IF(A575="","",VLOOKUP(A575,CadProd!$A:$B,2,0)),"")</f>
        <v/>
      </c>
      <c r="C575" t="str">
        <f>IFERROR(IF(A575="","",VLOOKUP(A575,CadProd!$A:$C,3,0)),"")</f>
        <v/>
      </c>
      <c r="I575" s="1" t="str">
        <f>IFERROR(IF(A575="","",E575*#REF!),"")</f>
        <v/>
      </c>
    </row>
    <row r="576" spans="2:9" x14ac:dyDescent="0.3">
      <c r="B576" t="str">
        <f>IFERROR(IF(A576="","",VLOOKUP(A576,CadProd!$A:$B,2,0)),"")</f>
        <v/>
      </c>
      <c r="C576" t="str">
        <f>IFERROR(IF(A576="","",VLOOKUP(A576,CadProd!$A:$C,3,0)),"")</f>
        <v/>
      </c>
      <c r="I576" s="1" t="str">
        <f>IFERROR(IF(A576="","",E576*#REF!),"")</f>
        <v/>
      </c>
    </row>
    <row r="577" spans="2:9" x14ac:dyDescent="0.3">
      <c r="B577" t="str">
        <f>IFERROR(IF(A577="","",VLOOKUP(A577,CadProd!$A:$B,2,0)),"")</f>
        <v/>
      </c>
      <c r="C577" t="str">
        <f>IFERROR(IF(A577="","",VLOOKUP(A577,CadProd!$A:$C,3,0)),"")</f>
        <v/>
      </c>
      <c r="I577" s="1" t="str">
        <f>IFERROR(IF(A577="","",E577*#REF!),"")</f>
        <v/>
      </c>
    </row>
    <row r="578" spans="2:9" x14ac:dyDescent="0.3">
      <c r="B578" t="str">
        <f>IFERROR(IF(A578="","",VLOOKUP(A578,CadProd!$A:$B,2,0)),"")</f>
        <v/>
      </c>
      <c r="C578" t="str">
        <f>IFERROR(IF(A578="","",VLOOKUP(A578,CadProd!$A:$C,3,0)),"")</f>
        <v/>
      </c>
      <c r="I578" s="1" t="str">
        <f>IFERROR(IF(A578="","",E578*#REF!),"")</f>
        <v/>
      </c>
    </row>
    <row r="579" spans="2:9" x14ac:dyDescent="0.3">
      <c r="B579" t="str">
        <f>IFERROR(IF(A579="","",VLOOKUP(A579,CadProd!$A:$B,2,0)),"")</f>
        <v/>
      </c>
      <c r="C579" t="str">
        <f>IFERROR(IF(A579="","",VLOOKUP(A579,CadProd!$A:$C,3,0)),"")</f>
        <v/>
      </c>
      <c r="I579" s="1" t="str">
        <f>IFERROR(IF(A579="","",E579*#REF!),"")</f>
        <v/>
      </c>
    </row>
    <row r="580" spans="2:9" x14ac:dyDescent="0.3">
      <c r="B580" t="str">
        <f>IFERROR(IF(A580="","",VLOOKUP(A580,CadProd!$A:$B,2,0)),"")</f>
        <v/>
      </c>
      <c r="C580" t="str">
        <f>IFERROR(IF(A580="","",VLOOKUP(A580,CadProd!$A:$C,3,0)),"")</f>
        <v/>
      </c>
      <c r="I580" s="1" t="str">
        <f>IFERROR(IF(A580="","",E580*#REF!),"")</f>
        <v/>
      </c>
    </row>
    <row r="581" spans="2:9" x14ac:dyDescent="0.3">
      <c r="B581" t="str">
        <f>IFERROR(IF(A581="","",VLOOKUP(A581,CadProd!$A:$B,2,0)),"")</f>
        <v/>
      </c>
      <c r="C581" t="str">
        <f>IFERROR(IF(A581="","",VLOOKUP(A581,CadProd!$A:$C,3,0)),"")</f>
        <v/>
      </c>
      <c r="I581" s="1" t="str">
        <f>IFERROR(IF(A581="","",E581*#REF!),"")</f>
        <v/>
      </c>
    </row>
    <row r="582" spans="2:9" x14ac:dyDescent="0.3">
      <c r="B582" t="str">
        <f>IFERROR(IF(A582="","",VLOOKUP(A582,CadProd!$A:$B,2,0)),"")</f>
        <v/>
      </c>
      <c r="C582" t="str">
        <f>IFERROR(IF(A582="","",VLOOKUP(A582,CadProd!$A:$C,3,0)),"")</f>
        <v/>
      </c>
      <c r="I582" s="1" t="str">
        <f>IFERROR(IF(A582="","",E582*#REF!),"")</f>
        <v/>
      </c>
    </row>
    <row r="583" spans="2:9" x14ac:dyDescent="0.3">
      <c r="B583" t="str">
        <f>IFERROR(IF(A583="","",VLOOKUP(A583,CadProd!$A:$B,2,0)),"")</f>
        <v/>
      </c>
      <c r="C583" t="str">
        <f>IFERROR(IF(A583="","",VLOOKUP(A583,CadProd!$A:$C,3,0)),"")</f>
        <v/>
      </c>
      <c r="I583" s="1" t="str">
        <f>IFERROR(IF(A583="","",E583*#REF!),"")</f>
        <v/>
      </c>
    </row>
    <row r="584" spans="2:9" x14ac:dyDescent="0.3">
      <c r="B584" t="str">
        <f>IFERROR(IF(A584="","",VLOOKUP(A584,CadProd!$A:$B,2,0)),"")</f>
        <v/>
      </c>
      <c r="C584" t="str">
        <f>IFERROR(IF(A584="","",VLOOKUP(A584,CadProd!$A:$C,3,0)),"")</f>
        <v/>
      </c>
      <c r="I584" s="1" t="str">
        <f>IFERROR(IF(A584="","",E584*#REF!),"")</f>
        <v/>
      </c>
    </row>
    <row r="585" spans="2:9" x14ac:dyDescent="0.3">
      <c r="B585" t="str">
        <f>IFERROR(IF(A585="","",VLOOKUP(A585,CadProd!$A:$B,2,0)),"")</f>
        <v/>
      </c>
      <c r="C585" t="str">
        <f>IFERROR(IF(A585="","",VLOOKUP(A585,CadProd!$A:$C,3,0)),"")</f>
        <v/>
      </c>
      <c r="I585" s="1" t="str">
        <f>IFERROR(IF(A585="","",E585*#REF!),"")</f>
        <v/>
      </c>
    </row>
    <row r="586" spans="2:9" x14ac:dyDescent="0.3">
      <c r="B586" t="str">
        <f>IFERROR(IF(A586="","",VLOOKUP(A586,CadProd!$A:$B,2,0)),"")</f>
        <v/>
      </c>
      <c r="C586" t="str">
        <f>IFERROR(IF(A586="","",VLOOKUP(A586,CadProd!$A:$C,3,0)),"")</f>
        <v/>
      </c>
      <c r="I586" s="1" t="str">
        <f>IFERROR(IF(A586="","",E586*#REF!),"")</f>
        <v/>
      </c>
    </row>
    <row r="587" spans="2:9" x14ac:dyDescent="0.3">
      <c r="B587" t="str">
        <f>IFERROR(IF(A587="","",VLOOKUP(A587,CadProd!$A:$B,2,0)),"")</f>
        <v/>
      </c>
      <c r="C587" t="str">
        <f>IFERROR(IF(A587="","",VLOOKUP(A587,CadProd!$A:$C,3,0)),"")</f>
        <v/>
      </c>
      <c r="I587" s="1" t="str">
        <f>IFERROR(IF(A587="","",E587*#REF!),"")</f>
        <v/>
      </c>
    </row>
    <row r="588" spans="2:9" x14ac:dyDescent="0.3">
      <c r="B588" t="str">
        <f>IFERROR(IF(A588="","",VLOOKUP(A588,CadProd!$A:$B,2,0)),"")</f>
        <v/>
      </c>
      <c r="C588" t="str">
        <f>IFERROR(IF(A588="","",VLOOKUP(A588,CadProd!$A:$C,3,0)),"")</f>
        <v/>
      </c>
      <c r="I588" s="1" t="str">
        <f>IFERROR(IF(A588="","",E588*#REF!),"")</f>
        <v/>
      </c>
    </row>
    <row r="589" spans="2:9" x14ac:dyDescent="0.3">
      <c r="B589" t="str">
        <f>IFERROR(IF(A589="","",VLOOKUP(A589,CadProd!$A:$B,2,0)),"")</f>
        <v/>
      </c>
      <c r="C589" t="str">
        <f>IFERROR(IF(A589="","",VLOOKUP(A589,CadProd!$A:$C,3,0)),"")</f>
        <v/>
      </c>
      <c r="I589" s="1" t="str">
        <f>IFERROR(IF(A589="","",E589*#REF!),"")</f>
        <v/>
      </c>
    </row>
    <row r="590" spans="2:9" x14ac:dyDescent="0.3">
      <c r="B590" t="str">
        <f>IFERROR(IF(A590="","",VLOOKUP(A590,CadProd!$A:$B,2,0)),"")</f>
        <v/>
      </c>
      <c r="C590" t="str">
        <f>IFERROR(IF(A590="","",VLOOKUP(A590,CadProd!$A:$C,3,0)),"")</f>
        <v/>
      </c>
      <c r="I590" s="1" t="str">
        <f>IFERROR(IF(A590="","",E590*#REF!),"")</f>
        <v/>
      </c>
    </row>
    <row r="591" spans="2:9" x14ac:dyDescent="0.3">
      <c r="B591" t="str">
        <f>IFERROR(IF(A591="","",VLOOKUP(A591,CadProd!$A:$B,2,0)),"")</f>
        <v/>
      </c>
      <c r="C591" t="str">
        <f>IFERROR(IF(A591="","",VLOOKUP(A591,CadProd!$A:$C,3,0)),"")</f>
        <v/>
      </c>
      <c r="I591" s="1" t="str">
        <f>IFERROR(IF(A591="","",E591*#REF!),"")</f>
        <v/>
      </c>
    </row>
    <row r="592" spans="2:9" x14ac:dyDescent="0.3">
      <c r="B592" t="str">
        <f>IFERROR(IF(A592="","",VLOOKUP(A592,CadProd!$A:$B,2,0)),"")</f>
        <v/>
      </c>
      <c r="C592" t="str">
        <f>IFERROR(IF(A592="","",VLOOKUP(A592,CadProd!$A:$C,3,0)),"")</f>
        <v/>
      </c>
      <c r="I592" s="1" t="str">
        <f>IFERROR(IF(A592="","",E592*#REF!),"")</f>
        <v/>
      </c>
    </row>
    <row r="593" spans="2:9" x14ac:dyDescent="0.3">
      <c r="B593" t="str">
        <f>IFERROR(IF(A593="","",VLOOKUP(A593,CadProd!$A:$B,2,0)),"")</f>
        <v/>
      </c>
      <c r="C593" t="str">
        <f>IFERROR(IF(A593="","",VLOOKUP(A593,CadProd!$A:$C,3,0)),"")</f>
        <v/>
      </c>
      <c r="I593" s="1" t="str">
        <f>IFERROR(IF(A593="","",E593*#REF!),"")</f>
        <v/>
      </c>
    </row>
    <row r="594" spans="2:9" x14ac:dyDescent="0.3">
      <c r="B594" t="str">
        <f>IFERROR(IF(A594="","",VLOOKUP(A594,CadProd!$A:$B,2,0)),"")</f>
        <v/>
      </c>
      <c r="C594" t="str">
        <f>IFERROR(IF(A594="","",VLOOKUP(A594,CadProd!$A:$C,3,0)),"")</f>
        <v/>
      </c>
      <c r="I594" s="1" t="str">
        <f>IFERROR(IF(A594="","",E594*#REF!),"")</f>
        <v/>
      </c>
    </row>
    <row r="595" spans="2:9" x14ac:dyDescent="0.3">
      <c r="B595" t="str">
        <f>IFERROR(IF(A595="","",VLOOKUP(A595,CadProd!$A:$B,2,0)),"")</f>
        <v/>
      </c>
      <c r="C595" t="str">
        <f>IFERROR(IF(A595="","",VLOOKUP(A595,CadProd!$A:$C,3,0)),"")</f>
        <v/>
      </c>
      <c r="I595" s="1" t="str">
        <f>IFERROR(IF(A595="","",E595*#REF!),"")</f>
        <v/>
      </c>
    </row>
    <row r="596" spans="2:9" x14ac:dyDescent="0.3">
      <c r="B596" t="str">
        <f>IFERROR(IF(A596="","",VLOOKUP(A596,CadProd!$A:$B,2,0)),"")</f>
        <v/>
      </c>
      <c r="C596" t="str">
        <f>IFERROR(IF(A596="","",VLOOKUP(A596,CadProd!$A:$C,3,0)),"")</f>
        <v/>
      </c>
      <c r="I596" s="1" t="str">
        <f>IFERROR(IF(A596="","",E596*#REF!),"")</f>
        <v/>
      </c>
    </row>
    <row r="597" spans="2:9" x14ac:dyDescent="0.3">
      <c r="B597" t="str">
        <f>IFERROR(IF(A597="","",VLOOKUP(A597,CadProd!$A:$B,2,0)),"")</f>
        <v/>
      </c>
      <c r="C597" t="str">
        <f>IFERROR(IF(A597="","",VLOOKUP(A597,CadProd!$A:$C,3,0)),"")</f>
        <v/>
      </c>
      <c r="I597" s="1" t="str">
        <f>IFERROR(IF(A597="","",E597*#REF!),"")</f>
        <v/>
      </c>
    </row>
    <row r="598" spans="2:9" x14ac:dyDescent="0.3">
      <c r="B598" t="str">
        <f>IFERROR(IF(A598="","",VLOOKUP(A598,CadProd!$A:$B,2,0)),"")</f>
        <v/>
      </c>
      <c r="C598" t="str">
        <f>IFERROR(IF(A598="","",VLOOKUP(A598,CadProd!$A:$C,3,0)),"")</f>
        <v/>
      </c>
      <c r="I598" s="1" t="str">
        <f>IFERROR(IF(A598="","",E598*#REF!),"")</f>
        <v/>
      </c>
    </row>
    <row r="599" spans="2:9" x14ac:dyDescent="0.3">
      <c r="B599" t="str">
        <f>IFERROR(IF(A599="","",VLOOKUP(A599,CadProd!$A:$B,2,0)),"")</f>
        <v/>
      </c>
      <c r="C599" t="str">
        <f>IFERROR(IF(A599="","",VLOOKUP(A599,CadProd!$A:$C,3,0)),"")</f>
        <v/>
      </c>
      <c r="I599" s="1" t="str">
        <f>IFERROR(IF(A599="","",E599*#REF!),"")</f>
        <v/>
      </c>
    </row>
    <row r="600" spans="2:9" x14ac:dyDescent="0.3">
      <c r="B600" t="str">
        <f>IFERROR(IF(A600="","",VLOOKUP(A600,CadProd!$A:$B,2,0)),"")</f>
        <v/>
      </c>
      <c r="C600" t="str">
        <f>IFERROR(IF(A600="","",VLOOKUP(A600,CadProd!$A:$C,3,0)),"")</f>
        <v/>
      </c>
      <c r="I600" s="1" t="str">
        <f>IFERROR(IF(A600="","",E600*#REF!),"")</f>
        <v/>
      </c>
    </row>
    <row r="601" spans="2:9" x14ac:dyDescent="0.3">
      <c r="B601" t="str">
        <f>IFERROR(IF(A601="","",VLOOKUP(A601,CadProd!$A:$B,2,0)),"")</f>
        <v/>
      </c>
      <c r="C601" t="str">
        <f>IFERROR(IF(A601="","",VLOOKUP(A601,CadProd!$A:$C,3,0)),"")</f>
        <v/>
      </c>
      <c r="I601" s="1" t="str">
        <f>IFERROR(IF(A601="","",E601*#REF!),"")</f>
        <v/>
      </c>
    </row>
    <row r="602" spans="2:9" x14ac:dyDescent="0.3">
      <c r="B602" t="str">
        <f>IFERROR(IF(A602="","",VLOOKUP(A602,CadProd!$A:$B,2,0)),"")</f>
        <v/>
      </c>
      <c r="C602" t="str">
        <f>IFERROR(IF(A602="","",VLOOKUP(A602,CadProd!$A:$C,3,0)),"")</f>
        <v/>
      </c>
      <c r="I602" s="1" t="str">
        <f>IFERROR(IF(A602="","",E602*#REF!),"")</f>
        <v/>
      </c>
    </row>
    <row r="603" spans="2:9" x14ac:dyDescent="0.3">
      <c r="B603" t="str">
        <f>IFERROR(IF(A603="","",VLOOKUP(A603,CadProd!$A:$B,2,0)),"")</f>
        <v/>
      </c>
      <c r="C603" t="str">
        <f>IFERROR(IF(A603="","",VLOOKUP(A603,CadProd!$A:$C,3,0)),"")</f>
        <v/>
      </c>
      <c r="I603" s="1" t="str">
        <f>IFERROR(IF(A603="","",E603*#REF!),"")</f>
        <v/>
      </c>
    </row>
    <row r="604" spans="2:9" x14ac:dyDescent="0.3">
      <c r="B604" t="str">
        <f>IFERROR(IF(A604="","",VLOOKUP(A604,CadProd!$A:$B,2,0)),"")</f>
        <v/>
      </c>
      <c r="C604" t="str">
        <f>IFERROR(IF(A604="","",VLOOKUP(A604,CadProd!$A:$C,3,0)),"")</f>
        <v/>
      </c>
      <c r="I604" s="1" t="str">
        <f>IFERROR(IF(A604="","",E604*#REF!),"")</f>
        <v/>
      </c>
    </row>
    <row r="605" spans="2:9" x14ac:dyDescent="0.3">
      <c r="B605" t="str">
        <f>IFERROR(IF(A605="","",VLOOKUP(A605,CadProd!$A:$B,2,0)),"")</f>
        <v/>
      </c>
      <c r="C605" t="str">
        <f>IFERROR(IF(A605="","",VLOOKUP(A605,CadProd!$A:$C,3,0)),"")</f>
        <v/>
      </c>
      <c r="I605" s="1" t="str">
        <f>IFERROR(IF(A605="","",E605*#REF!),"")</f>
        <v/>
      </c>
    </row>
    <row r="606" spans="2:9" x14ac:dyDescent="0.3">
      <c r="B606" t="str">
        <f>IFERROR(IF(A606="","",VLOOKUP(A606,CadProd!$A:$B,2,0)),"")</f>
        <v/>
      </c>
      <c r="C606" t="str">
        <f>IFERROR(IF(A606="","",VLOOKUP(A606,CadProd!$A:$C,3,0)),"")</f>
        <v/>
      </c>
      <c r="I606" s="1" t="str">
        <f>IFERROR(IF(A606="","",E606*#REF!),"")</f>
        <v/>
      </c>
    </row>
    <row r="607" spans="2:9" x14ac:dyDescent="0.3">
      <c r="B607" t="str">
        <f>IFERROR(IF(A607="","",VLOOKUP(A607,CadProd!$A:$B,2,0)),"")</f>
        <v/>
      </c>
      <c r="C607" t="str">
        <f>IFERROR(IF(A607="","",VLOOKUP(A607,CadProd!$A:$C,3,0)),"")</f>
        <v/>
      </c>
      <c r="I607" s="1" t="str">
        <f>IFERROR(IF(A607="","",E607*#REF!),"")</f>
        <v/>
      </c>
    </row>
    <row r="608" spans="2:9" x14ac:dyDescent="0.3">
      <c r="B608" t="str">
        <f>IFERROR(IF(A608="","",VLOOKUP(A608,CadProd!$A:$B,2,0)),"")</f>
        <v/>
      </c>
      <c r="C608" t="str">
        <f>IFERROR(IF(A608="","",VLOOKUP(A608,CadProd!$A:$C,3,0)),"")</f>
        <v/>
      </c>
      <c r="I608" s="1" t="str">
        <f>IFERROR(IF(A608="","",E608*#REF!),"")</f>
        <v/>
      </c>
    </row>
    <row r="609" spans="2:9" x14ac:dyDescent="0.3">
      <c r="B609" t="str">
        <f>IFERROR(IF(A609="","",VLOOKUP(A609,CadProd!$A:$B,2,0)),"")</f>
        <v/>
      </c>
      <c r="C609" t="str">
        <f>IFERROR(IF(A609="","",VLOOKUP(A609,CadProd!$A:$C,3,0)),"")</f>
        <v/>
      </c>
      <c r="I609" s="1" t="str">
        <f>IFERROR(IF(A609="","",E609*#REF!),"")</f>
        <v/>
      </c>
    </row>
    <row r="610" spans="2:9" x14ac:dyDescent="0.3">
      <c r="B610" t="str">
        <f>IFERROR(IF(A610="","",VLOOKUP(A610,CadProd!$A:$B,2,0)),"")</f>
        <v/>
      </c>
      <c r="C610" t="str">
        <f>IFERROR(IF(A610="","",VLOOKUP(A610,CadProd!$A:$C,3,0)),"")</f>
        <v/>
      </c>
      <c r="I610" s="1" t="str">
        <f>IFERROR(IF(A610="","",E610*#REF!),"")</f>
        <v/>
      </c>
    </row>
    <row r="611" spans="2:9" x14ac:dyDescent="0.3">
      <c r="B611" t="str">
        <f>IFERROR(IF(A611="","",VLOOKUP(A611,CadProd!$A:$B,2,0)),"")</f>
        <v/>
      </c>
      <c r="C611" t="str">
        <f>IFERROR(IF(A611="","",VLOOKUP(A611,CadProd!$A:$C,3,0)),"")</f>
        <v/>
      </c>
      <c r="I611" s="1" t="str">
        <f>IFERROR(IF(A611="","",E611*#REF!),"")</f>
        <v/>
      </c>
    </row>
    <row r="612" spans="2:9" x14ac:dyDescent="0.3">
      <c r="B612" t="str">
        <f>IFERROR(IF(A612="","",VLOOKUP(A612,CadProd!$A:$B,2,0)),"")</f>
        <v/>
      </c>
      <c r="C612" t="str">
        <f>IFERROR(IF(A612="","",VLOOKUP(A612,CadProd!$A:$C,3,0)),"")</f>
        <v/>
      </c>
      <c r="I612" s="1" t="str">
        <f>IFERROR(IF(A612="","",E612*#REF!),"")</f>
        <v/>
      </c>
    </row>
    <row r="613" spans="2:9" x14ac:dyDescent="0.3">
      <c r="B613" t="str">
        <f>IFERROR(IF(A613="","",VLOOKUP(A613,CadProd!$A:$B,2,0)),"")</f>
        <v/>
      </c>
      <c r="C613" t="str">
        <f>IFERROR(IF(A613="","",VLOOKUP(A613,CadProd!$A:$C,3,0)),"")</f>
        <v/>
      </c>
      <c r="I613" s="1" t="str">
        <f>IFERROR(IF(A613="","",E613*#REF!),"")</f>
        <v/>
      </c>
    </row>
    <row r="614" spans="2:9" x14ac:dyDescent="0.3">
      <c r="B614" t="str">
        <f>IFERROR(IF(A614="","",VLOOKUP(A614,CadProd!$A:$B,2,0)),"")</f>
        <v/>
      </c>
      <c r="C614" t="str">
        <f>IFERROR(IF(A614="","",VLOOKUP(A614,CadProd!$A:$C,3,0)),"")</f>
        <v/>
      </c>
      <c r="I614" s="1" t="str">
        <f>IFERROR(IF(A614="","",E614*#REF!),"")</f>
        <v/>
      </c>
    </row>
    <row r="615" spans="2:9" x14ac:dyDescent="0.3">
      <c r="B615" t="str">
        <f>IFERROR(IF(A615="","",VLOOKUP(A615,CadProd!$A:$B,2,0)),"")</f>
        <v/>
      </c>
      <c r="C615" t="str">
        <f>IFERROR(IF(A615="","",VLOOKUP(A615,CadProd!$A:$C,3,0)),"")</f>
        <v/>
      </c>
      <c r="I615" s="1" t="str">
        <f>IFERROR(IF(A615="","",E615*#REF!),"")</f>
        <v/>
      </c>
    </row>
    <row r="616" spans="2:9" x14ac:dyDescent="0.3">
      <c r="B616" t="str">
        <f>IFERROR(IF(A616="","",VLOOKUP(A616,CadProd!$A:$B,2,0)),"")</f>
        <v/>
      </c>
      <c r="C616" t="str">
        <f>IFERROR(IF(A616="","",VLOOKUP(A616,CadProd!$A:$C,3,0)),"")</f>
        <v/>
      </c>
      <c r="I616" s="1" t="str">
        <f>IFERROR(IF(A616="","",E616*#REF!),"")</f>
        <v/>
      </c>
    </row>
    <row r="617" spans="2:9" x14ac:dyDescent="0.3">
      <c r="B617" t="str">
        <f>IFERROR(IF(A617="","",VLOOKUP(A617,CadProd!$A:$B,2,0)),"")</f>
        <v/>
      </c>
      <c r="C617" t="str">
        <f>IFERROR(IF(A617="","",VLOOKUP(A617,CadProd!$A:$C,3,0)),"")</f>
        <v/>
      </c>
      <c r="I617" s="1" t="str">
        <f>IFERROR(IF(A617="","",E617*#REF!),"")</f>
        <v/>
      </c>
    </row>
    <row r="618" spans="2:9" x14ac:dyDescent="0.3">
      <c r="B618" t="str">
        <f>IFERROR(IF(A618="","",VLOOKUP(A618,CadProd!$A:$B,2,0)),"")</f>
        <v/>
      </c>
      <c r="C618" t="str">
        <f>IFERROR(IF(A618="","",VLOOKUP(A618,CadProd!$A:$C,3,0)),"")</f>
        <v/>
      </c>
      <c r="I618" s="1" t="str">
        <f>IFERROR(IF(A618="","",E618*#REF!),"")</f>
        <v/>
      </c>
    </row>
    <row r="619" spans="2:9" x14ac:dyDescent="0.3">
      <c r="B619" t="str">
        <f>IFERROR(IF(A619="","",VLOOKUP(A619,CadProd!$A:$B,2,0)),"")</f>
        <v/>
      </c>
      <c r="C619" t="str">
        <f>IFERROR(IF(A619="","",VLOOKUP(A619,CadProd!$A:$C,3,0)),"")</f>
        <v/>
      </c>
      <c r="I619" s="1" t="str">
        <f>IFERROR(IF(A619="","",E619*#REF!),"")</f>
        <v/>
      </c>
    </row>
    <row r="620" spans="2:9" x14ac:dyDescent="0.3">
      <c r="B620" t="str">
        <f>IFERROR(IF(A620="","",VLOOKUP(A620,CadProd!$A:$B,2,0)),"")</f>
        <v/>
      </c>
      <c r="C620" t="str">
        <f>IFERROR(IF(A620="","",VLOOKUP(A620,CadProd!$A:$C,3,0)),"")</f>
        <v/>
      </c>
      <c r="I620" s="1" t="str">
        <f>IFERROR(IF(A620="","",E620*#REF!),"")</f>
        <v/>
      </c>
    </row>
    <row r="621" spans="2:9" x14ac:dyDescent="0.3">
      <c r="B621" t="str">
        <f>IFERROR(IF(A621="","",VLOOKUP(A621,CadProd!$A:$B,2,0)),"")</f>
        <v/>
      </c>
      <c r="C621" t="str">
        <f>IFERROR(IF(A621="","",VLOOKUP(A621,CadProd!$A:$C,3,0)),"")</f>
        <v/>
      </c>
      <c r="I621" s="1" t="str">
        <f>IFERROR(IF(A621="","",E621*#REF!),"")</f>
        <v/>
      </c>
    </row>
    <row r="622" spans="2:9" x14ac:dyDescent="0.3">
      <c r="B622" t="str">
        <f>IFERROR(IF(A622="","",VLOOKUP(A622,CadProd!$A:$B,2,0)),"")</f>
        <v/>
      </c>
      <c r="C622" t="str">
        <f>IFERROR(IF(A622="","",VLOOKUP(A622,CadProd!$A:$C,3,0)),"")</f>
        <v/>
      </c>
      <c r="I622" s="1" t="str">
        <f>IFERROR(IF(A622="","",E622*#REF!),"")</f>
        <v/>
      </c>
    </row>
    <row r="623" spans="2:9" x14ac:dyDescent="0.3">
      <c r="B623" t="str">
        <f>IFERROR(IF(A623="","",VLOOKUP(A623,CadProd!$A:$B,2,0)),"")</f>
        <v/>
      </c>
      <c r="C623" t="str">
        <f>IFERROR(IF(A623="","",VLOOKUP(A623,CadProd!$A:$C,3,0)),"")</f>
        <v/>
      </c>
      <c r="I623" s="1" t="str">
        <f>IFERROR(IF(A623="","",E623*#REF!),"")</f>
        <v/>
      </c>
    </row>
    <row r="624" spans="2:9" x14ac:dyDescent="0.3">
      <c r="B624" t="str">
        <f>IFERROR(IF(A624="","",VLOOKUP(A624,CadProd!$A:$B,2,0)),"")</f>
        <v/>
      </c>
      <c r="C624" t="str">
        <f>IFERROR(IF(A624="","",VLOOKUP(A624,CadProd!$A:$C,3,0)),"")</f>
        <v/>
      </c>
      <c r="I624" s="1" t="str">
        <f>IFERROR(IF(A624="","",E624*#REF!),"")</f>
        <v/>
      </c>
    </row>
    <row r="625" spans="2:9" x14ac:dyDescent="0.3">
      <c r="B625" t="str">
        <f>IFERROR(IF(A625="","",VLOOKUP(A625,CadProd!$A:$B,2,0)),"")</f>
        <v/>
      </c>
      <c r="C625" t="str">
        <f>IFERROR(IF(A625="","",VLOOKUP(A625,CadProd!$A:$C,3,0)),"")</f>
        <v/>
      </c>
      <c r="I625" s="1" t="str">
        <f>IFERROR(IF(A625="","",E625*#REF!),"")</f>
        <v/>
      </c>
    </row>
    <row r="626" spans="2:9" x14ac:dyDescent="0.3">
      <c r="B626" t="str">
        <f>IFERROR(IF(A626="","",VLOOKUP(A626,CadProd!$A:$B,2,0)),"")</f>
        <v/>
      </c>
      <c r="C626" t="str">
        <f>IFERROR(IF(A626="","",VLOOKUP(A626,CadProd!$A:$C,3,0)),"")</f>
        <v/>
      </c>
      <c r="I626" s="1" t="str">
        <f>IFERROR(IF(A626="","",E626*#REF!),"")</f>
        <v/>
      </c>
    </row>
    <row r="627" spans="2:9" x14ac:dyDescent="0.3">
      <c r="B627" t="str">
        <f>IFERROR(IF(A627="","",VLOOKUP(A627,CadProd!$A:$B,2,0)),"")</f>
        <v/>
      </c>
      <c r="C627" t="str">
        <f>IFERROR(IF(A627="","",VLOOKUP(A627,CadProd!$A:$C,3,0)),"")</f>
        <v/>
      </c>
      <c r="I627" s="1" t="str">
        <f>IFERROR(IF(A627="","",E627*#REF!),"")</f>
        <v/>
      </c>
    </row>
    <row r="628" spans="2:9" x14ac:dyDescent="0.3">
      <c r="B628" t="str">
        <f>IFERROR(IF(A628="","",VLOOKUP(A628,CadProd!$A:$B,2,0)),"")</f>
        <v/>
      </c>
      <c r="C628" t="str">
        <f>IFERROR(IF(A628="","",VLOOKUP(A628,CadProd!$A:$C,3,0)),"")</f>
        <v/>
      </c>
      <c r="I628" s="1" t="str">
        <f>IFERROR(IF(A628="","",E628*#REF!),"")</f>
        <v/>
      </c>
    </row>
    <row r="629" spans="2:9" x14ac:dyDescent="0.3">
      <c r="B629" t="str">
        <f>IFERROR(IF(A629="","",VLOOKUP(A629,CadProd!$A:$B,2,0)),"")</f>
        <v/>
      </c>
      <c r="C629" t="str">
        <f>IFERROR(IF(A629="","",VLOOKUP(A629,CadProd!$A:$C,3,0)),"")</f>
        <v/>
      </c>
      <c r="I629" s="1" t="str">
        <f>IFERROR(IF(A629="","",E629*#REF!),"")</f>
        <v/>
      </c>
    </row>
    <row r="630" spans="2:9" x14ac:dyDescent="0.3">
      <c r="B630" t="str">
        <f>IFERROR(IF(A630="","",VLOOKUP(A630,CadProd!$A:$B,2,0)),"")</f>
        <v/>
      </c>
      <c r="C630" t="str">
        <f>IFERROR(IF(A630="","",VLOOKUP(A630,CadProd!$A:$C,3,0)),"")</f>
        <v/>
      </c>
      <c r="I630" s="1" t="str">
        <f>IFERROR(IF(A630="","",E630*#REF!),"")</f>
        <v/>
      </c>
    </row>
    <row r="631" spans="2:9" x14ac:dyDescent="0.3">
      <c r="B631" t="str">
        <f>IFERROR(IF(A631="","",VLOOKUP(A631,CadProd!$A:$B,2,0)),"")</f>
        <v/>
      </c>
      <c r="C631" t="str">
        <f>IFERROR(IF(A631="","",VLOOKUP(A631,CadProd!$A:$C,3,0)),"")</f>
        <v/>
      </c>
      <c r="I631" s="1" t="str">
        <f>IFERROR(IF(A631="","",E631*#REF!),"")</f>
        <v/>
      </c>
    </row>
    <row r="632" spans="2:9" x14ac:dyDescent="0.3">
      <c r="B632" t="str">
        <f>IFERROR(IF(A632="","",VLOOKUP(A632,CadProd!$A:$B,2,0)),"")</f>
        <v/>
      </c>
      <c r="C632" t="str">
        <f>IFERROR(IF(A632="","",VLOOKUP(A632,CadProd!$A:$C,3,0)),"")</f>
        <v/>
      </c>
      <c r="I632" s="1" t="str">
        <f>IFERROR(IF(A632="","",E632*#REF!),"")</f>
        <v/>
      </c>
    </row>
    <row r="633" spans="2:9" x14ac:dyDescent="0.3">
      <c r="B633" t="str">
        <f>IFERROR(IF(A633="","",VLOOKUP(A633,CadProd!$A:$B,2,0)),"")</f>
        <v/>
      </c>
      <c r="C633" t="str">
        <f>IFERROR(IF(A633="","",VLOOKUP(A633,CadProd!$A:$C,3,0)),"")</f>
        <v/>
      </c>
      <c r="I633" s="1" t="str">
        <f>IFERROR(IF(A633="","",E633*#REF!),"")</f>
        <v/>
      </c>
    </row>
    <row r="634" spans="2:9" x14ac:dyDescent="0.3">
      <c r="B634" t="str">
        <f>IFERROR(IF(A634="","",VLOOKUP(A634,CadProd!$A:$B,2,0)),"")</f>
        <v/>
      </c>
      <c r="C634" t="str">
        <f>IFERROR(IF(A634="","",VLOOKUP(A634,CadProd!$A:$C,3,0)),"")</f>
        <v/>
      </c>
      <c r="I634" s="1" t="str">
        <f>IFERROR(IF(A634="","",E634*#REF!),"")</f>
        <v/>
      </c>
    </row>
    <row r="635" spans="2:9" x14ac:dyDescent="0.3">
      <c r="B635" t="str">
        <f>IFERROR(IF(A635="","",VLOOKUP(A635,CadProd!$A:$B,2,0)),"")</f>
        <v/>
      </c>
      <c r="C635" t="str">
        <f>IFERROR(IF(A635="","",VLOOKUP(A635,CadProd!$A:$C,3,0)),"")</f>
        <v/>
      </c>
      <c r="I635" s="1" t="str">
        <f>IFERROR(IF(A635="","",E635*#REF!),"")</f>
        <v/>
      </c>
    </row>
    <row r="636" spans="2:9" x14ac:dyDescent="0.3">
      <c r="B636" t="str">
        <f>IFERROR(IF(A636="","",VLOOKUP(A636,CadProd!$A:$B,2,0)),"")</f>
        <v/>
      </c>
      <c r="C636" t="str">
        <f>IFERROR(IF(A636="","",VLOOKUP(A636,CadProd!$A:$C,3,0)),"")</f>
        <v/>
      </c>
      <c r="I636" s="1" t="str">
        <f>IFERROR(IF(A636="","",E636*#REF!),"")</f>
        <v/>
      </c>
    </row>
    <row r="637" spans="2:9" x14ac:dyDescent="0.3">
      <c r="B637" t="str">
        <f>IFERROR(IF(A637="","",VLOOKUP(A637,CadProd!$A:$B,2,0)),"")</f>
        <v/>
      </c>
      <c r="C637" t="str">
        <f>IFERROR(IF(A637="","",VLOOKUP(A637,CadProd!$A:$C,3,0)),"")</f>
        <v/>
      </c>
      <c r="I637" s="1" t="str">
        <f>IFERROR(IF(A637="","",E637*#REF!),"")</f>
        <v/>
      </c>
    </row>
    <row r="638" spans="2:9" x14ac:dyDescent="0.3">
      <c r="B638" t="str">
        <f>IFERROR(IF(A638="","",VLOOKUP(A638,CadProd!$A:$B,2,0)),"")</f>
        <v/>
      </c>
      <c r="C638" t="str">
        <f>IFERROR(IF(A638="","",VLOOKUP(A638,CadProd!$A:$C,3,0)),"")</f>
        <v/>
      </c>
      <c r="I638" s="1" t="str">
        <f>IFERROR(IF(A638="","",E638*#REF!),"")</f>
        <v/>
      </c>
    </row>
    <row r="639" spans="2:9" x14ac:dyDescent="0.3">
      <c r="B639" t="str">
        <f>IFERROR(IF(A639="","",VLOOKUP(A639,CadProd!$A:$B,2,0)),"")</f>
        <v/>
      </c>
      <c r="C639" t="str">
        <f>IFERROR(IF(A639="","",VLOOKUP(A639,CadProd!$A:$C,3,0)),"")</f>
        <v/>
      </c>
      <c r="I639" s="1" t="str">
        <f>IFERROR(IF(A639="","",E639*#REF!),"")</f>
        <v/>
      </c>
    </row>
    <row r="640" spans="2:9" x14ac:dyDescent="0.3">
      <c r="B640" t="str">
        <f>IFERROR(IF(A640="","",VLOOKUP(A640,CadProd!$A:$B,2,0)),"")</f>
        <v/>
      </c>
      <c r="C640" t="str">
        <f>IFERROR(IF(A640="","",VLOOKUP(A640,CadProd!$A:$C,3,0)),"")</f>
        <v/>
      </c>
      <c r="I640" s="1" t="str">
        <f>IFERROR(IF(A640="","",E640*#REF!),"")</f>
        <v/>
      </c>
    </row>
    <row r="641" spans="2:9" x14ac:dyDescent="0.3">
      <c r="B641" t="str">
        <f>IFERROR(IF(A641="","",VLOOKUP(A641,CadProd!$A:$B,2,0)),"")</f>
        <v/>
      </c>
      <c r="C641" t="str">
        <f>IFERROR(IF(A641="","",VLOOKUP(A641,CadProd!$A:$C,3,0)),"")</f>
        <v/>
      </c>
      <c r="I641" s="1" t="str">
        <f>IFERROR(IF(A641="","",E641*#REF!),"")</f>
        <v/>
      </c>
    </row>
    <row r="642" spans="2:9" x14ac:dyDescent="0.3">
      <c r="B642" t="str">
        <f>IFERROR(IF(A642="","",VLOOKUP(A642,CadProd!$A:$B,2,0)),"")</f>
        <v/>
      </c>
      <c r="C642" t="str">
        <f>IFERROR(IF(A642="","",VLOOKUP(A642,CadProd!$A:$C,3,0)),"")</f>
        <v/>
      </c>
      <c r="I642" s="1" t="str">
        <f>IFERROR(IF(A642="","",E642*#REF!),"")</f>
        <v/>
      </c>
    </row>
    <row r="643" spans="2:9" x14ac:dyDescent="0.3">
      <c r="B643" t="str">
        <f>IFERROR(IF(A643="","",VLOOKUP(A643,CadProd!$A:$B,2,0)),"")</f>
        <v/>
      </c>
      <c r="C643" t="str">
        <f>IFERROR(IF(A643="","",VLOOKUP(A643,CadProd!$A:$C,3,0)),"")</f>
        <v/>
      </c>
      <c r="I643" s="1" t="str">
        <f>IFERROR(IF(A643="","",E643*#REF!),"")</f>
        <v/>
      </c>
    </row>
    <row r="644" spans="2:9" x14ac:dyDescent="0.3">
      <c r="B644" t="str">
        <f>IFERROR(IF(A644="","",VLOOKUP(A644,CadProd!$A:$B,2,0)),"")</f>
        <v/>
      </c>
      <c r="C644" t="str">
        <f>IFERROR(IF(A644="","",VLOOKUP(A644,CadProd!$A:$C,3,0)),"")</f>
        <v/>
      </c>
      <c r="I644" s="1" t="str">
        <f>IFERROR(IF(A644="","",E644*#REF!),"")</f>
        <v/>
      </c>
    </row>
    <row r="645" spans="2:9" x14ac:dyDescent="0.3">
      <c r="B645" t="str">
        <f>IFERROR(IF(A645="","",VLOOKUP(A645,CadProd!$A:$B,2,0)),"")</f>
        <v/>
      </c>
      <c r="C645" t="str">
        <f>IFERROR(IF(A645="","",VLOOKUP(A645,CadProd!$A:$C,3,0)),"")</f>
        <v/>
      </c>
      <c r="I645" s="1" t="str">
        <f>IFERROR(IF(A645="","",E645*#REF!),"")</f>
        <v/>
      </c>
    </row>
    <row r="646" spans="2:9" x14ac:dyDescent="0.3">
      <c r="B646" t="str">
        <f>IFERROR(IF(A646="","",VLOOKUP(A646,CadProd!$A:$B,2,0)),"")</f>
        <v/>
      </c>
      <c r="C646" t="str">
        <f>IFERROR(IF(A646="","",VLOOKUP(A646,CadProd!$A:$C,3,0)),"")</f>
        <v/>
      </c>
      <c r="I646" s="1" t="str">
        <f>IFERROR(IF(A646="","",E646*#REF!),"")</f>
        <v/>
      </c>
    </row>
    <row r="647" spans="2:9" x14ac:dyDescent="0.3">
      <c r="B647" t="str">
        <f>IFERROR(IF(A647="","",VLOOKUP(A647,CadProd!$A:$B,2,0)),"")</f>
        <v/>
      </c>
      <c r="C647" t="str">
        <f>IFERROR(IF(A647="","",VLOOKUP(A647,CadProd!$A:$C,3,0)),"")</f>
        <v/>
      </c>
      <c r="I647" s="1" t="str">
        <f>IFERROR(IF(A647="","",E647*#REF!),"")</f>
        <v/>
      </c>
    </row>
    <row r="648" spans="2:9" x14ac:dyDescent="0.3">
      <c r="B648" t="str">
        <f>IFERROR(IF(A648="","",VLOOKUP(A648,CadProd!$A:$B,2,0)),"")</f>
        <v/>
      </c>
      <c r="C648" t="str">
        <f>IFERROR(IF(A648="","",VLOOKUP(A648,CadProd!$A:$C,3,0)),"")</f>
        <v/>
      </c>
      <c r="I648" s="1" t="str">
        <f>IFERROR(IF(A648="","",E648*#REF!),"")</f>
        <v/>
      </c>
    </row>
    <row r="649" spans="2:9" x14ac:dyDescent="0.3">
      <c r="B649" t="str">
        <f>IFERROR(IF(A649="","",VLOOKUP(A649,CadProd!$A:$B,2,0)),"")</f>
        <v/>
      </c>
      <c r="C649" t="str">
        <f>IFERROR(IF(A649="","",VLOOKUP(A649,CadProd!$A:$C,3,0)),"")</f>
        <v/>
      </c>
      <c r="I649" s="1" t="str">
        <f>IFERROR(IF(A649="","",E649*#REF!),"")</f>
        <v/>
      </c>
    </row>
    <row r="650" spans="2:9" x14ac:dyDescent="0.3">
      <c r="B650" t="str">
        <f>IFERROR(IF(A650="","",VLOOKUP(A650,CadProd!$A:$B,2,0)),"")</f>
        <v/>
      </c>
      <c r="C650" t="str">
        <f>IFERROR(IF(A650="","",VLOOKUP(A650,CadProd!$A:$C,3,0)),"")</f>
        <v/>
      </c>
      <c r="I650" s="1" t="str">
        <f>IFERROR(IF(A650="","",E650*#REF!),"")</f>
        <v/>
      </c>
    </row>
    <row r="651" spans="2:9" x14ac:dyDescent="0.3">
      <c r="B651" t="str">
        <f>IFERROR(IF(A651="","",VLOOKUP(A651,CadProd!$A:$B,2,0)),"")</f>
        <v/>
      </c>
      <c r="C651" t="str">
        <f>IFERROR(IF(A651="","",VLOOKUP(A651,CadProd!$A:$C,3,0)),"")</f>
        <v/>
      </c>
      <c r="I651" s="1" t="str">
        <f>IFERROR(IF(A651="","",E651*#REF!),"")</f>
        <v/>
      </c>
    </row>
    <row r="652" spans="2:9" x14ac:dyDescent="0.3">
      <c r="B652" t="str">
        <f>IFERROR(IF(A652="","",VLOOKUP(A652,CadProd!$A:$B,2,0)),"")</f>
        <v/>
      </c>
      <c r="C652" t="str">
        <f>IFERROR(IF(A652="","",VLOOKUP(A652,CadProd!$A:$C,3,0)),"")</f>
        <v/>
      </c>
      <c r="I652" s="1" t="str">
        <f>IFERROR(IF(A652="","",E652*#REF!),"")</f>
        <v/>
      </c>
    </row>
    <row r="653" spans="2:9" x14ac:dyDescent="0.3">
      <c r="B653" t="str">
        <f>IFERROR(IF(A653="","",VLOOKUP(A653,CadProd!$A:$B,2,0)),"")</f>
        <v/>
      </c>
      <c r="C653" t="str">
        <f>IFERROR(IF(A653="","",VLOOKUP(A653,CadProd!$A:$C,3,0)),"")</f>
        <v/>
      </c>
      <c r="I653" s="1" t="str">
        <f>IFERROR(IF(A653="","",E653*#REF!),"")</f>
        <v/>
      </c>
    </row>
    <row r="654" spans="2:9" x14ac:dyDescent="0.3">
      <c r="B654" t="str">
        <f>IFERROR(IF(A654="","",VLOOKUP(A654,CadProd!$A:$B,2,0)),"")</f>
        <v/>
      </c>
      <c r="C654" t="str">
        <f>IFERROR(IF(A654="","",VLOOKUP(A654,CadProd!$A:$C,3,0)),"")</f>
        <v/>
      </c>
      <c r="I654" s="1" t="str">
        <f>IFERROR(IF(A654="","",E654*#REF!),"")</f>
        <v/>
      </c>
    </row>
    <row r="655" spans="2:9" x14ac:dyDescent="0.3">
      <c r="B655" t="str">
        <f>IFERROR(IF(A655="","",VLOOKUP(A655,CadProd!$A:$B,2,0)),"")</f>
        <v/>
      </c>
      <c r="C655" t="str">
        <f>IFERROR(IF(A655="","",VLOOKUP(A655,CadProd!$A:$C,3,0)),"")</f>
        <v/>
      </c>
      <c r="I655" s="1" t="str">
        <f>IFERROR(IF(A655="","",E655*#REF!),"")</f>
        <v/>
      </c>
    </row>
    <row r="656" spans="2:9" x14ac:dyDescent="0.3">
      <c r="B656" t="str">
        <f>IFERROR(IF(A656="","",VLOOKUP(A656,CadProd!$A:$B,2,0)),"")</f>
        <v/>
      </c>
      <c r="C656" t="str">
        <f>IFERROR(IF(A656="","",VLOOKUP(A656,CadProd!$A:$C,3,0)),"")</f>
        <v/>
      </c>
      <c r="I656" s="1" t="str">
        <f>IFERROR(IF(A656="","",E656*#REF!),"")</f>
        <v/>
      </c>
    </row>
    <row r="657" spans="2:9" x14ac:dyDescent="0.3">
      <c r="B657" t="str">
        <f>IFERROR(IF(A657="","",VLOOKUP(A657,CadProd!$A:$B,2,0)),"")</f>
        <v/>
      </c>
      <c r="C657" t="str">
        <f>IFERROR(IF(A657="","",VLOOKUP(A657,CadProd!$A:$C,3,0)),"")</f>
        <v/>
      </c>
      <c r="I657" s="1" t="str">
        <f>IFERROR(IF(A657="","",E657*#REF!),"")</f>
        <v/>
      </c>
    </row>
    <row r="658" spans="2:9" x14ac:dyDescent="0.3">
      <c r="B658" t="str">
        <f>IFERROR(IF(A658="","",VLOOKUP(A658,CadProd!$A:$B,2,0)),"")</f>
        <v/>
      </c>
      <c r="C658" t="str">
        <f>IFERROR(IF(A658="","",VLOOKUP(A658,CadProd!$A:$C,3,0)),"")</f>
        <v/>
      </c>
      <c r="I658" s="1" t="str">
        <f>IFERROR(IF(A658="","",E658*#REF!),"")</f>
        <v/>
      </c>
    </row>
    <row r="659" spans="2:9" x14ac:dyDescent="0.3">
      <c r="B659" t="str">
        <f>IFERROR(IF(A659="","",VLOOKUP(A659,CadProd!$A:$B,2,0)),"")</f>
        <v/>
      </c>
      <c r="C659" t="str">
        <f>IFERROR(IF(A659="","",VLOOKUP(A659,CadProd!$A:$C,3,0)),"")</f>
        <v/>
      </c>
      <c r="I659" s="1" t="str">
        <f>IFERROR(IF(A659="","",E659*#REF!),"")</f>
        <v/>
      </c>
    </row>
    <row r="660" spans="2:9" x14ac:dyDescent="0.3">
      <c r="B660" t="str">
        <f>IFERROR(IF(A660="","",VLOOKUP(A660,CadProd!$A:$B,2,0)),"")</f>
        <v/>
      </c>
      <c r="C660" t="str">
        <f>IFERROR(IF(A660="","",VLOOKUP(A660,CadProd!$A:$C,3,0)),"")</f>
        <v/>
      </c>
      <c r="I660" s="1" t="str">
        <f>IFERROR(IF(A660="","",E660*#REF!),"")</f>
        <v/>
      </c>
    </row>
    <row r="661" spans="2:9" x14ac:dyDescent="0.3">
      <c r="B661" t="str">
        <f>IFERROR(IF(A661="","",VLOOKUP(A661,CadProd!$A:$B,2,0)),"")</f>
        <v/>
      </c>
      <c r="C661" t="str">
        <f>IFERROR(IF(A661="","",VLOOKUP(A661,CadProd!$A:$C,3,0)),"")</f>
        <v/>
      </c>
      <c r="I661" s="1" t="str">
        <f>IFERROR(IF(A661="","",E661*#REF!),"")</f>
        <v/>
      </c>
    </row>
    <row r="662" spans="2:9" x14ac:dyDescent="0.3">
      <c r="B662" t="str">
        <f>IFERROR(IF(A662="","",VLOOKUP(A662,CadProd!$A:$B,2,0)),"")</f>
        <v/>
      </c>
      <c r="C662" t="str">
        <f>IFERROR(IF(A662="","",VLOOKUP(A662,CadProd!$A:$C,3,0)),"")</f>
        <v/>
      </c>
      <c r="I662" s="1" t="str">
        <f>IFERROR(IF(A662="","",E662*#REF!),"")</f>
        <v/>
      </c>
    </row>
    <row r="663" spans="2:9" x14ac:dyDescent="0.3">
      <c r="B663" t="str">
        <f>IFERROR(IF(A663="","",VLOOKUP(A663,CadProd!$A:$B,2,0)),"")</f>
        <v/>
      </c>
      <c r="C663" t="str">
        <f>IFERROR(IF(A663="","",VLOOKUP(A663,CadProd!$A:$C,3,0)),"")</f>
        <v/>
      </c>
      <c r="I663" s="1" t="str">
        <f>IFERROR(IF(A663="","",E663*#REF!),"")</f>
        <v/>
      </c>
    </row>
    <row r="664" spans="2:9" x14ac:dyDescent="0.3">
      <c r="B664" t="str">
        <f>IFERROR(IF(A664="","",VLOOKUP(A664,CadProd!$A:$B,2,0)),"")</f>
        <v/>
      </c>
      <c r="C664" t="str">
        <f>IFERROR(IF(A664="","",VLOOKUP(A664,CadProd!$A:$C,3,0)),"")</f>
        <v/>
      </c>
      <c r="I664" s="1" t="str">
        <f>IFERROR(IF(A664="","",E664*#REF!),"")</f>
        <v/>
      </c>
    </row>
    <row r="665" spans="2:9" x14ac:dyDescent="0.3">
      <c r="B665" t="str">
        <f>IFERROR(IF(A665="","",VLOOKUP(A665,CadProd!$A:$B,2,0)),"")</f>
        <v/>
      </c>
      <c r="C665" t="str">
        <f>IFERROR(IF(A665="","",VLOOKUP(A665,CadProd!$A:$C,3,0)),"")</f>
        <v/>
      </c>
      <c r="I665" s="1" t="str">
        <f>IFERROR(IF(A665="","",E665*#REF!),"")</f>
        <v/>
      </c>
    </row>
    <row r="666" spans="2:9" x14ac:dyDescent="0.3">
      <c r="B666" t="str">
        <f>IFERROR(IF(A666="","",VLOOKUP(A666,CadProd!$A:$B,2,0)),"")</f>
        <v/>
      </c>
      <c r="C666" t="str">
        <f>IFERROR(IF(A666="","",VLOOKUP(A666,CadProd!$A:$C,3,0)),"")</f>
        <v/>
      </c>
      <c r="I666" s="1" t="str">
        <f>IFERROR(IF(A666="","",E666*#REF!),"")</f>
        <v/>
      </c>
    </row>
    <row r="667" spans="2:9" x14ac:dyDescent="0.3">
      <c r="B667" t="str">
        <f>IFERROR(IF(A667="","",VLOOKUP(A667,CadProd!$A:$B,2,0)),"")</f>
        <v/>
      </c>
      <c r="C667" t="str">
        <f>IFERROR(IF(A667="","",VLOOKUP(A667,CadProd!$A:$C,3,0)),"")</f>
        <v/>
      </c>
      <c r="I667" s="1" t="str">
        <f>IFERROR(IF(A667="","",E667*#REF!),"")</f>
        <v/>
      </c>
    </row>
    <row r="668" spans="2:9" x14ac:dyDescent="0.3">
      <c r="B668" t="str">
        <f>IFERROR(IF(A668="","",VLOOKUP(A668,CadProd!$A:$B,2,0)),"")</f>
        <v/>
      </c>
      <c r="C668" t="str">
        <f>IFERROR(IF(A668="","",VLOOKUP(A668,CadProd!$A:$C,3,0)),"")</f>
        <v/>
      </c>
      <c r="I668" s="1" t="str">
        <f>IFERROR(IF(A668="","",E668*#REF!),"")</f>
        <v/>
      </c>
    </row>
    <row r="669" spans="2:9" x14ac:dyDescent="0.3">
      <c r="B669" t="str">
        <f>IFERROR(IF(A669="","",VLOOKUP(A669,CadProd!$A:$B,2,0)),"")</f>
        <v/>
      </c>
      <c r="C669" t="str">
        <f>IFERROR(IF(A669="","",VLOOKUP(A669,CadProd!$A:$C,3,0)),"")</f>
        <v/>
      </c>
      <c r="I669" s="1" t="str">
        <f>IFERROR(IF(A669="","",E669*#REF!),"")</f>
        <v/>
      </c>
    </row>
    <row r="670" spans="2:9" x14ac:dyDescent="0.3">
      <c r="B670" t="str">
        <f>IFERROR(IF(A670="","",VLOOKUP(A670,CadProd!$A:$B,2,0)),"")</f>
        <v/>
      </c>
      <c r="C670" t="str">
        <f>IFERROR(IF(A670="","",VLOOKUP(A670,CadProd!$A:$C,3,0)),"")</f>
        <v/>
      </c>
      <c r="I670" s="1" t="str">
        <f>IFERROR(IF(A670="","",E670*#REF!),"")</f>
        <v/>
      </c>
    </row>
    <row r="671" spans="2:9" x14ac:dyDescent="0.3">
      <c r="B671" t="str">
        <f>IFERROR(IF(A671="","",VLOOKUP(A671,CadProd!$A:$B,2,0)),"")</f>
        <v/>
      </c>
      <c r="C671" t="str">
        <f>IFERROR(IF(A671="","",VLOOKUP(A671,CadProd!$A:$C,3,0)),"")</f>
        <v/>
      </c>
      <c r="I671" s="1" t="str">
        <f>IFERROR(IF(A671="","",E671*#REF!),"")</f>
        <v/>
      </c>
    </row>
    <row r="672" spans="2:9" x14ac:dyDescent="0.3">
      <c r="B672" t="str">
        <f>IFERROR(IF(A672="","",VLOOKUP(A672,CadProd!$A:$B,2,0)),"")</f>
        <v/>
      </c>
      <c r="C672" t="str">
        <f>IFERROR(IF(A672="","",VLOOKUP(A672,CadProd!$A:$C,3,0)),"")</f>
        <v/>
      </c>
      <c r="I672" s="1" t="str">
        <f>IFERROR(IF(A672="","",E672*#REF!),"")</f>
        <v/>
      </c>
    </row>
    <row r="673" spans="2:9" x14ac:dyDescent="0.3">
      <c r="B673" t="str">
        <f>IFERROR(IF(A673="","",VLOOKUP(A673,CadProd!$A:$B,2,0)),"")</f>
        <v/>
      </c>
      <c r="C673" t="str">
        <f>IFERROR(IF(A673="","",VLOOKUP(A673,CadProd!$A:$C,3,0)),"")</f>
        <v/>
      </c>
      <c r="I673" s="1" t="str">
        <f>IFERROR(IF(A673="","",E673*#REF!),"")</f>
        <v/>
      </c>
    </row>
    <row r="674" spans="2:9" x14ac:dyDescent="0.3">
      <c r="B674" t="str">
        <f>IFERROR(IF(A674="","",VLOOKUP(A674,CadProd!$A:$B,2,0)),"")</f>
        <v/>
      </c>
      <c r="C674" t="str">
        <f>IFERROR(IF(A674="","",VLOOKUP(A674,CadProd!$A:$C,3,0)),"")</f>
        <v/>
      </c>
      <c r="I674" s="1" t="str">
        <f>IFERROR(IF(A674="","",E674*#REF!),"")</f>
        <v/>
      </c>
    </row>
    <row r="675" spans="2:9" x14ac:dyDescent="0.3">
      <c r="B675" t="str">
        <f>IFERROR(IF(A675="","",VLOOKUP(A675,CadProd!$A:$B,2,0)),"")</f>
        <v/>
      </c>
      <c r="C675" t="str">
        <f>IFERROR(IF(A675="","",VLOOKUP(A675,CadProd!$A:$C,3,0)),"")</f>
        <v/>
      </c>
      <c r="I675" s="1" t="str">
        <f>IFERROR(IF(A675="","",E675*#REF!),"")</f>
        <v/>
      </c>
    </row>
    <row r="676" spans="2:9" x14ac:dyDescent="0.3">
      <c r="B676" t="str">
        <f>IFERROR(IF(A676="","",VLOOKUP(A676,CadProd!$A:$B,2,0)),"")</f>
        <v/>
      </c>
      <c r="C676" t="str">
        <f>IFERROR(IF(A676="","",VLOOKUP(A676,CadProd!$A:$C,3,0)),"")</f>
        <v/>
      </c>
      <c r="I676" s="1" t="str">
        <f>IFERROR(IF(A676="","",E676*#REF!),"")</f>
        <v/>
      </c>
    </row>
    <row r="677" spans="2:9" x14ac:dyDescent="0.3">
      <c r="B677" t="str">
        <f>IFERROR(IF(A677="","",VLOOKUP(A677,CadProd!$A:$B,2,0)),"")</f>
        <v/>
      </c>
      <c r="C677" t="str">
        <f>IFERROR(IF(A677="","",VLOOKUP(A677,CadProd!$A:$C,3,0)),"")</f>
        <v/>
      </c>
      <c r="I677" s="1" t="str">
        <f>IFERROR(IF(A677="","",E677*#REF!),"")</f>
        <v/>
      </c>
    </row>
    <row r="678" spans="2:9" x14ac:dyDescent="0.3">
      <c r="B678" t="str">
        <f>IFERROR(IF(A678="","",VLOOKUP(A678,CadProd!$A:$B,2,0)),"")</f>
        <v/>
      </c>
      <c r="C678" t="str">
        <f>IFERROR(IF(A678="","",VLOOKUP(A678,CadProd!$A:$C,3,0)),"")</f>
        <v/>
      </c>
      <c r="I678" s="1" t="str">
        <f>IFERROR(IF(A678="","",E678*#REF!),"")</f>
        <v/>
      </c>
    </row>
    <row r="679" spans="2:9" x14ac:dyDescent="0.3">
      <c r="B679" t="str">
        <f>IFERROR(IF(A679="","",VLOOKUP(A679,CadProd!$A:$B,2,0)),"")</f>
        <v/>
      </c>
      <c r="C679" t="str">
        <f>IFERROR(IF(A679="","",VLOOKUP(A679,CadProd!$A:$C,3,0)),"")</f>
        <v/>
      </c>
      <c r="I679" s="1" t="str">
        <f>IFERROR(IF(A679="","",E679*#REF!),"")</f>
        <v/>
      </c>
    </row>
    <row r="680" spans="2:9" x14ac:dyDescent="0.3">
      <c r="B680" t="str">
        <f>IFERROR(IF(A680="","",VLOOKUP(A680,CadProd!$A:$B,2,0)),"")</f>
        <v/>
      </c>
      <c r="C680" t="str">
        <f>IFERROR(IF(A680="","",VLOOKUP(A680,CadProd!$A:$C,3,0)),"")</f>
        <v/>
      </c>
      <c r="I680" s="1" t="str">
        <f>IFERROR(IF(A680="","",E680*#REF!),"")</f>
        <v/>
      </c>
    </row>
    <row r="681" spans="2:9" x14ac:dyDescent="0.3">
      <c r="B681" t="str">
        <f>IFERROR(IF(A681="","",VLOOKUP(A681,CadProd!$A:$B,2,0)),"")</f>
        <v/>
      </c>
      <c r="C681" t="str">
        <f>IFERROR(IF(A681="","",VLOOKUP(A681,CadProd!$A:$C,3,0)),"")</f>
        <v/>
      </c>
      <c r="I681" s="1" t="str">
        <f>IFERROR(IF(A681="","",E681*#REF!),"")</f>
        <v/>
      </c>
    </row>
    <row r="682" spans="2:9" x14ac:dyDescent="0.3">
      <c r="B682" t="str">
        <f>IFERROR(IF(A682="","",VLOOKUP(A682,CadProd!$A:$B,2,0)),"")</f>
        <v/>
      </c>
      <c r="C682" t="str">
        <f>IFERROR(IF(A682="","",VLOOKUP(A682,CadProd!$A:$C,3,0)),"")</f>
        <v/>
      </c>
      <c r="I682" s="1" t="str">
        <f>IFERROR(IF(A682="","",E682*#REF!),"")</f>
        <v/>
      </c>
    </row>
    <row r="683" spans="2:9" x14ac:dyDescent="0.3">
      <c r="B683" t="str">
        <f>IFERROR(IF(A683="","",VLOOKUP(A683,CadProd!$A:$B,2,0)),"")</f>
        <v/>
      </c>
      <c r="C683" t="str">
        <f>IFERROR(IF(A683="","",VLOOKUP(A683,CadProd!$A:$C,3,0)),"")</f>
        <v/>
      </c>
      <c r="I683" s="1" t="str">
        <f>IFERROR(IF(A683="","",E683*#REF!),"")</f>
        <v/>
      </c>
    </row>
    <row r="684" spans="2:9" x14ac:dyDescent="0.3">
      <c r="B684" t="str">
        <f>IFERROR(IF(A684="","",VLOOKUP(A684,CadProd!$A:$B,2,0)),"")</f>
        <v/>
      </c>
      <c r="C684" t="str">
        <f>IFERROR(IF(A684="","",VLOOKUP(A684,CadProd!$A:$C,3,0)),"")</f>
        <v/>
      </c>
      <c r="I684" s="1" t="str">
        <f>IFERROR(IF(A684="","",E684*#REF!),"")</f>
        <v/>
      </c>
    </row>
    <row r="685" spans="2:9" x14ac:dyDescent="0.3">
      <c r="B685" t="str">
        <f>IFERROR(IF(A685="","",VLOOKUP(A685,CadProd!$A:$B,2,0)),"")</f>
        <v/>
      </c>
      <c r="C685" t="str">
        <f>IFERROR(IF(A685="","",VLOOKUP(A685,CadProd!$A:$C,3,0)),"")</f>
        <v/>
      </c>
      <c r="I685" s="1" t="str">
        <f>IFERROR(IF(A685="","",E685*#REF!),"")</f>
        <v/>
      </c>
    </row>
    <row r="686" spans="2:9" x14ac:dyDescent="0.3">
      <c r="B686" t="str">
        <f>IFERROR(IF(A686="","",VLOOKUP(A686,CadProd!$A:$B,2,0)),"")</f>
        <v/>
      </c>
      <c r="C686" t="str">
        <f>IFERROR(IF(A686="","",VLOOKUP(A686,CadProd!$A:$C,3,0)),"")</f>
        <v/>
      </c>
      <c r="I686" s="1" t="str">
        <f>IFERROR(IF(A686="","",E686*#REF!),"")</f>
        <v/>
      </c>
    </row>
    <row r="687" spans="2:9" x14ac:dyDescent="0.3">
      <c r="B687" t="str">
        <f>IFERROR(IF(A687="","",VLOOKUP(A687,CadProd!$A:$B,2,0)),"")</f>
        <v/>
      </c>
      <c r="C687" t="str">
        <f>IFERROR(IF(A687="","",VLOOKUP(A687,CadProd!$A:$C,3,0)),"")</f>
        <v/>
      </c>
      <c r="I687" s="1" t="str">
        <f>IFERROR(IF(A687="","",E687*#REF!),"")</f>
        <v/>
      </c>
    </row>
    <row r="688" spans="2:9" x14ac:dyDescent="0.3">
      <c r="B688" t="str">
        <f>IFERROR(IF(A688="","",VLOOKUP(A688,CadProd!$A:$B,2,0)),"")</f>
        <v/>
      </c>
      <c r="C688" t="str">
        <f>IFERROR(IF(A688="","",VLOOKUP(A688,CadProd!$A:$C,3,0)),"")</f>
        <v/>
      </c>
      <c r="I688" s="1" t="str">
        <f>IFERROR(IF(A688="","",E688*#REF!),"")</f>
        <v/>
      </c>
    </row>
    <row r="689" spans="2:9" x14ac:dyDescent="0.3">
      <c r="B689" t="str">
        <f>IFERROR(IF(A689="","",VLOOKUP(A689,CadProd!$A:$B,2,0)),"")</f>
        <v/>
      </c>
      <c r="C689" t="str">
        <f>IFERROR(IF(A689="","",VLOOKUP(A689,CadProd!$A:$C,3,0)),"")</f>
        <v/>
      </c>
      <c r="I689" s="1" t="str">
        <f>IFERROR(IF(A689="","",E689*#REF!),"")</f>
        <v/>
      </c>
    </row>
    <row r="690" spans="2:9" x14ac:dyDescent="0.3">
      <c r="B690" t="str">
        <f>IFERROR(IF(A690="","",VLOOKUP(A690,CadProd!$A:$B,2,0)),"")</f>
        <v/>
      </c>
      <c r="C690" t="str">
        <f>IFERROR(IF(A690="","",VLOOKUP(A690,CadProd!$A:$C,3,0)),"")</f>
        <v/>
      </c>
      <c r="I690" s="1" t="str">
        <f>IFERROR(IF(A690="","",E690*#REF!),"")</f>
        <v/>
      </c>
    </row>
    <row r="691" spans="2:9" x14ac:dyDescent="0.3">
      <c r="B691" t="str">
        <f>IFERROR(IF(A691="","",VLOOKUP(A691,CadProd!$A:$B,2,0)),"")</f>
        <v/>
      </c>
      <c r="C691" t="str">
        <f>IFERROR(IF(A691="","",VLOOKUP(A691,CadProd!$A:$C,3,0)),"")</f>
        <v/>
      </c>
      <c r="I691" s="1" t="str">
        <f>IFERROR(IF(A691="","",E691*#REF!),"")</f>
        <v/>
      </c>
    </row>
    <row r="692" spans="2:9" x14ac:dyDescent="0.3">
      <c r="B692" t="str">
        <f>IFERROR(IF(A692="","",VLOOKUP(A692,CadProd!$A:$B,2,0)),"")</f>
        <v/>
      </c>
      <c r="C692" t="str">
        <f>IFERROR(IF(A692="","",VLOOKUP(A692,CadProd!$A:$C,3,0)),"")</f>
        <v/>
      </c>
      <c r="I692" s="1" t="str">
        <f>IFERROR(IF(A692="","",E692*#REF!),"")</f>
        <v/>
      </c>
    </row>
    <row r="693" spans="2:9" x14ac:dyDescent="0.3">
      <c r="B693" t="str">
        <f>IFERROR(IF(A693="","",VLOOKUP(A693,CadProd!$A:$B,2,0)),"")</f>
        <v/>
      </c>
      <c r="C693" t="str">
        <f>IFERROR(IF(A693="","",VLOOKUP(A693,CadProd!$A:$C,3,0)),"")</f>
        <v/>
      </c>
      <c r="I693" s="1" t="str">
        <f>IFERROR(IF(A693="","",E693*#REF!),"")</f>
        <v/>
      </c>
    </row>
    <row r="694" spans="2:9" x14ac:dyDescent="0.3">
      <c r="B694" t="str">
        <f>IFERROR(IF(A694="","",VLOOKUP(A694,CadProd!$A:$B,2,0)),"")</f>
        <v/>
      </c>
      <c r="C694" t="str">
        <f>IFERROR(IF(A694="","",VLOOKUP(A694,CadProd!$A:$C,3,0)),"")</f>
        <v/>
      </c>
      <c r="I694" s="1" t="str">
        <f>IFERROR(IF(A694="","",E694*#REF!),"")</f>
        <v/>
      </c>
    </row>
    <row r="695" spans="2:9" x14ac:dyDescent="0.3">
      <c r="B695" t="str">
        <f>IFERROR(IF(A695="","",VLOOKUP(A695,CadProd!$A:$B,2,0)),"")</f>
        <v/>
      </c>
      <c r="C695" t="str">
        <f>IFERROR(IF(A695="","",VLOOKUP(A695,CadProd!$A:$C,3,0)),"")</f>
        <v/>
      </c>
      <c r="I695" s="1" t="str">
        <f>IFERROR(IF(A695="","",E695*#REF!),"")</f>
        <v/>
      </c>
    </row>
    <row r="696" spans="2:9" x14ac:dyDescent="0.3">
      <c r="B696" t="str">
        <f>IFERROR(IF(A696="","",VLOOKUP(A696,CadProd!$A:$B,2,0)),"")</f>
        <v/>
      </c>
      <c r="C696" t="str">
        <f>IFERROR(IF(A696="","",VLOOKUP(A696,CadProd!$A:$C,3,0)),"")</f>
        <v/>
      </c>
      <c r="I696" s="1" t="str">
        <f>IFERROR(IF(A696="","",E696*#REF!),"")</f>
        <v/>
      </c>
    </row>
    <row r="697" spans="2:9" x14ac:dyDescent="0.3">
      <c r="B697" t="str">
        <f>IFERROR(IF(A697="","",VLOOKUP(A697,CadProd!$A:$B,2,0)),"")</f>
        <v/>
      </c>
      <c r="C697" t="str">
        <f>IFERROR(IF(A697="","",VLOOKUP(A697,CadProd!$A:$C,3,0)),"")</f>
        <v/>
      </c>
      <c r="I697" s="1" t="str">
        <f>IFERROR(IF(A697="","",E697*#REF!),"")</f>
        <v/>
      </c>
    </row>
    <row r="698" spans="2:9" x14ac:dyDescent="0.3">
      <c r="B698" t="str">
        <f>IFERROR(IF(A698="","",VLOOKUP(A698,CadProd!$A:$B,2,0)),"")</f>
        <v/>
      </c>
      <c r="C698" t="str">
        <f>IFERROR(IF(A698="","",VLOOKUP(A698,CadProd!$A:$C,3,0)),"")</f>
        <v/>
      </c>
      <c r="I698" s="1" t="str">
        <f>IFERROR(IF(A698="","",E698*#REF!),"")</f>
        <v/>
      </c>
    </row>
    <row r="699" spans="2:9" x14ac:dyDescent="0.3">
      <c r="B699" t="str">
        <f>IFERROR(IF(A699="","",VLOOKUP(A699,CadProd!$A:$B,2,0)),"")</f>
        <v/>
      </c>
      <c r="C699" t="str">
        <f>IFERROR(IF(A699="","",VLOOKUP(A699,CadProd!$A:$C,3,0)),"")</f>
        <v/>
      </c>
      <c r="I699" s="1" t="str">
        <f>IFERROR(IF(A699="","",E699*#REF!),"")</f>
        <v/>
      </c>
    </row>
    <row r="700" spans="2:9" x14ac:dyDescent="0.3">
      <c r="B700" t="str">
        <f>IFERROR(IF(A700="","",VLOOKUP(A700,CadProd!$A:$B,2,0)),"")</f>
        <v/>
      </c>
      <c r="C700" t="str">
        <f>IFERROR(IF(A700="","",VLOOKUP(A700,CadProd!$A:$C,3,0)),"")</f>
        <v/>
      </c>
      <c r="I700" s="1" t="str">
        <f>IFERROR(IF(A700="","",E700*#REF!),"")</f>
        <v/>
      </c>
    </row>
    <row r="701" spans="2:9" x14ac:dyDescent="0.3">
      <c r="B701" t="str">
        <f>IFERROR(IF(A701="","",VLOOKUP(A701,CadProd!$A:$B,2,0)),"")</f>
        <v/>
      </c>
      <c r="C701" t="str">
        <f>IFERROR(IF(A701="","",VLOOKUP(A701,CadProd!$A:$C,3,0)),"")</f>
        <v/>
      </c>
      <c r="I701" s="1" t="str">
        <f>IFERROR(IF(A701="","",E701*#REF!),"")</f>
        <v/>
      </c>
    </row>
    <row r="702" spans="2:9" x14ac:dyDescent="0.3">
      <c r="B702" t="str">
        <f>IFERROR(IF(A702="","",VLOOKUP(A702,CadProd!$A:$B,2,0)),"")</f>
        <v/>
      </c>
      <c r="C702" t="str">
        <f>IFERROR(IF(A702="","",VLOOKUP(A702,CadProd!$A:$C,3,0)),"")</f>
        <v/>
      </c>
      <c r="I702" s="1" t="str">
        <f>IFERROR(IF(A702="","",E702*#REF!),"")</f>
        <v/>
      </c>
    </row>
    <row r="703" spans="2:9" x14ac:dyDescent="0.3">
      <c r="B703" t="str">
        <f>IFERROR(IF(A703="","",VLOOKUP(A703,CadProd!$A:$B,2,0)),"")</f>
        <v/>
      </c>
      <c r="C703" t="str">
        <f>IFERROR(IF(A703="","",VLOOKUP(A703,CadProd!$A:$C,3,0)),"")</f>
        <v/>
      </c>
      <c r="I703" s="1" t="str">
        <f>IFERROR(IF(A703="","",E703*#REF!),"")</f>
        <v/>
      </c>
    </row>
    <row r="704" spans="2:9" x14ac:dyDescent="0.3">
      <c r="B704" t="str">
        <f>IFERROR(IF(A704="","",VLOOKUP(A704,CadProd!$A:$B,2,0)),"")</f>
        <v/>
      </c>
      <c r="C704" t="str">
        <f>IFERROR(IF(A704="","",VLOOKUP(A704,CadProd!$A:$C,3,0)),"")</f>
        <v/>
      </c>
      <c r="I704" s="1" t="str">
        <f>IFERROR(IF(A704="","",E704*#REF!),"")</f>
        <v/>
      </c>
    </row>
    <row r="705" spans="2:9" x14ac:dyDescent="0.3">
      <c r="B705" t="str">
        <f>IFERROR(IF(A705="","",VLOOKUP(A705,CadProd!$A:$B,2,0)),"")</f>
        <v/>
      </c>
      <c r="C705" t="str">
        <f>IFERROR(IF(A705="","",VLOOKUP(A705,CadProd!$A:$C,3,0)),"")</f>
        <v/>
      </c>
      <c r="I705" s="1" t="str">
        <f>IFERROR(IF(A705="","",E705*#REF!),"")</f>
        <v/>
      </c>
    </row>
    <row r="706" spans="2:9" x14ac:dyDescent="0.3">
      <c r="B706" t="str">
        <f>IFERROR(IF(A706="","",VLOOKUP(A706,CadProd!$A:$B,2,0)),"")</f>
        <v/>
      </c>
      <c r="C706" t="str">
        <f>IFERROR(IF(A706="","",VLOOKUP(A706,CadProd!$A:$C,3,0)),"")</f>
        <v/>
      </c>
      <c r="I706" s="1" t="str">
        <f>IFERROR(IF(A706="","",E706*#REF!),"")</f>
        <v/>
      </c>
    </row>
    <row r="707" spans="2:9" x14ac:dyDescent="0.3">
      <c r="B707" t="str">
        <f>IFERROR(IF(A707="","",VLOOKUP(A707,CadProd!$A:$B,2,0)),"")</f>
        <v/>
      </c>
      <c r="C707" t="str">
        <f>IFERROR(IF(A707="","",VLOOKUP(A707,CadProd!$A:$C,3,0)),"")</f>
        <v/>
      </c>
      <c r="I707" s="1" t="str">
        <f>IFERROR(IF(A707="","",E707*#REF!),"")</f>
        <v/>
      </c>
    </row>
    <row r="708" spans="2:9" x14ac:dyDescent="0.3">
      <c r="B708" t="str">
        <f>IFERROR(IF(A708="","",VLOOKUP(A708,CadProd!$A:$B,2,0)),"")</f>
        <v/>
      </c>
      <c r="C708" t="str">
        <f>IFERROR(IF(A708="","",VLOOKUP(A708,CadProd!$A:$C,3,0)),"")</f>
        <v/>
      </c>
      <c r="I708" s="1" t="str">
        <f>IFERROR(IF(A708="","",E708*#REF!),"")</f>
        <v/>
      </c>
    </row>
    <row r="709" spans="2:9" x14ac:dyDescent="0.3">
      <c r="B709" t="str">
        <f>IFERROR(IF(A709="","",VLOOKUP(A709,CadProd!$A:$B,2,0)),"")</f>
        <v/>
      </c>
      <c r="C709" t="str">
        <f>IFERROR(IF(A709="","",VLOOKUP(A709,CadProd!$A:$C,3,0)),"")</f>
        <v/>
      </c>
      <c r="I709" s="1" t="str">
        <f>IFERROR(IF(A709="","",E709*#REF!),"")</f>
        <v/>
      </c>
    </row>
    <row r="710" spans="2:9" x14ac:dyDescent="0.3">
      <c r="B710" t="str">
        <f>IFERROR(IF(A710="","",VLOOKUP(A710,CadProd!$A:$B,2,0)),"")</f>
        <v/>
      </c>
      <c r="C710" t="str">
        <f>IFERROR(IF(A710="","",VLOOKUP(A710,CadProd!$A:$C,3,0)),"")</f>
        <v/>
      </c>
      <c r="I710" s="1" t="str">
        <f>IFERROR(IF(A710="","",E710*#REF!),"")</f>
        <v/>
      </c>
    </row>
    <row r="711" spans="2:9" x14ac:dyDescent="0.3">
      <c r="B711" t="str">
        <f>IFERROR(IF(A711="","",VLOOKUP(A711,CadProd!$A:$B,2,0)),"")</f>
        <v/>
      </c>
      <c r="C711" t="str">
        <f>IFERROR(IF(A711="","",VLOOKUP(A711,CadProd!$A:$C,3,0)),"")</f>
        <v/>
      </c>
      <c r="I711" s="1" t="str">
        <f>IFERROR(IF(A711="","",E711*#REF!),"")</f>
        <v/>
      </c>
    </row>
    <row r="712" spans="2:9" x14ac:dyDescent="0.3">
      <c r="B712" t="str">
        <f>IFERROR(IF(A712="","",VLOOKUP(A712,CadProd!$A:$B,2,0)),"")</f>
        <v/>
      </c>
      <c r="C712" t="str">
        <f>IFERROR(IF(A712="","",VLOOKUP(A712,CadProd!$A:$C,3,0)),"")</f>
        <v/>
      </c>
      <c r="I712" s="1" t="str">
        <f>IFERROR(IF(A712="","",E712*#REF!),"")</f>
        <v/>
      </c>
    </row>
    <row r="713" spans="2:9" x14ac:dyDescent="0.3">
      <c r="B713" t="str">
        <f>IFERROR(IF(A713="","",VLOOKUP(A713,CadProd!$A:$B,2,0)),"")</f>
        <v/>
      </c>
      <c r="C713" t="str">
        <f>IFERROR(IF(A713="","",VLOOKUP(A713,CadProd!$A:$C,3,0)),"")</f>
        <v/>
      </c>
      <c r="I713" s="1" t="str">
        <f>IFERROR(IF(A713="","",E713*#REF!),"")</f>
        <v/>
      </c>
    </row>
    <row r="714" spans="2:9" x14ac:dyDescent="0.3">
      <c r="B714" t="str">
        <f>IFERROR(IF(A714="","",VLOOKUP(A714,CadProd!$A:$B,2,0)),"")</f>
        <v/>
      </c>
      <c r="C714" t="str">
        <f>IFERROR(IF(A714="","",VLOOKUP(A714,CadProd!$A:$C,3,0)),"")</f>
        <v/>
      </c>
      <c r="I714" s="1" t="str">
        <f>IFERROR(IF(A714="","",E714*#REF!),"")</f>
        <v/>
      </c>
    </row>
    <row r="715" spans="2:9" x14ac:dyDescent="0.3">
      <c r="B715" t="str">
        <f>IFERROR(IF(A715="","",VLOOKUP(A715,CadProd!$A:$B,2,0)),"")</f>
        <v/>
      </c>
      <c r="C715" t="str">
        <f>IFERROR(IF(A715="","",VLOOKUP(A715,CadProd!$A:$C,3,0)),"")</f>
        <v/>
      </c>
      <c r="I715" s="1" t="str">
        <f>IFERROR(IF(A715="","",E715*#REF!),"")</f>
        <v/>
      </c>
    </row>
    <row r="716" spans="2:9" x14ac:dyDescent="0.3">
      <c r="B716" t="str">
        <f>IFERROR(IF(A716="","",VLOOKUP(A716,CadProd!$A:$B,2,0)),"")</f>
        <v/>
      </c>
      <c r="C716" t="str">
        <f>IFERROR(IF(A716="","",VLOOKUP(A716,CadProd!$A:$C,3,0)),"")</f>
        <v/>
      </c>
      <c r="I716" s="1" t="str">
        <f>IFERROR(IF(A716="","",E716*#REF!),"")</f>
        <v/>
      </c>
    </row>
    <row r="717" spans="2:9" x14ac:dyDescent="0.3">
      <c r="B717" t="str">
        <f>IFERROR(IF(A717="","",VLOOKUP(A717,CadProd!$A:$B,2,0)),"")</f>
        <v/>
      </c>
      <c r="C717" t="str">
        <f>IFERROR(IF(A717="","",VLOOKUP(A717,CadProd!$A:$C,3,0)),"")</f>
        <v/>
      </c>
      <c r="I717" s="1" t="str">
        <f>IFERROR(IF(A717="","",E717*#REF!),"")</f>
        <v/>
      </c>
    </row>
    <row r="718" spans="2:9" x14ac:dyDescent="0.3">
      <c r="B718" t="str">
        <f>IFERROR(IF(A718="","",VLOOKUP(A718,CadProd!$A:$B,2,0)),"")</f>
        <v/>
      </c>
      <c r="C718" t="str">
        <f>IFERROR(IF(A718="","",VLOOKUP(A718,CadProd!$A:$C,3,0)),"")</f>
        <v/>
      </c>
      <c r="I718" s="1" t="str">
        <f>IFERROR(IF(A718="","",E718*#REF!),"")</f>
        <v/>
      </c>
    </row>
    <row r="719" spans="2:9" x14ac:dyDescent="0.3">
      <c r="B719" t="str">
        <f>IFERROR(IF(A719="","",VLOOKUP(A719,CadProd!$A:$B,2,0)),"")</f>
        <v/>
      </c>
      <c r="C719" t="str">
        <f>IFERROR(IF(A719="","",VLOOKUP(A719,CadProd!$A:$C,3,0)),"")</f>
        <v/>
      </c>
      <c r="I719" s="1" t="str">
        <f>IFERROR(IF(A719="","",E719*#REF!),"")</f>
        <v/>
      </c>
    </row>
    <row r="720" spans="2:9" x14ac:dyDescent="0.3">
      <c r="B720" t="str">
        <f>IFERROR(IF(A720="","",VLOOKUP(A720,CadProd!$A:$B,2,0)),"")</f>
        <v/>
      </c>
      <c r="C720" t="str">
        <f>IFERROR(IF(A720="","",VLOOKUP(A720,CadProd!$A:$C,3,0)),"")</f>
        <v/>
      </c>
      <c r="I720" s="1" t="str">
        <f>IFERROR(IF(A720="","",E720*#REF!),"")</f>
        <v/>
      </c>
    </row>
    <row r="721" spans="2:9" x14ac:dyDescent="0.3">
      <c r="B721" t="str">
        <f>IFERROR(IF(A721="","",VLOOKUP(A721,CadProd!$A:$B,2,0)),"")</f>
        <v/>
      </c>
      <c r="C721" t="str">
        <f>IFERROR(IF(A721="","",VLOOKUP(A721,CadProd!$A:$C,3,0)),"")</f>
        <v/>
      </c>
      <c r="I721" s="1" t="str">
        <f>IFERROR(IF(A721="","",E721*#REF!),"")</f>
        <v/>
      </c>
    </row>
    <row r="722" spans="2:9" x14ac:dyDescent="0.3">
      <c r="B722" t="str">
        <f>IFERROR(IF(A722="","",VLOOKUP(A722,CadProd!$A:$B,2,0)),"")</f>
        <v/>
      </c>
      <c r="C722" t="str">
        <f>IFERROR(IF(A722="","",VLOOKUP(A722,CadProd!$A:$C,3,0)),"")</f>
        <v/>
      </c>
      <c r="I722" s="1" t="str">
        <f>IFERROR(IF(A722="","",E722*#REF!),"")</f>
        <v/>
      </c>
    </row>
    <row r="723" spans="2:9" x14ac:dyDescent="0.3">
      <c r="B723" t="str">
        <f>IFERROR(IF(A723="","",VLOOKUP(A723,CadProd!$A:$B,2,0)),"")</f>
        <v/>
      </c>
      <c r="C723" t="str">
        <f>IFERROR(IF(A723="","",VLOOKUP(A723,CadProd!$A:$C,3,0)),"")</f>
        <v/>
      </c>
      <c r="I723" s="1" t="str">
        <f>IFERROR(IF(A723="","",E723*#REF!),"")</f>
        <v/>
      </c>
    </row>
    <row r="724" spans="2:9" x14ac:dyDescent="0.3">
      <c r="B724" t="str">
        <f>IFERROR(IF(A724="","",VLOOKUP(A724,CadProd!$A:$B,2,0)),"")</f>
        <v/>
      </c>
      <c r="C724" t="str">
        <f>IFERROR(IF(A724="","",VLOOKUP(A724,CadProd!$A:$C,3,0)),"")</f>
        <v/>
      </c>
      <c r="I724" s="1" t="str">
        <f>IFERROR(IF(A724="","",E724*#REF!),"")</f>
        <v/>
      </c>
    </row>
    <row r="725" spans="2:9" x14ac:dyDescent="0.3">
      <c r="B725" t="str">
        <f>IFERROR(IF(A725="","",VLOOKUP(A725,CadProd!$A:$B,2,0)),"")</f>
        <v/>
      </c>
      <c r="C725" t="str">
        <f>IFERROR(IF(A725="","",VLOOKUP(A725,CadProd!$A:$C,3,0)),"")</f>
        <v/>
      </c>
      <c r="I725" s="1" t="str">
        <f>IFERROR(IF(A725="","",E725*#REF!),"")</f>
        <v/>
      </c>
    </row>
    <row r="726" spans="2:9" x14ac:dyDescent="0.3">
      <c r="B726" t="str">
        <f>IFERROR(IF(A726="","",VLOOKUP(A726,CadProd!$A:$B,2,0)),"")</f>
        <v/>
      </c>
      <c r="C726" t="str">
        <f>IFERROR(IF(A726="","",VLOOKUP(A726,CadProd!$A:$C,3,0)),"")</f>
        <v/>
      </c>
      <c r="I726" s="1" t="str">
        <f>IFERROR(IF(A726="","",E726*#REF!),"")</f>
        <v/>
      </c>
    </row>
    <row r="727" spans="2:9" x14ac:dyDescent="0.3">
      <c r="B727" t="str">
        <f>IFERROR(IF(A727="","",VLOOKUP(A727,CadProd!$A:$B,2,0)),"")</f>
        <v/>
      </c>
      <c r="C727" t="str">
        <f>IFERROR(IF(A727="","",VLOOKUP(A727,CadProd!$A:$C,3,0)),"")</f>
        <v/>
      </c>
      <c r="I727" s="1" t="str">
        <f>IFERROR(IF(A727="","",E727*#REF!),"")</f>
        <v/>
      </c>
    </row>
    <row r="728" spans="2:9" x14ac:dyDescent="0.3">
      <c r="B728" t="str">
        <f>IFERROR(IF(A728="","",VLOOKUP(A728,CadProd!$A:$B,2,0)),"")</f>
        <v/>
      </c>
      <c r="C728" t="str">
        <f>IFERROR(IF(A728="","",VLOOKUP(A728,CadProd!$A:$C,3,0)),"")</f>
        <v/>
      </c>
      <c r="I728" s="1" t="str">
        <f>IFERROR(IF(A728="","",E728*#REF!),"")</f>
        <v/>
      </c>
    </row>
    <row r="729" spans="2:9" x14ac:dyDescent="0.3">
      <c r="B729" t="str">
        <f>IFERROR(IF(A729="","",VLOOKUP(A729,CadProd!$A:$B,2,0)),"")</f>
        <v/>
      </c>
      <c r="C729" t="str">
        <f>IFERROR(IF(A729="","",VLOOKUP(A729,CadProd!$A:$C,3,0)),"")</f>
        <v/>
      </c>
      <c r="I729" s="1" t="str">
        <f>IFERROR(IF(A729="","",E729*#REF!),"")</f>
        <v/>
      </c>
    </row>
    <row r="730" spans="2:9" x14ac:dyDescent="0.3">
      <c r="B730" t="str">
        <f>IFERROR(IF(A730="","",VLOOKUP(A730,CadProd!$A:$B,2,0)),"")</f>
        <v/>
      </c>
      <c r="C730" t="str">
        <f>IFERROR(IF(A730="","",VLOOKUP(A730,CadProd!$A:$C,3,0)),"")</f>
        <v/>
      </c>
      <c r="I730" s="1" t="str">
        <f>IFERROR(IF(A730="","",E730*#REF!),"")</f>
        <v/>
      </c>
    </row>
    <row r="731" spans="2:9" x14ac:dyDescent="0.3">
      <c r="B731" t="str">
        <f>IFERROR(IF(A731="","",VLOOKUP(A731,CadProd!$A:$B,2,0)),"")</f>
        <v/>
      </c>
      <c r="C731" t="str">
        <f>IFERROR(IF(A731="","",VLOOKUP(A731,CadProd!$A:$C,3,0)),"")</f>
        <v/>
      </c>
      <c r="I731" s="1" t="str">
        <f>IFERROR(IF(A731="","",E731*#REF!),"")</f>
        <v/>
      </c>
    </row>
    <row r="732" spans="2:9" x14ac:dyDescent="0.3">
      <c r="B732" t="str">
        <f>IFERROR(IF(A732="","",VLOOKUP(A732,CadProd!$A:$B,2,0)),"")</f>
        <v/>
      </c>
      <c r="C732" t="str">
        <f>IFERROR(IF(A732="","",VLOOKUP(A732,CadProd!$A:$C,3,0)),"")</f>
        <v/>
      </c>
      <c r="I732" s="1" t="str">
        <f>IFERROR(IF(A732="","",E732*#REF!),"")</f>
        <v/>
      </c>
    </row>
    <row r="733" spans="2:9" x14ac:dyDescent="0.3">
      <c r="B733" t="str">
        <f>IFERROR(IF(A733="","",VLOOKUP(A733,CadProd!$A:$B,2,0)),"")</f>
        <v/>
      </c>
      <c r="C733" t="str">
        <f>IFERROR(IF(A733="","",VLOOKUP(A733,CadProd!$A:$C,3,0)),"")</f>
        <v/>
      </c>
      <c r="I733" s="1" t="str">
        <f>IFERROR(IF(A733="","",E733*#REF!),"")</f>
        <v/>
      </c>
    </row>
    <row r="734" spans="2:9" x14ac:dyDescent="0.3">
      <c r="B734" t="str">
        <f>IFERROR(IF(A734="","",VLOOKUP(A734,CadProd!$A:$B,2,0)),"")</f>
        <v/>
      </c>
      <c r="C734" t="str">
        <f>IFERROR(IF(A734="","",VLOOKUP(A734,CadProd!$A:$C,3,0)),"")</f>
        <v/>
      </c>
      <c r="I734" s="1" t="str">
        <f>IFERROR(IF(A734="","",E734*#REF!),"")</f>
        <v/>
      </c>
    </row>
    <row r="735" spans="2:9" x14ac:dyDescent="0.3">
      <c r="B735" t="str">
        <f>IFERROR(IF(A735="","",VLOOKUP(A735,CadProd!$A:$B,2,0)),"")</f>
        <v/>
      </c>
      <c r="C735" t="str">
        <f>IFERROR(IF(A735="","",VLOOKUP(A735,CadProd!$A:$C,3,0)),"")</f>
        <v/>
      </c>
      <c r="I735" s="1" t="str">
        <f>IFERROR(IF(A735="","",E735*#REF!),"")</f>
        <v/>
      </c>
    </row>
    <row r="736" spans="2:9" x14ac:dyDescent="0.3">
      <c r="B736" t="str">
        <f>IFERROR(IF(A736="","",VLOOKUP(A736,CadProd!$A:$B,2,0)),"")</f>
        <v/>
      </c>
      <c r="C736" t="str">
        <f>IFERROR(IF(A736="","",VLOOKUP(A736,CadProd!$A:$C,3,0)),"")</f>
        <v/>
      </c>
      <c r="I736" s="1" t="str">
        <f>IFERROR(IF(A736="","",E736*#REF!),"")</f>
        <v/>
      </c>
    </row>
    <row r="737" spans="2:9" x14ac:dyDescent="0.3">
      <c r="B737" t="str">
        <f>IFERROR(IF(A737="","",VLOOKUP(A737,CadProd!$A:$B,2,0)),"")</f>
        <v/>
      </c>
      <c r="C737" t="str">
        <f>IFERROR(IF(A737="","",VLOOKUP(A737,CadProd!$A:$C,3,0)),"")</f>
        <v/>
      </c>
      <c r="I737" s="1" t="str">
        <f>IFERROR(IF(A737="","",E737*#REF!),"")</f>
        <v/>
      </c>
    </row>
    <row r="738" spans="2:9" x14ac:dyDescent="0.3">
      <c r="B738" t="str">
        <f>IFERROR(IF(A738="","",VLOOKUP(A738,CadProd!$A:$B,2,0)),"")</f>
        <v/>
      </c>
      <c r="C738" t="str">
        <f>IFERROR(IF(A738="","",VLOOKUP(A738,CadProd!$A:$C,3,0)),"")</f>
        <v/>
      </c>
      <c r="I738" s="1" t="str">
        <f>IFERROR(IF(A738="","",E738*#REF!),"")</f>
        <v/>
      </c>
    </row>
    <row r="739" spans="2:9" x14ac:dyDescent="0.3">
      <c r="B739" t="str">
        <f>IFERROR(IF(A739="","",VLOOKUP(A739,CadProd!$A:$B,2,0)),"")</f>
        <v/>
      </c>
      <c r="C739" t="str">
        <f>IFERROR(IF(A739="","",VLOOKUP(A739,CadProd!$A:$C,3,0)),"")</f>
        <v/>
      </c>
      <c r="I739" s="1" t="str">
        <f>IFERROR(IF(A739="","",E739*#REF!),"")</f>
        <v/>
      </c>
    </row>
    <row r="740" spans="2:9" x14ac:dyDescent="0.3">
      <c r="B740" t="str">
        <f>IFERROR(IF(A740="","",VLOOKUP(A740,CadProd!$A:$B,2,0)),"")</f>
        <v/>
      </c>
      <c r="C740" t="str">
        <f>IFERROR(IF(A740="","",VLOOKUP(A740,CadProd!$A:$C,3,0)),"")</f>
        <v/>
      </c>
      <c r="I740" s="1" t="str">
        <f>IFERROR(IF(A740="","",E740*#REF!),"")</f>
        <v/>
      </c>
    </row>
    <row r="741" spans="2:9" x14ac:dyDescent="0.3">
      <c r="B741" t="str">
        <f>IFERROR(IF(A741="","",VLOOKUP(A741,CadProd!$A:$B,2,0)),"")</f>
        <v/>
      </c>
      <c r="C741" t="str">
        <f>IFERROR(IF(A741="","",VLOOKUP(A741,CadProd!$A:$C,3,0)),"")</f>
        <v/>
      </c>
      <c r="I741" s="1" t="str">
        <f>IFERROR(IF(A741="","",E741*#REF!),"")</f>
        <v/>
      </c>
    </row>
    <row r="742" spans="2:9" x14ac:dyDescent="0.3">
      <c r="B742" t="str">
        <f>IFERROR(IF(A742="","",VLOOKUP(A742,CadProd!$A:$B,2,0)),"")</f>
        <v/>
      </c>
      <c r="C742" t="str">
        <f>IFERROR(IF(A742="","",VLOOKUP(A742,CadProd!$A:$C,3,0)),"")</f>
        <v/>
      </c>
      <c r="I742" s="1" t="str">
        <f>IFERROR(IF(A742="","",E742*#REF!),"")</f>
        <v/>
      </c>
    </row>
    <row r="743" spans="2:9" x14ac:dyDescent="0.3">
      <c r="B743" t="str">
        <f>IFERROR(IF(A743="","",VLOOKUP(A743,CadProd!$A:$B,2,0)),"")</f>
        <v/>
      </c>
      <c r="C743" t="str">
        <f>IFERROR(IF(A743="","",VLOOKUP(A743,CadProd!$A:$C,3,0)),"")</f>
        <v/>
      </c>
      <c r="I743" s="1" t="str">
        <f>IFERROR(IF(A743="","",E743*#REF!),"")</f>
        <v/>
      </c>
    </row>
    <row r="744" spans="2:9" x14ac:dyDescent="0.3">
      <c r="B744" t="str">
        <f>IFERROR(IF(A744="","",VLOOKUP(A744,CadProd!$A:$B,2,0)),"")</f>
        <v/>
      </c>
      <c r="C744" t="str">
        <f>IFERROR(IF(A744="","",VLOOKUP(A744,CadProd!$A:$C,3,0)),"")</f>
        <v/>
      </c>
      <c r="I744" s="1" t="str">
        <f>IFERROR(IF(A744="","",E744*#REF!),"")</f>
        <v/>
      </c>
    </row>
    <row r="745" spans="2:9" x14ac:dyDescent="0.3">
      <c r="B745" t="str">
        <f>IFERROR(IF(A745="","",VLOOKUP(A745,CadProd!$A:$B,2,0)),"")</f>
        <v/>
      </c>
      <c r="C745" t="str">
        <f>IFERROR(IF(A745="","",VLOOKUP(A745,CadProd!$A:$C,3,0)),"")</f>
        <v/>
      </c>
      <c r="I745" s="1" t="str">
        <f>IFERROR(IF(A745="","",E745*#REF!),"")</f>
        <v/>
      </c>
    </row>
    <row r="746" spans="2:9" x14ac:dyDescent="0.3">
      <c r="B746" t="str">
        <f>IFERROR(IF(A746="","",VLOOKUP(A746,CadProd!$A:$B,2,0)),"")</f>
        <v/>
      </c>
      <c r="C746" t="str">
        <f>IFERROR(IF(A746="","",VLOOKUP(A746,CadProd!$A:$C,3,0)),"")</f>
        <v/>
      </c>
      <c r="I746" s="1" t="str">
        <f>IFERROR(IF(A746="","",E746*#REF!),"")</f>
        <v/>
      </c>
    </row>
    <row r="747" spans="2:9" x14ac:dyDescent="0.3">
      <c r="B747" t="str">
        <f>IFERROR(IF(A747="","",VLOOKUP(A747,CadProd!$A:$B,2,0)),"")</f>
        <v/>
      </c>
      <c r="C747" t="str">
        <f>IFERROR(IF(A747="","",VLOOKUP(A747,CadProd!$A:$C,3,0)),"")</f>
        <v/>
      </c>
      <c r="I747" s="1" t="str">
        <f>IFERROR(IF(A747="","",E747*#REF!),"")</f>
        <v/>
      </c>
    </row>
    <row r="748" spans="2:9" x14ac:dyDescent="0.3">
      <c r="B748" t="str">
        <f>IFERROR(IF(A748="","",VLOOKUP(A748,CadProd!$A:$B,2,0)),"")</f>
        <v/>
      </c>
      <c r="C748" t="str">
        <f>IFERROR(IF(A748="","",VLOOKUP(A748,CadProd!$A:$C,3,0)),"")</f>
        <v/>
      </c>
      <c r="I748" s="1" t="str">
        <f>IFERROR(IF(A748="","",E748*#REF!),"")</f>
        <v/>
      </c>
    </row>
    <row r="749" spans="2:9" x14ac:dyDescent="0.3">
      <c r="B749" t="str">
        <f>IFERROR(IF(A749="","",VLOOKUP(A749,CadProd!$A:$B,2,0)),"")</f>
        <v/>
      </c>
      <c r="C749" t="str">
        <f>IFERROR(IF(A749="","",VLOOKUP(A749,CadProd!$A:$C,3,0)),"")</f>
        <v/>
      </c>
      <c r="I749" s="1" t="str">
        <f>IFERROR(IF(A749="","",E749*#REF!),"")</f>
        <v/>
      </c>
    </row>
    <row r="750" spans="2:9" x14ac:dyDescent="0.3">
      <c r="B750" t="str">
        <f>IFERROR(IF(A750="","",VLOOKUP(A750,CadProd!$A:$B,2,0)),"")</f>
        <v/>
      </c>
      <c r="C750" t="str">
        <f>IFERROR(IF(A750="","",VLOOKUP(A750,CadProd!$A:$C,3,0)),"")</f>
        <v/>
      </c>
      <c r="I750" s="1" t="str">
        <f>IFERROR(IF(A750="","",E750*#REF!),"")</f>
        <v/>
      </c>
    </row>
    <row r="751" spans="2:9" x14ac:dyDescent="0.3">
      <c r="B751" t="str">
        <f>IFERROR(IF(A751="","",VLOOKUP(A751,CadProd!$A:$B,2,0)),"")</f>
        <v/>
      </c>
      <c r="C751" t="str">
        <f>IFERROR(IF(A751="","",VLOOKUP(A751,CadProd!$A:$C,3,0)),"")</f>
        <v/>
      </c>
      <c r="I751" s="1" t="str">
        <f>IFERROR(IF(A751="","",E751*#REF!),"")</f>
        <v/>
      </c>
    </row>
    <row r="752" spans="2:9" x14ac:dyDescent="0.3">
      <c r="B752" t="str">
        <f>IFERROR(IF(A752="","",VLOOKUP(A752,CadProd!$A:$B,2,0)),"")</f>
        <v/>
      </c>
      <c r="C752" t="str">
        <f>IFERROR(IF(A752="","",VLOOKUP(A752,CadProd!$A:$C,3,0)),"")</f>
        <v/>
      </c>
      <c r="I752" s="1" t="str">
        <f>IFERROR(IF(A752="","",E752*#REF!),"")</f>
        <v/>
      </c>
    </row>
    <row r="753" spans="2:9" x14ac:dyDescent="0.3">
      <c r="B753" t="str">
        <f>IFERROR(IF(A753="","",VLOOKUP(A753,CadProd!$A:$B,2,0)),"")</f>
        <v/>
      </c>
      <c r="C753" t="str">
        <f>IFERROR(IF(A753="","",VLOOKUP(A753,CadProd!$A:$C,3,0)),"")</f>
        <v/>
      </c>
      <c r="I753" s="1" t="str">
        <f>IFERROR(IF(A753="","",E753*#REF!),"")</f>
        <v/>
      </c>
    </row>
    <row r="754" spans="2:9" x14ac:dyDescent="0.3">
      <c r="B754" t="str">
        <f>IFERROR(IF(A754="","",VLOOKUP(A754,CadProd!$A:$B,2,0)),"")</f>
        <v/>
      </c>
      <c r="C754" t="str">
        <f>IFERROR(IF(A754="","",VLOOKUP(A754,CadProd!$A:$C,3,0)),"")</f>
        <v/>
      </c>
      <c r="I754" s="1" t="str">
        <f>IFERROR(IF(A754="","",E754*#REF!),"")</f>
        <v/>
      </c>
    </row>
    <row r="755" spans="2:9" x14ac:dyDescent="0.3">
      <c r="B755" t="str">
        <f>IFERROR(IF(A755="","",VLOOKUP(A755,CadProd!$A:$B,2,0)),"")</f>
        <v/>
      </c>
      <c r="C755" t="str">
        <f>IFERROR(IF(A755="","",VLOOKUP(A755,CadProd!$A:$C,3,0)),"")</f>
        <v/>
      </c>
      <c r="I755" s="1" t="str">
        <f>IFERROR(IF(A755="","",E755*#REF!),"")</f>
        <v/>
      </c>
    </row>
    <row r="756" spans="2:9" x14ac:dyDescent="0.3">
      <c r="B756" t="str">
        <f>IFERROR(IF(A756="","",VLOOKUP(A756,CadProd!$A:$B,2,0)),"")</f>
        <v/>
      </c>
      <c r="C756" t="str">
        <f>IFERROR(IF(A756="","",VLOOKUP(A756,CadProd!$A:$C,3,0)),"")</f>
        <v/>
      </c>
      <c r="I756" s="1" t="str">
        <f>IFERROR(IF(A756="","",E756*#REF!),"")</f>
        <v/>
      </c>
    </row>
    <row r="757" spans="2:9" x14ac:dyDescent="0.3">
      <c r="B757" t="str">
        <f>IFERROR(IF(A757="","",VLOOKUP(A757,CadProd!$A:$B,2,0)),"")</f>
        <v/>
      </c>
      <c r="C757" t="str">
        <f>IFERROR(IF(A757="","",VLOOKUP(A757,CadProd!$A:$C,3,0)),"")</f>
        <v/>
      </c>
      <c r="I757" s="1" t="str">
        <f>IFERROR(IF(A757="","",E757*#REF!),"")</f>
        <v/>
      </c>
    </row>
    <row r="758" spans="2:9" x14ac:dyDescent="0.3">
      <c r="B758" t="str">
        <f>IFERROR(IF(A758="","",VLOOKUP(A758,CadProd!$A:$B,2,0)),"")</f>
        <v/>
      </c>
      <c r="C758" t="str">
        <f>IFERROR(IF(A758="","",VLOOKUP(A758,CadProd!$A:$C,3,0)),"")</f>
        <v/>
      </c>
      <c r="I758" s="1" t="str">
        <f>IFERROR(IF(A758="","",E758*#REF!),"")</f>
        <v/>
      </c>
    </row>
    <row r="759" spans="2:9" x14ac:dyDescent="0.3">
      <c r="B759" t="str">
        <f>IFERROR(IF(A759="","",VLOOKUP(A759,CadProd!$A:$B,2,0)),"")</f>
        <v/>
      </c>
      <c r="C759" t="str">
        <f>IFERROR(IF(A759="","",VLOOKUP(A759,CadProd!$A:$C,3,0)),"")</f>
        <v/>
      </c>
      <c r="I759" s="1" t="str">
        <f>IFERROR(IF(A759="","",E759*#REF!),"")</f>
        <v/>
      </c>
    </row>
    <row r="760" spans="2:9" x14ac:dyDescent="0.3">
      <c r="B760" t="str">
        <f>IFERROR(IF(A760="","",VLOOKUP(A760,CadProd!$A:$B,2,0)),"")</f>
        <v/>
      </c>
      <c r="C760" t="str">
        <f>IFERROR(IF(A760="","",VLOOKUP(A760,CadProd!$A:$C,3,0)),"")</f>
        <v/>
      </c>
      <c r="I760" s="1" t="str">
        <f>IFERROR(IF(A760="","",E760*#REF!),"")</f>
        <v/>
      </c>
    </row>
    <row r="761" spans="2:9" x14ac:dyDescent="0.3">
      <c r="B761" t="str">
        <f>IFERROR(IF(A761="","",VLOOKUP(A761,CadProd!$A:$B,2,0)),"")</f>
        <v/>
      </c>
      <c r="C761" t="str">
        <f>IFERROR(IF(A761="","",VLOOKUP(A761,CadProd!$A:$C,3,0)),"")</f>
        <v/>
      </c>
      <c r="I761" s="1" t="str">
        <f>IFERROR(IF(A761="","",E761*#REF!),"")</f>
        <v/>
      </c>
    </row>
    <row r="762" spans="2:9" x14ac:dyDescent="0.3">
      <c r="B762" t="str">
        <f>IFERROR(IF(A762="","",VLOOKUP(A762,CadProd!$A:$B,2,0)),"")</f>
        <v/>
      </c>
      <c r="C762" t="str">
        <f>IFERROR(IF(A762="","",VLOOKUP(A762,CadProd!$A:$C,3,0)),"")</f>
        <v/>
      </c>
      <c r="I762" s="1" t="str">
        <f>IFERROR(IF(A762="","",E762*#REF!),"")</f>
        <v/>
      </c>
    </row>
    <row r="763" spans="2:9" x14ac:dyDescent="0.3">
      <c r="B763" t="str">
        <f>IFERROR(IF(A763="","",VLOOKUP(A763,CadProd!$A:$B,2,0)),"")</f>
        <v/>
      </c>
      <c r="C763" t="str">
        <f>IFERROR(IF(A763="","",VLOOKUP(A763,CadProd!$A:$C,3,0)),"")</f>
        <v/>
      </c>
      <c r="I763" s="1" t="str">
        <f>IFERROR(IF(A763="","",E763*#REF!),"")</f>
        <v/>
      </c>
    </row>
    <row r="764" spans="2:9" x14ac:dyDescent="0.3">
      <c r="B764" t="str">
        <f>IFERROR(IF(A764="","",VLOOKUP(A764,CadProd!$A:$B,2,0)),"")</f>
        <v/>
      </c>
      <c r="C764" t="str">
        <f>IFERROR(IF(A764="","",VLOOKUP(A764,CadProd!$A:$C,3,0)),"")</f>
        <v/>
      </c>
      <c r="I764" s="1" t="str">
        <f>IFERROR(IF(A764="","",E764*#REF!),"")</f>
        <v/>
      </c>
    </row>
    <row r="765" spans="2:9" x14ac:dyDescent="0.3">
      <c r="B765" t="str">
        <f>IFERROR(IF(A765="","",VLOOKUP(A765,CadProd!$A:$B,2,0)),"")</f>
        <v/>
      </c>
      <c r="C765" t="str">
        <f>IFERROR(IF(A765="","",VLOOKUP(A765,CadProd!$A:$C,3,0)),"")</f>
        <v/>
      </c>
      <c r="I765" s="1" t="str">
        <f>IFERROR(IF(A765="","",E765*#REF!),"")</f>
        <v/>
      </c>
    </row>
    <row r="766" spans="2:9" x14ac:dyDescent="0.3">
      <c r="B766" t="str">
        <f>IFERROR(IF(A766="","",VLOOKUP(A766,CadProd!$A:$B,2,0)),"")</f>
        <v/>
      </c>
      <c r="C766" t="str">
        <f>IFERROR(IF(A766="","",VLOOKUP(A766,CadProd!$A:$C,3,0)),"")</f>
        <v/>
      </c>
      <c r="I766" s="1" t="str">
        <f>IFERROR(IF(A766="","",E766*#REF!),"")</f>
        <v/>
      </c>
    </row>
    <row r="767" spans="2:9" x14ac:dyDescent="0.3">
      <c r="B767" t="str">
        <f>IFERROR(IF(A767="","",VLOOKUP(A767,CadProd!$A:$B,2,0)),"")</f>
        <v/>
      </c>
      <c r="C767" t="str">
        <f>IFERROR(IF(A767="","",VLOOKUP(A767,CadProd!$A:$C,3,0)),"")</f>
        <v/>
      </c>
      <c r="I767" s="1" t="str">
        <f>IFERROR(IF(A767="","",E767*#REF!),"")</f>
        <v/>
      </c>
    </row>
    <row r="768" spans="2:9" x14ac:dyDescent="0.3">
      <c r="B768" t="str">
        <f>IFERROR(IF(A768="","",VLOOKUP(A768,CadProd!$A:$B,2,0)),"")</f>
        <v/>
      </c>
      <c r="C768" t="str">
        <f>IFERROR(IF(A768="","",VLOOKUP(A768,CadProd!$A:$C,3,0)),"")</f>
        <v/>
      </c>
      <c r="I768" s="1" t="str">
        <f>IFERROR(IF(A768="","",E768*#REF!),"")</f>
        <v/>
      </c>
    </row>
    <row r="769" spans="2:9" x14ac:dyDescent="0.3">
      <c r="B769" t="str">
        <f>IFERROR(IF(A769="","",VLOOKUP(A769,CadProd!$A:$B,2,0)),"")</f>
        <v/>
      </c>
      <c r="C769" t="str">
        <f>IFERROR(IF(A769="","",VLOOKUP(A769,CadProd!$A:$C,3,0)),"")</f>
        <v/>
      </c>
      <c r="I769" s="1" t="str">
        <f>IFERROR(IF(A769="","",E769*#REF!),"")</f>
        <v/>
      </c>
    </row>
    <row r="770" spans="2:9" x14ac:dyDescent="0.3">
      <c r="B770" t="str">
        <f>IFERROR(IF(A770="","",VLOOKUP(A770,CadProd!$A:$B,2,0)),"")</f>
        <v/>
      </c>
      <c r="C770" t="str">
        <f>IFERROR(IF(A770="","",VLOOKUP(A770,CadProd!$A:$C,3,0)),"")</f>
        <v/>
      </c>
      <c r="I770" s="1" t="str">
        <f>IFERROR(IF(A770="","",E770*#REF!),"")</f>
        <v/>
      </c>
    </row>
    <row r="771" spans="2:9" x14ac:dyDescent="0.3">
      <c r="B771" t="str">
        <f>IFERROR(IF(A771="","",VLOOKUP(A771,CadProd!$A:$B,2,0)),"")</f>
        <v/>
      </c>
      <c r="C771" t="str">
        <f>IFERROR(IF(A771="","",VLOOKUP(A771,CadProd!$A:$C,3,0)),"")</f>
        <v/>
      </c>
      <c r="I771" s="1" t="str">
        <f>IFERROR(IF(A771="","",E771*#REF!),"")</f>
        <v/>
      </c>
    </row>
    <row r="772" spans="2:9" x14ac:dyDescent="0.3">
      <c r="B772" t="str">
        <f>IFERROR(IF(A772="","",VLOOKUP(A772,CadProd!$A:$B,2,0)),"")</f>
        <v/>
      </c>
      <c r="C772" t="str">
        <f>IFERROR(IF(A772="","",VLOOKUP(A772,CadProd!$A:$C,3,0)),"")</f>
        <v/>
      </c>
      <c r="I772" s="1" t="str">
        <f>IFERROR(IF(A772="","",E772*#REF!),"")</f>
        <v/>
      </c>
    </row>
    <row r="773" spans="2:9" x14ac:dyDescent="0.3">
      <c r="B773" t="str">
        <f>IFERROR(IF(A773="","",VLOOKUP(A773,CadProd!$A:$B,2,0)),"")</f>
        <v/>
      </c>
      <c r="C773" t="str">
        <f>IFERROR(IF(A773="","",VLOOKUP(A773,CadProd!$A:$C,3,0)),"")</f>
        <v/>
      </c>
      <c r="I773" s="1" t="str">
        <f>IFERROR(IF(A773="","",E773*#REF!),"")</f>
        <v/>
      </c>
    </row>
    <row r="774" spans="2:9" x14ac:dyDescent="0.3">
      <c r="B774" t="str">
        <f>IFERROR(IF(A774="","",VLOOKUP(A774,CadProd!$A:$B,2,0)),"")</f>
        <v/>
      </c>
      <c r="C774" t="str">
        <f>IFERROR(IF(A774="","",VLOOKUP(A774,CadProd!$A:$C,3,0)),"")</f>
        <v/>
      </c>
      <c r="I774" s="1" t="str">
        <f>IFERROR(IF(A774="","",E774*#REF!),"")</f>
        <v/>
      </c>
    </row>
    <row r="775" spans="2:9" x14ac:dyDescent="0.3">
      <c r="B775" t="str">
        <f>IFERROR(IF(A775="","",VLOOKUP(A775,CadProd!$A:$B,2,0)),"")</f>
        <v/>
      </c>
      <c r="C775" t="str">
        <f>IFERROR(IF(A775="","",VLOOKUP(A775,CadProd!$A:$C,3,0)),"")</f>
        <v/>
      </c>
      <c r="I775" s="1" t="str">
        <f>IFERROR(IF(A775="","",E775*#REF!),"")</f>
        <v/>
      </c>
    </row>
    <row r="776" spans="2:9" x14ac:dyDescent="0.3">
      <c r="B776" t="str">
        <f>IFERROR(IF(A776="","",VLOOKUP(A776,CadProd!$A:$B,2,0)),"")</f>
        <v/>
      </c>
      <c r="C776" t="str">
        <f>IFERROR(IF(A776="","",VLOOKUP(A776,CadProd!$A:$C,3,0)),"")</f>
        <v/>
      </c>
      <c r="I776" s="1" t="str">
        <f>IFERROR(IF(A776="","",E776*#REF!),"")</f>
        <v/>
      </c>
    </row>
    <row r="777" spans="2:9" x14ac:dyDescent="0.3">
      <c r="B777" t="str">
        <f>IFERROR(IF(A777="","",VLOOKUP(A777,CadProd!$A:$B,2,0)),"")</f>
        <v/>
      </c>
      <c r="C777" t="str">
        <f>IFERROR(IF(A777="","",VLOOKUP(A777,CadProd!$A:$C,3,0)),"")</f>
        <v/>
      </c>
      <c r="I777" s="1" t="str">
        <f>IFERROR(IF(A777="","",E777*#REF!),"")</f>
        <v/>
      </c>
    </row>
    <row r="778" spans="2:9" x14ac:dyDescent="0.3">
      <c r="B778" t="str">
        <f>IFERROR(IF(A778="","",VLOOKUP(A778,CadProd!$A:$B,2,0)),"")</f>
        <v/>
      </c>
      <c r="C778" t="str">
        <f>IFERROR(IF(A778="","",VLOOKUP(A778,CadProd!$A:$C,3,0)),"")</f>
        <v/>
      </c>
      <c r="I778" s="1" t="str">
        <f>IFERROR(IF(A778="","",E778*#REF!),"")</f>
        <v/>
      </c>
    </row>
    <row r="779" spans="2:9" x14ac:dyDescent="0.3">
      <c r="B779" t="str">
        <f>IFERROR(IF(A779="","",VLOOKUP(A779,CadProd!$A:$B,2,0)),"")</f>
        <v/>
      </c>
      <c r="C779" t="str">
        <f>IFERROR(IF(A779="","",VLOOKUP(A779,CadProd!$A:$C,3,0)),"")</f>
        <v/>
      </c>
      <c r="I779" s="1" t="str">
        <f>IFERROR(IF(A779="","",E779*#REF!),"")</f>
        <v/>
      </c>
    </row>
    <row r="780" spans="2:9" x14ac:dyDescent="0.3">
      <c r="B780" t="str">
        <f>IFERROR(IF(A780="","",VLOOKUP(A780,CadProd!$A:$B,2,0)),"")</f>
        <v/>
      </c>
      <c r="C780" t="str">
        <f>IFERROR(IF(A780="","",VLOOKUP(A780,CadProd!$A:$C,3,0)),"")</f>
        <v/>
      </c>
      <c r="I780" s="1" t="str">
        <f>IFERROR(IF(A780="","",E780*#REF!),"")</f>
        <v/>
      </c>
    </row>
    <row r="781" spans="2:9" x14ac:dyDescent="0.3">
      <c r="B781" t="str">
        <f>IFERROR(IF(A781="","",VLOOKUP(A781,CadProd!$A:$B,2,0)),"")</f>
        <v/>
      </c>
      <c r="C781" t="str">
        <f>IFERROR(IF(A781="","",VLOOKUP(A781,CadProd!$A:$C,3,0)),"")</f>
        <v/>
      </c>
      <c r="I781" s="1" t="str">
        <f>IFERROR(IF(A781="","",E781*#REF!),"")</f>
        <v/>
      </c>
    </row>
    <row r="782" spans="2:9" x14ac:dyDescent="0.3">
      <c r="B782" t="str">
        <f>IFERROR(IF(A782="","",VLOOKUP(A782,CadProd!$A:$B,2,0)),"")</f>
        <v/>
      </c>
      <c r="C782" t="str">
        <f>IFERROR(IF(A782="","",VLOOKUP(A782,CadProd!$A:$C,3,0)),"")</f>
        <v/>
      </c>
      <c r="I782" s="1" t="str">
        <f>IFERROR(IF(A782="","",E782*#REF!),"")</f>
        <v/>
      </c>
    </row>
    <row r="783" spans="2:9" x14ac:dyDescent="0.3">
      <c r="B783" t="str">
        <f>IFERROR(IF(A783="","",VLOOKUP(A783,CadProd!$A:$B,2,0)),"")</f>
        <v/>
      </c>
      <c r="C783" t="str">
        <f>IFERROR(IF(A783="","",VLOOKUP(A783,CadProd!$A:$C,3,0)),"")</f>
        <v/>
      </c>
      <c r="I783" s="1" t="str">
        <f>IFERROR(IF(A783="","",E783*#REF!),"")</f>
        <v/>
      </c>
    </row>
    <row r="784" spans="2:9" x14ac:dyDescent="0.3">
      <c r="B784" t="str">
        <f>IFERROR(IF(A784="","",VLOOKUP(A784,CadProd!$A:$B,2,0)),"")</f>
        <v/>
      </c>
      <c r="C784" t="str">
        <f>IFERROR(IF(A784="","",VLOOKUP(A784,CadProd!$A:$C,3,0)),"")</f>
        <v/>
      </c>
      <c r="I784" s="1" t="str">
        <f>IFERROR(IF(A784="","",E784*#REF!),"")</f>
        <v/>
      </c>
    </row>
    <row r="785" spans="2:9" x14ac:dyDescent="0.3">
      <c r="B785" t="str">
        <f>IFERROR(IF(A785="","",VLOOKUP(A785,CadProd!$A:$B,2,0)),"")</f>
        <v/>
      </c>
      <c r="C785" t="str">
        <f>IFERROR(IF(A785="","",VLOOKUP(A785,CadProd!$A:$C,3,0)),"")</f>
        <v/>
      </c>
      <c r="I785" s="1" t="str">
        <f>IFERROR(IF(A785="","",E785*#REF!),"")</f>
        <v/>
      </c>
    </row>
    <row r="786" spans="2:9" x14ac:dyDescent="0.3">
      <c r="B786" t="str">
        <f>IFERROR(IF(A786="","",VLOOKUP(A786,CadProd!$A:$B,2,0)),"")</f>
        <v/>
      </c>
      <c r="C786" t="str">
        <f>IFERROR(IF(A786="","",VLOOKUP(A786,CadProd!$A:$C,3,0)),"")</f>
        <v/>
      </c>
      <c r="I786" s="1" t="str">
        <f>IFERROR(IF(A786="","",E786*#REF!),"")</f>
        <v/>
      </c>
    </row>
    <row r="787" spans="2:9" x14ac:dyDescent="0.3">
      <c r="B787" t="str">
        <f>IFERROR(IF(A787="","",VLOOKUP(A787,CadProd!$A:$B,2,0)),"")</f>
        <v/>
      </c>
      <c r="C787" t="str">
        <f>IFERROR(IF(A787="","",VLOOKUP(A787,CadProd!$A:$C,3,0)),"")</f>
        <v/>
      </c>
      <c r="I787" s="1" t="str">
        <f>IFERROR(IF(A787="","",E787*#REF!),"")</f>
        <v/>
      </c>
    </row>
    <row r="788" spans="2:9" x14ac:dyDescent="0.3">
      <c r="B788" t="str">
        <f>IFERROR(IF(A788="","",VLOOKUP(A788,CadProd!$A:$B,2,0)),"")</f>
        <v/>
      </c>
      <c r="C788" t="str">
        <f>IFERROR(IF(A788="","",VLOOKUP(A788,CadProd!$A:$C,3,0)),"")</f>
        <v/>
      </c>
      <c r="I788" s="1" t="str">
        <f>IFERROR(IF(A788="","",E788*#REF!),"")</f>
        <v/>
      </c>
    </row>
    <row r="789" spans="2:9" x14ac:dyDescent="0.3">
      <c r="B789" t="str">
        <f>IFERROR(IF(A789="","",VLOOKUP(A789,CadProd!$A:$B,2,0)),"")</f>
        <v/>
      </c>
      <c r="C789" t="str">
        <f>IFERROR(IF(A789="","",VLOOKUP(A789,CadProd!$A:$C,3,0)),"")</f>
        <v/>
      </c>
      <c r="I789" s="1" t="str">
        <f>IFERROR(IF(A789="","",E789*#REF!),"")</f>
        <v/>
      </c>
    </row>
    <row r="790" spans="2:9" x14ac:dyDescent="0.3">
      <c r="B790" t="str">
        <f>IFERROR(IF(A790="","",VLOOKUP(A790,CadProd!$A:$B,2,0)),"")</f>
        <v/>
      </c>
      <c r="C790" t="str">
        <f>IFERROR(IF(A790="","",VLOOKUP(A790,CadProd!$A:$C,3,0)),"")</f>
        <v/>
      </c>
      <c r="I790" s="1" t="str">
        <f>IFERROR(IF(A790="","",E790*#REF!),"")</f>
        <v/>
      </c>
    </row>
    <row r="791" spans="2:9" x14ac:dyDescent="0.3">
      <c r="B791" t="str">
        <f>IFERROR(IF(A791="","",VLOOKUP(A791,CadProd!$A:$B,2,0)),"")</f>
        <v/>
      </c>
      <c r="C791" t="str">
        <f>IFERROR(IF(A791="","",VLOOKUP(A791,CadProd!$A:$C,3,0)),"")</f>
        <v/>
      </c>
      <c r="I791" s="1" t="str">
        <f>IFERROR(IF(A791="","",E791*#REF!),"")</f>
        <v/>
      </c>
    </row>
    <row r="792" spans="2:9" x14ac:dyDescent="0.3">
      <c r="B792" t="str">
        <f>IFERROR(IF(A792="","",VLOOKUP(A792,CadProd!$A:$B,2,0)),"")</f>
        <v/>
      </c>
      <c r="C792" t="str">
        <f>IFERROR(IF(A792="","",VLOOKUP(A792,CadProd!$A:$C,3,0)),"")</f>
        <v/>
      </c>
      <c r="I792" s="1" t="str">
        <f>IFERROR(IF(A792="","",E792*#REF!),"")</f>
        <v/>
      </c>
    </row>
    <row r="793" spans="2:9" x14ac:dyDescent="0.3">
      <c r="B793" t="str">
        <f>IFERROR(IF(A793="","",VLOOKUP(A793,CadProd!$A:$B,2,0)),"")</f>
        <v/>
      </c>
      <c r="C793" t="str">
        <f>IFERROR(IF(A793="","",VLOOKUP(A793,CadProd!$A:$C,3,0)),"")</f>
        <v/>
      </c>
      <c r="I793" s="1" t="str">
        <f>IFERROR(IF(A793="","",E793*#REF!),"")</f>
        <v/>
      </c>
    </row>
    <row r="794" spans="2:9" x14ac:dyDescent="0.3">
      <c r="B794" t="str">
        <f>IFERROR(IF(A794="","",VLOOKUP(A794,CadProd!$A:$B,2,0)),"")</f>
        <v/>
      </c>
      <c r="C794" t="str">
        <f>IFERROR(IF(A794="","",VLOOKUP(A794,CadProd!$A:$C,3,0)),"")</f>
        <v/>
      </c>
      <c r="I794" s="1" t="str">
        <f>IFERROR(IF(A794="","",E794*#REF!),"")</f>
        <v/>
      </c>
    </row>
    <row r="795" spans="2:9" x14ac:dyDescent="0.3">
      <c r="B795" t="str">
        <f>IFERROR(IF(A795="","",VLOOKUP(A795,CadProd!$A:$B,2,0)),"")</f>
        <v/>
      </c>
      <c r="C795" t="str">
        <f>IFERROR(IF(A795="","",VLOOKUP(A795,CadProd!$A:$C,3,0)),"")</f>
        <v/>
      </c>
      <c r="I795" s="1" t="str">
        <f>IFERROR(IF(A795="","",E795*#REF!),"")</f>
        <v/>
      </c>
    </row>
    <row r="796" spans="2:9" x14ac:dyDescent="0.3">
      <c r="B796" t="str">
        <f>IFERROR(IF(A796="","",VLOOKUP(A796,CadProd!$A:$B,2,0)),"")</f>
        <v/>
      </c>
      <c r="C796" t="str">
        <f>IFERROR(IF(A796="","",VLOOKUP(A796,CadProd!$A:$C,3,0)),"")</f>
        <v/>
      </c>
      <c r="I796" s="1" t="str">
        <f>IFERROR(IF(A796="","",E796*#REF!),"")</f>
        <v/>
      </c>
    </row>
    <row r="797" spans="2:9" x14ac:dyDescent="0.3">
      <c r="B797" t="str">
        <f>IFERROR(IF(A797="","",VLOOKUP(A797,CadProd!$A:$B,2,0)),"")</f>
        <v/>
      </c>
      <c r="C797" t="str">
        <f>IFERROR(IF(A797="","",VLOOKUP(A797,CadProd!$A:$C,3,0)),"")</f>
        <v/>
      </c>
      <c r="I797" s="1" t="str">
        <f>IFERROR(IF(A797="","",E797*#REF!),"")</f>
        <v/>
      </c>
    </row>
    <row r="798" spans="2:9" x14ac:dyDescent="0.3">
      <c r="B798" t="str">
        <f>IFERROR(IF(A798="","",VLOOKUP(A798,CadProd!$A:$B,2,0)),"")</f>
        <v/>
      </c>
      <c r="C798" t="str">
        <f>IFERROR(IF(A798="","",VLOOKUP(A798,CadProd!$A:$C,3,0)),"")</f>
        <v/>
      </c>
      <c r="I798" s="1" t="str">
        <f>IFERROR(IF(A798="","",E798*#REF!),"")</f>
        <v/>
      </c>
    </row>
    <row r="799" spans="2:9" x14ac:dyDescent="0.3">
      <c r="B799" t="str">
        <f>IFERROR(IF(A799="","",VLOOKUP(A799,CadProd!$A:$B,2,0)),"")</f>
        <v/>
      </c>
      <c r="C799" t="str">
        <f>IFERROR(IF(A799="","",VLOOKUP(A799,CadProd!$A:$C,3,0)),"")</f>
        <v/>
      </c>
      <c r="I799" s="1" t="str">
        <f>IFERROR(IF(A799="","",E799*#REF!),"")</f>
        <v/>
      </c>
    </row>
    <row r="800" spans="2:9" x14ac:dyDescent="0.3">
      <c r="B800" t="str">
        <f>IFERROR(IF(A800="","",VLOOKUP(A800,CadProd!$A:$B,2,0)),"")</f>
        <v/>
      </c>
      <c r="C800" t="str">
        <f>IFERROR(IF(A800="","",VLOOKUP(A800,CadProd!$A:$C,3,0)),"")</f>
        <v/>
      </c>
      <c r="I800" s="1" t="str">
        <f>IFERROR(IF(A800="","",E800*#REF!),"")</f>
        <v/>
      </c>
    </row>
    <row r="801" spans="2:9" x14ac:dyDescent="0.3">
      <c r="B801" t="str">
        <f>IFERROR(IF(A801="","",VLOOKUP(A801,CadProd!$A:$B,2,0)),"")</f>
        <v/>
      </c>
      <c r="C801" t="str">
        <f>IFERROR(IF(A801="","",VLOOKUP(A801,CadProd!$A:$C,3,0)),"")</f>
        <v/>
      </c>
      <c r="I801" s="1" t="str">
        <f>IFERROR(IF(A801="","",E801*#REF!),"")</f>
        <v/>
      </c>
    </row>
    <row r="802" spans="2:9" x14ac:dyDescent="0.3">
      <c r="B802" t="str">
        <f>IFERROR(IF(A802="","",VLOOKUP(A802,CadProd!$A:$B,2,0)),"")</f>
        <v/>
      </c>
      <c r="C802" t="str">
        <f>IFERROR(IF(A802="","",VLOOKUP(A802,CadProd!$A:$C,3,0)),"")</f>
        <v/>
      </c>
      <c r="I802" s="1" t="str">
        <f>IFERROR(IF(A802="","",E802*#REF!),"")</f>
        <v/>
      </c>
    </row>
    <row r="803" spans="2:9" x14ac:dyDescent="0.3">
      <c r="B803" t="str">
        <f>IFERROR(IF(A803="","",VLOOKUP(A803,CadProd!$A:$B,2,0)),"")</f>
        <v/>
      </c>
      <c r="C803" t="str">
        <f>IFERROR(IF(A803="","",VLOOKUP(A803,CadProd!$A:$C,3,0)),"")</f>
        <v/>
      </c>
      <c r="I803" s="1" t="str">
        <f>IFERROR(IF(A803="","",E803*#REF!),"")</f>
        <v/>
      </c>
    </row>
    <row r="804" spans="2:9" x14ac:dyDescent="0.3">
      <c r="B804" t="str">
        <f>IFERROR(IF(A804="","",VLOOKUP(A804,CadProd!$A:$B,2,0)),"")</f>
        <v/>
      </c>
      <c r="C804" t="str">
        <f>IFERROR(IF(A804="","",VLOOKUP(A804,CadProd!$A:$C,3,0)),"")</f>
        <v/>
      </c>
      <c r="I804" s="1" t="str">
        <f>IFERROR(IF(A804="","",E804*#REF!),"")</f>
        <v/>
      </c>
    </row>
    <row r="805" spans="2:9" x14ac:dyDescent="0.3">
      <c r="B805" t="str">
        <f>IFERROR(IF(A805="","",VLOOKUP(A805,CadProd!$A:$B,2,0)),"")</f>
        <v/>
      </c>
      <c r="C805" t="str">
        <f>IFERROR(IF(A805="","",VLOOKUP(A805,CadProd!$A:$C,3,0)),"")</f>
        <v/>
      </c>
      <c r="I805" s="1" t="str">
        <f>IFERROR(IF(A805="","",E805*#REF!),"")</f>
        <v/>
      </c>
    </row>
    <row r="806" spans="2:9" x14ac:dyDescent="0.3">
      <c r="B806" t="str">
        <f>IFERROR(IF(A806="","",VLOOKUP(A806,CadProd!$A:$B,2,0)),"")</f>
        <v/>
      </c>
      <c r="C806" t="str">
        <f>IFERROR(IF(A806="","",VLOOKUP(A806,CadProd!$A:$C,3,0)),"")</f>
        <v/>
      </c>
      <c r="I806" s="1" t="str">
        <f>IFERROR(IF(A806="","",E806*#REF!),"")</f>
        <v/>
      </c>
    </row>
    <row r="807" spans="2:9" x14ac:dyDescent="0.3">
      <c r="B807" t="str">
        <f>IFERROR(IF(A807="","",VLOOKUP(A807,CadProd!$A:$B,2,0)),"")</f>
        <v/>
      </c>
      <c r="C807" t="str">
        <f>IFERROR(IF(A807="","",VLOOKUP(A807,CadProd!$A:$C,3,0)),"")</f>
        <v/>
      </c>
      <c r="I807" s="1" t="str">
        <f>IFERROR(IF(A807="","",E807*#REF!),"")</f>
        <v/>
      </c>
    </row>
    <row r="808" spans="2:9" x14ac:dyDescent="0.3">
      <c r="B808" t="str">
        <f>IFERROR(IF(A808="","",VLOOKUP(A808,CadProd!$A:$B,2,0)),"")</f>
        <v/>
      </c>
      <c r="C808" t="str">
        <f>IFERROR(IF(A808="","",VLOOKUP(A808,CadProd!$A:$C,3,0)),"")</f>
        <v/>
      </c>
      <c r="I808" s="1" t="str">
        <f>IFERROR(IF(A808="","",E808*#REF!),"")</f>
        <v/>
      </c>
    </row>
    <row r="809" spans="2:9" x14ac:dyDescent="0.3">
      <c r="B809" t="str">
        <f>IFERROR(IF(A809="","",VLOOKUP(A809,CadProd!$A:$B,2,0)),"")</f>
        <v/>
      </c>
      <c r="C809" t="str">
        <f>IFERROR(IF(A809="","",VLOOKUP(A809,CadProd!$A:$C,3,0)),"")</f>
        <v/>
      </c>
      <c r="I809" s="1" t="str">
        <f>IFERROR(IF(A809="","",E809*#REF!),"")</f>
        <v/>
      </c>
    </row>
    <row r="810" spans="2:9" x14ac:dyDescent="0.3">
      <c r="B810" t="str">
        <f>IFERROR(IF(A810="","",VLOOKUP(A810,CadProd!$A:$B,2,0)),"")</f>
        <v/>
      </c>
      <c r="C810" t="str">
        <f>IFERROR(IF(A810="","",VLOOKUP(A810,CadProd!$A:$C,3,0)),"")</f>
        <v/>
      </c>
      <c r="I810" s="1" t="str">
        <f>IFERROR(IF(A810="","",E810*#REF!),"")</f>
        <v/>
      </c>
    </row>
    <row r="811" spans="2:9" x14ac:dyDescent="0.3">
      <c r="B811" t="str">
        <f>IFERROR(IF(A811="","",VLOOKUP(A811,CadProd!$A:$B,2,0)),"")</f>
        <v/>
      </c>
      <c r="C811" t="str">
        <f>IFERROR(IF(A811="","",VLOOKUP(A811,CadProd!$A:$C,3,0)),"")</f>
        <v/>
      </c>
      <c r="I811" s="1" t="str">
        <f>IFERROR(IF(A811="","",E811*#REF!),"")</f>
        <v/>
      </c>
    </row>
    <row r="812" spans="2:9" x14ac:dyDescent="0.3">
      <c r="B812" t="str">
        <f>IFERROR(IF(A812="","",VLOOKUP(A812,CadProd!$A:$B,2,0)),"")</f>
        <v/>
      </c>
      <c r="C812" t="str">
        <f>IFERROR(IF(A812="","",VLOOKUP(A812,CadProd!$A:$C,3,0)),"")</f>
        <v/>
      </c>
      <c r="I812" s="1" t="str">
        <f>IFERROR(IF(A812="","",E812*#REF!),"")</f>
        <v/>
      </c>
    </row>
    <row r="813" spans="2:9" x14ac:dyDescent="0.3">
      <c r="B813" t="str">
        <f>IFERROR(IF(A813="","",VLOOKUP(A813,CadProd!$A:$B,2,0)),"")</f>
        <v/>
      </c>
      <c r="C813" t="str">
        <f>IFERROR(IF(A813="","",VLOOKUP(A813,CadProd!$A:$C,3,0)),"")</f>
        <v/>
      </c>
      <c r="I813" s="1" t="str">
        <f>IFERROR(IF(A813="","",E813*#REF!),"")</f>
        <v/>
      </c>
    </row>
    <row r="814" spans="2:9" x14ac:dyDescent="0.3">
      <c r="B814" t="str">
        <f>IFERROR(IF(A814="","",VLOOKUP(A814,CadProd!$A:$B,2,0)),"")</f>
        <v/>
      </c>
      <c r="C814" t="str">
        <f>IFERROR(IF(A814="","",VLOOKUP(A814,CadProd!$A:$C,3,0)),"")</f>
        <v/>
      </c>
      <c r="I814" s="1" t="str">
        <f>IFERROR(IF(A814="","",E814*#REF!),"")</f>
        <v/>
      </c>
    </row>
    <row r="815" spans="2:9" x14ac:dyDescent="0.3">
      <c r="B815" t="str">
        <f>IFERROR(IF(A815="","",VLOOKUP(A815,CadProd!$A:$B,2,0)),"")</f>
        <v/>
      </c>
      <c r="C815" t="str">
        <f>IFERROR(IF(A815="","",VLOOKUP(A815,CadProd!$A:$C,3,0)),"")</f>
        <v/>
      </c>
      <c r="I815" s="1" t="str">
        <f>IFERROR(IF(A815="","",E815*#REF!),"")</f>
        <v/>
      </c>
    </row>
    <row r="816" spans="2:9" x14ac:dyDescent="0.3">
      <c r="B816" t="str">
        <f>IFERROR(IF(A816="","",VLOOKUP(A816,CadProd!$A:$B,2,0)),"")</f>
        <v/>
      </c>
      <c r="C816" t="str">
        <f>IFERROR(IF(A816="","",VLOOKUP(A816,CadProd!$A:$C,3,0)),"")</f>
        <v/>
      </c>
      <c r="I816" s="1" t="str">
        <f>IFERROR(IF(A816="","",E816*#REF!),"")</f>
        <v/>
      </c>
    </row>
    <row r="817" spans="2:9" x14ac:dyDescent="0.3">
      <c r="B817" t="str">
        <f>IFERROR(IF(A817="","",VLOOKUP(A817,CadProd!$A:$B,2,0)),"")</f>
        <v/>
      </c>
      <c r="C817" t="str">
        <f>IFERROR(IF(A817="","",VLOOKUP(A817,CadProd!$A:$C,3,0)),"")</f>
        <v/>
      </c>
      <c r="I817" s="1" t="str">
        <f>IFERROR(IF(A817="","",E817*#REF!),"")</f>
        <v/>
      </c>
    </row>
    <row r="818" spans="2:9" x14ac:dyDescent="0.3">
      <c r="B818" t="str">
        <f>IFERROR(IF(A818="","",VLOOKUP(A818,CadProd!$A:$B,2,0)),"")</f>
        <v/>
      </c>
      <c r="C818" t="str">
        <f>IFERROR(IF(A818="","",VLOOKUP(A818,CadProd!$A:$C,3,0)),"")</f>
        <v/>
      </c>
      <c r="I818" s="1" t="str">
        <f>IFERROR(IF(A818="","",E818*#REF!),"")</f>
        <v/>
      </c>
    </row>
    <row r="819" spans="2:9" x14ac:dyDescent="0.3">
      <c r="B819" t="str">
        <f>IFERROR(IF(A819="","",VLOOKUP(A819,CadProd!$A:$B,2,0)),"")</f>
        <v/>
      </c>
      <c r="C819" t="str">
        <f>IFERROR(IF(A819="","",VLOOKUP(A819,CadProd!$A:$C,3,0)),"")</f>
        <v/>
      </c>
      <c r="I819" s="1" t="str">
        <f>IFERROR(IF(A819="","",E819*#REF!),"")</f>
        <v/>
      </c>
    </row>
    <row r="820" spans="2:9" x14ac:dyDescent="0.3">
      <c r="B820" t="str">
        <f>IFERROR(IF(A820="","",VLOOKUP(A820,CadProd!$A:$B,2,0)),"")</f>
        <v/>
      </c>
      <c r="C820" t="str">
        <f>IFERROR(IF(A820="","",VLOOKUP(A820,CadProd!$A:$C,3,0)),"")</f>
        <v/>
      </c>
      <c r="I820" s="1" t="str">
        <f>IFERROR(IF(A820="","",E820*#REF!),"")</f>
        <v/>
      </c>
    </row>
    <row r="821" spans="2:9" x14ac:dyDescent="0.3">
      <c r="B821" t="str">
        <f>IFERROR(IF(A821="","",VLOOKUP(A821,CadProd!$A:$B,2,0)),"")</f>
        <v/>
      </c>
      <c r="C821" t="str">
        <f>IFERROR(IF(A821="","",VLOOKUP(A821,CadProd!$A:$C,3,0)),"")</f>
        <v/>
      </c>
      <c r="I821" s="1" t="str">
        <f>IFERROR(IF(A821="","",E821*#REF!),"")</f>
        <v/>
      </c>
    </row>
    <row r="822" spans="2:9" x14ac:dyDescent="0.3">
      <c r="B822" t="str">
        <f>IFERROR(IF(A822="","",VLOOKUP(A822,CadProd!$A:$B,2,0)),"")</f>
        <v/>
      </c>
      <c r="C822" t="str">
        <f>IFERROR(IF(A822="","",VLOOKUP(A822,CadProd!$A:$C,3,0)),"")</f>
        <v/>
      </c>
      <c r="I822" s="1" t="str">
        <f>IFERROR(IF(A822="","",E822*#REF!),"")</f>
        <v/>
      </c>
    </row>
    <row r="823" spans="2:9" x14ac:dyDescent="0.3">
      <c r="B823" t="str">
        <f>IFERROR(IF(A823="","",VLOOKUP(A823,CadProd!$A:$B,2,0)),"")</f>
        <v/>
      </c>
      <c r="C823" t="str">
        <f>IFERROR(IF(A823="","",VLOOKUP(A823,CadProd!$A:$C,3,0)),"")</f>
        <v/>
      </c>
      <c r="I823" s="1" t="str">
        <f>IFERROR(IF(A823="","",E823*#REF!),"")</f>
        <v/>
      </c>
    </row>
    <row r="824" spans="2:9" x14ac:dyDescent="0.3">
      <c r="B824" t="str">
        <f>IFERROR(IF(A824="","",VLOOKUP(A824,CadProd!$A:$B,2,0)),"")</f>
        <v/>
      </c>
      <c r="C824" t="str">
        <f>IFERROR(IF(A824="","",VLOOKUP(A824,CadProd!$A:$C,3,0)),"")</f>
        <v/>
      </c>
      <c r="I824" s="1" t="str">
        <f>IFERROR(IF(A824="","",E824*#REF!),"")</f>
        <v/>
      </c>
    </row>
    <row r="825" spans="2:9" x14ac:dyDescent="0.3">
      <c r="B825" t="str">
        <f>IFERROR(IF(A825="","",VLOOKUP(A825,CadProd!$A:$B,2,0)),"")</f>
        <v/>
      </c>
      <c r="C825" t="str">
        <f>IFERROR(IF(A825="","",VLOOKUP(A825,CadProd!$A:$C,3,0)),"")</f>
        <v/>
      </c>
      <c r="I825" s="1" t="str">
        <f>IFERROR(IF(A825="","",E825*#REF!),"")</f>
        <v/>
      </c>
    </row>
    <row r="826" spans="2:9" x14ac:dyDescent="0.3">
      <c r="B826" t="str">
        <f>IFERROR(IF(A826="","",VLOOKUP(A826,CadProd!$A:$B,2,0)),"")</f>
        <v/>
      </c>
      <c r="C826" t="str">
        <f>IFERROR(IF(A826="","",VLOOKUP(A826,CadProd!$A:$C,3,0)),"")</f>
        <v/>
      </c>
      <c r="I826" s="1" t="str">
        <f>IFERROR(IF(A826="","",E826*#REF!),"")</f>
        <v/>
      </c>
    </row>
    <row r="827" spans="2:9" x14ac:dyDescent="0.3">
      <c r="B827" t="str">
        <f>IFERROR(IF(A827="","",VLOOKUP(A827,CadProd!$A:$B,2,0)),"")</f>
        <v/>
      </c>
      <c r="C827" t="str">
        <f>IFERROR(IF(A827="","",VLOOKUP(A827,CadProd!$A:$C,3,0)),"")</f>
        <v/>
      </c>
      <c r="I827" s="1" t="str">
        <f>IFERROR(IF(A827="","",E827*#REF!),"")</f>
        <v/>
      </c>
    </row>
    <row r="828" spans="2:9" x14ac:dyDescent="0.3">
      <c r="B828" t="str">
        <f>IFERROR(IF(A828="","",VLOOKUP(A828,CadProd!$A:$B,2,0)),"")</f>
        <v/>
      </c>
      <c r="C828" t="str">
        <f>IFERROR(IF(A828="","",VLOOKUP(A828,CadProd!$A:$C,3,0)),"")</f>
        <v/>
      </c>
      <c r="I828" s="1" t="str">
        <f>IFERROR(IF(A828="","",E828*#REF!),"")</f>
        <v/>
      </c>
    </row>
    <row r="829" spans="2:9" x14ac:dyDescent="0.3">
      <c r="B829" t="str">
        <f>IFERROR(IF(A829="","",VLOOKUP(A829,CadProd!$A:$B,2,0)),"")</f>
        <v/>
      </c>
      <c r="C829" t="str">
        <f>IFERROR(IF(A829="","",VLOOKUP(A829,CadProd!$A:$C,3,0)),"")</f>
        <v/>
      </c>
      <c r="I829" s="1" t="str">
        <f>IFERROR(IF(A829="","",E829*#REF!),"")</f>
        <v/>
      </c>
    </row>
    <row r="830" spans="2:9" x14ac:dyDescent="0.3">
      <c r="B830" t="str">
        <f>IFERROR(IF(A830="","",VLOOKUP(A830,CadProd!$A:$B,2,0)),"")</f>
        <v/>
      </c>
      <c r="C830" t="str">
        <f>IFERROR(IF(A830="","",VLOOKUP(A830,CadProd!$A:$C,3,0)),"")</f>
        <v/>
      </c>
      <c r="I830" s="1" t="str">
        <f>IFERROR(IF(A830="","",E830*#REF!),"")</f>
        <v/>
      </c>
    </row>
    <row r="831" spans="2:9" x14ac:dyDescent="0.3">
      <c r="B831" t="str">
        <f>IFERROR(IF(A831="","",VLOOKUP(A831,CadProd!$A:$B,2,0)),"")</f>
        <v/>
      </c>
      <c r="C831" t="str">
        <f>IFERROR(IF(A831="","",VLOOKUP(A831,CadProd!$A:$C,3,0)),"")</f>
        <v/>
      </c>
      <c r="I831" s="1" t="str">
        <f>IFERROR(IF(A831="","",E831*#REF!),"")</f>
        <v/>
      </c>
    </row>
    <row r="832" spans="2:9" x14ac:dyDescent="0.3">
      <c r="B832" t="str">
        <f>IFERROR(IF(A832="","",VLOOKUP(A832,CadProd!$A:$B,2,0)),"")</f>
        <v/>
      </c>
      <c r="C832" t="str">
        <f>IFERROR(IF(A832="","",VLOOKUP(A832,CadProd!$A:$C,3,0)),"")</f>
        <v/>
      </c>
      <c r="I832" s="1" t="str">
        <f>IFERROR(IF(A832="","",E832*#REF!),"")</f>
        <v/>
      </c>
    </row>
    <row r="833" spans="2:9" x14ac:dyDescent="0.3">
      <c r="B833" t="str">
        <f>IFERROR(IF(A833="","",VLOOKUP(A833,CadProd!$A:$B,2,0)),"")</f>
        <v/>
      </c>
      <c r="C833" t="str">
        <f>IFERROR(IF(A833="","",VLOOKUP(A833,CadProd!$A:$C,3,0)),"")</f>
        <v/>
      </c>
      <c r="I833" s="1" t="str">
        <f>IFERROR(IF(A833="","",E833*#REF!),"")</f>
        <v/>
      </c>
    </row>
    <row r="834" spans="2:9" x14ac:dyDescent="0.3">
      <c r="B834" t="str">
        <f>IFERROR(IF(A834="","",VLOOKUP(A834,CadProd!$A:$B,2,0)),"")</f>
        <v/>
      </c>
      <c r="C834" t="str">
        <f>IFERROR(IF(A834="","",VLOOKUP(A834,CadProd!$A:$C,3,0)),"")</f>
        <v/>
      </c>
      <c r="I834" s="1" t="str">
        <f>IFERROR(IF(A834="","",E834*#REF!),"")</f>
        <v/>
      </c>
    </row>
    <row r="835" spans="2:9" x14ac:dyDescent="0.3">
      <c r="B835" t="str">
        <f>IFERROR(IF(A835="","",VLOOKUP(A835,CadProd!$A:$B,2,0)),"")</f>
        <v/>
      </c>
      <c r="C835" t="str">
        <f>IFERROR(IF(A835="","",VLOOKUP(A835,CadProd!$A:$C,3,0)),"")</f>
        <v/>
      </c>
      <c r="I835" s="1" t="str">
        <f>IFERROR(IF(A835="","",E835*#REF!),"")</f>
        <v/>
      </c>
    </row>
    <row r="836" spans="2:9" x14ac:dyDescent="0.3">
      <c r="B836" t="str">
        <f>IFERROR(IF(A836="","",VLOOKUP(A836,CadProd!$A:$B,2,0)),"")</f>
        <v/>
      </c>
      <c r="C836" t="str">
        <f>IFERROR(IF(A836="","",VLOOKUP(A836,CadProd!$A:$C,3,0)),"")</f>
        <v/>
      </c>
      <c r="I836" s="1" t="str">
        <f>IFERROR(IF(A836="","",E836*#REF!),"")</f>
        <v/>
      </c>
    </row>
    <row r="837" spans="2:9" x14ac:dyDescent="0.3">
      <c r="B837" t="str">
        <f>IFERROR(IF(A837="","",VLOOKUP(A837,CadProd!$A:$B,2,0)),"")</f>
        <v/>
      </c>
      <c r="C837" t="str">
        <f>IFERROR(IF(A837="","",VLOOKUP(A837,CadProd!$A:$C,3,0)),"")</f>
        <v/>
      </c>
      <c r="I837" s="1" t="str">
        <f>IFERROR(IF(A837="","",E837*#REF!),"")</f>
        <v/>
      </c>
    </row>
    <row r="838" spans="2:9" x14ac:dyDescent="0.3">
      <c r="B838" t="str">
        <f>IFERROR(IF(A838="","",VLOOKUP(A838,CadProd!$A:$B,2,0)),"")</f>
        <v/>
      </c>
      <c r="C838" t="str">
        <f>IFERROR(IF(A838="","",VLOOKUP(A838,CadProd!$A:$C,3,0)),"")</f>
        <v/>
      </c>
      <c r="I838" s="1" t="str">
        <f>IFERROR(IF(A838="","",E838*#REF!),"")</f>
        <v/>
      </c>
    </row>
    <row r="839" spans="2:9" x14ac:dyDescent="0.3">
      <c r="B839" t="str">
        <f>IFERROR(IF(A839="","",VLOOKUP(A839,CadProd!$A:$B,2,0)),"")</f>
        <v/>
      </c>
      <c r="C839" t="str">
        <f>IFERROR(IF(A839="","",VLOOKUP(A839,CadProd!$A:$C,3,0)),"")</f>
        <v/>
      </c>
      <c r="I839" s="1" t="str">
        <f>IFERROR(IF(A839="","",E839*#REF!),"")</f>
        <v/>
      </c>
    </row>
    <row r="840" spans="2:9" x14ac:dyDescent="0.3">
      <c r="B840" t="str">
        <f>IFERROR(IF(A840="","",VLOOKUP(A840,CadProd!$A:$B,2,0)),"")</f>
        <v/>
      </c>
      <c r="C840" t="str">
        <f>IFERROR(IF(A840="","",VLOOKUP(A840,CadProd!$A:$C,3,0)),"")</f>
        <v/>
      </c>
      <c r="I840" s="1" t="str">
        <f>IFERROR(IF(A840="","",E840*#REF!),"")</f>
        <v/>
      </c>
    </row>
    <row r="841" spans="2:9" x14ac:dyDescent="0.3">
      <c r="B841" t="str">
        <f>IFERROR(IF(A841="","",VLOOKUP(A841,CadProd!$A:$B,2,0)),"")</f>
        <v/>
      </c>
      <c r="C841" t="str">
        <f>IFERROR(IF(A841="","",VLOOKUP(A841,CadProd!$A:$C,3,0)),"")</f>
        <v/>
      </c>
      <c r="I841" s="1" t="str">
        <f>IFERROR(IF(A841="","",E841*#REF!),"")</f>
        <v/>
      </c>
    </row>
    <row r="842" spans="2:9" x14ac:dyDescent="0.3">
      <c r="B842" t="str">
        <f>IFERROR(IF(A842="","",VLOOKUP(A842,CadProd!$A:$B,2,0)),"")</f>
        <v/>
      </c>
      <c r="C842" t="str">
        <f>IFERROR(IF(A842="","",VLOOKUP(A842,CadProd!$A:$C,3,0)),"")</f>
        <v/>
      </c>
      <c r="I842" s="1" t="str">
        <f>IFERROR(IF(A842="","",E842*#REF!),"")</f>
        <v/>
      </c>
    </row>
    <row r="843" spans="2:9" x14ac:dyDescent="0.3">
      <c r="B843" t="str">
        <f>IFERROR(IF(A843="","",VLOOKUP(A843,CadProd!$A:$B,2,0)),"")</f>
        <v/>
      </c>
      <c r="C843" t="str">
        <f>IFERROR(IF(A843="","",VLOOKUP(A843,CadProd!$A:$C,3,0)),"")</f>
        <v/>
      </c>
      <c r="I843" s="1" t="str">
        <f>IFERROR(IF(A843="","",E843*#REF!),"")</f>
        <v/>
      </c>
    </row>
    <row r="844" spans="2:9" x14ac:dyDescent="0.3">
      <c r="B844" t="str">
        <f>IFERROR(IF(A844="","",VLOOKUP(A844,CadProd!$A:$B,2,0)),"")</f>
        <v/>
      </c>
      <c r="C844" t="str">
        <f>IFERROR(IF(A844="","",VLOOKUP(A844,CadProd!$A:$C,3,0)),"")</f>
        <v/>
      </c>
      <c r="I844" s="1" t="str">
        <f>IFERROR(IF(A844="","",E844*#REF!),"")</f>
        <v/>
      </c>
    </row>
    <row r="845" spans="2:9" x14ac:dyDescent="0.3">
      <c r="B845" t="str">
        <f>IFERROR(IF(A845="","",VLOOKUP(A845,CadProd!$A:$B,2,0)),"")</f>
        <v/>
      </c>
      <c r="C845" t="str">
        <f>IFERROR(IF(A845="","",VLOOKUP(A845,CadProd!$A:$C,3,0)),"")</f>
        <v/>
      </c>
      <c r="I845" s="1" t="str">
        <f>IFERROR(IF(A845="","",E845*#REF!),"")</f>
        <v/>
      </c>
    </row>
    <row r="846" spans="2:9" x14ac:dyDescent="0.3">
      <c r="B846" t="str">
        <f>IFERROR(IF(A846="","",VLOOKUP(A846,CadProd!$A:$B,2,0)),"")</f>
        <v/>
      </c>
      <c r="C846" t="str">
        <f>IFERROR(IF(A846="","",VLOOKUP(A846,CadProd!$A:$C,3,0)),"")</f>
        <v/>
      </c>
      <c r="I846" s="1" t="str">
        <f>IFERROR(IF(A846="","",E846*#REF!),"")</f>
        <v/>
      </c>
    </row>
    <row r="847" spans="2:9" x14ac:dyDescent="0.3">
      <c r="B847" t="str">
        <f>IFERROR(IF(A847="","",VLOOKUP(A847,CadProd!$A:$B,2,0)),"")</f>
        <v/>
      </c>
      <c r="C847" t="str">
        <f>IFERROR(IF(A847="","",VLOOKUP(A847,CadProd!$A:$C,3,0)),"")</f>
        <v/>
      </c>
      <c r="I847" s="1" t="str">
        <f>IFERROR(IF(A847="","",E847*#REF!),"")</f>
        <v/>
      </c>
    </row>
    <row r="848" spans="2:9" x14ac:dyDescent="0.3">
      <c r="B848" t="str">
        <f>IFERROR(IF(A848="","",VLOOKUP(A848,CadProd!$A:$B,2,0)),"")</f>
        <v/>
      </c>
      <c r="C848" t="str">
        <f>IFERROR(IF(A848="","",VLOOKUP(A848,CadProd!$A:$C,3,0)),"")</f>
        <v/>
      </c>
      <c r="I848" s="1" t="str">
        <f>IFERROR(IF(A848="","",E848*#REF!),"")</f>
        <v/>
      </c>
    </row>
    <row r="849" spans="2:9" x14ac:dyDescent="0.3">
      <c r="B849" t="str">
        <f>IFERROR(IF(A849="","",VLOOKUP(A849,CadProd!$A:$B,2,0)),"")</f>
        <v/>
      </c>
      <c r="C849" t="str">
        <f>IFERROR(IF(A849="","",VLOOKUP(A849,CadProd!$A:$C,3,0)),"")</f>
        <v/>
      </c>
      <c r="I849" s="1" t="str">
        <f>IFERROR(IF(A849="","",E849*#REF!),"")</f>
        <v/>
      </c>
    </row>
    <row r="850" spans="2:9" x14ac:dyDescent="0.3">
      <c r="B850" t="str">
        <f>IFERROR(IF(A850="","",VLOOKUP(A850,CadProd!$A:$B,2,0)),"")</f>
        <v/>
      </c>
      <c r="C850" t="str">
        <f>IFERROR(IF(A850="","",VLOOKUP(A850,CadProd!$A:$C,3,0)),"")</f>
        <v/>
      </c>
      <c r="I850" s="1" t="str">
        <f>IFERROR(IF(A850="","",E850*#REF!),"")</f>
        <v/>
      </c>
    </row>
    <row r="851" spans="2:9" x14ac:dyDescent="0.3">
      <c r="B851" t="str">
        <f>IFERROR(IF(A851="","",VLOOKUP(A851,CadProd!$A:$B,2,0)),"")</f>
        <v/>
      </c>
      <c r="C851" t="str">
        <f>IFERROR(IF(A851="","",VLOOKUP(A851,CadProd!$A:$C,3,0)),"")</f>
        <v/>
      </c>
      <c r="I851" s="1" t="str">
        <f>IFERROR(IF(A851="","",E851*#REF!),"")</f>
        <v/>
      </c>
    </row>
    <row r="852" spans="2:9" x14ac:dyDescent="0.3">
      <c r="B852" t="str">
        <f>IFERROR(IF(A852="","",VLOOKUP(A852,CadProd!$A:$B,2,0)),"")</f>
        <v/>
      </c>
      <c r="C852" t="str">
        <f>IFERROR(IF(A852="","",VLOOKUP(A852,CadProd!$A:$C,3,0)),"")</f>
        <v/>
      </c>
      <c r="I852" s="1" t="str">
        <f>IFERROR(IF(A852="","",E852*#REF!),"")</f>
        <v/>
      </c>
    </row>
    <row r="853" spans="2:9" x14ac:dyDescent="0.3">
      <c r="B853" t="str">
        <f>IFERROR(IF(A853="","",VLOOKUP(A853,CadProd!$A:$B,2,0)),"")</f>
        <v/>
      </c>
      <c r="C853" t="str">
        <f>IFERROR(IF(A853="","",VLOOKUP(A853,CadProd!$A:$C,3,0)),"")</f>
        <v/>
      </c>
      <c r="I853" s="1" t="str">
        <f>IFERROR(IF(A853="","",E853*#REF!),"")</f>
        <v/>
      </c>
    </row>
    <row r="854" spans="2:9" x14ac:dyDescent="0.3">
      <c r="B854" t="str">
        <f>IFERROR(IF(A854="","",VLOOKUP(A854,CadProd!$A:$B,2,0)),"")</f>
        <v/>
      </c>
      <c r="C854" t="str">
        <f>IFERROR(IF(A854="","",VLOOKUP(A854,CadProd!$A:$C,3,0)),"")</f>
        <v/>
      </c>
      <c r="I854" s="1" t="str">
        <f>IFERROR(IF(A854="","",E854*#REF!),"")</f>
        <v/>
      </c>
    </row>
    <row r="855" spans="2:9" x14ac:dyDescent="0.3">
      <c r="B855" t="str">
        <f>IFERROR(IF(A855="","",VLOOKUP(A855,CadProd!$A:$B,2,0)),"")</f>
        <v/>
      </c>
      <c r="C855" t="str">
        <f>IFERROR(IF(A855="","",VLOOKUP(A855,CadProd!$A:$C,3,0)),"")</f>
        <v/>
      </c>
      <c r="I855" s="1" t="str">
        <f>IFERROR(IF(A855="","",E855*#REF!),"")</f>
        <v/>
      </c>
    </row>
    <row r="856" spans="2:9" x14ac:dyDescent="0.3">
      <c r="B856" t="str">
        <f>IFERROR(IF(A856="","",VLOOKUP(A856,CadProd!$A:$B,2,0)),"")</f>
        <v/>
      </c>
      <c r="C856" t="str">
        <f>IFERROR(IF(A856="","",VLOOKUP(A856,CadProd!$A:$C,3,0)),"")</f>
        <v/>
      </c>
      <c r="I856" s="1" t="str">
        <f>IFERROR(IF(A856="","",E856*#REF!),"")</f>
        <v/>
      </c>
    </row>
    <row r="857" spans="2:9" x14ac:dyDescent="0.3">
      <c r="B857" t="str">
        <f>IFERROR(IF(A857="","",VLOOKUP(A857,CadProd!$A:$B,2,0)),"")</f>
        <v/>
      </c>
      <c r="C857" t="str">
        <f>IFERROR(IF(A857="","",VLOOKUP(A857,CadProd!$A:$C,3,0)),"")</f>
        <v/>
      </c>
      <c r="I857" s="1" t="str">
        <f>IFERROR(IF(A857="","",E857*#REF!),"")</f>
        <v/>
      </c>
    </row>
    <row r="858" spans="2:9" x14ac:dyDescent="0.3">
      <c r="B858" t="str">
        <f>IFERROR(IF(A858="","",VLOOKUP(A858,CadProd!$A:$B,2,0)),"")</f>
        <v/>
      </c>
      <c r="C858" t="str">
        <f>IFERROR(IF(A858="","",VLOOKUP(A858,CadProd!$A:$C,3,0)),"")</f>
        <v/>
      </c>
      <c r="I858" s="1" t="str">
        <f>IFERROR(IF(A858="","",E858*#REF!),"")</f>
        <v/>
      </c>
    </row>
    <row r="859" spans="2:9" x14ac:dyDescent="0.3">
      <c r="B859" t="str">
        <f>IFERROR(IF(A859="","",VLOOKUP(A859,CadProd!$A:$B,2,0)),"")</f>
        <v/>
      </c>
      <c r="C859" t="str">
        <f>IFERROR(IF(A859="","",VLOOKUP(A859,CadProd!$A:$C,3,0)),"")</f>
        <v/>
      </c>
      <c r="I859" s="1" t="str">
        <f>IFERROR(IF(A859="","",E859*#REF!),"")</f>
        <v/>
      </c>
    </row>
    <row r="860" spans="2:9" x14ac:dyDescent="0.3">
      <c r="B860" t="str">
        <f>IFERROR(IF(A860="","",VLOOKUP(A860,CadProd!$A:$B,2,0)),"")</f>
        <v/>
      </c>
      <c r="C860" t="str">
        <f>IFERROR(IF(A860="","",VLOOKUP(A860,CadProd!$A:$C,3,0)),"")</f>
        <v/>
      </c>
      <c r="I860" s="1" t="str">
        <f>IFERROR(IF(A860="","",E860*#REF!),"")</f>
        <v/>
      </c>
    </row>
    <row r="861" spans="2:9" x14ac:dyDescent="0.3">
      <c r="B861" t="str">
        <f>IFERROR(IF(A861="","",VLOOKUP(A861,CadProd!$A:$B,2,0)),"")</f>
        <v/>
      </c>
      <c r="C861" t="str">
        <f>IFERROR(IF(A861="","",VLOOKUP(A861,CadProd!$A:$C,3,0)),"")</f>
        <v/>
      </c>
      <c r="I861" s="1" t="str">
        <f>IFERROR(IF(A861="","",E861*#REF!),"")</f>
        <v/>
      </c>
    </row>
    <row r="862" spans="2:9" x14ac:dyDescent="0.3">
      <c r="B862" t="str">
        <f>IFERROR(IF(A862="","",VLOOKUP(A862,CadProd!$A:$B,2,0)),"")</f>
        <v/>
      </c>
      <c r="C862" t="str">
        <f>IFERROR(IF(A862="","",VLOOKUP(A862,CadProd!$A:$C,3,0)),"")</f>
        <v/>
      </c>
      <c r="I862" s="1" t="str">
        <f>IFERROR(IF(A862="","",E862*#REF!),"")</f>
        <v/>
      </c>
    </row>
    <row r="863" spans="2:9" x14ac:dyDescent="0.3">
      <c r="B863" t="str">
        <f>IFERROR(IF(A863="","",VLOOKUP(A863,CadProd!$A:$B,2,0)),"")</f>
        <v/>
      </c>
      <c r="C863" t="str">
        <f>IFERROR(IF(A863="","",VLOOKUP(A863,CadProd!$A:$C,3,0)),"")</f>
        <v/>
      </c>
      <c r="I863" s="1" t="str">
        <f>IFERROR(IF(A863="","",E863*#REF!),"")</f>
        <v/>
      </c>
    </row>
    <row r="864" spans="2:9" x14ac:dyDescent="0.3">
      <c r="B864" t="str">
        <f>IFERROR(IF(A864="","",VLOOKUP(A864,CadProd!$A:$B,2,0)),"")</f>
        <v/>
      </c>
      <c r="C864" t="str">
        <f>IFERROR(IF(A864="","",VLOOKUP(A864,CadProd!$A:$C,3,0)),"")</f>
        <v/>
      </c>
      <c r="I864" s="1" t="str">
        <f>IFERROR(IF(A864="","",E864*#REF!),"")</f>
        <v/>
      </c>
    </row>
    <row r="865" spans="2:9" x14ac:dyDescent="0.3">
      <c r="B865" t="str">
        <f>IFERROR(IF(A865="","",VLOOKUP(A865,CadProd!$A:$B,2,0)),"")</f>
        <v/>
      </c>
      <c r="C865" t="str">
        <f>IFERROR(IF(A865="","",VLOOKUP(A865,CadProd!$A:$C,3,0)),"")</f>
        <v/>
      </c>
      <c r="I865" s="1" t="str">
        <f>IFERROR(IF(A865="","",E865*#REF!),"")</f>
        <v/>
      </c>
    </row>
    <row r="866" spans="2:9" x14ac:dyDescent="0.3">
      <c r="B866" t="str">
        <f>IFERROR(IF(A866="","",VLOOKUP(A866,CadProd!$A:$B,2,0)),"")</f>
        <v/>
      </c>
      <c r="C866" t="str">
        <f>IFERROR(IF(A866="","",VLOOKUP(A866,CadProd!$A:$C,3,0)),"")</f>
        <v/>
      </c>
      <c r="I866" s="1" t="str">
        <f>IFERROR(IF(A866="","",E866*#REF!),"")</f>
        <v/>
      </c>
    </row>
    <row r="867" spans="2:9" x14ac:dyDescent="0.3">
      <c r="B867" t="str">
        <f>IFERROR(IF(A867="","",VLOOKUP(A867,CadProd!$A:$B,2,0)),"")</f>
        <v/>
      </c>
      <c r="C867" t="str">
        <f>IFERROR(IF(A867="","",VLOOKUP(A867,CadProd!$A:$C,3,0)),"")</f>
        <v/>
      </c>
      <c r="I867" s="1" t="str">
        <f>IFERROR(IF(A867="","",E867*#REF!),"")</f>
        <v/>
      </c>
    </row>
    <row r="868" spans="2:9" x14ac:dyDescent="0.3">
      <c r="B868" t="str">
        <f>IFERROR(IF(A868="","",VLOOKUP(A868,CadProd!$A:$B,2,0)),"")</f>
        <v/>
      </c>
      <c r="C868" t="str">
        <f>IFERROR(IF(A868="","",VLOOKUP(A868,CadProd!$A:$C,3,0)),"")</f>
        <v/>
      </c>
      <c r="I868" s="1" t="str">
        <f>IFERROR(IF(A868="","",E868*#REF!),"")</f>
        <v/>
      </c>
    </row>
    <row r="869" spans="2:9" x14ac:dyDescent="0.3">
      <c r="B869" t="str">
        <f>IFERROR(IF(A869="","",VLOOKUP(A869,CadProd!$A:$B,2,0)),"")</f>
        <v/>
      </c>
      <c r="C869" t="str">
        <f>IFERROR(IF(A869="","",VLOOKUP(A869,CadProd!$A:$C,3,0)),"")</f>
        <v/>
      </c>
      <c r="I869" s="1" t="str">
        <f>IFERROR(IF(A869="","",E869*#REF!),"")</f>
        <v/>
      </c>
    </row>
    <row r="870" spans="2:9" x14ac:dyDescent="0.3">
      <c r="B870" t="str">
        <f>IFERROR(IF(A870="","",VLOOKUP(A870,CadProd!$A:$B,2,0)),"")</f>
        <v/>
      </c>
      <c r="C870" t="str">
        <f>IFERROR(IF(A870="","",VLOOKUP(A870,CadProd!$A:$C,3,0)),"")</f>
        <v/>
      </c>
      <c r="I870" s="1" t="str">
        <f>IFERROR(IF(A870="","",E870*#REF!),"")</f>
        <v/>
      </c>
    </row>
    <row r="871" spans="2:9" x14ac:dyDescent="0.3">
      <c r="B871" t="str">
        <f>IFERROR(IF(A871="","",VLOOKUP(A871,CadProd!$A:$B,2,0)),"")</f>
        <v/>
      </c>
      <c r="C871" t="str">
        <f>IFERROR(IF(A871="","",VLOOKUP(A871,CadProd!$A:$C,3,0)),"")</f>
        <v/>
      </c>
      <c r="I871" s="1" t="str">
        <f>IFERROR(IF(A871="","",E871*#REF!),"")</f>
        <v/>
      </c>
    </row>
    <row r="872" spans="2:9" x14ac:dyDescent="0.3">
      <c r="B872" t="str">
        <f>IFERROR(IF(A872="","",VLOOKUP(A872,CadProd!$A:$B,2,0)),"")</f>
        <v/>
      </c>
      <c r="C872" t="str">
        <f>IFERROR(IF(A872="","",VLOOKUP(A872,CadProd!$A:$C,3,0)),"")</f>
        <v/>
      </c>
      <c r="I872" s="1" t="str">
        <f>IFERROR(IF(A872="","",E872*#REF!),"")</f>
        <v/>
      </c>
    </row>
    <row r="873" spans="2:9" x14ac:dyDescent="0.3">
      <c r="B873" t="str">
        <f>IFERROR(IF(A873="","",VLOOKUP(A873,CadProd!$A:$B,2,0)),"")</f>
        <v/>
      </c>
      <c r="C873" t="str">
        <f>IFERROR(IF(A873="","",VLOOKUP(A873,CadProd!$A:$C,3,0)),"")</f>
        <v/>
      </c>
      <c r="I873" s="1" t="str">
        <f>IFERROR(IF(A873="","",E873*#REF!),"")</f>
        <v/>
      </c>
    </row>
    <row r="874" spans="2:9" x14ac:dyDescent="0.3">
      <c r="B874" t="str">
        <f>IFERROR(IF(A874="","",VLOOKUP(A874,CadProd!$A:$B,2,0)),"")</f>
        <v/>
      </c>
      <c r="C874" t="str">
        <f>IFERROR(IF(A874="","",VLOOKUP(A874,CadProd!$A:$C,3,0)),"")</f>
        <v/>
      </c>
      <c r="I874" s="1" t="str">
        <f>IFERROR(IF(A874="","",E874*#REF!),"")</f>
        <v/>
      </c>
    </row>
    <row r="875" spans="2:9" x14ac:dyDescent="0.3">
      <c r="B875" t="str">
        <f>IFERROR(IF(A875="","",VLOOKUP(A875,CadProd!$A:$B,2,0)),"")</f>
        <v/>
      </c>
      <c r="C875" t="str">
        <f>IFERROR(IF(A875="","",VLOOKUP(A875,CadProd!$A:$C,3,0)),"")</f>
        <v/>
      </c>
      <c r="I875" s="1" t="str">
        <f>IFERROR(IF(A875="","",E875*#REF!),"")</f>
        <v/>
      </c>
    </row>
    <row r="876" spans="2:9" x14ac:dyDescent="0.3">
      <c r="B876" t="str">
        <f>IFERROR(IF(A876="","",VLOOKUP(A876,CadProd!$A:$B,2,0)),"")</f>
        <v/>
      </c>
      <c r="C876" t="str">
        <f>IFERROR(IF(A876="","",VLOOKUP(A876,CadProd!$A:$C,3,0)),"")</f>
        <v/>
      </c>
      <c r="I876" s="1" t="str">
        <f>IFERROR(IF(A876="","",E876*#REF!),"")</f>
        <v/>
      </c>
    </row>
    <row r="877" spans="2:9" x14ac:dyDescent="0.3">
      <c r="B877" t="str">
        <f>IFERROR(IF(A877="","",VLOOKUP(A877,CadProd!$A:$B,2,0)),"")</f>
        <v/>
      </c>
      <c r="C877" t="str">
        <f>IFERROR(IF(A877="","",VLOOKUP(A877,CadProd!$A:$C,3,0)),"")</f>
        <v/>
      </c>
      <c r="I877" s="1" t="str">
        <f>IFERROR(IF(A877="","",E877*#REF!),"")</f>
        <v/>
      </c>
    </row>
    <row r="878" spans="2:9" x14ac:dyDescent="0.3">
      <c r="B878" t="str">
        <f>IFERROR(IF(A878="","",VLOOKUP(A878,CadProd!$A:$B,2,0)),"")</f>
        <v/>
      </c>
      <c r="C878" t="str">
        <f>IFERROR(IF(A878="","",VLOOKUP(A878,CadProd!$A:$C,3,0)),"")</f>
        <v/>
      </c>
      <c r="I878" s="1" t="str">
        <f>IFERROR(IF(A878="","",E878*#REF!),"")</f>
        <v/>
      </c>
    </row>
    <row r="879" spans="2:9" x14ac:dyDescent="0.3">
      <c r="B879" t="str">
        <f>IFERROR(IF(A879="","",VLOOKUP(A879,CadProd!$A:$B,2,0)),"")</f>
        <v/>
      </c>
      <c r="C879" t="str">
        <f>IFERROR(IF(A879="","",VLOOKUP(A879,CadProd!$A:$C,3,0)),"")</f>
        <v/>
      </c>
      <c r="I879" s="1" t="str">
        <f>IFERROR(IF(A879="","",E879*#REF!),"")</f>
        <v/>
      </c>
    </row>
    <row r="880" spans="2:9" x14ac:dyDescent="0.3">
      <c r="B880" t="str">
        <f>IFERROR(IF(A880="","",VLOOKUP(A880,CadProd!$A:$B,2,0)),"")</f>
        <v/>
      </c>
      <c r="C880" t="str">
        <f>IFERROR(IF(A880="","",VLOOKUP(A880,CadProd!$A:$C,3,0)),"")</f>
        <v/>
      </c>
      <c r="I880" s="1" t="str">
        <f>IFERROR(IF(A880="","",E880*#REF!),"")</f>
        <v/>
      </c>
    </row>
    <row r="881" spans="2:9" x14ac:dyDescent="0.3">
      <c r="B881" t="str">
        <f>IFERROR(IF(A881="","",VLOOKUP(A881,CadProd!$A:$B,2,0)),"")</f>
        <v/>
      </c>
      <c r="C881" t="str">
        <f>IFERROR(IF(A881="","",VLOOKUP(A881,CadProd!$A:$C,3,0)),"")</f>
        <v/>
      </c>
      <c r="I881" s="1" t="str">
        <f>IFERROR(IF(A881="","",E881*#REF!),"")</f>
        <v/>
      </c>
    </row>
    <row r="882" spans="2:9" x14ac:dyDescent="0.3">
      <c r="B882" t="str">
        <f>IFERROR(IF(A882="","",VLOOKUP(A882,CadProd!$A:$B,2,0)),"")</f>
        <v/>
      </c>
      <c r="C882" t="str">
        <f>IFERROR(IF(A882="","",VLOOKUP(A882,CadProd!$A:$C,3,0)),"")</f>
        <v/>
      </c>
      <c r="I882" s="1" t="str">
        <f>IFERROR(IF(A882="","",E882*#REF!),"")</f>
        <v/>
      </c>
    </row>
    <row r="883" spans="2:9" x14ac:dyDescent="0.3">
      <c r="B883" t="str">
        <f>IFERROR(IF(A883="","",VLOOKUP(A883,CadProd!$A:$B,2,0)),"")</f>
        <v/>
      </c>
      <c r="C883" t="str">
        <f>IFERROR(IF(A883="","",VLOOKUP(A883,CadProd!$A:$C,3,0)),"")</f>
        <v/>
      </c>
      <c r="I883" s="1" t="str">
        <f>IFERROR(IF(A883="","",E883*#REF!),"")</f>
        <v/>
      </c>
    </row>
    <row r="884" spans="2:9" x14ac:dyDescent="0.3">
      <c r="B884" t="str">
        <f>IFERROR(IF(A884="","",VLOOKUP(A884,CadProd!$A:$B,2,0)),"")</f>
        <v/>
      </c>
      <c r="C884" t="str">
        <f>IFERROR(IF(A884="","",VLOOKUP(A884,CadProd!$A:$C,3,0)),"")</f>
        <v/>
      </c>
      <c r="I884" s="1" t="str">
        <f>IFERROR(IF(A884="","",E884*#REF!),"")</f>
        <v/>
      </c>
    </row>
    <row r="885" spans="2:9" x14ac:dyDescent="0.3">
      <c r="B885" t="str">
        <f>IFERROR(IF(A885="","",VLOOKUP(A885,CadProd!$A:$B,2,0)),"")</f>
        <v/>
      </c>
      <c r="C885" t="str">
        <f>IFERROR(IF(A885="","",VLOOKUP(A885,CadProd!$A:$C,3,0)),"")</f>
        <v/>
      </c>
      <c r="I885" s="1" t="str">
        <f>IFERROR(IF(A885="","",E885*#REF!),"")</f>
        <v/>
      </c>
    </row>
    <row r="886" spans="2:9" x14ac:dyDescent="0.3">
      <c r="B886" t="str">
        <f>IFERROR(IF(A886="","",VLOOKUP(A886,CadProd!$A:$B,2,0)),"")</f>
        <v/>
      </c>
      <c r="C886" t="str">
        <f>IFERROR(IF(A886="","",VLOOKUP(A886,CadProd!$A:$C,3,0)),"")</f>
        <v/>
      </c>
      <c r="I886" s="1" t="str">
        <f>IFERROR(IF(A886="","",E886*#REF!),"")</f>
        <v/>
      </c>
    </row>
    <row r="887" spans="2:9" x14ac:dyDescent="0.3">
      <c r="B887" t="str">
        <f>IFERROR(IF(A887="","",VLOOKUP(A887,CadProd!$A:$B,2,0)),"")</f>
        <v/>
      </c>
      <c r="C887" t="str">
        <f>IFERROR(IF(A887="","",VLOOKUP(A887,CadProd!$A:$C,3,0)),"")</f>
        <v/>
      </c>
      <c r="I887" s="1" t="str">
        <f>IFERROR(IF(A887="","",E887*#REF!),"")</f>
        <v/>
      </c>
    </row>
    <row r="888" spans="2:9" x14ac:dyDescent="0.3">
      <c r="B888" t="str">
        <f>IFERROR(IF(A888="","",VLOOKUP(A888,CadProd!$A:$B,2,0)),"")</f>
        <v/>
      </c>
      <c r="C888" t="str">
        <f>IFERROR(IF(A888="","",VLOOKUP(A888,CadProd!$A:$C,3,0)),"")</f>
        <v/>
      </c>
      <c r="I888" s="1" t="str">
        <f>IFERROR(IF(A888="","",E888*#REF!),"")</f>
        <v/>
      </c>
    </row>
    <row r="889" spans="2:9" x14ac:dyDescent="0.3">
      <c r="B889" t="str">
        <f>IFERROR(IF(A889="","",VLOOKUP(A889,CadProd!$A:$B,2,0)),"")</f>
        <v/>
      </c>
      <c r="C889" t="str">
        <f>IFERROR(IF(A889="","",VLOOKUP(A889,CadProd!$A:$C,3,0)),"")</f>
        <v/>
      </c>
      <c r="I889" s="1" t="str">
        <f>IFERROR(IF(A889="","",E889*#REF!),"")</f>
        <v/>
      </c>
    </row>
    <row r="890" spans="2:9" x14ac:dyDescent="0.3">
      <c r="B890" t="str">
        <f>IFERROR(IF(A890="","",VLOOKUP(A890,CadProd!$A:$B,2,0)),"")</f>
        <v/>
      </c>
      <c r="C890" t="str">
        <f>IFERROR(IF(A890="","",VLOOKUP(A890,CadProd!$A:$C,3,0)),"")</f>
        <v/>
      </c>
      <c r="I890" s="1" t="str">
        <f>IFERROR(IF(A890="","",E890*#REF!),"")</f>
        <v/>
      </c>
    </row>
    <row r="891" spans="2:9" x14ac:dyDescent="0.3">
      <c r="B891" t="str">
        <f>IFERROR(IF(A891="","",VLOOKUP(A891,CadProd!$A:$B,2,0)),"")</f>
        <v/>
      </c>
      <c r="C891" t="str">
        <f>IFERROR(IF(A891="","",VLOOKUP(A891,CadProd!$A:$C,3,0)),"")</f>
        <v/>
      </c>
      <c r="I891" s="1" t="str">
        <f>IFERROR(IF(A891="","",E891*#REF!),"")</f>
        <v/>
      </c>
    </row>
    <row r="892" spans="2:9" x14ac:dyDescent="0.3">
      <c r="B892" t="str">
        <f>IFERROR(IF(A892="","",VLOOKUP(A892,CadProd!$A:$B,2,0)),"")</f>
        <v/>
      </c>
      <c r="C892" t="str">
        <f>IFERROR(IF(A892="","",VLOOKUP(A892,CadProd!$A:$C,3,0)),"")</f>
        <v/>
      </c>
      <c r="I892" s="1" t="str">
        <f>IFERROR(IF(A892="","",E892*#REF!),"")</f>
        <v/>
      </c>
    </row>
    <row r="893" spans="2:9" x14ac:dyDescent="0.3">
      <c r="B893" t="str">
        <f>IFERROR(IF(A893="","",VLOOKUP(A893,CadProd!$A:$B,2,0)),"")</f>
        <v/>
      </c>
      <c r="C893" t="str">
        <f>IFERROR(IF(A893="","",VLOOKUP(A893,CadProd!$A:$C,3,0)),"")</f>
        <v/>
      </c>
      <c r="I893" s="1" t="str">
        <f>IFERROR(IF(A893="","",E893*#REF!),"")</f>
        <v/>
      </c>
    </row>
    <row r="894" spans="2:9" x14ac:dyDescent="0.3">
      <c r="B894" t="str">
        <f>IFERROR(IF(A894="","",VLOOKUP(A894,CadProd!$A:$B,2,0)),"")</f>
        <v/>
      </c>
      <c r="C894" t="str">
        <f>IFERROR(IF(A894="","",VLOOKUP(A894,CadProd!$A:$C,3,0)),"")</f>
        <v/>
      </c>
      <c r="I894" s="1" t="str">
        <f>IFERROR(IF(A894="","",E894*#REF!),"")</f>
        <v/>
      </c>
    </row>
    <row r="895" spans="2:9" x14ac:dyDescent="0.3">
      <c r="B895" t="str">
        <f>IFERROR(IF(A895="","",VLOOKUP(A895,CadProd!$A:$B,2,0)),"")</f>
        <v/>
      </c>
      <c r="C895" t="str">
        <f>IFERROR(IF(A895="","",VLOOKUP(A895,CadProd!$A:$C,3,0)),"")</f>
        <v/>
      </c>
      <c r="I895" s="1" t="str">
        <f>IFERROR(IF(A895="","",E895*#REF!),"")</f>
        <v/>
      </c>
    </row>
    <row r="896" spans="2:9" x14ac:dyDescent="0.3">
      <c r="B896" t="str">
        <f>IFERROR(IF(A896="","",VLOOKUP(A896,CadProd!$A:$B,2,0)),"")</f>
        <v/>
      </c>
      <c r="C896" t="str">
        <f>IFERROR(IF(A896="","",VLOOKUP(A896,CadProd!$A:$C,3,0)),"")</f>
        <v/>
      </c>
      <c r="I896" s="1" t="str">
        <f>IFERROR(IF(A896="","",E896*#REF!),"")</f>
        <v/>
      </c>
    </row>
    <row r="897" spans="2:9" x14ac:dyDescent="0.3">
      <c r="B897" t="str">
        <f>IFERROR(IF(A897="","",VLOOKUP(A897,CadProd!$A:$B,2,0)),"")</f>
        <v/>
      </c>
      <c r="C897" t="str">
        <f>IFERROR(IF(A897="","",VLOOKUP(A897,CadProd!$A:$C,3,0)),"")</f>
        <v/>
      </c>
      <c r="I897" s="1" t="str">
        <f>IFERROR(IF(A897="","",E897*#REF!),"")</f>
        <v/>
      </c>
    </row>
    <row r="898" spans="2:9" x14ac:dyDescent="0.3">
      <c r="B898" t="str">
        <f>IFERROR(IF(A898="","",VLOOKUP(A898,CadProd!$A:$B,2,0)),"")</f>
        <v/>
      </c>
      <c r="C898" t="str">
        <f>IFERROR(IF(A898="","",VLOOKUP(A898,CadProd!$A:$C,3,0)),"")</f>
        <v/>
      </c>
      <c r="I898" s="1" t="str">
        <f>IFERROR(IF(A898="","",E898*#REF!),"")</f>
        <v/>
      </c>
    </row>
    <row r="899" spans="2:9" x14ac:dyDescent="0.3">
      <c r="B899" t="str">
        <f>IFERROR(IF(A899="","",VLOOKUP(A899,CadProd!$A:$B,2,0)),"")</f>
        <v/>
      </c>
      <c r="C899" t="str">
        <f>IFERROR(IF(A899="","",VLOOKUP(A899,CadProd!$A:$C,3,0)),"")</f>
        <v/>
      </c>
      <c r="I899" s="1" t="str">
        <f>IFERROR(IF(A899="","",E899*#REF!),"")</f>
        <v/>
      </c>
    </row>
    <row r="900" spans="2:9" x14ac:dyDescent="0.3">
      <c r="B900" t="str">
        <f>IFERROR(IF(A900="","",VLOOKUP(A900,CadProd!$A:$B,2,0)),"")</f>
        <v/>
      </c>
      <c r="C900" t="str">
        <f>IFERROR(IF(A900="","",VLOOKUP(A900,CadProd!$A:$C,3,0)),"")</f>
        <v/>
      </c>
      <c r="I900" s="1" t="str">
        <f>IFERROR(IF(A900="","",E900*#REF!),"")</f>
        <v/>
      </c>
    </row>
    <row r="901" spans="2:9" x14ac:dyDescent="0.3">
      <c r="B901" t="str">
        <f>IFERROR(IF(A901="","",VLOOKUP(A901,CadProd!$A:$B,2,0)),"")</f>
        <v/>
      </c>
      <c r="C901" t="str">
        <f>IFERROR(IF(A901="","",VLOOKUP(A901,CadProd!$A:$C,3,0)),"")</f>
        <v/>
      </c>
      <c r="I901" s="1" t="str">
        <f>IFERROR(IF(A901="","",E901*#REF!),"")</f>
        <v/>
      </c>
    </row>
    <row r="902" spans="2:9" x14ac:dyDescent="0.3">
      <c r="B902" t="str">
        <f>IFERROR(IF(A902="","",VLOOKUP(A902,CadProd!$A:$B,2,0)),"")</f>
        <v/>
      </c>
      <c r="C902" t="str">
        <f>IFERROR(IF(A902="","",VLOOKUP(A902,CadProd!$A:$C,3,0)),"")</f>
        <v/>
      </c>
      <c r="I902" s="1" t="str">
        <f>IFERROR(IF(A902="","",E902*#REF!),"")</f>
        <v/>
      </c>
    </row>
    <row r="903" spans="2:9" x14ac:dyDescent="0.3">
      <c r="B903" t="str">
        <f>IFERROR(IF(A903="","",VLOOKUP(A903,CadProd!$A:$B,2,0)),"")</f>
        <v/>
      </c>
      <c r="C903" t="str">
        <f>IFERROR(IF(A903="","",VLOOKUP(A903,CadProd!$A:$C,3,0)),"")</f>
        <v/>
      </c>
      <c r="I903" s="1" t="str">
        <f>IFERROR(IF(A903="","",E903*#REF!),"")</f>
        <v/>
      </c>
    </row>
    <row r="904" spans="2:9" x14ac:dyDescent="0.3">
      <c r="B904" t="str">
        <f>IFERROR(IF(A904="","",VLOOKUP(A904,CadProd!$A:$B,2,0)),"")</f>
        <v/>
      </c>
      <c r="C904" t="str">
        <f>IFERROR(IF(A904="","",VLOOKUP(A904,CadProd!$A:$C,3,0)),"")</f>
        <v/>
      </c>
      <c r="I904" s="1" t="str">
        <f>IFERROR(IF(A904="","",E904*#REF!),"")</f>
        <v/>
      </c>
    </row>
    <row r="905" spans="2:9" x14ac:dyDescent="0.3">
      <c r="B905" t="str">
        <f>IFERROR(IF(A905="","",VLOOKUP(A905,CadProd!$A:$B,2,0)),"")</f>
        <v/>
      </c>
      <c r="C905" t="str">
        <f>IFERROR(IF(A905="","",VLOOKUP(A905,CadProd!$A:$C,3,0)),"")</f>
        <v/>
      </c>
      <c r="I905" s="1" t="str">
        <f>IFERROR(IF(A905="","",E905*#REF!),"")</f>
        <v/>
      </c>
    </row>
    <row r="906" spans="2:9" x14ac:dyDescent="0.3">
      <c r="B906" t="str">
        <f>IFERROR(IF(A906="","",VLOOKUP(A906,CadProd!$A:$B,2,0)),"")</f>
        <v/>
      </c>
      <c r="C906" t="str">
        <f>IFERROR(IF(A906="","",VLOOKUP(A906,CadProd!$A:$C,3,0)),"")</f>
        <v/>
      </c>
      <c r="I906" s="1" t="str">
        <f>IFERROR(IF(A906="","",E906*#REF!),"")</f>
        <v/>
      </c>
    </row>
    <row r="907" spans="2:9" x14ac:dyDescent="0.3">
      <c r="B907" t="str">
        <f>IFERROR(IF(A907="","",VLOOKUP(A907,CadProd!$A:$B,2,0)),"")</f>
        <v/>
      </c>
      <c r="C907" t="str">
        <f>IFERROR(IF(A907="","",VLOOKUP(A907,CadProd!$A:$C,3,0)),"")</f>
        <v/>
      </c>
      <c r="I907" s="1" t="str">
        <f>IFERROR(IF(A907="","",E907*#REF!),"")</f>
        <v/>
      </c>
    </row>
    <row r="908" spans="2:9" x14ac:dyDescent="0.3">
      <c r="B908" t="str">
        <f>IFERROR(IF(A908="","",VLOOKUP(A908,CadProd!$A:$B,2,0)),"")</f>
        <v/>
      </c>
      <c r="C908" t="str">
        <f>IFERROR(IF(A908="","",VLOOKUP(A908,CadProd!$A:$C,3,0)),"")</f>
        <v/>
      </c>
      <c r="I908" s="1" t="str">
        <f>IFERROR(IF(A908="","",E908*#REF!),"")</f>
        <v/>
      </c>
    </row>
    <row r="909" spans="2:9" x14ac:dyDescent="0.3">
      <c r="B909" t="str">
        <f>IFERROR(IF(A909="","",VLOOKUP(A909,CadProd!$A:$B,2,0)),"")</f>
        <v/>
      </c>
      <c r="C909" t="str">
        <f>IFERROR(IF(A909="","",VLOOKUP(A909,CadProd!$A:$C,3,0)),"")</f>
        <v/>
      </c>
      <c r="I909" s="1" t="str">
        <f>IFERROR(IF(A909="","",E909*#REF!),"")</f>
        <v/>
      </c>
    </row>
    <row r="910" spans="2:9" x14ac:dyDescent="0.3">
      <c r="B910" t="str">
        <f>IFERROR(IF(A910="","",VLOOKUP(A910,CadProd!$A:$B,2,0)),"")</f>
        <v/>
      </c>
      <c r="C910" t="str">
        <f>IFERROR(IF(A910="","",VLOOKUP(A910,CadProd!$A:$C,3,0)),"")</f>
        <v/>
      </c>
      <c r="I910" s="1" t="str">
        <f>IFERROR(IF(A910="","",E910*#REF!),"")</f>
        <v/>
      </c>
    </row>
    <row r="911" spans="2:9" x14ac:dyDescent="0.3">
      <c r="B911" t="str">
        <f>IFERROR(IF(A911="","",VLOOKUP(A911,CadProd!$A:$B,2,0)),"")</f>
        <v/>
      </c>
      <c r="C911" t="str">
        <f>IFERROR(IF(A911="","",VLOOKUP(A911,CadProd!$A:$C,3,0)),"")</f>
        <v/>
      </c>
      <c r="I911" s="1" t="str">
        <f>IFERROR(IF(A911="","",E911*#REF!),"")</f>
        <v/>
      </c>
    </row>
    <row r="912" spans="2:9" x14ac:dyDescent="0.3">
      <c r="B912" t="str">
        <f>IFERROR(IF(A912="","",VLOOKUP(A912,CadProd!$A:$B,2,0)),"")</f>
        <v/>
      </c>
      <c r="C912" t="str">
        <f>IFERROR(IF(A912="","",VLOOKUP(A912,CadProd!$A:$C,3,0)),"")</f>
        <v/>
      </c>
      <c r="I912" s="1" t="str">
        <f>IFERROR(IF(A912="","",E912*#REF!),"")</f>
        <v/>
      </c>
    </row>
    <row r="913" spans="2:9" x14ac:dyDescent="0.3">
      <c r="B913" t="str">
        <f>IFERROR(IF(A913="","",VLOOKUP(A913,CadProd!$A:$B,2,0)),"")</f>
        <v/>
      </c>
      <c r="C913" t="str">
        <f>IFERROR(IF(A913="","",VLOOKUP(A913,CadProd!$A:$C,3,0)),"")</f>
        <v/>
      </c>
      <c r="I913" s="1" t="str">
        <f>IFERROR(IF(A913="","",E913*#REF!),"")</f>
        <v/>
      </c>
    </row>
    <row r="914" spans="2:9" x14ac:dyDescent="0.3">
      <c r="B914" t="str">
        <f>IFERROR(IF(A914="","",VLOOKUP(A914,CadProd!$A:$B,2,0)),"")</f>
        <v/>
      </c>
      <c r="C914" t="str">
        <f>IFERROR(IF(A914="","",VLOOKUP(A914,CadProd!$A:$C,3,0)),"")</f>
        <v/>
      </c>
      <c r="I914" s="1" t="str">
        <f>IFERROR(IF(A914="","",E914*#REF!),"")</f>
        <v/>
      </c>
    </row>
    <row r="915" spans="2:9" x14ac:dyDescent="0.3">
      <c r="B915" t="str">
        <f>IFERROR(IF(A915="","",VLOOKUP(A915,CadProd!$A:$B,2,0)),"")</f>
        <v/>
      </c>
      <c r="C915" t="str">
        <f>IFERROR(IF(A915="","",VLOOKUP(A915,CadProd!$A:$C,3,0)),"")</f>
        <v/>
      </c>
      <c r="I915" s="1" t="str">
        <f>IFERROR(IF(A915="","",E915*#REF!),"")</f>
        <v/>
      </c>
    </row>
    <row r="916" spans="2:9" x14ac:dyDescent="0.3">
      <c r="B916" t="str">
        <f>IFERROR(IF(A916="","",VLOOKUP(A916,CadProd!$A:$B,2,0)),"")</f>
        <v/>
      </c>
      <c r="C916" t="str">
        <f>IFERROR(IF(A916="","",VLOOKUP(A916,CadProd!$A:$C,3,0)),"")</f>
        <v/>
      </c>
      <c r="I916" s="1" t="str">
        <f>IFERROR(IF(A916="","",E916*#REF!),"")</f>
        <v/>
      </c>
    </row>
    <row r="917" spans="2:9" x14ac:dyDescent="0.3">
      <c r="B917" t="str">
        <f>IFERROR(IF(A917="","",VLOOKUP(A917,CadProd!$A:$B,2,0)),"")</f>
        <v/>
      </c>
      <c r="C917" t="str">
        <f>IFERROR(IF(A917="","",VLOOKUP(A917,CadProd!$A:$C,3,0)),"")</f>
        <v/>
      </c>
      <c r="I917" s="1" t="str">
        <f>IFERROR(IF(A917="","",E917*#REF!),"")</f>
        <v/>
      </c>
    </row>
    <row r="918" spans="2:9" x14ac:dyDescent="0.3">
      <c r="B918" t="str">
        <f>IFERROR(IF(A918="","",VLOOKUP(A918,CadProd!$A:$B,2,0)),"")</f>
        <v/>
      </c>
      <c r="C918" t="str">
        <f>IFERROR(IF(A918="","",VLOOKUP(A918,CadProd!$A:$C,3,0)),"")</f>
        <v/>
      </c>
      <c r="I918" s="1" t="str">
        <f>IFERROR(IF(A918="","",E918*#REF!),"")</f>
        <v/>
      </c>
    </row>
    <row r="919" spans="2:9" x14ac:dyDescent="0.3">
      <c r="B919" t="str">
        <f>IFERROR(IF(A919="","",VLOOKUP(A919,CadProd!$A:$B,2,0)),"")</f>
        <v/>
      </c>
      <c r="C919" t="str">
        <f>IFERROR(IF(A919="","",VLOOKUP(A919,CadProd!$A:$C,3,0)),"")</f>
        <v/>
      </c>
      <c r="I919" s="1" t="str">
        <f>IFERROR(IF(A919="","",E919*#REF!),"")</f>
        <v/>
      </c>
    </row>
    <row r="920" spans="2:9" x14ac:dyDescent="0.3">
      <c r="B920" t="str">
        <f>IFERROR(IF(A920="","",VLOOKUP(A920,CadProd!$A:$B,2,0)),"")</f>
        <v/>
      </c>
      <c r="C920" t="str">
        <f>IFERROR(IF(A920="","",VLOOKUP(A920,CadProd!$A:$C,3,0)),"")</f>
        <v/>
      </c>
      <c r="I920" s="1" t="str">
        <f>IFERROR(IF(A920="","",E920*#REF!),"")</f>
        <v/>
      </c>
    </row>
    <row r="921" spans="2:9" x14ac:dyDescent="0.3">
      <c r="B921" t="str">
        <f>IFERROR(IF(A921="","",VLOOKUP(A921,CadProd!$A:$B,2,0)),"")</f>
        <v/>
      </c>
      <c r="C921" t="str">
        <f>IFERROR(IF(A921="","",VLOOKUP(A921,CadProd!$A:$C,3,0)),"")</f>
        <v/>
      </c>
      <c r="I921" s="1" t="str">
        <f>IFERROR(IF(A921="","",E921*#REF!),"")</f>
        <v/>
      </c>
    </row>
    <row r="922" spans="2:9" x14ac:dyDescent="0.3">
      <c r="B922" t="str">
        <f>IFERROR(IF(A922="","",VLOOKUP(A922,CadProd!$A:$B,2,0)),"")</f>
        <v/>
      </c>
      <c r="C922" t="str">
        <f>IFERROR(IF(A922="","",VLOOKUP(A922,CadProd!$A:$C,3,0)),"")</f>
        <v/>
      </c>
      <c r="I922" s="1" t="str">
        <f>IFERROR(IF(A922="","",E922*#REF!),"")</f>
        <v/>
      </c>
    </row>
    <row r="923" spans="2:9" x14ac:dyDescent="0.3">
      <c r="B923" t="str">
        <f>IFERROR(IF(A923="","",VLOOKUP(A923,CadProd!$A:$B,2,0)),"")</f>
        <v/>
      </c>
      <c r="C923" t="str">
        <f>IFERROR(IF(A923="","",VLOOKUP(A923,CadProd!$A:$C,3,0)),"")</f>
        <v/>
      </c>
      <c r="I923" s="1" t="str">
        <f>IFERROR(IF(A923="","",E923*#REF!),"")</f>
        <v/>
      </c>
    </row>
    <row r="924" spans="2:9" x14ac:dyDescent="0.3">
      <c r="B924" t="str">
        <f>IFERROR(IF(A924="","",VLOOKUP(A924,CadProd!$A:$B,2,0)),"")</f>
        <v/>
      </c>
      <c r="C924" t="str">
        <f>IFERROR(IF(A924="","",VLOOKUP(A924,CadProd!$A:$C,3,0)),"")</f>
        <v/>
      </c>
      <c r="I924" s="1" t="str">
        <f>IFERROR(IF(A924="","",E924*#REF!),"")</f>
        <v/>
      </c>
    </row>
    <row r="925" spans="2:9" x14ac:dyDescent="0.3">
      <c r="B925" t="str">
        <f>IFERROR(IF(A925="","",VLOOKUP(A925,CadProd!$A:$B,2,0)),"")</f>
        <v/>
      </c>
      <c r="C925" t="str">
        <f>IFERROR(IF(A925="","",VLOOKUP(A925,CadProd!$A:$C,3,0)),"")</f>
        <v/>
      </c>
      <c r="I925" s="1" t="str">
        <f>IFERROR(IF(A925="","",E925*#REF!),"")</f>
        <v/>
      </c>
    </row>
    <row r="926" spans="2:9" x14ac:dyDescent="0.3">
      <c r="B926" t="str">
        <f>IFERROR(IF(A926="","",VLOOKUP(A926,CadProd!$A:$B,2,0)),"")</f>
        <v/>
      </c>
      <c r="C926" t="str">
        <f>IFERROR(IF(A926="","",VLOOKUP(A926,CadProd!$A:$C,3,0)),"")</f>
        <v/>
      </c>
      <c r="I926" s="1" t="str">
        <f>IFERROR(IF(A926="","",E926*#REF!),"")</f>
        <v/>
      </c>
    </row>
    <row r="927" spans="2:9" x14ac:dyDescent="0.3">
      <c r="B927" t="str">
        <f>IFERROR(IF(A927="","",VLOOKUP(A927,CadProd!$A:$B,2,0)),"")</f>
        <v/>
      </c>
      <c r="C927" t="str">
        <f>IFERROR(IF(A927="","",VLOOKUP(A927,CadProd!$A:$C,3,0)),"")</f>
        <v/>
      </c>
      <c r="I927" s="1" t="str">
        <f>IFERROR(IF(A927="","",E927*#REF!),"")</f>
        <v/>
      </c>
    </row>
    <row r="928" spans="2:9" x14ac:dyDescent="0.3">
      <c r="B928" t="str">
        <f>IFERROR(IF(A928="","",VLOOKUP(A928,CadProd!$A:$B,2,0)),"")</f>
        <v/>
      </c>
      <c r="C928" t="str">
        <f>IFERROR(IF(A928="","",VLOOKUP(A928,CadProd!$A:$C,3,0)),"")</f>
        <v/>
      </c>
      <c r="I928" s="1" t="str">
        <f>IFERROR(IF(A928="","",E928*#REF!),"")</f>
        <v/>
      </c>
    </row>
    <row r="929" spans="2:9" x14ac:dyDescent="0.3">
      <c r="B929" t="str">
        <f>IFERROR(IF(A929="","",VLOOKUP(A929,CadProd!$A:$B,2,0)),"")</f>
        <v/>
      </c>
      <c r="C929" t="str">
        <f>IFERROR(IF(A929="","",VLOOKUP(A929,CadProd!$A:$C,3,0)),"")</f>
        <v/>
      </c>
      <c r="I929" s="1" t="str">
        <f>IFERROR(IF(A929="","",E929*#REF!),"")</f>
        <v/>
      </c>
    </row>
    <row r="930" spans="2:9" x14ac:dyDescent="0.3">
      <c r="B930" t="str">
        <f>IFERROR(IF(A930="","",VLOOKUP(A930,CadProd!$A:$B,2,0)),"")</f>
        <v/>
      </c>
      <c r="C930" t="str">
        <f>IFERROR(IF(A930="","",VLOOKUP(A930,CadProd!$A:$C,3,0)),"")</f>
        <v/>
      </c>
      <c r="I930" s="1" t="str">
        <f>IFERROR(IF(A930="","",E930*#REF!),"")</f>
        <v/>
      </c>
    </row>
    <row r="931" spans="2:9" x14ac:dyDescent="0.3">
      <c r="B931" t="str">
        <f>IFERROR(IF(A931="","",VLOOKUP(A931,CadProd!$A:$B,2,0)),"")</f>
        <v/>
      </c>
      <c r="C931" t="str">
        <f>IFERROR(IF(A931="","",VLOOKUP(A931,CadProd!$A:$C,3,0)),"")</f>
        <v/>
      </c>
      <c r="I931" s="1" t="str">
        <f>IFERROR(IF(A931="","",E931*#REF!),"")</f>
        <v/>
      </c>
    </row>
    <row r="932" spans="2:9" x14ac:dyDescent="0.3">
      <c r="B932" t="str">
        <f>IFERROR(IF(A932="","",VLOOKUP(A932,CadProd!$A:$B,2,0)),"")</f>
        <v/>
      </c>
      <c r="C932" t="str">
        <f>IFERROR(IF(A932="","",VLOOKUP(A932,CadProd!$A:$C,3,0)),"")</f>
        <v/>
      </c>
      <c r="I932" s="1" t="str">
        <f>IFERROR(IF(A932="","",E932*#REF!),"")</f>
        <v/>
      </c>
    </row>
    <row r="933" spans="2:9" x14ac:dyDescent="0.3">
      <c r="B933" t="str">
        <f>IFERROR(IF(A933="","",VLOOKUP(A933,CadProd!$A:$B,2,0)),"")</f>
        <v/>
      </c>
      <c r="C933" t="str">
        <f>IFERROR(IF(A933="","",VLOOKUP(A933,CadProd!$A:$C,3,0)),"")</f>
        <v/>
      </c>
      <c r="I933" s="1" t="str">
        <f>IFERROR(IF(A933="","",E933*#REF!),"")</f>
        <v/>
      </c>
    </row>
    <row r="934" spans="2:9" x14ac:dyDescent="0.3">
      <c r="B934" t="str">
        <f>IFERROR(IF(A934="","",VLOOKUP(A934,CadProd!$A:$B,2,0)),"")</f>
        <v/>
      </c>
      <c r="C934" t="str">
        <f>IFERROR(IF(A934="","",VLOOKUP(A934,CadProd!$A:$C,3,0)),"")</f>
        <v/>
      </c>
      <c r="I934" s="1" t="str">
        <f>IFERROR(IF(A934="","",E934*#REF!),"")</f>
        <v/>
      </c>
    </row>
    <row r="935" spans="2:9" x14ac:dyDescent="0.3">
      <c r="B935" t="str">
        <f>IFERROR(IF(A935="","",VLOOKUP(A935,CadProd!$A:$B,2,0)),"")</f>
        <v/>
      </c>
      <c r="C935" t="str">
        <f>IFERROR(IF(A935="","",VLOOKUP(A935,CadProd!$A:$C,3,0)),"")</f>
        <v/>
      </c>
      <c r="I935" s="1" t="str">
        <f>IFERROR(IF(A935="","",E935*#REF!),"")</f>
        <v/>
      </c>
    </row>
    <row r="936" spans="2:9" x14ac:dyDescent="0.3">
      <c r="B936" t="str">
        <f>IFERROR(IF(A936="","",VLOOKUP(A936,CadProd!$A:$B,2,0)),"")</f>
        <v/>
      </c>
      <c r="C936" t="str">
        <f>IFERROR(IF(A936="","",VLOOKUP(A936,CadProd!$A:$C,3,0)),"")</f>
        <v/>
      </c>
      <c r="I936" s="1" t="str">
        <f>IFERROR(IF(A936="","",E936*#REF!),"")</f>
        <v/>
      </c>
    </row>
    <row r="937" spans="2:9" x14ac:dyDescent="0.3">
      <c r="B937" t="str">
        <f>IFERROR(IF(A937="","",VLOOKUP(A937,CadProd!$A:$B,2,0)),"")</f>
        <v/>
      </c>
      <c r="C937" t="str">
        <f>IFERROR(IF(A937="","",VLOOKUP(A937,CadProd!$A:$C,3,0)),"")</f>
        <v/>
      </c>
      <c r="I937" s="1" t="str">
        <f>IFERROR(IF(A937="","",E937*#REF!),"")</f>
        <v/>
      </c>
    </row>
    <row r="938" spans="2:9" x14ac:dyDescent="0.3">
      <c r="B938" t="str">
        <f>IFERROR(IF(A938="","",VLOOKUP(A938,CadProd!$A:$B,2,0)),"")</f>
        <v/>
      </c>
      <c r="C938" t="str">
        <f>IFERROR(IF(A938="","",VLOOKUP(A938,CadProd!$A:$C,3,0)),"")</f>
        <v/>
      </c>
      <c r="I938" s="1" t="str">
        <f>IFERROR(IF(A938="","",E938*#REF!),"")</f>
        <v/>
      </c>
    </row>
    <row r="939" spans="2:9" x14ac:dyDescent="0.3">
      <c r="B939" t="str">
        <f>IFERROR(IF(A939="","",VLOOKUP(A939,CadProd!$A:$B,2,0)),"")</f>
        <v/>
      </c>
      <c r="C939" t="str">
        <f>IFERROR(IF(A939="","",VLOOKUP(A939,CadProd!$A:$C,3,0)),"")</f>
        <v/>
      </c>
      <c r="I939" s="1" t="str">
        <f>IFERROR(IF(A939="","",E939*#REF!),"")</f>
        <v/>
      </c>
    </row>
    <row r="940" spans="2:9" x14ac:dyDescent="0.3">
      <c r="B940" t="str">
        <f>IFERROR(IF(A940="","",VLOOKUP(A940,CadProd!$A:$B,2,0)),"")</f>
        <v/>
      </c>
      <c r="C940" t="str">
        <f>IFERROR(IF(A940="","",VLOOKUP(A940,CadProd!$A:$C,3,0)),"")</f>
        <v/>
      </c>
      <c r="I940" s="1" t="str">
        <f>IFERROR(IF(A940="","",E940*#REF!),"")</f>
        <v/>
      </c>
    </row>
    <row r="941" spans="2:9" x14ac:dyDescent="0.3">
      <c r="B941" t="str">
        <f>IFERROR(IF(A941="","",VLOOKUP(A941,CadProd!$A:$B,2,0)),"")</f>
        <v/>
      </c>
      <c r="C941" t="str">
        <f>IFERROR(IF(A941="","",VLOOKUP(A941,CadProd!$A:$C,3,0)),"")</f>
        <v/>
      </c>
      <c r="I941" s="1" t="str">
        <f>IFERROR(IF(A941="","",E941*#REF!),"")</f>
        <v/>
      </c>
    </row>
    <row r="942" spans="2:9" x14ac:dyDescent="0.3">
      <c r="B942" t="str">
        <f>IFERROR(IF(A942="","",VLOOKUP(A942,CadProd!$A:$B,2,0)),"")</f>
        <v/>
      </c>
      <c r="C942" t="str">
        <f>IFERROR(IF(A942="","",VLOOKUP(A942,CadProd!$A:$C,3,0)),"")</f>
        <v/>
      </c>
      <c r="I942" s="1" t="str">
        <f>IFERROR(IF(A942="","",E942*#REF!),"")</f>
        <v/>
      </c>
    </row>
    <row r="943" spans="2:9" x14ac:dyDescent="0.3">
      <c r="B943" t="str">
        <f>IFERROR(IF(A943="","",VLOOKUP(A943,CadProd!$A:$B,2,0)),"")</f>
        <v/>
      </c>
      <c r="C943" t="str">
        <f>IFERROR(IF(A943="","",VLOOKUP(A943,CadProd!$A:$C,3,0)),"")</f>
        <v/>
      </c>
      <c r="I943" s="1" t="str">
        <f>IFERROR(IF(A943="","",E943*#REF!),"")</f>
        <v/>
      </c>
    </row>
    <row r="944" spans="2:9" x14ac:dyDescent="0.3">
      <c r="B944" t="str">
        <f>IFERROR(IF(A944="","",VLOOKUP(A944,CadProd!$A:$B,2,0)),"")</f>
        <v/>
      </c>
      <c r="C944" t="str">
        <f>IFERROR(IF(A944="","",VLOOKUP(A944,CadProd!$A:$C,3,0)),"")</f>
        <v/>
      </c>
      <c r="I944" s="1" t="str">
        <f>IFERROR(IF(A944="","",E944*#REF!),"")</f>
        <v/>
      </c>
    </row>
    <row r="945" spans="2:9" x14ac:dyDescent="0.3">
      <c r="B945" t="str">
        <f>IFERROR(IF(A945="","",VLOOKUP(A945,CadProd!$A:$B,2,0)),"")</f>
        <v/>
      </c>
      <c r="C945" t="str">
        <f>IFERROR(IF(A945="","",VLOOKUP(A945,CadProd!$A:$C,3,0)),"")</f>
        <v/>
      </c>
      <c r="I945" s="1" t="str">
        <f>IFERROR(IF(A945="","",E945*#REF!),"")</f>
        <v/>
      </c>
    </row>
    <row r="946" spans="2:9" x14ac:dyDescent="0.3">
      <c r="B946" t="str">
        <f>IFERROR(IF(A946="","",VLOOKUP(A946,CadProd!$A:$B,2,0)),"")</f>
        <v/>
      </c>
      <c r="C946" t="str">
        <f>IFERROR(IF(A946="","",VLOOKUP(A946,CadProd!$A:$C,3,0)),"")</f>
        <v/>
      </c>
      <c r="I946" s="1" t="str">
        <f>IFERROR(IF(A946="","",E946*#REF!),"")</f>
        <v/>
      </c>
    </row>
    <row r="947" spans="2:9" x14ac:dyDescent="0.3">
      <c r="B947" t="str">
        <f>IFERROR(IF(A947="","",VLOOKUP(A947,CadProd!$A:$B,2,0)),"")</f>
        <v/>
      </c>
      <c r="C947" t="str">
        <f>IFERROR(IF(A947="","",VLOOKUP(A947,CadProd!$A:$C,3,0)),"")</f>
        <v/>
      </c>
      <c r="I947" s="1" t="str">
        <f>IFERROR(IF(A947="","",E947*#REF!),"")</f>
        <v/>
      </c>
    </row>
    <row r="948" spans="2:9" x14ac:dyDescent="0.3">
      <c r="B948" t="str">
        <f>IFERROR(IF(A948="","",VLOOKUP(A948,CadProd!$A:$B,2,0)),"")</f>
        <v/>
      </c>
      <c r="C948" t="str">
        <f>IFERROR(IF(A948="","",VLOOKUP(A948,CadProd!$A:$C,3,0)),"")</f>
        <v/>
      </c>
      <c r="I948" s="1" t="str">
        <f>IFERROR(IF(A948="","",E948*#REF!),"")</f>
        <v/>
      </c>
    </row>
    <row r="949" spans="2:9" x14ac:dyDescent="0.3">
      <c r="B949" t="str">
        <f>IFERROR(IF(A949="","",VLOOKUP(A949,CadProd!$A:$B,2,0)),"")</f>
        <v/>
      </c>
      <c r="C949" t="str">
        <f>IFERROR(IF(A949="","",VLOOKUP(A949,CadProd!$A:$C,3,0)),"")</f>
        <v/>
      </c>
      <c r="I949" s="1" t="str">
        <f>IFERROR(IF(A949="","",E949*#REF!),"")</f>
        <v/>
      </c>
    </row>
    <row r="950" spans="2:9" x14ac:dyDescent="0.3">
      <c r="B950" t="str">
        <f>IFERROR(IF(A950="","",VLOOKUP(A950,CadProd!$A:$B,2,0)),"")</f>
        <v/>
      </c>
      <c r="C950" t="str">
        <f>IFERROR(IF(A950="","",VLOOKUP(A950,CadProd!$A:$C,3,0)),"")</f>
        <v/>
      </c>
      <c r="I950" s="1" t="str">
        <f>IFERROR(IF(A950="","",E950*#REF!),"")</f>
        <v/>
      </c>
    </row>
    <row r="951" spans="2:9" x14ac:dyDescent="0.3">
      <c r="B951" t="str">
        <f>IFERROR(IF(A951="","",VLOOKUP(A951,CadProd!$A:$B,2,0)),"")</f>
        <v/>
      </c>
      <c r="C951" t="str">
        <f>IFERROR(IF(A951="","",VLOOKUP(A951,CadProd!$A:$C,3,0)),"")</f>
        <v/>
      </c>
      <c r="I951" s="1" t="str">
        <f>IFERROR(IF(A951="","",E951*#REF!),"")</f>
        <v/>
      </c>
    </row>
    <row r="952" spans="2:9" x14ac:dyDescent="0.3">
      <c r="B952" t="str">
        <f>IFERROR(IF(A952="","",VLOOKUP(A952,CadProd!$A:$B,2,0)),"")</f>
        <v/>
      </c>
      <c r="C952" t="str">
        <f>IFERROR(IF(A952="","",VLOOKUP(A952,CadProd!$A:$C,3,0)),"")</f>
        <v/>
      </c>
      <c r="I952" s="1" t="str">
        <f>IFERROR(IF(A952="","",E952*#REF!),"")</f>
        <v/>
      </c>
    </row>
    <row r="953" spans="2:9" x14ac:dyDescent="0.3">
      <c r="B953" t="str">
        <f>IFERROR(IF(A953="","",VLOOKUP(A953,CadProd!$A:$B,2,0)),"")</f>
        <v/>
      </c>
      <c r="C953" t="str">
        <f>IFERROR(IF(A953="","",VLOOKUP(A953,CadProd!$A:$C,3,0)),"")</f>
        <v/>
      </c>
      <c r="I953" s="1" t="str">
        <f>IFERROR(IF(A953="","",E953*#REF!),"")</f>
        <v/>
      </c>
    </row>
    <row r="954" spans="2:9" x14ac:dyDescent="0.3">
      <c r="B954" t="str">
        <f>IFERROR(IF(A954="","",VLOOKUP(A954,CadProd!$A:$B,2,0)),"")</f>
        <v/>
      </c>
      <c r="C954" t="str">
        <f>IFERROR(IF(A954="","",VLOOKUP(A954,CadProd!$A:$C,3,0)),"")</f>
        <v/>
      </c>
      <c r="I954" s="1" t="str">
        <f>IFERROR(IF(A954="","",E954*#REF!),"")</f>
        <v/>
      </c>
    </row>
    <row r="955" spans="2:9" x14ac:dyDescent="0.3">
      <c r="B955" t="str">
        <f>IFERROR(IF(A955="","",VLOOKUP(A955,CadProd!$A:$B,2,0)),"")</f>
        <v/>
      </c>
      <c r="C955" t="str">
        <f>IFERROR(IF(A955="","",VLOOKUP(A955,CadProd!$A:$C,3,0)),"")</f>
        <v/>
      </c>
      <c r="I955" s="1" t="str">
        <f>IFERROR(IF(A955="","",E955*#REF!),"")</f>
        <v/>
      </c>
    </row>
    <row r="956" spans="2:9" x14ac:dyDescent="0.3">
      <c r="B956" t="str">
        <f>IFERROR(IF(A956="","",VLOOKUP(A956,CadProd!$A:$B,2,0)),"")</f>
        <v/>
      </c>
      <c r="C956" t="str">
        <f>IFERROR(IF(A956="","",VLOOKUP(A956,CadProd!$A:$C,3,0)),"")</f>
        <v/>
      </c>
      <c r="I956" s="1" t="str">
        <f>IFERROR(IF(A956="","",E956*#REF!),"")</f>
        <v/>
      </c>
    </row>
    <row r="957" spans="2:9" x14ac:dyDescent="0.3">
      <c r="B957" t="str">
        <f>IFERROR(IF(A957="","",VLOOKUP(A957,CadProd!$A:$B,2,0)),"")</f>
        <v/>
      </c>
      <c r="C957" t="str">
        <f>IFERROR(IF(A957="","",VLOOKUP(A957,CadProd!$A:$C,3,0)),"")</f>
        <v/>
      </c>
      <c r="I957" s="1" t="str">
        <f>IFERROR(IF(A957="","",E957*#REF!),"")</f>
        <v/>
      </c>
    </row>
    <row r="958" spans="2:9" x14ac:dyDescent="0.3">
      <c r="B958" t="str">
        <f>IFERROR(IF(A958="","",VLOOKUP(A958,CadProd!$A:$B,2,0)),"")</f>
        <v/>
      </c>
      <c r="C958" t="str">
        <f>IFERROR(IF(A958="","",VLOOKUP(A958,CadProd!$A:$C,3,0)),"")</f>
        <v/>
      </c>
      <c r="I958" s="1" t="str">
        <f>IFERROR(IF(A958="","",E958*#REF!),"")</f>
        <v/>
      </c>
    </row>
    <row r="959" spans="2:9" x14ac:dyDescent="0.3">
      <c r="B959" t="str">
        <f>IFERROR(IF(A959="","",VLOOKUP(A959,CadProd!$A:$B,2,0)),"")</f>
        <v/>
      </c>
      <c r="C959" t="str">
        <f>IFERROR(IF(A959="","",VLOOKUP(A959,CadProd!$A:$C,3,0)),"")</f>
        <v/>
      </c>
      <c r="I959" s="1" t="str">
        <f>IFERROR(IF(A959="","",E959*#REF!),"")</f>
        <v/>
      </c>
    </row>
    <row r="960" spans="2:9" x14ac:dyDescent="0.3">
      <c r="B960" t="str">
        <f>IFERROR(IF(A960="","",VLOOKUP(A960,CadProd!$A:$B,2,0)),"")</f>
        <v/>
      </c>
      <c r="C960" t="str">
        <f>IFERROR(IF(A960="","",VLOOKUP(A960,CadProd!$A:$C,3,0)),"")</f>
        <v/>
      </c>
      <c r="I960" s="1" t="str">
        <f>IFERROR(IF(A960="","",E960*#REF!),"")</f>
        <v/>
      </c>
    </row>
    <row r="961" spans="2:9" x14ac:dyDescent="0.3">
      <c r="B961" t="str">
        <f>IFERROR(IF(A961="","",VLOOKUP(A961,CadProd!$A:$B,2,0)),"")</f>
        <v/>
      </c>
      <c r="C961" t="str">
        <f>IFERROR(IF(A961="","",VLOOKUP(A961,CadProd!$A:$C,3,0)),"")</f>
        <v/>
      </c>
      <c r="I961" s="1" t="str">
        <f>IFERROR(IF(A961="","",E961*#REF!),"")</f>
        <v/>
      </c>
    </row>
    <row r="962" spans="2:9" x14ac:dyDescent="0.3">
      <c r="B962" t="str">
        <f>IFERROR(IF(A962="","",VLOOKUP(A962,CadProd!$A:$B,2,0)),"")</f>
        <v/>
      </c>
      <c r="C962" t="str">
        <f>IFERROR(IF(A962="","",VLOOKUP(A962,CadProd!$A:$C,3,0)),"")</f>
        <v/>
      </c>
      <c r="I962" s="1" t="str">
        <f>IFERROR(IF(A962="","",E962*#REF!),"")</f>
        <v/>
      </c>
    </row>
    <row r="963" spans="2:9" x14ac:dyDescent="0.3">
      <c r="B963" t="str">
        <f>IFERROR(IF(A963="","",VLOOKUP(A963,CadProd!$A:$B,2,0)),"")</f>
        <v/>
      </c>
      <c r="C963" t="str">
        <f>IFERROR(IF(A963="","",VLOOKUP(A963,CadProd!$A:$C,3,0)),"")</f>
        <v/>
      </c>
      <c r="I963" s="1" t="str">
        <f>IFERROR(IF(A963="","",E963*#REF!),"")</f>
        <v/>
      </c>
    </row>
    <row r="964" spans="2:9" x14ac:dyDescent="0.3">
      <c r="B964" t="str">
        <f>IFERROR(IF(A964="","",VLOOKUP(A964,CadProd!$A:$B,2,0)),"")</f>
        <v/>
      </c>
      <c r="C964" t="str">
        <f>IFERROR(IF(A964="","",VLOOKUP(A964,CadProd!$A:$C,3,0)),"")</f>
        <v/>
      </c>
      <c r="I964" s="1" t="str">
        <f>IFERROR(IF(A964="","",E964*#REF!),"")</f>
        <v/>
      </c>
    </row>
    <row r="965" spans="2:9" x14ac:dyDescent="0.3">
      <c r="B965" t="str">
        <f>IFERROR(IF(A965="","",VLOOKUP(A965,CadProd!$A:$B,2,0)),"")</f>
        <v/>
      </c>
      <c r="C965" t="str">
        <f>IFERROR(IF(A965="","",VLOOKUP(A965,CadProd!$A:$C,3,0)),"")</f>
        <v/>
      </c>
      <c r="I965" s="1" t="str">
        <f>IFERROR(IF(A965="","",E965*#REF!),"")</f>
        <v/>
      </c>
    </row>
    <row r="966" spans="2:9" x14ac:dyDescent="0.3">
      <c r="B966" t="str">
        <f>IFERROR(IF(A966="","",VLOOKUP(A966,CadProd!$A:$B,2,0)),"")</f>
        <v/>
      </c>
      <c r="C966" t="str">
        <f>IFERROR(IF(A966="","",VLOOKUP(A966,CadProd!$A:$C,3,0)),"")</f>
        <v/>
      </c>
      <c r="I966" s="1" t="str">
        <f>IFERROR(IF(A966="","",E966*#REF!),"")</f>
        <v/>
      </c>
    </row>
    <row r="967" spans="2:9" x14ac:dyDescent="0.3">
      <c r="B967" t="str">
        <f>IFERROR(IF(A967="","",VLOOKUP(A967,CadProd!$A:$B,2,0)),"")</f>
        <v/>
      </c>
      <c r="C967" t="str">
        <f>IFERROR(IF(A967="","",VLOOKUP(A967,CadProd!$A:$C,3,0)),"")</f>
        <v/>
      </c>
      <c r="I967" s="1" t="str">
        <f>IFERROR(IF(A967="","",E967*#REF!),"")</f>
        <v/>
      </c>
    </row>
    <row r="968" spans="2:9" x14ac:dyDescent="0.3">
      <c r="B968" t="str">
        <f>IFERROR(IF(A968="","",VLOOKUP(A968,CadProd!$A:$B,2,0)),"")</f>
        <v/>
      </c>
      <c r="C968" t="str">
        <f>IFERROR(IF(A968="","",VLOOKUP(A968,CadProd!$A:$C,3,0)),"")</f>
        <v/>
      </c>
      <c r="I968" s="1" t="str">
        <f>IFERROR(IF(A968="","",E968*#REF!),"")</f>
        <v/>
      </c>
    </row>
    <row r="969" spans="2:9" x14ac:dyDescent="0.3">
      <c r="B969" t="str">
        <f>IFERROR(IF(A969="","",VLOOKUP(A969,CadProd!$A:$B,2,0)),"")</f>
        <v/>
      </c>
      <c r="C969" t="str">
        <f>IFERROR(IF(A969="","",VLOOKUP(A969,CadProd!$A:$C,3,0)),"")</f>
        <v/>
      </c>
      <c r="I969" s="1" t="str">
        <f>IFERROR(IF(A969="","",E969*#REF!),"")</f>
        <v/>
      </c>
    </row>
    <row r="970" spans="2:9" x14ac:dyDescent="0.3">
      <c r="B970" t="str">
        <f>IFERROR(IF(A970="","",VLOOKUP(A970,CadProd!$A:$B,2,0)),"")</f>
        <v/>
      </c>
      <c r="C970" t="str">
        <f>IFERROR(IF(A970="","",VLOOKUP(A970,CadProd!$A:$C,3,0)),"")</f>
        <v/>
      </c>
      <c r="I970" s="1" t="str">
        <f>IFERROR(IF(A970="","",E970*#REF!),"")</f>
        <v/>
      </c>
    </row>
    <row r="971" spans="2:9" x14ac:dyDescent="0.3">
      <c r="B971" t="str">
        <f>IFERROR(IF(A971="","",VLOOKUP(A971,CadProd!$A:$B,2,0)),"")</f>
        <v/>
      </c>
      <c r="C971" t="str">
        <f>IFERROR(IF(A971="","",VLOOKUP(A971,CadProd!$A:$C,3,0)),"")</f>
        <v/>
      </c>
      <c r="I971" s="1" t="str">
        <f>IFERROR(IF(A971="","",E971*#REF!),"")</f>
        <v/>
      </c>
    </row>
    <row r="972" spans="2:9" x14ac:dyDescent="0.3">
      <c r="B972" t="str">
        <f>IFERROR(IF(A972="","",VLOOKUP(A972,CadProd!$A:$B,2,0)),"")</f>
        <v/>
      </c>
      <c r="C972" t="str">
        <f>IFERROR(IF(A972="","",VLOOKUP(A972,CadProd!$A:$C,3,0)),"")</f>
        <v/>
      </c>
      <c r="I972" s="1" t="str">
        <f>IFERROR(IF(A972="","",E972*#REF!),"")</f>
        <v/>
      </c>
    </row>
    <row r="973" spans="2:9" x14ac:dyDescent="0.3">
      <c r="B973" t="str">
        <f>IFERROR(IF(A973="","",VLOOKUP(A973,CadProd!$A:$B,2,0)),"")</f>
        <v/>
      </c>
      <c r="C973" t="str">
        <f>IFERROR(IF(A973="","",VLOOKUP(A973,CadProd!$A:$C,3,0)),"")</f>
        <v/>
      </c>
      <c r="I973" s="1" t="str">
        <f>IFERROR(IF(A973="","",E973*#REF!),"")</f>
        <v/>
      </c>
    </row>
    <row r="974" spans="2:9" x14ac:dyDescent="0.3">
      <c r="B974" t="str">
        <f>IFERROR(IF(A974="","",VLOOKUP(A974,CadProd!$A:$B,2,0)),"")</f>
        <v/>
      </c>
      <c r="C974" t="str">
        <f>IFERROR(IF(A974="","",VLOOKUP(A974,CadProd!$A:$C,3,0)),"")</f>
        <v/>
      </c>
      <c r="I974" s="1" t="str">
        <f>IFERROR(IF(A974="","",E974*#REF!),"")</f>
        <v/>
      </c>
    </row>
    <row r="975" spans="2:9" x14ac:dyDescent="0.3">
      <c r="B975" t="str">
        <f>IFERROR(IF(A975="","",VLOOKUP(A975,CadProd!$A:$B,2,0)),"")</f>
        <v/>
      </c>
      <c r="C975" t="str">
        <f>IFERROR(IF(A975="","",VLOOKUP(A975,CadProd!$A:$C,3,0)),"")</f>
        <v/>
      </c>
      <c r="I975" s="1" t="str">
        <f>IFERROR(IF(A975="","",E975*#REF!),"")</f>
        <v/>
      </c>
    </row>
    <row r="976" spans="2:9" x14ac:dyDescent="0.3">
      <c r="B976" t="str">
        <f>IFERROR(IF(A976="","",VLOOKUP(A976,CadProd!$A:$B,2,0)),"")</f>
        <v/>
      </c>
      <c r="C976" t="str">
        <f>IFERROR(IF(A976="","",VLOOKUP(A976,CadProd!$A:$C,3,0)),"")</f>
        <v/>
      </c>
      <c r="I976" s="1" t="str">
        <f>IFERROR(IF(A976="","",E976*#REF!),"")</f>
        <v/>
      </c>
    </row>
    <row r="977" spans="2:9" x14ac:dyDescent="0.3">
      <c r="B977" t="str">
        <f>IFERROR(IF(A977="","",VLOOKUP(A977,CadProd!$A:$B,2,0)),"")</f>
        <v/>
      </c>
      <c r="C977" t="str">
        <f>IFERROR(IF(A977="","",VLOOKUP(A977,CadProd!$A:$C,3,0)),"")</f>
        <v/>
      </c>
      <c r="I977" s="1" t="str">
        <f>IFERROR(IF(A977="","",E977*#REF!),"")</f>
        <v/>
      </c>
    </row>
    <row r="978" spans="2:9" x14ac:dyDescent="0.3">
      <c r="B978" t="str">
        <f>IFERROR(IF(A978="","",VLOOKUP(A978,CadProd!$A:$B,2,0)),"")</f>
        <v/>
      </c>
      <c r="C978" t="str">
        <f>IFERROR(IF(A978="","",VLOOKUP(A978,CadProd!$A:$C,3,0)),"")</f>
        <v/>
      </c>
      <c r="I978" s="1" t="str">
        <f>IFERROR(IF(A978="","",E978*#REF!),"")</f>
        <v/>
      </c>
    </row>
    <row r="979" spans="2:9" x14ac:dyDescent="0.3">
      <c r="B979" t="str">
        <f>IFERROR(IF(A979="","",VLOOKUP(A979,CadProd!$A:$B,2,0)),"")</f>
        <v/>
      </c>
      <c r="C979" t="str">
        <f>IFERROR(IF(A979="","",VLOOKUP(A979,CadProd!$A:$C,3,0)),"")</f>
        <v/>
      </c>
      <c r="I979" s="1" t="str">
        <f>IFERROR(IF(A979="","",E979*#REF!),"")</f>
        <v/>
      </c>
    </row>
    <row r="980" spans="2:9" x14ac:dyDescent="0.3">
      <c r="B980" t="str">
        <f>IFERROR(IF(A980="","",VLOOKUP(A980,CadProd!$A:$B,2,0)),"")</f>
        <v/>
      </c>
      <c r="C980" t="str">
        <f>IFERROR(IF(A980="","",VLOOKUP(A980,CadProd!$A:$C,3,0)),"")</f>
        <v/>
      </c>
      <c r="I980" s="1" t="str">
        <f>IFERROR(IF(A980="","",E980*#REF!),"")</f>
        <v/>
      </c>
    </row>
    <row r="981" spans="2:9" x14ac:dyDescent="0.3">
      <c r="B981" t="str">
        <f>IFERROR(IF(A981="","",VLOOKUP(A981,CadProd!$A:$B,2,0)),"")</f>
        <v/>
      </c>
      <c r="C981" t="str">
        <f>IFERROR(IF(A981="","",VLOOKUP(A981,CadProd!$A:$C,3,0)),"")</f>
        <v/>
      </c>
      <c r="I981" s="1" t="str">
        <f>IFERROR(IF(A981="","",E981*#REF!),"")</f>
        <v/>
      </c>
    </row>
    <row r="982" spans="2:9" x14ac:dyDescent="0.3">
      <c r="B982" t="str">
        <f>IFERROR(IF(A982="","",VLOOKUP(A982,CadProd!$A:$B,2,0)),"")</f>
        <v/>
      </c>
      <c r="C982" t="str">
        <f>IFERROR(IF(A982="","",VLOOKUP(A982,CadProd!$A:$C,3,0)),"")</f>
        <v/>
      </c>
      <c r="I982" s="1" t="str">
        <f>IFERROR(IF(A982="","",E982*#REF!),"")</f>
        <v/>
      </c>
    </row>
    <row r="983" spans="2:9" x14ac:dyDescent="0.3">
      <c r="B983" t="str">
        <f>IFERROR(IF(A983="","",VLOOKUP(A983,CadProd!$A:$B,2,0)),"")</f>
        <v/>
      </c>
      <c r="C983" t="str">
        <f>IFERROR(IF(A983="","",VLOOKUP(A983,CadProd!$A:$C,3,0)),"")</f>
        <v/>
      </c>
      <c r="I983" s="1" t="str">
        <f>IFERROR(IF(A983="","",E983*#REF!),"")</f>
        <v/>
      </c>
    </row>
    <row r="984" spans="2:9" x14ac:dyDescent="0.3">
      <c r="B984" t="str">
        <f>IFERROR(IF(A984="","",VLOOKUP(A984,CadProd!$A:$B,2,0)),"")</f>
        <v/>
      </c>
      <c r="C984" t="str">
        <f>IFERROR(IF(A984="","",VLOOKUP(A984,CadProd!$A:$C,3,0)),"")</f>
        <v/>
      </c>
      <c r="I984" s="1" t="str">
        <f>IFERROR(IF(A984="","",E984*#REF!),"")</f>
        <v/>
      </c>
    </row>
    <row r="985" spans="2:9" x14ac:dyDescent="0.3">
      <c r="B985" t="str">
        <f>IFERROR(IF(A985="","",VLOOKUP(A985,CadProd!$A:$B,2,0)),"")</f>
        <v/>
      </c>
      <c r="C985" t="str">
        <f>IFERROR(IF(A985="","",VLOOKUP(A985,CadProd!$A:$C,3,0)),"")</f>
        <v/>
      </c>
      <c r="I985" s="1" t="str">
        <f>IFERROR(IF(A985="","",E985*#REF!),"")</f>
        <v/>
      </c>
    </row>
    <row r="986" spans="2:9" x14ac:dyDescent="0.3">
      <c r="B986" t="str">
        <f>IFERROR(IF(A986="","",VLOOKUP(A986,CadProd!$A:$B,2,0)),"")</f>
        <v/>
      </c>
      <c r="C986" t="str">
        <f>IFERROR(IF(A986="","",VLOOKUP(A986,CadProd!$A:$C,3,0)),"")</f>
        <v/>
      </c>
      <c r="I986" s="1" t="str">
        <f>IFERROR(IF(A986="","",E986*#REF!),"")</f>
        <v/>
      </c>
    </row>
    <row r="987" spans="2:9" x14ac:dyDescent="0.3">
      <c r="B987" t="str">
        <f>IFERROR(IF(A987="","",VLOOKUP(A987,CadProd!$A:$B,2,0)),"")</f>
        <v/>
      </c>
      <c r="C987" t="str">
        <f>IFERROR(IF(A987="","",VLOOKUP(A987,CadProd!$A:$C,3,0)),"")</f>
        <v/>
      </c>
      <c r="I987" s="1" t="str">
        <f>IFERROR(IF(A987="","",E987*#REF!),"")</f>
        <v/>
      </c>
    </row>
    <row r="988" spans="2:9" x14ac:dyDescent="0.3">
      <c r="B988" t="str">
        <f>IFERROR(IF(A988="","",VLOOKUP(A988,CadProd!$A:$B,2,0)),"")</f>
        <v/>
      </c>
      <c r="C988" t="str">
        <f>IFERROR(IF(A988="","",VLOOKUP(A988,CadProd!$A:$C,3,0)),"")</f>
        <v/>
      </c>
      <c r="I988" s="1" t="str">
        <f>IFERROR(IF(A988="","",E988*#REF!),"")</f>
        <v/>
      </c>
    </row>
    <row r="989" spans="2:9" x14ac:dyDescent="0.3">
      <c r="B989" t="str">
        <f>IFERROR(IF(A989="","",VLOOKUP(A989,CadProd!$A:$B,2,0)),"")</f>
        <v/>
      </c>
      <c r="C989" t="str">
        <f>IFERROR(IF(A989="","",VLOOKUP(A989,CadProd!$A:$C,3,0)),"")</f>
        <v/>
      </c>
      <c r="I989" s="1" t="str">
        <f>IFERROR(IF(A989="","",E989*#REF!),"")</f>
        <v/>
      </c>
    </row>
    <row r="990" spans="2:9" x14ac:dyDescent="0.3">
      <c r="B990" t="str">
        <f>IFERROR(IF(A990="","",VLOOKUP(A990,CadProd!$A:$B,2,0)),"")</f>
        <v/>
      </c>
      <c r="C990" t="str">
        <f>IFERROR(IF(A990="","",VLOOKUP(A990,CadProd!$A:$C,3,0)),"")</f>
        <v/>
      </c>
      <c r="I990" s="1" t="str">
        <f>IFERROR(IF(A990="","",E990*#REF!),"")</f>
        <v/>
      </c>
    </row>
    <row r="991" spans="2:9" x14ac:dyDescent="0.3">
      <c r="B991" t="str">
        <f>IFERROR(IF(A991="","",VLOOKUP(A991,CadProd!$A:$B,2,0)),"")</f>
        <v/>
      </c>
      <c r="C991" t="str">
        <f>IFERROR(IF(A991="","",VLOOKUP(A991,CadProd!$A:$C,3,0)),"")</f>
        <v/>
      </c>
      <c r="I991" s="1" t="str">
        <f>IFERROR(IF(A991="","",E991*#REF!),"")</f>
        <v/>
      </c>
    </row>
    <row r="992" spans="2:9" x14ac:dyDescent="0.3">
      <c r="B992" t="str">
        <f>IFERROR(IF(A992="","",VLOOKUP(A992,CadProd!$A:$B,2,0)),"")</f>
        <v/>
      </c>
      <c r="C992" t="str">
        <f>IFERROR(IF(A992="","",VLOOKUP(A992,CadProd!$A:$C,3,0)),"")</f>
        <v/>
      </c>
      <c r="I992" s="1" t="str">
        <f>IFERROR(IF(A992="","",E992*#REF!),"")</f>
        <v/>
      </c>
    </row>
    <row r="993" spans="2:9" x14ac:dyDescent="0.3">
      <c r="B993" t="str">
        <f>IFERROR(IF(A993="","",VLOOKUP(A993,CadProd!$A:$B,2,0)),"")</f>
        <v/>
      </c>
      <c r="C993" t="str">
        <f>IFERROR(IF(A993="","",VLOOKUP(A993,CadProd!$A:$C,3,0)),"")</f>
        <v/>
      </c>
      <c r="I993" s="1" t="str">
        <f>IFERROR(IF(A993="","",E993*#REF!),"")</f>
        <v/>
      </c>
    </row>
    <row r="994" spans="2:9" x14ac:dyDescent="0.3">
      <c r="B994" t="str">
        <f>IFERROR(IF(A994="","",VLOOKUP(A994,CadProd!$A:$B,2,0)),"")</f>
        <v/>
      </c>
      <c r="C994" t="str">
        <f>IFERROR(IF(A994="","",VLOOKUP(A994,CadProd!$A:$C,3,0)),"")</f>
        <v/>
      </c>
      <c r="I994" s="1" t="str">
        <f>IFERROR(IF(A994="","",E994*#REF!),"")</f>
        <v/>
      </c>
    </row>
    <row r="995" spans="2:9" x14ac:dyDescent="0.3">
      <c r="B995" t="str">
        <f>IFERROR(IF(A995="","",VLOOKUP(A995,CadProd!$A:$B,2,0)),"")</f>
        <v/>
      </c>
      <c r="C995" t="str">
        <f>IFERROR(IF(A995="","",VLOOKUP(A995,CadProd!$A:$C,3,0)),"")</f>
        <v/>
      </c>
      <c r="I995" s="1" t="str">
        <f>IFERROR(IF(A995="","",E995*#REF!),"")</f>
        <v/>
      </c>
    </row>
    <row r="996" spans="2:9" x14ac:dyDescent="0.3">
      <c r="B996" t="str">
        <f>IFERROR(IF(A996="","",VLOOKUP(A996,CadProd!$A:$B,2,0)),"")</f>
        <v/>
      </c>
      <c r="C996" t="str">
        <f>IFERROR(IF(A996="","",VLOOKUP(A996,CadProd!$A:$C,3,0)),"")</f>
        <v/>
      </c>
      <c r="I996" s="1" t="str">
        <f>IFERROR(IF(A996="","",E996*#REF!),"")</f>
        <v/>
      </c>
    </row>
    <row r="997" spans="2:9" x14ac:dyDescent="0.3">
      <c r="B997" t="str">
        <f>IFERROR(IF(A997="","",VLOOKUP(A997,CadProd!$A:$B,2,0)),"")</f>
        <v/>
      </c>
      <c r="C997" t="str">
        <f>IFERROR(IF(A997="","",VLOOKUP(A997,CadProd!$A:$C,3,0)),"")</f>
        <v/>
      </c>
      <c r="I997" s="1" t="str">
        <f>IFERROR(IF(A997="","",E997*#REF!),"")</f>
        <v/>
      </c>
    </row>
    <row r="998" spans="2:9" x14ac:dyDescent="0.3">
      <c r="B998" t="str">
        <f>IFERROR(IF(A998="","",VLOOKUP(A998,CadProd!$A:$B,2,0)),"")</f>
        <v/>
      </c>
      <c r="C998" t="str">
        <f>IFERROR(IF(A998="","",VLOOKUP(A998,CadProd!$A:$C,3,0)),"")</f>
        <v/>
      </c>
      <c r="I998" s="1" t="str">
        <f>IFERROR(IF(A998="","",E998*#REF!),"")</f>
        <v/>
      </c>
    </row>
    <row r="999" spans="2:9" x14ac:dyDescent="0.3">
      <c r="B999" t="str">
        <f>IFERROR(IF(A999="","",VLOOKUP(A999,CadProd!$A:$B,2,0)),"")</f>
        <v/>
      </c>
      <c r="C999" t="str">
        <f>IFERROR(IF(A999="","",VLOOKUP(A999,CadProd!$A:$C,3,0)),"")</f>
        <v/>
      </c>
      <c r="I999" s="1" t="str">
        <f>IFERROR(IF(A999="","",E999*#REF!),"")</f>
        <v/>
      </c>
    </row>
    <row r="1000" spans="2:9" x14ac:dyDescent="0.3">
      <c r="B1000" t="str">
        <f>IFERROR(IF(A1000="","",VLOOKUP(A1000,CadProd!$A:$B,2,0)),"")</f>
        <v/>
      </c>
      <c r="C1000" t="str">
        <f>IFERROR(IF(A1000="","",VLOOKUP(A1000,CadProd!$A:$C,3,0)),"")</f>
        <v/>
      </c>
      <c r="I1000" s="1" t="str">
        <f>IFERROR(IF(A1000="","",E1000*#REF!),"")</f>
        <v/>
      </c>
    </row>
    <row r="1001" spans="2:9" x14ac:dyDescent="0.3">
      <c r="B1001" t="str">
        <f>IFERROR(IF(A1001="","",VLOOKUP(A1001,CadProd!$A:$B,2,0)),"")</f>
        <v/>
      </c>
      <c r="C1001" t="str">
        <f>IFERROR(IF(A1001="","",VLOOKUP(A1001,CadProd!$A:$C,3,0)),"")</f>
        <v/>
      </c>
      <c r="I1001" s="1" t="str">
        <f>IFERROR(IF(A1001="","",E1001*#REF!),"")</f>
        <v/>
      </c>
    </row>
    <row r="1002" spans="2:9" x14ac:dyDescent="0.3">
      <c r="B1002" t="str">
        <f>IFERROR(IF(A1002="","",VLOOKUP(A1002,CadProd!$A:$B,2,0)),"")</f>
        <v/>
      </c>
      <c r="C1002" t="str">
        <f>IFERROR(IF(A1002="","",VLOOKUP(A1002,CadProd!$A:$C,3,0)),"")</f>
        <v/>
      </c>
      <c r="I1002" s="1" t="str">
        <f>IFERROR(IF(A1002="","",E1002*#REF!),"")</f>
        <v/>
      </c>
    </row>
    <row r="1003" spans="2:9" x14ac:dyDescent="0.3">
      <c r="B1003" t="str">
        <f>IFERROR(IF(A1003="","",VLOOKUP(A1003,CadProd!$A:$B,2,0)),"")</f>
        <v/>
      </c>
      <c r="C1003" t="str">
        <f>IFERROR(IF(A1003="","",VLOOKUP(A1003,CadProd!$A:$C,3,0)),"")</f>
        <v/>
      </c>
      <c r="I1003" s="1" t="str">
        <f>IFERROR(IF(A1003="","",E1003*#REF!),"")</f>
        <v/>
      </c>
    </row>
    <row r="1004" spans="2:9" x14ac:dyDescent="0.3">
      <c r="B1004" t="str">
        <f>IFERROR(IF(A1004="","",VLOOKUP(A1004,CadProd!$A:$B,2,0)),"")</f>
        <v/>
      </c>
      <c r="C1004" t="str">
        <f>IFERROR(IF(A1004="","",VLOOKUP(A1004,CadProd!$A:$C,3,0)),"")</f>
        <v/>
      </c>
      <c r="I1004" s="1" t="str">
        <f>IFERROR(IF(A1004="","",E1004*#REF!),"")</f>
        <v/>
      </c>
    </row>
    <row r="1005" spans="2:9" x14ac:dyDescent="0.3">
      <c r="B1005" t="str">
        <f>IFERROR(IF(A1005="","",VLOOKUP(A1005,CadProd!$A:$B,2,0)),"")</f>
        <v/>
      </c>
      <c r="C1005" t="str">
        <f>IFERROR(IF(A1005="","",VLOOKUP(A1005,CadProd!$A:$C,3,0)),"")</f>
        <v/>
      </c>
      <c r="I1005" s="1" t="str">
        <f>IFERROR(IF(A1005="","",E1005*#REF!),"")</f>
        <v/>
      </c>
    </row>
    <row r="1006" spans="2:9" x14ac:dyDescent="0.3">
      <c r="B1006" t="str">
        <f>IFERROR(IF(A1006="","",VLOOKUP(A1006,CadProd!$A:$B,2,0)),"")</f>
        <v/>
      </c>
      <c r="C1006" t="str">
        <f>IFERROR(IF(A1006="","",VLOOKUP(A1006,CadProd!$A:$C,3,0)),"")</f>
        <v/>
      </c>
      <c r="I1006" s="1" t="str">
        <f>IFERROR(IF(A1006="","",E1006*#REF!),"")</f>
        <v/>
      </c>
    </row>
    <row r="1007" spans="2:9" x14ac:dyDescent="0.3">
      <c r="B1007" t="str">
        <f>IFERROR(IF(A1007="","",VLOOKUP(A1007,CadProd!$A:$B,2,0)),"")</f>
        <v/>
      </c>
      <c r="C1007" t="str">
        <f>IFERROR(IF(A1007="","",VLOOKUP(A1007,CadProd!$A:$C,3,0)),"")</f>
        <v/>
      </c>
      <c r="I1007" s="1" t="str">
        <f>IFERROR(IF(A1007="","",E1007*#REF!),"")</f>
        <v/>
      </c>
    </row>
    <row r="1008" spans="2:9" x14ac:dyDescent="0.3">
      <c r="B1008" t="str">
        <f>IFERROR(IF(A1008="","",VLOOKUP(A1008,CadProd!$A:$B,2,0)),"")</f>
        <v/>
      </c>
      <c r="C1008" t="str">
        <f>IFERROR(IF(A1008="","",VLOOKUP(A1008,CadProd!$A:$C,3,0)),"")</f>
        <v/>
      </c>
      <c r="I1008" s="1" t="str">
        <f>IFERROR(IF(A1008="","",E1008*#REF!),"")</f>
        <v/>
      </c>
    </row>
    <row r="1009" spans="2:9" x14ac:dyDescent="0.3">
      <c r="B1009" t="str">
        <f>IFERROR(IF(A1009="","",VLOOKUP(A1009,CadProd!$A:$B,2,0)),"")</f>
        <v/>
      </c>
      <c r="C1009" t="str">
        <f>IFERROR(IF(A1009="","",VLOOKUP(A1009,CadProd!$A:$C,3,0)),"")</f>
        <v/>
      </c>
      <c r="I1009" s="1" t="str">
        <f>IFERROR(IF(A1009="","",E1009*#REF!),"")</f>
        <v/>
      </c>
    </row>
    <row r="1010" spans="2:9" x14ac:dyDescent="0.3">
      <c r="B1010" t="str">
        <f>IFERROR(IF(A1010="","",VLOOKUP(A1010,CadProd!$A:$B,2,0)),"")</f>
        <v/>
      </c>
      <c r="C1010" t="str">
        <f>IFERROR(IF(A1010="","",VLOOKUP(A1010,CadProd!$A:$C,3,0)),"")</f>
        <v/>
      </c>
      <c r="I1010" s="1" t="str">
        <f>IFERROR(IF(A1010="","",E1010*#REF!),"")</f>
        <v/>
      </c>
    </row>
    <row r="1011" spans="2:9" x14ac:dyDescent="0.3">
      <c r="B1011" t="str">
        <f>IFERROR(IF(A1011="","",VLOOKUP(A1011,CadProd!$A:$B,2,0)),"")</f>
        <v/>
      </c>
      <c r="C1011" t="str">
        <f>IFERROR(IF(A1011="","",VLOOKUP(A1011,CadProd!$A:$C,3,0)),"")</f>
        <v/>
      </c>
      <c r="I1011" s="1" t="str">
        <f>IFERROR(IF(A1011="","",E1011*#REF!),"")</f>
        <v/>
      </c>
    </row>
    <row r="1012" spans="2:9" x14ac:dyDescent="0.3">
      <c r="B1012" t="str">
        <f>IFERROR(IF(A1012="","",VLOOKUP(A1012,CadProd!$A:$B,2,0)),"")</f>
        <v/>
      </c>
      <c r="C1012" t="str">
        <f>IFERROR(IF(A1012="","",VLOOKUP(A1012,CadProd!$A:$C,3,0)),"")</f>
        <v/>
      </c>
      <c r="I1012" s="1" t="str">
        <f>IFERROR(IF(A1012="","",E1012*#REF!),"")</f>
        <v/>
      </c>
    </row>
    <row r="1013" spans="2:9" x14ac:dyDescent="0.3">
      <c r="B1013" t="str">
        <f>IFERROR(IF(A1013="","",VLOOKUP(A1013,CadProd!$A:$B,2,0)),"")</f>
        <v/>
      </c>
      <c r="C1013" t="str">
        <f>IFERROR(IF(A1013="","",VLOOKUP(A1013,CadProd!$A:$C,3,0)),"")</f>
        <v/>
      </c>
      <c r="I1013" s="1" t="str">
        <f>IFERROR(IF(A1013="","",E1013*#REF!),"")</f>
        <v/>
      </c>
    </row>
    <row r="1014" spans="2:9" x14ac:dyDescent="0.3">
      <c r="B1014" t="str">
        <f>IFERROR(IF(A1014="","",VLOOKUP(A1014,CadProd!$A:$B,2,0)),"")</f>
        <v/>
      </c>
      <c r="C1014" t="str">
        <f>IFERROR(IF(A1014="","",VLOOKUP(A1014,CadProd!$A:$C,3,0)),"")</f>
        <v/>
      </c>
      <c r="I1014" s="1" t="str">
        <f>IFERROR(IF(A1014="","",E1014*#REF!),"")</f>
        <v/>
      </c>
    </row>
    <row r="1015" spans="2:9" x14ac:dyDescent="0.3">
      <c r="B1015" t="str">
        <f>IFERROR(IF(A1015="","",VLOOKUP(A1015,CadProd!$A:$B,2,0)),"")</f>
        <v/>
      </c>
      <c r="C1015" t="str">
        <f>IFERROR(IF(A1015="","",VLOOKUP(A1015,CadProd!$A:$C,3,0)),"")</f>
        <v/>
      </c>
      <c r="I1015" s="1" t="str">
        <f>IFERROR(IF(A1015="","",E1015*#REF!),"")</f>
        <v/>
      </c>
    </row>
    <row r="1016" spans="2:9" x14ac:dyDescent="0.3">
      <c r="B1016" t="str">
        <f>IFERROR(IF(A1016="","",VLOOKUP(A1016,CadProd!$A:$B,2,0)),"")</f>
        <v/>
      </c>
      <c r="C1016" t="str">
        <f>IFERROR(IF(A1016="","",VLOOKUP(A1016,CadProd!$A:$C,3,0)),"")</f>
        <v/>
      </c>
      <c r="I1016" s="1" t="str">
        <f>IFERROR(IF(A1016="","",E1016*#REF!),"")</f>
        <v/>
      </c>
    </row>
    <row r="1017" spans="2:9" x14ac:dyDescent="0.3">
      <c r="B1017" t="str">
        <f>IFERROR(IF(A1017="","",VLOOKUP(A1017,CadProd!$A:$B,2,0)),"")</f>
        <v/>
      </c>
      <c r="C1017" t="str">
        <f>IFERROR(IF(A1017="","",VLOOKUP(A1017,CadProd!$A:$C,3,0)),"")</f>
        <v/>
      </c>
      <c r="I1017" s="1" t="str">
        <f>IFERROR(IF(A1017="","",E1017*#REF!),"")</f>
        <v/>
      </c>
    </row>
    <row r="1018" spans="2:9" x14ac:dyDescent="0.3">
      <c r="B1018" t="str">
        <f>IFERROR(IF(A1018="","",VLOOKUP(A1018,CadProd!$A:$B,2,0)),"")</f>
        <v/>
      </c>
      <c r="C1018" t="str">
        <f>IFERROR(IF(A1018="","",VLOOKUP(A1018,CadProd!$A:$C,3,0)),"")</f>
        <v/>
      </c>
      <c r="I1018" s="1" t="str">
        <f>IFERROR(IF(A1018="","",E1018*#REF!),"")</f>
        <v/>
      </c>
    </row>
    <row r="1019" spans="2:9" x14ac:dyDescent="0.3">
      <c r="B1019" t="str">
        <f>IFERROR(IF(A1019="","",VLOOKUP(A1019,CadProd!$A:$B,2,0)),"")</f>
        <v/>
      </c>
      <c r="C1019" t="str">
        <f>IFERROR(IF(A1019="","",VLOOKUP(A1019,CadProd!$A:$C,3,0)),"")</f>
        <v/>
      </c>
      <c r="I1019" s="1" t="str">
        <f>IFERROR(IF(A1019="","",E1019*#REF!),"")</f>
        <v/>
      </c>
    </row>
    <row r="1020" spans="2:9" x14ac:dyDescent="0.3">
      <c r="B1020" t="str">
        <f>IFERROR(IF(A1020="","",VLOOKUP(A1020,CadProd!$A:$B,2,0)),"")</f>
        <v/>
      </c>
      <c r="C1020" t="str">
        <f>IFERROR(IF(A1020="","",VLOOKUP(A1020,CadProd!$A:$C,3,0)),"")</f>
        <v/>
      </c>
      <c r="I1020" s="1" t="str">
        <f>IFERROR(IF(A1020="","",E1020*#REF!),"")</f>
        <v/>
      </c>
    </row>
    <row r="1021" spans="2:9" x14ac:dyDescent="0.3">
      <c r="B1021" t="str">
        <f>IFERROR(IF(A1021="","",VLOOKUP(A1021,CadProd!$A:$B,2,0)),"")</f>
        <v/>
      </c>
      <c r="C1021" t="str">
        <f>IFERROR(IF(A1021="","",VLOOKUP(A1021,CadProd!$A:$C,3,0)),"")</f>
        <v/>
      </c>
      <c r="I1021" s="1" t="str">
        <f>IFERROR(IF(A1021="","",E1021*#REF!),"")</f>
        <v/>
      </c>
    </row>
    <row r="1022" spans="2:9" x14ac:dyDescent="0.3">
      <c r="B1022" t="str">
        <f>IFERROR(IF(A1022="","",VLOOKUP(A1022,CadProd!$A:$B,2,0)),"")</f>
        <v/>
      </c>
      <c r="C1022" t="str">
        <f>IFERROR(IF(A1022="","",VLOOKUP(A1022,CadProd!$A:$C,3,0)),"")</f>
        <v/>
      </c>
      <c r="I1022" s="1" t="str">
        <f>IFERROR(IF(A1022="","",E1022*#REF!),"")</f>
        <v/>
      </c>
    </row>
    <row r="1023" spans="2:9" x14ac:dyDescent="0.3">
      <c r="B1023" t="str">
        <f>IFERROR(IF(A1023="","",VLOOKUP(A1023,CadProd!$A:$B,2,0)),"")</f>
        <v/>
      </c>
      <c r="C1023" t="str">
        <f>IFERROR(IF(A1023="","",VLOOKUP(A1023,CadProd!$A:$C,3,0)),"")</f>
        <v/>
      </c>
      <c r="I1023" s="1" t="str">
        <f>IFERROR(IF(A1023="","",E1023*#REF!),"")</f>
        <v/>
      </c>
    </row>
    <row r="1024" spans="2:9" x14ac:dyDescent="0.3">
      <c r="B1024" t="str">
        <f>IFERROR(IF(A1024="","",VLOOKUP(A1024,CadProd!$A:$B,2,0)),"")</f>
        <v/>
      </c>
      <c r="C1024" t="str">
        <f>IFERROR(IF(A1024="","",VLOOKUP(A1024,CadProd!$A:$C,3,0)),"")</f>
        <v/>
      </c>
      <c r="I1024" s="1" t="str">
        <f>IFERROR(IF(A1024="","",E1024*#REF!),"")</f>
        <v/>
      </c>
    </row>
    <row r="1025" spans="2:9" x14ac:dyDescent="0.3">
      <c r="B1025" t="str">
        <f>IFERROR(IF(A1025="","",VLOOKUP(A1025,CadProd!$A:$B,2,0)),"")</f>
        <v/>
      </c>
      <c r="C1025" t="str">
        <f>IFERROR(IF(A1025="","",VLOOKUP(A1025,CadProd!$A:$C,3,0)),"")</f>
        <v/>
      </c>
      <c r="I1025" s="1" t="str">
        <f>IFERROR(IF(A1025="","",E1025*#REF!),"")</f>
        <v/>
      </c>
    </row>
    <row r="1026" spans="2:9" x14ac:dyDescent="0.3">
      <c r="B1026" t="str">
        <f>IFERROR(IF(A1026="","",VLOOKUP(A1026,CadProd!$A:$B,2,0)),"")</f>
        <v/>
      </c>
      <c r="C1026" t="str">
        <f>IFERROR(IF(A1026="","",VLOOKUP(A1026,CadProd!$A:$C,3,0)),"")</f>
        <v/>
      </c>
      <c r="I1026" s="1" t="str">
        <f>IFERROR(IF(A1026="","",E1026*#REF!),"")</f>
        <v/>
      </c>
    </row>
    <row r="1027" spans="2:9" x14ac:dyDescent="0.3">
      <c r="B1027" t="str">
        <f>IFERROR(IF(A1027="","",VLOOKUP(A1027,CadProd!$A:$B,2,0)),"")</f>
        <v/>
      </c>
      <c r="C1027" t="str">
        <f>IFERROR(IF(A1027="","",VLOOKUP(A1027,CadProd!$A:$C,3,0)),"")</f>
        <v/>
      </c>
      <c r="I1027" s="1" t="str">
        <f>IFERROR(IF(A1027="","",E1027*#REF!),"")</f>
        <v/>
      </c>
    </row>
    <row r="1028" spans="2:9" x14ac:dyDescent="0.3">
      <c r="B1028" t="str">
        <f>IFERROR(IF(A1028="","",VLOOKUP(A1028,CadProd!$A:$B,2,0)),"")</f>
        <v/>
      </c>
      <c r="C1028" t="str">
        <f>IFERROR(IF(A1028="","",VLOOKUP(A1028,CadProd!$A:$C,3,0)),"")</f>
        <v/>
      </c>
      <c r="I1028" s="1" t="str">
        <f>IFERROR(IF(A1028="","",E1028*#REF!),"")</f>
        <v/>
      </c>
    </row>
    <row r="1029" spans="2:9" x14ac:dyDescent="0.3">
      <c r="B1029" t="str">
        <f>IFERROR(IF(A1029="","",VLOOKUP(A1029,CadProd!$A:$B,2,0)),"")</f>
        <v/>
      </c>
      <c r="C1029" t="str">
        <f>IFERROR(IF(A1029="","",VLOOKUP(A1029,CadProd!$A:$C,3,0)),"")</f>
        <v/>
      </c>
      <c r="I1029" s="1" t="str">
        <f>IFERROR(IF(A1029="","",E1029*#REF!),"")</f>
        <v/>
      </c>
    </row>
    <row r="1030" spans="2:9" x14ac:dyDescent="0.3">
      <c r="B1030" t="str">
        <f>IFERROR(IF(A1030="","",VLOOKUP(A1030,CadProd!$A:$B,2,0)),"")</f>
        <v/>
      </c>
      <c r="C1030" t="str">
        <f>IFERROR(IF(A1030="","",VLOOKUP(A1030,CadProd!$A:$C,3,0)),"")</f>
        <v/>
      </c>
      <c r="I1030" s="1" t="str">
        <f>IFERROR(IF(A1030="","",E1030*#REF!),"")</f>
        <v/>
      </c>
    </row>
    <row r="1031" spans="2:9" x14ac:dyDescent="0.3">
      <c r="B1031" t="str">
        <f>IFERROR(IF(A1031="","",VLOOKUP(A1031,CadProd!$A:$B,2,0)),"")</f>
        <v/>
      </c>
      <c r="C1031" t="str">
        <f>IFERROR(IF(A1031="","",VLOOKUP(A1031,CadProd!$A:$C,3,0)),"")</f>
        <v/>
      </c>
      <c r="I1031" s="1" t="str">
        <f>IFERROR(IF(A1031="","",E1031*#REF!),"")</f>
        <v/>
      </c>
    </row>
    <row r="1032" spans="2:9" x14ac:dyDescent="0.3">
      <c r="B1032" t="str">
        <f>IFERROR(IF(A1032="","",VLOOKUP(A1032,CadProd!$A:$B,2,0)),"")</f>
        <v/>
      </c>
      <c r="C1032" t="str">
        <f>IFERROR(IF(A1032="","",VLOOKUP(A1032,CadProd!$A:$C,3,0)),"")</f>
        <v/>
      </c>
      <c r="I1032" s="1" t="str">
        <f>IFERROR(IF(A1032="","",E1032*#REF!),"")</f>
        <v/>
      </c>
    </row>
    <row r="1033" spans="2:9" x14ac:dyDescent="0.3">
      <c r="B1033" t="str">
        <f>IFERROR(IF(A1033="","",VLOOKUP(A1033,CadProd!$A:$B,2,0)),"")</f>
        <v/>
      </c>
      <c r="C1033" t="str">
        <f>IFERROR(IF(A1033="","",VLOOKUP(A1033,CadProd!$A:$C,3,0)),"")</f>
        <v/>
      </c>
      <c r="I1033" s="1" t="str">
        <f>IFERROR(IF(A1033="","",E1033*#REF!),"")</f>
        <v/>
      </c>
    </row>
    <row r="1034" spans="2:9" x14ac:dyDescent="0.3">
      <c r="B1034" t="str">
        <f>IFERROR(IF(A1034="","",VLOOKUP(A1034,CadProd!$A:$B,2,0)),"")</f>
        <v/>
      </c>
      <c r="C1034" t="str">
        <f>IFERROR(IF(A1034="","",VLOOKUP(A1034,CadProd!$A:$C,3,0)),"")</f>
        <v/>
      </c>
      <c r="I1034" s="1" t="str">
        <f>IFERROR(IF(A1034="","",E1034*#REF!),"")</f>
        <v/>
      </c>
    </row>
    <row r="1035" spans="2:9" x14ac:dyDescent="0.3">
      <c r="B1035" t="str">
        <f>IFERROR(IF(A1035="","",VLOOKUP(A1035,CadProd!$A:$B,2,0)),"")</f>
        <v/>
      </c>
      <c r="C1035" t="str">
        <f>IFERROR(IF(A1035="","",VLOOKUP(A1035,CadProd!$A:$C,3,0)),"")</f>
        <v/>
      </c>
      <c r="I1035" s="1" t="str">
        <f>IFERROR(IF(A1035="","",E1035*#REF!),"")</f>
        <v/>
      </c>
    </row>
    <row r="1036" spans="2:9" x14ac:dyDescent="0.3">
      <c r="B1036" t="str">
        <f>IFERROR(IF(A1036="","",VLOOKUP(A1036,CadProd!$A:$B,2,0)),"")</f>
        <v/>
      </c>
      <c r="C1036" t="str">
        <f>IFERROR(IF(A1036="","",VLOOKUP(A1036,CadProd!$A:$C,3,0)),"")</f>
        <v/>
      </c>
      <c r="I1036" s="1" t="str">
        <f>IFERROR(IF(A1036="","",E1036*#REF!),"")</f>
        <v/>
      </c>
    </row>
    <row r="1037" spans="2:9" x14ac:dyDescent="0.3">
      <c r="B1037" t="str">
        <f>IFERROR(IF(A1037="","",VLOOKUP(A1037,CadProd!$A:$B,2,0)),"")</f>
        <v/>
      </c>
      <c r="C1037" t="str">
        <f>IFERROR(IF(A1037="","",VLOOKUP(A1037,CadProd!$A:$C,3,0)),"")</f>
        <v/>
      </c>
      <c r="I1037" s="1" t="str">
        <f>IFERROR(IF(A1037="","",E1037*#REF!),"")</f>
        <v/>
      </c>
    </row>
    <row r="1038" spans="2:9" x14ac:dyDescent="0.3">
      <c r="B1038" t="str">
        <f>IFERROR(IF(A1038="","",VLOOKUP(A1038,CadProd!$A:$B,2,0)),"")</f>
        <v/>
      </c>
      <c r="C1038" t="str">
        <f>IFERROR(IF(A1038="","",VLOOKUP(A1038,CadProd!$A:$C,3,0)),"")</f>
        <v/>
      </c>
      <c r="I1038" s="1" t="str">
        <f>IFERROR(IF(A1038="","",E1038*#REF!),"")</f>
        <v/>
      </c>
    </row>
    <row r="1039" spans="2:9" x14ac:dyDescent="0.3">
      <c r="B1039" t="str">
        <f>IFERROR(IF(A1039="","",VLOOKUP(A1039,CadProd!$A:$B,2,0)),"")</f>
        <v/>
      </c>
      <c r="C1039" t="str">
        <f>IFERROR(IF(A1039="","",VLOOKUP(A1039,CadProd!$A:$C,3,0)),"")</f>
        <v/>
      </c>
      <c r="I1039" s="1" t="str">
        <f>IFERROR(IF(A1039="","",E1039*#REF!),"")</f>
        <v/>
      </c>
    </row>
    <row r="1040" spans="2:9" x14ac:dyDescent="0.3">
      <c r="B1040" t="str">
        <f>IFERROR(IF(A1040="","",VLOOKUP(A1040,CadProd!$A:$B,2,0)),"")</f>
        <v/>
      </c>
      <c r="C1040" t="str">
        <f>IFERROR(IF(A1040="","",VLOOKUP(A1040,CadProd!$A:$C,3,0)),"")</f>
        <v/>
      </c>
      <c r="I1040" s="1" t="str">
        <f>IFERROR(IF(A1040="","",E1040*#REF!),"")</f>
        <v/>
      </c>
    </row>
    <row r="1041" spans="2:9" x14ac:dyDescent="0.3">
      <c r="B1041" t="str">
        <f>IFERROR(IF(A1041="","",VLOOKUP(A1041,CadProd!$A:$B,2,0)),"")</f>
        <v/>
      </c>
      <c r="C1041" t="str">
        <f>IFERROR(IF(A1041="","",VLOOKUP(A1041,CadProd!$A:$C,3,0)),"")</f>
        <v/>
      </c>
      <c r="I1041" s="1" t="str">
        <f>IFERROR(IF(A1041="","",E1041*#REF!),"")</f>
        <v/>
      </c>
    </row>
    <row r="1042" spans="2:9" x14ac:dyDescent="0.3">
      <c r="B1042" t="str">
        <f>IFERROR(IF(A1042="","",VLOOKUP(A1042,CadProd!$A:$B,2,0)),"")</f>
        <v/>
      </c>
      <c r="C1042" t="str">
        <f>IFERROR(IF(A1042="","",VLOOKUP(A1042,CadProd!$A:$C,3,0)),"")</f>
        <v/>
      </c>
      <c r="I1042" s="1" t="str">
        <f>IFERROR(IF(A1042="","",E1042*#REF!),"")</f>
        <v/>
      </c>
    </row>
    <row r="1043" spans="2:9" x14ac:dyDescent="0.3">
      <c r="B1043" t="str">
        <f>IFERROR(IF(A1043="","",VLOOKUP(A1043,CadProd!$A:$B,2,0)),"")</f>
        <v/>
      </c>
      <c r="C1043" t="str">
        <f>IFERROR(IF(A1043="","",VLOOKUP(A1043,CadProd!$A:$C,3,0)),"")</f>
        <v/>
      </c>
      <c r="I1043" s="1" t="str">
        <f>IFERROR(IF(A1043="","",E1043*#REF!),"")</f>
        <v/>
      </c>
    </row>
    <row r="1044" spans="2:9" x14ac:dyDescent="0.3">
      <c r="B1044" t="str">
        <f>IFERROR(IF(A1044="","",VLOOKUP(A1044,CadProd!$A:$B,2,0)),"")</f>
        <v/>
      </c>
      <c r="C1044" t="str">
        <f>IFERROR(IF(A1044="","",VLOOKUP(A1044,CadProd!$A:$C,3,0)),"")</f>
        <v/>
      </c>
      <c r="I1044" s="1" t="str">
        <f>IFERROR(IF(A1044="","",E1044*#REF!),"")</f>
        <v/>
      </c>
    </row>
    <row r="1045" spans="2:9" x14ac:dyDescent="0.3">
      <c r="B1045" t="str">
        <f>IFERROR(IF(A1045="","",VLOOKUP(A1045,CadProd!$A:$B,2,0)),"")</f>
        <v/>
      </c>
      <c r="C1045" t="str">
        <f>IFERROR(IF(A1045="","",VLOOKUP(A1045,CadProd!$A:$C,3,0)),"")</f>
        <v/>
      </c>
      <c r="I1045" s="1" t="str">
        <f>IFERROR(IF(A1045="","",E1045*#REF!),"")</f>
        <v/>
      </c>
    </row>
    <row r="1046" spans="2:9" x14ac:dyDescent="0.3">
      <c r="B1046" t="str">
        <f>IFERROR(IF(A1046="","",VLOOKUP(A1046,CadProd!$A:$B,2,0)),"")</f>
        <v/>
      </c>
      <c r="C1046" t="str">
        <f>IFERROR(IF(A1046="","",VLOOKUP(A1046,CadProd!$A:$C,3,0)),"")</f>
        <v/>
      </c>
      <c r="I1046" s="1" t="str">
        <f>IFERROR(IF(A1046="","",E1046*#REF!),"")</f>
        <v/>
      </c>
    </row>
    <row r="1047" spans="2:9" x14ac:dyDescent="0.3">
      <c r="B1047" t="str">
        <f>IFERROR(IF(A1047="","",VLOOKUP(A1047,CadProd!$A:$B,2,0)),"")</f>
        <v/>
      </c>
      <c r="C1047" t="str">
        <f>IFERROR(IF(A1047="","",VLOOKUP(A1047,CadProd!$A:$C,3,0)),"")</f>
        <v/>
      </c>
      <c r="I1047" s="1" t="str">
        <f>IFERROR(IF(A1047="","",E1047*#REF!),"")</f>
        <v/>
      </c>
    </row>
    <row r="1048" spans="2:9" x14ac:dyDescent="0.3">
      <c r="B1048" t="str">
        <f>IFERROR(IF(A1048="","",VLOOKUP(A1048,CadProd!$A:$B,2,0)),"")</f>
        <v/>
      </c>
      <c r="C1048" t="str">
        <f>IFERROR(IF(A1048="","",VLOOKUP(A1048,CadProd!$A:$C,3,0)),"")</f>
        <v/>
      </c>
      <c r="I1048" s="1" t="str">
        <f>IFERROR(IF(A1048="","",E1048*#REF!),"")</f>
        <v/>
      </c>
    </row>
    <row r="1049" spans="2:9" x14ac:dyDescent="0.3">
      <c r="B1049" t="str">
        <f>IFERROR(IF(A1049="","",VLOOKUP(A1049,CadProd!$A:$B,2,0)),"")</f>
        <v/>
      </c>
      <c r="C1049" t="str">
        <f>IFERROR(IF(A1049="","",VLOOKUP(A1049,CadProd!$A:$C,3,0)),"")</f>
        <v/>
      </c>
      <c r="I1049" s="1" t="str">
        <f>IFERROR(IF(A1049="","",E1049*#REF!),"")</f>
        <v/>
      </c>
    </row>
    <row r="1050" spans="2:9" x14ac:dyDescent="0.3">
      <c r="B1050" t="str">
        <f>IFERROR(IF(A1050="","",VLOOKUP(A1050,CadProd!$A:$B,2,0)),"")</f>
        <v/>
      </c>
      <c r="C1050" t="str">
        <f>IFERROR(IF(A1050="","",VLOOKUP(A1050,CadProd!$A:$C,3,0)),"")</f>
        <v/>
      </c>
      <c r="I1050" s="1" t="str">
        <f>IFERROR(IF(A1050="","",E1050*#REF!),"")</f>
        <v/>
      </c>
    </row>
    <row r="1051" spans="2:9" x14ac:dyDescent="0.3">
      <c r="B1051" t="str">
        <f>IFERROR(IF(A1051="","",VLOOKUP(A1051,CadProd!$A:$B,2,0)),"")</f>
        <v/>
      </c>
      <c r="C1051" t="str">
        <f>IFERROR(IF(A1051="","",VLOOKUP(A1051,CadProd!$A:$C,3,0)),"")</f>
        <v/>
      </c>
      <c r="I1051" s="1" t="str">
        <f>IFERROR(IF(A1051="","",E1051*#REF!),"")</f>
        <v/>
      </c>
    </row>
    <row r="1052" spans="2:9" x14ac:dyDescent="0.3">
      <c r="B1052" t="str">
        <f>IFERROR(IF(A1052="","",VLOOKUP(A1052,CadProd!$A:$B,2,0)),"")</f>
        <v/>
      </c>
      <c r="C1052" t="str">
        <f>IFERROR(IF(A1052="","",VLOOKUP(A1052,CadProd!$A:$C,3,0)),"")</f>
        <v/>
      </c>
      <c r="I1052" s="1" t="str">
        <f>IFERROR(IF(A1052="","",E1052*#REF!),"")</f>
        <v/>
      </c>
    </row>
    <row r="1053" spans="2:9" x14ac:dyDescent="0.3">
      <c r="B1053" t="str">
        <f>IFERROR(IF(A1053="","",VLOOKUP(A1053,CadProd!$A:$B,2,0)),"")</f>
        <v/>
      </c>
      <c r="C1053" t="str">
        <f>IFERROR(IF(A1053="","",VLOOKUP(A1053,CadProd!$A:$C,3,0)),"")</f>
        <v/>
      </c>
      <c r="I1053" s="1" t="str">
        <f>IFERROR(IF(A1053="","",E1053*#REF!),"")</f>
        <v/>
      </c>
    </row>
    <row r="1054" spans="2:9" x14ac:dyDescent="0.3">
      <c r="B1054" t="str">
        <f>IFERROR(IF(A1054="","",VLOOKUP(A1054,CadProd!$A:$B,2,0)),"")</f>
        <v/>
      </c>
      <c r="C1054" t="str">
        <f>IFERROR(IF(A1054="","",VLOOKUP(A1054,CadProd!$A:$C,3,0)),"")</f>
        <v/>
      </c>
      <c r="I1054" s="1" t="str">
        <f>IFERROR(IF(A1054="","",E1054*#REF!),"")</f>
        <v/>
      </c>
    </row>
    <row r="1055" spans="2:9" x14ac:dyDescent="0.3">
      <c r="B1055" t="str">
        <f>IFERROR(IF(A1055="","",VLOOKUP(A1055,CadProd!$A:$B,2,0)),"")</f>
        <v/>
      </c>
      <c r="C1055" t="str">
        <f>IFERROR(IF(A1055="","",VLOOKUP(A1055,CadProd!$A:$C,3,0)),"")</f>
        <v/>
      </c>
      <c r="I1055" s="1" t="str">
        <f>IFERROR(IF(A1055="","",E1055*#REF!),"")</f>
        <v/>
      </c>
    </row>
    <row r="1056" spans="2:9" x14ac:dyDescent="0.3">
      <c r="B1056" t="str">
        <f>IFERROR(IF(A1056="","",VLOOKUP(A1056,CadProd!$A:$B,2,0)),"")</f>
        <v/>
      </c>
      <c r="C1056" t="str">
        <f>IFERROR(IF(A1056="","",VLOOKUP(A1056,CadProd!$A:$C,3,0)),"")</f>
        <v/>
      </c>
      <c r="I1056" s="1" t="str">
        <f>IFERROR(IF(A1056="","",E1056*#REF!),"")</f>
        <v/>
      </c>
    </row>
    <row r="1057" spans="2:9" x14ac:dyDescent="0.3">
      <c r="B1057" t="str">
        <f>IFERROR(IF(A1057="","",VLOOKUP(A1057,CadProd!$A:$B,2,0)),"")</f>
        <v/>
      </c>
      <c r="C1057" t="str">
        <f>IFERROR(IF(A1057="","",VLOOKUP(A1057,CadProd!$A:$C,3,0)),"")</f>
        <v/>
      </c>
      <c r="I1057" s="1" t="str">
        <f>IFERROR(IF(A1057="","",E1057*#REF!),"")</f>
        <v/>
      </c>
    </row>
    <row r="1058" spans="2:9" x14ac:dyDescent="0.3">
      <c r="B1058" t="str">
        <f>IFERROR(IF(A1058="","",VLOOKUP(A1058,CadProd!$A:$B,2,0)),"")</f>
        <v/>
      </c>
      <c r="C1058" t="str">
        <f>IFERROR(IF(A1058="","",VLOOKUP(A1058,CadProd!$A:$C,3,0)),"")</f>
        <v/>
      </c>
      <c r="I1058" s="1" t="str">
        <f>IFERROR(IF(A1058="","",E1058*#REF!),"")</f>
        <v/>
      </c>
    </row>
    <row r="1059" spans="2:9" x14ac:dyDescent="0.3">
      <c r="B1059" t="str">
        <f>IFERROR(IF(A1059="","",VLOOKUP(A1059,CadProd!$A:$B,2,0)),"")</f>
        <v/>
      </c>
      <c r="C1059" t="str">
        <f>IFERROR(IF(A1059="","",VLOOKUP(A1059,CadProd!$A:$C,3,0)),"")</f>
        <v/>
      </c>
      <c r="I1059" s="1" t="str">
        <f>IFERROR(IF(A1059="","",E1059*#REF!),"")</f>
        <v/>
      </c>
    </row>
    <row r="1060" spans="2:9" x14ac:dyDescent="0.3">
      <c r="B1060" t="str">
        <f>IFERROR(IF(A1060="","",VLOOKUP(A1060,CadProd!$A:$B,2,0)),"")</f>
        <v/>
      </c>
      <c r="C1060" t="str">
        <f>IFERROR(IF(A1060="","",VLOOKUP(A1060,CadProd!$A:$C,3,0)),"")</f>
        <v/>
      </c>
      <c r="I1060" s="1" t="str">
        <f>IFERROR(IF(A1060="","",E1060*#REF!),"")</f>
        <v/>
      </c>
    </row>
    <row r="1061" spans="2:9" x14ac:dyDescent="0.3">
      <c r="B1061" t="str">
        <f>IFERROR(IF(A1061="","",VLOOKUP(A1061,CadProd!$A:$B,2,0)),"")</f>
        <v/>
      </c>
      <c r="C1061" t="str">
        <f>IFERROR(IF(A1061="","",VLOOKUP(A1061,CadProd!$A:$C,3,0)),"")</f>
        <v/>
      </c>
      <c r="I1061" s="1" t="str">
        <f>IFERROR(IF(A1061="","",E1061*#REF!),"")</f>
        <v/>
      </c>
    </row>
    <row r="1062" spans="2:9" x14ac:dyDescent="0.3">
      <c r="B1062" t="str">
        <f>IFERROR(IF(A1062="","",VLOOKUP(A1062,CadProd!$A:$B,2,0)),"")</f>
        <v/>
      </c>
      <c r="C1062" t="str">
        <f>IFERROR(IF(A1062="","",VLOOKUP(A1062,CadProd!$A:$C,3,0)),"")</f>
        <v/>
      </c>
      <c r="I1062" s="1" t="str">
        <f>IFERROR(IF(A1062="","",E1062*#REF!),"")</f>
        <v/>
      </c>
    </row>
    <row r="1063" spans="2:9" x14ac:dyDescent="0.3">
      <c r="B1063" t="str">
        <f>IFERROR(IF(A1063="","",VLOOKUP(A1063,CadProd!$A:$B,2,0)),"")</f>
        <v/>
      </c>
      <c r="C1063" t="str">
        <f>IFERROR(IF(A1063="","",VLOOKUP(A1063,CadProd!$A:$C,3,0)),"")</f>
        <v/>
      </c>
      <c r="I1063" s="1" t="str">
        <f>IFERROR(IF(A1063="","",E1063*#REF!),"")</f>
        <v/>
      </c>
    </row>
    <row r="1064" spans="2:9" x14ac:dyDescent="0.3">
      <c r="B1064" t="str">
        <f>IFERROR(IF(A1064="","",VLOOKUP(A1064,CadProd!$A:$B,2,0)),"")</f>
        <v/>
      </c>
      <c r="C1064" t="str">
        <f>IFERROR(IF(A1064="","",VLOOKUP(A1064,CadProd!$A:$C,3,0)),"")</f>
        <v/>
      </c>
      <c r="I1064" s="1" t="str">
        <f>IFERROR(IF(A1064="","",E1064*#REF!),"")</f>
        <v/>
      </c>
    </row>
    <row r="1065" spans="2:9" x14ac:dyDescent="0.3">
      <c r="B1065" t="str">
        <f>IFERROR(IF(A1065="","",VLOOKUP(A1065,CadProd!$A:$B,2,0)),"")</f>
        <v/>
      </c>
      <c r="C1065" t="str">
        <f>IFERROR(IF(A1065="","",VLOOKUP(A1065,CadProd!$A:$C,3,0)),"")</f>
        <v/>
      </c>
      <c r="I1065" s="1" t="str">
        <f>IFERROR(IF(A1065="","",E1065*#REF!),"")</f>
        <v/>
      </c>
    </row>
    <row r="1066" spans="2:9" x14ac:dyDescent="0.3">
      <c r="B1066" t="str">
        <f>IFERROR(IF(A1066="","",VLOOKUP(A1066,CadProd!$A:$B,2,0)),"")</f>
        <v/>
      </c>
      <c r="C1066" t="str">
        <f>IFERROR(IF(A1066="","",VLOOKUP(A1066,CadProd!$A:$C,3,0)),"")</f>
        <v/>
      </c>
      <c r="I1066" s="1" t="str">
        <f>IFERROR(IF(A1066="","",E1066*#REF!),"")</f>
        <v/>
      </c>
    </row>
    <row r="1067" spans="2:9" x14ac:dyDescent="0.3">
      <c r="B1067" t="str">
        <f>IFERROR(IF(A1067="","",VLOOKUP(A1067,CadProd!$A:$B,2,0)),"")</f>
        <v/>
      </c>
      <c r="C1067" t="str">
        <f>IFERROR(IF(A1067="","",VLOOKUP(A1067,CadProd!$A:$C,3,0)),"")</f>
        <v/>
      </c>
      <c r="I1067" s="1" t="str">
        <f>IFERROR(IF(A1067="","",E1067*#REF!),"")</f>
        <v/>
      </c>
    </row>
    <row r="1068" spans="2:9" x14ac:dyDescent="0.3">
      <c r="B1068" t="str">
        <f>IFERROR(IF(A1068="","",VLOOKUP(A1068,CadProd!$A:$B,2,0)),"")</f>
        <v/>
      </c>
      <c r="C1068" t="str">
        <f>IFERROR(IF(A1068="","",VLOOKUP(A1068,CadProd!$A:$C,3,0)),"")</f>
        <v/>
      </c>
      <c r="I1068" s="1" t="str">
        <f>IFERROR(IF(A1068="","",E1068*#REF!),"")</f>
        <v/>
      </c>
    </row>
    <row r="1069" spans="2:9" x14ac:dyDescent="0.3">
      <c r="B1069" t="str">
        <f>IFERROR(IF(A1069="","",VLOOKUP(A1069,CadProd!$A:$B,2,0)),"")</f>
        <v/>
      </c>
      <c r="C1069" t="str">
        <f>IFERROR(IF(A1069="","",VLOOKUP(A1069,CadProd!$A:$C,3,0)),"")</f>
        <v/>
      </c>
      <c r="I1069" s="1" t="str">
        <f>IFERROR(IF(A1069="","",E1069*#REF!),"")</f>
        <v/>
      </c>
    </row>
    <row r="1070" spans="2:9" x14ac:dyDescent="0.3">
      <c r="B1070" t="str">
        <f>IFERROR(IF(A1070="","",VLOOKUP(A1070,CadProd!$A:$B,2,0)),"")</f>
        <v/>
      </c>
      <c r="C1070" t="str">
        <f>IFERROR(IF(A1070="","",VLOOKUP(A1070,CadProd!$A:$C,3,0)),"")</f>
        <v/>
      </c>
      <c r="I1070" s="1" t="str">
        <f>IFERROR(IF(A1070="","",E1070*#REF!),"")</f>
        <v/>
      </c>
    </row>
    <row r="1071" spans="2:9" x14ac:dyDescent="0.3">
      <c r="B1071" t="str">
        <f>IFERROR(IF(A1071="","",VLOOKUP(A1071,CadProd!$A:$B,2,0)),"")</f>
        <v/>
      </c>
      <c r="C1071" t="str">
        <f>IFERROR(IF(A1071="","",VLOOKUP(A1071,CadProd!$A:$C,3,0)),"")</f>
        <v/>
      </c>
      <c r="I1071" s="1" t="str">
        <f>IFERROR(IF(A1071="","",E1071*#REF!),"")</f>
        <v/>
      </c>
    </row>
    <row r="1072" spans="2:9" x14ac:dyDescent="0.3">
      <c r="B1072" t="str">
        <f>IFERROR(IF(A1072="","",VLOOKUP(A1072,CadProd!$A:$B,2,0)),"")</f>
        <v/>
      </c>
      <c r="C1072" t="str">
        <f>IFERROR(IF(A1072="","",VLOOKUP(A1072,CadProd!$A:$C,3,0)),"")</f>
        <v/>
      </c>
      <c r="I1072" s="1" t="str">
        <f>IFERROR(IF(A1072="","",E1072*#REF!),"")</f>
        <v/>
      </c>
    </row>
    <row r="1073" spans="2:9" x14ac:dyDescent="0.3">
      <c r="B1073" t="str">
        <f>IFERROR(IF(A1073="","",VLOOKUP(A1073,CadProd!$A:$B,2,0)),"")</f>
        <v/>
      </c>
      <c r="C1073" t="str">
        <f>IFERROR(IF(A1073="","",VLOOKUP(A1073,CadProd!$A:$C,3,0)),"")</f>
        <v/>
      </c>
      <c r="I1073" s="1" t="str">
        <f>IFERROR(IF(A1073="","",E1073*#REF!),"")</f>
        <v/>
      </c>
    </row>
    <row r="1074" spans="2:9" x14ac:dyDescent="0.3">
      <c r="B1074" t="str">
        <f>IFERROR(IF(A1074="","",VLOOKUP(A1074,CadProd!$A:$B,2,0)),"")</f>
        <v/>
      </c>
      <c r="C1074" t="str">
        <f>IFERROR(IF(A1074="","",VLOOKUP(A1074,CadProd!$A:$C,3,0)),"")</f>
        <v/>
      </c>
      <c r="I1074" s="1" t="str">
        <f>IFERROR(IF(A1074="","",E1074*#REF!),"")</f>
        <v/>
      </c>
    </row>
    <row r="1075" spans="2:9" x14ac:dyDescent="0.3">
      <c r="B1075" t="str">
        <f>IFERROR(IF(A1075="","",VLOOKUP(A1075,CadProd!$A:$B,2,0)),"")</f>
        <v/>
      </c>
      <c r="C1075" t="str">
        <f>IFERROR(IF(A1075="","",VLOOKUP(A1075,CadProd!$A:$C,3,0)),"")</f>
        <v/>
      </c>
      <c r="I1075" s="1" t="str">
        <f>IFERROR(IF(A1075="","",E1075*#REF!),"")</f>
        <v/>
      </c>
    </row>
    <row r="1076" spans="2:9" x14ac:dyDescent="0.3">
      <c r="B1076" t="str">
        <f>IFERROR(IF(A1076="","",VLOOKUP(A1076,CadProd!$A:$B,2,0)),"")</f>
        <v/>
      </c>
      <c r="C1076" t="str">
        <f>IFERROR(IF(A1076="","",VLOOKUP(A1076,CadProd!$A:$C,3,0)),"")</f>
        <v/>
      </c>
      <c r="I1076" s="1" t="str">
        <f>IFERROR(IF(A1076="","",E1076*#REF!),"")</f>
        <v/>
      </c>
    </row>
    <row r="1077" spans="2:9" x14ac:dyDescent="0.3">
      <c r="B1077" t="str">
        <f>IFERROR(IF(A1077="","",VLOOKUP(A1077,CadProd!$A:$B,2,0)),"")</f>
        <v/>
      </c>
      <c r="C1077" t="str">
        <f>IFERROR(IF(A1077="","",VLOOKUP(A1077,CadProd!$A:$C,3,0)),"")</f>
        <v/>
      </c>
      <c r="I1077" s="1" t="str">
        <f>IFERROR(IF(A1077="","",E1077*#REF!),"")</f>
        <v/>
      </c>
    </row>
    <row r="1078" spans="2:9" x14ac:dyDescent="0.3">
      <c r="B1078" t="str">
        <f>IFERROR(IF(A1078="","",VLOOKUP(A1078,CadProd!$A:$B,2,0)),"")</f>
        <v/>
      </c>
      <c r="C1078" t="str">
        <f>IFERROR(IF(A1078="","",VLOOKUP(A1078,CadProd!$A:$C,3,0)),"")</f>
        <v/>
      </c>
      <c r="I1078" s="1" t="str">
        <f>IFERROR(IF(A1078="","",E1078*#REF!),"")</f>
        <v/>
      </c>
    </row>
    <row r="1079" spans="2:9" x14ac:dyDescent="0.3">
      <c r="B1079" t="str">
        <f>IFERROR(IF(A1079="","",VLOOKUP(A1079,CadProd!$A:$B,2,0)),"")</f>
        <v/>
      </c>
      <c r="C1079" t="str">
        <f>IFERROR(IF(A1079="","",VLOOKUP(A1079,CadProd!$A:$C,3,0)),"")</f>
        <v/>
      </c>
      <c r="I1079" s="1" t="str">
        <f>IFERROR(IF(A1079="","",E1079*#REF!),"")</f>
        <v/>
      </c>
    </row>
    <row r="1080" spans="2:9" x14ac:dyDescent="0.3">
      <c r="B1080" t="str">
        <f>IFERROR(IF(A1080="","",VLOOKUP(A1080,CadProd!$A:$B,2,0)),"")</f>
        <v/>
      </c>
      <c r="C1080" t="str">
        <f>IFERROR(IF(A1080="","",VLOOKUP(A1080,CadProd!$A:$C,3,0)),"")</f>
        <v/>
      </c>
      <c r="I1080" s="1" t="str">
        <f>IFERROR(IF(A1080="","",E1080*#REF!),"")</f>
        <v/>
      </c>
    </row>
    <row r="1081" spans="2:9" x14ac:dyDescent="0.3">
      <c r="B1081" t="str">
        <f>IFERROR(IF(A1081="","",VLOOKUP(A1081,CadProd!$A:$B,2,0)),"")</f>
        <v/>
      </c>
      <c r="C1081" t="str">
        <f>IFERROR(IF(A1081="","",VLOOKUP(A1081,CadProd!$A:$C,3,0)),"")</f>
        <v/>
      </c>
      <c r="I1081" s="1" t="str">
        <f>IFERROR(IF(A1081="","",E1081*#REF!),"")</f>
        <v/>
      </c>
    </row>
    <row r="1082" spans="2:9" x14ac:dyDescent="0.3">
      <c r="B1082" t="str">
        <f>IFERROR(IF(A1082="","",VLOOKUP(A1082,CadProd!$A:$B,2,0)),"")</f>
        <v/>
      </c>
      <c r="C1082" t="str">
        <f>IFERROR(IF(A1082="","",VLOOKUP(A1082,CadProd!$A:$C,3,0)),"")</f>
        <v/>
      </c>
      <c r="I1082" s="1" t="str">
        <f>IFERROR(IF(A1082="","",E1082*#REF!),"")</f>
        <v/>
      </c>
    </row>
    <row r="1083" spans="2:9" x14ac:dyDescent="0.3">
      <c r="B1083" t="str">
        <f>IFERROR(IF(A1083="","",VLOOKUP(A1083,CadProd!$A:$B,2,0)),"")</f>
        <v/>
      </c>
      <c r="C1083" t="str">
        <f>IFERROR(IF(A1083="","",VLOOKUP(A1083,CadProd!$A:$C,3,0)),"")</f>
        <v/>
      </c>
      <c r="I1083" s="1" t="str">
        <f>IFERROR(IF(A1083="","",E1083*#REF!),"")</f>
        <v/>
      </c>
    </row>
    <row r="1084" spans="2:9" x14ac:dyDescent="0.3">
      <c r="B1084" t="str">
        <f>IFERROR(IF(A1084="","",VLOOKUP(A1084,CadProd!$A:$B,2,0)),"")</f>
        <v/>
      </c>
      <c r="C1084" t="str">
        <f>IFERROR(IF(A1084="","",VLOOKUP(A1084,CadProd!$A:$C,3,0)),"")</f>
        <v/>
      </c>
      <c r="I1084" s="1" t="str">
        <f>IFERROR(IF(A1084="","",E1084*#REF!),"")</f>
        <v/>
      </c>
    </row>
    <row r="1085" spans="2:9" x14ac:dyDescent="0.3">
      <c r="B1085" t="str">
        <f>IFERROR(IF(A1085="","",VLOOKUP(A1085,CadProd!$A:$B,2,0)),"")</f>
        <v/>
      </c>
      <c r="C1085" t="str">
        <f>IFERROR(IF(A1085="","",VLOOKUP(A1085,CadProd!$A:$C,3,0)),"")</f>
        <v/>
      </c>
      <c r="I1085" s="1" t="str">
        <f>IFERROR(IF(A1085="","",E1085*#REF!),"")</f>
        <v/>
      </c>
    </row>
    <row r="1086" spans="2:9" x14ac:dyDescent="0.3">
      <c r="B1086" t="str">
        <f>IFERROR(IF(A1086="","",VLOOKUP(A1086,CadProd!$A:$B,2,0)),"")</f>
        <v/>
      </c>
      <c r="C1086" t="str">
        <f>IFERROR(IF(A1086="","",VLOOKUP(A1086,CadProd!$A:$C,3,0)),"")</f>
        <v/>
      </c>
      <c r="I1086" s="1" t="str">
        <f>IFERROR(IF(A1086="","",E1086*#REF!),"")</f>
        <v/>
      </c>
    </row>
    <row r="1087" spans="2:9" x14ac:dyDescent="0.3">
      <c r="B1087" t="str">
        <f>IFERROR(IF(A1087="","",VLOOKUP(A1087,CadProd!$A:$B,2,0)),"")</f>
        <v/>
      </c>
      <c r="C1087" t="str">
        <f>IFERROR(IF(A1087="","",VLOOKUP(A1087,CadProd!$A:$C,3,0)),"")</f>
        <v/>
      </c>
      <c r="I1087" s="1" t="str">
        <f>IFERROR(IF(A1087="","",E1087*#REF!),"")</f>
        <v/>
      </c>
    </row>
    <row r="1088" spans="2:9" x14ac:dyDescent="0.3">
      <c r="B1088" t="str">
        <f>IFERROR(IF(A1088="","",VLOOKUP(A1088,CadProd!$A:$B,2,0)),"")</f>
        <v/>
      </c>
      <c r="C1088" t="str">
        <f>IFERROR(IF(A1088="","",VLOOKUP(A1088,CadProd!$A:$C,3,0)),"")</f>
        <v/>
      </c>
      <c r="I1088" s="1" t="str">
        <f>IFERROR(IF(A1088="","",E1088*#REF!),"")</f>
        <v/>
      </c>
    </row>
    <row r="1089" spans="2:9" x14ac:dyDescent="0.3">
      <c r="B1089" t="str">
        <f>IFERROR(IF(A1089="","",VLOOKUP(A1089,CadProd!$A:$B,2,0)),"")</f>
        <v/>
      </c>
      <c r="C1089" t="str">
        <f>IFERROR(IF(A1089="","",VLOOKUP(A1089,CadProd!$A:$C,3,0)),"")</f>
        <v/>
      </c>
      <c r="I1089" s="1" t="str">
        <f>IFERROR(IF(A1089="","",E1089*#REF!),"")</f>
        <v/>
      </c>
    </row>
    <row r="1090" spans="2:9" x14ac:dyDescent="0.3">
      <c r="B1090" t="str">
        <f>IFERROR(IF(A1090="","",VLOOKUP(A1090,CadProd!$A:$B,2,0)),"")</f>
        <v/>
      </c>
      <c r="C1090" t="str">
        <f>IFERROR(IF(A1090="","",VLOOKUP(A1090,CadProd!$A:$C,3,0)),"")</f>
        <v/>
      </c>
      <c r="I1090" s="1" t="str">
        <f>IFERROR(IF(A1090="","",E1090*#REF!),"")</f>
        <v/>
      </c>
    </row>
    <row r="1091" spans="2:9" x14ac:dyDescent="0.3">
      <c r="B1091" t="str">
        <f>IFERROR(IF(A1091="","",VLOOKUP(A1091,CadProd!$A:$B,2,0)),"")</f>
        <v/>
      </c>
      <c r="C1091" t="str">
        <f>IFERROR(IF(A1091="","",VLOOKUP(A1091,CadProd!$A:$C,3,0)),"")</f>
        <v/>
      </c>
      <c r="I1091" s="1" t="str">
        <f>IFERROR(IF(A1091="","",E1091*#REF!),"")</f>
        <v/>
      </c>
    </row>
    <row r="1092" spans="2:9" x14ac:dyDescent="0.3">
      <c r="B1092" t="str">
        <f>IFERROR(IF(A1092="","",VLOOKUP(A1092,CadProd!$A:$B,2,0)),"")</f>
        <v/>
      </c>
      <c r="C1092" t="str">
        <f>IFERROR(IF(A1092="","",VLOOKUP(A1092,CadProd!$A:$C,3,0)),"")</f>
        <v/>
      </c>
      <c r="I1092" s="1" t="str">
        <f>IFERROR(IF(A1092="","",E1092*#REF!),"")</f>
        <v/>
      </c>
    </row>
    <row r="1093" spans="2:9" x14ac:dyDescent="0.3">
      <c r="B1093" t="str">
        <f>IFERROR(IF(A1093="","",VLOOKUP(A1093,CadProd!$A:$B,2,0)),"")</f>
        <v/>
      </c>
      <c r="C1093" t="str">
        <f>IFERROR(IF(A1093="","",VLOOKUP(A1093,CadProd!$A:$C,3,0)),"")</f>
        <v/>
      </c>
      <c r="I1093" s="1" t="str">
        <f>IFERROR(IF(A1093="","",E1093*#REF!),"")</f>
        <v/>
      </c>
    </row>
    <row r="1094" spans="2:9" x14ac:dyDescent="0.3">
      <c r="B1094" t="str">
        <f>IFERROR(IF(A1094="","",VLOOKUP(A1094,CadProd!$A:$B,2,0)),"")</f>
        <v/>
      </c>
      <c r="C1094" t="str">
        <f>IFERROR(IF(A1094="","",VLOOKUP(A1094,CadProd!$A:$C,3,0)),"")</f>
        <v/>
      </c>
      <c r="I1094" s="1" t="str">
        <f>IFERROR(IF(A1094="","",E1094*#REF!),"")</f>
        <v/>
      </c>
    </row>
    <row r="1095" spans="2:9" x14ac:dyDescent="0.3">
      <c r="B1095" t="str">
        <f>IFERROR(IF(A1095="","",VLOOKUP(A1095,CadProd!$A:$B,2,0)),"")</f>
        <v/>
      </c>
      <c r="C1095" t="str">
        <f>IFERROR(IF(A1095="","",VLOOKUP(A1095,CadProd!$A:$C,3,0)),"")</f>
        <v/>
      </c>
      <c r="I1095" s="1" t="str">
        <f>IFERROR(IF(A1095="","",E1095*#REF!),"")</f>
        <v/>
      </c>
    </row>
    <row r="1096" spans="2:9" x14ac:dyDescent="0.3">
      <c r="B1096" t="str">
        <f>IFERROR(IF(A1096="","",VLOOKUP(A1096,CadProd!$A:$B,2,0)),"")</f>
        <v/>
      </c>
      <c r="C1096" t="str">
        <f>IFERROR(IF(A1096="","",VLOOKUP(A1096,CadProd!$A:$C,3,0)),"")</f>
        <v/>
      </c>
      <c r="I1096" s="1" t="str">
        <f>IFERROR(IF(A1096="","",E1096*#REF!),"")</f>
        <v/>
      </c>
    </row>
    <row r="1097" spans="2:9" x14ac:dyDescent="0.3">
      <c r="B1097" t="str">
        <f>IFERROR(IF(A1097="","",VLOOKUP(A1097,CadProd!$A:$B,2,0)),"")</f>
        <v/>
      </c>
      <c r="C1097" t="str">
        <f>IFERROR(IF(A1097="","",VLOOKUP(A1097,CadProd!$A:$C,3,0)),"")</f>
        <v/>
      </c>
      <c r="I1097" s="1" t="str">
        <f>IFERROR(IF(A1097="","",E1097*#REF!),"")</f>
        <v/>
      </c>
    </row>
    <row r="1098" spans="2:9" x14ac:dyDescent="0.3">
      <c r="B1098" t="str">
        <f>IFERROR(IF(A1098="","",VLOOKUP(A1098,CadProd!$A:$B,2,0)),"")</f>
        <v/>
      </c>
      <c r="C1098" t="str">
        <f>IFERROR(IF(A1098="","",VLOOKUP(A1098,CadProd!$A:$C,3,0)),"")</f>
        <v/>
      </c>
      <c r="I1098" s="1" t="str">
        <f>IFERROR(IF(A1098="","",E1098*#REF!),"")</f>
        <v/>
      </c>
    </row>
    <row r="1099" spans="2:9" x14ac:dyDescent="0.3">
      <c r="B1099" t="str">
        <f>IFERROR(IF(A1099="","",VLOOKUP(A1099,CadProd!$A:$B,2,0)),"")</f>
        <v/>
      </c>
      <c r="C1099" t="str">
        <f>IFERROR(IF(A1099="","",VLOOKUP(A1099,CadProd!$A:$C,3,0)),"")</f>
        <v/>
      </c>
      <c r="I1099" s="1" t="str">
        <f>IFERROR(IF(A1099="","",E1099*#REF!),"")</f>
        <v/>
      </c>
    </row>
    <row r="1100" spans="2:9" x14ac:dyDescent="0.3">
      <c r="B1100" t="str">
        <f>IFERROR(IF(A1100="","",VLOOKUP(A1100,CadProd!$A:$B,2,0)),"")</f>
        <v/>
      </c>
      <c r="C1100" t="str">
        <f>IFERROR(IF(A1100="","",VLOOKUP(A1100,CadProd!$A:$C,3,0)),"")</f>
        <v/>
      </c>
      <c r="I1100" s="1" t="str">
        <f>IFERROR(IF(A1100="","",E1100*#REF!),"")</f>
        <v/>
      </c>
    </row>
    <row r="1101" spans="2:9" x14ac:dyDescent="0.3">
      <c r="B1101" t="str">
        <f>IFERROR(IF(A1101="","",VLOOKUP(A1101,CadProd!$A:$B,2,0)),"")</f>
        <v/>
      </c>
      <c r="C1101" t="str">
        <f>IFERROR(IF(A1101="","",VLOOKUP(A1101,CadProd!$A:$C,3,0)),"")</f>
        <v/>
      </c>
      <c r="I1101" s="1" t="str">
        <f>IFERROR(IF(A1101="","",E1101*#REF!),"")</f>
        <v/>
      </c>
    </row>
    <row r="1102" spans="2:9" x14ac:dyDescent="0.3">
      <c r="B1102" t="str">
        <f>IFERROR(IF(A1102="","",VLOOKUP(A1102,CadProd!$A:$B,2,0)),"")</f>
        <v/>
      </c>
      <c r="C1102" t="str">
        <f>IFERROR(IF(A1102="","",VLOOKUP(A1102,CadProd!$A:$C,3,0)),"")</f>
        <v/>
      </c>
      <c r="I1102" s="1" t="str">
        <f>IFERROR(IF(A1102="","",E1102*#REF!),"")</f>
        <v/>
      </c>
    </row>
    <row r="1103" spans="2:9" x14ac:dyDescent="0.3">
      <c r="B1103" t="str">
        <f>IFERROR(IF(A1103="","",VLOOKUP(A1103,CadProd!$A:$B,2,0)),"")</f>
        <v/>
      </c>
      <c r="C1103" t="str">
        <f>IFERROR(IF(A1103="","",VLOOKUP(A1103,CadProd!$A:$C,3,0)),"")</f>
        <v/>
      </c>
      <c r="I1103" s="1" t="str">
        <f>IFERROR(IF(A1103="","",E1103*#REF!),"")</f>
        <v/>
      </c>
    </row>
    <row r="1104" spans="2:9" x14ac:dyDescent="0.3">
      <c r="B1104" t="str">
        <f>IFERROR(IF(A1104="","",VLOOKUP(A1104,CadProd!$A:$B,2,0)),"")</f>
        <v/>
      </c>
      <c r="C1104" t="str">
        <f>IFERROR(IF(A1104="","",VLOOKUP(A1104,CadProd!$A:$C,3,0)),"")</f>
        <v/>
      </c>
      <c r="I1104" s="1" t="str">
        <f>IFERROR(IF(A1104="","",E1104*#REF!),"")</f>
        <v/>
      </c>
    </row>
    <row r="1105" spans="2:9" x14ac:dyDescent="0.3">
      <c r="B1105" t="str">
        <f>IFERROR(IF(A1105="","",VLOOKUP(A1105,CadProd!$A:$B,2,0)),"")</f>
        <v/>
      </c>
      <c r="C1105" t="str">
        <f>IFERROR(IF(A1105="","",VLOOKUP(A1105,CadProd!$A:$C,3,0)),"")</f>
        <v/>
      </c>
      <c r="I1105" s="1" t="str">
        <f>IFERROR(IF(A1105="","",E1105*#REF!),"")</f>
        <v/>
      </c>
    </row>
    <row r="1106" spans="2:9" x14ac:dyDescent="0.3">
      <c r="B1106" t="str">
        <f>IFERROR(IF(A1106="","",VLOOKUP(A1106,CadProd!$A:$B,2,0)),"")</f>
        <v/>
      </c>
      <c r="C1106" t="str">
        <f>IFERROR(IF(A1106="","",VLOOKUP(A1106,CadProd!$A:$C,3,0)),"")</f>
        <v/>
      </c>
      <c r="I1106" s="1" t="str">
        <f>IFERROR(IF(A1106="","",E1106*#REF!),"")</f>
        <v/>
      </c>
    </row>
    <row r="1107" spans="2:9" x14ac:dyDescent="0.3">
      <c r="B1107" t="str">
        <f>IFERROR(IF(A1107="","",VLOOKUP(A1107,CadProd!$A:$B,2,0)),"")</f>
        <v/>
      </c>
      <c r="C1107" t="str">
        <f>IFERROR(IF(A1107="","",VLOOKUP(A1107,CadProd!$A:$C,3,0)),"")</f>
        <v/>
      </c>
      <c r="I1107" s="1" t="str">
        <f>IFERROR(IF(A1107="","",E1107*#REF!),"")</f>
        <v/>
      </c>
    </row>
    <row r="1108" spans="2:9" x14ac:dyDescent="0.3">
      <c r="B1108" t="str">
        <f>IFERROR(IF(A1108="","",VLOOKUP(A1108,CadProd!$A:$B,2,0)),"")</f>
        <v/>
      </c>
      <c r="C1108" t="str">
        <f>IFERROR(IF(A1108="","",VLOOKUP(A1108,CadProd!$A:$C,3,0)),"")</f>
        <v/>
      </c>
      <c r="I1108" s="1" t="str">
        <f>IFERROR(IF(A1108="","",E1108*#REF!),"")</f>
        <v/>
      </c>
    </row>
    <row r="1109" spans="2:9" x14ac:dyDescent="0.3">
      <c r="B1109" t="str">
        <f>IFERROR(IF(A1109="","",VLOOKUP(A1109,CadProd!$A:$B,2,0)),"")</f>
        <v/>
      </c>
      <c r="C1109" t="str">
        <f>IFERROR(IF(A1109="","",VLOOKUP(A1109,CadProd!$A:$C,3,0)),"")</f>
        <v/>
      </c>
      <c r="I1109" s="1" t="str">
        <f>IFERROR(IF(A1109="","",E1109*#REF!),"")</f>
        <v/>
      </c>
    </row>
    <row r="1110" spans="2:9" x14ac:dyDescent="0.3">
      <c r="B1110" t="str">
        <f>IFERROR(IF(A1110="","",VLOOKUP(A1110,CadProd!$A:$B,2,0)),"")</f>
        <v/>
      </c>
      <c r="C1110" t="str">
        <f>IFERROR(IF(A1110="","",VLOOKUP(A1110,CadProd!$A:$C,3,0)),"")</f>
        <v/>
      </c>
      <c r="I1110" s="1" t="str">
        <f>IFERROR(IF(A1110="","",E1110*#REF!),"")</f>
        <v/>
      </c>
    </row>
    <row r="1111" spans="2:9" x14ac:dyDescent="0.3">
      <c r="B1111" t="str">
        <f>IFERROR(IF(A1111="","",VLOOKUP(A1111,CadProd!$A:$B,2,0)),"")</f>
        <v/>
      </c>
      <c r="C1111" t="str">
        <f>IFERROR(IF(A1111="","",VLOOKUP(A1111,CadProd!$A:$C,3,0)),"")</f>
        <v/>
      </c>
      <c r="I1111" s="1" t="str">
        <f>IFERROR(IF(A1111="","",E1111*#REF!),"")</f>
        <v/>
      </c>
    </row>
    <row r="1112" spans="2:9" x14ac:dyDescent="0.3">
      <c r="B1112" t="str">
        <f>IFERROR(IF(A1112="","",VLOOKUP(A1112,CadProd!$A:$B,2,0)),"")</f>
        <v/>
      </c>
      <c r="C1112" t="str">
        <f>IFERROR(IF(A1112="","",VLOOKUP(A1112,CadProd!$A:$C,3,0)),"")</f>
        <v/>
      </c>
      <c r="I1112" s="1" t="str">
        <f>IFERROR(IF(A1112="","",E1112*#REF!),"")</f>
        <v/>
      </c>
    </row>
    <row r="1113" spans="2:9" x14ac:dyDescent="0.3">
      <c r="B1113" t="str">
        <f>IFERROR(IF(A1113="","",VLOOKUP(A1113,CadProd!$A:$B,2,0)),"")</f>
        <v/>
      </c>
      <c r="C1113" t="str">
        <f>IFERROR(IF(A1113="","",VLOOKUP(A1113,CadProd!$A:$C,3,0)),"")</f>
        <v/>
      </c>
      <c r="I1113" s="1" t="str">
        <f>IFERROR(IF(A1113="","",E1113*#REF!),"")</f>
        <v/>
      </c>
    </row>
    <row r="1114" spans="2:9" x14ac:dyDescent="0.3">
      <c r="B1114" t="str">
        <f>IFERROR(IF(A1114="","",VLOOKUP(A1114,CadProd!$A:$B,2,0)),"")</f>
        <v/>
      </c>
      <c r="C1114" t="str">
        <f>IFERROR(IF(A1114="","",VLOOKUP(A1114,CadProd!$A:$C,3,0)),"")</f>
        <v/>
      </c>
      <c r="I1114" s="1" t="str">
        <f>IFERROR(IF(A1114="","",E1114*#REF!),"")</f>
        <v/>
      </c>
    </row>
    <row r="1115" spans="2:9" x14ac:dyDescent="0.3">
      <c r="B1115" t="str">
        <f>IFERROR(IF(A1115="","",VLOOKUP(A1115,CadProd!$A:$B,2,0)),"")</f>
        <v/>
      </c>
      <c r="C1115" t="str">
        <f>IFERROR(IF(A1115="","",VLOOKUP(A1115,CadProd!$A:$C,3,0)),"")</f>
        <v/>
      </c>
      <c r="I1115" s="1" t="str">
        <f>IFERROR(IF(A1115="","",E1115*#REF!),"")</f>
        <v/>
      </c>
    </row>
    <row r="1116" spans="2:9" x14ac:dyDescent="0.3">
      <c r="B1116" t="str">
        <f>IFERROR(IF(A1116="","",VLOOKUP(A1116,CadProd!$A:$B,2,0)),"")</f>
        <v/>
      </c>
      <c r="C1116" t="str">
        <f>IFERROR(IF(A1116="","",VLOOKUP(A1116,CadProd!$A:$C,3,0)),"")</f>
        <v/>
      </c>
      <c r="I1116" s="1" t="str">
        <f>IFERROR(IF(A1116="","",E1116*#REF!),"")</f>
        <v/>
      </c>
    </row>
    <row r="1117" spans="2:9" x14ac:dyDescent="0.3">
      <c r="B1117" t="str">
        <f>IFERROR(IF(A1117="","",VLOOKUP(A1117,CadProd!$A:$B,2,0)),"")</f>
        <v/>
      </c>
      <c r="C1117" t="str">
        <f>IFERROR(IF(A1117="","",VLOOKUP(A1117,CadProd!$A:$C,3,0)),"")</f>
        <v/>
      </c>
      <c r="I1117" s="1" t="str">
        <f>IFERROR(IF(A1117="","",E1117*#REF!),"")</f>
        <v/>
      </c>
    </row>
    <row r="1118" spans="2:9" x14ac:dyDescent="0.3">
      <c r="B1118" t="str">
        <f>IFERROR(IF(A1118="","",VLOOKUP(A1118,CadProd!$A:$B,2,0)),"")</f>
        <v/>
      </c>
      <c r="C1118" t="str">
        <f>IFERROR(IF(A1118="","",VLOOKUP(A1118,CadProd!$A:$C,3,0)),"")</f>
        <v/>
      </c>
      <c r="I1118" s="1" t="str">
        <f>IFERROR(IF(A1118="","",E1118*#REF!),"")</f>
        <v/>
      </c>
    </row>
    <row r="1119" spans="2:9" x14ac:dyDescent="0.3">
      <c r="B1119" t="str">
        <f>IFERROR(IF(A1119="","",VLOOKUP(A1119,CadProd!$A:$B,2,0)),"")</f>
        <v/>
      </c>
      <c r="C1119" t="str">
        <f>IFERROR(IF(A1119="","",VLOOKUP(A1119,CadProd!$A:$C,3,0)),"")</f>
        <v/>
      </c>
      <c r="I1119" s="1" t="str">
        <f>IFERROR(IF(A1119="","",E1119*#REF!),"")</f>
        <v/>
      </c>
    </row>
    <row r="1120" spans="2:9" x14ac:dyDescent="0.3">
      <c r="B1120" t="str">
        <f>IFERROR(IF(A1120="","",VLOOKUP(A1120,CadProd!$A:$B,2,0)),"")</f>
        <v/>
      </c>
      <c r="C1120" t="str">
        <f>IFERROR(IF(A1120="","",VLOOKUP(A1120,CadProd!$A:$C,3,0)),"")</f>
        <v/>
      </c>
      <c r="I1120" s="1" t="str">
        <f>IFERROR(IF(A1120="","",E1120*#REF!),"")</f>
        <v/>
      </c>
    </row>
    <row r="1121" spans="2:9" x14ac:dyDescent="0.3">
      <c r="B1121" t="str">
        <f>IFERROR(IF(A1121="","",VLOOKUP(A1121,CadProd!$A:$B,2,0)),"")</f>
        <v/>
      </c>
      <c r="C1121" t="str">
        <f>IFERROR(IF(A1121="","",VLOOKUP(A1121,CadProd!$A:$C,3,0)),"")</f>
        <v/>
      </c>
      <c r="I1121" s="1" t="str">
        <f>IFERROR(IF(A1121="","",E1121*#REF!),"")</f>
        <v/>
      </c>
    </row>
    <row r="1122" spans="2:9" x14ac:dyDescent="0.3">
      <c r="B1122" t="str">
        <f>IFERROR(IF(A1122="","",VLOOKUP(A1122,CadProd!$A:$B,2,0)),"")</f>
        <v/>
      </c>
      <c r="C1122" t="str">
        <f>IFERROR(IF(A1122="","",VLOOKUP(A1122,CadProd!$A:$C,3,0)),"")</f>
        <v/>
      </c>
      <c r="I1122" s="1" t="str">
        <f>IFERROR(IF(A1122="","",E1122*#REF!),"")</f>
        <v/>
      </c>
    </row>
    <row r="1123" spans="2:9" x14ac:dyDescent="0.3">
      <c r="B1123" t="str">
        <f>IFERROR(IF(A1123="","",VLOOKUP(A1123,CadProd!$A:$B,2,0)),"")</f>
        <v/>
      </c>
      <c r="C1123" t="str">
        <f>IFERROR(IF(A1123="","",VLOOKUP(A1123,CadProd!$A:$C,3,0)),"")</f>
        <v/>
      </c>
      <c r="I1123" s="1" t="str">
        <f>IFERROR(IF(A1123="","",E1123*#REF!),"")</f>
        <v/>
      </c>
    </row>
    <row r="1124" spans="2:9" x14ac:dyDescent="0.3">
      <c r="B1124" t="str">
        <f>IFERROR(IF(A1124="","",VLOOKUP(A1124,CadProd!$A:$B,2,0)),"")</f>
        <v/>
      </c>
      <c r="C1124" t="str">
        <f>IFERROR(IF(A1124="","",VLOOKUP(A1124,CadProd!$A:$C,3,0)),"")</f>
        <v/>
      </c>
      <c r="I1124" s="1" t="str">
        <f>IFERROR(IF(A1124="","",E1124*#REF!),"")</f>
        <v/>
      </c>
    </row>
    <row r="1125" spans="2:9" x14ac:dyDescent="0.3">
      <c r="B1125" t="str">
        <f>IFERROR(IF(A1125="","",VLOOKUP(A1125,CadProd!$A:$B,2,0)),"")</f>
        <v/>
      </c>
      <c r="C1125" t="str">
        <f>IFERROR(IF(A1125="","",VLOOKUP(A1125,CadProd!$A:$C,3,0)),"")</f>
        <v/>
      </c>
      <c r="I1125" s="1" t="str">
        <f>IFERROR(IF(A1125="","",E1125*#REF!),"")</f>
        <v/>
      </c>
    </row>
    <row r="1126" spans="2:9" x14ac:dyDescent="0.3">
      <c r="B1126" t="str">
        <f>IFERROR(IF(A1126="","",VLOOKUP(A1126,CadProd!$A:$B,2,0)),"")</f>
        <v/>
      </c>
      <c r="C1126" t="str">
        <f>IFERROR(IF(A1126="","",VLOOKUP(A1126,CadProd!$A:$C,3,0)),"")</f>
        <v/>
      </c>
      <c r="I1126" s="1" t="str">
        <f>IFERROR(IF(A1126="","",E1126*#REF!),"")</f>
        <v/>
      </c>
    </row>
    <row r="1127" spans="2:9" x14ac:dyDescent="0.3">
      <c r="B1127" t="str">
        <f>IFERROR(IF(A1127="","",VLOOKUP(A1127,CadProd!$A:$B,2,0)),"")</f>
        <v/>
      </c>
      <c r="C1127" t="str">
        <f>IFERROR(IF(A1127="","",VLOOKUP(A1127,CadProd!$A:$C,3,0)),"")</f>
        <v/>
      </c>
      <c r="I1127" s="1" t="str">
        <f>IFERROR(IF(A1127="","",E1127*#REF!),"")</f>
        <v/>
      </c>
    </row>
    <row r="1128" spans="2:9" x14ac:dyDescent="0.3">
      <c r="B1128" t="str">
        <f>IFERROR(IF(A1128="","",VLOOKUP(A1128,CadProd!$A:$B,2,0)),"")</f>
        <v/>
      </c>
      <c r="C1128" t="str">
        <f>IFERROR(IF(A1128="","",VLOOKUP(A1128,CadProd!$A:$C,3,0)),"")</f>
        <v/>
      </c>
      <c r="I1128" s="1" t="str">
        <f>IFERROR(IF(A1128="","",E1128*#REF!),"")</f>
        <v/>
      </c>
    </row>
    <row r="1129" spans="2:9" x14ac:dyDescent="0.3">
      <c r="B1129" t="str">
        <f>IFERROR(IF(A1129="","",VLOOKUP(A1129,CadProd!$A:$B,2,0)),"")</f>
        <v/>
      </c>
      <c r="C1129" t="str">
        <f>IFERROR(IF(A1129="","",VLOOKUP(A1129,CadProd!$A:$C,3,0)),"")</f>
        <v/>
      </c>
      <c r="I1129" s="1" t="str">
        <f>IFERROR(IF(A1129="","",E1129*#REF!),"")</f>
        <v/>
      </c>
    </row>
    <row r="1130" spans="2:9" x14ac:dyDescent="0.3">
      <c r="B1130" t="str">
        <f>IFERROR(IF(A1130="","",VLOOKUP(A1130,CadProd!$A:$B,2,0)),"")</f>
        <v/>
      </c>
      <c r="C1130" t="str">
        <f>IFERROR(IF(A1130="","",VLOOKUP(A1130,CadProd!$A:$C,3,0)),"")</f>
        <v/>
      </c>
      <c r="I1130" s="1" t="str">
        <f>IFERROR(IF(A1130="","",E1130*#REF!),"")</f>
        <v/>
      </c>
    </row>
    <row r="1131" spans="2:9" x14ac:dyDescent="0.3">
      <c r="B1131" t="str">
        <f>IFERROR(IF(A1131="","",VLOOKUP(A1131,CadProd!$A:$B,2,0)),"")</f>
        <v/>
      </c>
      <c r="C1131" t="str">
        <f>IFERROR(IF(A1131="","",VLOOKUP(A1131,CadProd!$A:$C,3,0)),"")</f>
        <v/>
      </c>
      <c r="I1131" s="1" t="str">
        <f>IFERROR(IF(A1131="","",E1131*#REF!),"")</f>
        <v/>
      </c>
    </row>
    <row r="1132" spans="2:9" x14ac:dyDescent="0.3">
      <c r="B1132" t="str">
        <f>IFERROR(IF(A1132="","",VLOOKUP(A1132,CadProd!$A:$B,2,0)),"")</f>
        <v/>
      </c>
      <c r="C1132" t="str">
        <f>IFERROR(IF(A1132="","",VLOOKUP(A1132,CadProd!$A:$C,3,0)),"")</f>
        <v/>
      </c>
      <c r="I1132" s="1" t="str">
        <f>IFERROR(IF(A1132="","",E1132*#REF!),"")</f>
        <v/>
      </c>
    </row>
    <row r="1133" spans="2:9" x14ac:dyDescent="0.3">
      <c r="B1133" t="str">
        <f>IFERROR(IF(A1133="","",VLOOKUP(A1133,CadProd!$A:$B,2,0)),"")</f>
        <v/>
      </c>
      <c r="C1133" t="str">
        <f>IFERROR(IF(A1133="","",VLOOKUP(A1133,CadProd!$A:$C,3,0)),"")</f>
        <v/>
      </c>
      <c r="I1133" s="1" t="str">
        <f>IFERROR(IF(A1133="","",E1133*#REF!),"")</f>
        <v/>
      </c>
    </row>
    <row r="1134" spans="2:9" x14ac:dyDescent="0.3">
      <c r="B1134" t="str">
        <f>IFERROR(IF(A1134="","",VLOOKUP(A1134,CadProd!$A:$B,2,0)),"")</f>
        <v/>
      </c>
      <c r="C1134" t="str">
        <f>IFERROR(IF(A1134="","",VLOOKUP(A1134,CadProd!$A:$C,3,0)),"")</f>
        <v/>
      </c>
      <c r="I1134" s="1" t="str">
        <f>IFERROR(IF(A1134="","",E1134*#REF!),"")</f>
        <v/>
      </c>
    </row>
    <row r="1135" spans="2:9" x14ac:dyDescent="0.3">
      <c r="B1135" t="str">
        <f>IFERROR(IF(A1135="","",VLOOKUP(A1135,CadProd!$A:$B,2,0)),"")</f>
        <v/>
      </c>
      <c r="C1135" t="str">
        <f>IFERROR(IF(A1135="","",VLOOKUP(A1135,CadProd!$A:$C,3,0)),"")</f>
        <v/>
      </c>
      <c r="I1135" s="1" t="str">
        <f>IFERROR(IF(A1135="","",E1135*#REF!),"")</f>
        <v/>
      </c>
    </row>
    <row r="1136" spans="2:9" x14ac:dyDescent="0.3">
      <c r="B1136" t="str">
        <f>IFERROR(IF(A1136="","",VLOOKUP(A1136,CadProd!$A:$B,2,0)),"")</f>
        <v/>
      </c>
      <c r="C1136" t="str">
        <f>IFERROR(IF(A1136="","",VLOOKUP(A1136,CadProd!$A:$C,3,0)),"")</f>
        <v/>
      </c>
      <c r="I1136" s="1" t="str">
        <f>IFERROR(IF(A1136="","",E1136*#REF!),"")</f>
        <v/>
      </c>
    </row>
    <row r="1137" spans="2:9" x14ac:dyDescent="0.3">
      <c r="B1137" t="str">
        <f>IFERROR(IF(A1137="","",VLOOKUP(A1137,CadProd!$A:$B,2,0)),"")</f>
        <v/>
      </c>
      <c r="C1137" t="str">
        <f>IFERROR(IF(A1137="","",VLOOKUP(A1137,CadProd!$A:$C,3,0)),"")</f>
        <v/>
      </c>
      <c r="I1137" s="1" t="str">
        <f>IFERROR(IF(A1137="","",E1137*#REF!),"")</f>
        <v/>
      </c>
    </row>
    <row r="1138" spans="2:9" x14ac:dyDescent="0.3">
      <c r="B1138" t="str">
        <f>IFERROR(IF(A1138="","",VLOOKUP(A1138,CadProd!$A:$B,2,0)),"")</f>
        <v/>
      </c>
      <c r="C1138" t="str">
        <f>IFERROR(IF(A1138="","",VLOOKUP(A1138,CadProd!$A:$C,3,0)),"")</f>
        <v/>
      </c>
      <c r="I1138" s="1" t="str">
        <f>IFERROR(IF(A1138="","",E1138*#REF!),"")</f>
        <v/>
      </c>
    </row>
    <row r="1139" spans="2:9" x14ac:dyDescent="0.3">
      <c r="B1139" t="str">
        <f>IFERROR(IF(A1139="","",VLOOKUP(A1139,CadProd!$A:$B,2,0)),"")</f>
        <v/>
      </c>
      <c r="C1139" t="str">
        <f>IFERROR(IF(A1139="","",VLOOKUP(A1139,CadProd!$A:$C,3,0)),"")</f>
        <v/>
      </c>
      <c r="I1139" s="1" t="str">
        <f>IFERROR(IF(A1139="","",E1139*#REF!),"")</f>
        <v/>
      </c>
    </row>
    <row r="1140" spans="2:9" x14ac:dyDescent="0.3">
      <c r="B1140" t="str">
        <f>IFERROR(IF(A1140="","",VLOOKUP(A1140,CadProd!$A:$B,2,0)),"")</f>
        <v/>
      </c>
      <c r="C1140" t="str">
        <f>IFERROR(IF(A1140="","",VLOOKUP(A1140,CadProd!$A:$C,3,0)),"")</f>
        <v/>
      </c>
      <c r="I1140" s="1" t="str">
        <f>IFERROR(IF(A1140="","",E1140*#REF!),"")</f>
        <v/>
      </c>
    </row>
    <row r="1141" spans="2:9" x14ac:dyDescent="0.3">
      <c r="B1141" t="str">
        <f>IFERROR(IF(A1141="","",VLOOKUP(A1141,CadProd!$A:$B,2,0)),"")</f>
        <v/>
      </c>
      <c r="C1141" t="str">
        <f>IFERROR(IF(A1141="","",VLOOKUP(A1141,CadProd!$A:$C,3,0)),"")</f>
        <v/>
      </c>
      <c r="I1141" s="1" t="str">
        <f>IFERROR(IF(A1141="","",E1141*#REF!),"")</f>
        <v/>
      </c>
    </row>
    <row r="1142" spans="2:9" x14ac:dyDescent="0.3">
      <c r="B1142" t="str">
        <f>IFERROR(IF(A1142="","",VLOOKUP(A1142,CadProd!$A:$B,2,0)),"")</f>
        <v/>
      </c>
      <c r="C1142" t="str">
        <f>IFERROR(IF(A1142="","",VLOOKUP(A1142,CadProd!$A:$C,3,0)),"")</f>
        <v/>
      </c>
      <c r="I1142" s="1" t="str">
        <f>IFERROR(IF(A1142="","",E1142*#REF!),"")</f>
        <v/>
      </c>
    </row>
    <row r="1143" spans="2:9" x14ac:dyDescent="0.3">
      <c r="B1143" t="str">
        <f>IFERROR(IF(A1143="","",VLOOKUP(A1143,CadProd!$A:$B,2,0)),"")</f>
        <v/>
      </c>
      <c r="C1143" t="str">
        <f>IFERROR(IF(A1143="","",VLOOKUP(A1143,CadProd!$A:$C,3,0)),"")</f>
        <v/>
      </c>
      <c r="I1143" s="1" t="str">
        <f>IFERROR(IF(A1143="","",E1143*#REF!),"")</f>
        <v/>
      </c>
    </row>
    <row r="1144" spans="2:9" x14ac:dyDescent="0.3">
      <c r="B1144" t="str">
        <f>IFERROR(IF(A1144="","",VLOOKUP(A1144,CadProd!$A:$B,2,0)),"")</f>
        <v/>
      </c>
      <c r="C1144" t="str">
        <f>IFERROR(IF(A1144="","",VLOOKUP(A1144,CadProd!$A:$C,3,0)),"")</f>
        <v/>
      </c>
      <c r="I1144" s="1" t="str">
        <f>IFERROR(IF(A1144="","",E1144*#REF!),"")</f>
        <v/>
      </c>
    </row>
    <row r="1145" spans="2:9" x14ac:dyDescent="0.3">
      <c r="B1145" t="str">
        <f>IFERROR(IF(A1145="","",VLOOKUP(A1145,CadProd!$A:$B,2,0)),"")</f>
        <v/>
      </c>
      <c r="C1145" t="str">
        <f>IFERROR(IF(A1145="","",VLOOKUP(A1145,CadProd!$A:$C,3,0)),"")</f>
        <v/>
      </c>
      <c r="I1145" s="1" t="str">
        <f>IFERROR(IF(A1145="","",E1145*#REF!),"")</f>
        <v/>
      </c>
    </row>
    <row r="1146" spans="2:9" x14ac:dyDescent="0.3">
      <c r="B1146" t="str">
        <f>IFERROR(IF(A1146="","",VLOOKUP(A1146,CadProd!$A:$B,2,0)),"")</f>
        <v/>
      </c>
      <c r="C1146" t="str">
        <f>IFERROR(IF(A1146="","",VLOOKUP(A1146,CadProd!$A:$C,3,0)),"")</f>
        <v/>
      </c>
      <c r="I1146" s="1" t="str">
        <f>IFERROR(IF(A1146="","",E1146*#REF!),"")</f>
        <v/>
      </c>
    </row>
    <row r="1147" spans="2:9" x14ac:dyDescent="0.3">
      <c r="B1147" t="str">
        <f>IFERROR(IF(A1147="","",VLOOKUP(A1147,CadProd!$A:$B,2,0)),"")</f>
        <v/>
      </c>
      <c r="C1147" t="str">
        <f>IFERROR(IF(A1147="","",VLOOKUP(A1147,CadProd!$A:$C,3,0)),"")</f>
        <v/>
      </c>
      <c r="I1147" s="1" t="str">
        <f>IFERROR(IF(A1147="","",E1147*#REF!),"")</f>
        <v/>
      </c>
    </row>
    <row r="1148" spans="2:9" x14ac:dyDescent="0.3">
      <c r="B1148" t="str">
        <f>IFERROR(IF(A1148="","",VLOOKUP(A1148,CadProd!$A:$B,2,0)),"")</f>
        <v/>
      </c>
      <c r="C1148" t="str">
        <f>IFERROR(IF(A1148="","",VLOOKUP(A1148,CadProd!$A:$C,3,0)),"")</f>
        <v/>
      </c>
      <c r="I1148" s="1" t="str">
        <f>IFERROR(IF(A1148="","",E1148*#REF!),"")</f>
        <v/>
      </c>
    </row>
    <row r="1149" spans="2:9" x14ac:dyDescent="0.3">
      <c r="B1149" t="str">
        <f>IFERROR(IF(A1149="","",VLOOKUP(A1149,CadProd!$A:$B,2,0)),"")</f>
        <v/>
      </c>
      <c r="C1149" t="str">
        <f>IFERROR(IF(A1149="","",VLOOKUP(A1149,CadProd!$A:$C,3,0)),"")</f>
        <v/>
      </c>
      <c r="I1149" s="1" t="str">
        <f>IFERROR(IF(A1149="","",E1149*#REF!),"")</f>
        <v/>
      </c>
    </row>
    <row r="1150" spans="2:9" x14ac:dyDescent="0.3">
      <c r="B1150" t="str">
        <f>IFERROR(IF(A1150="","",VLOOKUP(A1150,CadProd!$A:$B,2,0)),"")</f>
        <v/>
      </c>
      <c r="C1150" t="str">
        <f>IFERROR(IF(A1150="","",VLOOKUP(A1150,CadProd!$A:$C,3,0)),"")</f>
        <v/>
      </c>
      <c r="I1150" s="1" t="str">
        <f>IFERROR(IF(A1150="","",E1150*#REF!),"")</f>
        <v/>
      </c>
    </row>
    <row r="1151" spans="2:9" x14ac:dyDescent="0.3">
      <c r="B1151" t="str">
        <f>IFERROR(IF(A1151="","",VLOOKUP(A1151,CadProd!$A:$B,2,0)),"")</f>
        <v/>
      </c>
      <c r="C1151" t="str">
        <f>IFERROR(IF(A1151="","",VLOOKUP(A1151,CadProd!$A:$C,3,0)),"")</f>
        <v/>
      </c>
      <c r="I1151" s="1" t="str">
        <f>IFERROR(IF(A1151="","",E1151*#REF!),"")</f>
        <v/>
      </c>
    </row>
    <row r="1152" spans="2:9" x14ac:dyDescent="0.3">
      <c r="B1152" t="str">
        <f>IFERROR(IF(A1152="","",VLOOKUP(A1152,CadProd!$A:$B,2,0)),"")</f>
        <v/>
      </c>
      <c r="C1152" t="str">
        <f>IFERROR(IF(A1152="","",VLOOKUP(A1152,CadProd!$A:$C,3,0)),"")</f>
        <v/>
      </c>
      <c r="I1152" s="1" t="str">
        <f>IFERROR(IF(A1152="","",E1152*#REF!),"")</f>
        <v/>
      </c>
    </row>
    <row r="1153" spans="2:9" x14ac:dyDescent="0.3">
      <c r="B1153" t="str">
        <f>IFERROR(IF(A1153="","",VLOOKUP(A1153,CadProd!$A:$B,2,0)),"")</f>
        <v/>
      </c>
      <c r="C1153" t="str">
        <f>IFERROR(IF(A1153="","",VLOOKUP(A1153,CadProd!$A:$C,3,0)),"")</f>
        <v/>
      </c>
      <c r="I1153" s="1" t="str">
        <f>IFERROR(IF(A1153="","",E1153*#REF!),"")</f>
        <v/>
      </c>
    </row>
    <row r="1154" spans="2:9" x14ac:dyDescent="0.3">
      <c r="B1154" t="str">
        <f>IFERROR(IF(A1154="","",VLOOKUP(A1154,CadProd!$A:$B,2,0)),"")</f>
        <v/>
      </c>
      <c r="C1154" t="str">
        <f>IFERROR(IF(A1154="","",VLOOKUP(A1154,CadProd!$A:$C,3,0)),"")</f>
        <v/>
      </c>
      <c r="I1154" s="1" t="str">
        <f>IFERROR(IF(A1154="","",E1154*#REF!),"")</f>
        <v/>
      </c>
    </row>
    <row r="1155" spans="2:9" x14ac:dyDescent="0.3">
      <c r="B1155" t="str">
        <f>IFERROR(IF(A1155="","",VLOOKUP(A1155,CadProd!$A:$B,2,0)),"")</f>
        <v/>
      </c>
      <c r="C1155" t="str">
        <f>IFERROR(IF(A1155="","",VLOOKUP(A1155,CadProd!$A:$C,3,0)),"")</f>
        <v/>
      </c>
      <c r="I1155" s="1" t="str">
        <f>IFERROR(IF(A1155="","",E1155*#REF!),"")</f>
        <v/>
      </c>
    </row>
    <row r="1156" spans="2:9" x14ac:dyDescent="0.3">
      <c r="B1156" t="str">
        <f>IFERROR(IF(A1156="","",VLOOKUP(A1156,CadProd!$A:$B,2,0)),"")</f>
        <v/>
      </c>
      <c r="C1156" t="str">
        <f>IFERROR(IF(A1156="","",VLOOKUP(A1156,CadProd!$A:$C,3,0)),"")</f>
        <v/>
      </c>
      <c r="I1156" s="1" t="str">
        <f>IFERROR(IF(A1156="","",E1156*#REF!),"")</f>
        <v/>
      </c>
    </row>
    <row r="1157" spans="2:9" x14ac:dyDescent="0.3">
      <c r="B1157" t="str">
        <f>IFERROR(IF(A1157="","",VLOOKUP(A1157,CadProd!$A:$B,2,0)),"")</f>
        <v/>
      </c>
      <c r="C1157" t="str">
        <f>IFERROR(IF(A1157="","",VLOOKUP(A1157,CadProd!$A:$C,3,0)),"")</f>
        <v/>
      </c>
      <c r="I1157" s="1" t="str">
        <f>IFERROR(IF(A1157="","",E1157*#REF!),"")</f>
        <v/>
      </c>
    </row>
    <row r="1158" spans="2:9" x14ac:dyDescent="0.3">
      <c r="B1158" t="str">
        <f>IFERROR(IF(A1158="","",VLOOKUP(A1158,CadProd!$A:$B,2,0)),"")</f>
        <v/>
      </c>
      <c r="C1158" t="str">
        <f>IFERROR(IF(A1158="","",VLOOKUP(A1158,CadProd!$A:$C,3,0)),"")</f>
        <v/>
      </c>
      <c r="I1158" s="1" t="str">
        <f>IFERROR(IF(A1158="","",E1158*#REF!),"")</f>
        <v/>
      </c>
    </row>
    <row r="1159" spans="2:9" x14ac:dyDescent="0.3">
      <c r="B1159" t="str">
        <f>IFERROR(IF(A1159="","",VLOOKUP(A1159,CadProd!$A:$B,2,0)),"")</f>
        <v/>
      </c>
      <c r="C1159" t="str">
        <f>IFERROR(IF(A1159="","",VLOOKUP(A1159,CadProd!$A:$C,3,0)),"")</f>
        <v/>
      </c>
      <c r="I1159" s="1" t="str">
        <f>IFERROR(IF(A1159="","",E1159*#REF!),"")</f>
        <v/>
      </c>
    </row>
    <row r="1160" spans="2:9" x14ac:dyDescent="0.3">
      <c r="B1160" t="str">
        <f>IFERROR(IF(A1160="","",VLOOKUP(A1160,CadProd!$A:$B,2,0)),"")</f>
        <v/>
      </c>
      <c r="C1160" t="str">
        <f>IFERROR(IF(A1160="","",VLOOKUP(A1160,CadProd!$A:$C,3,0)),"")</f>
        <v/>
      </c>
      <c r="I1160" s="1" t="str">
        <f>IFERROR(IF(A1160="","",E1160*#REF!),"")</f>
        <v/>
      </c>
    </row>
    <row r="1161" spans="2:9" x14ac:dyDescent="0.3">
      <c r="B1161" t="str">
        <f>IFERROR(IF(A1161="","",VLOOKUP(A1161,CadProd!$A:$B,2,0)),"")</f>
        <v/>
      </c>
      <c r="C1161" t="str">
        <f>IFERROR(IF(A1161="","",VLOOKUP(A1161,CadProd!$A:$C,3,0)),"")</f>
        <v/>
      </c>
      <c r="I1161" s="1" t="str">
        <f>IFERROR(IF(A1161="","",E1161*#REF!),"")</f>
        <v/>
      </c>
    </row>
    <row r="1162" spans="2:9" x14ac:dyDescent="0.3">
      <c r="B1162" t="str">
        <f>IFERROR(IF(A1162="","",VLOOKUP(A1162,CadProd!$A:$B,2,0)),"")</f>
        <v/>
      </c>
      <c r="C1162" t="str">
        <f>IFERROR(IF(A1162="","",VLOOKUP(A1162,CadProd!$A:$C,3,0)),"")</f>
        <v/>
      </c>
      <c r="I1162" s="1" t="str">
        <f>IFERROR(IF(A1162="","",E1162*#REF!),"")</f>
        <v/>
      </c>
    </row>
    <row r="1163" spans="2:9" x14ac:dyDescent="0.3">
      <c r="B1163" t="str">
        <f>IFERROR(IF(A1163="","",VLOOKUP(A1163,CadProd!$A:$B,2,0)),"")</f>
        <v/>
      </c>
      <c r="C1163" t="str">
        <f>IFERROR(IF(A1163="","",VLOOKUP(A1163,CadProd!$A:$C,3,0)),"")</f>
        <v/>
      </c>
      <c r="I1163" s="1" t="str">
        <f>IFERROR(IF(A1163="","",E1163*#REF!),"")</f>
        <v/>
      </c>
    </row>
    <row r="1164" spans="2:9" x14ac:dyDescent="0.3">
      <c r="B1164" t="str">
        <f>IFERROR(IF(A1164="","",VLOOKUP(A1164,CadProd!$A:$B,2,0)),"")</f>
        <v/>
      </c>
      <c r="C1164" t="str">
        <f>IFERROR(IF(A1164="","",VLOOKUP(A1164,CadProd!$A:$C,3,0)),"")</f>
        <v/>
      </c>
      <c r="I1164" s="1" t="str">
        <f>IFERROR(IF(A1164="","",E1164*#REF!),"")</f>
        <v/>
      </c>
    </row>
    <row r="1165" spans="2:9" x14ac:dyDescent="0.3">
      <c r="B1165" t="str">
        <f>IFERROR(IF(A1165="","",VLOOKUP(A1165,CadProd!$A:$B,2,0)),"")</f>
        <v/>
      </c>
      <c r="C1165" t="str">
        <f>IFERROR(IF(A1165="","",VLOOKUP(A1165,CadProd!$A:$C,3,0)),"")</f>
        <v/>
      </c>
      <c r="I1165" s="1" t="str">
        <f>IFERROR(IF(A1165="","",E1165*#REF!),"")</f>
        <v/>
      </c>
    </row>
    <row r="1166" spans="2:9" x14ac:dyDescent="0.3">
      <c r="B1166" t="str">
        <f>IFERROR(IF(A1166="","",VLOOKUP(A1166,CadProd!$A:$B,2,0)),"")</f>
        <v/>
      </c>
      <c r="C1166" t="str">
        <f>IFERROR(IF(A1166="","",VLOOKUP(A1166,CadProd!$A:$C,3,0)),"")</f>
        <v/>
      </c>
      <c r="I1166" s="1" t="str">
        <f>IFERROR(IF(A1166="","",E1166*#REF!),"")</f>
        <v/>
      </c>
    </row>
    <row r="1167" spans="2:9" x14ac:dyDescent="0.3">
      <c r="B1167" t="str">
        <f>IFERROR(IF(A1167="","",VLOOKUP(A1167,CadProd!$A:$B,2,0)),"")</f>
        <v/>
      </c>
      <c r="C1167" t="str">
        <f>IFERROR(IF(A1167="","",VLOOKUP(A1167,CadProd!$A:$C,3,0)),"")</f>
        <v/>
      </c>
      <c r="I1167" s="1" t="str">
        <f>IFERROR(IF(A1167="","",E1167*#REF!),"")</f>
        <v/>
      </c>
    </row>
    <row r="1168" spans="2:9" x14ac:dyDescent="0.3">
      <c r="B1168" t="str">
        <f>IFERROR(IF(A1168="","",VLOOKUP(A1168,CadProd!$A:$B,2,0)),"")</f>
        <v/>
      </c>
      <c r="C1168" t="str">
        <f>IFERROR(IF(A1168="","",VLOOKUP(A1168,CadProd!$A:$C,3,0)),"")</f>
        <v/>
      </c>
      <c r="I1168" s="1" t="str">
        <f>IFERROR(IF(A1168="","",E1168*#REF!),"")</f>
        <v/>
      </c>
    </row>
    <row r="1169" spans="2:9" x14ac:dyDescent="0.3">
      <c r="B1169" t="str">
        <f>IFERROR(IF(A1169="","",VLOOKUP(A1169,CadProd!$A:$B,2,0)),"")</f>
        <v/>
      </c>
      <c r="C1169" t="str">
        <f>IFERROR(IF(A1169="","",VLOOKUP(A1169,CadProd!$A:$C,3,0)),"")</f>
        <v/>
      </c>
      <c r="I1169" s="1" t="str">
        <f>IFERROR(IF(A1169="","",E1169*#REF!),"")</f>
        <v/>
      </c>
    </row>
    <row r="1170" spans="2:9" x14ac:dyDescent="0.3">
      <c r="B1170" t="str">
        <f>IFERROR(IF(A1170="","",VLOOKUP(A1170,CadProd!$A:$B,2,0)),"")</f>
        <v/>
      </c>
      <c r="C1170" t="str">
        <f>IFERROR(IF(A1170="","",VLOOKUP(A1170,CadProd!$A:$C,3,0)),"")</f>
        <v/>
      </c>
      <c r="I1170" s="1" t="str">
        <f>IFERROR(IF(A1170="","",E1170*#REF!),"")</f>
        <v/>
      </c>
    </row>
    <row r="1171" spans="2:9" x14ac:dyDescent="0.3">
      <c r="B1171" t="str">
        <f>IFERROR(IF(A1171="","",VLOOKUP(A1171,CadProd!$A:$B,2,0)),"")</f>
        <v/>
      </c>
      <c r="C1171" t="str">
        <f>IFERROR(IF(A1171="","",VLOOKUP(A1171,CadProd!$A:$C,3,0)),"")</f>
        <v/>
      </c>
      <c r="I1171" s="1" t="str">
        <f>IFERROR(IF(A1171="","",E1171*#REF!),"")</f>
        <v/>
      </c>
    </row>
    <row r="1172" spans="2:9" x14ac:dyDescent="0.3">
      <c r="B1172" t="str">
        <f>IFERROR(IF(A1172="","",VLOOKUP(A1172,CadProd!$A:$B,2,0)),"")</f>
        <v/>
      </c>
      <c r="C1172" t="str">
        <f>IFERROR(IF(A1172="","",VLOOKUP(A1172,CadProd!$A:$C,3,0)),"")</f>
        <v/>
      </c>
      <c r="I1172" s="1" t="str">
        <f>IFERROR(IF(A1172="","",E1172*#REF!),"")</f>
        <v/>
      </c>
    </row>
    <row r="1173" spans="2:9" x14ac:dyDescent="0.3">
      <c r="B1173" t="str">
        <f>IFERROR(IF(A1173="","",VLOOKUP(A1173,CadProd!$A:$B,2,0)),"")</f>
        <v/>
      </c>
      <c r="C1173" t="str">
        <f>IFERROR(IF(A1173="","",VLOOKUP(A1173,CadProd!$A:$C,3,0)),"")</f>
        <v/>
      </c>
      <c r="I1173" s="1" t="str">
        <f>IFERROR(IF(A1173="","",E1173*#REF!),"")</f>
        <v/>
      </c>
    </row>
    <row r="1174" spans="2:9" x14ac:dyDescent="0.3">
      <c r="B1174" t="str">
        <f>IFERROR(IF(A1174="","",VLOOKUP(A1174,CadProd!$A:$B,2,0)),"")</f>
        <v/>
      </c>
      <c r="C1174" t="str">
        <f>IFERROR(IF(A1174="","",VLOOKUP(A1174,CadProd!$A:$C,3,0)),"")</f>
        <v/>
      </c>
      <c r="I1174" s="1" t="str">
        <f>IFERROR(IF(A1174="","",E1174*#REF!),"")</f>
        <v/>
      </c>
    </row>
    <row r="1175" spans="2:9" x14ac:dyDescent="0.3">
      <c r="B1175" t="str">
        <f>IFERROR(IF(A1175="","",VLOOKUP(A1175,CadProd!$A:$B,2,0)),"")</f>
        <v/>
      </c>
      <c r="C1175" t="str">
        <f>IFERROR(IF(A1175="","",VLOOKUP(A1175,CadProd!$A:$C,3,0)),"")</f>
        <v/>
      </c>
      <c r="I1175" s="1" t="str">
        <f>IFERROR(IF(A1175="","",E1175*#REF!),"")</f>
        <v/>
      </c>
    </row>
    <row r="1176" spans="2:9" x14ac:dyDescent="0.3">
      <c r="B1176" t="str">
        <f>IFERROR(IF(A1176="","",VLOOKUP(A1176,CadProd!$A:$B,2,0)),"")</f>
        <v/>
      </c>
      <c r="C1176" t="str">
        <f>IFERROR(IF(A1176="","",VLOOKUP(A1176,CadProd!$A:$C,3,0)),"")</f>
        <v/>
      </c>
      <c r="I1176" s="1" t="str">
        <f>IFERROR(IF(A1176="","",E1176*#REF!),"")</f>
        <v/>
      </c>
    </row>
    <row r="1177" spans="2:9" x14ac:dyDescent="0.3">
      <c r="B1177" t="str">
        <f>IFERROR(IF(A1177="","",VLOOKUP(A1177,CadProd!$A:$B,2,0)),"")</f>
        <v/>
      </c>
      <c r="C1177" t="str">
        <f>IFERROR(IF(A1177="","",VLOOKUP(A1177,CadProd!$A:$C,3,0)),"")</f>
        <v/>
      </c>
      <c r="I1177" s="1" t="str">
        <f>IFERROR(IF(A1177="","",E1177*#REF!),"")</f>
        <v/>
      </c>
    </row>
    <row r="1178" spans="2:9" x14ac:dyDescent="0.3">
      <c r="B1178" t="str">
        <f>IFERROR(IF(A1178="","",VLOOKUP(A1178,CadProd!$A:$B,2,0)),"")</f>
        <v/>
      </c>
      <c r="C1178" t="str">
        <f>IFERROR(IF(A1178="","",VLOOKUP(A1178,CadProd!$A:$C,3,0)),"")</f>
        <v/>
      </c>
      <c r="I1178" s="1" t="str">
        <f>IFERROR(IF(A1178="","",E1178*#REF!),"")</f>
        <v/>
      </c>
    </row>
    <row r="1179" spans="2:9" x14ac:dyDescent="0.3">
      <c r="B1179" t="str">
        <f>IFERROR(IF(A1179="","",VLOOKUP(A1179,CadProd!$A:$B,2,0)),"")</f>
        <v/>
      </c>
      <c r="C1179" t="str">
        <f>IFERROR(IF(A1179="","",VLOOKUP(A1179,CadProd!$A:$C,3,0)),"")</f>
        <v/>
      </c>
      <c r="I1179" s="1" t="str">
        <f>IFERROR(IF(A1179="","",E1179*#REF!),"")</f>
        <v/>
      </c>
    </row>
    <row r="1180" spans="2:9" x14ac:dyDescent="0.3">
      <c r="B1180" t="str">
        <f>IFERROR(IF(A1180="","",VLOOKUP(A1180,CadProd!$A:$B,2,0)),"")</f>
        <v/>
      </c>
      <c r="C1180" t="str">
        <f>IFERROR(IF(A1180="","",VLOOKUP(A1180,CadProd!$A:$C,3,0)),"")</f>
        <v/>
      </c>
      <c r="I1180" s="1" t="str">
        <f>IFERROR(IF(A1180="","",E1180*#REF!),"")</f>
        <v/>
      </c>
    </row>
    <row r="1181" spans="2:9" x14ac:dyDescent="0.3">
      <c r="B1181" t="str">
        <f>IFERROR(IF(A1181="","",VLOOKUP(A1181,CadProd!$A:$B,2,0)),"")</f>
        <v/>
      </c>
      <c r="C1181" t="str">
        <f>IFERROR(IF(A1181="","",VLOOKUP(A1181,CadProd!$A:$C,3,0)),"")</f>
        <v/>
      </c>
      <c r="I1181" s="1" t="str">
        <f>IFERROR(IF(A1181="","",E1181*#REF!),"")</f>
        <v/>
      </c>
    </row>
    <row r="1182" spans="2:9" x14ac:dyDescent="0.3">
      <c r="B1182" t="str">
        <f>IFERROR(IF(A1182="","",VLOOKUP(A1182,CadProd!$A:$B,2,0)),"")</f>
        <v/>
      </c>
      <c r="C1182" t="str">
        <f>IFERROR(IF(A1182="","",VLOOKUP(A1182,CadProd!$A:$C,3,0)),"")</f>
        <v/>
      </c>
      <c r="I1182" s="1" t="str">
        <f>IFERROR(IF(A1182="","",E1182*#REF!),"")</f>
        <v/>
      </c>
    </row>
    <row r="1183" spans="2:9" x14ac:dyDescent="0.3">
      <c r="B1183" t="str">
        <f>IFERROR(IF(A1183="","",VLOOKUP(A1183,CadProd!$A:$B,2,0)),"")</f>
        <v/>
      </c>
      <c r="C1183" t="str">
        <f>IFERROR(IF(A1183="","",VLOOKUP(A1183,CadProd!$A:$C,3,0)),"")</f>
        <v/>
      </c>
      <c r="I1183" s="1" t="str">
        <f>IFERROR(IF(A1183="","",E1183*#REF!),"")</f>
        <v/>
      </c>
    </row>
    <row r="1184" spans="2:9" x14ac:dyDescent="0.3">
      <c r="B1184" t="str">
        <f>IFERROR(IF(A1184="","",VLOOKUP(A1184,CadProd!$A:$B,2,0)),"")</f>
        <v/>
      </c>
      <c r="C1184" t="str">
        <f>IFERROR(IF(A1184="","",VLOOKUP(A1184,CadProd!$A:$C,3,0)),"")</f>
        <v/>
      </c>
      <c r="I1184" s="1" t="str">
        <f>IFERROR(IF(A1184="","",E1184*#REF!),"")</f>
        <v/>
      </c>
    </row>
    <row r="1185" spans="2:9" x14ac:dyDescent="0.3">
      <c r="B1185" t="str">
        <f>IFERROR(IF(A1185="","",VLOOKUP(A1185,CadProd!$A:$B,2,0)),"")</f>
        <v/>
      </c>
      <c r="C1185" t="str">
        <f>IFERROR(IF(A1185="","",VLOOKUP(A1185,CadProd!$A:$C,3,0)),"")</f>
        <v/>
      </c>
      <c r="I1185" s="1" t="str">
        <f>IFERROR(IF(A1185="","",E1185*#REF!),"")</f>
        <v/>
      </c>
    </row>
    <row r="1186" spans="2:9" x14ac:dyDescent="0.3">
      <c r="B1186" t="str">
        <f>IFERROR(IF(A1186="","",VLOOKUP(A1186,CadProd!$A:$B,2,0)),"")</f>
        <v/>
      </c>
      <c r="C1186" t="str">
        <f>IFERROR(IF(A1186="","",VLOOKUP(A1186,CadProd!$A:$C,3,0)),"")</f>
        <v/>
      </c>
      <c r="I1186" s="1" t="str">
        <f>IFERROR(IF(A1186="","",E1186*#REF!),"")</f>
        <v/>
      </c>
    </row>
    <row r="1187" spans="2:9" x14ac:dyDescent="0.3">
      <c r="B1187" t="str">
        <f>IFERROR(IF(A1187="","",VLOOKUP(A1187,CadProd!$A:$B,2,0)),"")</f>
        <v/>
      </c>
      <c r="C1187" t="str">
        <f>IFERROR(IF(A1187="","",VLOOKUP(A1187,CadProd!$A:$C,3,0)),"")</f>
        <v/>
      </c>
      <c r="I1187" s="1" t="str">
        <f>IFERROR(IF(A1187="","",E1187*#REF!),"")</f>
        <v/>
      </c>
    </row>
    <row r="1188" spans="2:9" x14ac:dyDescent="0.3">
      <c r="B1188" t="str">
        <f>IFERROR(IF(A1188="","",VLOOKUP(A1188,CadProd!$A:$B,2,0)),"")</f>
        <v/>
      </c>
      <c r="C1188" t="str">
        <f>IFERROR(IF(A1188="","",VLOOKUP(A1188,CadProd!$A:$C,3,0)),"")</f>
        <v/>
      </c>
      <c r="I1188" s="1" t="str">
        <f>IFERROR(IF(A1188="","",E1188*#REF!),"")</f>
        <v/>
      </c>
    </row>
    <row r="1189" spans="2:9" x14ac:dyDescent="0.3">
      <c r="B1189" t="str">
        <f>IFERROR(IF(A1189="","",VLOOKUP(A1189,CadProd!$A:$B,2,0)),"")</f>
        <v/>
      </c>
      <c r="C1189" t="str">
        <f>IFERROR(IF(A1189="","",VLOOKUP(A1189,CadProd!$A:$C,3,0)),"")</f>
        <v/>
      </c>
      <c r="I1189" s="1" t="str">
        <f>IFERROR(IF(A1189="","",E1189*#REF!),"")</f>
        <v/>
      </c>
    </row>
    <row r="1190" spans="2:9" x14ac:dyDescent="0.3">
      <c r="B1190" t="str">
        <f>IFERROR(IF(A1190="","",VLOOKUP(A1190,CadProd!$A:$B,2,0)),"")</f>
        <v/>
      </c>
      <c r="C1190" t="str">
        <f>IFERROR(IF(A1190="","",VLOOKUP(A1190,CadProd!$A:$C,3,0)),"")</f>
        <v/>
      </c>
      <c r="I1190" s="1" t="str">
        <f>IFERROR(IF(A1190="","",E1190*#REF!),"")</f>
        <v/>
      </c>
    </row>
    <row r="1191" spans="2:9" x14ac:dyDescent="0.3">
      <c r="B1191" t="str">
        <f>IFERROR(IF(A1191="","",VLOOKUP(A1191,CadProd!$A:$B,2,0)),"")</f>
        <v/>
      </c>
      <c r="C1191" t="str">
        <f>IFERROR(IF(A1191="","",VLOOKUP(A1191,CadProd!$A:$C,3,0)),"")</f>
        <v/>
      </c>
      <c r="I1191" s="1" t="str">
        <f>IFERROR(IF(A1191="","",E1191*#REF!),"")</f>
        <v/>
      </c>
    </row>
    <row r="1192" spans="2:9" x14ac:dyDescent="0.3">
      <c r="B1192" t="str">
        <f>IFERROR(IF(A1192="","",VLOOKUP(A1192,CadProd!$A:$B,2,0)),"")</f>
        <v/>
      </c>
      <c r="C1192" t="str">
        <f>IFERROR(IF(A1192="","",VLOOKUP(A1192,CadProd!$A:$C,3,0)),"")</f>
        <v/>
      </c>
      <c r="I1192" s="1" t="str">
        <f>IFERROR(IF(A1192="","",E1192*#REF!),"")</f>
        <v/>
      </c>
    </row>
    <row r="1193" spans="2:9" x14ac:dyDescent="0.3">
      <c r="B1193" t="str">
        <f>IFERROR(IF(A1193="","",VLOOKUP(A1193,CadProd!$A:$B,2,0)),"")</f>
        <v/>
      </c>
      <c r="C1193" t="str">
        <f>IFERROR(IF(A1193="","",VLOOKUP(A1193,CadProd!$A:$C,3,0)),"")</f>
        <v/>
      </c>
      <c r="I1193" s="1" t="str">
        <f>IFERROR(IF(A1193="","",E1193*#REF!),"")</f>
        <v/>
      </c>
    </row>
    <row r="1194" spans="2:9" x14ac:dyDescent="0.3">
      <c r="B1194" t="str">
        <f>IFERROR(IF(A1194="","",VLOOKUP(A1194,CadProd!$A:$B,2,0)),"")</f>
        <v/>
      </c>
      <c r="C1194" t="str">
        <f>IFERROR(IF(A1194="","",VLOOKUP(A1194,CadProd!$A:$C,3,0)),"")</f>
        <v/>
      </c>
      <c r="I1194" s="1" t="str">
        <f>IFERROR(IF(A1194="","",E1194*#REF!),"")</f>
        <v/>
      </c>
    </row>
    <row r="1195" spans="2:9" x14ac:dyDescent="0.3">
      <c r="B1195" t="str">
        <f>IFERROR(IF(A1195="","",VLOOKUP(A1195,CadProd!$A:$B,2,0)),"")</f>
        <v/>
      </c>
      <c r="C1195" t="str">
        <f>IFERROR(IF(A1195="","",VLOOKUP(A1195,CadProd!$A:$C,3,0)),"")</f>
        <v/>
      </c>
      <c r="I1195" s="1" t="str">
        <f>IFERROR(IF(A1195="","",E1195*#REF!),"")</f>
        <v/>
      </c>
    </row>
    <row r="1196" spans="2:9" x14ac:dyDescent="0.3">
      <c r="B1196" t="str">
        <f>IFERROR(IF(A1196="","",VLOOKUP(A1196,CadProd!$A:$B,2,0)),"")</f>
        <v/>
      </c>
      <c r="C1196" t="str">
        <f>IFERROR(IF(A1196="","",VLOOKUP(A1196,CadProd!$A:$C,3,0)),"")</f>
        <v/>
      </c>
      <c r="I1196" s="1" t="str">
        <f>IFERROR(IF(A1196="","",E1196*#REF!),"")</f>
        <v/>
      </c>
    </row>
    <row r="1197" spans="2:9" x14ac:dyDescent="0.3">
      <c r="B1197" t="str">
        <f>IFERROR(IF(A1197="","",VLOOKUP(A1197,CadProd!$A:$B,2,0)),"")</f>
        <v/>
      </c>
      <c r="C1197" t="str">
        <f>IFERROR(IF(A1197="","",VLOOKUP(A1197,CadProd!$A:$C,3,0)),"")</f>
        <v/>
      </c>
      <c r="I1197" s="1" t="str">
        <f>IFERROR(IF(A1197="","",E1197*#REF!),"")</f>
        <v/>
      </c>
    </row>
    <row r="1198" spans="2:9" x14ac:dyDescent="0.3">
      <c r="B1198" t="str">
        <f>IFERROR(IF(A1198="","",VLOOKUP(A1198,CadProd!$A:$B,2,0)),"")</f>
        <v/>
      </c>
      <c r="C1198" t="str">
        <f>IFERROR(IF(A1198="","",VLOOKUP(A1198,CadProd!$A:$C,3,0)),"")</f>
        <v/>
      </c>
      <c r="I1198" s="1" t="str">
        <f>IFERROR(IF(A1198="","",E1198*#REF!),"")</f>
        <v/>
      </c>
    </row>
    <row r="1199" spans="2:9" x14ac:dyDescent="0.3">
      <c r="B1199" t="str">
        <f>IFERROR(IF(A1199="","",VLOOKUP(A1199,CadProd!$A:$B,2,0)),"")</f>
        <v/>
      </c>
      <c r="C1199" t="str">
        <f>IFERROR(IF(A1199="","",VLOOKUP(A1199,CadProd!$A:$C,3,0)),"")</f>
        <v/>
      </c>
      <c r="I1199" s="1" t="str">
        <f>IFERROR(IF(A1199="","",E1199*#REF!),"")</f>
        <v/>
      </c>
    </row>
    <row r="1200" spans="2:9" x14ac:dyDescent="0.3">
      <c r="B1200" t="str">
        <f>IFERROR(IF(A1200="","",VLOOKUP(A1200,CadProd!$A:$B,2,0)),"")</f>
        <v/>
      </c>
      <c r="C1200" t="str">
        <f>IFERROR(IF(A1200="","",VLOOKUP(A1200,CadProd!$A:$C,3,0)),"")</f>
        <v/>
      </c>
      <c r="I1200" s="1" t="str">
        <f>IFERROR(IF(A1200="","",E1200*#REF!),"")</f>
        <v/>
      </c>
    </row>
    <row r="1201" spans="2:9" x14ac:dyDescent="0.3">
      <c r="B1201" t="str">
        <f>IFERROR(IF(A1201="","",VLOOKUP(A1201,CadProd!$A:$B,2,0)),"")</f>
        <v/>
      </c>
      <c r="C1201" t="str">
        <f>IFERROR(IF(A1201="","",VLOOKUP(A1201,CadProd!$A:$C,3,0)),"")</f>
        <v/>
      </c>
      <c r="I1201" s="1" t="str">
        <f>IFERROR(IF(A1201="","",E1201*#REF!),"")</f>
        <v/>
      </c>
    </row>
    <row r="1202" spans="2:9" x14ac:dyDescent="0.3">
      <c r="B1202" t="str">
        <f>IFERROR(IF(A1202="","",VLOOKUP(A1202,CadProd!$A:$B,2,0)),"")</f>
        <v/>
      </c>
      <c r="C1202" t="str">
        <f>IFERROR(IF(A1202="","",VLOOKUP(A1202,CadProd!$A:$C,3,0)),"")</f>
        <v/>
      </c>
      <c r="I1202" s="1" t="str">
        <f>IFERROR(IF(A1202="","",E1202*#REF!),"")</f>
        <v/>
      </c>
    </row>
    <row r="1203" spans="2:9" x14ac:dyDescent="0.3">
      <c r="B1203" t="str">
        <f>IFERROR(IF(A1203="","",VLOOKUP(A1203,CadProd!$A:$B,2,0)),"")</f>
        <v/>
      </c>
      <c r="C1203" t="str">
        <f>IFERROR(IF(A1203="","",VLOOKUP(A1203,CadProd!$A:$C,3,0)),"")</f>
        <v/>
      </c>
      <c r="I1203" s="1" t="str">
        <f>IFERROR(IF(A1203="","",E1203*#REF!),"")</f>
        <v/>
      </c>
    </row>
    <row r="1204" spans="2:9" x14ac:dyDescent="0.3">
      <c r="B1204" t="str">
        <f>IFERROR(IF(A1204="","",VLOOKUP(A1204,CadProd!$A:$B,2,0)),"")</f>
        <v/>
      </c>
      <c r="C1204" t="str">
        <f>IFERROR(IF(A1204="","",VLOOKUP(A1204,CadProd!$A:$C,3,0)),"")</f>
        <v/>
      </c>
      <c r="I1204" s="1" t="str">
        <f>IFERROR(IF(A1204="","",E1204*#REF!),"")</f>
        <v/>
      </c>
    </row>
    <row r="1205" spans="2:9" x14ac:dyDescent="0.3">
      <c r="B1205" t="str">
        <f>IFERROR(IF(A1205="","",VLOOKUP(A1205,CadProd!$A:$B,2,0)),"")</f>
        <v/>
      </c>
      <c r="C1205" t="str">
        <f>IFERROR(IF(A1205="","",VLOOKUP(A1205,CadProd!$A:$C,3,0)),"")</f>
        <v/>
      </c>
      <c r="I1205" s="1" t="str">
        <f>IFERROR(IF(A1205="","",E1205*#REF!),"")</f>
        <v/>
      </c>
    </row>
    <row r="1206" spans="2:9" x14ac:dyDescent="0.3">
      <c r="B1206" t="str">
        <f>IFERROR(IF(A1206="","",VLOOKUP(A1206,CadProd!$A:$B,2,0)),"")</f>
        <v/>
      </c>
      <c r="C1206" t="str">
        <f>IFERROR(IF(A1206="","",VLOOKUP(A1206,CadProd!$A:$C,3,0)),"")</f>
        <v/>
      </c>
      <c r="I1206" s="1" t="str">
        <f>IFERROR(IF(A1206="","",E1206*#REF!),"")</f>
        <v/>
      </c>
    </row>
    <row r="1207" spans="2:9" x14ac:dyDescent="0.3">
      <c r="B1207" t="str">
        <f>IFERROR(IF(A1207="","",VLOOKUP(A1207,CadProd!$A:$B,2,0)),"")</f>
        <v/>
      </c>
      <c r="C1207" t="str">
        <f>IFERROR(IF(A1207="","",VLOOKUP(A1207,CadProd!$A:$C,3,0)),"")</f>
        <v/>
      </c>
      <c r="I1207" s="1" t="str">
        <f>IFERROR(IF(A1207="","",E1207*#REF!),"")</f>
        <v/>
      </c>
    </row>
    <row r="1208" spans="2:9" x14ac:dyDescent="0.3">
      <c r="B1208" t="str">
        <f>IFERROR(IF(A1208="","",VLOOKUP(A1208,CadProd!$A:$B,2,0)),"")</f>
        <v/>
      </c>
      <c r="C1208" t="str">
        <f>IFERROR(IF(A1208="","",VLOOKUP(A1208,CadProd!$A:$C,3,0)),"")</f>
        <v/>
      </c>
      <c r="I1208" s="1" t="str">
        <f>IFERROR(IF(A1208="","",E1208*#REF!),"")</f>
        <v/>
      </c>
    </row>
    <row r="1209" spans="2:9" x14ac:dyDescent="0.3">
      <c r="B1209" t="str">
        <f>IFERROR(IF(A1209="","",VLOOKUP(A1209,CadProd!$A:$B,2,0)),"")</f>
        <v/>
      </c>
      <c r="C1209" t="str">
        <f>IFERROR(IF(A1209="","",VLOOKUP(A1209,CadProd!$A:$C,3,0)),"")</f>
        <v/>
      </c>
      <c r="I1209" s="1" t="str">
        <f>IFERROR(IF(A1209="","",E1209*#REF!),"")</f>
        <v/>
      </c>
    </row>
    <row r="1210" spans="2:9" x14ac:dyDescent="0.3">
      <c r="B1210" t="str">
        <f>IFERROR(IF(A1210="","",VLOOKUP(A1210,CadProd!$A:$B,2,0)),"")</f>
        <v/>
      </c>
      <c r="C1210" t="str">
        <f>IFERROR(IF(A1210="","",VLOOKUP(A1210,CadProd!$A:$C,3,0)),"")</f>
        <v/>
      </c>
      <c r="I1210" s="1" t="str">
        <f>IFERROR(IF(A1210="","",E1210*#REF!),"")</f>
        <v/>
      </c>
    </row>
    <row r="1211" spans="2:9" x14ac:dyDescent="0.3">
      <c r="B1211" t="str">
        <f>IFERROR(IF(A1211="","",VLOOKUP(A1211,CadProd!$A:$B,2,0)),"")</f>
        <v/>
      </c>
      <c r="C1211" t="str">
        <f>IFERROR(IF(A1211="","",VLOOKUP(A1211,CadProd!$A:$C,3,0)),"")</f>
        <v/>
      </c>
      <c r="I1211" s="1" t="str">
        <f>IFERROR(IF(A1211="","",E1211*#REF!),"")</f>
        <v/>
      </c>
    </row>
    <row r="1212" spans="2:9" x14ac:dyDescent="0.3">
      <c r="B1212" t="str">
        <f>IFERROR(IF(A1212="","",VLOOKUP(A1212,CadProd!$A:$B,2,0)),"")</f>
        <v/>
      </c>
      <c r="C1212" t="str">
        <f>IFERROR(IF(A1212="","",VLOOKUP(A1212,CadProd!$A:$C,3,0)),"")</f>
        <v/>
      </c>
      <c r="I1212" s="1" t="str">
        <f>IFERROR(IF(A1212="","",E1212*#REF!),"")</f>
        <v/>
      </c>
    </row>
    <row r="1213" spans="2:9" x14ac:dyDescent="0.3">
      <c r="B1213" t="str">
        <f>IFERROR(IF(A1213="","",VLOOKUP(A1213,CadProd!$A:$B,2,0)),"")</f>
        <v/>
      </c>
      <c r="C1213" t="str">
        <f>IFERROR(IF(A1213="","",VLOOKUP(A1213,CadProd!$A:$C,3,0)),"")</f>
        <v/>
      </c>
      <c r="I1213" s="1" t="str">
        <f>IFERROR(IF(A1213="","",E1213*#REF!),"")</f>
        <v/>
      </c>
    </row>
    <row r="1214" spans="2:9" x14ac:dyDescent="0.3">
      <c r="B1214" t="str">
        <f>IFERROR(IF(A1214="","",VLOOKUP(A1214,CadProd!$A:$B,2,0)),"")</f>
        <v/>
      </c>
      <c r="C1214" t="str">
        <f>IFERROR(IF(A1214="","",VLOOKUP(A1214,CadProd!$A:$C,3,0)),"")</f>
        <v/>
      </c>
      <c r="I1214" s="1" t="str">
        <f>IFERROR(IF(A1214="","",E1214*#REF!),"")</f>
        <v/>
      </c>
    </row>
    <row r="1215" spans="2:9" x14ac:dyDescent="0.3">
      <c r="B1215" t="str">
        <f>IFERROR(IF(A1215="","",VLOOKUP(A1215,CadProd!$A:$B,2,0)),"")</f>
        <v/>
      </c>
      <c r="C1215" t="str">
        <f>IFERROR(IF(A1215="","",VLOOKUP(A1215,CadProd!$A:$C,3,0)),"")</f>
        <v/>
      </c>
      <c r="I1215" s="1" t="str">
        <f>IFERROR(IF(A1215="","",E1215*#REF!),"")</f>
        <v/>
      </c>
    </row>
    <row r="1216" spans="2:9" x14ac:dyDescent="0.3">
      <c r="B1216" t="str">
        <f>IFERROR(IF(A1216="","",VLOOKUP(A1216,CadProd!$A:$B,2,0)),"")</f>
        <v/>
      </c>
      <c r="C1216" t="str">
        <f>IFERROR(IF(A1216="","",VLOOKUP(A1216,CadProd!$A:$C,3,0)),"")</f>
        <v/>
      </c>
      <c r="I1216" s="1" t="str">
        <f>IFERROR(IF(A1216="","",E1216*#REF!),"")</f>
        <v/>
      </c>
    </row>
    <row r="1217" spans="2:9" x14ac:dyDescent="0.3">
      <c r="B1217" t="str">
        <f>IFERROR(IF(A1217="","",VLOOKUP(A1217,CadProd!$A:$B,2,0)),"")</f>
        <v/>
      </c>
      <c r="C1217" t="str">
        <f>IFERROR(IF(A1217="","",VLOOKUP(A1217,CadProd!$A:$C,3,0)),"")</f>
        <v/>
      </c>
      <c r="I1217" s="1" t="str">
        <f>IFERROR(IF(A1217="","",E1217*#REF!),"")</f>
        <v/>
      </c>
    </row>
    <row r="1218" spans="2:9" x14ac:dyDescent="0.3">
      <c r="B1218" t="str">
        <f>IFERROR(IF(A1218="","",VLOOKUP(A1218,CadProd!$A:$B,2,0)),"")</f>
        <v/>
      </c>
      <c r="C1218" t="str">
        <f>IFERROR(IF(A1218="","",VLOOKUP(A1218,CadProd!$A:$C,3,0)),"")</f>
        <v/>
      </c>
      <c r="I1218" s="1" t="str">
        <f>IFERROR(IF(A1218="","",E1218*#REF!),"")</f>
        <v/>
      </c>
    </row>
    <row r="1219" spans="2:9" x14ac:dyDescent="0.3">
      <c r="B1219" t="str">
        <f>IFERROR(IF(A1219="","",VLOOKUP(A1219,CadProd!$A:$B,2,0)),"")</f>
        <v/>
      </c>
      <c r="C1219" t="str">
        <f>IFERROR(IF(A1219="","",VLOOKUP(A1219,CadProd!$A:$C,3,0)),"")</f>
        <v/>
      </c>
      <c r="I1219" s="1" t="str">
        <f>IFERROR(IF(A1219="","",E1219*#REF!),"")</f>
        <v/>
      </c>
    </row>
    <row r="1220" spans="2:9" x14ac:dyDescent="0.3">
      <c r="B1220" t="str">
        <f>IFERROR(IF(A1220="","",VLOOKUP(A1220,CadProd!$A:$B,2,0)),"")</f>
        <v/>
      </c>
      <c r="C1220" t="str">
        <f>IFERROR(IF(A1220="","",VLOOKUP(A1220,CadProd!$A:$C,3,0)),"")</f>
        <v/>
      </c>
      <c r="I1220" s="1" t="str">
        <f>IFERROR(IF(A1220="","",E1220*#REF!),"")</f>
        <v/>
      </c>
    </row>
    <row r="1221" spans="2:9" x14ac:dyDescent="0.3">
      <c r="B1221" t="str">
        <f>IFERROR(IF(A1221="","",VLOOKUP(A1221,CadProd!$A:$B,2,0)),"")</f>
        <v/>
      </c>
      <c r="C1221" t="str">
        <f>IFERROR(IF(A1221="","",VLOOKUP(A1221,CadProd!$A:$C,3,0)),"")</f>
        <v/>
      </c>
      <c r="I1221" s="1" t="str">
        <f>IFERROR(IF(A1221="","",E1221*#REF!),"")</f>
        <v/>
      </c>
    </row>
    <row r="1222" spans="2:9" x14ac:dyDescent="0.3">
      <c r="B1222" t="str">
        <f>IFERROR(IF(A1222="","",VLOOKUP(A1222,CadProd!$A:$B,2,0)),"")</f>
        <v/>
      </c>
      <c r="C1222" t="str">
        <f>IFERROR(IF(A1222="","",VLOOKUP(A1222,CadProd!$A:$C,3,0)),"")</f>
        <v/>
      </c>
      <c r="I1222" s="1" t="str">
        <f>IFERROR(IF(A1222="","",E1222*#REF!),"")</f>
        <v/>
      </c>
    </row>
    <row r="1223" spans="2:9" x14ac:dyDescent="0.3">
      <c r="B1223" t="str">
        <f>IFERROR(IF(A1223="","",VLOOKUP(A1223,CadProd!$A:$B,2,0)),"")</f>
        <v/>
      </c>
      <c r="C1223" t="str">
        <f>IFERROR(IF(A1223="","",VLOOKUP(A1223,CadProd!$A:$C,3,0)),"")</f>
        <v/>
      </c>
      <c r="I1223" s="1" t="str">
        <f>IFERROR(IF(A1223="","",E1223*#REF!),"")</f>
        <v/>
      </c>
    </row>
    <row r="1224" spans="2:9" x14ac:dyDescent="0.3">
      <c r="B1224" t="str">
        <f>IFERROR(IF(A1224="","",VLOOKUP(A1224,CadProd!$A:$B,2,0)),"")</f>
        <v/>
      </c>
      <c r="C1224" t="str">
        <f>IFERROR(IF(A1224="","",VLOOKUP(A1224,CadProd!$A:$C,3,0)),"")</f>
        <v/>
      </c>
      <c r="I1224" s="1" t="str">
        <f>IFERROR(IF(A1224="","",E1224*#REF!),"")</f>
        <v/>
      </c>
    </row>
    <row r="1225" spans="2:9" x14ac:dyDescent="0.3">
      <c r="B1225" t="str">
        <f>IFERROR(IF(A1225="","",VLOOKUP(A1225,CadProd!$A:$B,2,0)),"")</f>
        <v/>
      </c>
      <c r="C1225" t="str">
        <f>IFERROR(IF(A1225="","",VLOOKUP(A1225,CadProd!$A:$C,3,0)),"")</f>
        <v/>
      </c>
      <c r="I1225" s="1" t="str">
        <f>IFERROR(IF(A1225="","",E1225*#REF!),"")</f>
        <v/>
      </c>
    </row>
    <row r="1226" spans="2:9" x14ac:dyDescent="0.3">
      <c r="B1226" t="str">
        <f>IFERROR(IF(A1226="","",VLOOKUP(A1226,CadProd!$A:$B,2,0)),"")</f>
        <v/>
      </c>
      <c r="C1226" t="str">
        <f>IFERROR(IF(A1226="","",VLOOKUP(A1226,CadProd!$A:$C,3,0)),"")</f>
        <v/>
      </c>
      <c r="I1226" s="1" t="str">
        <f>IFERROR(IF(A1226="","",E1226*#REF!),"")</f>
        <v/>
      </c>
    </row>
    <row r="1227" spans="2:9" x14ac:dyDescent="0.3">
      <c r="B1227" t="str">
        <f>IFERROR(IF(A1227="","",VLOOKUP(A1227,CadProd!$A:$B,2,0)),"")</f>
        <v/>
      </c>
      <c r="C1227" t="str">
        <f>IFERROR(IF(A1227="","",VLOOKUP(A1227,CadProd!$A:$C,3,0)),"")</f>
        <v/>
      </c>
      <c r="I1227" s="1" t="str">
        <f>IFERROR(IF(A1227="","",E1227*#REF!),"")</f>
        <v/>
      </c>
    </row>
    <row r="1228" spans="2:9" x14ac:dyDescent="0.3">
      <c r="B1228" t="str">
        <f>IFERROR(IF(A1228="","",VLOOKUP(A1228,CadProd!$A:$B,2,0)),"")</f>
        <v/>
      </c>
      <c r="C1228" t="str">
        <f>IFERROR(IF(A1228="","",VLOOKUP(A1228,CadProd!$A:$C,3,0)),"")</f>
        <v/>
      </c>
      <c r="I1228" s="1" t="str">
        <f>IFERROR(IF(A1228="","",E1228*#REF!),"")</f>
        <v/>
      </c>
    </row>
    <row r="1229" spans="2:9" x14ac:dyDescent="0.3">
      <c r="B1229" t="str">
        <f>IFERROR(IF(A1229="","",VLOOKUP(A1229,CadProd!$A:$B,2,0)),"")</f>
        <v/>
      </c>
      <c r="C1229" t="str">
        <f>IFERROR(IF(A1229="","",VLOOKUP(A1229,CadProd!$A:$C,3,0)),"")</f>
        <v/>
      </c>
      <c r="I1229" s="1" t="str">
        <f>IFERROR(IF(A1229="","",E1229*#REF!),"")</f>
        <v/>
      </c>
    </row>
    <row r="1230" spans="2:9" x14ac:dyDescent="0.3">
      <c r="B1230" t="str">
        <f>IFERROR(IF(A1230="","",VLOOKUP(A1230,CadProd!$A:$B,2,0)),"")</f>
        <v/>
      </c>
      <c r="C1230" t="str">
        <f>IFERROR(IF(A1230="","",VLOOKUP(A1230,CadProd!$A:$C,3,0)),"")</f>
        <v/>
      </c>
      <c r="I1230" s="1" t="str">
        <f>IFERROR(IF(A1230="","",E1230*#REF!),"")</f>
        <v/>
      </c>
    </row>
    <row r="1231" spans="2:9" x14ac:dyDescent="0.3">
      <c r="B1231" t="str">
        <f>IFERROR(IF(A1231="","",VLOOKUP(A1231,CadProd!$A:$B,2,0)),"")</f>
        <v/>
      </c>
      <c r="C1231" t="str">
        <f>IFERROR(IF(A1231="","",VLOOKUP(A1231,CadProd!$A:$C,3,0)),"")</f>
        <v/>
      </c>
      <c r="I1231" s="1" t="str">
        <f>IFERROR(IF(A1231="","",E1231*#REF!),"")</f>
        <v/>
      </c>
    </row>
    <row r="1232" spans="2:9" x14ac:dyDescent="0.3">
      <c r="B1232" t="str">
        <f>IFERROR(IF(A1232="","",VLOOKUP(A1232,CadProd!$A:$B,2,0)),"")</f>
        <v/>
      </c>
      <c r="C1232" t="str">
        <f>IFERROR(IF(A1232="","",VLOOKUP(A1232,CadProd!$A:$C,3,0)),"")</f>
        <v/>
      </c>
      <c r="I1232" s="1" t="str">
        <f>IFERROR(IF(A1232="","",E1232*#REF!),"")</f>
        <v/>
      </c>
    </row>
    <row r="1233" spans="2:9" x14ac:dyDescent="0.3">
      <c r="B1233" t="str">
        <f>IFERROR(IF(A1233="","",VLOOKUP(A1233,CadProd!$A:$B,2,0)),"")</f>
        <v/>
      </c>
      <c r="C1233" t="str">
        <f>IFERROR(IF(A1233="","",VLOOKUP(A1233,CadProd!$A:$C,3,0)),"")</f>
        <v/>
      </c>
      <c r="I1233" s="1" t="str">
        <f>IFERROR(IF(A1233="","",E1233*#REF!),"")</f>
        <v/>
      </c>
    </row>
    <row r="1234" spans="2:9" x14ac:dyDescent="0.3">
      <c r="B1234" t="str">
        <f>IFERROR(IF(A1234="","",VLOOKUP(A1234,CadProd!$A:$B,2,0)),"")</f>
        <v/>
      </c>
      <c r="C1234" t="str">
        <f>IFERROR(IF(A1234="","",VLOOKUP(A1234,CadProd!$A:$C,3,0)),"")</f>
        <v/>
      </c>
      <c r="I1234" s="1" t="str">
        <f>IFERROR(IF(A1234="","",E1234*#REF!),"")</f>
        <v/>
      </c>
    </row>
    <row r="1235" spans="2:9" x14ac:dyDescent="0.3">
      <c r="B1235" t="str">
        <f>IFERROR(IF(A1235="","",VLOOKUP(A1235,CadProd!$A:$B,2,0)),"")</f>
        <v/>
      </c>
      <c r="C1235" t="str">
        <f>IFERROR(IF(A1235="","",VLOOKUP(A1235,CadProd!$A:$C,3,0)),"")</f>
        <v/>
      </c>
      <c r="I1235" s="1" t="str">
        <f>IFERROR(IF(A1235="","",E1235*#REF!),"")</f>
        <v/>
      </c>
    </row>
    <row r="1236" spans="2:9" x14ac:dyDescent="0.3">
      <c r="B1236" t="str">
        <f>IFERROR(IF(A1236="","",VLOOKUP(A1236,CadProd!$A:$B,2,0)),"")</f>
        <v/>
      </c>
      <c r="C1236" t="str">
        <f>IFERROR(IF(A1236="","",VLOOKUP(A1236,CadProd!$A:$C,3,0)),"")</f>
        <v/>
      </c>
      <c r="I1236" s="1" t="str">
        <f>IFERROR(IF(A1236="","",E1236*#REF!),"")</f>
        <v/>
      </c>
    </row>
    <row r="1237" spans="2:9" x14ac:dyDescent="0.3">
      <c r="B1237" t="str">
        <f>IFERROR(IF(A1237="","",VLOOKUP(A1237,CadProd!$A:$B,2,0)),"")</f>
        <v/>
      </c>
      <c r="C1237" t="str">
        <f>IFERROR(IF(A1237="","",VLOOKUP(A1237,CadProd!$A:$C,3,0)),"")</f>
        <v/>
      </c>
      <c r="I1237" s="1" t="str">
        <f>IFERROR(IF(A1237="","",E1237*#REF!),"")</f>
        <v/>
      </c>
    </row>
    <row r="1238" spans="2:9" x14ac:dyDescent="0.3">
      <c r="B1238" t="str">
        <f>IFERROR(IF(A1238="","",VLOOKUP(A1238,CadProd!$A:$B,2,0)),"")</f>
        <v/>
      </c>
      <c r="C1238" t="str">
        <f>IFERROR(IF(A1238="","",VLOOKUP(A1238,CadProd!$A:$C,3,0)),"")</f>
        <v/>
      </c>
      <c r="I1238" s="1" t="str">
        <f>IFERROR(IF(A1238="","",E1238*#REF!),"")</f>
        <v/>
      </c>
    </row>
    <row r="1239" spans="2:9" x14ac:dyDescent="0.3">
      <c r="B1239" t="str">
        <f>IFERROR(IF(A1239="","",VLOOKUP(A1239,CadProd!$A:$B,2,0)),"")</f>
        <v/>
      </c>
      <c r="C1239" t="str">
        <f>IFERROR(IF(A1239="","",VLOOKUP(A1239,CadProd!$A:$C,3,0)),"")</f>
        <v/>
      </c>
      <c r="I1239" s="1" t="str">
        <f>IFERROR(IF(A1239="","",E1239*#REF!),"")</f>
        <v/>
      </c>
    </row>
    <row r="1240" spans="2:9" x14ac:dyDescent="0.3">
      <c r="B1240" t="str">
        <f>IFERROR(IF(A1240="","",VLOOKUP(A1240,CadProd!$A:$B,2,0)),"")</f>
        <v/>
      </c>
      <c r="C1240" t="str">
        <f>IFERROR(IF(A1240="","",VLOOKUP(A1240,CadProd!$A:$C,3,0)),"")</f>
        <v/>
      </c>
      <c r="I1240" s="1" t="str">
        <f>IFERROR(IF(A1240="","",E1240*#REF!),"")</f>
        <v/>
      </c>
    </row>
    <row r="1241" spans="2:9" x14ac:dyDescent="0.3">
      <c r="B1241" t="str">
        <f>IFERROR(IF(A1241="","",VLOOKUP(A1241,CadProd!$A:$B,2,0)),"")</f>
        <v/>
      </c>
      <c r="C1241" t="str">
        <f>IFERROR(IF(A1241="","",VLOOKUP(A1241,CadProd!$A:$C,3,0)),"")</f>
        <v/>
      </c>
      <c r="I1241" s="1" t="str">
        <f>IFERROR(IF(A1241="","",E1241*#REF!),"")</f>
        <v/>
      </c>
    </row>
    <row r="1242" spans="2:9" x14ac:dyDescent="0.3">
      <c r="B1242" t="str">
        <f>IFERROR(IF(A1242="","",VLOOKUP(A1242,CadProd!$A:$B,2,0)),"")</f>
        <v/>
      </c>
      <c r="C1242" t="str">
        <f>IFERROR(IF(A1242="","",VLOOKUP(A1242,CadProd!$A:$C,3,0)),"")</f>
        <v/>
      </c>
      <c r="I1242" s="1" t="str">
        <f>IFERROR(IF(A1242="","",E1242*#REF!),"")</f>
        <v/>
      </c>
    </row>
    <row r="1243" spans="2:9" x14ac:dyDescent="0.3">
      <c r="B1243" t="str">
        <f>IFERROR(IF(A1243="","",VLOOKUP(A1243,CadProd!$A:$B,2,0)),"")</f>
        <v/>
      </c>
      <c r="C1243" t="str">
        <f>IFERROR(IF(A1243="","",VLOOKUP(A1243,CadProd!$A:$C,3,0)),"")</f>
        <v/>
      </c>
      <c r="I1243" s="1" t="str">
        <f>IFERROR(IF(A1243="","",E1243*#REF!),"")</f>
        <v/>
      </c>
    </row>
    <row r="1244" spans="2:9" x14ac:dyDescent="0.3">
      <c r="B1244" t="str">
        <f>IFERROR(IF(A1244="","",VLOOKUP(A1244,CadProd!$A:$B,2,0)),"")</f>
        <v/>
      </c>
      <c r="C1244" t="str">
        <f>IFERROR(IF(A1244="","",VLOOKUP(A1244,CadProd!$A:$C,3,0)),"")</f>
        <v/>
      </c>
      <c r="I1244" s="1" t="str">
        <f>IFERROR(IF(A1244="","",E1244*#REF!),"")</f>
        <v/>
      </c>
    </row>
    <row r="1245" spans="2:9" x14ac:dyDescent="0.3">
      <c r="B1245" t="str">
        <f>IFERROR(IF(A1245="","",VLOOKUP(A1245,CadProd!$A:$B,2,0)),"")</f>
        <v/>
      </c>
      <c r="C1245" t="str">
        <f>IFERROR(IF(A1245="","",VLOOKUP(A1245,CadProd!$A:$C,3,0)),"")</f>
        <v/>
      </c>
      <c r="I1245" s="1" t="str">
        <f>IFERROR(IF(A1245="","",E1245*#REF!),"")</f>
        <v/>
      </c>
    </row>
    <row r="1246" spans="2:9" x14ac:dyDescent="0.3">
      <c r="B1246" t="str">
        <f>IFERROR(IF(A1246="","",VLOOKUP(A1246,CadProd!$A:$B,2,0)),"")</f>
        <v/>
      </c>
      <c r="C1246" t="str">
        <f>IFERROR(IF(A1246="","",VLOOKUP(A1246,CadProd!$A:$C,3,0)),"")</f>
        <v/>
      </c>
      <c r="I1246" s="1" t="str">
        <f>IFERROR(IF(A1246="","",E1246*#REF!),"")</f>
        <v/>
      </c>
    </row>
    <row r="1247" spans="2:9" x14ac:dyDescent="0.3">
      <c r="B1247" t="str">
        <f>IFERROR(IF(A1247="","",VLOOKUP(A1247,CadProd!$A:$B,2,0)),"")</f>
        <v/>
      </c>
      <c r="C1247" t="str">
        <f>IFERROR(IF(A1247="","",VLOOKUP(A1247,CadProd!$A:$C,3,0)),"")</f>
        <v/>
      </c>
      <c r="I1247" s="1" t="str">
        <f>IFERROR(IF(A1247="","",E1247*#REF!),"")</f>
        <v/>
      </c>
    </row>
    <row r="1248" spans="2:9" x14ac:dyDescent="0.3">
      <c r="B1248" t="str">
        <f>IFERROR(IF(A1248="","",VLOOKUP(A1248,CadProd!$A:$B,2,0)),"")</f>
        <v/>
      </c>
      <c r="C1248" t="str">
        <f>IFERROR(IF(A1248="","",VLOOKUP(A1248,CadProd!$A:$C,3,0)),"")</f>
        <v/>
      </c>
      <c r="I1248" s="1" t="str">
        <f>IFERROR(IF(A1248="","",E1248*#REF!),"")</f>
        <v/>
      </c>
    </row>
    <row r="1249" spans="2:9" x14ac:dyDescent="0.3">
      <c r="B1249" t="str">
        <f>IFERROR(IF(A1249="","",VLOOKUP(A1249,CadProd!$A:$B,2,0)),"")</f>
        <v/>
      </c>
      <c r="C1249" t="str">
        <f>IFERROR(IF(A1249="","",VLOOKUP(A1249,CadProd!$A:$C,3,0)),"")</f>
        <v/>
      </c>
      <c r="I1249" s="1" t="str">
        <f>IFERROR(IF(A1249="","",E1249*#REF!),"")</f>
        <v/>
      </c>
    </row>
    <row r="1250" spans="2:9" x14ac:dyDescent="0.3">
      <c r="B1250" t="str">
        <f>IFERROR(IF(A1250="","",VLOOKUP(A1250,CadProd!$A:$B,2,0)),"")</f>
        <v/>
      </c>
      <c r="C1250" t="str">
        <f>IFERROR(IF(A1250="","",VLOOKUP(A1250,CadProd!$A:$C,3,0)),"")</f>
        <v/>
      </c>
      <c r="I1250" s="1" t="str">
        <f>IFERROR(IF(A1250="","",E1250*#REF!),"")</f>
        <v/>
      </c>
    </row>
    <row r="1251" spans="2:9" x14ac:dyDescent="0.3">
      <c r="B1251" t="str">
        <f>IFERROR(IF(A1251="","",VLOOKUP(A1251,CadProd!$A:$B,2,0)),"")</f>
        <v/>
      </c>
      <c r="C1251" t="str">
        <f>IFERROR(IF(A1251="","",VLOOKUP(A1251,CadProd!$A:$C,3,0)),"")</f>
        <v/>
      </c>
      <c r="I1251" s="1" t="str">
        <f>IFERROR(IF(A1251="","",E1251*#REF!),"")</f>
        <v/>
      </c>
    </row>
    <row r="1252" spans="2:9" x14ac:dyDescent="0.3">
      <c r="B1252" t="str">
        <f>IFERROR(IF(A1252="","",VLOOKUP(A1252,CadProd!$A:$B,2,0)),"")</f>
        <v/>
      </c>
      <c r="C1252" t="str">
        <f>IFERROR(IF(A1252="","",VLOOKUP(A1252,CadProd!$A:$C,3,0)),"")</f>
        <v/>
      </c>
      <c r="I1252" s="1" t="str">
        <f>IFERROR(IF(A1252="","",E1252*#REF!),"")</f>
        <v/>
      </c>
    </row>
    <row r="1253" spans="2:9" x14ac:dyDescent="0.3">
      <c r="B1253" t="str">
        <f>IFERROR(IF(A1253="","",VLOOKUP(A1253,CadProd!$A:$B,2,0)),"")</f>
        <v/>
      </c>
      <c r="C1253" t="str">
        <f>IFERROR(IF(A1253="","",VLOOKUP(A1253,CadProd!$A:$C,3,0)),"")</f>
        <v/>
      </c>
      <c r="I1253" s="1" t="str">
        <f>IFERROR(IF(A1253="","",E1253*#REF!),"")</f>
        <v/>
      </c>
    </row>
    <row r="1254" spans="2:9" x14ac:dyDescent="0.3">
      <c r="B1254" t="str">
        <f>IFERROR(IF(A1254="","",VLOOKUP(A1254,CadProd!$A:$B,2,0)),"")</f>
        <v/>
      </c>
      <c r="C1254" t="str">
        <f>IFERROR(IF(A1254="","",VLOOKUP(A1254,CadProd!$A:$C,3,0)),"")</f>
        <v/>
      </c>
      <c r="I1254" s="1" t="str">
        <f>IFERROR(IF(A1254="","",E1254*#REF!),"")</f>
        <v/>
      </c>
    </row>
    <row r="1255" spans="2:9" x14ac:dyDescent="0.3">
      <c r="B1255" t="str">
        <f>IFERROR(IF(A1255="","",VLOOKUP(A1255,CadProd!$A:$B,2,0)),"")</f>
        <v/>
      </c>
      <c r="C1255" t="str">
        <f>IFERROR(IF(A1255="","",VLOOKUP(A1255,CadProd!$A:$C,3,0)),"")</f>
        <v/>
      </c>
      <c r="I1255" s="1" t="str">
        <f>IFERROR(IF(A1255="","",E1255*#REF!),"")</f>
        <v/>
      </c>
    </row>
    <row r="1256" spans="2:9" x14ac:dyDescent="0.3">
      <c r="B1256" t="str">
        <f>IFERROR(IF(A1256="","",VLOOKUP(A1256,CadProd!$A:$B,2,0)),"")</f>
        <v/>
      </c>
      <c r="C1256" t="str">
        <f>IFERROR(IF(A1256="","",VLOOKUP(A1256,CadProd!$A:$C,3,0)),"")</f>
        <v/>
      </c>
      <c r="I1256" s="1" t="str">
        <f>IFERROR(IF(A1256="","",E1256*#REF!),"")</f>
        <v/>
      </c>
    </row>
    <row r="1257" spans="2:9" x14ac:dyDescent="0.3">
      <c r="B1257" t="str">
        <f>IFERROR(IF(A1257="","",VLOOKUP(A1257,CadProd!$A:$B,2,0)),"")</f>
        <v/>
      </c>
      <c r="C1257" t="str">
        <f>IFERROR(IF(A1257="","",VLOOKUP(A1257,CadProd!$A:$C,3,0)),"")</f>
        <v/>
      </c>
      <c r="I1257" s="1" t="str">
        <f>IFERROR(IF(A1257="","",E1257*#REF!),"")</f>
        <v/>
      </c>
    </row>
    <row r="1258" spans="2:9" x14ac:dyDescent="0.3">
      <c r="B1258" t="str">
        <f>IFERROR(IF(A1258="","",VLOOKUP(A1258,CadProd!$A:$B,2,0)),"")</f>
        <v/>
      </c>
      <c r="C1258" t="str">
        <f>IFERROR(IF(A1258="","",VLOOKUP(A1258,CadProd!$A:$C,3,0)),"")</f>
        <v/>
      </c>
      <c r="I1258" s="1" t="str">
        <f>IFERROR(IF(A1258="","",E1258*#REF!),"")</f>
        <v/>
      </c>
    </row>
    <row r="1259" spans="2:9" x14ac:dyDescent="0.3">
      <c r="B1259" t="str">
        <f>IFERROR(IF(A1259="","",VLOOKUP(A1259,CadProd!$A:$B,2,0)),"")</f>
        <v/>
      </c>
      <c r="C1259" t="str">
        <f>IFERROR(IF(A1259="","",VLOOKUP(A1259,CadProd!$A:$C,3,0)),"")</f>
        <v/>
      </c>
      <c r="I1259" s="1" t="str">
        <f>IFERROR(IF(A1259="","",E1259*#REF!),"")</f>
        <v/>
      </c>
    </row>
    <row r="1260" spans="2:9" x14ac:dyDescent="0.3">
      <c r="B1260" t="str">
        <f>IFERROR(IF(A1260="","",VLOOKUP(A1260,CadProd!$A:$B,2,0)),"")</f>
        <v/>
      </c>
      <c r="C1260" t="str">
        <f>IFERROR(IF(A1260="","",VLOOKUP(A1260,CadProd!$A:$C,3,0)),"")</f>
        <v/>
      </c>
      <c r="I1260" s="1" t="str">
        <f>IFERROR(IF(A1260="","",E1260*#REF!),"")</f>
        <v/>
      </c>
    </row>
    <row r="1261" spans="2:9" x14ac:dyDescent="0.3">
      <c r="B1261" t="str">
        <f>IFERROR(IF(A1261="","",VLOOKUP(A1261,CadProd!$A:$B,2,0)),"")</f>
        <v/>
      </c>
      <c r="C1261" t="str">
        <f>IFERROR(IF(A1261="","",VLOOKUP(A1261,CadProd!$A:$C,3,0)),"")</f>
        <v/>
      </c>
      <c r="I1261" s="1" t="str">
        <f>IFERROR(IF(A1261="","",E1261*#REF!),"")</f>
        <v/>
      </c>
    </row>
    <row r="1262" spans="2:9" x14ac:dyDescent="0.3">
      <c r="B1262" t="str">
        <f>IFERROR(IF(A1262="","",VLOOKUP(A1262,CadProd!$A:$B,2,0)),"")</f>
        <v/>
      </c>
      <c r="C1262" t="str">
        <f>IFERROR(IF(A1262="","",VLOOKUP(A1262,CadProd!$A:$C,3,0)),"")</f>
        <v/>
      </c>
      <c r="I1262" s="1" t="str">
        <f>IFERROR(IF(A1262="","",E1262*#REF!),"")</f>
        <v/>
      </c>
    </row>
    <row r="1263" spans="2:9" x14ac:dyDescent="0.3">
      <c r="B1263" t="str">
        <f>IFERROR(IF(A1263="","",VLOOKUP(A1263,CadProd!$A:$B,2,0)),"")</f>
        <v/>
      </c>
      <c r="C1263" t="str">
        <f>IFERROR(IF(A1263="","",VLOOKUP(A1263,CadProd!$A:$C,3,0)),"")</f>
        <v/>
      </c>
      <c r="I1263" s="1" t="str">
        <f>IFERROR(IF(A1263="","",E1263*#REF!),"")</f>
        <v/>
      </c>
    </row>
    <row r="1264" spans="2:9" x14ac:dyDescent="0.3">
      <c r="B1264" t="str">
        <f>IFERROR(IF(A1264="","",VLOOKUP(A1264,CadProd!$A:$B,2,0)),"")</f>
        <v/>
      </c>
      <c r="C1264" t="str">
        <f>IFERROR(IF(A1264="","",VLOOKUP(A1264,CadProd!$A:$C,3,0)),"")</f>
        <v/>
      </c>
      <c r="I1264" s="1" t="str">
        <f>IFERROR(IF(A1264="","",E1264*#REF!),"")</f>
        <v/>
      </c>
    </row>
    <row r="1265" spans="2:9" x14ac:dyDescent="0.3">
      <c r="B1265" t="str">
        <f>IFERROR(IF(A1265="","",VLOOKUP(A1265,CadProd!$A:$B,2,0)),"")</f>
        <v/>
      </c>
      <c r="C1265" t="str">
        <f>IFERROR(IF(A1265="","",VLOOKUP(A1265,CadProd!$A:$C,3,0)),"")</f>
        <v/>
      </c>
      <c r="I1265" s="1" t="str">
        <f>IFERROR(IF(A1265="","",E1265*#REF!),"")</f>
        <v/>
      </c>
    </row>
    <row r="1266" spans="2:9" x14ac:dyDescent="0.3">
      <c r="B1266" t="str">
        <f>IFERROR(IF(A1266="","",VLOOKUP(A1266,CadProd!$A:$B,2,0)),"")</f>
        <v/>
      </c>
      <c r="C1266" t="str">
        <f>IFERROR(IF(A1266="","",VLOOKUP(A1266,CadProd!$A:$C,3,0)),"")</f>
        <v/>
      </c>
      <c r="I1266" s="1" t="str">
        <f>IFERROR(IF(A1266="","",E1266*#REF!),"")</f>
        <v/>
      </c>
    </row>
    <row r="1267" spans="2:9" x14ac:dyDescent="0.3">
      <c r="B1267" t="str">
        <f>IFERROR(IF(A1267="","",VLOOKUP(A1267,CadProd!$A:$B,2,0)),"")</f>
        <v/>
      </c>
      <c r="C1267" t="str">
        <f>IFERROR(IF(A1267="","",VLOOKUP(A1267,CadProd!$A:$C,3,0)),"")</f>
        <v/>
      </c>
      <c r="I1267" s="1" t="str">
        <f>IFERROR(IF(A1267="","",E1267*#REF!),"")</f>
        <v/>
      </c>
    </row>
    <row r="1268" spans="2:9" x14ac:dyDescent="0.3">
      <c r="B1268" t="str">
        <f>IFERROR(IF(A1268="","",VLOOKUP(A1268,CadProd!$A:$B,2,0)),"")</f>
        <v/>
      </c>
      <c r="C1268" t="str">
        <f>IFERROR(IF(A1268="","",VLOOKUP(A1268,CadProd!$A:$C,3,0)),"")</f>
        <v/>
      </c>
      <c r="I1268" s="1" t="str">
        <f>IFERROR(IF(A1268="","",E1268*#REF!),"")</f>
        <v/>
      </c>
    </row>
    <row r="1269" spans="2:9" x14ac:dyDescent="0.3">
      <c r="B1269" t="str">
        <f>IFERROR(IF(A1269="","",VLOOKUP(A1269,CadProd!$A:$B,2,0)),"")</f>
        <v/>
      </c>
      <c r="C1269" t="str">
        <f>IFERROR(IF(A1269="","",VLOOKUP(A1269,CadProd!$A:$C,3,0)),"")</f>
        <v/>
      </c>
      <c r="I1269" s="1" t="str">
        <f>IFERROR(IF(A1269="","",E1269*#REF!),"")</f>
        <v/>
      </c>
    </row>
    <row r="1270" spans="2:9" x14ac:dyDescent="0.3">
      <c r="B1270" t="str">
        <f>IFERROR(IF(A1270="","",VLOOKUP(A1270,CadProd!$A:$B,2,0)),"")</f>
        <v/>
      </c>
      <c r="C1270" t="str">
        <f>IFERROR(IF(A1270="","",VLOOKUP(A1270,CadProd!$A:$C,3,0)),"")</f>
        <v/>
      </c>
      <c r="I1270" s="1" t="str">
        <f>IFERROR(IF(A1270="","",E1270*#REF!),"")</f>
        <v/>
      </c>
    </row>
    <row r="1271" spans="2:9" x14ac:dyDescent="0.3">
      <c r="B1271" t="str">
        <f>IFERROR(IF(A1271="","",VLOOKUP(A1271,CadProd!$A:$B,2,0)),"")</f>
        <v/>
      </c>
      <c r="C1271" t="str">
        <f>IFERROR(IF(A1271="","",VLOOKUP(A1271,CadProd!$A:$C,3,0)),"")</f>
        <v/>
      </c>
      <c r="I1271" s="1" t="str">
        <f>IFERROR(IF(A1271="","",E1271*#REF!),"")</f>
        <v/>
      </c>
    </row>
    <row r="1272" spans="2:9" x14ac:dyDescent="0.3">
      <c r="B1272" t="str">
        <f>IFERROR(IF(A1272="","",VLOOKUP(A1272,CadProd!$A:$B,2,0)),"")</f>
        <v/>
      </c>
      <c r="C1272" t="str">
        <f>IFERROR(IF(A1272="","",VLOOKUP(A1272,CadProd!$A:$C,3,0)),"")</f>
        <v/>
      </c>
      <c r="I1272" s="1" t="str">
        <f>IFERROR(IF(A1272="","",E1272*#REF!),"")</f>
        <v/>
      </c>
    </row>
    <row r="1273" spans="2:9" x14ac:dyDescent="0.3">
      <c r="B1273" t="str">
        <f>IFERROR(IF(A1273="","",VLOOKUP(A1273,CadProd!$A:$B,2,0)),"")</f>
        <v/>
      </c>
      <c r="C1273" t="str">
        <f>IFERROR(IF(A1273="","",VLOOKUP(A1273,CadProd!$A:$C,3,0)),"")</f>
        <v/>
      </c>
      <c r="I1273" s="1" t="str">
        <f>IFERROR(IF(A1273="","",E1273*#REF!),"")</f>
        <v/>
      </c>
    </row>
    <row r="1274" spans="2:9" x14ac:dyDescent="0.3">
      <c r="B1274" t="str">
        <f>IFERROR(IF(A1274="","",VLOOKUP(A1274,CadProd!$A:$B,2,0)),"")</f>
        <v/>
      </c>
      <c r="C1274" t="str">
        <f>IFERROR(IF(A1274="","",VLOOKUP(A1274,CadProd!$A:$C,3,0)),"")</f>
        <v/>
      </c>
      <c r="I1274" s="1" t="str">
        <f>IFERROR(IF(A1274="","",E1274*#REF!),"")</f>
        <v/>
      </c>
    </row>
    <row r="1275" spans="2:9" x14ac:dyDescent="0.3">
      <c r="B1275" t="str">
        <f>IFERROR(IF(A1275="","",VLOOKUP(A1275,CadProd!$A:$B,2,0)),"")</f>
        <v/>
      </c>
      <c r="C1275" t="str">
        <f>IFERROR(IF(A1275="","",VLOOKUP(A1275,CadProd!$A:$C,3,0)),"")</f>
        <v/>
      </c>
      <c r="I1275" s="1" t="str">
        <f>IFERROR(IF(A1275="","",E1275*#REF!),"")</f>
        <v/>
      </c>
    </row>
    <row r="1276" spans="2:9" x14ac:dyDescent="0.3">
      <c r="B1276" t="str">
        <f>IFERROR(IF(A1276="","",VLOOKUP(A1276,CadProd!$A:$B,2,0)),"")</f>
        <v/>
      </c>
      <c r="C1276" t="str">
        <f>IFERROR(IF(A1276="","",VLOOKUP(A1276,CadProd!$A:$C,3,0)),"")</f>
        <v/>
      </c>
      <c r="I1276" s="1" t="str">
        <f>IFERROR(IF(A1276="","",E1276*#REF!),"")</f>
        <v/>
      </c>
    </row>
    <row r="1277" spans="2:9" x14ac:dyDescent="0.3">
      <c r="B1277" t="str">
        <f>IFERROR(IF(A1277="","",VLOOKUP(A1277,CadProd!$A:$B,2,0)),"")</f>
        <v/>
      </c>
      <c r="C1277" t="str">
        <f>IFERROR(IF(A1277="","",VLOOKUP(A1277,CadProd!$A:$C,3,0)),"")</f>
        <v/>
      </c>
      <c r="I1277" s="1" t="str">
        <f>IFERROR(IF(A1277="","",E1277*#REF!),"")</f>
        <v/>
      </c>
    </row>
    <row r="1278" spans="2:9" x14ac:dyDescent="0.3">
      <c r="B1278" t="str">
        <f>IFERROR(IF(A1278="","",VLOOKUP(A1278,CadProd!$A:$B,2,0)),"")</f>
        <v/>
      </c>
      <c r="C1278" t="str">
        <f>IFERROR(IF(A1278="","",VLOOKUP(A1278,CadProd!$A:$C,3,0)),"")</f>
        <v/>
      </c>
      <c r="I1278" s="1" t="str">
        <f>IFERROR(IF(A1278="","",E1278*#REF!),"")</f>
        <v/>
      </c>
    </row>
    <row r="1279" spans="2:9" x14ac:dyDescent="0.3">
      <c r="B1279" t="str">
        <f>IFERROR(IF(A1279="","",VLOOKUP(A1279,CadProd!$A:$B,2,0)),"")</f>
        <v/>
      </c>
      <c r="C1279" t="str">
        <f>IFERROR(IF(A1279="","",VLOOKUP(A1279,CadProd!$A:$C,3,0)),"")</f>
        <v/>
      </c>
      <c r="I1279" s="1" t="str">
        <f>IFERROR(IF(A1279="","",E1279*#REF!),"")</f>
        <v/>
      </c>
    </row>
    <row r="1280" spans="2:9" x14ac:dyDescent="0.3">
      <c r="B1280" t="str">
        <f>IFERROR(IF(A1280="","",VLOOKUP(A1280,CadProd!$A:$B,2,0)),"")</f>
        <v/>
      </c>
      <c r="C1280" t="str">
        <f>IFERROR(IF(A1280="","",VLOOKUP(A1280,CadProd!$A:$C,3,0)),"")</f>
        <v/>
      </c>
      <c r="I1280" s="1" t="str">
        <f>IFERROR(IF(A1280="","",E1280*#REF!),"")</f>
        <v/>
      </c>
    </row>
    <row r="1281" spans="2:9" x14ac:dyDescent="0.3">
      <c r="B1281" t="str">
        <f>IFERROR(IF(A1281="","",VLOOKUP(A1281,CadProd!$A:$B,2,0)),"")</f>
        <v/>
      </c>
      <c r="C1281" t="str">
        <f>IFERROR(IF(A1281="","",VLOOKUP(A1281,CadProd!$A:$C,3,0)),"")</f>
        <v/>
      </c>
      <c r="I1281" s="1" t="str">
        <f>IFERROR(IF(A1281="","",E1281*#REF!),"")</f>
        <v/>
      </c>
    </row>
    <row r="1282" spans="2:9" x14ac:dyDescent="0.3">
      <c r="B1282" t="str">
        <f>IFERROR(IF(A1282="","",VLOOKUP(A1282,CadProd!$A:$B,2,0)),"")</f>
        <v/>
      </c>
      <c r="C1282" t="str">
        <f>IFERROR(IF(A1282="","",VLOOKUP(A1282,CadProd!$A:$C,3,0)),"")</f>
        <v/>
      </c>
      <c r="I1282" s="1" t="str">
        <f>IFERROR(IF(A1282="","",E1282*#REF!),"")</f>
        <v/>
      </c>
    </row>
    <row r="1283" spans="2:9" x14ac:dyDescent="0.3">
      <c r="B1283" t="str">
        <f>IFERROR(IF(A1283="","",VLOOKUP(A1283,CadProd!$A:$B,2,0)),"")</f>
        <v/>
      </c>
      <c r="C1283" t="str">
        <f>IFERROR(IF(A1283="","",VLOOKUP(A1283,CadProd!$A:$C,3,0)),"")</f>
        <v/>
      </c>
      <c r="I1283" s="1" t="str">
        <f>IFERROR(IF(A1283="","",E1283*#REF!),"")</f>
        <v/>
      </c>
    </row>
    <row r="1284" spans="2:9" x14ac:dyDescent="0.3">
      <c r="B1284" t="str">
        <f>IFERROR(IF(A1284="","",VLOOKUP(A1284,CadProd!$A:$B,2,0)),"")</f>
        <v/>
      </c>
      <c r="C1284" t="str">
        <f>IFERROR(IF(A1284="","",VLOOKUP(A1284,CadProd!$A:$C,3,0)),"")</f>
        <v/>
      </c>
      <c r="I1284" s="1" t="str">
        <f>IFERROR(IF(A1284="","",E1284*#REF!),"")</f>
        <v/>
      </c>
    </row>
    <row r="1285" spans="2:9" x14ac:dyDescent="0.3">
      <c r="B1285" t="str">
        <f>IFERROR(IF(A1285="","",VLOOKUP(A1285,CadProd!$A:$B,2,0)),"")</f>
        <v/>
      </c>
      <c r="C1285" t="str">
        <f>IFERROR(IF(A1285="","",VLOOKUP(A1285,CadProd!$A:$C,3,0)),"")</f>
        <v/>
      </c>
      <c r="I1285" s="1" t="str">
        <f>IFERROR(IF(A1285="","",E1285*#REF!),"")</f>
        <v/>
      </c>
    </row>
    <row r="1286" spans="2:9" x14ac:dyDescent="0.3">
      <c r="B1286" t="str">
        <f>IFERROR(IF(A1286="","",VLOOKUP(A1286,CadProd!$A:$B,2,0)),"")</f>
        <v/>
      </c>
      <c r="C1286" t="str">
        <f>IFERROR(IF(A1286="","",VLOOKUP(A1286,CadProd!$A:$C,3,0)),"")</f>
        <v/>
      </c>
      <c r="I1286" s="1" t="str">
        <f>IFERROR(IF(A1286="","",E1286*#REF!),"")</f>
        <v/>
      </c>
    </row>
    <row r="1287" spans="2:9" x14ac:dyDescent="0.3">
      <c r="B1287" t="str">
        <f>IFERROR(IF(A1287="","",VLOOKUP(A1287,CadProd!$A:$B,2,0)),"")</f>
        <v/>
      </c>
      <c r="C1287" t="str">
        <f>IFERROR(IF(A1287="","",VLOOKUP(A1287,CadProd!$A:$C,3,0)),"")</f>
        <v/>
      </c>
      <c r="I1287" s="1" t="str">
        <f>IFERROR(IF(A1287="","",E1287*#REF!),"")</f>
        <v/>
      </c>
    </row>
    <row r="1288" spans="2:9" x14ac:dyDescent="0.3">
      <c r="B1288" t="str">
        <f>IFERROR(IF(A1288="","",VLOOKUP(A1288,CadProd!$A:$B,2,0)),"")</f>
        <v/>
      </c>
      <c r="C1288" t="str">
        <f>IFERROR(IF(A1288="","",VLOOKUP(A1288,CadProd!$A:$C,3,0)),"")</f>
        <v/>
      </c>
      <c r="I1288" s="1" t="str">
        <f>IFERROR(IF(A1288="","",E1288*#REF!),"")</f>
        <v/>
      </c>
    </row>
    <row r="1289" spans="2:9" x14ac:dyDescent="0.3">
      <c r="B1289" t="str">
        <f>IFERROR(IF(A1289="","",VLOOKUP(A1289,CadProd!$A:$B,2,0)),"")</f>
        <v/>
      </c>
      <c r="C1289" t="str">
        <f>IFERROR(IF(A1289="","",VLOOKUP(A1289,CadProd!$A:$C,3,0)),"")</f>
        <v/>
      </c>
      <c r="I1289" s="1" t="str">
        <f>IFERROR(IF(A1289="","",E1289*#REF!),"")</f>
        <v/>
      </c>
    </row>
    <row r="1290" spans="2:9" x14ac:dyDescent="0.3">
      <c r="B1290" t="str">
        <f>IFERROR(IF(A1290="","",VLOOKUP(A1290,CadProd!$A:$B,2,0)),"")</f>
        <v/>
      </c>
      <c r="C1290" t="str">
        <f>IFERROR(IF(A1290="","",VLOOKUP(A1290,CadProd!$A:$C,3,0)),"")</f>
        <v/>
      </c>
      <c r="I1290" s="1" t="str">
        <f>IFERROR(IF(A1290="","",E1290*#REF!),"")</f>
        <v/>
      </c>
    </row>
    <row r="1291" spans="2:9" x14ac:dyDescent="0.3">
      <c r="B1291" t="str">
        <f>IFERROR(IF(A1291="","",VLOOKUP(A1291,CadProd!$A:$B,2,0)),"")</f>
        <v/>
      </c>
      <c r="C1291" t="str">
        <f>IFERROR(IF(A1291="","",VLOOKUP(A1291,CadProd!$A:$C,3,0)),"")</f>
        <v/>
      </c>
      <c r="I1291" s="1" t="str">
        <f>IFERROR(IF(A1291="","",E1291*#REF!),"")</f>
        <v/>
      </c>
    </row>
    <row r="1292" spans="2:9" x14ac:dyDescent="0.3">
      <c r="B1292" t="str">
        <f>IFERROR(IF(A1292="","",VLOOKUP(A1292,CadProd!$A:$B,2,0)),"")</f>
        <v/>
      </c>
      <c r="C1292" t="str">
        <f>IFERROR(IF(A1292="","",VLOOKUP(A1292,CadProd!$A:$C,3,0)),"")</f>
        <v/>
      </c>
      <c r="I1292" s="1" t="str">
        <f>IFERROR(IF(A1292="","",E1292*#REF!),"")</f>
        <v/>
      </c>
    </row>
    <row r="1293" spans="2:9" x14ac:dyDescent="0.3">
      <c r="B1293" t="str">
        <f>IFERROR(IF(A1293="","",VLOOKUP(A1293,CadProd!$A:$B,2,0)),"")</f>
        <v/>
      </c>
      <c r="C1293" t="str">
        <f>IFERROR(IF(A1293="","",VLOOKUP(A1293,CadProd!$A:$C,3,0)),"")</f>
        <v/>
      </c>
      <c r="I1293" s="1" t="str">
        <f>IFERROR(IF(A1293="","",E1293*#REF!),"")</f>
        <v/>
      </c>
    </row>
    <row r="1294" spans="2:9" x14ac:dyDescent="0.3">
      <c r="B1294" t="str">
        <f>IFERROR(IF(A1294="","",VLOOKUP(A1294,CadProd!$A:$B,2,0)),"")</f>
        <v/>
      </c>
      <c r="C1294" t="str">
        <f>IFERROR(IF(A1294="","",VLOOKUP(A1294,CadProd!$A:$C,3,0)),"")</f>
        <v/>
      </c>
      <c r="I1294" s="1" t="str">
        <f>IFERROR(IF(A1294="","",E1294*#REF!),"")</f>
        <v/>
      </c>
    </row>
    <row r="1295" spans="2:9" x14ac:dyDescent="0.3">
      <c r="B1295" t="str">
        <f>IFERROR(IF(A1295="","",VLOOKUP(A1295,CadProd!$A:$B,2,0)),"")</f>
        <v/>
      </c>
      <c r="C1295" t="str">
        <f>IFERROR(IF(A1295="","",VLOOKUP(A1295,CadProd!$A:$C,3,0)),"")</f>
        <v/>
      </c>
      <c r="I1295" s="1" t="str">
        <f>IFERROR(IF(A1295="","",E1295*#REF!),"")</f>
        <v/>
      </c>
    </row>
    <row r="1296" spans="2:9" x14ac:dyDescent="0.3">
      <c r="B1296" t="str">
        <f>IFERROR(IF(A1296="","",VLOOKUP(A1296,CadProd!$A:$B,2,0)),"")</f>
        <v/>
      </c>
      <c r="C1296" t="str">
        <f>IFERROR(IF(A1296="","",VLOOKUP(A1296,CadProd!$A:$C,3,0)),"")</f>
        <v/>
      </c>
      <c r="I1296" s="1" t="str">
        <f>IFERROR(IF(A1296="","",E1296*#REF!),"")</f>
        <v/>
      </c>
    </row>
    <row r="1297" spans="2:9" x14ac:dyDescent="0.3">
      <c r="B1297" t="str">
        <f>IFERROR(IF(A1297="","",VLOOKUP(A1297,CadProd!$A:$B,2,0)),"")</f>
        <v/>
      </c>
      <c r="C1297" t="str">
        <f>IFERROR(IF(A1297="","",VLOOKUP(A1297,CadProd!$A:$C,3,0)),"")</f>
        <v/>
      </c>
      <c r="I1297" s="1" t="str">
        <f>IFERROR(IF(A1297="","",E1297*#REF!),"")</f>
        <v/>
      </c>
    </row>
    <row r="1298" spans="2:9" x14ac:dyDescent="0.3">
      <c r="B1298" t="str">
        <f>IFERROR(IF(A1298="","",VLOOKUP(A1298,CadProd!$A:$B,2,0)),"")</f>
        <v/>
      </c>
      <c r="C1298" t="str">
        <f>IFERROR(IF(A1298="","",VLOOKUP(A1298,CadProd!$A:$C,3,0)),"")</f>
        <v/>
      </c>
      <c r="I1298" s="1" t="str">
        <f>IFERROR(IF(A1298="","",E1298*#REF!),"")</f>
        <v/>
      </c>
    </row>
    <row r="1299" spans="2:9" x14ac:dyDescent="0.3">
      <c r="B1299" t="str">
        <f>IFERROR(IF(A1299="","",VLOOKUP(A1299,CadProd!$A:$B,2,0)),"")</f>
        <v/>
      </c>
      <c r="C1299" t="str">
        <f>IFERROR(IF(A1299="","",VLOOKUP(A1299,CadProd!$A:$C,3,0)),"")</f>
        <v/>
      </c>
      <c r="I1299" s="1" t="str">
        <f>IFERROR(IF(A1299="","",E1299*#REF!),"")</f>
        <v/>
      </c>
    </row>
    <row r="1300" spans="2:9" x14ac:dyDescent="0.3">
      <c r="B1300" t="str">
        <f>IFERROR(IF(A1300="","",VLOOKUP(A1300,CadProd!$A:$B,2,0)),"")</f>
        <v/>
      </c>
      <c r="C1300" t="str">
        <f>IFERROR(IF(A1300="","",VLOOKUP(A1300,CadProd!$A:$C,3,0)),"")</f>
        <v/>
      </c>
      <c r="I1300" s="1" t="str">
        <f>IFERROR(IF(A1300="","",E1300*#REF!),"")</f>
        <v/>
      </c>
    </row>
    <row r="1301" spans="2:9" x14ac:dyDescent="0.3">
      <c r="B1301" t="str">
        <f>IFERROR(IF(A1301="","",VLOOKUP(A1301,CadProd!$A:$B,2,0)),"")</f>
        <v/>
      </c>
      <c r="C1301" t="str">
        <f>IFERROR(IF(A1301="","",VLOOKUP(A1301,CadProd!$A:$C,3,0)),"")</f>
        <v/>
      </c>
      <c r="I1301" s="1" t="str">
        <f>IFERROR(IF(A1301="","",E1301*#REF!),"")</f>
        <v/>
      </c>
    </row>
    <row r="1302" spans="2:9" x14ac:dyDescent="0.3">
      <c r="B1302" t="str">
        <f>IFERROR(IF(A1302="","",VLOOKUP(A1302,CadProd!$A:$B,2,0)),"")</f>
        <v/>
      </c>
      <c r="C1302" t="str">
        <f>IFERROR(IF(A1302="","",VLOOKUP(A1302,CadProd!$A:$C,3,0)),"")</f>
        <v/>
      </c>
      <c r="I1302" s="1" t="str">
        <f>IFERROR(IF(A1302="","",E1302*#REF!),"")</f>
        <v/>
      </c>
    </row>
    <row r="1303" spans="2:9" x14ac:dyDescent="0.3">
      <c r="B1303" t="str">
        <f>IFERROR(IF(A1303="","",VLOOKUP(A1303,CadProd!$A:$B,2,0)),"")</f>
        <v/>
      </c>
      <c r="C1303" t="str">
        <f>IFERROR(IF(A1303="","",VLOOKUP(A1303,CadProd!$A:$C,3,0)),"")</f>
        <v/>
      </c>
      <c r="I1303" s="1" t="str">
        <f>IFERROR(IF(A1303="","",E1303*#REF!),"")</f>
        <v/>
      </c>
    </row>
    <row r="1304" spans="2:9" x14ac:dyDescent="0.3">
      <c r="B1304" t="str">
        <f>IFERROR(IF(A1304="","",VLOOKUP(A1304,CadProd!$A:$B,2,0)),"")</f>
        <v/>
      </c>
      <c r="C1304" t="str">
        <f>IFERROR(IF(A1304="","",VLOOKUP(A1304,CadProd!$A:$C,3,0)),"")</f>
        <v/>
      </c>
      <c r="I1304" s="1" t="str">
        <f>IFERROR(IF(A1304="","",E1304*#REF!),"")</f>
        <v/>
      </c>
    </row>
    <row r="1305" spans="2:9" x14ac:dyDescent="0.3">
      <c r="B1305" t="str">
        <f>IFERROR(IF(A1305="","",VLOOKUP(A1305,CadProd!$A:$B,2,0)),"")</f>
        <v/>
      </c>
      <c r="C1305" t="str">
        <f>IFERROR(IF(A1305="","",VLOOKUP(A1305,CadProd!$A:$C,3,0)),"")</f>
        <v/>
      </c>
      <c r="I1305" s="1" t="str">
        <f>IFERROR(IF(A1305="","",E1305*#REF!),"")</f>
        <v/>
      </c>
    </row>
    <row r="1306" spans="2:9" x14ac:dyDescent="0.3">
      <c r="B1306" t="str">
        <f>IFERROR(IF(A1306="","",VLOOKUP(A1306,CadProd!$A:$B,2,0)),"")</f>
        <v/>
      </c>
      <c r="C1306" t="str">
        <f>IFERROR(IF(A1306="","",VLOOKUP(A1306,CadProd!$A:$C,3,0)),"")</f>
        <v/>
      </c>
      <c r="I1306" s="1" t="str">
        <f>IFERROR(IF(A1306="","",E1306*#REF!),"")</f>
        <v/>
      </c>
    </row>
    <row r="1307" spans="2:9" x14ac:dyDescent="0.3">
      <c r="B1307" t="str">
        <f>IFERROR(IF(A1307="","",VLOOKUP(A1307,CadProd!$A:$B,2,0)),"")</f>
        <v/>
      </c>
      <c r="C1307" t="str">
        <f>IFERROR(IF(A1307="","",VLOOKUP(A1307,CadProd!$A:$C,3,0)),"")</f>
        <v/>
      </c>
      <c r="I1307" s="1" t="str">
        <f>IFERROR(IF(A1307="","",E1307*#REF!),"")</f>
        <v/>
      </c>
    </row>
    <row r="1308" spans="2:9" x14ac:dyDescent="0.3">
      <c r="B1308" t="str">
        <f>IFERROR(IF(A1308="","",VLOOKUP(A1308,CadProd!$A:$B,2,0)),"")</f>
        <v/>
      </c>
      <c r="C1308" t="str">
        <f>IFERROR(IF(A1308="","",VLOOKUP(A1308,CadProd!$A:$C,3,0)),"")</f>
        <v/>
      </c>
      <c r="I1308" s="1" t="str">
        <f>IFERROR(IF(A1308="","",E1308*#REF!),"")</f>
        <v/>
      </c>
    </row>
    <row r="1309" spans="2:9" x14ac:dyDescent="0.3">
      <c r="B1309" t="str">
        <f>IFERROR(IF(A1309="","",VLOOKUP(A1309,CadProd!$A:$B,2,0)),"")</f>
        <v/>
      </c>
      <c r="C1309" t="str">
        <f>IFERROR(IF(A1309="","",VLOOKUP(A1309,CadProd!$A:$C,3,0)),"")</f>
        <v/>
      </c>
      <c r="I1309" s="1" t="str">
        <f>IFERROR(IF(A1309="","",E1309*#REF!),"")</f>
        <v/>
      </c>
    </row>
    <row r="1310" spans="2:9" x14ac:dyDescent="0.3">
      <c r="B1310" t="str">
        <f>IFERROR(IF(A1310="","",VLOOKUP(A1310,CadProd!$A:$B,2,0)),"")</f>
        <v/>
      </c>
      <c r="C1310" t="str">
        <f>IFERROR(IF(A1310="","",VLOOKUP(A1310,CadProd!$A:$C,3,0)),"")</f>
        <v/>
      </c>
      <c r="I1310" s="1" t="str">
        <f>IFERROR(IF(A1310="","",E1310*#REF!),"")</f>
        <v/>
      </c>
    </row>
    <row r="1311" spans="2:9" x14ac:dyDescent="0.3">
      <c r="B1311" t="str">
        <f>IFERROR(IF(A1311="","",VLOOKUP(A1311,CadProd!$A:$B,2,0)),"")</f>
        <v/>
      </c>
      <c r="C1311" t="str">
        <f>IFERROR(IF(A1311="","",VLOOKUP(A1311,CadProd!$A:$C,3,0)),"")</f>
        <v/>
      </c>
      <c r="I1311" s="1" t="str">
        <f>IFERROR(IF(A1311="","",E1311*#REF!),"")</f>
        <v/>
      </c>
    </row>
    <row r="1312" spans="2:9" x14ac:dyDescent="0.3">
      <c r="B1312" t="str">
        <f>IFERROR(IF(A1312="","",VLOOKUP(A1312,CadProd!$A:$B,2,0)),"")</f>
        <v/>
      </c>
      <c r="C1312" t="str">
        <f>IFERROR(IF(A1312="","",VLOOKUP(A1312,CadProd!$A:$C,3,0)),"")</f>
        <v/>
      </c>
      <c r="I1312" s="1" t="str">
        <f>IFERROR(IF(A1312="","",E1312*#REF!),"")</f>
        <v/>
      </c>
    </row>
    <row r="1313" spans="2:9" x14ac:dyDescent="0.3">
      <c r="B1313" t="str">
        <f>IFERROR(IF(A1313="","",VLOOKUP(A1313,CadProd!$A:$B,2,0)),"")</f>
        <v/>
      </c>
      <c r="C1313" t="str">
        <f>IFERROR(IF(A1313="","",VLOOKUP(A1313,CadProd!$A:$C,3,0)),"")</f>
        <v/>
      </c>
      <c r="I1313" s="1" t="str">
        <f>IFERROR(IF(A1313="","",E1313*#REF!),"")</f>
        <v/>
      </c>
    </row>
    <row r="1314" spans="2:9" x14ac:dyDescent="0.3">
      <c r="B1314" t="str">
        <f>IFERROR(IF(A1314="","",VLOOKUP(A1314,CadProd!$A:$B,2,0)),"")</f>
        <v/>
      </c>
      <c r="C1314" t="str">
        <f>IFERROR(IF(A1314="","",VLOOKUP(A1314,CadProd!$A:$C,3,0)),"")</f>
        <v/>
      </c>
      <c r="I1314" s="1" t="str">
        <f>IFERROR(IF(A1314="","",E1314*#REF!),"")</f>
        <v/>
      </c>
    </row>
    <row r="1315" spans="2:9" x14ac:dyDescent="0.3">
      <c r="B1315" t="str">
        <f>IFERROR(IF(A1315="","",VLOOKUP(A1315,CadProd!$A:$B,2,0)),"")</f>
        <v/>
      </c>
      <c r="C1315" t="str">
        <f>IFERROR(IF(A1315="","",VLOOKUP(A1315,CadProd!$A:$C,3,0)),"")</f>
        <v/>
      </c>
      <c r="I1315" s="1" t="str">
        <f>IFERROR(IF(A1315="","",E1315*#REF!),"")</f>
        <v/>
      </c>
    </row>
    <row r="1316" spans="2:9" x14ac:dyDescent="0.3">
      <c r="B1316" t="str">
        <f>IFERROR(IF(A1316="","",VLOOKUP(A1316,CadProd!$A:$B,2,0)),"")</f>
        <v/>
      </c>
      <c r="C1316" t="str">
        <f>IFERROR(IF(A1316="","",VLOOKUP(A1316,CadProd!$A:$C,3,0)),"")</f>
        <v/>
      </c>
      <c r="I1316" s="1" t="str">
        <f>IFERROR(IF(A1316="","",E1316*#REF!),"")</f>
        <v/>
      </c>
    </row>
    <row r="1317" spans="2:9" x14ac:dyDescent="0.3">
      <c r="B1317" t="str">
        <f>IFERROR(IF(A1317="","",VLOOKUP(A1317,CadProd!$A:$B,2,0)),"")</f>
        <v/>
      </c>
      <c r="C1317" t="str">
        <f>IFERROR(IF(A1317="","",VLOOKUP(A1317,CadProd!$A:$C,3,0)),"")</f>
        <v/>
      </c>
      <c r="I1317" s="1" t="str">
        <f>IFERROR(IF(A1317="","",E1317*#REF!),"")</f>
        <v/>
      </c>
    </row>
    <row r="1318" spans="2:9" x14ac:dyDescent="0.3">
      <c r="B1318" t="str">
        <f>IFERROR(IF(A1318="","",VLOOKUP(A1318,CadProd!$A:$B,2,0)),"")</f>
        <v/>
      </c>
      <c r="C1318" t="str">
        <f>IFERROR(IF(A1318="","",VLOOKUP(A1318,CadProd!$A:$C,3,0)),"")</f>
        <v/>
      </c>
      <c r="I1318" s="1" t="str">
        <f>IFERROR(IF(A1318="","",E1318*#REF!),"")</f>
        <v/>
      </c>
    </row>
    <row r="1319" spans="2:9" x14ac:dyDescent="0.3">
      <c r="B1319" t="str">
        <f>IFERROR(IF(A1319="","",VLOOKUP(A1319,CadProd!$A:$B,2,0)),"")</f>
        <v/>
      </c>
      <c r="C1319" t="str">
        <f>IFERROR(IF(A1319="","",VLOOKUP(A1319,CadProd!$A:$C,3,0)),"")</f>
        <v/>
      </c>
      <c r="I1319" s="1" t="str">
        <f>IFERROR(IF(A1319="","",E1319*#REF!),"")</f>
        <v/>
      </c>
    </row>
    <row r="1320" spans="2:9" x14ac:dyDescent="0.3">
      <c r="B1320" t="str">
        <f>IFERROR(IF(A1320="","",VLOOKUP(A1320,CadProd!$A:$B,2,0)),"")</f>
        <v/>
      </c>
      <c r="C1320" t="str">
        <f>IFERROR(IF(A1320="","",VLOOKUP(A1320,CadProd!$A:$C,3,0)),"")</f>
        <v/>
      </c>
      <c r="I1320" s="1" t="str">
        <f>IFERROR(IF(A1320="","",E1320*#REF!),"")</f>
        <v/>
      </c>
    </row>
    <row r="1321" spans="2:9" x14ac:dyDescent="0.3">
      <c r="B1321" t="str">
        <f>IFERROR(IF(A1321="","",VLOOKUP(A1321,CadProd!$A:$B,2,0)),"")</f>
        <v/>
      </c>
      <c r="C1321" t="str">
        <f>IFERROR(IF(A1321="","",VLOOKUP(A1321,CadProd!$A:$C,3,0)),"")</f>
        <v/>
      </c>
      <c r="I1321" s="1" t="str">
        <f>IFERROR(IF(A1321="","",E1321*#REF!),"")</f>
        <v/>
      </c>
    </row>
    <row r="1322" spans="2:9" x14ac:dyDescent="0.3">
      <c r="B1322" t="str">
        <f>IFERROR(IF(A1322="","",VLOOKUP(A1322,CadProd!$A:$B,2,0)),"")</f>
        <v/>
      </c>
      <c r="C1322" t="str">
        <f>IFERROR(IF(A1322="","",VLOOKUP(A1322,CadProd!$A:$C,3,0)),"")</f>
        <v/>
      </c>
      <c r="I1322" s="1" t="str">
        <f>IFERROR(IF(A1322="","",E1322*#REF!),"")</f>
        <v/>
      </c>
    </row>
    <row r="1323" spans="2:9" x14ac:dyDescent="0.3">
      <c r="B1323" t="str">
        <f>IFERROR(IF(A1323="","",VLOOKUP(A1323,CadProd!$A:$B,2,0)),"")</f>
        <v/>
      </c>
      <c r="C1323" t="str">
        <f>IFERROR(IF(A1323="","",VLOOKUP(A1323,CadProd!$A:$C,3,0)),"")</f>
        <v/>
      </c>
      <c r="I1323" s="1" t="str">
        <f>IFERROR(IF(A1323="","",E1323*#REF!),"")</f>
        <v/>
      </c>
    </row>
    <row r="1324" spans="2:9" x14ac:dyDescent="0.3">
      <c r="B1324" t="str">
        <f>IFERROR(IF(A1324="","",VLOOKUP(A1324,CadProd!$A:$B,2,0)),"")</f>
        <v/>
      </c>
      <c r="C1324" t="str">
        <f>IFERROR(IF(A1324="","",VLOOKUP(A1324,CadProd!$A:$C,3,0)),"")</f>
        <v/>
      </c>
      <c r="I1324" s="1" t="str">
        <f>IFERROR(IF(A1324="","",E1324*#REF!),"")</f>
        <v/>
      </c>
    </row>
    <row r="1325" spans="2:9" x14ac:dyDescent="0.3">
      <c r="B1325" t="str">
        <f>IFERROR(IF(A1325="","",VLOOKUP(A1325,CadProd!$A:$B,2,0)),"")</f>
        <v/>
      </c>
      <c r="C1325" t="str">
        <f>IFERROR(IF(A1325="","",VLOOKUP(A1325,CadProd!$A:$C,3,0)),"")</f>
        <v/>
      </c>
      <c r="I1325" s="1" t="str">
        <f>IFERROR(IF(A1325="","",E1325*#REF!),"")</f>
        <v/>
      </c>
    </row>
    <row r="1326" spans="2:9" x14ac:dyDescent="0.3">
      <c r="B1326" t="str">
        <f>IFERROR(IF(A1326="","",VLOOKUP(A1326,CadProd!$A:$B,2,0)),"")</f>
        <v/>
      </c>
      <c r="C1326" t="str">
        <f>IFERROR(IF(A1326="","",VLOOKUP(A1326,CadProd!$A:$C,3,0)),"")</f>
        <v/>
      </c>
      <c r="I1326" s="1" t="str">
        <f>IFERROR(IF(A1326="","",E1326*#REF!),"")</f>
        <v/>
      </c>
    </row>
    <row r="1327" spans="2:9" x14ac:dyDescent="0.3">
      <c r="B1327" t="str">
        <f>IFERROR(IF(A1327="","",VLOOKUP(A1327,CadProd!$A:$B,2,0)),"")</f>
        <v/>
      </c>
      <c r="C1327" t="str">
        <f>IFERROR(IF(A1327="","",VLOOKUP(A1327,CadProd!$A:$C,3,0)),"")</f>
        <v/>
      </c>
      <c r="I1327" s="1" t="str">
        <f>IFERROR(IF(A1327="","",E1327*#REF!),"")</f>
        <v/>
      </c>
    </row>
    <row r="1328" spans="2:9" x14ac:dyDescent="0.3">
      <c r="B1328" t="str">
        <f>IFERROR(IF(A1328="","",VLOOKUP(A1328,CadProd!$A:$B,2,0)),"")</f>
        <v/>
      </c>
      <c r="C1328" t="str">
        <f>IFERROR(IF(A1328="","",VLOOKUP(A1328,CadProd!$A:$C,3,0)),"")</f>
        <v/>
      </c>
      <c r="I1328" s="1" t="str">
        <f>IFERROR(IF(A1328="","",E1328*#REF!),"")</f>
        <v/>
      </c>
    </row>
    <row r="1329" spans="2:9" x14ac:dyDescent="0.3">
      <c r="B1329" t="str">
        <f>IFERROR(IF(A1329="","",VLOOKUP(A1329,CadProd!$A:$B,2,0)),"")</f>
        <v/>
      </c>
      <c r="C1329" t="str">
        <f>IFERROR(IF(A1329="","",VLOOKUP(A1329,CadProd!$A:$C,3,0)),"")</f>
        <v/>
      </c>
      <c r="I1329" s="1" t="str">
        <f>IFERROR(IF(A1329="","",E1329*#REF!),"")</f>
        <v/>
      </c>
    </row>
    <row r="1330" spans="2:9" x14ac:dyDescent="0.3">
      <c r="B1330" t="str">
        <f>IFERROR(IF(A1330="","",VLOOKUP(A1330,CadProd!$A:$B,2,0)),"")</f>
        <v/>
      </c>
      <c r="C1330" t="str">
        <f>IFERROR(IF(A1330="","",VLOOKUP(A1330,CadProd!$A:$C,3,0)),"")</f>
        <v/>
      </c>
      <c r="I1330" s="1" t="str">
        <f>IFERROR(IF(A1330="","",E1330*#REF!),"")</f>
        <v/>
      </c>
    </row>
    <row r="1331" spans="2:9" x14ac:dyDescent="0.3">
      <c r="B1331" t="str">
        <f>IFERROR(IF(A1331="","",VLOOKUP(A1331,CadProd!$A:$B,2,0)),"")</f>
        <v/>
      </c>
      <c r="C1331" t="str">
        <f>IFERROR(IF(A1331="","",VLOOKUP(A1331,CadProd!$A:$C,3,0)),"")</f>
        <v/>
      </c>
      <c r="I1331" s="1" t="str">
        <f>IFERROR(IF(A1331="","",E1331*#REF!),"")</f>
        <v/>
      </c>
    </row>
    <row r="1332" spans="2:9" x14ac:dyDescent="0.3">
      <c r="B1332" t="str">
        <f>IFERROR(IF(A1332="","",VLOOKUP(A1332,CadProd!$A:$B,2,0)),"")</f>
        <v/>
      </c>
      <c r="C1332" t="str">
        <f>IFERROR(IF(A1332="","",VLOOKUP(A1332,CadProd!$A:$C,3,0)),"")</f>
        <v/>
      </c>
      <c r="I1332" s="1" t="str">
        <f>IFERROR(IF(A1332="","",E1332*#REF!),"")</f>
        <v/>
      </c>
    </row>
    <row r="1333" spans="2:9" x14ac:dyDescent="0.3">
      <c r="B1333" t="str">
        <f>IFERROR(IF(A1333="","",VLOOKUP(A1333,CadProd!$A:$B,2,0)),"")</f>
        <v/>
      </c>
      <c r="C1333" t="str">
        <f>IFERROR(IF(A1333="","",VLOOKUP(A1333,CadProd!$A:$C,3,0)),"")</f>
        <v/>
      </c>
      <c r="I1333" s="1" t="str">
        <f>IFERROR(IF(A1333="","",E1333*#REF!),"")</f>
        <v/>
      </c>
    </row>
    <row r="1334" spans="2:9" x14ac:dyDescent="0.3">
      <c r="B1334" t="str">
        <f>IFERROR(IF(A1334="","",VLOOKUP(A1334,CadProd!$A:$B,2,0)),"")</f>
        <v/>
      </c>
      <c r="C1334" t="str">
        <f>IFERROR(IF(A1334="","",VLOOKUP(A1334,CadProd!$A:$C,3,0)),"")</f>
        <v/>
      </c>
      <c r="I1334" s="1" t="str">
        <f>IFERROR(IF(A1334="","",E1334*#REF!),"")</f>
        <v/>
      </c>
    </row>
    <row r="1335" spans="2:9" x14ac:dyDescent="0.3">
      <c r="B1335" t="str">
        <f>IFERROR(IF(A1335="","",VLOOKUP(A1335,CadProd!$A:$B,2,0)),"")</f>
        <v/>
      </c>
      <c r="C1335" t="str">
        <f>IFERROR(IF(A1335="","",VLOOKUP(A1335,CadProd!$A:$C,3,0)),"")</f>
        <v/>
      </c>
      <c r="I1335" s="1" t="str">
        <f>IFERROR(IF(A1335="","",E1335*#REF!),"")</f>
        <v/>
      </c>
    </row>
    <row r="1336" spans="2:9" x14ac:dyDescent="0.3">
      <c r="B1336" t="str">
        <f>IFERROR(IF(A1336="","",VLOOKUP(A1336,CadProd!$A:$B,2,0)),"")</f>
        <v/>
      </c>
      <c r="C1336" t="str">
        <f>IFERROR(IF(A1336="","",VLOOKUP(A1336,CadProd!$A:$C,3,0)),"")</f>
        <v/>
      </c>
      <c r="I1336" s="1" t="str">
        <f>IFERROR(IF(A1336="","",E1336*#REF!),"")</f>
        <v/>
      </c>
    </row>
    <row r="1337" spans="2:9" x14ac:dyDescent="0.3">
      <c r="B1337" t="str">
        <f>IFERROR(IF(A1337="","",VLOOKUP(A1337,CadProd!$A:$B,2,0)),"")</f>
        <v/>
      </c>
      <c r="C1337" t="str">
        <f>IFERROR(IF(A1337="","",VLOOKUP(A1337,CadProd!$A:$C,3,0)),"")</f>
        <v/>
      </c>
      <c r="I1337" s="1" t="str">
        <f>IFERROR(IF(A1337="","",E1337*#REF!),"")</f>
        <v/>
      </c>
    </row>
    <row r="1338" spans="2:9" x14ac:dyDescent="0.3">
      <c r="B1338" t="str">
        <f>IFERROR(IF(A1338="","",VLOOKUP(A1338,CadProd!$A:$B,2,0)),"")</f>
        <v/>
      </c>
      <c r="C1338" t="str">
        <f>IFERROR(IF(A1338="","",VLOOKUP(A1338,CadProd!$A:$C,3,0)),"")</f>
        <v/>
      </c>
      <c r="I1338" s="1" t="str">
        <f>IFERROR(IF(A1338="","",E1338*#REF!),"")</f>
        <v/>
      </c>
    </row>
    <row r="1339" spans="2:9" x14ac:dyDescent="0.3">
      <c r="B1339" t="str">
        <f>IFERROR(IF(A1339="","",VLOOKUP(A1339,CadProd!$A:$B,2,0)),"")</f>
        <v/>
      </c>
      <c r="C1339" t="str">
        <f>IFERROR(IF(A1339="","",VLOOKUP(A1339,CadProd!$A:$C,3,0)),"")</f>
        <v/>
      </c>
      <c r="I1339" s="1" t="str">
        <f>IFERROR(IF(A1339="","",E1339*#REF!),"")</f>
        <v/>
      </c>
    </row>
    <row r="1340" spans="2:9" x14ac:dyDescent="0.3">
      <c r="B1340" t="str">
        <f>IFERROR(IF(A1340="","",VLOOKUP(A1340,CadProd!$A:$B,2,0)),"")</f>
        <v/>
      </c>
      <c r="C1340" t="str">
        <f>IFERROR(IF(A1340="","",VLOOKUP(A1340,CadProd!$A:$C,3,0)),"")</f>
        <v/>
      </c>
      <c r="I1340" s="1" t="str">
        <f>IFERROR(IF(A1340="","",E1340*#REF!),"")</f>
        <v/>
      </c>
    </row>
    <row r="1341" spans="2:9" x14ac:dyDescent="0.3">
      <c r="B1341" t="str">
        <f>IFERROR(IF(A1341="","",VLOOKUP(A1341,CadProd!$A:$B,2,0)),"")</f>
        <v/>
      </c>
      <c r="C1341" t="str">
        <f>IFERROR(IF(A1341="","",VLOOKUP(A1341,CadProd!$A:$C,3,0)),"")</f>
        <v/>
      </c>
      <c r="I1341" s="1" t="str">
        <f>IFERROR(IF(A1341="","",E1341*#REF!),"")</f>
        <v/>
      </c>
    </row>
    <row r="1342" spans="2:9" x14ac:dyDescent="0.3">
      <c r="B1342" t="str">
        <f>IFERROR(IF(A1342="","",VLOOKUP(A1342,CadProd!$A:$B,2,0)),"")</f>
        <v/>
      </c>
      <c r="C1342" t="str">
        <f>IFERROR(IF(A1342="","",VLOOKUP(A1342,CadProd!$A:$C,3,0)),"")</f>
        <v/>
      </c>
      <c r="I1342" s="1" t="str">
        <f>IFERROR(IF(A1342="","",E1342*#REF!),"")</f>
        <v/>
      </c>
    </row>
    <row r="1343" spans="2:9" x14ac:dyDescent="0.3">
      <c r="B1343" t="str">
        <f>IFERROR(IF(A1343="","",VLOOKUP(A1343,CadProd!$A:$B,2,0)),"")</f>
        <v/>
      </c>
      <c r="C1343" t="str">
        <f>IFERROR(IF(A1343="","",VLOOKUP(A1343,CadProd!$A:$C,3,0)),"")</f>
        <v/>
      </c>
      <c r="I1343" s="1" t="str">
        <f>IFERROR(IF(A1343="","",E1343*#REF!),"")</f>
        <v/>
      </c>
    </row>
    <row r="1344" spans="2:9" x14ac:dyDescent="0.3">
      <c r="B1344" t="str">
        <f>IFERROR(IF(A1344="","",VLOOKUP(A1344,CadProd!$A:$B,2,0)),"")</f>
        <v/>
      </c>
      <c r="C1344" t="str">
        <f>IFERROR(IF(A1344="","",VLOOKUP(A1344,CadProd!$A:$C,3,0)),"")</f>
        <v/>
      </c>
      <c r="I1344" s="1" t="str">
        <f>IFERROR(IF(A1344="","",E1344*#REF!),"")</f>
        <v/>
      </c>
    </row>
    <row r="1345" spans="2:9" x14ac:dyDescent="0.3">
      <c r="B1345" t="str">
        <f>IFERROR(IF(A1345="","",VLOOKUP(A1345,CadProd!$A:$B,2,0)),"")</f>
        <v/>
      </c>
      <c r="C1345" t="str">
        <f>IFERROR(IF(A1345="","",VLOOKUP(A1345,CadProd!$A:$C,3,0)),"")</f>
        <v/>
      </c>
      <c r="I1345" s="1" t="str">
        <f>IFERROR(IF(A1345="","",E1345*#REF!),"")</f>
        <v/>
      </c>
    </row>
    <row r="1346" spans="2:9" x14ac:dyDescent="0.3">
      <c r="B1346" t="str">
        <f>IFERROR(IF(A1346="","",VLOOKUP(A1346,CadProd!$A:$B,2,0)),"")</f>
        <v/>
      </c>
      <c r="C1346" t="str">
        <f>IFERROR(IF(A1346="","",VLOOKUP(A1346,CadProd!$A:$C,3,0)),"")</f>
        <v/>
      </c>
      <c r="I1346" s="1" t="str">
        <f>IFERROR(IF(A1346="","",E1346*#REF!),"")</f>
        <v/>
      </c>
    </row>
    <row r="1347" spans="2:9" x14ac:dyDescent="0.3">
      <c r="B1347" t="str">
        <f>IFERROR(IF(A1347="","",VLOOKUP(A1347,CadProd!$A:$B,2,0)),"")</f>
        <v/>
      </c>
      <c r="C1347" t="str">
        <f>IFERROR(IF(A1347="","",VLOOKUP(A1347,CadProd!$A:$C,3,0)),"")</f>
        <v/>
      </c>
      <c r="I1347" s="1" t="str">
        <f>IFERROR(IF(A1347="","",E1347*#REF!),"")</f>
        <v/>
      </c>
    </row>
    <row r="1348" spans="2:9" x14ac:dyDescent="0.3">
      <c r="B1348" t="str">
        <f>IFERROR(IF(A1348="","",VLOOKUP(A1348,CadProd!$A:$B,2,0)),"")</f>
        <v/>
      </c>
      <c r="C1348" t="str">
        <f>IFERROR(IF(A1348="","",VLOOKUP(A1348,CadProd!$A:$C,3,0)),"")</f>
        <v/>
      </c>
      <c r="I1348" s="1" t="str">
        <f>IFERROR(IF(A1348="","",E1348*#REF!),"")</f>
        <v/>
      </c>
    </row>
    <row r="1349" spans="2:9" x14ac:dyDescent="0.3">
      <c r="B1349" t="str">
        <f>IFERROR(IF(A1349="","",VLOOKUP(A1349,CadProd!$A:$B,2,0)),"")</f>
        <v/>
      </c>
      <c r="C1349" t="str">
        <f>IFERROR(IF(A1349="","",VLOOKUP(A1349,CadProd!$A:$C,3,0)),"")</f>
        <v/>
      </c>
      <c r="I1349" s="1" t="str">
        <f>IFERROR(IF(A1349="","",E1349*#REF!),"")</f>
        <v/>
      </c>
    </row>
    <row r="1350" spans="2:9" x14ac:dyDescent="0.3">
      <c r="B1350" t="str">
        <f>IFERROR(IF(A1350="","",VLOOKUP(A1350,CadProd!$A:$B,2,0)),"")</f>
        <v/>
      </c>
      <c r="C1350" t="str">
        <f>IFERROR(IF(A1350="","",VLOOKUP(A1350,CadProd!$A:$C,3,0)),"")</f>
        <v/>
      </c>
      <c r="I1350" s="1" t="str">
        <f>IFERROR(IF(A1350="","",E1350*#REF!),"")</f>
        <v/>
      </c>
    </row>
    <row r="1351" spans="2:9" x14ac:dyDescent="0.3">
      <c r="B1351" t="str">
        <f>IFERROR(IF(A1351="","",VLOOKUP(A1351,CadProd!$A:$B,2,0)),"")</f>
        <v/>
      </c>
      <c r="C1351" t="str">
        <f>IFERROR(IF(A1351="","",VLOOKUP(A1351,CadProd!$A:$C,3,0)),"")</f>
        <v/>
      </c>
      <c r="I1351" s="1" t="str">
        <f>IFERROR(IF(A1351="","",E1351*#REF!),"")</f>
        <v/>
      </c>
    </row>
    <row r="1352" spans="2:9" x14ac:dyDescent="0.3">
      <c r="B1352" t="str">
        <f>IFERROR(IF(A1352="","",VLOOKUP(A1352,CadProd!$A:$B,2,0)),"")</f>
        <v/>
      </c>
      <c r="C1352" t="str">
        <f>IFERROR(IF(A1352="","",VLOOKUP(A1352,CadProd!$A:$C,3,0)),"")</f>
        <v/>
      </c>
      <c r="I1352" s="1" t="str">
        <f>IFERROR(IF(A1352="","",E1352*#REF!),"")</f>
        <v/>
      </c>
    </row>
    <row r="1353" spans="2:9" x14ac:dyDescent="0.3">
      <c r="B1353" t="str">
        <f>IFERROR(IF(A1353="","",VLOOKUP(A1353,CadProd!$A:$B,2,0)),"")</f>
        <v/>
      </c>
      <c r="C1353" t="str">
        <f>IFERROR(IF(A1353="","",VLOOKUP(A1353,CadProd!$A:$C,3,0)),"")</f>
        <v/>
      </c>
      <c r="I1353" s="1" t="str">
        <f>IFERROR(IF(A1353="","",E1353*#REF!),"")</f>
        <v/>
      </c>
    </row>
    <row r="1354" spans="2:9" x14ac:dyDescent="0.3">
      <c r="B1354" t="str">
        <f>IFERROR(IF(A1354="","",VLOOKUP(A1354,CadProd!$A:$B,2,0)),"")</f>
        <v/>
      </c>
      <c r="C1354" t="str">
        <f>IFERROR(IF(A1354="","",VLOOKUP(A1354,CadProd!$A:$C,3,0)),"")</f>
        <v/>
      </c>
      <c r="I1354" s="1" t="str">
        <f>IFERROR(IF(A1354="","",E1354*#REF!),"")</f>
        <v/>
      </c>
    </row>
    <row r="1355" spans="2:9" x14ac:dyDescent="0.3">
      <c r="B1355" t="str">
        <f>IFERROR(IF(A1355="","",VLOOKUP(A1355,CadProd!$A:$B,2,0)),"")</f>
        <v/>
      </c>
      <c r="C1355" t="str">
        <f>IFERROR(IF(A1355="","",VLOOKUP(A1355,CadProd!$A:$C,3,0)),"")</f>
        <v/>
      </c>
      <c r="I1355" s="1" t="str">
        <f>IFERROR(IF(A1355="","",E1355*#REF!),"")</f>
        <v/>
      </c>
    </row>
    <row r="1356" spans="2:9" x14ac:dyDescent="0.3">
      <c r="B1356" t="str">
        <f>IFERROR(IF(A1356="","",VLOOKUP(A1356,CadProd!$A:$B,2,0)),"")</f>
        <v/>
      </c>
      <c r="C1356" t="str">
        <f>IFERROR(IF(A1356="","",VLOOKUP(A1356,CadProd!$A:$C,3,0)),"")</f>
        <v/>
      </c>
      <c r="I1356" s="1" t="str">
        <f>IFERROR(IF(A1356="","",E1356*#REF!),"")</f>
        <v/>
      </c>
    </row>
    <row r="1357" spans="2:9" x14ac:dyDescent="0.3">
      <c r="B1357" t="str">
        <f>IFERROR(IF(A1357="","",VLOOKUP(A1357,CadProd!$A:$B,2,0)),"")</f>
        <v/>
      </c>
      <c r="C1357" t="str">
        <f>IFERROR(IF(A1357="","",VLOOKUP(A1357,CadProd!$A:$C,3,0)),"")</f>
        <v/>
      </c>
      <c r="I1357" s="1" t="str">
        <f>IFERROR(IF(A1357="","",E1357*#REF!),"")</f>
        <v/>
      </c>
    </row>
    <row r="1358" spans="2:9" x14ac:dyDescent="0.3">
      <c r="B1358" t="str">
        <f>IFERROR(IF(A1358="","",VLOOKUP(A1358,CadProd!$A:$B,2,0)),"")</f>
        <v/>
      </c>
      <c r="C1358" t="str">
        <f>IFERROR(IF(A1358="","",VLOOKUP(A1358,CadProd!$A:$C,3,0)),"")</f>
        <v/>
      </c>
      <c r="I1358" s="1" t="str">
        <f>IFERROR(IF(A1358="","",E1358*#REF!),"")</f>
        <v/>
      </c>
    </row>
    <row r="1359" spans="2:9" x14ac:dyDescent="0.3">
      <c r="B1359" t="str">
        <f>IFERROR(IF(A1359="","",VLOOKUP(A1359,CadProd!$A:$B,2,0)),"")</f>
        <v/>
      </c>
      <c r="C1359" t="str">
        <f>IFERROR(IF(A1359="","",VLOOKUP(A1359,CadProd!$A:$C,3,0)),"")</f>
        <v/>
      </c>
      <c r="I1359" s="1" t="str">
        <f>IFERROR(IF(A1359="","",E1359*#REF!),"")</f>
        <v/>
      </c>
    </row>
    <row r="1360" spans="2:9" x14ac:dyDescent="0.3">
      <c r="B1360" t="str">
        <f>IFERROR(IF(A1360="","",VLOOKUP(A1360,CadProd!$A:$B,2,0)),"")</f>
        <v/>
      </c>
      <c r="C1360" t="str">
        <f>IFERROR(IF(A1360="","",VLOOKUP(A1360,CadProd!$A:$C,3,0)),"")</f>
        <v/>
      </c>
      <c r="I1360" s="1" t="str">
        <f>IFERROR(IF(A1360="","",E1360*#REF!),"")</f>
        <v/>
      </c>
    </row>
    <row r="1361" spans="2:9" x14ac:dyDescent="0.3">
      <c r="B1361" t="str">
        <f>IFERROR(IF(A1361="","",VLOOKUP(A1361,CadProd!$A:$B,2,0)),"")</f>
        <v/>
      </c>
      <c r="C1361" t="str">
        <f>IFERROR(IF(A1361="","",VLOOKUP(A1361,CadProd!$A:$C,3,0)),"")</f>
        <v/>
      </c>
      <c r="I1361" s="1" t="str">
        <f>IFERROR(IF(A1361="","",E1361*#REF!),"")</f>
        <v/>
      </c>
    </row>
    <row r="1362" spans="2:9" x14ac:dyDescent="0.3">
      <c r="B1362" t="str">
        <f>IFERROR(IF(A1362="","",VLOOKUP(A1362,CadProd!$A:$B,2,0)),"")</f>
        <v/>
      </c>
      <c r="C1362" t="str">
        <f>IFERROR(IF(A1362="","",VLOOKUP(A1362,CadProd!$A:$C,3,0)),"")</f>
        <v/>
      </c>
      <c r="I1362" s="1" t="str">
        <f>IFERROR(IF(A1362="","",E1362*#REF!),"")</f>
        <v/>
      </c>
    </row>
    <row r="1363" spans="2:9" x14ac:dyDescent="0.3">
      <c r="B1363" t="str">
        <f>IFERROR(IF(A1363="","",VLOOKUP(A1363,CadProd!$A:$B,2,0)),"")</f>
        <v/>
      </c>
      <c r="C1363" t="str">
        <f>IFERROR(IF(A1363="","",VLOOKUP(A1363,CadProd!$A:$C,3,0)),"")</f>
        <v/>
      </c>
      <c r="I1363" s="1" t="str">
        <f>IFERROR(IF(A1363="","",E1363*#REF!),"")</f>
        <v/>
      </c>
    </row>
    <row r="1364" spans="2:9" x14ac:dyDescent="0.3">
      <c r="B1364" t="str">
        <f>IFERROR(IF(A1364="","",VLOOKUP(A1364,CadProd!$A:$B,2,0)),"")</f>
        <v/>
      </c>
      <c r="C1364" t="str">
        <f>IFERROR(IF(A1364="","",VLOOKUP(A1364,CadProd!$A:$C,3,0)),"")</f>
        <v/>
      </c>
      <c r="I1364" s="1" t="str">
        <f>IFERROR(IF(A1364="","",E1364*#REF!),"")</f>
        <v/>
      </c>
    </row>
    <row r="1365" spans="2:9" x14ac:dyDescent="0.3">
      <c r="B1365" t="str">
        <f>IFERROR(IF(A1365="","",VLOOKUP(A1365,CadProd!$A:$B,2,0)),"")</f>
        <v/>
      </c>
      <c r="C1365" t="str">
        <f>IFERROR(IF(A1365="","",VLOOKUP(A1365,CadProd!$A:$C,3,0)),"")</f>
        <v/>
      </c>
      <c r="I1365" s="1" t="str">
        <f>IFERROR(IF(A1365="","",E1365*#REF!),"")</f>
        <v/>
      </c>
    </row>
    <row r="1366" spans="2:9" x14ac:dyDescent="0.3">
      <c r="B1366" t="str">
        <f>IFERROR(IF(A1366="","",VLOOKUP(A1366,CadProd!$A:$B,2,0)),"")</f>
        <v/>
      </c>
      <c r="C1366" t="str">
        <f>IFERROR(IF(A1366="","",VLOOKUP(A1366,CadProd!$A:$C,3,0)),"")</f>
        <v/>
      </c>
      <c r="I1366" s="1" t="str">
        <f>IFERROR(IF(A1366="","",E1366*#REF!),"")</f>
        <v/>
      </c>
    </row>
    <row r="1367" spans="2:9" x14ac:dyDescent="0.3">
      <c r="B1367" t="str">
        <f>IFERROR(IF(A1367="","",VLOOKUP(A1367,CadProd!$A:$B,2,0)),"")</f>
        <v/>
      </c>
      <c r="C1367" t="str">
        <f>IFERROR(IF(A1367="","",VLOOKUP(A1367,CadProd!$A:$C,3,0)),"")</f>
        <v/>
      </c>
      <c r="I1367" s="1" t="str">
        <f>IFERROR(IF(A1367="","",E1367*#REF!),"")</f>
        <v/>
      </c>
    </row>
    <row r="1368" spans="2:9" x14ac:dyDescent="0.3">
      <c r="B1368" t="str">
        <f>IFERROR(IF(A1368="","",VLOOKUP(A1368,CadProd!$A:$B,2,0)),"")</f>
        <v/>
      </c>
      <c r="C1368" t="str">
        <f>IFERROR(IF(A1368="","",VLOOKUP(A1368,CadProd!$A:$C,3,0)),"")</f>
        <v/>
      </c>
      <c r="I1368" s="1" t="str">
        <f>IFERROR(IF(A1368="","",E1368*#REF!),"")</f>
        <v/>
      </c>
    </row>
    <row r="1369" spans="2:9" x14ac:dyDescent="0.3">
      <c r="B1369" t="str">
        <f>IFERROR(IF(A1369="","",VLOOKUP(A1369,CadProd!$A:$B,2,0)),"")</f>
        <v/>
      </c>
      <c r="C1369" t="str">
        <f>IFERROR(IF(A1369="","",VLOOKUP(A1369,CadProd!$A:$C,3,0)),"")</f>
        <v/>
      </c>
      <c r="I1369" s="1" t="str">
        <f>IFERROR(IF(A1369="","",E1369*#REF!),"")</f>
        <v/>
      </c>
    </row>
    <row r="1370" spans="2:9" x14ac:dyDescent="0.3">
      <c r="B1370" t="str">
        <f>IFERROR(IF(A1370="","",VLOOKUP(A1370,CadProd!$A:$B,2,0)),"")</f>
        <v/>
      </c>
      <c r="C1370" t="str">
        <f>IFERROR(IF(A1370="","",VLOOKUP(A1370,CadProd!$A:$C,3,0)),"")</f>
        <v/>
      </c>
      <c r="I1370" s="1" t="str">
        <f>IFERROR(IF(A1370="","",E1370*#REF!),"")</f>
        <v/>
      </c>
    </row>
    <row r="1371" spans="2:9" x14ac:dyDescent="0.3">
      <c r="B1371" t="str">
        <f>IFERROR(IF(A1371="","",VLOOKUP(A1371,CadProd!$A:$B,2,0)),"")</f>
        <v/>
      </c>
      <c r="C1371" t="str">
        <f>IFERROR(IF(A1371="","",VLOOKUP(A1371,CadProd!$A:$C,3,0)),"")</f>
        <v/>
      </c>
      <c r="I1371" s="1" t="str">
        <f>IFERROR(IF(A1371="","",E1371*#REF!),"")</f>
        <v/>
      </c>
    </row>
    <row r="1372" spans="2:9" x14ac:dyDescent="0.3">
      <c r="B1372" t="str">
        <f>IFERROR(IF(A1372="","",VLOOKUP(A1372,CadProd!$A:$B,2,0)),"")</f>
        <v/>
      </c>
      <c r="C1372" t="str">
        <f>IFERROR(IF(A1372="","",VLOOKUP(A1372,CadProd!$A:$C,3,0)),"")</f>
        <v/>
      </c>
      <c r="I1372" s="1" t="str">
        <f>IFERROR(IF(A1372="","",E1372*#REF!),"")</f>
        <v/>
      </c>
    </row>
    <row r="1373" spans="2:9" x14ac:dyDescent="0.3">
      <c r="B1373" t="str">
        <f>IFERROR(IF(A1373="","",VLOOKUP(A1373,CadProd!$A:$B,2,0)),"")</f>
        <v/>
      </c>
      <c r="C1373" t="str">
        <f>IFERROR(IF(A1373="","",VLOOKUP(A1373,CadProd!$A:$C,3,0)),"")</f>
        <v/>
      </c>
      <c r="I1373" s="1" t="str">
        <f>IFERROR(IF(A1373="","",E1373*#REF!),"")</f>
        <v/>
      </c>
    </row>
    <row r="1374" spans="2:9" x14ac:dyDescent="0.3">
      <c r="B1374" t="str">
        <f>IFERROR(IF(A1374="","",VLOOKUP(A1374,CadProd!$A:$B,2,0)),"")</f>
        <v/>
      </c>
      <c r="C1374" t="str">
        <f>IFERROR(IF(A1374="","",VLOOKUP(A1374,CadProd!$A:$C,3,0)),"")</f>
        <v/>
      </c>
      <c r="I1374" s="1" t="str">
        <f>IFERROR(IF(A1374="","",E1374*#REF!),"")</f>
        <v/>
      </c>
    </row>
    <row r="1375" spans="2:9" x14ac:dyDescent="0.3">
      <c r="B1375" t="str">
        <f>IFERROR(IF(A1375="","",VLOOKUP(A1375,CadProd!$A:$B,2,0)),"")</f>
        <v/>
      </c>
      <c r="C1375" t="str">
        <f>IFERROR(IF(A1375="","",VLOOKUP(A1375,CadProd!$A:$C,3,0)),"")</f>
        <v/>
      </c>
      <c r="I1375" s="1" t="str">
        <f>IFERROR(IF(A1375="","",E1375*#REF!),"")</f>
        <v/>
      </c>
    </row>
    <row r="1376" spans="2:9" x14ac:dyDescent="0.3">
      <c r="B1376" t="str">
        <f>IFERROR(IF(A1376="","",VLOOKUP(A1376,CadProd!$A:$B,2,0)),"")</f>
        <v/>
      </c>
      <c r="C1376" t="str">
        <f>IFERROR(IF(A1376="","",VLOOKUP(A1376,CadProd!$A:$C,3,0)),"")</f>
        <v/>
      </c>
      <c r="I1376" s="1" t="str">
        <f>IFERROR(IF(A1376="","",E1376*#REF!),"")</f>
        <v/>
      </c>
    </row>
    <row r="1377" spans="2:9" x14ac:dyDescent="0.3">
      <c r="B1377" t="str">
        <f>IFERROR(IF(A1377="","",VLOOKUP(A1377,CadProd!$A:$B,2,0)),"")</f>
        <v/>
      </c>
      <c r="C1377" t="str">
        <f>IFERROR(IF(A1377="","",VLOOKUP(A1377,CadProd!$A:$C,3,0)),"")</f>
        <v/>
      </c>
      <c r="I1377" s="1" t="str">
        <f>IFERROR(IF(A1377="","",E1377*#REF!),"")</f>
        <v/>
      </c>
    </row>
    <row r="1378" spans="2:9" x14ac:dyDescent="0.3">
      <c r="B1378" t="str">
        <f>IFERROR(IF(A1378="","",VLOOKUP(A1378,CadProd!$A:$B,2,0)),"")</f>
        <v/>
      </c>
      <c r="C1378" t="str">
        <f>IFERROR(IF(A1378="","",VLOOKUP(A1378,CadProd!$A:$C,3,0)),"")</f>
        <v/>
      </c>
      <c r="I1378" s="1" t="str">
        <f>IFERROR(IF(A1378="","",E1378*#REF!),"")</f>
        <v/>
      </c>
    </row>
    <row r="1379" spans="2:9" x14ac:dyDescent="0.3">
      <c r="B1379" t="str">
        <f>IFERROR(IF(A1379="","",VLOOKUP(A1379,CadProd!$A:$B,2,0)),"")</f>
        <v/>
      </c>
      <c r="C1379" t="str">
        <f>IFERROR(IF(A1379="","",VLOOKUP(A1379,CadProd!$A:$C,3,0)),"")</f>
        <v/>
      </c>
      <c r="I1379" s="1" t="str">
        <f>IFERROR(IF(A1379="","",E1379*#REF!),"")</f>
        <v/>
      </c>
    </row>
    <row r="1380" spans="2:9" x14ac:dyDescent="0.3">
      <c r="B1380" t="str">
        <f>IFERROR(IF(A1380="","",VLOOKUP(A1380,CadProd!$A:$B,2,0)),"")</f>
        <v/>
      </c>
      <c r="C1380" t="str">
        <f>IFERROR(IF(A1380="","",VLOOKUP(A1380,CadProd!$A:$C,3,0)),"")</f>
        <v/>
      </c>
      <c r="I1380" s="1" t="str">
        <f>IFERROR(IF(A1380="","",E1380*#REF!),"")</f>
        <v/>
      </c>
    </row>
    <row r="1381" spans="2:9" x14ac:dyDescent="0.3">
      <c r="B1381" t="str">
        <f>IFERROR(IF(A1381="","",VLOOKUP(A1381,CadProd!$A:$B,2,0)),"")</f>
        <v/>
      </c>
      <c r="C1381" t="str">
        <f>IFERROR(IF(A1381="","",VLOOKUP(A1381,CadProd!$A:$C,3,0)),"")</f>
        <v/>
      </c>
      <c r="I1381" s="1" t="str">
        <f>IFERROR(IF(A1381="","",E1381*#REF!),"")</f>
        <v/>
      </c>
    </row>
    <row r="1382" spans="2:9" x14ac:dyDescent="0.3">
      <c r="B1382" t="str">
        <f>IFERROR(IF(A1382="","",VLOOKUP(A1382,CadProd!$A:$B,2,0)),"")</f>
        <v/>
      </c>
      <c r="C1382" t="str">
        <f>IFERROR(IF(A1382="","",VLOOKUP(A1382,CadProd!$A:$C,3,0)),"")</f>
        <v/>
      </c>
      <c r="I1382" s="1" t="str">
        <f>IFERROR(IF(A1382="","",E1382*#REF!),"")</f>
        <v/>
      </c>
    </row>
    <row r="1383" spans="2:9" x14ac:dyDescent="0.3">
      <c r="B1383" t="str">
        <f>IFERROR(IF(A1383="","",VLOOKUP(A1383,CadProd!$A:$B,2,0)),"")</f>
        <v/>
      </c>
      <c r="C1383" t="str">
        <f>IFERROR(IF(A1383="","",VLOOKUP(A1383,CadProd!$A:$C,3,0)),"")</f>
        <v/>
      </c>
      <c r="I1383" s="1" t="str">
        <f>IFERROR(IF(A1383="","",E1383*#REF!),"")</f>
        <v/>
      </c>
    </row>
    <row r="1384" spans="2:9" x14ac:dyDescent="0.3">
      <c r="B1384" t="str">
        <f>IFERROR(IF(A1384="","",VLOOKUP(A1384,CadProd!$A:$B,2,0)),"")</f>
        <v/>
      </c>
      <c r="C1384" t="str">
        <f>IFERROR(IF(A1384="","",VLOOKUP(A1384,CadProd!$A:$C,3,0)),"")</f>
        <v/>
      </c>
      <c r="I1384" s="1" t="str">
        <f>IFERROR(IF(A1384="","",E1384*#REF!),"")</f>
        <v/>
      </c>
    </row>
    <row r="1385" spans="2:9" x14ac:dyDescent="0.3">
      <c r="B1385" t="str">
        <f>IFERROR(IF(A1385="","",VLOOKUP(A1385,CadProd!$A:$B,2,0)),"")</f>
        <v/>
      </c>
      <c r="C1385" t="str">
        <f>IFERROR(IF(A1385="","",VLOOKUP(A1385,CadProd!$A:$C,3,0)),"")</f>
        <v/>
      </c>
      <c r="I1385" s="1" t="str">
        <f>IFERROR(IF(A1385="","",E1385*#REF!),"")</f>
        <v/>
      </c>
    </row>
    <row r="1386" spans="2:9" x14ac:dyDescent="0.3">
      <c r="B1386" t="str">
        <f>IFERROR(IF(A1386="","",VLOOKUP(A1386,CadProd!$A:$B,2,0)),"")</f>
        <v/>
      </c>
      <c r="C1386" t="str">
        <f>IFERROR(IF(A1386="","",VLOOKUP(A1386,CadProd!$A:$C,3,0)),"")</f>
        <v/>
      </c>
      <c r="I1386" s="1" t="str">
        <f>IFERROR(IF(A1386="","",E1386*#REF!),"")</f>
        <v/>
      </c>
    </row>
    <row r="1387" spans="2:9" x14ac:dyDescent="0.3">
      <c r="B1387" t="str">
        <f>IFERROR(IF(A1387="","",VLOOKUP(A1387,CadProd!$A:$B,2,0)),"")</f>
        <v/>
      </c>
      <c r="C1387" t="str">
        <f>IFERROR(IF(A1387="","",VLOOKUP(A1387,CadProd!$A:$C,3,0)),"")</f>
        <v/>
      </c>
      <c r="I1387" s="1" t="str">
        <f>IFERROR(IF(A1387="","",E1387*#REF!),"")</f>
        <v/>
      </c>
    </row>
    <row r="1388" spans="2:9" x14ac:dyDescent="0.3">
      <c r="B1388" t="str">
        <f>IFERROR(IF(A1388="","",VLOOKUP(A1388,CadProd!$A:$B,2,0)),"")</f>
        <v/>
      </c>
      <c r="C1388" t="str">
        <f>IFERROR(IF(A1388="","",VLOOKUP(A1388,CadProd!$A:$C,3,0)),"")</f>
        <v/>
      </c>
      <c r="I1388" s="1" t="str">
        <f>IFERROR(IF(A1388="","",E1388*#REF!),"")</f>
        <v/>
      </c>
    </row>
    <row r="1389" spans="2:9" x14ac:dyDescent="0.3">
      <c r="B1389" t="str">
        <f>IFERROR(IF(A1389="","",VLOOKUP(A1389,CadProd!$A:$B,2,0)),"")</f>
        <v/>
      </c>
      <c r="C1389" t="str">
        <f>IFERROR(IF(A1389="","",VLOOKUP(A1389,CadProd!$A:$C,3,0)),"")</f>
        <v/>
      </c>
      <c r="I1389" s="1" t="str">
        <f>IFERROR(IF(A1389="","",E1389*#REF!),"")</f>
        <v/>
      </c>
    </row>
    <row r="1390" spans="2:9" x14ac:dyDescent="0.3">
      <c r="B1390" t="str">
        <f>IFERROR(IF(A1390="","",VLOOKUP(A1390,CadProd!$A:$B,2,0)),"")</f>
        <v/>
      </c>
      <c r="C1390" t="str">
        <f>IFERROR(IF(A1390="","",VLOOKUP(A1390,CadProd!$A:$C,3,0)),"")</f>
        <v/>
      </c>
      <c r="I1390" s="1" t="str">
        <f>IFERROR(IF(A1390="","",E1390*#REF!),"")</f>
        <v/>
      </c>
    </row>
    <row r="1391" spans="2:9" x14ac:dyDescent="0.3">
      <c r="B1391" t="str">
        <f>IFERROR(IF(A1391="","",VLOOKUP(A1391,CadProd!$A:$B,2,0)),"")</f>
        <v/>
      </c>
      <c r="C1391" t="str">
        <f>IFERROR(IF(A1391="","",VLOOKUP(A1391,CadProd!$A:$C,3,0)),"")</f>
        <v/>
      </c>
      <c r="I1391" s="1" t="str">
        <f>IFERROR(IF(A1391="","",E1391*#REF!),"")</f>
        <v/>
      </c>
    </row>
    <row r="1392" spans="2:9" x14ac:dyDescent="0.3">
      <c r="B1392" t="str">
        <f>IFERROR(IF(A1392="","",VLOOKUP(A1392,CadProd!$A:$B,2,0)),"")</f>
        <v/>
      </c>
      <c r="C1392" t="str">
        <f>IFERROR(IF(A1392="","",VLOOKUP(A1392,CadProd!$A:$C,3,0)),"")</f>
        <v/>
      </c>
      <c r="I1392" s="1" t="str">
        <f>IFERROR(IF(A1392="","",E1392*#REF!),"")</f>
        <v/>
      </c>
    </row>
    <row r="1393" spans="2:9" x14ac:dyDescent="0.3">
      <c r="B1393" t="str">
        <f>IFERROR(IF(A1393="","",VLOOKUP(A1393,CadProd!$A:$B,2,0)),"")</f>
        <v/>
      </c>
      <c r="C1393" t="str">
        <f>IFERROR(IF(A1393="","",VLOOKUP(A1393,CadProd!$A:$C,3,0)),"")</f>
        <v/>
      </c>
      <c r="I1393" s="1" t="str">
        <f>IFERROR(IF(A1393="","",E1393*#REF!),"")</f>
        <v/>
      </c>
    </row>
    <row r="1394" spans="2:9" x14ac:dyDescent="0.3">
      <c r="B1394" t="str">
        <f>IFERROR(IF(A1394="","",VLOOKUP(A1394,CadProd!$A:$B,2,0)),"")</f>
        <v/>
      </c>
      <c r="C1394" t="str">
        <f>IFERROR(IF(A1394="","",VLOOKUP(A1394,CadProd!$A:$C,3,0)),"")</f>
        <v/>
      </c>
      <c r="I1394" s="1" t="str">
        <f>IFERROR(IF(A1394="","",E1394*#REF!),"")</f>
        <v/>
      </c>
    </row>
    <row r="1395" spans="2:9" x14ac:dyDescent="0.3">
      <c r="B1395" t="str">
        <f>IFERROR(IF(A1395="","",VLOOKUP(A1395,CadProd!$A:$B,2,0)),"")</f>
        <v/>
      </c>
      <c r="C1395" t="str">
        <f>IFERROR(IF(A1395="","",VLOOKUP(A1395,CadProd!$A:$C,3,0)),"")</f>
        <v/>
      </c>
      <c r="I1395" s="1" t="str">
        <f>IFERROR(IF(A1395="","",E1395*#REF!),"")</f>
        <v/>
      </c>
    </row>
    <row r="1396" spans="2:9" x14ac:dyDescent="0.3">
      <c r="B1396" t="str">
        <f>IFERROR(IF(A1396="","",VLOOKUP(A1396,CadProd!$A:$B,2,0)),"")</f>
        <v/>
      </c>
      <c r="C1396" t="str">
        <f>IFERROR(IF(A1396="","",VLOOKUP(A1396,CadProd!$A:$C,3,0)),"")</f>
        <v/>
      </c>
      <c r="I1396" s="1" t="str">
        <f>IFERROR(IF(A1396="","",E1396*#REF!),"")</f>
        <v/>
      </c>
    </row>
    <row r="1397" spans="2:9" x14ac:dyDescent="0.3">
      <c r="B1397" t="str">
        <f>IFERROR(IF(A1397="","",VLOOKUP(A1397,CadProd!$A:$B,2,0)),"")</f>
        <v/>
      </c>
      <c r="C1397" t="str">
        <f>IFERROR(IF(A1397="","",VLOOKUP(A1397,CadProd!$A:$C,3,0)),"")</f>
        <v/>
      </c>
      <c r="I1397" s="1" t="str">
        <f>IFERROR(IF(A1397="","",E1397*#REF!),"")</f>
        <v/>
      </c>
    </row>
    <row r="1398" spans="2:9" x14ac:dyDescent="0.3">
      <c r="B1398" t="str">
        <f>IFERROR(IF(A1398="","",VLOOKUP(A1398,CadProd!$A:$B,2,0)),"")</f>
        <v/>
      </c>
      <c r="C1398" t="str">
        <f>IFERROR(IF(A1398="","",VLOOKUP(A1398,CadProd!$A:$C,3,0)),"")</f>
        <v/>
      </c>
      <c r="I1398" s="1" t="str">
        <f>IFERROR(IF(A1398="","",E1398*#REF!),"")</f>
        <v/>
      </c>
    </row>
    <row r="1399" spans="2:9" x14ac:dyDescent="0.3">
      <c r="B1399" t="str">
        <f>IFERROR(IF(A1399="","",VLOOKUP(A1399,CadProd!$A:$B,2,0)),"")</f>
        <v/>
      </c>
      <c r="C1399" t="str">
        <f>IFERROR(IF(A1399="","",VLOOKUP(A1399,CadProd!$A:$C,3,0)),"")</f>
        <v/>
      </c>
      <c r="I1399" s="1" t="str">
        <f>IFERROR(IF(A1399="","",E1399*#REF!),"")</f>
        <v/>
      </c>
    </row>
    <row r="1400" spans="2:9" x14ac:dyDescent="0.3">
      <c r="B1400" t="str">
        <f>IFERROR(IF(A1400="","",VLOOKUP(A1400,CadProd!$A:$B,2,0)),"")</f>
        <v/>
      </c>
      <c r="C1400" t="str">
        <f>IFERROR(IF(A1400="","",VLOOKUP(A1400,CadProd!$A:$C,3,0)),"")</f>
        <v/>
      </c>
      <c r="I1400" s="1" t="str">
        <f>IFERROR(IF(A1400="","",E1400*#REF!),"")</f>
        <v/>
      </c>
    </row>
    <row r="1401" spans="2:9" x14ac:dyDescent="0.3">
      <c r="B1401" t="str">
        <f>IFERROR(IF(A1401="","",VLOOKUP(A1401,CadProd!$A:$B,2,0)),"")</f>
        <v/>
      </c>
      <c r="C1401" t="str">
        <f>IFERROR(IF(A1401="","",VLOOKUP(A1401,CadProd!$A:$C,3,0)),"")</f>
        <v/>
      </c>
      <c r="I1401" s="1" t="str">
        <f>IFERROR(IF(A1401="","",E1401*#REF!),"")</f>
        <v/>
      </c>
    </row>
    <row r="1402" spans="2:9" x14ac:dyDescent="0.3">
      <c r="B1402" t="str">
        <f>IFERROR(IF(A1402="","",VLOOKUP(A1402,CadProd!$A:$B,2,0)),"")</f>
        <v/>
      </c>
      <c r="C1402" t="str">
        <f>IFERROR(IF(A1402="","",VLOOKUP(A1402,CadProd!$A:$C,3,0)),"")</f>
        <v/>
      </c>
      <c r="I1402" s="1" t="str">
        <f>IFERROR(IF(A1402="","",E1402*#REF!),"")</f>
        <v/>
      </c>
    </row>
    <row r="1403" spans="2:9" x14ac:dyDescent="0.3">
      <c r="B1403" t="str">
        <f>IFERROR(IF(A1403="","",VLOOKUP(A1403,CadProd!$A:$B,2,0)),"")</f>
        <v/>
      </c>
      <c r="C1403" t="str">
        <f>IFERROR(IF(A1403="","",VLOOKUP(A1403,CadProd!$A:$C,3,0)),"")</f>
        <v/>
      </c>
      <c r="I1403" s="1" t="str">
        <f>IFERROR(IF(A1403="","",E1403*#REF!),"")</f>
        <v/>
      </c>
    </row>
    <row r="1404" spans="2:9" x14ac:dyDescent="0.3">
      <c r="B1404" t="str">
        <f>IFERROR(IF(A1404="","",VLOOKUP(A1404,CadProd!$A:$B,2,0)),"")</f>
        <v/>
      </c>
      <c r="C1404" t="str">
        <f>IFERROR(IF(A1404="","",VLOOKUP(A1404,CadProd!$A:$C,3,0)),"")</f>
        <v/>
      </c>
      <c r="I1404" s="1" t="str">
        <f>IFERROR(IF(A1404="","",E1404*#REF!),"")</f>
        <v/>
      </c>
    </row>
    <row r="1405" spans="2:9" x14ac:dyDescent="0.3">
      <c r="B1405" t="str">
        <f>IFERROR(IF(A1405="","",VLOOKUP(A1405,CadProd!$A:$B,2,0)),"")</f>
        <v/>
      </c>
      <c r="C1405" t="str">
        <f>IFERROR(IF(A1405="","",VLOOKUP(A1405,CadProd!$A:$C,3,0)),"")</f>
        <v/>
      </c>
      <c r="I1405" s="1" t="str">
        <f>IFERROR(IF(A1405="","",E1405*#REF!),"")</f>
        <v/>
      </c>
    </row>
    <row r="1406" spans="2:9" x14ac:dyDescent="0.3">
      <c r="B1406" t="str">
        <f>IFERROR(IF(A1406="","",VLOOKUP(A1406,CadProd!$A:$B,2,0)),"")</f>
        <v/>
      </c>
      <c r="C1406" t="str">
        <f>IFERROR(IF(A1406="","",VLOOKUP(A1406,CadProd!$A:$C,3,0)),"")</f>
        <v/>
      </c>
      <c r="I1406" s="1" t="str">
        <f>IFERROR(IF(A1406="","",E1406*#REF!),"")</f>
        <v/>
      </c>
    </row>
    <row r="1407" spans="2:9" x14ac:dyDescent="0.3">
      <c r="B1407" t="str">
        <f>IFERROR(IF(A1407="","",VLOOKUP(A1407,CadProd!$A:$B,2,0)),"")</f>
        <v/>
      </c>
      <c r="C1407" t="str">
        <f>IFERROR(IF(A1407="","",VLOOKUP(A1407,CadProd!$A:$C,3,0)),"")</f>
        <v/>
      </c>
      <c r="I1407" s="1" t="str">
        <f>IFERROR(IF(A1407="","",E1407*#REF!),"")</f>
        <v/>
      </c>
    </row>
    <row r="1408" spans="2:9" x14ac:dyDescent="0.3">
      <c r="B1408" t="str">
        <f>IFERROR(IF(A1408="","",VLOOKUP(A1408,CadProd!$A:$B,2,0)),"")</f>
        <v/>
      </c>
      <c r="C1408" t="str">
        <f>IFERROR(IF(A1408="","",VLOOKUP(A1408,CadProd!$A:$C,3,0)),"")</f>
        <v/>
      </c>
      <c r="I1408" s="1" t="str">
        <f>IFERROR(IF(A1408="","",E1408*#REF!),"")</f>
        <v/>
      </c>
    </row>
    <row r="1409" spans="2:9" x14ac:dyDescent="0.3">
      <c r="B1409" t="str">
        <f>IFERROR(IF(A1409="","",VLOOKUP(A1409,CadProd!$A:$B,2,0)),"")</f>
        <v/>
      </c>
      <c r="C1409" t="str">
        <f>IFERROR(IF(A1409="","",VLOOKUP(A1409,CadProd!$A:$C,3,0)),"")</f>
        <v/>
      </c>
      <c r="I1409" s="1" t="str">
        <f>IFERROR(IF(A1409="","",E1409*#REF!),"")</f>
        <v/>
      </c>
    </row>
    <row r="1410" spans="2:9" x14ac:dyDescent="0.3">
      <c r="B1410" t="str">
        <f>IFERROR(IF(A1410="","",VLOOKUP(A1410,CadProd!$A:$B,2,0)),"")</f>
        <v/>
      </c>
      <c r="C1410" t="str">
        <f>IFERROR(IF(A1410="","",VLOOKUP(A1410,CadProd!$A:$C,3,0)),"")</f>
        <v/>
      </c>
      <c r="I1410" s="1" t="str">
        <f>IFERROR(IF(A1410="","",E1410*#REF!),"")</f>
        <v/>
      </c>
    </row>
    <row r="1411" spans="2:9" x14ac:dyDescent="0.3">
      <c r="B1411" t="str">
        <f>IFERROR(IF(A1411="","",VLOOKUP(A1411,CadProd!$A:$B,2,0)),"")</f>
        <v/>
      </c>
      <c r="C1411" t="str">
        <f>IFERROR(IF(A1411="","",VLOOKUP(A1411,CadProd!$A:$C,3,0)),"")</f>
        <v/>
      </c>
      <c r="I1411" s="1" t="str">
        <f>IFERROR(IF(A1411="","",E1411*#REF!),"")</f>
        <v/>
      </c>
    </row>
    <row r="1412" spans="2:9" x14ac:dyDescent="0.3">
      <c r="B1412" t="str">
        <f>IFERROR(IF(A1412="","",VLOOKUP(A1412,CadProd!$A:$B,2,0)),"")</f>
        <v/>
      </c>
      <c r="C1412" t="str">
        <f>IFERROR(IF(A1412="","",VLOOKUP(A1412,CadProd!$A:$C,3,0)),"")</f>
        <v/>
      </c>
      <c r="I1412" s="1" t="str">
        <f>IFERROR(IF(A1412="","",E1412*#REF!),"")</f>
        <v/>
      </c>
    </row>
    <row r="1413" spans="2:9" x14ac:dyDescent="0.3">
      <c r="B1413" t="str">
        <f>IFERROR(IF(A1413="","",VLOOKUP(A1413,CadProd!$A:$B,2,0)),"")</f>
        <v/>
      </c>
      <c r="C1413" t="str">
        <f>IFERROR(IF(A1413="","",VLOOKUP(A1413,CadProd!$A:$C,3,0)),"")</f>
        <v/>
      </c>
      <c r="I1413" s="1" t="str">
        <f>IFERROR(IF(A1413="","",E1413*#REF!),"")</f>
        <v/>
      </c>
    </row>
    <row r="1414" spans="2:9" x14ac:dyDescent="0.3">
      <c r="B1414" t="str">
        <f>IFERROR(IF(A1414="","",VLOOKUP(A1414,CadProd!$A:$B,2,0)),"")</f>
        <v/>
      </c>
      <c r="C1414" t="str">
        <f>IFERROR(IF(A1414="","",VLOOKUP(A1414,CadProd!$A:$C,3,0)),"")</f>
        <v/>
      </c>
      <c r="I1414" s="1" t="str">
        <f>IFERROR(IF(A1414="","",E1414*#REF!),"")</f>
        <v/>
      </c>
    </row>
    <row r="1415" spans="2:9" x14ac:dyDescent="0.3">
      <c r="B1415" t="str">
        <f>IFERROR(IF(A1415="","",VLOOKUP(A1415,CadProd!$A:$B,2,0)),"")</f>
        <v/>
      </c>
      <c r="C1415" t="str">
        <f>IFERROR(IF(A1415="","",VLOOKUP(A1415,CadProd!$A:$C,3,0)),"")</f>
        <v/>
      </c>
      <c r="I1415" s="1" t="str">
        <f>IFERROR(IF(A1415="","",E1415*#REF!),"")</f>
        <v/>
      </c>
    </row>
    <row r="1416" spans="2:9" x14ac:dyDescent="0.3">
      <c r="B1416" t="str">
        <f>IFERROR(IF(A1416="","",VLOOKUP(A1416,CadProd!$A:$B,2,0)),"")</f>
        <v/>
      </c>
      <c r="C1416" t="str">
        <f>IFERROR(IF(A1416="","",VLOOKUP(A1416,CadProd!$A:$C,3,0)),"")</f>
        <v/>
      </c>
      <c r="I1416" s="1" t="str">
        <f>IFERROR(IF(A1416="","",E1416*#REF!),"")</f>
        <v/>
      </c>
    </row>
    <row r="1417" spans="2:9" x14ac:dyDescent="0.3">
      <c r="B1417" t="str">
        <f>IFERROR(IF(A1417="","",VLOOKUP(A1417,CadProd!$A:$B,2,0)),"")</f>
        <v/>
      </c>
      <c r="C1417" t="str">
        <f>IFERROR(IF(A1417="","",VLOOKUP(A1417,CadProd!$A:$C,3,0)),"")</f>
        <v/>
      </c>
      <c r="I1417" s="1" t="str">
        <f>IFERROR(IF(A1417="","",E1417*#REF!),"")</f>
        <v/>
      </c>
    </row>
    <row r="1418" spans="2:9" x14ac:dyDescent="0.3">
      <c r="B1418" t="str">
        <f>IFERROR(IF(A1418="","",VLOOKUP(A1418,CadProd!$A:$B,2,0)),"")</f>
        <v/>
      </c>
      <c r="C1418" t="str">
        <f>IFERROR(IF(A1418="","",VLOOKUP(A1418,CadProd!$A:$C,3,0)),"")</f>
        <v/>
      </c>
      <c r="I1418" s="1" t="str">
        <f>IFERROR(IF(A1418="","",E1418*#REF!),"")</f>
        <v/>
      </c>
    </row>
    <row r="1419" spans="2:9" x14ac:dyDescent="0.3">
      <c r="B1419" t="str">
        <f>IFERROR(IF(A1419="","",VLOOKUP(A1419,CadProd!$A:$B,2,0)),"")</f>
        <v/>
      </c>
      <c r="C1419" t="str">
        <f>IFERROR(IF(A1419="","",VLOOKUP(A1419,CadProd!$A:$C,3,0)),"")</f>
        <v/>
      </c>
      <c r="I1419" s="1" t="str">
        <f>IFERROR(IF(A1419="","",E1419*#REF!),"")</f>
        <v/>
      </c>
    </row>
    <row r="1420" spans="2:9" x14ac:dyDescent="0.3">
      <c r="B1420" t="str">
        <f>IFERROR(IF(A1420="","",VLOOKUP(A1420,CadProd!$A:$B,2,0)),"")</f>
        <v/>
      </c>
      <c r="C1420" t="str">
        <f>IFERROR(IF(A1420="","",VLOOKUP(A1420,CadProd!$A:$C,3,0)),"")</f>
        <v/>
      </c>
      <c r="I1420" s="1" t="str">
        <f>IFERROR(IF(A1420="","",E1420*#REF!),"")</f>
        <v/>
      </c>
    </row>
    <row r="1421" spans="2:9" x14ac:dyDescent="0.3">
      <c r="B1421" t="str">
        <f>IFERROR(IF(A1421="","",VLOOKUP(A1421,CadProd!$A:$B,2,0)),"")</f>
        <v/>
      </c>
      <c r="C1421" t="str">
        <f>IFERROR(IF(A1421="","",VLOOKUP(A1421,CadProd!$A:$C,3,0)),"")</f>
        <v/>
      </c>
      <c r="I1421" s="1" t="str">
        <f>IFERROR(IF(A1421="","",E1421*#REF!),"")</f>
        <v/>
      </c>
    </row>
    <row r="1422" spans="2:9" x14ac:dyDescent="0.3">
      <c r="B1422" t="str">
        <f>IFERROR(IF(A1422="","",VLOOKUP(A1422,CadProd!$A:$B,2,0)),"")</f>
        <v/>
      </c>
      <c r="C1422" t="str">
        <f>IFERROR(IF(A1422="","",VLOOKUP(A1422,CadProd!$A:$C,3,0)),"")</f>
        <v/>
      </c>
      <c r="I1422" s="1" t="str">
        <f>IFERROR(IF(A1422="","",E1422*#REF!),"")</f>
        <v/>
      </c>
    </row>
    <row r="1423" spans="2:9" x14ac:dyDescent="0.3">
      <c r="B1423" t="str">
        <f>IFERROR(IF(A1423="","",VLOOKUP(A1423,CadProd!$A:$B,2,0)),"")</f>
        <v/>
      </c>
      <c r="C1423" t="str">
        <f>IFERROR(IF(A1423="","",VLOOKUP(A1423,CadProd!$A:$C,3,0)),"")</f>
        <v/>
      </c>
      <c r="I1423" s="1" t="str">
        <f>IFERROR(IF(A1423="","",E1423*#REF!),"")</f>
        <v/>
      </c>
    </row>
    <row r="1424" spans="2:9" x14ac:dyDescent="0.3">
      <c r="B1424" t="str">
        <f>IFERROR(IF(A1424="","",VLOOKUP(A1424,CadProd!$A:$B,2,0)),"")</f>
        <v/>
      </c>
      <c r="C1424" t="str">
        <f>IFERROR(IF(A1424="","",VLOOKUP(A1424,CadProd!$A:$C,3,0)),"")</f>
        <v/>
      </c>
      <c r="I1424" s="1" t="str">
        <f>IFERROR(IF(A1424="","",E1424*#REF!),"")</f>
        <v/>
      </c>
    </row>
    <row r="1425" spans="2:9" x14ac:dyDescent="0.3">
      <c r="B1425" t="str">
        <f>IFERROR(IF(A1425="","",VLOOKUP(A1425,CadProd!$A:$B,2,0)),"")</f>
        <v/>
      </c>
      <c r="C1425" t="str">
        <f>IFERROR(IF(A1425="","",VLOOKUP(A1425,CadProd!$A:$C,3,0)),"")</f>
        <v/>
      </c>
      <c r="I1425" s="1" t="str">
        <f>IFERROR(IF(A1425="","",E1425*#REF!),"")</f>
        <v/>
      </c>
    </row>
    <row r="1426" spans="2:9" x14ac:dyDescent="0.3">
      <c r="B1426" t="str">
        <f>IFERROR(IF(A1426="","",VLOOKUP(A1426,CadProd!$A:$B,2,0)),"")</f>
        <v/>
      </c>
      <c r="C1426" t="str">
        <f>IFERROR(IF(A1426="","",VLOOKUP(A1426,CadProd!$A:$C,3,0)),"")</f>
        <v/>
      </c>
      <c r="I1426" s="1" t="str">
        <f>IFERROR(IF(A1426="","",E1426*#REF!),"")</f>
        <v/>
      </c>
    </row>
    <row r="1427" spans="2:9" x14ac:dyDescent="0.3">
      <c r="B1427" t="str">
        <f>IFERROR(IF(A1427="","",VLOOKUP(A1427,CadProd!$A:$B,2,0)),"")</f>
        <v/>
      </c>
      <c r="C1427" t="str">
        <f>IFERROR(IF(A1427="","",VLOOKUP(A1427,CadProd!$A:$C,3,0)),"")</f>
        <v/>
      </c>
      <c r="I1427" s="1" t="str">
        <f>IFERROR(IF(A1427="","",E1427*#REF!),"")</f>
        <v/>
      </c>
    </row>
    <row r="1428" spans="2:9" x14ac:dyDescent="0.3">
      <c r="B1428" t="str">
        <f>IFERROR(IF(A1428="","",VLOOKUP(A1428,CadProd!$A:$B,2,0)),"")</f>
        <v/>
      </c>
      <c r="C1428" t="str">
        <f>IFERROR(IF(A1428="","",VLOOKUP(A1428,CadProd!$A:$C,3,0)),"")</f>
        <v/>
      </c>
      <c r="I1428" s="1" t="str">
        <f>IFERROR(IF(A1428="","",E1428*#REF!),"")</f>
        <v/>
      </c>
    </row>
    <row r="1429" spans="2:9" x14ac:dyDescent="0.3">
      <c r="B1429" t="str">
        <f>IFERROR(IF(A1429="","",VLOOKUP(A1429,CadProd!$A:$B,2,0)),"")</f>
        <v/>
      </c>
      <c r="C1429" t="str">
        <f>IFERROR(IF(A1429="","",VLOOKUP(A1429,CadProd!$A:$C,3,0)),"")</f>
        <v/>
      </c>
      <c r="I1429" s="1" t="str">
        <f>IFERROR(IF(A1429="","",E1429*#REF!),"")</f>
        <v/>
      </c>
    </row>
    <row r="1430" spans="2:9" x14ac:dyDescent="0.3">
      <c r="B1430" t="str">
        <f>IFERROR(IF(A1430="","",VLOOKUP(A1430,CadProd!$A:$B,2,0)),"")</f>
        <v/>
      </c>
      <c r="C1430" t="str">
        <f>IFERROR(IF(A1430="","",VLOOKUP(A1430,CadProd!$A:$C,3,0)),"")</f>
        <v/>
      </c>
      <c r="I1430" s="1" t="str">
        <f>IFERROR(IF(A1430="","",E1430*#REF!),"")</f>
        <v/>
      </c>
    </row>
    <row r="1431" spans="2:9" x14ac:dyDescent="0.3">
      <c r="B1431" t="str">
        <f>IFERROR(IF(A1431="","",VLOOKUP(A1431,CadProd!$A:$B,2,0)),"")</f>
        <v/>
      </c>
      <c r="C1431" t="str">
        <f>IFERROR(IF(A1431="","",VLOOKUP(A1431,CadProd!$A:$C,3,0)),"")</f>
        <v/>
      </c>
      <c r="I1431" s="1" t="str">
        <f>IFERROR(IF(A1431="","",E1431*#REF!),"")</f>
        <v/>
      </c>
    </row>
    <row r="1432" spans="2:9" x14ac:dyDescent="0.3">
      <c r="B1432" t="str">
        <f>IFERROR(IF(A1432="","",VLOOKUP(A1432,CadProd!$A:$B,2,0)),"")</f>
        <v/>
      </c>
      <c r="C1432" t="str">
        <f>IFERROR(IF(A1432="","",VLOOKUP(A1432,CadProd!$A:$C,3,0)),"")</f>
        <v/>
      </c>
      <c r="I1432" s="1" t="str">
        <f>IFERROR(IF(A1432="","",E1432*#REF!),"")</f>
        <v/>
      </c>
    </row>
    <row r="1433" spans="2:9" x14ac:dyDescent="0.3">
      <c r="B1433" t="str">
        <f>IFERROR(IF(A1433="","",VLOOKUP(A1433,CadProd!$A:$B,2,0)),"")</f>
        <v/>
      </c>
      <c r="C1433" t="str">
        <f>IFERROR(IF(A1433="","",VLOOKUP(A1433,CadProd!$A:$C,3,0)),"")</f>
        <v/>
      </c>
      <c r="I1433" s="1" t="str">
        <f>IFERROR(IF(A1433="","",E1433*#REF!),"")</f>
        <v/>
      </c>
    </row>
    <row r="1434" spans="2:9" x14ac:dyDescent="0.3">
      <c r="B1434" t="str">
        <f>IFERROR(IF(A1434="","",VLOOKUP(A1434,CadProd!$A:$B,2,0)),"")</f>
        <v/>
      </c>
      <c r="C1434" t="str">
        <f>IFERROR(IF(A1434="","",VLOOKUP(A1434,CadProd!$A:$C,3,0)),"")</f>
        <v/>
      </c>
      <c r="I1434" s="1" t="str">
        <f>IFERROR(IF(A1434="","",E1434*#REF!),"")</f>
        <v/>
      </c>
    </row>
    <row r="1435" spans="2:9" x14ac:dyDescent="0.3">
      <c r="B1435" t="str">
        <f>IFERROR(IF(A1435="","",VLOOKUP(A1435,CadProd!$A:$B,2,0)),"")</f>
        <v/>
      </c>
      <c r="C1435" t="str">
        <f>IFERROR(IF(A1435="","",VLOOKUP(A1435,CadProd!$A:$C,3,0)),"")</f>
        <v/>
      </c>
      <c r="I1435" s="1" t="str">
        <f>IFERROR(IF(A1435="","",E1435*#REF!),"")</f>
        <v/>
      </c>
    </row>
    <row r="1436" spans="2:9" x14ac:dyDescent="0.3">
      <c r="B1436" t="str">
        <f>IFERROR(IF(A1436="","",VLOOKUP(A1436,CadProd!$A:$B,2,0)),"")</f>
        <v/>
      </c>
      <c r="C1436" t="str">
        <f>IFERROR(IF(A1436="","",VLOOKUP(A1436,CadProd!$A:$C,3,0)),"")</f>
        <v/>
      </c>
      <c r="I1436" s="1" t="str">
        <f>IFERROR(IF(A1436="","",E1436*#REF!),"")</f>
        <v/>
      </c>
    </row>
    <row r="1437" spans="2:9" x14ac:dyDescent="0.3">
      <c r="B1437" t="str">
        <f>IFERROR(IF(A1437="","",VLOOKUP(A1437,CadProd!$A:$B,2,0)),"")</f>
        <v/>
      </c>
      <c r="C1437" t="str">
        <f>IFERROR(IF(A1437="","",VLOOKUP(A1437,CadProd!$A:$C,3,0)),"")</f>
        <v/>
      </c>
      <c r="I1437" s="1" t="str">
        <f>IFERROR(IF(A1437="","",E1437*#REF!),"")</f>
        <v/>
      </c>
    </row>
    <row r="1438" spans="2:9" x14ac:dyDescent="0.3">
      <c r="B1438" t="str">
        <f>IFERROR(IF(A1438="","",VLOOKUP(A1438,CadProd!$A:$B,2,0)),"")</f>
        <v/>
      </c>
      <c r="C1438" t="str">
        <f>IFERROR(IF(A1438="","",VLOOKUP(A1438,CadProd!$A:$C,3,0)),"")</f>
        <v/>
      </c>
      <c r="I1438" s="1" t="str">
        <f>IFERROR(IF(A1438="","",E1438*#REF!),"")</f>
        <v/>
      </c>
    </row>
    <row r="1439" spans="2:9" x14ac:dyDescent="0.3">
      <c r="B1439" t="str">
        <f>IFERROR(IF(A1439="","",VLOOKUP(A1439,CadProd!$A:$B,2,0)),"")</f>
        <v/>
      </c>
      <c r="C1439" t="str">
        <f>IFERROR(IF(A1439="","",VLOOKUP(A1439,CadProd!$A:$C,3,0)),"")</f>
        <v/>
      </c>
      <c r="I1439" s="1" t="str">
        <f>IFERROR(IF(A1439="","",E1439*#REF!),"")</f>
        <v/>
      </c>
    </row>
    <row r="1440" spans="2:9" x14ac:dyDescent="0.3">
      <c r="B1440" t="str">
        <f>IFERROR(IF(A1440="","",VLOOKUP(A1440,CadProd!$A:$B,2,0)),"")</f>
        <v/>
      </c>
      <c r="C1440" t="str">
        <f>IFERROR(IF(A1440="","",VLOOKUP(A1440,CadProd!$A:$C,3,0)),"")</f>
        <v/>
      </c>
      <c r="I1440" s="1" t="str">
        <f>IFERROR(IF(A1440="","",E1440*#REF!),"")</f>
        <v/>
      </c>
    </row>
    <row r="1441" spans="2:9" x14ac:dyDescent="0.3">
      <c r="B1441" t="str">
        <f>IFERROR(IF(A1441="","",VLOOKUP(A1441,CadProd!$A:$B,2,0)),"")</f>
        <v/>
      </c>
      <c r="C1441" t="str">
        <f>IFERROR(IF(A1441="","",VLOOKUP(A1441,CadProd!$A:$C,3,0)),"")</f>
        <v/>
      </c>
      <c r="I1441" s="1" t="str">
        <f>IFERROR(IF(A1441="","",E1441*#REF!),"")</f>
        <v/>
      </c>
    </row>
    <row r="1442" spans="2:9" x14ac:dyDescent="0.3">
      <c r="B1442" t="str">
        <f>IFERROR(IF(A1442="","",VLOOKUP(A1442,CadProd!$A:$B,2,0)),"")</f>
        <v/>
      </c>
      <c r="C1442" t="str">
        <f>IFERROR(IF(A1442="","",VLOOKUP(A1442,CadProd!$A:$C,3,0)),"")</f>
        <v/>
      </c>
      <c r="I1442" s="1" t="str">
        <f>IFERROR(IF(A1442="","",E1442*#REF!),"")</f>
        <v/>
      </c>
    </row>
    <row r="1443" spans="2:9" x14ac:dyDescent="0.3">
      <c r="B1443" t="str">
        <f>IFERROR(IF(A1443="","",VLOOKUP(A1443,CadProd!$A:$B,2,0)),"")</f>
        <v/>
      </c>
      <c r="C1443" t="str">
        <f>IFERROR(IF(A1443="","",VLOOKUP(A1443,CadProd!$A:$C,3,0)),"")</f>
        <v/>
      </c>
      <c r="I1443" s="1" t="str">
        <f>IFERROR(IF(A1443="","",E1443*#REF!),"")</f>
        <v/>
      </c>
    </row>
    <row r="1444" spans="2:9" x14ac:dyDescent="0.3">
      <c r="B1444" t="str">
        <f>IFERROR(IF(A1444="","",VLOOKUP(A1444,CadProd!$A:$B,2,0)),"")</f>
        <v/>
      </c>
      <c r="C1444" t="str">
        <f>IFERROR(IF(A1444="","",VLOOKUP(A1444,CadProd!$A:$C,3,0)),"")</f>
        <v/>
      </c>
      <c r="I1444" s="1" t="str">
        <f>IFERROR(IF(A1444="","",E1444*#REF!),"")</f>
        <v/>
      </c>
    </row>
    <row r="1445" spans="2:9" x14ac:dyDescent="0.3">
      <c r="B1445" t="str">
        <f>IFERROR(IF(A1445="","",VLOOKUP(A1445,CadProd!$A:$B,2,0)),"")</f>
        <v/>
      </c>
      <c r="C1445" t="str">
        <f>IFERROR(IF(A1445="","",VLOOKUP(A1445,CadProd!$A:$C,3,0)),"")</f>
        <v/>
      </c>
      <c r="I1445" s="1" t="str">
        <f>IFERROR(IF(A1445="","",E1445*#REF!),"")</f>
        <v/>
      </c>
    </row>
    <row r="1446" spans="2:9" x14ac:dyDescent="0.3">
      <c r="B1446" t="str">
        <f>IFERROR(IF(A1446="","",VLOOKUP(A1446,CadProd!$A:$B,2,0)),"")</f>
        <v/>
      </c>
      <c r="C1446" t="str">
        <f>IFERROR(IF(A1446="","",VLOOKUP(A1446,CadProd!$A:$C,3,0)),"")</f>
        <v/>
      </c>
      <c r="I1446" s="1" t="str">
        <f>IFERROR(IF(A1446="","",E1446*#REF!),"")</f>
        <v/>
      </c>
    </row>
    <row r="1447" spans="2:9" x14ac:dyDescent="0.3">
      <c r="B1447" t="str">
        <f>IFERROR(IF(A1447="","",VLOOKUP(A1447,CadProd!$A:$B,2,0)),"")</f>
        <v/>
      </c>
      <c r="C1447" t="str">
        <f>IFERROR(IF(A1447="","",VLOOKUP(A1447,CadProd!$A:$C,3,0)),"")</f>
        <v/>
      </c>
      <c r="I1447" s="1" t="str">
        <f>IFERROR(IF(A1447="","",E1447*#REF!),"")</f>
        <v/>
      </c>
    </row>
    <row r="1448" spans="2:9" x14ac:dyDescent="0.3">
      <c r="B1448" t="str">
        <f>IFERROR(IF(A1448="","",VLOOKUP(A1448,CadProd!$A:$B,2,0)),"")</f>
        <v/>
      </c>
      <c r="C1448" t="str">
        <f>IFERROR(IF(A1448="","",VLOOKUP(A1448,CadProd!$A:$C,3,0)),"")</f>
        <v/>
      </c>
      <c r="I1448" s="1" t="str">
        <f>IFERROR(IF(A1448="","",E1448*#REF!),"")</f>
        <v/>
      </c>
    </row>
    <row r="1449" spans="2:9" x14ac:dyDescent="0.3">
      <c r="B1449" t="str">
        <f>IFERROR(IF(A1449="","",VLOOKUP(A1449,CadProd!$A:$B,2,0)),"")</f>
        <v/>
      </c>
      <c r="C1449" t="str">
        <f>IFERROR(IF(A1449="","",VLOOKUP(A1449,CadProd!$A:$C,3,0)),"")</f>
        <v/>
      </c>
      <c r="I1449" s="1" t="str">
        <f>IFERROR(IF(A1449="","",E1449*#REF!),"")</f>
        <v/>
      </c>
    </row>
    <row r="1450" spans="2:9" x14ac:dyDescent="0.3">
      <c r="B1450" t="str">
        <f>IFERROR(IF(A1450="","",VLOOKUP(A1450,CadProd!$A:$B,2,0)),"")</f>
        <v/>
      </c>
      <c r="C1450" t="str">
        <f>IFERROR(IF(A1450="","",VLOOKUP(A1450,CadProd!$A:$C,3,0)),"")</f>
        <v/>
      </c>
      <c r="I1450" s="1" t="str">
        <f>IFERROR(IF(A1450="","",E1450*#REF!),"")</f>
        <v/>
      </c>
    </row>
    <row r="1451" spans="2:9" x14ac:dyDescent="0.3">
      <c r="B1451" t="str">
        <f>IFERROR(IF(A1451="","",VLOOKUP(A1451,CadProd!$A:$B,2,0)),"")</f>
        <v/>
      </c>
      <c r="C1451" t="str">
        <f>IFERROR(IF(A1451="","",VLOOKUP(A1451,CadProd!$A:$C,3,0)),"")</f>
        <v/>
      </c>
      <c r="I1451" s="1" t="str">
        <f>IFERROR(IF(A1451="","",E1451*#REF!),"")</f>
        <v/>
      </c>
    </row>
    <row r="1452" spans="2:9" x14ac:dyDescent="0.3">
      <c r="B1452" t="str">
        <f>IFERROR(IF(A1452="","",VLOOKUP(A1452,CadProd!$A:$B,2,0)),"")</f>
        <v/>
      </c>
      <c r="C1452" t="str">
        <f>IFERROR(IF(A1452="","",VLOOKUP(A1452,CadProd!$A:$C,3,0)),"")</f>
        <v/>
      </c>
      <c r="I1452" s="1" t="str">
        <f>IFERROR(IF(A1452="","",E1452*#REF!),"")</f>
        <v/>
      </c>
    </row>
    <row r="1453" spans="2:9" x14ac:dyDescent="0.3">
      <c r="B1453" t="str">
        <f>IFERROR(IF(A1453="","",VLOOKUP(A1453,CadProd!$A:$B,2,0)),"")</f>
        <v/>
      </c>
      <c r="C1453" t="str">
        <f>IFERROR(IF(A1453="","",VLOOKUP(A1453,CadProd!$A:$C,3,0)),"")</f>
        <v/>
      </c>
      <c r="I1453" s="1" t="str">
        <f>IFERROR(IF(A1453="","",E1453*#REF!),"")</f>
        <v/>
      </c>
    </row>
    <row r="1454" spans="2:9" x14ac:dyDescent="0.3">
      <c r="B1454" t="str">
        <f>IFERROR(IF(A1454="","",VLOOKUP(A1454,CadProd!$A:$B,2,0)),"")</f>
        <v/>
      </c>
      <c r="C1454" t="str">
        <f>IFERROR(IF(A1454="","",VLOOKUP(A1454,CadProd!$A:$C,3,0)),"")</f>
        <v/>
      </c>
      <c r="I1454" s="1" t="str">
        <f>IFERROR(IF(A1454="","",E1454*#REF!),"")</f>
        <v/>
      </c>
    </row>
    <row r="1455" spans="2:9" x14ac:dyDescent="0.3">
      <c r="B1455" t="str">
        <f>IFERROR(IF(A1455="","",VLOOKUP(A1455,CadProd!$A:$B,2,0)),"")</f>
        <v/>
      </c>
      <c r="C1455" t="str">
        <f>IFERROR(IF(A1455="","",VLOOKUP(A1455,CadProd!$A:$C,3,0)),"")</f>
        <v/>
      </c>
      <c r="I1455" s="1" t="str">
        <f>IFERROR(IF(A1455="","",E1455*#REF!),"")</f>
        <v/>
      </c>
    </row>
    <row r="1456" spans="2:9" x14ac:dyDescent="0.3">
      <c r="B1456" t="str">
        <f>IFERROR(IF(A1456="","",VLOOKUP(A1456,CadProd!$A:$B,2,0)),"")</f>
        <v/>
      </c>
      <c r="C1456" t="str">
        <f>IFERROR(IF(A1456="","",VLOOKUP(A1456,CadProd!$A:$C,3,0)),"")</f>
        <v/>
      </c>
      <c r="I1456" s="1" t="str">
        <f>IFERROR(IF(A1456="","",E1456*#REF!),"")</f>
        <v/>
      </c>
    </row>
    <row r="1457" spans="2:9" x14ac:dyDescent="0.3">
      <c r="B1457" t="str">
        <f>IFERROR(IF(A1457="","",VLOOKUP(A1457,CadProd!$A:$B,2,0)),"")</f>
        <v/>
      </c>
      <c r="C1457" t="str">
        <f>IFERROR(IF(A1457="","",VLOOKUP(A1457,CadProd!$A:$C,3,0)),"")</f>
        <v/>
      </c>
      <c r="I1457" s="1" t="str">
        <f>IFERROR(IF(A1457="","",E1457*#REF!),"")</f>
        <v/>
      </c>
    </row>
    <row r="1458" spans="2:9" x14ac:dyDescent="0.3">
      <c r="B1458" t="str">
        <f>IFERROR(IF(A1458="","",VLOOKUP(A1458,CadProd!$A:$B,2,0)),"")</f>
        <v/>
      </c>
      <c r="C1458" t="str">
        <f>IFERROR(IF(A1458="","",VLOOKUP(A1458,CadProd!$A:$C,3,0)),"")</f>
        <v/>
      </c>
      <c r="I1458" s="1" t="str">
        <f>IFERROR(IF(A1458="","",E1458*#REF!),"")</f>
        <v/>
      </c>
    </row>
    <row r="1459" spans="2:9" x14ac:dyDescent="0.3">
      <c r="B1459" t="str">
        <f>IFERROR(IF(A1459="","",VLOOKUP(A1459,CadProd!$A:$B,2,0)),"")</f>
        <v/>
      </c>
      <c r="C1459" t="str">
        <f>IFERROR(IF(A1459="","",VLOOKUP(A1459,CadProd!$A:$C,3,0)),"")</f>
        <v/>
      </c>
      <c r="I1459" s="1" t="str">
        <f>IFERROR(IF(A1459="","",E1459*#REF!),"")</f>
        <v/>
      </c>
    </row>
    <row r="1460" spans="2:9" x14ac:dyDescent="0.3">
      <c r="B1460" t="str">
        <f>IFERROR(IF(A1460="","",VLOOKUP(A1460,CadProd!$A:$B,2,0)),"")</f>
        <v/>
      </c>
      <c r="C1460" t="str">
        <f>IFERROR(IF(A1460="","",VLOOKUP(A1460,CadProd!$A:$C,3,0)),"")</f>
        <v/>
      </c>
      <c r="I1460" s="1" t="str">
        <f>IFERROR(IF(A1460="","",E1460*#REF!),"")</f>
        <v/>
      </c>
    </row>
    <row r="1461" spans="2:9" x14ac:dyDescent="0.3">
      <c r="B1461" t="str">
        <f>IFERROR(IF(A1461="","",VLOOKUP(A1461,CadProd!$A:$B,2,0)),"")</f>
        <v/>
      </c>
      <c r="C1461" t="str">
        <f>IFERROR(IF(A1461="","",VLOOKUP(A1461,CadProd!$A:$C,3,0)),"")</f>
        <v/>
      </c>
      <c r="I1461" s="1" t="str">
        <f>IFERROR(IF(A1461="","",E1461*#REF!),"")</f>
        <v/>
      </c>
    </row>
    <row r="1462" spans="2:9" x14ac:dyDescent="0.3">
      <c r="B1462" t="str">
        <f>IFERROR(IF(A1462="","",VLOOKUP(A1462,CadProd!$A:$B,2,0)),"")</f>
        <v/>
      </c>
      <c r="C1462" t="str">
        <f>IFERROR(IF(A1462="","",VLOOKUP(A1462,CadProd!$A:$C,3,0)),"")</f>
        <v/>
      </c>
      <c r="I1462" s="1" t="str">
        <f>IFERROR(IF(A1462="","",E1462*#REF!),"")</f>
        <v/>
      </c>
    </row>
    <row r="1463" spans="2:9" x14ac:dyDescent="0.3">
      <c r="B1463" t="str">
        <f>IFERROR(IF(A1463="","",VLOOKUP(A1463,CadProd!$A:$B,2,0)),"")</f>
        <v/>
      </c>
      <c r="C1463" t="str">
        <f>IFERROR(IF(A1463="","",VLOOKUP(A1463,CadProd!$A:$C,3,0)),"")</f>
        <v/>
      </c>
      <c r="I1463" s="1" t="str">
        <f>IFERROR(IF(A1463="","",E1463*#REF!),"")</f>
        <v/>
      </c>
    </row>
    <row r="1464" spans="2:9" x14ac:dyDescent="0.3">
      <c r="B1464" t="str">
        <f>IFERROR(IF(A1464="","",VLOOKUP(A1464,CadProd!$A:$B,2,0)),"")</f>
        <v/>
      </c>
      <c r="C1464" t="str">
        <f>IFERROR(IF(A1464="","",VLOOKUP(A1464,CadProd!$A:$C,3,0)),"")</f>
        <v/>
      </c>
      <c r="I1464" s="1" t="str">
        <f>IFERROR(IF(A1464="","",E1464*#REF!),"")</f>
        <v/>
      </c>
    </row>
    <row r="1465" spans="2:9" x14ac:dyDescent="0.3">
      <c r="B1465" t="str">
        <f>IFERROR(IF(A1465="","",VLOOKUP(A1465,CadProd!$A:$B,2,0)),"")</f>
        <v/>
      </c>
      <c r="C1465" t="str">
        <f>IFERROR(IF(A1465="","",VLOOKUP(A1465,CadProd!$A:$C,3,0)),"")</f>
        <v/>
      </c>
      <c r="I1465" s="1" t="str">
        <f>IFERROR(IF(A1465="","",E1465*#REF!),"")</f>
        <v/>
      </c>
    </row>
    <row r="1466" spans="2:9" x14ac:dyDescent="0.3">
      <c r="B1466" t="str">
        <f>IFERROR(IF(A1466="","",VLOOKUP(A1466,CadProd!$A:$B,2,0)),"")</f>
        <v/>
      </c>
      <c r="C1466" t="str">
        <f>IFERROR(IF(A1466="","",VLOOKUP(A1466,CadProd!$A:$C,3,0)),"")</f>
        <v/>
      </c>
      <c r="I1466" s="1" t="str">
        <f>IFERROR(IF(A1466="","",E1466*#REF!),"")</f>
        <v/>
      </c>
    </row>
    <row r="1467" spans="2:9" x14ac:dyDescent="0.3">
      <c r="B1467" t="str">
        <f>IFERROR(IF(A1467="","",VLOOKUP(A1467,CadProd!$A:$B,2,0)),"")</f>
        <v/>
      </c>
      <c r="C1467" t="str">
        <f>IFERROR(IF(A1467="","",VLOOKUP(A1467,CadProd!$A:$C,3,0)),"")</f>
        <v/>
      </c>
      <c r="I1467" s="1" t="str">
        <f>IFERROR(IF(A1467="","",E1467*#REF!),"")</f>
        <v/>
      </c>
    </row>
    <row r="1468" spans="2:9" x14ac:dyDescent="0.3">
      <c r="B1468" t="str">
        <f>IFERROR(IF(A1468="","",VLOOKUP(A1468,CadProd!$A:$B,2,0)),"")</f>
        <v/>
      </c>
      <c r="C1468" t="str">
        <f>IFERROR(IF(A1468="","",VLOOKUP(A1468,CadProd!$A:$C,3,0)),"")</f>
        <v/>
      </c>
      <c r="I1468" s="1" t="str">
        <f>IFERROR(IF(A1468="","",E1468*#REF!),"")</f>
        <v/>
      </c>
    </row>
    <row r="1469" spans="2:9" x14ac:dyDescent="0.3">
      <c r="B1469" t="str">
        <f>IFERROR(IF(A1469="","",VLOOKUP(A1469,CadProd!$A:$B,2,0)),"")</f>
        <v/>
      </c>
      <c r="C1469" t="str">
        <f>IFERROR(IF(A1469="","",VLOOKUP(A1469,CadProd!$A:$C,3,0)),"")</f>
        <v/>
      </c>
      <c r="I1469" s="1" t="str">
        <f>IFERROR(IF(A1469="","",E1469*#REF!),"")</f>
        <v/>
      </c>
    </row>
    <row r="1470" spans="2:9" x14ac:dyDescent="0.3">
      <c r="B1470" t="str">
        <f>IFERROR(IF(A1470="","",VLOOKUP(A1470,CadProd!$A:$B,2,0)),"")</f>
        <v/>
      </c>
      <c r="C1470" t="str">
        <f>IFERROR(IF(A1470="","",VLOOKUP(A1470,CadProd!$A:$C,3,0)),"")</f>
        <v/>
      </c>
      <c r="I1470" s="1" t="str">
        <f>IFERROR(IF(A1470="","",E1470*#REF!),"")</f>
        <v/>
      </c>
    </row>
    <row r="1471" spans="2:9" x14ac:dyDescent="0.3">
      <c r="B1471" t="str">
        <f>IFERROR(IF(A1471="","",VLOOKUP(A1471,CadProd!$A:$B,2,0)),"")</f>
        <v/>
      </c>
      <c r="C1471" t="str">
        <f>IFERROR(IF(A1471="","",VLOOKUP(A1471,CadProd!$A:$C,3,0)),"")</f>
        <v/>
      </c>
      <c r="I1471" s="1" t="str">
        <f>IFERROR(IF(A1471="","",E1471*#REF!),"")</f>
        <v/>
      </c>
    </row>
    <row r="1472" spans="2:9" x14ac:dyDescent="0.3">
      <c r="B1472" t="str">
        <f>IFERROR(IF(A1472="","",VLOOKUP(A1472,CadProd!$A:$B,2,0)),"")</f>
        <v/>
      </c>
      <c r="C1472" t="str">
        <f>IFERROR(IF(A1472="","",VLOOKUP(A1472,CadProd!$A:$C,3,0)),"")</f>
        <v/>
      </c>
      <c r="I1472" s="1" t="str">
        <f>IFERROR(IF(A1472="","",E1472*#REF!),"")</f>
        <v/>
      </c>
    </row>
    <row r="1473" spans="2:9" x14ac:dyDescent="0.3">
      <c r="B1473" t="str">
        <f>IFERROR(IF(A1473="","",VLOOKUP(A1473,CadProd!$A:$B,2,0)),"")</f>
        <v/>
      </c>
      <c r="C1473" t="str">
        <f>IFERROR(IF(A1473="","",VLOOKUP(A1473,CadProd!$A:$C,3,0)),"")</f>
        <v/>
      </c>
      <c r="I1473" s="1" t="str">
        <f>IFERROR(IF(A1473="","",E1473*#REF!),"")</f>
        <v/>
      </c>
    </row>
    <row r="1474" spans="2:9" x14ac:dyDescent="0.3">
      <c r="B1474" t="str">
        <f>IFERROR(IF(A1474="","",VLOOKUP(A1474,CadProd!$A:$B,2,0)),"")</f>
        <v/>
      </c>
      <c r="C1474" t="str">
        <f>IFERROR(IF(A1474="","",VLOOKUP(A1474,CadProd!$A:$C,3,0)),"")</f>
        <v/>
      </c>
      <c r="I1474" s="1" t="str">
        <f>IFERROR(IF(A1474="","",E1474*#REF!),"")</f>
        <v/>
      </c>
    </row>
    <row r="1475" spans="2:9" x14ac:dyDescent="0.3">
      <c r="B1475" t="str">
        <f>IFERROR(IF(A1475="","",VLOOKUP(A1475,CadProd!$A:$B,2,0)),"")</f>
        <v/>
      </c>
      <c r="C1475" t="str">
        <f>IFERROR(IF(A1475="","",VLOOKUP(A1475,CadProd!$A:$C,3,0)),"")</f>
        <v/>
      </c>
      <c r="I1475" s="1" t="str">
        <f>IFERROR(IF(A1475="","",E1475*#REF!),"")</f>
        <v/>
      </c>
    </row>
    <row r="1476" spans="2:9" x14ac:dyDescent="0.3">
      <c r="B1476" t="str">
        <f>IFERROR(IF(A1476="","",VLOOKUP(A1476,CadProd!$A:$B,2,0)),"")</f>
        <v/>
      </c>
      <c r="C1476" t="str">
        <f>IFERROR(IF(A1476="","",VLOOKUP(A1476,CadProd!$A:$C,3,0)),"")</f>
        <v/>
      </c>
      <c r="I1476" s="1" t="str">
        <f>IFERROR(IF(A1476="","",E1476*#REF!),"")</f>
        <v/>
      </c>
    </row>
    <row r="1477" spans="2:9" x14ac:dyDescent="0.3">
      <c r="B1477" t="str">
        <f>IFERROR(IF(A1477="","",VLOOKUP(A1477,CadProd!$A:$B,2,0)),"")</f>
        <v/>
      </c>
      <c r="C1477" t="str">
        <f>IFERROR(IF(A1477="","",VLOOKUP(A1477,CadProd!$A:$C,3,0)),"")</f>
        <v/>
      </c>
      <c r="I1477" s="1" t="str">
        <f>IFERROR(IF(A1477="","",E1477*#REF!),"")</f>
        <v/>
      </c>
    </row>
    <row r="1478" spans="2:9" x14ac:dyDescent="0.3">
      <c r="B1478" t="str">
        <f>IFERROR(IF(A1478="","",VLOOKUP(A1478,CadProd!$A:$B,2,0)),"")</f>
        <v/>
      </c>
      <c r="C1478" t="str">
        <f>IFERROR(IF(A1478="","",VLOOKUP(A1478,CadProd!$A:$C,3,0)),"")</f>
        <v/>
      </c>
      <c r="I1478" s="1" t="str">
        <f>IFERROR(IF(A1478="","",E1478*#REF!),"")</f>
        <v/>
      </c>
    </row>
    <row r="1479" spans="2:9" x14ac:dyDescent="0.3">
      <c r="B1479" t="str">
        <f>IFERROR(IF(A1479="","",VLOOKUP(A1479,CadProd!$A:$B,2,0)),"")</f>
        <v/>
      </c>
      <c r="C1479" t="str">
        <f>IFERROR(IF(A1479="","",VLOOKUP(A1479,CadProd!$A:$C,3,0)),"")</f>
        <v/>
      </c>
      <c r="I1479" s="1" t="str">
        <f>IFERROR(IF(A1479="","",E1479*#REF!),"")</f>
        <v/>
      </c>
    </row>
    <row r="1480" spans="2:9" x14ac:dyDescent="0.3">
      <c r="B1480" t="str">
        <f>IFERROR(IF(A1480="","",VLOOKUP(A1480,CadProd!$A:$B,2,0)),"")</f>
        <v/>
      </c>
      <c r="C1480" t="str">
        <f>IFERROR(IF(A1480="","",VLOOKUP(A1480,CadProd!$A:$C,3,0)),"")</f>
        <v/>
      </c>
      <c r="I1480" s="1" t="str">
        <f>IFERROR(IF(A1480="","",E1480*#REF!),"")</f>
        <v/>
      </c>
    </row>
    <row r="1481" spans="2:9" x14ac:dyDescent="0.3">
      <c r="B1481" t="str">
        <f>IFERROR(IF(A1481="","",VLOOKUP(A1481,CadProd!$A:$B,2,0)),"")</f>
        <v/>
      </c>
      <c r="C1481" t="str">
        <f>IFERROR(IF(A1481="","",VLOOKUP(A1481,CadProd!$A:$C,3,0)),"")</f>
        <v/>
      </c>
      <c r="I1481" s="1" t="str">
        <f>IFERROR(IF(A1481="","",E1481*#REF!),"")</f>
        <v/>
      </c>
    </row>
    <row r="1482" spans="2:9" x14ac:dyDescent="0.3">
      <c r="B1482" t="str">
        <f>IFERROR(IF(A1482="","",VLOOKUP(A1482,CadProd!$A:$B,2,0)),"")</f>
        <v/>
      </c>
      <c r="C1482" t="str">
        <f>IFERROR(IF(A1482="","",VLOOKUP(A1482,CadProd!$A:$C,3,0)),"")</f>
        <v/>
      </c>
      <c r="I1482" s="1" t="str">
        <f>IFERROR(IF(A1482="","",E1482*#REF!),"")</f>
        <v/>
      </c>
    </row>
    <row r="1483" spans="2:9" x14ac:dyDescent="0.3">
      <c r="B1483" t="str">
        <f>IFERROR(IF(A1483="","",VLOOKUP(A1483,CadProd!$A:$B,2,0)),"")</f>
        <v/>
      </c>
      <c r="C1483" t="str">
        <f>IFERROR(IF(A1483="","",VLOOKUP(A1483,CadProd!$A:$C,3,0)),"")</f>
        <v/>
      </c>
      <c r="I1483" s="1" t="str">
        <f>IFERROR(IF(A1483="","",E1483*#REF!),"")</f>
        <v/>
      </c>
    </row>
    <row r="1484" spans="2:9" x14ac:dyDescent="0.3">
      <c r="B1484" t="str">
        <f>IFERROR(IF(A1484="","",VLOOKUP(A1484,CadProd!$A:$B,2,0)),"")</f>
        <v/>
      </c>
      <c r="C1484" t="str">
        <f>IFERROR(IF(A1484="","",VLOOKUP(A1484,CadProd!$A:$C,3,0)),"")</f>
        <v/>
      </c>
      <c r="I1484" s="1" t="str">
        <f>IFERROR(IF(A1484="","",E1484*#REF!),"")</f>
        <v/>
      </c>
    </row>
    <row r="1485" spans="2:9" x14ac:dyDescent="0.3">
      <c r="B1485" t="str">
        <f>IFERROR(IF(A1485="","",VLOOKUP(A1485,CadProd!$A:$B,2,0)),"")</f>
        <v/>
      </c>
      <c r="C1485" t="str">
        <f>IFERROR(IF(A1485="","",VLOOKUP(A1485,CadProd!$A:$C,3,0)),"")</f>
        <v/>
      </c>
      <c r="I1485" s="1" t="str">
        <f>IFERROR(IF(A1485="","",E1485*#REF!),"")</f>
        <v/>
      </c>
    </row>
    <row r="1486" spans="2:9" x14ac:dyDescent="0.3">
      <c r="B1486" t="str">
        <f>IFERROR(IF(A1486="","",VLOOKUP(A1486,CadProd!$A:$B,2,0)),"")</f>
        <v/>
      </c>
      <c r="C1486" t="str">
        <f>IFERROR(IF(A1486="","",VLOOKUP(A1486,CadProd!$A:$C,3,0)),"")</f>
        <v/>
      </c>
      <c r="I1486" s="1" t="str">
        <f>IFERROR(IF(A1486="","",E1486*#REF!),"")</f>
        <v/>
      </c>
    </row>
    <row r="1487" spans="2:9" x14ac:dyDescent="0.3">
      <c r="B1487" t="str">
        <f>IFERROR(IF(A1487="","",VLOOKUP(A1487,CadProd!$A:$B,2,0)),"")</f>
        <v/>
      </c>
      <c r="C1487" t="str">
        <f>IFERROR(IF(A1487="","",VLOOKUP(A1487,CadProd!$A:$C,3,0)),"")</f>
        <v/>
      </c>
      <c r="I1487" s="1" t="str">
        <f>IFERROR(IF(A1487="","",E1487*#REF!),"")</f>
        <v/>
      </c>
    </row>
    <row r="1488" spans="2:9" x14ac:dyDescent="0.3">
      <c r="B1488" t="str">
        <f>IFERROR(IF(A1488="","",VLOOKUP(A1488,CadProd!$A:$B,2,0)),"")</f>
        <v/>
      </c>
      <c r="C1488" t="str">
        <f>IFERROR(IF(A1488="","",VLOOKUP(A1488,CadProd!$A:$C,3,0)),"")</f>
        <v/>
      </c>
      <c r="I1488" s="1" t="str">
        <f>IFERROR(IF(A1488="","",E1488*#REF!),"")</f>
        <v/>
      </c>
    </row>
    <row r="1489" spans="2:9" x14ac:dyDescent="0.3">
      <c r="B1489" t="str">
        <f>IFERROR(IF(A1489="","",VLOOKUP(A1489,CadProd!$A:$B,2,0)),"")</f>
        <v/>
      </c>
      <c r="C1489" t="str">
        <f>IFERROR(IF(A1489="","",VLOOKUP(A1489,CadProd!$A:$C,3,0)),"")</f>
        <v/>
      </c>
      <c r="I1489" s="1" t="str">
        <f>IFERROR(IF(A1489="","",E1489*#REF!),"")</f>
        <v/>
      </c>
    </row>
    <row r="1490" spans="2:9" x14ac:dyDescent="0.3">
      <c r="B1490" t="str">
        <f>IFERROR(IF(A1490="","",VLOOKUP(A1490,CadProd!$A:$B,2,0)),"")</f>
        <v/>
      </c>
      <c r="C1490" t="str">
        <f>IFERROR(IF(A1490="","",VLOOKUP(A1490,CadProd!$A:$C,3,0)),"")</f>
        <v/>
      </c>
      <c r="I1490" s="1" t="str">
        <f>IFERROR(IF(A1490="","",E1490*#REF!),"")</f>
        <v/>
      </c>
    </row>
    <row r="1491" spans="2:9" x14ac:dyDescent="0.3">
      <c r="B1491" t="str">
        <f>IFERROR(IF(A1491="","",VLOOKUP(A1491,CadProd!$A:$B,2,0)),"")</f>
        <v/>
      </c>
      <c r="C1491" t="str">
        <f>IFERROR(IF(A1491="","",VLOOKUP(A1491,CadProd!$A:$C,3,0)),"")</f>
        <v/>
      </c>
      <c r="I1491" s="1" t="str">
        <f>IFERROR(IF(A1491="","",E1491*#REF!),"")</f>
        <v/>
      </c>
    </row>
    <row r="1492" spans="2:9" x14ac:dyDescent="0.3">
      <c r="B1492" t="str">
        <f>IFERROR(IF(A1492="","",VLOOKUP(A1492,CadProd!$A:$B,2,0)),"")</f>
        <v/>
      </c>
      <c r="C1492" t="str">
        <f>IFERROR(IF(A1492="","",VLOOKUP(A1492,CadProd!$A:$C,3,0)),"")</f>
        <v/>
      </c>
      <c r="I1492" s="1" t="str">
        <f>IFERROR(IF(A1492="","",E1492*#REF!),"")</f>
        <v/>
      </c>
    </row>
    <row r="1493" spans="2:9" x14ac:dyDescent="0.3">
      <c r="B1493" t="str">
        <f>IFERROR(IF(A1493="","",VLOOKUP(A1493,CadProd!$A:$B,2,0)),"")</f>
        <v/>
      </c>
      <c r="C1493" t="str">
        <f>IFERROR(IF(A1493="","",VLOOKUP(A1493,CadProd!$A:$C,3,0)),"")</f>
        <v/>
      </c>
      <c r="I1493" s="1" t="str">
        <f>IFERROR(IF(A1493="","",E1493*#REF!),"")</f>
        <v/>
      </c>
    </row>
    <row r="1494" spans="2:9" x14ac:dyDescent="0.3">
      <c r="B1494" t="str">
        <f>IFERROR(IF(A1494="","",VLOOKUP(A1494,CadProd!$A:$B,2,0)),"")</f>
        <v/>
      </c>
      <c r="C1494" t="str">
        <f>IFERROR(IF(A1494="","",VLOOKUP(A1494,CadProd!$A:$C,3,0)),"")</f>
        <v/>
      </c>
      <c r="I1494" s="1" t="str">
        <f>IFERROR(IF(A1494="","",E1494*#REF!),"")</f>
        <v/>
      </c>
    </row>
    <row r="1495" spans="2:9" x14ac:dyDescent="0.3">
      <c r="B1495" t="str">
        <f>IFERROR(IF(A1495="","",VLOOKUP(A1495,CadProd!$A:$B,2,0)),"")</f>
        <v/>
      </c>
      <c r="C1495" t="str">
        <f>IFERROR(IF(A1495="","",VLOOKUP(A1495,CadProd!$A:$C,3,0)),"")</f>
        <v/>
      </c>
      <c r="I1495" s="1" t="str">
        <f>IFERROR(IF(A1495="","",E1495*#REF!),"")</f>
        <v/>
      </c>
    </row>
    <row r="1496" spans="2:9" x14ac:dyDescent="0.3">
      <c r="B1496" t="str">
        <f>IFERROR(IF(A1496="","",VLOOKUP(A1496,CadProd!$A:$B,2,0)),"")</f>
        <v/>
      </c>
      <c r="C1496" t="str">
        <f>IFERROR(IF(A1496="","",VLOOKUP(A1496,CadProd!$A:$C,3,0)),"")</f>
        <v/>
      </c>
      <c r="I1496" s="1" t="str">
        <f>IFERROR(IF(A1496="","",E1496*#REF!),"")</f>
        <v/>
      </c>
    </row>
    <row r="1497" spans="2:9" x14ac:dyDescent="0.3">
      <c r="B1497" t="str">
        <f>IFERROR(IF(A1497="","",VLOOKUP(A1497,CadProd!$A:$B,2,0)),"")</f>
        <v/>
      </c>
      <c r="C1497" t="str">
        <f>IFERROR(IF(A1497="","",VLOOKUP(A1497,CadProd!$A:$C,3,0)),"")</f>
        <v/>
      </c>
      <c r="I1497" s="1" t="str">
        <f>IFERROR(IF(A1497="","",E1497*#REF!),"")</f>
        <v/>
      </c>
    </row>
    <row r="1498" spans="2:9" x14ac:dyDescent="0.3">
      <c r="B1498" t="str">
        <f>IFERROR(IF(A1498="","",VLOOKUP(A1498,CadProd!$A:$B,2,0)),"")</f>
        <v/>
      </c>
      <c r="C1498" t="str">
        <f>IFERROR(IF(A1498="","",VLOOKUP(A1498,CadProd!$A:$C,3,0)),"")</f>
        <v/>
      </c>
      <c r="I1498" s="1" t="str">
        <f>IFERROR(IF(A1498="","",E1498*#REF!),"")</f>
        <v/>
      </c>
    </row>
    <row r="1499" spans="2:9" x14ac:dyDescent="0.3">
      <c r="B1499" t="str">
        <f>IFERROR(IF(A1499="","",VLOOKUP(A1499,CadProd!$A:$B,2,0)),"")</f>
        <v/>
      </c>
      <c r="C1499" t="str">
        <f>IFERROR(IF(A1499="","",VLOOKUP(A1499,CadProd!$A:$C,3,0)),"")</f>
        <v/>
      </c>
      <c r="I1499" s="1" t="str">
        <f>IFERROR(IF(A1499="","",E1499*#REF!),"")</f>
        <v/>
      </c>
    </row>
    <row r="1500" spans="2:9" x14ac:dyDescent="0.3">
      <c r="B1500" t="str">
        <f>IFERROR(IF(A1500="","",VLOOKUP(A1500,CadProd!$A:$B,2,0)),"")</f>
        <v/>
      </c>
      <c r="C1500" t="str">
        <f>IFERROR(IF(A1500="","",VLOOKUP(A1500,CadProd!$A:$C,3,0)),"")</f>
        <v/>
      </c>
      <c r="I1500" s="1" t="str">
        <f>IFERROR(IF(A1500="","",E1500*#REF!),"")</f>
        <v/>
      </c>
    </row>
    <row r="1501" spans="2:9" x14ac:dyDescent="0.3">
      <c r="B1501" t="str">
        <f>IFERROR(IF(A1501="","",VLOOKUP(A1501,CadProd!$A:$B,2,0)),"")</f>
        <v/>
      </c>
      <c r="C1501" t="str">
        <f>IFERROR(IF(A1501="","",VLOOKUP(A1501,CadProd!$A:$C,3,0)),"")</f>
        <v/>
      </c>
      <c r="I1501" s="1" t="str">
        <f>IFERROR(IF(A1501="","",E1501*#REF!),"")</f>
        <v/>
      </c>
    </row>
    <row r="1502" spans="2:9" x14ac:dyDescent="0.3">
      <c r="B1502" t="str">
        <f>IFERROR(IF(A1502="","",VLOOKUP(A1502,CadProd!$A:$B,2,0)),"")</f>
        <v/>
      </c>
      <c r="C1502" t="str">
        <f>IFERROR(IF(A1502="","",VLOOKUP(A1502,CadProd!$A:$C,3,0)),"")</f>
        <v/>
      </c>
      <c r="I1502" s="1" t="str">
        <f>IFERROR(IF(A1502="","",E1502*#REF!),"")</f>
        <v/>
      </c>
    </row>
    <row r="1503" spans="2:9" x14ac:dyDescent="0.3">
      <c r="B1503" t="str">
        <f>IFERROR(IF(A1503="","",VLOOKUP(A1503,CadProd!$A:$B,2,0)),"")</f>
        <v/>
      </c>
      <c r="C1503" t="str">
        <f>IFERROR(IF(A1503="","",VLOOKUP(A1503,CadProd!$A:$C,3,0)),"")</f>
        <v/>
      </c>
      <c r="I1503" s="1" t="str">
        <f>IFERROR(IF(A1503="","",E1503*#REF!),"")</f>
        <v/>
      </c>
    </row>
    <row r="1504" spans="2:9" x14ac:dyDescent="0.3">
      <c r="B1504" t="str">
        <f>IFERROR(IF(A1504="","",VLOOKUP(A1504,CadProd!$A:$B,2,0)),"")</f>
        <v/>
      </c>
      <c r="C1504" t="str">
        <f>IFERROR(IF(A1504="","",VLOOKUP(A1504,CadProd!$A:$C,3,0)),"")</f>
        <v/>
      </c>
      <c r="I1504" s="1" t="str">
        <f>IFERROR(IF(A1504="","",E1504*#REF!),"")</f>
        <v/>
      </c>
    </row>
    <row r="1505" spans="2:9" x14ac:dyDescent="0.3">
      <c r="B1505" t="str">
        <f>IFERROR(IF(A1505="","",VLOOKUP(A1505,CadProd!$A:$B,2,0)),"")</f>
        <v/>
      </c>
      <c r="C1505" t="str">
        <f>IFERROR(IF(A1505="","",VLOOKUP(A1505,CadProd!$A:$C,3,0)),"")</f>
        <v/>
      </c>
      <c r="I1505" s="1" t="str">
        <f>IFERROR(IF(A1505="","",E1505*#REF!),"")</f>
        <v/>
      </c>
    </row>
    <row r="1506" spans="2:9" x14ac:dyDescent="0.3">
      <c r="B1506" t="str">
        <f>IFERROR(IF(A1506="","",VLOOKUP(A1506,CadProd!$A:$B,2,0)),"")</f>
        <v/>
      </c>
      <c r="C1506" t="str">
        <f>IFERROR(IF(A1506="","",VLOOKUP(A1506,CadProd!$A:$C,3,0)),"")</f>
        <v/>
      </c>
      <c r="I1506" s="1" t="str">
        <f>IFERROR(IF(A1506="","",E1506*#REF!),"")</f>
        <v/>
      </c>
    </row>
    <row r="1507" spans="2:9" x14ac:dyDescent="0.3">
      <c r="B1507" t="str">
        <f>IFERROR(IF(A1507="","",VLOOKUP(A1507,CadProd!$A:$B,2,0)),"")</f>
        <v/>
      </c>
      <c r="C1507" t="str">
        <f>IFERROR(IF(A1507="","",VLOOKUP(A1507,CadProd!$A:$C,3,0)),"")</f>
        <v/>
      </c>
      <c r="I1507" s="1" t="str">
        <f>IFERROR(IF(A1507="","",E1507*#REF!),"")</f>
        <v/>
      </c>
    </row>
    <row r="1508" spans="2:9" x14ac:dyDescent="0.3">
      <c r="B1508" t="str">
        <f>IFERROR(IF(A1508="","",VLOOKUP(A1508,CadProd!$A:$B,2,0)),"")</f>
        <v/>
      </c>
      <c r="C1508" t="str">
        <f>IFERROR(IF(A1508="","",VLOOKUP(A1508,CadProd!$A:$C,3,0)),"")</f>
        <v/>
      </c>
      <c r="I1508" s="1" t="str">
        <f>IFERROR(IF(A1508="","",E1508*#REF!),"")</f>
        <v/>
      </c>
    </row>
    <row r="1509" spans="2:9" x14ac:dyDescent="0.3">
      <c r="B1509" t="str">
        <f>IFERROR(IF(A1509="","",VLOOKUP(A1509,CadProd!$A:$B,2,0)),"")</f>
        <v/>
      </c>
      <c r="C1509" t="str">
        <f>IFERROR(IF(A1509="","",VLOOKUP(A1509,CadProd!$A:$C,3,0)),"")</f>
        <v/>
      </c>
      <c r="I1509" s="1" t="str">
        <f>IFERROR(IF(A1509="","",E1509*#REF!),"")</f>
        <v/>
      </c>
    </row>
    <row r="1510" spans="2:9" x14ac:dyDescent="0.3">
      <c r="B1510" t="str">
        <f>IFERROR(IF(A1510="","",VLOOKUP(A1510,CadProd!$A:$B,2,0)),"")</f>
        <v/>
      </c>
      <c r="C1510" t="str">
        <f>IFERROR(IF(A1510="","",VLOOKUP(A1510,CadProd!$A:$C,3,0)),"")</f>
        <v/>
      </c>
      <c r="I1510" s="1" t="str">
        <f>IFERROR(IF(A1510="","",E1510*#REF!),"")</f>
        <v/>
      </c>
    </row>
    <row r="1511" spans="2:9" x14ac:dyDescent="0.3">
      <c r="B1511" t="str">
        <f>IFERROR(IF(A1511="","",VLOOKUP(A1511,CadProd!$A:$B,2,0)),"")</f>
        <v/>
      </c>
      <c r="C1511" t="str">
        <f>IFERROR(IF(A1511="","",VLOOKUP(A1511,CadProd!$A:$C,3,0)),"")</f>
        <v/>
      </c>
      <c r="I1511" s="1" t="str">
        <f>IFERROR(IF(A1511="","",E1511*#REF!),"")</f>
        <v/>
      </c>
    </row>
    <row r="1512" spans="2:9" x14ac:dyDescent="0.3">
      <c r="B1512" t="str">
        <f>IFERROR(IF(A1512="","",VLOOKUP(A1512,CadProd!$A:$B,2,0)),"")</f>
        <v/>
      </c>
      <c r="C1512" t="str">
        <f>IFERROR(IF(A1512="","",VLOOKUP(A1512,CadProd!$A:$C,3,0)),"")</f>
        <v/>
      </c>
      <c r="I1512" s="1" t="str">
        <f>IFERROR(IF(A1512="","",E1512*#REF!),"")</f>
        <v/>
      </c>
    </row>
    <row r="1513" spans="2:9" x14ac:dyDescent="0.3">
      <c r="B1513" t="str">
        <f>IFERROR(IF(A1513="","",VLOOKUP(A1513,CadProd!$A:$B,2,0)),"")</f>
        <v/>
      </c>
      <c r="C1513" t="str">
        <f>IFERROR(IF(A1513="","",VLOOKUP(A1513,CadProd!$A:$C,3,0)),"")</f>
        <v/>
      </c>
      <c r="I1513" s="1" t="str">
        <f>IFERROR(IF(A1513="","",E1513*#REF!),"")</f>
        <v/>
      </c>
    </row>
    <row r="1514" spans="2:9" x14ac:dyDescent="0.3">
      <c r="B1514" t="str">
        <f>IFERROR(IF(A1514="","",VLOOKUP(A1514,CadProd!$A:$B,2,0)),"")</f>
        <v/>
      </c>
      <c r="C1514" t="str">
        <f>IFERROR(IF(A1514="","",VLOOKUP(A1514,CadProd!$A:$C,3,0)),"")</f>
        <v/>
      </c>
      <c r="I1514" s="1" t="str">
        <f>IFERROR(IF(A1514="","",E1514*#REF!),"")</f>
        <v/>
      </c>
    </row>
    <row r="1515" spans="2:9" x14ac:dyDescent="0.3">
      <c r="B1515" t="str">
        <f>IFERROR(IF(A1515="","",VLOOKUP(A1515,CadProd!$A:$B,2,0)),"")</f>
        <v/>
      </c>
      <c r="C1515" t="str">
        <f>IFERROR(IF(A1515="","",VLOOKUP(A1515,CadProd!$A:$C,3,0)),"")</f>
        <v/>
      </c>
      <c r="I1515" s="1" t="str">
        <f>IFERROR(IF(A1515="","",E1515*#REF!),"")</f>
        <v/>
      </c>
    </row>
    <row r="1516" spans="2:9" x14ac:dyDescent="0.3">
      <c r="B1516" t="str">
        <f>IFERROR(IF(A1516="","",VLOOKUP(A1516,CadProd!$A:$B,2,0)),"")</f>
        <v/>
      </c>
      <c r="C1516" t="str">
        <f>IFERROR(IF(A1516="","",VLOOKUP(A1516,CadProd!$A:$C,3,0)),"")</f>
        <v/>
      </c>
      <c r="I1516" s="1" t="str">
        <f>IFERROR(IF(A1516="","",E1516*#REF!),"")</f>
        <v/>
      </c>
    </row>
    <row r="1517" spans="2:9" x14ac:dyDescent="0.3">
      <c r="B1517" t="str">
        <f>IFERROR(IF(A1517="","",VLOOKUP(A1517,CadProd!$A:$B,2,0)),"")</f>
        <v/>
      </c>
      <c r="C1517" t="str">
        <f>IFERROR(IF(A1517="","",VLOOKUP(A1517,CadProd!$A:$C,3,0)),"")</f>
        <v/>
      </c>
      <c r="I1517" s="1" t="str">
        <f>IFERROR(IF(A1517="","",E1517*#REF!),"")</f>
        <v/>
      </c>
    </row>
    <row r="1518" spans="2:9" x14ac:dyDescent="0.3">
      <c r="B1518" t="str">
        <f>IFERROR(IF(A1518="","",VLOOKUP(A1518,CadProd!$A:$B,2,0)),"")</f>
        <v/>
      </c>
      <c r="C1518" t="str">
        <f>IFERROR(IF(A1518="","",VLOOKUP(A1518,CadProd!$A:$C,3,0)),"")</f>
        <v/>
      </c>
      <c r="I1518" s="1" t="str">
        <f>IFERROR(IF(A1518="","",E1518*#REF!),"")</f>
        <v/>
      </c>
    </row>
    <row r="1519" spans="2:9" x14ac:dyDescent="0.3">
      <c r="B1519" t="str">
        <f>IFERROR(IF(A1519="","",VLOOKUP(A1519,CadProd!$A:$B,2,0)),"")</f>
        <v/>
      </c>
      <c r="C1519" t="str">
        <f>IFERROR(IF(A1519="","",VLOOKUP(A1519,CadProd!$A:$C,3,0)),"")</f>
        <v/>
      </c>
      <c r="I1519" s="1" t="str">
        <f>IFERROR(IF(A1519="","",E1519*#REF!),"")</f>
        <v/>
      </c>
    </row>
    <row r="1520" spans="2:9" x14ac:dyDescent="0.3">
      <c r="B1520" t="str">
        <f>IFERROR(IF(A1520="","",VLOOKUP(A1520,CadProd!$A:$B,2,0)),"")</f>
        <v/>
      </c>
      <c r="C1520" t="str">
        <f>IFERROR(IF(A1520="","",VLOOKUP(A1520,CadProd!$A:$C,3,0)),"")</f>
        <v/>
      </c>
      <c r="I1520" s="1" t="str">
        <f>IFERROR(IF(A1520="","",E1520*#REF!),"")</f>
        <v/>
      </c>
    </row>
    <row r="1521" spans="2:9" x14ac:dyDescent="0.3">
      <c r="B1521" t="str">
        <f>IFERROR(IF(A1521="","",VLOOKUP(A1521,CadProd!$A:$B,2,0)),"")</f>
        <v/>
      </c>
      <c r="C1521" t="str">
        <f>IFERROR(IF(A1521="","",VLOOKUP(A1521,CadProd!$A:$C,3,0)),"")</f>
        <v/>
      </c>
      <c r="I1521" s="1" t="str">
        <f>IFERROR(IF(A1521="","",E1521*#REF!),"")</f>
        <v/>
      </c>
    </row>
    <row r="1522" spans="2:9" x14ac:dyDescent="0.3">
      <c r="B1522" t="str">
        <f>IFERROR(IF(A1522="","",VLOOKUP(A1522,CadProd!$A:$B,2,0)),"")</f>
        <v/>
      </c>
      <c r="C1522" t="str">
        <f>IFERROR(IF(A1522="","",VLOOKUP(A1522,CadProd!$A:$C,3,0)),"")</f>
        <v/>
      </c>
      <c r="I1522" s="1" t="str">
        <f>IFERROR(IF(A1522="","",E1522*#REF!),"")</f>
        <v/>
      </c>
    </row>
    <row r="1523" spans="2:9" x14ac:dyDescent="0.3">
      <c r="B1523" t="str">
        <f>IFERROR(IF(A1523="","",VLOOKUP(A1523,CadProd!$A:$B,2,0)),"")</f>
        <v/>
      </c>
      <c r="C1523" t="str">
        <f>IFERROR(IF(A1523="","",VLOOKUP(A1523,CadProd!$A:$C,3,0)),"")</f>
        <v/>
      </c>
      <c r="I1523" s="1" t="str">
        <f>IFERROR(IF(A1523="","",E1523*#REF!),"")</f>
        <v/>
      </c>
    </row>
    <row r="1524" spans="2:9" x14ac:dyDescent="0.3">
      <c r="B1524" t="str">
        <f>IFERROR(IF(A1524="","",VLOOKUP(A1524,CadProd!$A:$B,2,0)),"")</f>
        <v/>
      </c>
      <c r="C1524" t="str">
        <f>IFERROR(IF(A1524="","",VLOOKUP(A1524,CadProd!$A:$C,3,0)),"")</f>
        <v/>
      </c>
      <c r="I1524" s="1" t="str">
        <f>IFERROR(IF(A1524="","",E1524*#REF!),"")</f>
        <v/>
      </c>
    </row>
    <row r="1525" spans="2:9" x14ac:dyDescent="0.3">
      <c r="B1525" t="str">
        <f>IFERROR(IF(A1525="","",VLOOKUP(A1525,CadProd!$A:$B,2,0)),"")</f>
        <v/>
      </c>
      <c r="C1525" t="str">
        <f>IFERROR(IF(A1525="","",VLOOKUP(A1525,CadProd!$A:$C,3,0)),"")</f>
        <v/>
      </c>
      <c r="I1525" s="1" t="str">
        <f>IFERROR(IF(A1525="","",E1525*#REF!),"")</f>
        <v/>
      </c>
    </row>
    <row r="1526" spans="2:9" x14ac:dyDescent="0.3">
      <c r="B1526" t="str">
        <f>IFERROR(IF(A1526="","",VLOOKUP(A1526,CadProd!$A:$B,2,0)),"")</f>
        <v/>
      </c>
      <c r="C1526" t="str">
        <f>IFERROR(IF(A1526="","",VLOOKUP(A1526,CadProd!$A:$C,3,0)),"")</f>
        <v/>
      </c>
      <c r="I1526" s="1" t="str">
        <f>IFERROR(IF(A1526="","",E1526*#REF!),"")</f>
        <v/>
      </c>
    </row>
    <row r="1527" spans="2:9" x14ac:dyDescent="0.3">
      <c r="B1527" t="str">
        <f>IFERROR(IF(A1527="","",VLOOKUP(A1527,CadProd!$A:$B,2,0)),"")</f>
        <v/>
      </c>
      <c r="C1527" t="str">
        <f>IFERROR(IF(A1527="","",VLOOKUP(A1527,CadProd!$A:$C,3,0)),"")</f>
        <v/>
      </c>
      <c r="I1527" s="1" t="str">
        <f>IFERROR(IF(A1527="","",E1527*#REF!),"")</f>
        <v/>
      </c>
    </row>
    <row r="1528" spans="2:9" x14ac:dyDescent="0.3">
      <c r="B1528" t="str">
        <f>IFERROR(IF(A1528="","",VLOOKUP(A1528,CadProd!$A:$B,2,0)),"")</f>
        <v/>
      </c>
      <c r="C1528" t="str">
        <f>IFERROR(IF(A1528="","",VLOOKUP(A1528,CadProd!$A:$C,3,0)),"")</f>
        <v/>
      </c>
      <c r="I1528" s="1" t="str">
        <f>IFERROR(IF(A1528="","",E1528*#REF!),"")</f>
        <v/>
      </c>
    </row>
    <row r="1529" spans="2:9" x14ac:dyDescent="0.3">
      <c r="B1529" t="str">
        <f>IFERROR(IF(A1529="","",VLOOKUP(A1529,CadProd!$A:$B,2,0)),"")</f>
        <v/>
      </c>
      <c r="C1529" t="str">
        <f>IFERROR(IF(A1529="","",VLOOKUP(A1529,CadProd!$A:$C,3,0)),"")</f>
        <v/>
      </c>
      <c r="I1529" s="1" t="str">
        <f>IFERROR(IF(A1529="","",E1529*#REF!),"")</f>
        <v/>
      </c>
    </row>
    <row r="1530" spans="2:9" x14ac:dyDescent="0.3">
      <c r="B1530" t="str">
        <f>IFERROR(IF(A1530="","",VLOOKUP(A1530,CadProd!$A:$B,2,0)),"")</f>
        <v/>
      </c>
      <c r="C1530" t="str">
        <f>IFERROR(IF(A1530="","",VLOOKUP(A1530,CadProd!$A:$C,3,0)),"")</f>
        <v/>
      </c>
      <c r="I1530" s="1" t="str">
        <f>IFERROR(IF(A1530="","",E1530*#REF!),"")</f>
        <v/>
      </c>
    </row>
    <row r="1531" spans="2:9" x14ac:dyDescent="0.3">
      <c r="B1531" t="str">
        <f>IFERROR(IF(A1531="","",VLOOKUP(A1531,CadProd!$A:$B,2,0)),"")</f>
        <v/>
      </c>
      <c r="C1531" t="str">
        <f>IFERROR(IF(A1531="","",VLOOKUP(A1531,CadProd!$A:$C,3,0)),"")</f>
        <v/>
      </c>
      <c r="I1531" s="1" t="str">
        <f>IFERROR(IF(A1531="","",E1531*#REF!),"")</f>
        <v/>
      </c>
    </row>
    <row r="1532" spans="2:9" x14ac:dyDescent="0.3">
      <c r="B1532" t="str">
        <f>IFERROR(IF(A1532="","",VLOOKUP(A1532,CadProd!$A:$B,2,0)),"")</f>
        <v/>
      </c>
      <c r="C1532" t="str">
        <f>IFERROR(IF(A1532="","",VLOOKUP(A1532,CadProd!$A:$C,3,0)),"")</f>
        <v/>
      </c>
      <c r="I1532" s="1" t="str">
        <f>IFERROR(IF(A1532="","",E1532*#REF!),"")</f>
        <v/>
      </c>
    </row>
    <row r="1533" spans="2:9" x14ac:dyDescent="0.3">
      <c r="B1533" t="str">
        <f>IFERROR(IF(A1533="","",VLOOKUP(A1533,CadProd!$A:$B,2,0)),"")</f>
        <v/>
      </c>
      <c r="C1533" t="str">
        <f>IFERROR(IF(A1533="","",VLOOKUP(A1533,CadProd!$A:$C,3,0)),"")</f>
        <v/>
      </c>
      <c r="I1533" s="1" t="str">
        <f>IFERROR(IF(A1533="","",E1533*#REF!),"")</f>
        <v/>
      </c>
    </row>
    <row r="1534" spans="2:9" x14ac:dyDescent="0.3">
      <c r="B1534" t="str">
        <f>IFERROR(IF(A1534="","",VLOOKUP(A1534,CadProd!$A:$B,2,0)),"")</f>
        <v/>
      </c>
      <c r="C1534" t="str">
        <f>IFERROR(IF(A1534="","",VLOOKUP(A1534,CadProd!$A:$C,3,0)),"")</f>
        <v/>
      </c>
      <c r="I1534" s="1" t="str">
        <f>IFERROR(IF(A1534="","",E1534*#REF!),"")</f>
        <v/>
      </c>
    </row>
    <row r="1535" spans="2:9" x14ac:dyDescent="0.3">
      <c r="B1535" t="str">
        <f>IFERROR(IF(A1535="","",VLOOKUP(A1535,CadProd!$A:$B,2,0)),"")</f>
        <v/>
      </c>
      <c r="C1535" t="str">
        <f>IFERROR(IF(A1535="","",VLOOKUP(A1535,CadProd!$A:$C,3,0)),"")</f>
        <v/>
      </c>
      <c r="I1535" s="1" t="str">
        <f>IFERROR(IF(A1535="","",E1535*#REF!),"")</f>
        <v/>
      </c>
    </row>
    <row r="1536" spans="2:9" x14ac:dyDescent="0.3">
      <c r="B1536" t="str">
        <f>IFERROR(IF(A1536="","",VLOOKUP(A1536,CadProd!$A:$B,2,0)),"")</f>
        <v/>
      </c>
      <c r="C1536" t="str">
        <f>IFERROR(IF(A1536="","",VLOOKUP(A1536,CadProd!$A:$C,3,0)),"")</f>
        <v/>
      </c>
      <c r="I1536" s="1" t="str">
        <f>IFERROR(IF(A1536="","",E1536*#REF!),"")</f>
        <v/>
      </c>
    </row>
    <row r="1537" spans="2:9" x14ac:dyDescent="0.3">
      <c r="B1537" t="str">
        <f>IFERROR(IF(A1537="","",VLOOKUP(A1537,CadProd!$A:$B,2,0)),"")</f>
        <v/>
      </c>
      <c r="C1537" t="str">
        <f>IFERROR(IF(A1537="","",VLOOKUP(A1537,CadProd!$A:$C,3,0)),"")</f>
        <v/>
      </c>
      <c r="I1537" s="1" t="str">
        <f>IFERROR(IF(A1537="","",E1537*#REF!),"")</f>
        <v/>
      </c>
    </row>
    <row r="1538" spans="2:9" x14ac:dyDescent="0.3">
      <c r="B1538" t="str">
        <f>IFERROR(IF(A1538="","",VLOOKUP(A1538,CadProd!$A:$B,2,0)),"")</f>
        <v/>
      </c>
      <c r="C1538" t="str">
        <f>IFERROR(IF(A1538="","",VLOOKUP(A1538,CadProd!$A:$C,3,0)),"")</f>
        <v/>
      </c>
      <c r="I1538" s="1" t="str">
        <f>IFERROR(IF(A1538="","",E1538*#REF!),"")</f>
        <v/>
      </c>
    </row>
    <row r="1539" spans="2:9" x14ac:dyDescent="0.3">
      <c r="B1539" t="str">
        <f>IFERROR(IF(A1539="","",VLOOKUP(A1539,CadProd!$A:$B,2,0)),"")</f>
        <v/>
      </c>
      <c r="C1539" t="str">
        <f>IFERROR(IF(A1539="","",VLOOKUP(A1539,CadProd!$A:$C,3,0)),"")</f>
        <v/>
      </c>
      <c r="I1539" s="1" t="str">
        <f>IFERROR(IF(A1539="","",E1539*#REF!),"")</f>
        <v/>
      </c>
    </row>
    <row r="1540" spans="2:9" x14ac:dyDescent="0.3">
      <c r="B1540" t="str">
        <f>IFERROR(IF(A1540="","",VLOOKUP(A1540,CadProd!$A:$B,2,0)),"")</f>
        <v/>
      </c>
      <c r="C1540" t="str">
        <f>IFERROR(IF(A1540="","",VLOOKUP(A1540,CadProd!$A:$C,3,0)),"")</f>
        <v/>
      </c>
      <c r="I1540" s="1" t="str">
        <f>IFERROR(IF(A1540="","",E1540*#REF!),"")</f>
        <v/>
      </c>
    </row>
    <row r="1541" spans="2:9" x14ac:dyDescent="0.3">
      <c r="B1541" t="str">
        <f>IFERROR(IF(A1541="","",VLOOKUP(A1541,CadProd!$A:$B,2,0)),"")</f>
        <v/>
      </c>
      <c r="C1541" t="str">
        <f>IFERROR(IF(A1541="","",VLOOKUP(A1541,CadProd!$A:$C,3,0)),"")</f>
        <v/>
      </c>
      <c r="I1541" s="1" t="str">
        <f>IFERROR(IF(A1541="","",E1541*#REF!),"")</f>
        <v/>
      </c>
    </row>
    <row r="1542" spans="2:9" x14ac:dyDescent="0.3">
      <c r="B1542" t="str">
        <f>IFERROR(IF(A1542="","",VLOOKUP(A1542,CadProd!$A:$B,2,0)),"")</f>
        <v/>
      </c>
      <c r="C1542" t="str">
        <f>IFERROR(IF(A1542="","",VLOOKUP(A1542,CadProd!$A:$C,3,0)),"")</f>
        <v/>
      </c>
      <c r="I1542" s="1" t="str">
        <f>IFERROR(IF(A1542="","",E1542*#REF!),"")</f>
        <v/>
      </c>
    </row>
    <row r="1543" spans="2:9" x14ac:dyDescent="0.3">
      <c r="B1543" t="str">
        <f>IFERROR(IF(A1543="","",VLOOKUP(A1543,CadProd!$A:$B,2,0)),"")</f>
        <v/>
      </c>
      <c r="C1543" t="str">
        <f>IFERROR(IF(A1543="","",VLOOKUP(A1543,CadProd!$A:$C,3,0)),"")</f>
        <v/>
      </c>
      <c r="I1543" s="1" t="str">
        <f>IFERROR(IF(A1543="","",E1543*#REF!),"")</f>
        <v/>
      </c>
    </row>
    <row r="1544" spans="2:9" x14ac:dyDescent="0.3">
      <c r="B1544" t="str">
        <f>IFERROR(IF(A1544="","",VLOOKUP(A1544,CadProd!$A:$B,2,0)),"")</f>
        <v/>
      </c>
      <c r="C1544" t="str">
        <f>IFERROR(IF(A1544="","",VLOOKUP(A1544,CadProd!$A:$C,3,0)),"")</f>
        <v/>
      </c>
      <c r="I1544" s="1" t="str">
        <f>IFERROR(IF(A1544="","",E1544*#REF!),"")</f>
        <v/>
      </c>
    </row>
    <row r="1545" spans="2:9" x14ac:dyDescent="0.3">
      <c r="B1545" t="str">
        <f>IFERROR(IF(A1545="","",VLOOKUP(A1545,CadProd!$A:$B,2,0)),"")</f>
        <v/>
      </c>
      <c r="C1545" t="str">
        <f>IFERROR(IF(A1545="","",VLOOKUP(A1545,CadProd!$A:$C,3,0)),"")</f>
        <v/>
      </c>
      <c r="I1545" s="1" t="str">
        <f>IFERROR(IF(A1545="","",E1545*#REF!),"")</f>
        <v/>
      </c>
    </row>
    <row r="1546" spans="2:9" x14ac:dyDescent="0.3">
      <c r="B1546" t="str">
        <f>IFERROR(IF(A1546="","",VLOOKUP(A1546,CadProd!$A:$B,2,0)),"")</f>
        <v/>
      </c>
      <c r="C1546" t="str">
        <f>IFERROR(IF(A1546="","",VLOOKUP(A1546,CadProd!$A:$C,3,0)),"")</f>
        <v/>
      </c>
      <c r="I1546" s="1" t="str">
        <f>IFERROR(IF(A1546="","",E1546*#REF!),"")</f>
        <v/>
      </c>
    </row>
    <row r="1547" spans="2:9" x14ac:dyDescent="0.3">
      <c r="B1547" t="str">
        <f>IFERROR(IF(A1547="","",VLOOKUP(A1547,CadProd!$A:$B,2,0)),"")</f>
        <v/>
      </c>
      <c r="C1547" t="str">
        <f>IFERROR(IF(A1547="","",VLOOKUP(A1547,CadProd!$A:$C,3,0)),"")</f>
        <v/>
      </c>
      <c r="I1547" s="1" t="str">
        <f>IFERROR(IF(A1547="","",E1547*#REF!),"")</f>
        <v/>
      </c>
    </row>
    <row r="1548" spans="2:9" x14ac:dyDescent="0.3">
      <c r="B1548" t="str">
        <f>IFERROR(IF(A1548="","",VLOOKUP(A1548,CadProd!$A:$B,2,0)),"")</f>
        <v/>
      </c>
      <c r="C1548" t="str">
        <f>IFERROR(IF(A1548="","",VLOOKUP(A1548,CadProd!$A:$C,3,0)),"")</f>
        <v/>
      </c>
      <c r="I1548" s="1" t="str">
        <f>IFERROR(IF(A1548="","",E1548*#REF!),"")</f>
        <v/>
      </c>
    </row>
    <row r="1549" spans="2:9" x14ac:dyDescent="0.3">
      <c r="B1549" t="str">
        <f>IFERROR(IF(A1549="","",VLOOKUP(A1549,CadProd!$A:$B,2,0)),"")</f>
        <v/>
      </c>
      <c r="C1549" t="str">
        <f>IFERROR(IF(A1549="","",VLOOKUP(A1549,CadProd!$A:$C,3,0)),"")</f>
        <v/>
      </c>
      <c r="I1549" s="1" t="str">
        <f>IFERROR(IF(A1549="","",E1549*#REF!),"")</f>
        <v/>
      </c>
    </row>
    <row r="1550" spans="2:9" x14ac:dyDescent="0.3">
      <c r="B1550" t="str">
        <f>IFERROR(IF(A1550="","",VLOOKUP(A1550,CadProd!$A:$B,2,0)),"")</f>
        <v/>
      </c>
      <c r="C1550" t="str">
        <f>IFERROR(IF(A1550="","",VLOOKUP(A1550,CadProd!$A:$C,3,0)),"")</f>
        <v/>
      </c>
      <c r="I1550" s="1" t="str">
        <f>IFERROR(IF(A1550="","",E1550*#REF!),"")</f>
        <v/>
      </c>
    </row>
    <row r="1551" spans="2:9" x14ac:dyDescent="0.3">
      <c r="B1551" t="str">
        <f>IFERROR(IF(A1551="","",VLOOKUP(A1551,CadProd!$A:$B,2,0)),"")</f>
        <v/>
      </c>
      <c r="C1551" t="str">
        <f>IFERROR(IF(A1551="","",VLOOKUP(A1551,CadProd!$A:$C,3,0)),"")</f>
        <v/>
      </c>
      <c r="I1551" s="1" t="str">
        <f>IFERROR(IF(A1551="","",E1551*#REF!),"")</f>
        <v/>
      </c>
    </row>
    <row r="1552" spans="2:9" x14ac:dyDescent="0.3">
      <c r="B1552" t="str">
        <f>IFERROR(IF(A1552="","",VLOOKUP(A1552,CadProd!$A:$B,2,0)),"")</f>
        <v/>
      </c>
      <c r="C1552" t="str">
        <f>IFERROR(IF(A1552="","",VLOOKUP(A1552,CadProd!$A:$C,3,0)),"")</f>
        <v/>
      </c>
      <c r="I1552" s="1" t="str">
        <f>IFERROR(IF(A1552="","",E1552*#REF!),"")</f>
        <v/>
      </c>
    </row>
    <row r="1553" spans="2:9" x14ac:dyDescent="0.3">
      <c r="B1553" t="str">
        <f>IFERROR(IF(A1553="","",VLOOKUP(A1553,CadProd!$A:$B,2,0)),"")</f>
        <v/>
      </c>
      <c r="C1553" t="str">
        <f>IFERROR(IF(A1553="","",VLOOKUP(A1553,CadProd!$A:$C,3,0)),"")</f>
        <v/>
      </c>
      <c r="I1553" s="1" t="str">
        <f>IFERROR(IF(A1553="","",E1553*#REF!),"")</f>
        <v/>
      </c>
    </row>
    <row r="1554" spans="2:9" x14ac:dyDescent="0.3">
      <c r="B1554" t="str">
        <f>IFERROR(IF(A1554="","",VLOOKUP(A1554,CadProd!$A:$B,2,0)),"")</f>
        <v/>
      </c>
      <c r="C1554" t="str">
        <f>IFERROR(IF(A1554="","",VLOOKUP(A1554,CadProd!$A:$C,3,0)),"")</f>
        <v/>
      </c>
      <c r="I1554" s="1" t="str">
        <f>IFERROR(IF(A1554="","",E1554*#REF!),"")</f>
        <v/>
      </c>
    </row>
    <row r="1555" spans="2:9" x14ac:dyDescent="0.3">
      <c r="B1555" t="str">
        <f>IFERROR(IF(A1555="","",VLOOKUP(A1555,CadProd!$A:$B,2,0)),"")</f>
        <v/>
      </c>
      <c r="C1555" t="str">
        <f>IFERROR(IF(A1555="","",VLOOKUP(A1555,CadProd!$A:$C,3,0)),"")</f>
        <v/>
      </c>
      <c r="I1555" s="1" t="str">
        <f>IFERROR(IF(A1555="","",E1555*#REF!),"")</f>
        <v/>
      </c>
    </row>
    <row r="1556" spans="2:9" x14ac:dyDescent="0.3">
      <c r="B1556" t="str">
        <f>IFERROR(IF(A1556="","",VLOOKUP(A1556,CadProd!$A:$B,2,0)),"")</f>
        <v/>
      </c>
      <c r="C1556" t="str">
        <f>IFERROR(IF(A1556="","",VLOOKUP(A1556,CadProd!$A:$C,3,0)),"")</f>
        <v/>
      </c>
      <c r="I1556" s="1" t="str">
        <f>IFERROR(IF(A1556="","",E1556*#REF!),"")</f>
        <v/>
      </c>
    </row>
    <row r="1557" spans="2:9" x14ac:dyDescent="0.3">
      <c r="B1557" t="str">
        <f>IFERROR(IF(A1557="","",VLOOKUP(A1557,CadProd!$A:$B,2,0)),"")</f>
        <v/>
      </c>
      <c r="C1557" t="str">
        <f>IFERROR(IF(A1557="","",VLOOKUP(A1557,CadProd!$A:$C,3,0)),"")</f>
        <v/>
      </c>
      <c r="I1557" s="1" t="str">
        <f>IFERROR(IF(A1557="","",E1557*#REF!),"")</f>
        <v/>
      </c>
    </row>
    <row r="1558" spans="2:9" x14ac:dyDescent="0.3">
      <c r="B1558" t="str">
        <f>IFERROR(IF(A1558="","",VLOOKUP(A1558,CadProd!$A:$B,2,0)),"")</f>
        <v/>
      </c>
      <c r="C1558" t="str">
        <f>IFERROR(IF(A1558="","",VLOOKUP(A1558,CadProd!$A:$C,3,0)),"")</f>
        <v/>
      </c>
      <c r="I1558" s="1" t="str">
        <f>IFERROR(IF(A1558="","",E1558*#REF!),"")</f>
        <v/>
      </c>
    </row>
    <row r="1559" spans="2:9" x14ac:dyDescent="0.3">
      <c r="B1559" t="str">
        <f>IFERROR(IF(A1559="","",VLOOKUP(A1559,CadProd!$A:$B,2,0)),"")</f>
        <v/>
      </c>
      <c r="C1559" t="str">
        <f>IFERROR(IF(A1559="","",VLOOKUP(A1559,CadProd!$A:$C,3,0)),"")</f>
        <v/>
      </c>
      <c r="I1559" s="1" t="str">
        <f>IFERROR(IF(A1559="","",E1559*#REF!),"")</f>
        <v/>
      </c>
    </row>
    <row r="1560" spans="2:9" x14ac:dyDescent="0.3">
      <c r="B1560" t="str">
        <f>IFERROR(IF(A1560="","",VLOOKUP(A1560,CadProd!$A:$B,2,0)),"")</f>
        <v/>
      </c>
      <c r="C1560" t="str">
        <f>IFERROR(IF(A1560="","",VLOOKUP(A1560,CadProd!$A:$C,3,0)),"")</f>
        <v/>
      </c>
      <c r="I1560" s="1" t="str">
        <f>IFERROR(IF(A1560="","",E1560*#REF!),"")</f>
        <v/>
      </c>
    </row>
    <row r="1561" spans="2:9" x14ac:dyDescent="0.3">
      <c r="B1561" t="str">
        <f>IFERROR(IF(A1561="","",VLOOKUP(A1561,CadProd!$A:$B,2,0)),"")</f>
        <v/>
      </c>
      <c r="C1561" t="str">
        <f>IFERROR(IF(A1561="","",VLOOKUP(A1561,CadProd!$A:$C,3,0)),"")</f>
        <v/>
      </c>
      <c r="I1561" s="1" t="str">
        <f>IFERROR(IF(A1561="","",E1561*#REF!),"")</f>
        <v/>
      </c>
    </row>
    <row r="1562" spans="2:9" x14ac:dyDescent="0.3">
      <c r="B1562" t="str">
        <f>IFERROR(IF(A1562="","",VLOOKUP(A1562,CadProd!$A:$B,2,0)),"")</f>
        <v/>
      </c>
      <c r="C1562" t="str">
        <f>IFERROR(IF(A1562="","",VLOOKUP(A1562,CadProd!$A:$C,3,0)),"")</f>
        <v/>
      </c>
      <c r="I1562" s="1" t="str">
        <f>IFERROR(IF(A1562="","",E1562*#REF!),"")</f>
        <v/>
      </c>
    </row>
    <row r="1563" spans="2:9" x14ac:dyDescent="0.3">
      <c r="B1563" t="str">
        <f>IFERROR(IF(A1563="","",VLOOKUP(A1563,CadProd!$A:$B,2,0)),"")</f>
        <v/>
      </c>
      <c r="C1563" t="str">
        <f>IFERROR(IF(A1563="","",VLOOKUP(A1563,CadProd!$A:$C,3,0)),"")</f>
        <v/>
      </c>
      <c r="I1563" s="1" t="str">
        <f>IFERROR(IF(A1563="","",E1563*#REF!),"")</f>
        <v/>
      </c>
    </row>
    <row r="1564" spans="2:9" x14ac:dyDescent="0.3">
      <c r="B1564" t="str">
        <f>IFERROR(IF(A1564="","",VLOOKUP(A1564,CadProd!$A:$B,2,0)),"")</f>
        <v/>
      </c>
      <c r="C1564" t="str">
        <f>IFERROR(IF(A1564="","",VLOOKUP(A1564,CadProd!$A:$C,3,0)),"")</f>
        <v/>
      </c>
      <c r="I1564" s="1" t="str">
        <f>IFERROR(IF(A1564="","",E1564*#REF!),"")</f>
        <v/>
      </c>
    </row>
    <row r="1565" spans="2:9" x14ac:dyDescent="0.3">
      <c r="B1565" t="str">
        <f>IFERROR(IF(A1565="","",VLOOKUP(A1565,CadProd!$A:$B,2,0)),"")</f>
        <v/>
      </c>
      <c r="C1565" t="str">
        <f>IFERROR(IF(A1565="","",VLOOKUP(A1565,CadProd!$A:$C,3,0)),"")</f>
        <v/>
      </c>
      <c r="I1565" s="1" t="str">
        <f>IFERROR(IF(A1565="","",E1565*#REF!),"")</f>
        <v/>
      </c>
    </row>
    <row r="1566" spans="2:9" x14ac:dyDescent="0.3">
      <c r="B1566" t="str">
        <f>IFERROR(IF(A1566="","",VLOOKUP(A1566,CadProd!$A:$B,2,0)),"")</f>
        <v/>
      </c>
      <c r="C1566" t="str">
        <f>IFERROR(IF(A1566="","",VLOOKUP(A1566,CadProd!$A:$C,3,0)),"")</f>
        <v/>
      </c>
      <c r="I1566" s="1" t="str">
        <f>IFERROR(IF(A1566="","",E1566*#REF!),"")</f>
        <v/>
      </c>
    </row>
    <row r="1567" spans="2:9" x14ac:dyDescent="0.3">
      <c r="B1567" t="str">
        <f>IFERROR(IF(A1567="","",VLOOKUP(A1567,CadProd!$A:$B,2,0)),"")</f>
        <v/>
      </c>
      <c r="C1567" t="str">
        <f>IFERROR(IF(A1567="","",VLOOKUP(A1567,CadProd!$A:$C,3,0)),"")</f>
        <v/>
      </c>
      <c r="I1567" s="1" t="str">
        <f>IFERROR(IF(A1567="","",E1567*#REF!),"")</f>
        <v/>
      </c>
    </row>
    <row r="1568" spans="2:9" x14ac:dyDescent="0.3">
      <c r="B1568" t="str">
        <f>IFERROR(IF(A1568="","",VLOOKUP(A1568,CadProd!$A:$B,2,0)),"")</f>
        <v/>
      </c>
      <c r="C1568" t="str">
        <f>IFERROR(IF(A1568="","",VLOOKUP(A1568,CadProd!$A:$C,3,0)),"")</f>
        <v/>
      </c>
      <c r="I1568" s="1" t="str">
        <f>IFERROR(IF(A1568="","",E1568*#REF!),"")</f>
        <v/>
      </c>
    </row>
    <row r="1569" spans="2:9" x14ac:dyDescent="0.3">
      <c r="B1569" t="str">
        <f>IFERROR(IF(A1569="","",VLOOKUP(A1569,CadProd!$A:$B,2,0)),"")</f>
        <v/>
      </c>
      <c r="C1569" t="str">
        <f>IFERROR(IF(A1569="","",VLOOKUP(A1569,CadProd!$A:$C,3,0)),"")</f>
        <v/>
      </c>
      <c r="I1569" s="1" t="str">
        <f>IFERROR(IF(A1569="","",E1569*#REF!),"")</f>
        <v/>
      </c>
    </row>
    <row r="1570" spans="2:9" x14ac:dyDescent="0.3">
      <c r="B1570" t="str">
        <f>IFERROR(IF(A1570="","",VLOOKUP(A1570,CadProd!$A:$B,2,0)),"")</f>
        <v/>
      </c>
      <c r="C1570" t="str">
        <f>IFERROR(IF(A1570="","",VLOOKUP(A1570,CadProd!$A:$C,3,0)),"")</f>
        <v/>
      </c>
      <c r="I1570" s="1" t="str">
        <f>IFERROR(IF(A1570="","",E1570*#REF!),"")</f>
        <v/>
      </c>
    </row>
    <row r="1571" spans="2:9" x14ac:dyDescent="0.3">
      <c r="B1571" t="str">
        <f>IFERROR(IF(A1571="","",VLOOKUP(A1571,CadProd!$A:$B,2,0)),"")</f>
        <v/>
      </c>
      <c r="C1571" t="str">
        <f>IFERROR(IF(A1571="","",VLOOKUP(A1571,CadProd!$A:$C,3,0)),"")</f>
        <v/>
      </c>
      <c r="I1571" s="1" t="str">
        <f>IFERROR(IF(A1571="","",E1571*#REF!),"")</f>
        <v/>
      </c>
    </row>
    <row r="1572" spans="2:9" x14ac:dyDescent="0.3">
      <c r="B1572" t="str">
        <f>IFERROR(IF(A1572="","",VLOOKUP(A1572,CadProd!$A:$B,2,0)),"")</f>
        <v/>
      </c>
      <c r="C1572" t="str">
        <f>IFERROR(IF(A1572="","",VLOOKUP(A1572,CadProd!$A:$C,3,0)),"")</f>
        <v/>
      </c>
      <c r="I1572" s="1" t="str">
        <f>IFERROR(IF(A1572="","",E1572*#REF!),"")</f>
        <v/>
      </c>
    </row>
    <row r="1573" spans="2:9" x14ac:dyDescent="0.3">
      <c r="B1573" t="str">
        <f>IFERROR(IF(A1573="","",VLOOKUP(A1573,CadProd!$A:$B,2,0)),"")</f>
        <v/>
      </c>
      <c r="C1573" t="str">
        <f>IFERROR(IF(A1573="","",VLOOKUP(A1573,CadProd!$A:$C,3,0)),"")</f>
        <v/>
      </c>
      <c r="I1573" s="1" t="str">
        <f>IFERROR(IF(A1573="","",E1573*#REF!),"")</f>
        <v/>
      </c>
    </row>
    <row r="1574" spans="2:9" x14ac:dyDescent="0.3">
      <c r="B1574" t="str">
        <f>IFERROR(IF(A1574="","",VLOOKUP(A1574,CadProd!$A:$B,2,0)),"")</f>
        <v/>
      </c>
      <c r="C1574" t="str">
        <f>IFERROR(IF(A1574="","",VLOOKUP(A1574,CadProd!$A:$C,3,0)),"")</f>
        <v/>
      </c>
      <c r="I1574" s="1" t="str">
        <f>IFERROR(IF(A1574="","",E1574*#REF!),"")</f>
        <v/>
      </c>
    </row>
    <row r="1575" spans="2:9" x14ac:dyDescent="0.3">
      <c r="B1575" t="str">
        <f>IFERROR(IF(A1575="","",VLOOKUP(A1575,CadProd!$A:$B,2,0)),"")</f>
        <v/>
      </c>
      <c r="C1575" t="str">
        <f>IFERROR(IF(A1575="","",VLOOKUP(A1575,CadProd!$A:$C,3,0)),"")</f>
        <v/>
      </c>
      <c r="I1575" s="1" t="str">
        <f>IFERROR(IF(A1575="","",E1575*#REF!),"")</f>
        <v/>
      </c>
    </row>
    <row r="1576" spans="2:9" x14ac:dyDescent="0.3">
      <c r="B1576" t="str">
        <f>IFERROR(IF(A1576="","",VLOOKUP(A1576,CadProd!$A:$B,2,0)),"")</f>
        <v/>
      </c>
      <c r="C1576" t="str">
        <f>IFERROR(IF(A1576="","",VLOOKUP(A1576,CadProd!$A:$C,3,0)),"")</f>
        <v/>
      </c>
      <c r="I1576" s="1" t="str">
        <f>IFERROR(IF(A1576="","",E1576*#REF!),"")</f>
        <v/>
      </c>
    </row>
    <row r="1577" spans="2:9" x14ac:dyDescent="0.3">
      <c r="B1577" t="str">
        <f>IFERROR(IF(A1577="","",VLOOKUP(A1577,CadProd!$A:$B,2,0)),"")</f>
        <v/>
      </c>
      <c r="C1577" t="str">
        <f>IFERROR(IF(A1577="","",VLOOKUP(A1577,CadProd!$A:$C,3,0)),"")</f>
        <v/>
      </c>
      <c r="I1577" s="1" t="str">
        <f>IFERROR(IF(A1577="","",E1577*#REF!),"")</f>
        <v/>
      </c>
    </row>
    <row r="1578" spans="2:9" x14ac:dyDescent="0.3">
      <c r="B1578" t="str">
        <f>IFERROR(IF(A1578="","",VLOOKUP(A1578,CadProd!$A:$B,2,0)),"")</f>
        <v/>
      </c>
      <c r="C1578" t="str">
        <f>IFERROR(IF(A1578="","",VLOOKUP(A1578,CadProd!$A:$C,3,0)),"")</f>
        <v/>
      </c>
      <c r="I1578" s="1" t="str">
        <f>IFERROR(IF(A1578="","",E1578*#REF!),"")</f>
        <v/>
      </c>
    </row>
    <row r="1579" spans="2:9" x14ac:dyDescent="0.3">
      <c r="B1579" t="str">
        <f>IFERROR(IF(A1579="","",VLOOKUP(A1579,CadProd!$A:$B,2,0)),"")</f>
        <v/>
      </c>
      <c r="C1579" t="str">
        <f>IFERROR(IF(A1579="","",VLOOKUP(A1579,CadProd!$A:$C,3,0)),"")</f>
        <v/>
      </c>
      <c r="I1579" s="1" t="str">
        <f>IFERROR(IF(A1579="","",E1579*#REF!),"")</f>
        <v/>
      </c>
    </row>
    <row r="1580" spans="2:9" x14ac:dyDescent="0.3">
      <c r="B1580" t="str">
        <f>IFERROR(IF(A1580="","",VLOOKUP(A1580,CadProd!$A:$B,2,0)),"")</f>
        <v/>
      </c>
      <c r="C1580" t="str">
        <f>IFERROR(IF(A1580="","",VLOOKUP(A1580,CadProd!$A:$C,3,0)),"")</f>
        <v/>
      </c>
      <c r="I1580" s="1" t="str">
        <f>IFERROR(IF(A1580="","",E1580*#REF!),"")</f>
        <v/>
      </c>
    </row>
    <row r="1581" spans="2:9" x14ac:dyDescent="0.3">
      <c r="B1581" t="str">
        <f>IFERROR(IF(A1581="","",VLOOKUP(A1581,CadProd!$A:$B,2,0)),"")</f>
        <v/>
      </c>
      <c r="C1581" t="str">
        <f>IFERROR(IF(A1581="","",VLOOKUP(A1581,CadProd!$A:$C,3,0)),"")</f>
        <v/>
      </c>
      <c r="I1581" s="1" t="str">
        <f>IFERROR(IF(A1581="","",E1581*#REF!),"")</f>
        <v/>
      </c>
    </row>
    <row r="1582" spans="2:9" x14ac:dyDescent="0.3">
      <c r="B1582" t="str">
        <f>IFERROR(IF(A1582="","",VLOOKUP(A1582,CadProd!$A:$B,2,0)),"")</f>
        <v/>
      </c>
      <c r="C1582" t="str">
        <f>IFERROR(IF(A1582="","",VLOOKUP(A1582,CadProd!$A:$C,3,0)),"")</f>
        <v/>
      </c>
      <c r="I1582" s="1" t="str">
        <f>IFERROR(IF(A1582="","",E1582*#REF!),"")</f>
        <v/>
      </c>
    </row>
    <row r="1583" spans="2:9" x14ac:dyDescent="0.3">
      <c r="B1583" t="str">
        <f>IFERROR(IF(A1583="","",VLOOKUP(A1583,CadProd!$A:$B,2,0)),"")</f>
        <v/>
      </c>
      <c r="C1583" t="str">
        <f>IFERROR(IF(A1583="","",VLOOKUP(A1583,CadProd!$A:$C,3,0)),"")</f>
        <v/>
      </c>
      <c r="I1583" s="1" t="str">
        <f>IFERROR(IF(A1583="","",E1583*#REF!),"")</f>
        <v/>
      </c>
    </row>
    <row r="1584" spans="2:9" x14ac:dyDescent="0.3">
      <c r="B1584" t="str">
        <f>IFERROR(IF(A1584="","",VLOOKUP(A1584,CadProd!$A:$B,2,0)),"")</f>
        <v/>
      </c>
      <c r="C1584" t="str">
        <f>IFERROR(IF(A1584="","",VLOOKUP(A1584,CadProd!$A:$C,3,0)),"")</f>
        <v/>
      </c>
      <c r="I1584" s="1" t="str">
        <f>IFERROR(IF(A1584="","",E1584*#REF!),"")</f>
        <v/>
      </c>
    </row>
    <row r="1585" spans="2:9" x14ac:dyDescent="0.3">
      <c r="B1585" t="str">
        <f>IFERROR(IF(A1585="","",VLOOKUP(A1585,CadProd!$A:$B,2,0)),"")</f>
        <v/>
      </c>
      <c r="C1585" t="str">
        <f>IFERROR(IF(A1585="","",VLOOKUP(A1585,CadProd!$A:$C,3,0)),"")</f>
        <v/>
      </c>
      <c r="I1585" s="1" t="str">
        <f>IFERROR(IF(A1585="","",E1585*#REF!),"")</f>
        <v/>
      </c>
    </row>
    <row r="1586" spans="2:9" x14ac:dyDescent="0.3">
      <c r="B1586" t="str">
        <f>IFERROR(IF(A1586="","",VLOOKUP(A1586,CadProd!$A:$B,2,0)),"")</f>
        <v/>
      </c>
      <c r="C1586" t="str">
        <f>IFERROR(IF(A1586="","",VLOOKUP(A1586,CadProd!$A:$C,3,0)),"")</f>
        <v/>
      </c>
      <c r="I1586" s="1" t="str">
        <f>IFERROR(IF(A1586="","",E1586*#REF!),"")</f>
        <v/>
      </c>
    </row>
    <row r="1587" spans="2:9" x14ac:dyDescent="0.3">
      <c r="B1587" t="str">
        <f>IFERROR(IF(A1587="","",VLOOKUP(A1587,CadProd!$A:$B,2,0)),"")</f>
        <v/>
      </c>
      <c r="C1587" t="str">
        <f>IFERROR(IF(A1587="","",VLOOKUP(A1587,CadProd!$A:$C,3,0)),"")</f>
        <v/>
      </c>
      <c r="I1587" s="1" t="str">
        <f>IFERROR(IF(A1587="","",E1587*#REF!),"")</f>
        <v/>
      </c>
    </row>
    <row r="1588" spans="2:9" x14ac:dyDescent="0.3">
      <c r="B1588" t="str">
        <f>IFERROR(IF(A1588="","",VLOOKUP(A1588,CadProd!$A:$B,2,0)),"")</f>
        <v/>
      </c>
      <c r="C1588" t="str">
        <f>IFERROR(IF(A1588="","",VLOOKUP(A1588,CadProd!$A:$C,3,0)),"")</f>
        <v/>
      </c>
      <c r="I1588" s="1" t="str">
        <f>IFERROR(IF(A1588="","",E1588*#REF!),"")</f>
        <v/>
      </c>
    </row>
    <row r="1589" spans="2:9" x14ac:dyDescent="0.3">
      <c r="B1589" t="str">
        <f>IFERROR(IF(A1589="","",VLOOKUP(A1589,CadProd!$A:$B,2,0)),"")</f>
        <v/>
      </c>
      <c r="C1589" t="str">
        <f>IFERROR(IF(A1589="","",VLOOKUP(A1589,CadProd!$A:$C,3,0)),"")</f>
        <v/>
      </c>
      <c r="I1589" s="1" t="str">
        <f>IFERROR(IF(A1589="","",E1589*#REF!),"")</f>
        <v/>
      </c>
    </row>
    <row r="1590" spans="2:9" x14ac:dyDescent="0.3">
      <c r="B1590" t="str">
        <f>IFERROR(IF(A1590="","",VLOOKUP(A1590,CadProd!$A:$B,2,0)),"")</f>
        <v/>
      </c>
      <c r="C1590" t="str">
        <f>IFERROR(IF(A1590="","",VLOOKUP(A1590,CadProd!$A:$C,3,0)),"")</f>
        <v/>
      </c>
      <c r="I1590" s="1" t="str">
        <f>IFERROR(IF(A1590="","",E1590*#REF!),"")</f>
        <v/>
      </c>
    </row>
    <row r="1591" spans="2:9" x14ac:dyDescent="0.3">
      <c r="B1591" t="str">
        <f>IFERROR(IF(A1591="","",VLOOKUP(A1591,CadProd!$A:$B,2,0)),"")</f>
        <v/>
      </c>
      <c r="C1591" t="str">
        <f>IFERROR(IF(A1591="","",VLOOKUP(A1591,CadProd!$A:$C,3,0)),"")</f>
        <v/>
      </c>
      <c r="I1591" s="1" t="str">
        <f>IFERROR(IF(A1591="","",E1591*#REF!),"")</f>
        <v/>
      </c>
    </row>
    <row r="1592" spans="2:9" x14ac:dyDescent="0.3">
      <c r="B1592" t="str">
        <f>IFERROR(IF(A1592="","",VLOOKUP(A1592,CadProd!$A:$B,2,0)),"")</f>
        <v/>
      </c>
      <c r="C1592" t="str">
        <f>IFERROR(IF(A1592="","",VLOOKUP(A1592,CadProd!$A:$C,3,0)),"")</f>
        <v/>
      </c>
      <c r="I1592" s="1" t="str">
        <f>IFERROR(IF(A1592="","",E1592*#REF!),"")</f>
        <v/>
      </c>
    </row>
    <row r="1593" spans="2:9" x14ac:dyDescent="0.3">
      <c r="B1593" t="str">
        <f>IFERROR(IF(A1593="","",VLOOKUP(A1593,CadProd!$A:$B,2,0)),"")</f>
        <v/>
      </c>
      <c r="C1593" t="str">
        <f>IFERROR(IF(A1593="","",VLOOKUP(A1593,CadProd!$A:$C,3,0)),"")</f>
        <v/>
      </c>
      <c r="I1593" s="1" t="str">
        <f>IFERROR(IF(A1593="","",E1593*#REF!),"")</f>
        <v/>
      </c>
    </row>
    <row r="1594" spans="2:9" x14ac:dyDescent="0.3">
      <c r="B1594" t="str">
        <f>IFERROR(IF(A1594="","",VLOOKUP(A1594,CadProd!$A:$B,2,0)),"")</f>
        <v/>
      </c>
      <c r="C1594" t="str">
        <f>IFERROR(IF(A1594="","",VLOOKUP(A1594,CadProd!$A:$C,3,0)),"")</f>
        <v/>
      </c>
      <c r="I1594" s="1" t="str">
        <f>IFERROR(IF(A1594="","",E1594*#REF!),"")</f>
        <v/>
      </c>
    </row>
    <row r="1595" spans="2:9" x14ac:dyDescent="0.3">
      <c r="B1595" t="str">
        <f>IFERROR(IF(A1595="","",VLOOKUP(A1595,CadProd!$A:$B,2,0)),"")</f>
        <v/>
      </c>
      <c r="C1595" t="str">
        <f>IFERROR(IF(A1595="","",VLOOKUP(A1595,CadProd!$A:$C,3,0)),"")</f>
        <v/>
      </c>
      <c r="I1595" s="1" t="str">
        <f>IFERROR(IF(A1595="","",E1595*#REF!),"")</f>
        <v/>
      </c>
    </row>
    <row r="1596" spans="2:9" x14ac:dyDescent="0.3">
      <c r="B1596" t="str">
        <f>IFERROR(IF(A1596="","",VLOOKUP(A1596,CadProd!$A:$B,2,0)),"")</f>
        <v/>
      </c>
      <c r="C1596" t="str">
        <f>IFERROR(IF(A1596="","",VLOOKUP(A1596,CadProd!$A:$C,3,0)),"")</f>
        <v/>
      </c>
      <c r="I1596" s="1" t="str">
        <f>IFERROR(IF(A1596="","",E1596*#REF!),"")</f>
        <v/>
      </c>
    </row>
    <row r="1597" spans="2:9" x14ac:dyDescent="0.3">
      <c r="B1597" t="str">
        <f>IFERROR(IF(A1597="","",VLOOKUP(A1597,CadProd!$A:$B,2,0)),"")</f>
        <v/>
      </c>
      <c r="C1597" t="str">
        <f>IFERROR(IF(A1597="","",VLOOKUP(A1597,CadProd!$A:$C,3,0)),"")</f>
        <v/>
      </c>
      <c r="I1597" s="1" t="str">
        <f>IFERROR(IF(A1597="","",E1597*#REF!),"")</f>
        <v/>
      </c>
    </row>
    <row r="1598" spans="2:9" x14ac:dyDescent="0.3">
      <c r="B1598" t="str">
        <f>IFERROR(IF(A1598="","",VLOOKUP(A1598,CadProd!$A:$B,2,0)),"")</f>
        <v/>
      </c>
      <c r="C1598" t="str">
        <f>IFERROR(IF(A1598="","",VLOOKUP(A1598,CadProd!$A:$C,3,0)),"")</f>
        <v/>
      </c>
      <c r="I1598" s="1" t="str">
        <f>IFERROR(IF(A1598="","",E1598*#REF!),"")</f>
        <v/>
      </c>
    </row>
    <row r="1599" spans="2:9" x14ac:dyDescent="0.3">
      <c r="B1599" t="str">
        <f>IFERROR(IF(A1599="","",VLOOKUP(A1599,CadProd!$A:$B,2,0)),"")</f>
        <v/>
      </c>
      <c r="C1599" t="str">
        <f>IFERROR(IF(A1599="","",VLOOKUP(A1599,CadProd!$A:$C,3,0)),"")</f>
        <v/>
      </c>
      <c r="I1599" s="1" t="str">
        <f>IFERROR(IF(A1599="","",E1599*#REF!),"")</f>
        <v/>
      </c>
    </row>
    <row r="1600" spans="2:9" x14ac:dyDescent="0.3">
      <c r="B1600" t="str">
        <f>IFERROR(IF(A1600="","",VLOOKUP(A1600,CadProd!$A:$B,2,0)),"")</f>
        <v/>
      </c>
      <c r="C1600" t="str">
        <f>IFERROR(IF(A1600="","",VLOOKUP(A1600,CadProd!$A:$C,3,0)),"")</f>
        <v/>
      </c>
      <c r="I1600" s="1" t="str">
        <f>IFERROR(IF(A1600="","",E1600*#REF!),"")</f>
        <v/>
      </c>
    </row>
    <row r="1601" spans="2:9" x14ac:dyDescent="0.3">
      <c r="B1601" t="str">
        <f>IFERROR(IF(A1601="","",VLOOKUP(A1601,CadProd!$A:$B,2,0)),"")</f>
        <v/>
      </c>
      <c r="C1601" t="str">
        <f>IFERROR(IF(A1601="","",VLOOKUP(A1601,CadProd!$A:$C,3,0)),"")</f>
        <v/>
      </c>
      <c r="I1601" s="1" t="str">
        <f>IFERROR(IF(A1601="","",E1601*#REF!),"")</f>
        <v/>
      </c>
    </row>
    <row r="1602" spans="2:9" x14ac:dyDescent="0.3">
      <c r="B1602" t="str">
        <f>IFERROR(IF(A1602="","",VLOOKUP(A1602,CadProd!$A:$B,2,0)),"")</f>
        <v/>
      </c>
      <c r="C1602" t="str">
        <f>IFERROR(IF(A1602="","",VLOOKUP(A1602,CadProd!$A:$C,3,0)),"")</f>
        <v/>
      </c>
      <c r="I1602" s="1" t="str">
        <f>IFERROR(IF(A1602="","",E1602*#REF!),"")</f>
        <v/>
      </c>
    </row>
    <row r="1603" spans="2:9" x14ac:dyDescent="0.3">
      <c r="B1603" t="str">
        <f>IFERROR(IF(A1603="","",VLOOKUP(A1603,CadProd!$A:$B,2,0)),"")</f>
        <v/>
      </c>
      <c r="C1603" t="str">
        <f>IFERROR(IF(A1603="","",VLOOKUP(A1603,CadProd!$A:$C,3,0)),"")</f>
        <v/>
      </c>
      <c r="I1603" s="1" t="str">
        <f>IFERROR(IF(A1603="","",E1603*#REF!),"")</f>
        <v/>
      </c>
    </row>
    <row r="1604" spans="2:9" x14ac:dyDescent="0.3">
      <c r="B1604" t="str">
        <f>IFERROR(IF(A1604="","",VLOOKUP(A1604,CadProd!$A:$B,2,0)),"")</f>
        <v/>
      </c>
      <c r="C1604" t="str">
        <f>IFERROR(IF(A1604="","",VLOOKUP(A1604,CadProd!$A:$C,3,0)),"")</f>
        <v/>
      </c>
      <c r="I1604" s="1" t="str">
        <f>IFERROR(IF(A1604="","",E1604*#REF!),"")</f>
        <v/>
      </c>
    </row>
    <row r="1605" spans="2:9" x14ac:dyDescent="0.3">
      <c r="B1605" t="str">
        <f>IFERROR(IF(A1605="","",VLOOKUP(A1605,CadProd!$A:$B,2,0)),"")</f>
        <v/>
      </c>
      <c r="C1605" t="str">
        <f>IFERROR(IF(A1605="","",VLOOKUP(A1605,CadProd!$A:$C,3,0)),"")</f>
        <v/>
      </c>
      <c r="I1605" s="1" t="str">
        <f>IFERROR(IF(A1605="","",E1605*#REF!),"")</f>
        <v/>
      </c>
    </row>
    <row r="1606" spans="2:9" x14ac:dyDescent="0.3">
      <c r="B1606" t="str">
        <f>IFERROR(IF(A1606="","",VLOOKUP(A1606,CadProd!$A:$B,2,0)),"")</f>
        <v/>
      </c>
      <c r="C1606" t="str">
        <f>IFERROR(IF(A1606="","",VLOOKUP(A1606,CadProd!$A:$C,3,0)),"")</f>
        <v/>
      </c>
      <c r="I1606" s="1" t="str">
        <f>IFERROR(IF(A1606="","",E1606*#REF!),"")</f>
        <v/>
      </c>
    </row>
    <row r="1607" spans="2:9" x14ac:dyDescent="0.3">
      <c r="B1607" t="str">
        <f>IFERROR(IF(A1607="","",VLOOKUP(A1607,CadProd!$A:$B,2,0)),"")</f>
        <v/>
      </c>
      <c r="C1607" t="str">
        <f>IFERROR(IF(A1607="","",VLOOKUP(A1607,CadProd!$A:$C,3,0)),"")</f>
        <v/>
      </c>
      <c r="I1607" s="1" t="str">
        <f>IFERROR(IF(A1607="","",E1607*#REF!),"")</f>
        <v/>
      </c>
    </row>
    <row r="1608" spans="2:9" x14ac:dyDescent="0.3">
      <c r="B1608" t="str">
        <f>IFERROR(IF(A1608="","",VLOOKUP(A1608,CadProd!$A:$B,2,0)),"")</f>
        <v/>
      </c>
      <c r="C1608" t="str">
        <f>IFERROR(IF(A1608="","",VLOOKUP(A1608,CadProd!$A:$C,3,0)),"")</f>
        <v/>
      </c>
      <c r="I1608" s="1" t="str">
        <f>IFERROR(IF(A1608="","",E1608*#REF!),"")</f>
        <v/>
      </c>
    </row>
    <row r="1609" spans="2:9" x14ac:dyDescent="0.3">
      <c r="B1609" t="str">
        <f>IFERROR(IF(A1609="","",VLOOKUP(A1609,CadProd!$A:$B,2,0)),"")</f>
        <v/>
      </c>
      <c r="C1609" t="str">
        <f>IFERROR(IF(A1609="","",VLOOKUP(A1609,CadProd!$A:$C,3,0)),"")</f>
        <v/>
      </c>
      <c r="I1609" s="1" t="str">
        <f>IFERROR(IF(A1609="","",E1609*#REF!),"")</f>
        <v/>
      </c>
    </row>
    <row r="1610" spans="2:9" x14ac:dyDescent="0.3">
      <c r="B1610" t="str">
        <f>IFERROR(IF(A1610="","",VLOOKUP(A1610,CadProd!$A:$B,2,0)),"")</f>
        <v/>
      </c>
      <c r="C1610" t="str">
        <f>IFERROR(IF(A1610="","",VLOOKUP(A1610,CadProd!$A:$C,3,0)),"")</f>
        <v/>
      </c>
      <c r="I1610" s="1" t="str">
        <f>IFERROR(IF(A1610="","",E1610*#REF!),"")</f>
        <v/>
      </c>
    </row>
    <row r="1611" spans="2:9" x14ac:dyDescent="0.3">
      <c r="B1611" t="str">
        <f>IFERROR(IF(A1611="","",VLOOKUP(A1611,CadProd!$A:$B,2,0)),"")</f>
        <v/>
      </c>
      <c r="C1611" t="str">
        <f>IFERROR(IF(A1611="","",VLOOKUP(A1611,CadProd!$A:$C,3,0)),"")</f>
        <v/>
      </c>
      <c r="I1611" s="1" t="str">
        <f>IFERROR(IF(A1611="","",E1611*#REF!),"")</f>
        <v/>
      </c>
    </row>
    <row r="1612" spans="2:9" x14ac:dyDescent="0.3">
      <c r="B1612" t="str">
        <f>IFERROR(IF(A1612="","",VLOOKUP(A1612,CadProd!$A:$B,2,0)),"")</f>
        <v/>
      </c>
      <c r="C1612" t="str">
        <f>IFERROR(IF(A1612="","",VLOOKUP(A1612,CadProd!$A:$C,3,0)),"")</f>
        <v/>
      </c>
      <c r="I1612" s="1" t="str">
        <f>IFERROR(IF(A1612="","",E1612*#REF!),"")</f>
        <v/>
      </c>
    </row>
    <row r="1613" spans="2:9" x14ac:dyDescent="0.3">
      <c r="B1613" t="str">
        <f>IFERROR(IF(A1613="","",VLOOKUP(A1613,CadProd!$A:$B,2,0)),"")</f>
        <v/>
      </c>
      <c r="C1613" t="str">
        <f>IFERROR(IF(A1613="","",VLOOKUP(A1613,CadProd!$A:$C,3,0)),"")</f>
        <v/>
      </c>
      <c r="I1613" s="1" t="str">
        <f>IFERROR(IF(A1613="","",E1613*#REF!),"")</f>
        <v/>
      </c>
    </row>
    <row r="1614" spans="2:9" x14ac:dyDescent="0.3">
      <c r="B1614" t="str">
        <f>IFERROR(IF(A1614="","",VLOOKUP(A1614,CadProd!$A:$B,2,0)),"")</f>
        <v/>
      </c>
      <c r="C1614" t="str">
        <f>IFERROR(IF(A1614="","",VLOOKUP(A1614,CadProd!$A:$C,3,0)),"")</f>
        <v/>
      </c>
      <c r="I1614" s="1" t="str">
        <f>IFERROR(IF(A1614="","",E1614*#REF!),"")</f>
        <v/>
      </c>
    </row>
    <row r="1615" spans="2:9" x14ac:dyDescent="0.3">
      <c r="B1615" t="str">
        <f>IFERROR(IF(A1615="","",VLOOKUP(A1615,CadProd!$A:$B,2,0)),"")</f>
        <v/>
      </c>
      <c r="C1615" t="str">
        <f>IFERROR(IF(A1615="","",VLOOKUP(A1615,CadProd!$A:$C,3,0)),"")</f>
        <v/>
      </c>
      <c r="I1615" s="1" t="str">
        <f>IFERROR(IF(A1615="","",E1615*#REF!),"")</f>
        <v/>
      </c>
    </row>
    <row r="1616" spans="2:9" x14ac:dyDescent="0.3">
      <c r="B1616" t="str">
        <f>IFERROR(IF(A1616="","",VLOOKUP(A1616,CadProd!$A:$B,2,0)),"")</f>
        <v/>
      </c>
      <c r="C1616" t="str">
        <f>IFERROR(IF(A1616="","",VLOOKUP(A1616,CadProd!$A:$C,3,0)),"")</f>
        <v/>
      </c>
      <c r="I1616" s="1" t="str">
        <f>IFERROR(IF(A1616="","",E1616*#REF!),"")</f>
        <v/>
      </c>
    </row>
    <row r="1617" spans="2:9" x14ac:dyDescent="0.3">
      <c r="B1617" t="str">
        <f>IFERROR(IF(A1617="","",VLOOKUP(A1617,CadProd!$A:$B,2,0)),"")</f>
        <v/>
      </c>
      <c r="C1617" t="str">
        <f>IFERROR(IF(A1617="","",VLOOKUP(A1617,CadProd!$A:$C,3,0)),"")</f>
        <v/>
      </c>
      <c r="I1617" s="1" t="str">
        <f>IFERROR(IF(A1617="","",E1617*#REF!),"")</f>
        <v/>
      </c>
    </row>
    <row r="1618" spans="2:9" x14ac:dyDescent="0.3">
      <c r="B1618" t="str">
        <f>IFERROR(IF(A1618="","",VLOOKUP(A1618,CadProd!$A:$B,2,0)),"")</f>
        <v/>
      </c>
      <c r="C1618" t="str">
        <f>IFERROR(IF(A1618="","",VLOOKUP(A1618,CadProd!$A:$C,3,0)),"")</f>
        <v/>
      </c>
      <c r="I1618" s="1" t="str">
        <f>IFERROR(IF(A1618="","",E1618*#REF!),"")</f>
        <v/>
      </c>
    </row>
    <row r="1619" spans="2:9" x14ac:dyDescent="0.3">
      <c r="B1619" t="str">
        <f>IFERROR(IF(A1619="","",VLOOKUP(A1619,CadProd!$A:$B,2,0)),"")</f>
        <v/>
      </c>
      <c r="C1619" t="str">
        <f>IFERROR(IF(A1619="","",VLOOKUP(A1619,CadProd!$A:$C,3,0)),"")</f>
        <v/>
      </c>
      <c r="I1619" s="1" t="str">
        <f>IFERROR(IF(A1619="","",E1619*#REF!),"")</f>
        <v/>
      </c>
    </row>
    <row r="1620" spans="2:9" x14ac:dyDescent="0.3">
      <c r="B1620" t="str">
        <f>IFERROR(IF(A1620="","",VLOOKUP(A1620,CadProd!$A:$B,2,0)),"")</f>
        <v/>
      </c>
      <c r="C1620" t="str">
        <f>IFERROR(IF(A1620="","",VLOOKUP(A1620,CadProd!$A:$C,3,0)),"")</f>
        <v/>
      </c>
      <c r="I1620" s="1" t="str">
        <f>IFERROR(IF(A1620="","",E1620*#REF!),"")</f>
        <v/>
      </c>
    </row>
    <row r="1621" spans="2:9" x14ac:dyDescent="0.3">
      <c r="B1621" t="str">
        <f>IFERROR(IF(A1621="","",VLOOKUP(A1621,CadProd!$A:$B,2,0)),"")</f>
        <v/>
      </c>
      <c r="C1621" t="str">
        <f>IFERROR(IF(A1621="","",VLOOKUP(A1621,CadProd!$A:$C,3,0)),"")</f>
        <v/>
      </c>
      <c r="I1621" s="1" t="str">
        <f>IFERROR(IF(A1621="","",E1621*#REF!),"")</f>
        <v/>
      </c>
    </row>
    <row r="1622" spans="2:9" x14ac:dyDescent="0.3">
      <c r="B1622" t="str">
        <f>IFERROR(IF(A1622="","",VLOOKUP(A1622,CadProd!$A:$B,2,0)),"")</f>
        <v/>
      </c>
      <c r="C1622" t="str">
        <f>IFERROR(IF(A1622="","",VLOOKUP(A1622,CadProd!$A:$C,3,0)),"")</f>
        <v/>
      </c>
      <c r="I1622" s="1" t="str">
        <f>IFERROR(IF(A1622="","",E1622*#REF!),"")</f>
        <v/>
      </c>
    </row>
    <row r="1623" spans="2:9" x14ac:dyDescent="0.3">
      <c r="B1623" t="str">
        <f>IFERROR(IF(A1623="","",VLOOKUP(A1623,CadProd!$A:$B,2,0)),"")</f>
        <v/>
      </c>
      <c r="C1623" t="str">
        <f>IFERROR(IF(A1623="","",VLOOKUP(A1623,CadProd!$A:$C,3,0)),"")</f>
        <v/>
      </c>
      <c r="I1623" s="1" t="str">
        <f>IFERROR(IF(A1623="","",E1623*#REF!),"")</f>
        <v/>
      </c>
    </row>
    <row r="1624" spans="2:9" x14ac:dyDescent="0.3">
      <c r="B1624" t="str">
        <f>IFERROR(IF(A1624="","",VLOOKUP(A1624,CadProd!$A:$B,2,0)),"")</f>
        <v/>
      </c>
      <c r="C1624" t="str">
        <f>IFERROR(IF(A1624="","",VLOOKUP(A1624,CadProd!$A:$C,3,0)),"")</f>
        <v/>
      </c>
      <c r="I1624" s="1" t="str">
        <f>IFERROR(IF(A1624="","",E1624*#REF!),"")</f>
        <v/>
      </c>
    </row>
    <row r="1625" spans="2:9" x14ac:dyDescent="0.3">
      <c r="B1625" t="str">
        <f>IFERROR(IF(A1625="","",VLOOKUP(A1625,CadProd!$A:$B,2,0)),"")</f>
        <v/>
      </c>
      <c r="C1625" t="str">
        <f>IFERROR(IF(A1625="","",VLOOKUP(A1625,CadProd!$A:$C,3,0)),"")</f>
        <v/>
      </c>
      <c r="I1625" s="1" t="str">
        <f>IFERROR(IF(A1625="","",E1625*#REF!),"")</f>
        <v/>
      </c>
    </row>
    <row r="1626" spans="2:9" x14ac:dyDescent="0.3">
      <c r="B1626" t="str">
        <f>IFERROR(IF(A1626="","",VLOOKUP(A1626,CadProd!$A:$B,2,0)),"")</f>
        <v/>
      </c>
      <c r="C1626" t="str">
        <f>IFERROR(IF(A1626="","",VLOOKUP(A1626,CadProd!$A:$C,3,0)),"")</f>
        <v/>
      </c>
      <c r="I1626" s="1" t="str">
        <f>IFERROR(IF(A1626="","",E1626*#REF!),"")</f>
        <v/>
      </c>
    </row>
    <row r="1627" spans="2:9" x14ac:dyDescent="0.3">
      <c r="B1627" t="str">
        <f>IFERROR(IF(A1627="","",VLOOKUP(A1627,CadProd!$A:$B,2,0)),"")</f>
        <v/>
      </c>
      <c r="C1627" t="str">
        <f>IFERROR(IF(A1627="","",VLOOKUP(A1627,CadProd!$A:$C,3,0)),"")</f>
        <v/>
      </c>
      <c r="I1627" s="1" t="str">
        <f>IFERROR(IF(A1627="","",E1627*#REF!),"")</f>
        <v/>
      </c>
    </row>
    <row r="1628" spans="2:9" x14ac:dyDescent="0.3">
      <c r="B1628" t="str">
        <f>IFERROR(IF(A1628="","",VLOOKUP(A1628,CadProd!$A:$B,2,0)),"")</f>
        <v/>
      </c>
      <c r="C1628" t="str">
        <f>IFERROR(IF(A1628="","",VLOOKUP(A1628,CadProd!$A:$C,3,0)),"")</f>
        <v/>
      </c>
      <c r="I1628" s="1" t="str">
        <f>IFERROR(IF(A1628="","",E1628*#REF!),"")</f>
        <v/>
      </c>
    </row>
    <row r="1629" spans="2:9" x14ac:dyDescent="0.3">
      <c r="B1629" t="str">
        <f>IFERROR(IF(A1629="","",VLOOKUP(A1629,CadProd!$A:$B,2,0)),"")</f>
        <v/>
      </c>
      <c r="C1629" t="str">
        <f>IFERROR(IF(A1629="","",VLOOKUP(A1629,CadProd!$A:$C,3,0)),"")</f>
        <v/>
      </c>
      <c r="I1629" s="1" t="str">
        <f>IFERROR(IF(A1629="","",E1629*#REF!),"")</f>
        <v/>
      </c>
    </row>
    <row r="1630" spans="2:9" x14ac:dyDescent="0.3">
      <c r="B1630" t="str">
        <f>IFERROR(IF(A1630="","",VLOOKUP(A1630,CadProd!$A:$B,2,0)),"")</f>
        <v/>
      </c>
      <c r="C1630" t="str">
        <f>IFERROR(IF(A1630="","",VLOOKUP(A1630,CadProd!$A:$C,3,0)),"")</f>
        <v/>
      </c>
      <c r="I1630" s="1" t="str">
        <f>IFERROR(IF(A1630="","",E1630*#REF!),"")</f>
        <v/>
      </c>
    </row>
    <row r="1631" spans="2:9" x14ac:dyDescent="0.3">
      <c r="B1631" t="str">
        <f>IFERROR(IF(A1631="","",VLOOKUP(A1631,CadProd!$A:$B,2,0)),"")</f>
        <v/>
      </c>
      <c r="C1631" t="str">
        <f>IFERROR(IF(A1631="","",VLOOKUP(A1631,CadProd!$A:$C,3,0)),"")</f>
        <v/>
      </c>
      <c r="I1631" s="1" t="str">
        <f>IFERROR(IF(A1631="","",E1631*#REF!),"")</f>
        <v/>
      </c>
    </row>
    <row r="1632" spans="2:9" x14ac:dyDescent="0.3">
      <c r="B1632" t="str">
        <f>IFERROR(IF(A1632="","",VLOOKUP(A1632,CadProd!$A:$B,2,0)),"")</f>
        <v/>
      </c>
      <c r="C1632" t="str">
        <f>IFERROR(IF(A1632="","",VLOOKUP(A1632,CadProd!$A:$C,3,0)),"")</f>
        <v/>
      </c>
      <c r="I1632" s="1" t="str">
        <f>IFERROR(IF(A1632="","",E1632*#REF!),"")</f>
        <v/>
      </c>
    </row>
    <row r="1633" spans="2:9" x14ac:dyDescent="0.3">
      <c r="B1633" t="str">
        <f>IFERROR(IF(A1633="","",VLOOKUP(A1633,CadProd!$A:$B,2,0)),"")</f>
        <v/>
      </c>
      <c r="C1633" t="str">
        <f>IFERROR(IF(A1633="","",VLOOKUP(A1633,CadProd!$A:$C,3,0)),"")</f>
        <v/>
      </c>
      <c r="I1633" s="1" t="str">
        <f>IFERROR(IF(A1633="","",E1633*#REF!),"")</f>
        <v/>
      </c>
    </row>
    <row r="1634" spans="2:9" x14ac:dyDescent="0.3">
      <c r="B1634" t="str">
        <f>IFERROR(IF(A1634="","",VLOOKUP(A1634,CadProd!$A:$B,2,0)),"")</f>
        <v/>
      </c>
      <c r="C1634" t="str">
        <f>IFERROR(IF(A1634="","",VLOOKUP(A1634,CadProd!$A:$C,3,0)),"")</f>
        <v/>
      </c>
      <c r="I1634" s="1" t="str">
        <f>IFERROR(IF(A1634="","",E1634*#REF!),"")</f>
        <v/>
      </c>
    </row>
    <row r="1635" spans="2:9" x14ac:dyDescent="0.3">
      <c r="B1635" t="str">
        <f>IFERROR(IF(A1635="","",VLOOKUP(A1635,CadProd!$A:$B,2,0)),"")</f>
        <v/>
      </c>
      <c r="C1635" t="str">
        <f>IFERROR(IF(A1635="","",VLOOKUP(A1635,CadProd!$A:$C,3,0)),"")</f>
        <v/>
      </c>
      <c r="I1635" s="1" t="str">
        <f>IFERROR(IF(A1635="","",E1635*#REF!),"")</f>
        <v/>
      </c>
    </row>
    <row r="1636" spans="2:9" x14ac:dyDescent="0.3">
      <c r="B1636" t="str">
        <f>IFERROR(IF(A1636="","",VLOOKUP(A1636,CadProd!$A:$B,2,0)),"")</f>
        <v/>
      </c>
      <c r="C1636" t="str">
        <f>IFERROR(IF(A1636="","",VLOOKUP(A1636,CadProd!$A:$C,3,0)),"")</f>
        <v/>
      </c>
      <c r="I1636" s="1" t="str">
        <f>IFERROR(IF(A1636="","",E1636*#REF!),"")</f>
        <v/>
      </c>
    </row>
    <row r="1637" spans="2:9" x14ac:dyDescent="0.3">
      <c r="B1637" t="str">
        <f>IFERROR(IF(A1637="","",VLOOKUP(A1637,CadProd!$A:$B,2,0)),"")</f>
        <v/>
      </c>
      <c r="C1637" t="str">
        <f>IFERROR(IF(A1637="","",VLOOKUP(A1637,CadProd!$A:$C,3,0)),"")</f>
        <v/>
      </c>
      <c r="I1637" s="1" t="str">
        <f>IFERROR(IF(A1637="","",E1637*#REF!),"")</f>
        <v/>
      </c>
    </row>
    <row r="1638" spans="2:9" x14ac:dyDescent="0.3">
      <c r="B1638" t="str">
        <f>IFERROR(IF(A1638="","",VLOOKUP(A1638,CadProd!$A:$B,2,0)),"")</f>
        <v/>
      </c>
      <c r="C1638" t="str">
        <f>IFERROR(IF(A1638="","",VLOOKUP(A1638,CadProd!$A:$C,3,0)),"")</f>
        <v/>
      </c>
      <c r="I1638" s="1" t="str">
        <f>IFERROR(IF(A1638="","",E1638*#REF!),"")</f>
        <v/>
      </c>
    </row>
    <row r="1639" spans="2:9" x14ac:dyDescent="0.3">
      <c r="B1639" t="str">
        <f>IFERROR(IF(A1639="","",VLOOKUP(A1639,CadProd!$A:$B,2,0)),"")</f>
        <v/>
      </c>
      <c r="C1639" t="str">
        <f>IFERROR(IF(A1639="","",VLOOKUP(A1639,CadProd!$A:$C,3,0)),"")</f>
        <v/>
      </c>
      <c r="I1639" s="1" t="str">
        <f>IFERROR(IF(A1639="","",E1639*#REF!),"")</f>
        <v/>
      </c>
    </row>
    <row r="1640" spans="2:9" x14ac:dyDescent="0.3">
      <c r="B1640" t="str">
        <f>IFERROR(IF(A1640="","",VLOOKUP(A1640,CadProd!$A:$B,2,0)),"")</f>
        <v/>
      </c>
      <c r="C1640" t="str">
        <f>IFERROR(IF(A1640="","",VLOOKUP(A1640,CadProd!$A:$C,3,0)),"")</f>
        <v/>
      </c>
      <c r="I1640" s="1" t="str">
        <f>IFERROR(IF(A1640="","",E1640*#REF!),"")</f>
        <v/>
      </c>
    </row>
    <row r="1641" spans="2:9" x14ac:dyDescent="0.3">
      <c r="B1641" t="str">
        <f>IFERROR(IF(A1641="","",VLOOKUP(A1641,CadProd!$A:$B,2,0)),"")</f>
        <v/>
      </c>
      <c r="C1641" t="str">
        <f>IFERROR(IF(A1641="","",VLOOKUP(A1641,CadProd!$A:$C,3,0)),"")</f>
        <v/>
      </c>
      <c r="I1641" s="1" t="str">
        <f>IFERROR(IF(A1641="","",E1641*#REF!),"")</f>
        <v/>
      </c>
    </row>
    <row r="1642" spans="2:9" x14ac:dyDescent="0.3">
      <c r="B1642" t="str">
        <f>IFERROR(IF(A1642="","",VLOOKUP(A1642,CadProd!$A:$B,2,0)),"")</f>
        <v/>
      </c>
      <c r="C1642" t="str">
        <f>IFERROR(IF(A1642="","",VLOOKUP(A1642,CadProd!$A:$C,3,0)),"")</f>
        <v/>
      </c>
      <c r="I1642" s="1" t="str">
        <f>IFERROR(IF(A1642="","",E1642*#REF!),"")</f>
        <v/>
      </c>
    </row>
    <row r="1643" spans="2:9" x14ac:dyDescent="0.3">
      <c r="B1643" t="str">
        <f>IFERROR(IF(A1643="","",VLOOKUP(A1643,CadProd!$A:$B,2,0)),"")</f>
        <v/>
      </c>
      <c r="C1643" t="str">
        <f>IFERROR(IF(A1643="","",VLOOKUP(A1643,CadProd!$A:$C,3,0)),"")</f>
        <v/>
      </c>
      <c r="I1643" s="1" t="str">
        <f>IFERROR(IF(A1643="","",E1643*#REF!),"")</f>
        <v/>
      </c>
    </row>
    <row r="1644" spans="2:9" x14ac:dyDescent="0.3">
      <c r="B1644" t="str">
        <f>IFERROR(IF(A1644="","",VLOOKUP(A1644,CadProd!$A:$B,2,0)),"")</f>
        <v/>
      </c>
      <c r="C1644" t="str">
        <f>IFERROR(IF(A1644="","",VLOOKUP(A1644,CadProd!$A:$C,3,0)),"")</f>
        <v/>
      </c>
      <c r="I1644" s="1" t="str">
        <f>IFERROR(IF(A1644="","",E1644*#REF!),"")</f>
        <v/>
      </c>
    </row>
    <row r="1645" spans="2:9" x14ac:dyDescent="0.3">
      <c r="B1645" t="str">
        <f>IFERROR(IF(A1645="","",VLOOKUP(A1645,CadProd!$A:$B,2,0)),"")</f>
        <v/>
      </c>
      <c r="C1645" t="str">
        <f>IFERROR(IF(A1645="","",VLOOKUP(A1645,CadProd!$A:$C,3,0)),"")</f>
        <v/>
      </c>
      <c r="I1645" s="1" t="str">
        <f>IFERROR(IF(A1645="","",E1645*#REF!),"")</f>
        <v/>
      </c>
    </row>
    <row r="1646" spans="2:9" x14ac:dyDescent="0.3">
      <c r="B1646" t="str">
        <f>IFERROR(IF(A1646="","",VLOOKUP(A1646,CadProd!$A:$B,2,0)),"")</f>
        <v/>
      </c>
      <c r="C1646" t="str">
        <f>IFERROR(IF(A1646="","",VLOOKUP(A1646,CadProd!$A:$C,3,0)),"")</f>
        <v/>
      </c>
      <c r="I1646" s="1" t="str">
        <f>IFERROR(IF(A1646="","",E1646*#REF!),"")</f>
        <v/>
      </c>
    </row>
    <row r="1647" spans="2:9" x14ac:dyDescent="0.3">
      <c r="B1647" t="str">
        <f>IFERROR(IF(A1647="","",VLOOKUP(A1647,CadProd!$A:$B,2,0)),"")</f>
        <v/>
      </c>
      <c r="C1647" t="str">
        <f>IFERROR(IF(A1647="","",VLOOKUP(A1647,CadProd!$A:$C,3,0)),"")</f>
        <v/>
      </c>
      <c r="I1647" s="1" t="str">
        <f>IFERROR(IF(A1647="","",E1647*#REF!),"")</f>
        <v/>
      </c>
    </row>
    <row r="1648" spans="2:9" x14ac:dyDescent="0.3">
      <c r="B1648" t="str">
        <f>IFERROR(IF(A1648="","",VLOOKUP(A1648,CadProd!$A:$B,2,0)),"")</f>
        <v/>
      </c>
      <c r="C1648" t="str">
        <f>IFERROR(IF(A1648="","",VLOOKUP(A1648,CadProd!$A:$C,3,0)),"")</f>
        <v/>
      </c>
      <c r="I1648" s="1" t="str">
        <f>IFERROR(IF(A1648="","",E1648*#REF!),"")</f>
        <v/>
      </c>
    </row>
    <row r="1649" spans="2:9" x14ac:dyDescent="0.3">
      <c r="B1649" t="str">
        <f>IFERROR(IF(A1649="","",VLOOKUP(A1649,CadProd!$A:$B,2,0)),"")</f>
        <v/>
      </c>
      <c r="C1649" t="str">
        <f>IFERROR(IF(A1649="","",VLOOKUP(A1649,CadProd!$A:$C,3,0)),"")</f>
        <v/>
      </c>
      <c r="I1649" s="1" t="str">
        <f>IFERROR(IF(A1649="","",E1649*#REF!),"")</f>
        <v/>
      </c>
    </row>
    <row r="1650" spans="2:9" x14ac:dyDescent="0.3">
      <c r="B1650" t="str">
        <f>IFERROR(IF(A1650="","",VLOOKUP(A1650,CadProd!$A:$B,2,0)),"")</f>
        <v/>
      </c>
      <c r="C1650" t="str">
        <f>IFERROR(IF(A1650="","",VLOOKUP(A1650,CadProd!$A:$C,3,0)),"")</f>
        <v/>
      </c>
      <c r="I1650" s="1" t="str">
        <f>IFERROR(IF(A1650="","",E1650*#REF!),"")</f>
        <v/>
      </c>
    </row>
    <row r="1651" spans="2:9" x14ac:dyDescent="0.3">
      <c r="B1651" t="str">
        <f>IFERROR(IF(A1651="","",VLOOKUP(A1651,CadProd!$A:$B,2,0)),"")</f>
        <v/>
      </c>
      <c r="C1651" t="str">
        <f>IFERROR(IF(A1651="","",VLOOKUP(A1651,CadProd!$A:$C,3,0)),"")</f>
        <v/>
      </c>
      <c r="I1651" s="1" t="str">
        <f>IFERROR(IF(A1651="","",E1651*#REF!),"")</f>
        <v/>
      </c>
    </row>
    <row r="1652" spans="2:9" x14ac:dyDescent="0.3">
      <c r="B1652" t="str">
        <f>IFERROR(IF(A1652="","",VLOOKUP(A1652,CadProd!$A:$B,2,0)),"")</f>
        <v/>
      </c>
      <c r="C1652" t="str">
        <f>IFERROR(IF(A1652="","",VLOOKUP(A1652,CadProd!$A:$C,3,0)),"")</f>
        <v/>
      </c>
      <c r="I1652" s="1" t="str">
        <f>IFERROR(IF(A1652="","",E1652*#REF!),"")</f>
        <v/>
      </c>
    </row>
    <row r="1653" spans="2:9" x14ac:dyDescent="0.3">
      <c r="B1653" t="str">
        <f>IFERROR(IF(A1653="","",VLOOKUP(A1653,CadProd!$A:$B,2,0)),"")</f>
        <v/>
      </c>
      <c r="C1653" t="str">
        <f>IFERROR(IF(A1653="","",VLOOKUP(A1653,CadProd!$A:$C,3,0)),"")</f>
        <v/>
      </c>
      <c r="I1653" s="1" t="str">
        <f>IFERROR(IF(A1653="","",E1653*#REF!),"")</f>
        <v/>
      </c>
    </row>
    <row r="1654" spans="2:9" x14ac:dyDescent="0.3">
      <c r="B1654" t="str">
        <f>IFERROR(IF(A1654="","",VLOOKUP(A1654,CadProd!$A:$B,2,0)),"")</f>
        <v/>
      </c>
      <c r="C1654" t="str">
        <f>IFERROR(IF(A1654="","",VLOOKUP(A1654,CadProd!$A:$C,3,0)),"")</f>
        <v/>
      </c>
      <c r="I1654" s="1" t="str">
        <f>IFERROR(IF(A1654="","",E1654*#REF!),"")</f>
        <v/>
      </c>
    </row>
    <row r="1655" spans="2:9" x14ac:dyDescent="0.3">
      <c r="B1655" t="str">
        <f>IFERROR(IF(A1655="","",VLOOKUP(A1655,CadProd!$A:$B,2,0)),"")</f>
        <v/>
      </c>
      <c r="C1655" t="str">
        <f>IFERROR(IF(A1655="","",VLOOKUP(A1655,CadProd!$A:$C,3,0)),"")</f>
        <v/>
      </c>
      <c r="I1655" s="1" t="str">
        <f>IFERROR(IF(A1655="","",E1655*#REF!),"")</f>
        <v/>
      </c>
    </row>
    <row r="1656" spans="2:9" x14ac:dyDescent="0.3">
      <c r="B1656" t="str">
        <f>IFERROR(IF(A1656="","",VLOOKUP(A1656,CadProd!$A:$B,2,0)),"")</f>
        <v/>
      </c>
      <c r="C1656" t="str">
        <f>IFERROR(IF(A1656="","",VLOOKUP(A1656,CadProd!$A:$C,3,0)),"")</f>
        <v/>
      </c>
      <c r="I1656" s="1" t="str">
        <f>IFERROR(IF(A1656="","",E1656*#REF!),"")</f>
        <v/>
      </c>
    </row>
    <row r="1657" spans="2:9" x14ac:dyDescent="0.3">
      <c r="B1657" t="str">
        <f>IFERROR(IF(A1657="","",VLOOKUP(A1657,CadProd!$A:$B,2,0)),"")</f>
        <v/>
      </c>
      <c r="C1657" t="str">
        <f>IFERROR(IF(A1657="","",VLOOKUP(A1657,CadProd!$A:$C,3,0)),"")</f>
        <v/>
      </c>
      <c r="I1657" s="1" t="str">
        <f>IFERROR(IF(A1657="","",E1657*#REF!),"")</f>
        <v/>
      </c>
    </row>
    <row r="1658" spans="2:9" x14ac:dyDescent="0.3">
      <c r="B1658" t="str">
        <f>IFERROR(IF(A1658="","",VLOOKUP(A1658,CadProd!$A:$B,2,0)),"")</f>
        <v/>
      </c>
      <c r="C1658" t="str">
        <f>IFERROR(IF(A1658="","",VLOOKUP(A1658,CadProd!$A:$C,3,0)),"")</f>
        <v/>
      </c>
      <c r="I1658" s="1" t="str">
        <f>IFERROR(IF(A1658="","",E1658*#REF!),"")</f>
        <v/>
      </c>
    </row>
    <row r="1659" spans="2:9" x14ac:dyDescent="0.3">
      <c r="B1659" t="str">
        <f>IFERROR(IF(A1659="","",VLOOKUP(A1659,CadProd!$A:$B,2,0)),"")</f>
        <v/>
      </c>
      <c r="C1659" t="str">
        <f>IFERROR(IF(A1659="","",VLOOKUP(A1659,CadProd!$A:$C,3,0)),"")</f>
        <v/>
      </c>
      <c r="I1659" s="1" t="str">
        <f>IFERROR(IF(A1659="","",E1659*#REF!),"")</f>
        <v/>
      </c>
    </row>
    <row r="1660" spans="2:9" x14ac:dyDescent="0.3">
      <c r="B1660" t="str">
        <f>IFERROR(IF(A1660="","",VLOOKUP(A1660,CadProd!$A:$B,2,0)),"")</f>
        <v/>
      </c>
      <c r="C1660" t="str">
        <f>IFERROR(IF(A1660="","",VLOOKUP(A1660,CadProd!$A:$C,3,0)),"")</f>
        <v/>
      </c>
      <c r="I1660" s="1" t="str">
        <f>IFERROR(IF(A1660="","",E1660*#REF!),"")</f>
        <v/>
      </c>
    </row>
    <row r="1661" spans="2:9" x14ac:dyDescent="0.3">
      <c r="B1661" t="str">
        <f>IFERROR(IF(A1661="","",VLOOKUP(A1661,CadProd!$A:$B,2,0)),"")</f>
        <v/>
      </c>
      <c r="C1661" t="str">
        <f>IFERROR(IF(A1661="","",VLOOKUP(A1661,CadProd!$A:$C,3,0)),"")</f>
        <v/>
      </c>
      <c r="I1661" s="1" t="str">
        <f>IFERROR(IF(A1661="","",E1661*#REF!),"")</f>
        <v/>
      </c>
    </row>
    <row r="1662" spans="2:9" x14ac:dyDescent="0.3">
      <c r="B1662" t="str">
        <f>IFERROR(IF(A1662="","",VLOOKUP(A1662,CadProd!$A:$B,2,0)),"")</f>
        <v/>
      </c>
      <c r="C1662" t="str">
        <f>IFERROR(IF(A1662="","",VLOOKUP(A1662,CadProd!$A:$C,3,0)),"")</f>
        <v/>
      </c>
      <c r="I1662" s="1" t="str">
        <f>IFERROR(IF(A1662="","",E1662*#REF!),"")</f>
        <v/>
      </c>
    </row>
    <row r="1663" spans="2:9" x14ac:dyDescent="0.3">
      <c r="B1663" t="str">
        <f>IFERROR(IF(A1663="","",VLOOKUP(A1663,CadProd!$A:$B,2,0)),"")</f>
        <v/>
      </c>
      <c r="C1663" t="str">
        <f>IFERROR(IF(A1663="","",VLOOKUP(A1663,CadProd!$A:$C,3,0)),"")</f>
        <v/>
      </c>
      <c r="I1663" s="1" t="str">
        <f>IFERROR(IF(A1663="","",E1663*#REF!),"")</f>
        <v/>
      </c>
    </row>
    <row r="1664" spans="2:9" x14ac:dyDescent="0.3">
      <c r="B1664" t="str">
        <f>IFERROR(IF(A1664="","",VLOOKUP(A1664,CadProd!$A:$B,2,0)),"")</f>
        <v/>
      </c>
      <c r="C1664" t="str">
        <f>IFERROR(IF(A1664="","",VLOOKUP(A1664,CadProd!$A:$C,3,0)),"")</f>
        <v/>
      </c>
      <c r="I1664" s="1" t="str">
        <f>IFERROR(IF(A1664="","",E1664*#REF!),"")</f>
        <v/>
      </c>
    </row>
    <row r="1665" spans="2:9" x14ac:dyDescent="0.3">
      <c r="B1665" t="str">
        <f>IFERROR(IF(A1665="","",VLOOKUP(A1665,CadProd!$A:$B,2,0)),"")</f>
        <v/>
      </c>
      <c r="C1665" t="str">
        <f>IFERROR(IF(A1665="","",VLOOKUP(A1665,CadProd!$A:$C,3,0)),"")</f>
        <v/>
      </c>
      <c r="I1665" s="1" t="str">
        <f>IFERROR(IF(A1665="","",E1665*#REF!),"")</f>
        <v/>
      </c>
    </row>
    <row r="1666" spans="2:9" x14ac:dyDescent="0.3">
      <c r="B1666" t="str">
        <f>IFERROR(IF(A1666="","",VLOOKUP(A1666,CadProd!$A:$B,2,0)),"")</f>
        <v/>
      </c>
      <c r="C1666" t="str">
        <f>IFERROR(IF(A1666="","",VLOOKUP(A1666,CadProd!$A:$C,3,0)),"")</f>
        <v/>
      </c>
      <c r="I1666" s="1" t="str">
        <f>IFERROR(IF(A1666="","",E1666*#REF!),"")</f>
        <v/>
      </c>
    </row>
    <row r="1667" spans="2:9" x14ac:dyDescent="0.3">
      <c r="B1667" t="str">
        <f>IFERROR(IF(A1667="","",VLOOKUP(A1667,CadProd!$A:$B,2,0)),"")</f>
        <v/>
      </c>
      <c r="C1667" t="str">
        <f>IFERROR(IF(A1667="","",VLOOKUP(A1667,CadProd!$A:$C,3,0)),"")</f>
        <v/>
      </c>
      <c r="I1667" s="1" t="str">
        <f>IFERROR(IF(A1667="","",E1667*#REF!),"")</f>
        <v/>
      </c>
    </row>
    <row r="1668" spans="2:9" x14ac:dyDescent="0.3">
      <c r="B1668" t="str">
        <f>IFERROR(IF(A1668="","",VLOOKUP(A1668,CadProd!$A:$B,2,0)),"")</f>
        <v/>
      </c>
      <c r="C1668" t="str">
        <f>IFERROR(IF(A1668="","",VLOOKUP(A1668,CadProd!$A:$C,3,0)),"")</f>
        <v/>
      </c>
      <c r="I1668" s="1" t="str">
        <f>IFERROR(IF(A1668="","",E1668*#REF!),"")</f>
        <v/>
      </c>
    </row>
    <row r="1669" spans="2:9" x14ac:dyDescent="0.3">
      <c r="B1669" t="str">
        <f>IFERROR(IF(A1669="","",VLOOKUP(A1669,CadProd!$A:$B,2,0)),"")</f>
        <v/>
      </c>
      <c r="C1669" t="str">
        <f>IFERROR(IF(A1669="","",VLOOKUP(A1669,CadProd!$A:$C,3,0)),"")</f>
        <v/>
      </c>
      <c r="I1669" s="1" t="str">
        <f>IFERROR(IF(A1669="","",E1669*#REF!),"")</f>
        <v/>
      </c>
    </row>
    <row r="1670" spans="2:9" x14ac:dyDescent="0.3">
      <c r="B1670" t="str">
        <f>IFERROR(IF(A1670="","",VLOOKUP(A1670,CadProd!$A:$B,2,0)),"")</f>
        <v/>
      </c>
      <c r="C1670" t="str">
        <f>IFERROR(IF(A1670="","",VLOOKUP(A1670,CadProd!$A:$C,3,0)),"")</f>
        <v/>
      </c>
      <c r="I1670" s="1" t="str">
        <f>IFERROR(IF(A1670="","",E1670*#REF!),"")</f>
        <v/>
      </c>
    </row>
    <row r="1671" spans="2:9" x14ac:dyDescent="0.3">
      <c r="B1671" t="str">
        <f>IFERROR(IF(A1671="","",VLOOKUP(A1671,CadProd!$A:$B,2,0)),"")</f>
        <v/>
      </c>
      <c r="C1671" t="str">
        <f>IFERROR(IF(A1671="","",VLOOKUP(A1671,CadProd!$A:$C,3,0)),"")</f>
        <v/>
      </c>
      <c r="I1671" s="1" t="str">
        <f>IFERROR(IF(A1671="","",E1671*#REF!),"")</f>
        <v/>
      </c>
    </row>
    <row r="1672" spans="2:9" x14ac:dyDescent="0.3">
      <c r="B1672" t="str">
        <f>IFERROR(IF(A1672="","",VLOOKUP(A1672,CadProd!$A:$B,2,0)),"")</f>
        <v/>
      </c>
      <c r="C1672" t="str">
        <f>IFERROR(IF(A1672="","",VLOOKUP(A1672,CadProd!$A:$C,3,0)),"")</f>
        <v/>
      </c>
      <c r="I1672" s="1" t="str">
        <f>IFERROR(IF(A1672="","",E1672*#REF!),"")</f>
        <v/>
      </c>
    </row>
    <row r="1673" spans="2:9" x14ac:dyDescent="0.3">
      <c r="B1673" t="str">
        <f>IFERROR(IF(A1673="","",VLOOKUP(A1673,CadProd!$A:$B,2,0)),"")</f>
        <v/>
      </c>
      <c r="C1673" t="str">
        <f>IFERROR(IF(A1673="","",VLOOKUP(A1673,CadProd!$A:$C,3,0)),"")</f>
        <v/>
      </c>
      <c r="I1673" s="1" t="str">
        <f>IFERROR(IF(A1673="","",E1673*#REF!),"")</f>
        <v/>
      </c>
    </row>
    <row r="1674" spans="2:9" x14ac:dyDescent="0.3">
      <c r="B1674" t="str">
        <f>IFERROR(IF(A1674="","",VLOOKUP(A1674,CadProd!$A:$B,2,0)),"")</f>
        <v/>
      </c>
      <c r="C1674" t="str">
        <f>IFERROR(IF(A1674="","",VLOOKUP(A1674,CadProd!$A:$C,3,0)),"")</f>
        <v/>
      </c>
      <c r="I1674" s="1" t="str">
        <f>IFERROR(IF(A1674="","",E1674*#REF!),"")</f>
        <v/>
      </c>
    </row>
    <row r="1675" spans="2:9" x14ac:dyDescent="0.3">
      <c r="B1675" t="str">
        <f>IFERROR(IF(A1675="","",VLOOKUP(A1675,CadProd!$A:$B,2,0)),"")</f>
        <v/>
      </c>
      <c r="C1675" t="str">
        <f>IFERROR(IF(A1675="","",VLOOKUP(A1675,CadProd!$A:$C,3,0)),"")</f>
        <v/>
      </c>
      <c r="I1675" s="1" t="str">
        <f>IFERROR(IF(A1675="","",E1675*#REF!),"")</f>
        <v/>
      </c>
    </row>
    <row r="1676" spans="2:9" x14ac:dyDescent="0.3">
      <c r="B1676" t="str">
        <f>IFERROR(IF(A1676="","",VLOOKUP(A1676,CadProd!$A:$B,2,0)),"")</f>
        <v/>
      </c>
      <c r="C1676" t="str">
        <f>IFERROR(IF(A1676="","",VLOOKUP(A1676,CadProd!$A:$C,3,0)),"")</f>
        <v/>
      </c>
      <c r="I1676" s="1" t="str">
        <f>IFERROR(IF(A1676="","",E1676*#REF!),"")</f>
        <v/>
      </c>
    </row>
    <row r="1677" spans="2:9" x14ac:dyDescent="0.3">
      <c r="B1677" t="str">
        <f>IFERROR(IF(A1677="","",VLOOKUP(A1677,CadProd!$A:$B,2,0)),"")</f>
        <v/>
      </c>
      <c r="C1677" t="str">
        <f>IFERROR(IF(A1677="","",VLOOKUP(A1677,CadProd!$A:$C,3,0)),"")</f>
        <v/>
      </c>
      <c r="I1677" s="1" t="str">
        <f>IFERROR(IF(A1677="","",E1677*#REF!),"")</f>
        <v/>
      </c>
    </row>
    <row r="1678" spans="2:9" x14ac:dyDescent="0.3">
      <c r="B1678" t="str">
        <f>IFERROR(IF(A1678="","",VLOOKUP(A1678,CadProd!$A:$B,2,0)),"")</f>
        <v/>
      </c>
      <c r="C1678" t="str">
        <f>IFERROR(IF(A1678="","",VLOOKUP(A1678,CadProd!$A:$C,3,0)),"")</f>
        <v/>
      </c>
      <c r="I1678" s="1" t="str">
        <f>IFERROR(IF(A1678="","",E1678*#REF!),"")</f>
        <v/>
      </c>
    </row>
    <row r="1679" spans="2:9" x14ac:dyDescent="0.3">
      <c r="B1679" t="str">
        <f>IFERROR(IF(A1679="","",VLOOKUP(A1679,CadProd!$A:$B,2,0)),"")</f>
        <v/>
      </c>
      <c r="C1679" t="str">
        <f>IFERROR(IF(A1679="","",VLOOKUP(A1679,CadProd!$A:$C,3,0)),"")</f>
        <v/>
      </c>
      <c r="I1679" s="1" t="str">
        <f>IFERROR(IF(A1679="","",E1679*#REF!),"")</f>
        <v/>
      </c>
    </row>
    <row r="1680" spans="2:9" x14ac:dyDescent="0.3">
      <c r="B1680" t="str">
        <f>IFERROR(IF(A1680="","",VLOOKUP(A1680,CadProd!$A:$B,2,0)),"")</f>
        <v/>
      </c>
      <c r="C1680" t="str">
        <f>IFERROR(IF(A1680="","",VLOOKUP(A1680,CadProd!$A:$C,3,0)),"")</f>
        <v/>
      </c>
      <c r="I1680" s="1" t="str">
        <f>IFERROR(IF(A1680="","",E1680*#REF!),"")</f>
        <v/>
      </c>
    </row>
    <row r="1681" spans="2:9" x14ac:dyDescent="0.3">
      <c r="B1681" t="str">
        <f>IFERROR(IF(A1681="","",VLOOKUP(A1681,CadProd!$A:$B,2,0)),"")</f>
        <v/>
      </c>
      <c r="C1681" t="str">
        <f>IFERROR(IF(A1681="","",VLOOKUP(A1681,CadProd!$A:$C,3,0)),"")</f>
        <v/>
      </c>
      <c r="I1681" s="1" t="str">
        <f>IFERROR(IF(A1681="","",E1681*#REF!),"")</f>
        <v/>
      </c>
    </row>
    <row r="1682" spans="2:9" x14ac:dyDescent="0.3">
      <c r="B1682" t="str">
        <f>IFERROR(IF(A1682="","",VLOOKUP(A1682,CadProd!$A:$B,2,0)),"")</f>
        <v/>
      </c>
      <c r="C1682" t="str">
        <f>IFERROR(IF(A1682="","",VLOOKUP(A1682,CadProd!$A:$C,3,0)),"")</f>
        <v/>
      </c>
      <c r="I1682" s="1" t="str">
        <f>IFERROR(IF(A1682="","",E1682*#REF!),"")</f>
        <v/>
      </c>
    </row>
    <row r="1683" spans="2:9" x14ac:dyDescent="0.3">
      <c r="B1683" t="str">
        <f>IFERROR(IF(A1683="","",VLOOKUP(A1683,CadProd!$A:$B,2,0)),"")</f>
        <v/>
      </c>
      <c r="C1683" t="str">
        <f>IFERROR(IF(A1683="","",VLOOKUP(A1683,CadProd!$A:$C,3,0)),"")</f>
        <v/>
      </c>
      <c r="I1683" s="1" t="str">
        <f>IFERROR(IF(A1683="","",E1683*#REF!),"")</f>
        <v/>
      </c>
    </row>
    <row r="1684" spans="2:9" x14ac:dyDescent="0.3">
      <c r="B1684" t="str">
        <f>IFERROR(IF(A1684="","",VLOOKUP(A1684,CadProd!$A:$B,2,0)),"")</f>
        <v/>
      </c>
      <c r="C1684" t="str">
        <f>IFERROR(IF(A1684="","",VLOOKUP(A1684,CadProd!$A:$C,3,0)),"")</f>
        <v/>
      </c>
      <c r="I1684" s="1" t="str">
        <f>IFERROR(IF(A1684="","",E1684*#REF!),"")</f>
        <v/>
      </c>
    </row>
    <row r="1685" spans="2:9" x14ac:dyDescent="0.3">
      <c r="B1685" t="str">
        <f>IFERROR(IF(A1685="","",VLOOKUP(A1685,CadProd!$A:$B,2,0)),"")</f>
        <v/>
      </c>
      <c r="C1685" t="str">
        <f>IFERROR(IF(A1685="","",VLOOKUP(A1685,CadProd!$A:$C,3,0)),"")</f>
        <v/>
      </c>
      <c r="I1685" s="1" t="str">
        <f>IFERROR(IF(A1685="","",E1685*#REF!),"")</f>
        <v/>
      </c>
    </row>
    <row r="1686" spans="2:9" x14ac:dyDescent="0.3">
      <c r="B1686" t="str">
        <f>IFERROR(IF(A1686="","",VLOOKUP(A1686,CadProd!$A:$B,2,0)),"")</f>
        <v/>
      </c>
      <c r="C1686" t="str">
        <f>IFERROR(IF(A1686="","",VLOOKUP(A1686,CadProd!$A:$C,3,0)),"")</f>
        <v/>
      </c>
      <c r="I1686" s="1" t="str">
        <f>IFERROR(IF(A1686="","",E1686*#REF!),"")</f>
        <v/>
      </c>
    </row>
    <row r="1687" spans="2:9" x14ac:dyDescent="0.3">
      <c r="B1687" t="str">
        <f>IFERROR(IF(A1687="","",VLOOKUP(A1687,CadProd!$A:$B,2,0)),"")</f>
        <v/>
      </c>
      <c r="C1687" t="str">
        <f>IFERROR(IF(A1687="","",VLOOKUP(A1687,CadProd!$A:$C,3,0)),"")</f>
        <v/>
      </c>
      <c r="I1687" s="1" t="str">
        <f>IFERROR(IF(A1687="","",E1687*#REF!),"")</f>
        <v/>
      </c>
    </row>
    <row r="1688" spans="2:9" x14ac:dyDescent="0.3">
      <c r="B1688" t="str">
        <f>IFERROR(IF(A1688="","",VLOOKUP(A1688,CadProd!$A:$B,2,0)),"")</f>
        <v/>
      </c>
      <c r="C1688" t="str">
        <f>IFERROR(IF(A1688="","",VLOOKUP(A1688,CadProd!$A:$C,3,0)),"")</f>
        <v/>
      </c>
      <c r="I1688" s="1" t="str">
        <f>IFERROR(IF(A1688="","",E1688*#REF!),"")</f>
        <v/>
      </c>
    </row>
    <row r="1689" spans="2:9" x14ac:dyDescent="0.3">
      <c r="B1689" t="str">
        <f>IFERROR(IF(A1689="","",VLOOKUP(A1689,CadProd!$A:$B,2,0)),"")</f>
        <v/>
      </c>
      <c r="C1689" t="str">
        <f>IFERROR(IF(A1689="","",VLOOKUP(A1689,CadProd!$A:$C,3,0)),"")</f>
        <v/>
      </c>
      <c r="I1689" s="1" t="str">
        <f>IFERROR(IF(A1689="","",E1689*#REF!),"")</f>
        <v/>
      </c>
    </row>
    <row r="1690" spans="2:9" x14ac:dyDescent="0.3">
      <c r="B1690" t="str">
        <f>IFERROR(IF(A1690="","",VLOOKUP(A1690,CadProd!$A:$B,2,0)),"")</f>
        <v/>
      </c>
      <c r="C1690" t="str">
        <f>IFERROR(IF(A1690="","",VLOOKUP(A1690,CadProd!$A:$C,3,0)),"")</f>
        <v/>
      </c>
      <c r="I1690" s="1" t="str">
        <f>IFERROR(IF(A1690="","",E1690*#REF!),"")</f>
        <v/>
      </c>
    </row>
    <row r="1691" spans="2:9" x14ac:dyDescent="0.3">
      <c r="B1691" t="str">
        <f>IFERROR(IF(A1691="","",VLOOKUP(A1691,CadProd!$A:$B,2,0)),"")</f>
        <v/>
      </c>
      <c r="C1691" t="str">
        <f>IFERROR(IF(A1691="","",VLOOKUP(A1691,CadProd!$A:$C,3,0)),"")</f>
        <v/>
      </c>
      <c r="I1691" s="1" t="str">
        <f>IFERROR(IF(A1691="","",E1691*#REF!),"")</f>
        <v/>
      </c>
    </row>
    <row r="1692" spans="2:9" x14ac:dyDescent="0.3">
      <c r="B1692" t="str">
        <f>IFERROR(IF(A1692="","",VLOOKUP(A1692,CadProd!$A:$B,2,0)),"")</f>
        <v/>
      </c>
      <c r="C1692" t="str">
        <f>IFERROR(IF(A1692="","",VLOOKUP(A1692,CadProd!$A:$C,3,0)),"")</f>
        <v/>
      </c>
      <c r="I1692" s="1" t="str">
        <f>IFERROR(IF(A1692="","",E1692*#REF!),"")</f>
        <v/>
      </c>
    </row>
    <row r="1693" spans="2:9" x14ac:dyDescent="0.3">
      <c r="B1693" t="str">
        <f>IFERROR(IF(A1693="","",VLOOKUP(A1693,CadProd!$A:$B,2,0)),"")</f>
        <v/>
      </c>
      <c r="C1693" t="str">
        <f>IFERROR(IF(A1693="","",VLOOKUP(A1693,CadProd!$A:$C,3,0)),"")</f>
        <v/>
      </c>
      <c r="I1693" s="1" t="str">
        <f>IFERROR(IF(A1693="","",E1693*#REF!),"")</f>
        <v/>
      </c>
    </row>
    <row r="1694" spans="2:9" x14ac:dyDescent="0.3">
      <c r="B1694" t="str">
        <f>IFERROR(IF(A1694="","",VLOOKUP(A1694,CadProd!$A:$B,2,0)),"")</f>
        <v/>
      </c>
      <c r="C1694" t="str">
        <f>IFERROR(IF(A1694="","",VLOOKUP(A1694,CadProd!$A:$C,3,0)),"")</f>
        <v/>
      </c>
      <c r="I1694" s="1" t="str">
        <f>IFERROR(IF(A1694="","",E1694*#REF!),"")</f>
        <v/>
      </c>
    </row>
    <row r="1695" spans="2:9" x14ac:dyDescent="0.3">
      <c r="B1695" t="str">
        <f>IFERROR(IF(A1695="","",VLOOKUP(A1695,CadProd!$A:$B,2,0)),"")</f>
        <v/>
      </c>
      <c r="C1695" t="str">
        <f>IFERROR(IF(A1695="","",VLOOKUP(A1695,CadProd!$A:$C,3,0)),"")</f>
        <v/>
      </c>
      <c r="I1695" s="1" t="str">
        <f>IFERROR(IF(A1695="","",E1695*#REF!),"")</f>
        <v/>
      </c>
    </row>
    <row r="1696" spans="2:9" x14ac:dyDescent="0.3">
      <c r="B1696" t="str">
        <f>IFERROR(IF(A1696="","",VLOOKUP(A1696,CadProd!$A:$B,2,0)),"")</f>
        <v/>
      </c>
      <c r="C1696" t="str">
        <f>IFERROR(IF(A1696="","",VLOOKUP(A1696,CadProd!$A:$C,3,0)),"")</f>
        <v/>
      </c>
      <c r="I1696" s="1" t="str">
        <f>IFERROR(IF(A1696="","",E1696*#REF!),"")</f>
        <v/>
      </c>
    </row>
    <row r="1697" spans="2:9" x14ac:dyDescent="0.3">
      <c r="B1697" t="str">
        <f>IFERROR(IF(A1697="","",VLOOKUP(A1697,CadProd!$A:$B,2,0)),"")</f>
        <v/>
      </c>
      <c r="C1697" t="str">
        <f>IFERROR(IF(A1697="","",VLOOKUP(A1697,CadProd!$A:$C,3,0)),"")</f>
        <v/>
      </c>
      <c r="I1697" s="1" t="str">
        <f>IFERROR(IF(A1697="","",E1697*#REF!),"")</f>
        <v/>
      </c>
    </row>
    <row r="1698" spans="2:9" x14ac:dyDescent="0.3">
      <c r="B1698" t="str">
        <f>IFERROR(IF(A1698="","",VLOOKUP(A1698,CadProd!$A:$B,2,0)),"")</f>
        <v/>
      </c>
      <c r="C1698" t="str">
        <f>IFERROR(IF(A1698="","",VLOOKUP(A1698,CadProd!$A:$C,3,0)),"")</f>
        <v/>
      </c>
      <c r="I1698" s="1" t="str">
        <f>IFERROR(IF(A1698="","",E1698*#REF!),"")</f>
        <v/>
      </c>
    </row>
    <row r="1699" spans="2:9" x14ac:dyDescent="0.3">
      <c r="B1699" t="str">
        <f>IFERROR(IF(A1699="","",VLOOKUP(A1699,CadProd!$A:$B,2,0)),"")</f>
        <v/>
      </c>
      <c r="C1699" t="str">
        <f>IFERROR(IF(A1699="","",VLOOKUP(A1699,CadProd!$A:$C,3,0)),"")</f>
        <v/>
      </c>
      <c r="I1699" s="1" t="str">
        <f>IFERROR(IF(A1699="","",E1699*#REF!),"")</f>
        <v/>
      </c>
    </row>
    <row r="1700" spans="2:9" x14ac:dyDescent="0.3">
      <c r="B1700" t="str">
        <f>IFERROR(IF(A1700="","",VLOOKUP(A1700,CadProd!$A:$B,2,0)),"")</f>
        <v/>
      </c>
      <c r="C1700" t="str">
        <f>IFERROR(IF(A1700="","",VLOOKUP(A1700,CadProd!$A:$C,3,0)),"")</f>
        <v/>
      </c>
      <c r="I1700" s="1" t="str">
        <f>IFERROR(IF(A1700="","",E1700*#REF!),"")</f>
        <v/>
      </c>
    </row>
    <row r="1701" spans="2:9" x14ac:dyDescent="0.3">
      <c r="B1701" t="str">
        <f>IFERROR(IF(A1701="","",VLOOKUP(A1701,CadProd!$A:$B,2,0)),"")</f>
        <v/>
      </c>
      <c r="C1701" t="str">
        <f>IFERROR(IF(A1701="","",VLOOKUP(A1701,CadProd!$A:$C,3,0)),"")</f>
        <v/>
      </c>
      <c r="I1701" s="1" t="str">
        <f>IFERROR(IF(A1701="","",E1701*#REF!),"")</f>
        <v/>
      </c>
    </row>
    <row r="1702" spans="2:9" x14ac:dyDescent="0.3">
      <c r="B1702" t="str">
        <f>IFERROR(IF(A1702="","",VLOOKUP(A1702,CadProd!$A:$B,2,0)),"")</f>
        <v/>
      </c>
      <c r="C1702" t="str">
        <f>IFERROR(IF(A1702="","",VLOOKUP(A1702,CadProd!$A:$C,3,0)),"")</f>
        <v/>
      </c>
      <c r="I1702" s="1" t="str">
        <f>IFERROR(IF(A1702="","",E1702*#REF!),"")</f>
        <v/>
      </c>
    </row>
    <row r="1703" spans="2:9" x14ac:dyDescent="0.3">
      <c r="B1703" t="str">
        <f>IFERROR(IF(A1703="","",VLOOKUP(A1703,CadProd!$A:$B,2,0)),"")</f>
        <v/>
      </c>
      <c r="C1703" t="str">
        <f>IFERROR(IF(A1703="","",VLOOKUP(A1703,CadProd!$A:$C,3,0)),"")</f>
        <v/>
      </c>
      <c r="I1703" s="1" t="str">
        <f>IFERROR(IF(A1703="","",E1703*#REF!),"")</f>
        <v/>
      </c>
    </row>
    <row r="1704" spans="2:9" x14ac:dyDescent="0.3">
      <c r="B1704" t="str">
        <f>IFERROR(IF(A1704="","",VLOOKUP(A1704,CadProd!$A:$B,2,0)),"")</f>
        <v/>
      </c>
      <c r="C1704" t="str">
        <f>IFERROR(IF(A1704="","",VLOOKUP(A1704,CadProd!$A:$C,3,0)),"")</f>
        <v/>
      </c>
      <c r="I1704" s="1" t="str">
        <f>IFERROR(IF(A1704="","",E1704*#REF!),"")</f>
        <v/>
      </c>
    </row>
    <row r="1705" spans="2:9" x14ac:dyDescent="0.3">
      <c r="B1705" t="str">
        <f>IFERROR(IF(A1705="","",VLOOKUP(A1705,CadProd!$A:$B,2,0)),"")</f>
        <v/>
      </c>
      <c r="C1705" t="str">
        <f>IFERROR(IF(A1705="","",VLOOKUP(A1705,CadProd!$A:$C,3,0)),"")</f>
        <v/>
      </c>
      <c r="I1705" s="1" t="str">
        <f>IFERROR(IF(A1705="","",E1705*#REF!),"")</f>
        <v/>
      </c>
    </row>
    <row r="1706" spans="2:9" x14ac:dyDescent="0.3">
      <c r="B1706" t="str">
        <f>IFERROR(IF(A1706="","",VLOOKUP(A1706,CadProd!$A:$B,2,0)),"")</f>
        <v/>
      </c>
      <c r="C1706" t="str">
        <f>IFERROR(IF(A1706="","",VLOOKUP(A1706,CadProd!$A:$C,3,0)),"")</f>
        <v/>
      </c>
      <c r="I1706" s="1" t="str">
        <f>IFERROR(IF(A1706="","",E1706*#REF!),"")</f>
        <v/>
      </c>
    </row>
    <row r="1707" spans="2:9" x14ac:dyDescent="0.3">
      <c r="B1707" t="str">
        <f>IFERROR(IF(A1707="","",VLOOKUP(A1707,CadProd!$A:$B,2,0)),"")</f>
        <v/>
      </c>
      <c r="C1707" t="str">
        <f>IFERROR(IF(A1707="","",VLOOKUP(A1707,CadProd!$A:$C,3,0)),"")</f>
        <v/>
      </c>
      <c r="I1707" s="1" t="str">
        <f>IFERROR(IF(A1707="","",E1707*#REF!),"")</f>
        <v/>
      </c>
    </row>
    <row r="1708" spans="2:9" x14ac:dyDescent="0.3">
      <c r="B1708" t="str">
        <f>IFERROR(IF(A1708="","",VLOOKUP(A1708,CadProd!$A:$B,2,0)),"")</f>
        <v/>
      </c>
      <c r="C1708" t="str">
        <f>IFERROR(IF(A1708="","",VLOOKUP(A1708,CadProd!$A:$C,3,0)),"")</f>
        <v/>
      </c>
      <c r="I1708" s="1" t="str">
        <f>IFERROR(IF(A1708="","",E1708*#REF!),"")</f>
        <v/>
      </c>
    </row>
    <row r="1709" spans="2:9" x14ac:dyDescent="0.3">
      <c r="B1709" t="str">
        <f>IFERROR(IF(A1709="","",VLOOKUP(A1709,CadProd!$A:$B,2,0)),"")</f>
        <v/>
      </c>
      <c r="C1709" t="str">
        <f>IFERROR(IF(A1709="","",VLOOKUP(A1709,CadProd!$A:$C,3,0)),"")</f>
        <v/>
      </c>
      <c r="I1709" s="1" t="str">
        <f>IFERROR(IF(A1709="","",E1709*#REF!),"")</f>
        <v/>
      </c>
    </row>
    <row r="1710" spans="2:9" x14ac:dyDescent="0.3">
      <c r="B1710" t="str">
        <f>IFERROR(IF(A1710="","",VLOOKUP(A1710,CadProd!$A:$B,2,0)),"")</f>
        <v/>
      </c>
      <c r="C1710" t="str">
        <f>IFERROR(IF(A1710="","",VLOOKUP(A1710,CadProd!$A:$C,3,0)),"")</f>
        <v/>
      </c>
      <c r="I1710" s="1" t="str">
        <f>IFERROR(IF(A1710="","",E1710*#REF!),"")</f>
        <v/>
      </c>
    </row>
    <row r="1711" spans="2:9" x14ac:dyDescent="0.3">
      <c r="B1711" t="str">
        <f>IFERROR(IF(A1711="","",VLOOKUP(A1711,CadProd!$A:$B,2,0)),"")</f>
        <v/>
      </c>
      <c r="C1711" t="str">
        <f>IFERROR(IF(A1711="","",VLOOKUP(A1711,CadProd!$A:$C,3,0)),"")</f>
        <v/>
      </c>
      <c r="I1711" s="1" t="str">
        <f>IFERROR(IF(A1711="","",E1711*#REF!),"")</f>
        <v/>
      </c>
    </row>
    <row r="1712" spans="2:9" x14ac:dyDescent="0.3">
      <c r="B1712" t="str">
        <f>IFERROR(IF(A1712="","",VLOOKUP(A1712,CadProd!$A:$B,2,0)),"")</f>
        <v/>
      </c>
      <c r="C1712" t="str">
        <f>IFERROR(IF(A1712="","",VLOOKUP(A1712,CadProd!$A:$C,3,0)),"")</f>
        <v/>
      </c>
      <c r="I1712" s="1" t="str">
        <f>IFERROR(IF(A1712="","",E1712*#REF!),"")</f>
        <v/>
      </c>
    </row>
    <row r="1713" spans="2:9" x14ac:dyDescent="0.3">
      <c r="B1713" t="str">
        <f>IFERROR(IF(A1713="","",VLOOKUP(A1713,CadProd!$A:$B,2,0)),"")</f>
        <v/>
      </c>
      <c r="C1713" t="str">
        <f>IFERROR(IF(A1713="","",VLOOKUP(A1713,CadProd!$A:$C,3,0)),"")</f>
        <v/>
      </c>
      <c r="I1713" s="1" t="str">
        <f>IFERROR(IF(A1713="","",E1713*#REF!),"")</f>
        <v/>
      </c>
    </row>
    <row r="1714" spans="2:9" x14ac:dyDescent="0.3">
      <c r="B1714" t="str">
        <f>IFERROR(IF(A1714="","",VLOOKUP(A1714,CadProd!$A:$B,2,0)),"")</f>
        <v/>
      </c>
      <c r="C1714" t="str">
        <f>IFERROR(IF(A1714="","",VLOOKUP(A1714,CadProd!$A:$C,3,0)),"")</f>
        <v/>
      </c>
      <c r="I1714" s="1" t="str">
        <f>IFERROR(IF(A1714="","",E1714*#REF!),"")</f>
        <v/>
      </c>
    </row>
    <row r="1715" spans="2:9" x14ac:dyDescent="0.3">
      <c r="B1715" t="str">
        <f>IFERROR(IF(A1715="","",VLOOKUP(A1715,CadProd!$A:$B,2,0)),"")</f>
        <v/>
      </c>
      <c r="C1715" t="str">
        <f>IFERROR(IF(A1715="","",VLOOKUP(A1715,CadProd!$A:$C,3,0)),"")</f>
        <v/>
      </c>
      <c r="I1715" s="1" t="str">
        <f>IFERROR(IF(A1715="","",E1715*#REF!),"")</f>
        <v/>
      </c>
    </row>
    <row r="1716" spans="2:9" x14ac:dyDescent="0.3">
      <c r="B1716" t="str">
        <f>IFERROR(IF(A1716="","",VLOOKUP(A1716,CadProd!$A:$B,2,0)),"")</f>
        <v/>
      </c>
      <c r="C1716" t="str">
        <f>IFERROR(IF(A1716="","",VLOOKUP(A1716,CadProd!$A:$C,3,0)),"")</f>
        <v/>
      </c>
      <c r="I1716" s="1" t="str">
        <f>IFERROR(IF(A1716="","",E1716*#REF!),"")</f>
        <v/>
      </c>
    </row>
    <row r="1717" spans="2:9" x14ac:dyDescent="0.3">
      <c r="B1717" t="str">
        <f>IFERROR(IF(A1717="","",VLOOKUP(A1717,CadProd!$A:$B,2,0)),"")</f>
        <v/>
      </c>
      <c r="C1717" t="str">
        <f>IFERROR(IF(A1717="","",VLOOKUP(A1717,CadProd!$A:$C,3,0)),"")</f>
        <v/>
      </c>
      <c r="I1717" s="1" t="str">
        <f>IFERROR(IF(A1717="","",E1717*#REF!),"")</f>
        <v/>
      </c>
    </row>
    <row r="1718" spans="2:9" x14ac:dyDescent="0.3">
      <c r="B1718" t="str">
        <f>IFERROR(IF(A1718="","",VLOOKUP(A1718,CadProd!$A:$B,2,0)),"")</f>
        <v/>
      </c>
      <c r="C1718" t="str">
        <f>IFERROR(IF(A1718="","",VLOOKUP(A1718,CadProd!$A:$C,3,0)),"")</f>
        <v/>
      </c>
      <c r="I1718" s="1" t="str">
        <f>IFERROR(IF(A1718="","",E1718*#REF!),"")</f>
        <v/>
      </c>
    </row>
    <row r="1719" spans="2:9" x14ac:dyDescent="0.3">
      <c r="B1719" t="str">
        <f>IFERROR(IF(A1719="","",VLOOKUP(A1719,CadProd!$A:$B,2,0)),"")</f>
        <v/>
      </c>
      <c r="C1719" t="str">
        <f>IFERROR(IF(A1719="","",VLOOKUP(A1719,CadProd!$A:$C,3,0)),"")</f>
        <v/>
      </c>
      <c r="I1719" s="1" t="str">
        <f>IFERROR(IF(A1719="","",E1719*#REF!),"")</f>
        <v/>
      </c>
    </row>
    <row r="1720" spans="2:9" x14ac:dyDescent="0.3">
      <c r="B1720" t="str">
        <f>IFERROR(IF(A1720="","",VLOOKUP(A1720,CadProd!$A:$B,2,0)),"")</f>
        <v/>
      </c>
      <c r="C1720" t="str">
        <f>IFERROR(IF(A1720="","",VLOOKUP(A1720,CadProd!$A:$C,3,0)),"")</f>
        <v/>
      </c>
      <c r="I1720" s="1" t="str">
        <f>IFERROR(IF(A1720="","",E1720*#REF!),"")</f>
        <v/>
      </c>
    </row>
    <row r="1721" spans="2:9" x14ac:dyDescent="0.3">
      <c r="B1721" t="str">
        <f>IFERROR(IF(A1721="","",VLOOKUP(A1721,CadProd!$A:$B,2,0)),"")</f>
        <v/>
      </c>
      <c r="C1721" t="str">
        <f>IFERROR(IF(A1721="","",VLOOKUP(A1721,CadProd!$A:$C,3,0)),"")</f>
        <v/>
      </c>
      <c r="I1721" s="1" t="str">
        <f>IFERROR(IF(A1721="","",E1721*#REF!),"")</f>
        <v/>
      </c>
    </row>
    <row r="1722" spans="2:9" x14ac:dyDescent="0.3">
      <c r="B1722" t="str">
        <f>IFERROR(IF(A1722="","",VLOOKUP(A1722,CadProd!$A:$B,2,0)),"")</f>
        <v/>
      </c>
      <c r="C1722" t="str">
        <f>IFERROR(IF(A1722="","",VLOOKUP(A1722,CadProd!$A:$C,3,0)),"")</f>
        <v/>
      </c>
      <c r="I1722" s="1" t="str">
        <f>IFERROR(IF(A1722="","",E1722*#REF!),"")</f>
        <v/>
      </c>
    </row>
    <row r="1723" spans="2:9" x14ac:dyDescent="0.3">
      <c r="B1723" t="str">
        <f>IFERROR(IF(A1723="","",VLOOKUP(A1723,CadProd!$A:$B,2,0)),"")</f>
        <v/>
      </c>
      <c r="C1723" t="str">
        <f>IFERROR(IF(A1723="","",VLOOKUP(A1723,CadProd!$A:$C,3,0)),"")</f>
        <v/>
      </c>
      <c r="I1723" s="1" t="str">
        <f>IFERROR(IF(A1723="","",E1723*#REF!),"")</f>
        <v/>
      </c>
    </row>
    <row r="1724" spans="2:9" x14ac:dyDescent="0.3">
      <c r="B1724" t="str">
        <f>IFERROR(IF(A1724="","",VLOOKUP(A1724,CadProd!$A:$B,2,0)),"")</f>
        <v/>
      </c>
      <c r="C1724" t="str">
        <f>IFERROR(IF(A1724="","",VLOOKUP(A1724,CadProd!$A:$C,3,0)),"")</f>
        <v/>
      </c>
      <c r="I1724" s="1" t="str">
        <f>IFERROR(IF(A1724="","",E1724*#REF!),"")</f>
        <v/>
      </c>
    </row>
    <row r="1725" spans="2:9" x14ac:dyDescent="0.3">
      <c r="B1725" t="str">
        <f>IFERROR(IF(A1725="","",VLOOKUP(A1725,CadProd!$A:$B,2,0)),"")</f>
        <v/>
      </c>
      <c r="C1725" t="str">
        <f>IFERROR(IF(A1725="","",VLOOKUP(A1725,CadProd!$A:$C,3,0)),"")</f>
        <v/>
      </c>
      <c r="I1725" s="1" t="str">
        <f>IFERROR(IF(A1725="","",E1725*#REF!),"")</f>
        <v/>
      </c>
    </row>
    <row r="1726" spans="2:9" x14ac:dyDescent="0.3">
      <c r="B1726" t="str">
        <f>IFERROR(IF(A1726="","",VLOOKUP(A1726,CadProd!$A:$B,2,0)),"")</f>
        <v/>
      </c>
      <c r="C1726" t="str">
        <f>IFERROR(IF(A1726="","",VLOOKUP(A1726,CadProd!$A:$C,3,0)),"")</f>
        <v/>
      </c>
      <c r="I1726" s="1" t="str">
        <f>IFERROR(IF(A1726="","",E1726*#REF!),"")</f>
        <v/>
      </c>
    </row>
    <row r="1727" spans="2:9" x14ac:dyDescent="0.3">
      <c r="B1727" t="str">
        <f>IFERROR(IF(A1727="","",VLOOKUP(A1727,CadProd!$A:$B,2,0)),"")</f>
        <v/>
      </c>
      <c r="C1727" t="str">
        <f>IFERROR(IF(A1727="","",VLOOKUP(A1727,CadProd!$A:$C,3,0)),"")</f>
        <v/>
      </c>
      <c r="I1727" s="1" t="str">
        <f>IFERROR(IF(A1727="","",E1727*#REF!),"")</f>
        <v/>
      </c>
    </row>
    <row r="1728" spans="2:9" x14ac:dyDescent="0.3">
      <c r="B1728" t="str">
        <f>IFERROR(IF(A1728="","",VLOOKUP(A1728,CadProd!$A:$B,2,0)),"")</f>
        <v/>
      </c>
      <c r="C1728" t="str">
        <f>IFERROR(IF(A1728="","",VLOOKUP(A1728,CadProd!$A:$C,3,0)),"")</f>
        <v/>
      </c>
      <c r="I1728" s="1" t="str">
        <f>IFERROR(IF(A1728="","",E1728*#REF!),"")</f>
        <v/>
      </c>
    </row>
    <row r="1729" spans="2:9" x14ac:dyDescent="0.3">
      <c r="B1729" t="str">
        <f>IFERROR(IF(A1729="","",VLOOKUP(A1729,CadProd!$A:$B,2,0)),"")</f>
        <v/>
      </c>
      <c r="C1729" t="str">
        <f>IFERROR(IF(A1729="","",VLOOKUP(A1729,CadProd!$A:$C,3,0)),"")</f>
        <v/>
      </c>
      <c r="I1729" s="1" t="str">
        <f>IFERROR(IF(A1729="","",E1729*#REF!),"")</f>
        <v/>
      </c>
    </row>
    <row r="1730" spans="2:9" x14ac:dyDescent="0.3">
      <c r="B1730" t="str">
        <f>IFERROR(IF(A1730="","",VLOOKUP(A1730,CadProd!$A:$B,2,0)),"")</f>
        <v/>
      </c>
      <c r="C1730" t="str">
        <f>IFERROR(IF(A1730="","",VLOOKUP(A1730,CadProd!$A:$C,3,0)),"")</f>
        <v/>
      </c>
      <c r="I1730" s="1" t="str">
        <f>IFERROR(IF(A1730="","",E1730*#REF!),"")</f>
        <v/>
      </c>
    </row>
    <row r="1731" spans="2:9" x14ac:dyDescent="0.3">
      <c r="B1731" t="str">
        <f>IFERROR(IF(A1731="","",VLOOKUP(A1731,CadProd!$A:$B,2,0)),"")</f>
        <v/>
      </c>
      <c r="C1731" t="str">
        <f>IFERROR(IF(A1731="","",VLOOKUP(A1731,CadProd!$A:$C,3,0)),"")</f>
        <v/>
      </c>
      <c r="I1731" s="1" t="str">
        <f>IFERROR(IF(A1731="","",E1731*#REF!),"")</f>
        <v/>
      </c>
    </row>
    <row r="1732" spans="2:9" x14ac:dyDescent="0.3">
      <c r="B1732" t="str">
        <f>IFERROR(IF(A1732="","",VLOOKUP(A1732,CadProd!$A:$B,2,0)),"")</f>
        <v/>
      </c>
      <c r="C1732" t="str">
        <f>IFERROR(IF(A1732="","",VLOOKUP(A1732,CadProd!$A:$C,3,0)),"")</f>
        <v/>
      </c>
      <c r="I1732" s="1" t="str">
        <f>IFERROR(IF(A1732="","",E1732*#REF!),"")</f>
        <v/>
      </c>
    </row>
    <row r="1733" spans="2:9" x14ac:dyDescent="0.3">
      <c r="B1733" t="str">
        <f>IFERROR(IF(A1733="","",VLOOKUP(A1733,CadProd!$A:$B,2,0)),"")</f>
        <v/>
      </c>
      <c r="C1733" t="str">
        <f>IFERROR(IF(A1733="","",VLOOKUP(A1733,CadProd!$A:$C,3,0)),"")</f>
        <v/>
      </c>
      <c r="I1733" s="1" t="str">
        <f>IFERROR(IF(A1733="","",E1733*#REF!),"")</f>
        <v/>
      </c>
    </row>
    <row r="1734" spans="2:9" x14ac:dyDescent="0.3">
      <c r="B1734" t="str">
        <f>IFERROR(IF(A1734="","",VLOOKUP(A1734,CadProd!$A:$B,2,0)),"")</f>
        <v/>
      </c>
      <c r="C1734" t="str">
        <f>IFERROR(IF(A1734="","",VLOOKUP(A1734,CadProd!$A:$C,3,0)),"")</f>
        <v/>
      </c>
      <c r="I1734" s="1" t="str">
        <f>IFERROR(IF(A1734="","",E1734*#REF!),"")</f>
        <v/>
      </c>
    </row>
    <row r="1735" spans="2:9" x14ac:dyDescent="0.3">
      <c r="B1735" t="str">
        <f>IFERROR(IF(A1735="","",VLOOKUP(A1735,CadProd!$A:$B,2,0)),"")</f>
        <v/>
      </c>
      <c r="C1735" t="str">
        <f>IFERROR(IF(A1735="","",VLOOKUP(A1735,CadProd!$A:$C,3,0)),"")</f>
        <v/>
      </c>
      <c r="I1735" s="1" t="str">
        <f>IFERROR(IF(A1735="","",E1735*#REF!),"")</f>
        <v/>
      </c>
    </row>
    <row r="1736" spans="2:9" x14ac:dyDescent="0.3">
      <c r="B1736" t="str">
        <f>IFERROR(IF(A1736="","",VLOOKUP(A1736,CadProd!$A:$B,2,0)),"")</f>
        <v/>
      </c>
      <c r="C1736" t="str">
        <f>IFERROR(IF(A1736="","",VLOOKUP(A1736,CadProd!$A:$C,3,0)),"")</f>
        <v/>
      </c>
      <c r="I1736" s="1" t="str">
        <f>IFERROR(IF(A1736="","",E1736*#REF!),"")</f>
        <v/>
      </c>
    </row>
    <row r="1737" spans="2:9" x14ac:dyDescent="0.3">
      <c r="B1737" t="str">
        <f>IFERROR(IF(A1737="","",VLOOKUP(A1737,CadProd!$A:$B,2,0)),"")</f>
        <v/>
      </c>
      <c r="C1737" t="str">
        <f>IFERROR(IF(A1737="","",VLOOKUP(A1737,CadProd!$A:$C,3,0)),"")</f>
        <v/>
      </c>
      <c r="I1737" s="1" t="str">
        <f>IFERROR(IF(A1737="","",E1737*#REF!),"")</f>
        <v/>
      </c>
    </row>
    <row r="1738" spans="2:9" x14ac:dyDescent="0.3">
      <c r="B1738" t="str">
        <f>IFERROR(IF(A1738="","",VLOOKUP(A1738,CadProd!$A:$B,2,0)),"")</f>
        <v/>
      </c>
      <c r="C1738" t="str">
        <f>IFERROR(IF(A1738="","",VLOOKUP(A1738,CadProd!$A:$C,3,0)),"")</f>
        <v/>
      </c>
      <c r="I1738" s="1" t="str">
        <f>IFERROR(IF(A1738="","",E1738*#REF!),"")</f>
        <v/>
      </c>
    </row>
    <row r="1739" spans="2:9" x14ac:dyDescent="0.3">
      <c r="B1739" t="str">
        <f>IFERROR(IF(A1739="","",VLOOKUP(A1739,CadProd!$A:$B,2,0)),"")</f>
        <v/>
      </c>
      <c r="C1739" t="str">
        <f>IFERROR(IF(A1739="","",VLOOKUP(A1739,CadProd!$A:$C,3,0)),"")</f>
        <v/>
      </c>
      <c r="I1739" s="1" t="str">
        <f>IFERROR(IF(A1739="","",E1739*#REF!),"")</f>
        <v/>
      </c>
    </row>
    <row r="1740" spans="2:9" x14ac:dyDescent="0.3">
      <c r="B1740" t="str">
        <f>IFERROR(IF(A1740="","",VLOOKUP(A1740,CadProd!$A:$B,2,0)),"")</f>
        <v/>
      </c>
      <c r="C1740" t="str">
        <f>IFERROR(IF(A1740="","",VLOOKUP(A1740,CadProd!$A:$C,3,0)),"")</f>
        <v/>
      </c>
      <c r="I1740" s="1" t="str">
        <f>IFERROR(IF(A1740="","",E1740*#REF!),"")</f>
        <v/>
      </c>
    </row>
    <row r="1741" spans="2:9" x14ac:dyDescent="0.3">
      <c r="B1741" t="str">
        <f>IFERROR(IF(A1741="","",VLOOKUP(A1741,CadProd!$A:$B,2,0)),"")</f>
        <v/>
      </c>
      <c r="C1741" t="str">
        <f>IFERROR(IF(A1741="","",VLOOKUP(A1741,CadProd!$A:$C,3,0)),"")</f>
        <v/>
      </c>
      <c r="I1741" s="1" t="str">
        <f>IFERROR(IF(A1741="","",E1741*#REF!),"")</f>
        <v/>
      </c>
    </row>
    <row r="1742" spans="2:9" x14ac:dyDescent="0.3">
      <c r="B1742" t="str">
        <f>IFERROR(IF(A1742="","",VLOOKUP(A1742,CadProd!$A:$B,2,0)),"")</f>
        <v/>
      </c>
      <c r="C1742" t="str">
        <f>IFERROR(IF(A1742="","",VLOOKUP(A1742,CadProd!$A:$C,3,0)),"")</f>
        <v/>
      </c>
      <c r="I1742" s="1" t="str">
        <f>IFERROR(IF(A1742="","",E1742*#REF!),"")</f>
        <v/>
      </c>
    </row>
    <row r="1743" spans="2:9" x14ac:dyDescent="0.3">
      <c r="B1743" t="str">
        <f>IFERROR(IF(A1743="","",VLOOKUP(A1743,CadProd!$A:$B,2,0)),"")</f>
        <v/>
      </c>
      <c r="C1743" t="str">
        <f>IFERROR(IF(A1743="","",VLOOKUP(A1743,CadProd!$A:$C,3,0)),"")</f>
        <v/>
      </c>
      <c r="I1743" s="1" t="str">
        <f>IFERROR(IF(A1743="","",E1743*#REF!),"")</f>
        <v/>
      </c>
    </row>
    <row r="1744" spans="2:9" x14ac:dyDescent="0.3">
      <c r="B1744" t="str">
        <f>IFERROR(IF(A1744="","",VLOOKUP(A1744,CadProd!$A:$B,2,0)),"")</f>
        <v/>
      </c>
      <c r="C1744" t="str">
        <f>IFERROR(IF(A1744="","",VLOOKUP(A1744,CadProd!$A:$C,3,0)),"")</f>
        <v/>
      </c>
      <c r="I1744" s="1" t="str">
        <f>IFERROR(IF(A1744="","",E1744*#REF!),"")</f>
        <v/>
      </c>
    </row>
    <row r="1745" spans="2:9" x14ac:dyDescent="0.3">
      <c r="B1745" t="str">
        <f>IFERROR(IF(A1745="","",VLOOKUP(A1745,CadProd!$A:$B,2,0)),"")</f>
        <v/>
      </c>
      <c r="C1745" t="str">
        <f>IFERROR(IF(A1745="","",VLOOKUP(A1745,CadProd!$A:$C,3,0)),"")</f>
        <v/>
      </c>
      <c r="I1745" s="1" t="str">
        <f>IFERROR(IF(A1745="","",E1745*#REF!),"")</f>
        <v/>
      </c>
    </row>
    <row r="1746" spans="2:9" x14ac:dyDescent="0.3">
      <c r="B1746" t="str">
        <f>IFERROR(IF(A1746="","",VLOOKUP(A1746,CadProd!$A:$B,2,0)),"")</f>
        <v/>
      </c>
      <c r="C1746" t="str">
        <f>IFERROR(IF(A1746="","",VLOOKUP(A1746,CadProd!$A:$C,3,0)),"")</f>
        <v/>
      </c>
      <c r="I1746" s="1" t="str">
        <f>IFERROR(IF(A1746="","",E1746*#REF!),"")</f>
        <v/>
      </c>
    </row>
    <row r="1747" spans="2:9" x14ac:dyDescent="0.3">
      <c r="B1747" t="str">
        <f>IFERROR(IF(A1747="","",VLOOKUP(A1747,CadProd!$A:$B,2,0)),"")</f>
        <v/>
      </c>
      <c r="C1747" t="str">
        <f>IFERROR(IF(A1747="","",VLOOKUP(A1747,CadProd!$A:$C,3,0)),"")</f>
        <v/>
      </c>
      <c r="I1747" s="1" t="str">
        <f>IFERROR(IF(A1747="","",E1747*#REF!),"")</f>
        <v/>
      </c>
    </row>
    <row r="1748" spans="2:9" x14ac:dyDescent="0.3">
      <c r="B1748" t="str">
        <f>IFERROR(IF(A1748="","",VLOOKUP(A1748,CadProd!$A:$B,2,0)),"")</f>
        <v/>
      </c>
      <c r="C1748" t="str">
        <f>IFERROR(IF(A1748="","",VLOOKUP(A1748,CadProd!$A:$C,3,0)),"")</f>
        <v/>
      </c>
      <c r="I1748" s="1" t="str">
        <f>IFERROR(IF(A1748="","",E1748*#REF!),"")</f>
        <v/>
      </c>
    </row>
    <row r="1749" spans="2:9" x14ac:dyDescent="0.3">
      <c r="B1749" t="str">
        <f>IFERROR(IF(A1749="","",VLOOKUP(A1749,CadProd!$A:$B,2,0)),"")</f>
        <v/>
      </c>
      <c r="C1749" t="str">
        <f>IFERROR(IF(A1749="","",VLOOKUP(A1749,CadProd!$A:$C,3,0)),"")</f>
        <v/>
      </c>
      <c r="I1749" s="1" t="str">
        <f>IFERROR(IF(A1749="","",E1749*#REF!),"")</f>
        <v/>
      </c>
    </row>
    <row r="1750" spans="2:9" x14ac:dyDescent="0.3">
      <c r="B1750" t="str">
        <f>IFERROR(IF(A1750="","",VLOOKUP(A1750,CadProd!$A:$B,2,0)),"")</f>
        <v/>
      </c>
      <c r="C1750" t="str">
        <f>IFERROR(IF(A1750="","",VLOOKUP(A1750,CadProd!$A:$C,3,0)),"")</f>
        <v/>
      </c>
      <c r="I1750" s="1" t="str">
        <f>IFERROR(IF(A1750="","",E1750*#REF!),"")</f>
        <v/>
      </c>
    </row>
    <row r="1751" spans="2:9" x14ac:dyDescent="0.3">
      <c r="B1751" t="str">
        <f>IFERROR(IF(A1751="","",VLOOKUP(A1751,CadProd!$A:$B,2,0)),"")</f>
        <v/>
      </c>
      <c r="C1751" t="str">
        <f>IFERROR(IF(A1751="","",VLOOKUP(A1751,CadProd!$A:$C,3,0)),"")</f>
        <v/>
      </c>
      <c r="I1751" s="1" t="str">
        <f>IFERROR(IF(A1751="","",E1751*#REF!),"")</f>
        <v/>
      </c>
    </row>
    <row r="1752" spans="2:9" x14ac:dyDescent="0.3">
      <c r="B1752" t="str">
        <f>IFERROR(IF(A1752="","",VLOOKUP(A1752,CadProd!$A:$B,2,0)),"")</f>
        <v/>
      </c>
      <c r="C1752" t="str">
        <f>IFERROR(IF(A1752="","",VLOOKUP(A1752,CadProd!$A:$C,3,0)),"")</f>
        <v/>
      </c>
      <c r="I1752" s="1" t="str">
        <f>IFERROR(IF(A1752="","",E1752*#REF!),"")</f>
        <v/>
      </c>
    </row>
    <row r="1753" spans="2:9" x14ac:dyDescent="0.3">
      <c r="B1753" t="str">
        <f>IFERROR(IF(A1753="","",VLOOKUP(A1753,CadProd!$A:$B,2,0)),"")</f>
        <v/>
      </c>
      <c r="C1753" t="str">
        <f>IFERROR(IF(A1753="","",VLOOKUP(A1753,CadProd!$A:$C,3,0)),"")</f>
        <v/>
      </c>
      <c r="I1753" s="1" t="str">
        <f>IFERROR(IF(A1753="","",E1753*#REF!),"")</f>
        <v/>
      </c>
    </row>
    <row r="1754" spans="2:9" x14ac:dyDescent="0.3">
      <c r="B1754" t="str">
        <f>IFERROR(IF(A1754="","",VLOOKUP(A1754,CadProd!$A:$B,2,0)),"")</f>
        <v/>
      </c>
      <c r="C1754" t="str">
        <f>IFERROR(IF(A1754="","",VLOOKUP(A1754,CadProd!$A:$C,3,0)),"")</f>
        <v/>
      </c>
      <c r="I1754" s="1" t="str">
        <f>IFERROR(IF(A1754="","",E1754*#REF!),"")</f>
        <v/>
      </c>
    </row>
    <row r="1755" spans="2:9" x14ac:dyDescent="0.3">
      <c r="B1755" t="str">
        <f>IFERROR(IF(A1755="","",VLOOKUP(A1755,CadProd!$A:$B,2,0)),"")</f>
        <v/>
      </c>
      <c r="C1755" t="str">
        <f>IFERROR(IF(A1755="","",VLOOKUP(A1755,CadProd!$A:$C,3,0)),"")</f>
        <v/>
      </c>
      <c r="I1755" s="1" t="str">
        <f>IFERROR(IF(A1755="","",E1755*#REF!),"")</f>
        <v/>
      </c>
    </row>
    <row r="1756" spans="2:9" x14ac:dyDescent="0.3">
      <c r="B1756" t="str">
        <f>IFERROR(IF(A1756="","",VLOOKUP(A1756,CadProd!$A:$B,2,0)),"")</f>
        <v/>
      </c>
      <c r="C1756" t="str">
        <f>IFERROR(IF(A1756="","",VLOOKUP(A1756,CadProd!$A:$C,3,0)),"")</f>
        <v/>
      </c>
      <c r="I1756" s="1" t="str">
        <f>IFERROR(IF(A1756="","",E1756*#REF!),"")</f>
        <v/>
      </c>
    </row>
    <row r="1757" spans="2:9" x14ac:dyDescent="0.3">
      <c r="B1757" t="str">
        <f>IFERROR(IF(A1757="","",VLOOKUP(A1757,CadProd!$A:$B,2,0)),"")</f>
        <v/>
      </c>
      <c r="C1757" t="str">
        <f>IFERROR(IF(A1757="","",VLOOKUP(A1757,CadProd!$A:$C,3,0)),"")</f>
        <v/>
      </c>
      <c r="I1757" s="1" t="str">
        <f>IFERROR(IF(A1757="","",E1757*#REF!),"")</f>
        <v/>
      </c>
    </row>
    <row r="1758" spans="2:9" x14ac:dyDescent="0.3">
      <c r="B1758" t="str">
        <f>IFERROR(IF(A1758="","",VLOOKUP(A1758,CadProd!$A:$B,2,0)),"")</f>
        <v/>
      </c>
      <c r="C1758" t="str">
        <f>IFERROR(IF(A1758="","",VLOOKUP(A1758,CadProd!$A:$C,3,0)),"")</f>
        <v/>
      </c>
      <c r="I1758" s="1" t="str">
        <f>IFERROR(IF(A1758="","",E1758*#REF!),"")</f>
        <v/>
      </c>
    </row>
    <row r="1759" spans="2:9" x14ac:dyDescent="0.3">
      <c r="B1759" t="str">
        <f>IFERROR(IF(A1759="","",VLOOKUP(A1759,CadProd!$A:$B,2,0)),"")</f>
        <v/>
      </c>
      <c r="C1759" t="str">
        <f>IFERROR(IF(A1759="","",VLOOKUP(A1759,CadProd!$A:$C,3,0)),"")</f>
        <v/>
      </c>
      <c r="I1759" s="1" t="str">
        <f>IFERROR(IF(A1759="","",E1759*#REF!),"")</f>
        <v/>
      </c>
    </row>
    <row r="1760" spans="2:9" x14ac:dyDescent="0.3">
      <c r="B1760" t="str">
        <f>IFERROR(IF(A1760="","",VLOOKUP(A1760,CadProd!$A:$B,2,0)),"")</f>
        <v/>
      </c>
      <c r="C1760" t="str">
        <f>IFERROR(IF(A1760="","",VLOOKUP(A1760,CadProd!$A:$C,3,0)),"")</f>
        <v/>
      </c>
      <c r="I1760" s="1" t="str">
        <f>IFERROR(IF(A1760="","",E1760*#REF!),"")</f>
        <v/>
      </c>
    </row>
    <row r="1761" spans="2:9" x14ac:dyDescent="0.3">
      <c r="B1761" t="str">
        <f>IFERROR(IF(A1761="","",VLOOKUP(A1761,CadProd!$A:$B,2,0)),"")</f>
        <v/>
      </c>
      <c r="C1761" t="str">
        <f>IFERROR(IF(A1761="","",VLOOKUP(A1761,CadProd!$A:$C,3,0)),"")</f>
        <v/>
      </c>
      <c r="I1761" s="1" t="str">
        <f>IFERROR(IF(A1761="","",E1761*#REF!),"")</f>
        <v/>
      </c>
    </row>
    <row r="1762" spans="2:9" x14ac:dyDescent="0.3">
      <c r="B1762" t="str">
        <f>IFERROR(IF(A1762="","",VLOOKUP(A1762,CadProd!$A:$B,2,0)),"")</f>
        <v/>
      </c>
      <c r="C1762" t="str">
        <f>IFERROR(IF(A1762="","",VLOOKUP(A1762,CadProd!$A:$C,3,0)),"")</f>
        <v/>
      </c>
      <c r="I1762" s="1" t="str">
        <f>IFERROR(IF(A1762="","",E1762*#REF!),"")</f>
        <v/>
      </c>
    </row>
    <row r="1763" spans="2:9" x14ac:dyDescent="0.3">
      <c r="B1763" t="str">
        <f>IFERROR(IF(A1763="","",VLOOKUP(A1763,CadProd!$A:$B,2,0)),"")</f>
        <v/>
      </c>
      <c r="C1763" t="str">
        <f>IFERROR(IF(A1763="","",VLOOKUP(A1763,CadProd!$A:$C,3,0)),"")</f>
        <v/>
      </c>
      <c r="I1763" s="1" t="str">
        <f>IFERROR(IF(A1763="","",E1763*#REF!),"")</f>
        <v/>
      </c>
    </row>
    <row r="1764" spans="2:9" x14ac:dyDescent="0.3">
      <c r="B1764" t="str">
        <f>IFERROR(IF(A1764="","",VLOOKUP(A1764,CadProd!$A:$B,2,0)),"")</f>
        <v/>
      </c>
      <c r="C1764" t="str">
        <f>IFERROR(IF(A1764="","",VLOOKUP(A1764,CadProd!$A:$C,3,0)),"")</f>
        <v/>
      </c>
      <c r="I1764" s="1" t="str">
        <f>IFERROR(IF(A1764="","",E1764*#REF!),"")</f>
        <v/>
      </c>
    </row>
    <row r="1765" spans="2:9" x14ac:dyDescent="0.3">
      <c r="B1765" t="str">
        <f>IFERROR(IF(A1765="","",VLOOKUP(A1765,CadProd!$A:$B,2,0)),"")</f>
        <v/>
      </c>
      <c r="C1765" t="str">
        <f>IFERROR(IF(A1765="","",VLOOKUP(A1765,CadProd!$A:$C,3,0)),"")</f>
        <v/>
      </c>
      <c r="I1765" s="1" t="str">
        <f>IFERROR(IF(A1765="","",E1765*#REF!),"")</f>
        <v/>
      </c>
    </row>
    <row r="1766" spans="2:9" x14ac:dyDescent="0.3">
      <c r="B1766" t="str">
        <f>IFERROR(IF(A1766="","",VLOOKUP(A1766,CadProd!$A:$B,2,0)),"")</f>
        <v/>
      </c>
      <c r="C1766" t="str">
        <f>IFERROR(IF(A1766="","",VLOOKUP(A1766,CadProd!$A:$C,3,0)),"")</f>
        <v/>
      </c>
      <c r="I1766" s="1" t="str">
        <f>IFERROR(IF(A1766="","",E1766*#REF!),"")</f>
        <v/>
      </c>
    </row>
    <row r="1767" spans="2:9" x14ac:dyDescent="0.3">
      <c r="B1767" t="str">
        <f>IFERROR(IF(A1767="","",VLOOKUP(A1767,CadProd!$A:$B,2,0)),"")</f>
        <v/>
      </c>
      <c r="C1767" t="str">
        <f>IFERROR(IF(A1767="","",VLOOKUP(A1767,CadProd!$A:$C,3,0)),"")</f>
        <v/>
      </c>
      <c r="I1767" s="1" t="str">
        <f>IFERROR(IF(A1767="","",E1767*#REF!),"")</f>
        <v/>
      </c>
    </row>
    <row r="1768" spans="2:9" x14ac:dyDescent="0.3">
      <c r="B1768" t="str">
        <f>IFERROR(IF(A1768="","",VLOOKUP(A1768,CadProd!$A:$B,2,0)),"")</f>
        <v/>
      </c>
      <c r="C1768" t="str">
        <f>IFERROR(IF(A1768="","",VLOOKUP(A1768,CadProd!$A:$C,3,0)),"")</f>
        <v/>
      </c>
      <c r="I1768" s="1" t="str">
        <f>IFERROR(IF(A1768="","",E1768*#REF!),"")</f>
        <v/>
      </c>
    </row>
    <row r="1769" spans="2:9" x14ac:dyDescent="0.3">
      <c r="B1769" t="str">
        <f>IFERROR(IF(A1769="","",VLOOKUP(A1769,CadProd!$A:$B,2,0)),"")</f>
        <v/>
      </c>
      <c r="C1769" t="str">
        <f>IFERROR(IF(A1769="","",VLOOKUP(A1769,CadProd!$A:$C,3,0)),"")</f>
        <v/>
      </c>
      <c r="I1769" s="1" t="str">
        <f>IFERROR(IF(A1769="","",E1769*#REF!),"")</f>
        <v/>
      </c>
    </row>
    <row r="1770" spans="2:9" x14ac:dyDescent="0.3">
      <c r="B1770" t="str">
        <f>IFERROR(IF(A1770="","",VLOOKUP(A1770,CadProd!$A:$B,2,0)),"")</f>
        <v/>
      </c>
      <c r="C1770" t="str">
        <f>IFERROR(IF(A1770="","",VLOOKUP(A1770,CadProd!$A:$C,3,0)),"")</f>
        <v/>
      </c>
      <c r="I1770" s="1" t="str">
        <f>IFERROR(IF(A1770="","",E1770*#REF!),"")</f>
        <v/>
      </c>
    </row>
    <row r="1771" spans="2:9" x14ac:dyDescent="0.3">
      <c r="B1771" t="str">
        <f>IFERROR(IF(A1771="","",VLOOKUP(A1771,CadProd!$A:$B,2,0)),"")</f>
        <v/>
      </c>
      <c r="C1771" t="str">
        <f>IFERROR(IF(A1771="","",VLOOKUP(A1771,CadProd!$A:$C,3,0)),"")</f>
        <v/>
      </c>
      <c r="I1771" s="1" t="str">
        <f>IFERROR(IF(A1771="","",E1771*#REF!),"")</f>
        <v/>
      </c>
    </row>
    <row r="1772" spans="2:9" x14ac:dyDescent="0.3">
      <c r="B1772" t="str">
        <f>IFERROR(IF(A1772="","",VLOOKUP(A1772,CadProd!$A:$B,2,0)),"")</f>
        <v/>
      </c>
      <c r="C1772" t="str">
        <f>IFERROR(IF(A1772="","",VLOOKUP(A1772,CadProd!$A:$C,3,0)),"")</f>
        <v/>
      </c>
      <c r="I1772" s="1" t="str">
        <f>IFERROR(IF(A1772="","",E1772*#REF!),"")</f>
        <v/>
      </c>
    </row>
    <row r="1773" spans="2:9" x14ac:dyDescent="0.3">
      <c r="B1773" t="str">
        <f>IFERROR(IF(A1773="","",VLOOKUP(A1773,CadProd!$A:$B,2,0)),"")</f>
        <v/>
      </c>
      <c r="C1773" t="str">
        <f>IFERROR(IF(A1773="","",VLOOKUP(A1773,CadProd!$A:$C,3,0)),"")</f>
        <v/>
      </c>
      <c r="I1773" s="1" t="str">
        <f>IFERROR(IF(A1773="","",E1773*#REF!),"")</f>
        <v/>
      </c>
    </row>
    <row r="1774" spans="2:9" x14ac:dyDescent="0.3">
      <c r="B1774" t="str">
        <f>IFERROR(IF(A1774="","",VLOOKUP(A1774,CadProd!$A:$B,2,0)),"")</f>
        <v/>
      </c>
      <c r="C1774" t="str">
        <f>IFERROR(IF(A1774="","",VLOOKUP(A1774,CadProd!$A:$C,3,0)),"")</f>
        <v/>
      </c>
      <c r="I1774" s="1" t="str">
        <f>IFERROR(IF(A1774="","",E1774*#REF!),"")</f>
        <v/>
      </c>
    </row>
    <row r="1775" spans="2:9" x14ac:dyDescent="0.3">
      <c r="B1775" t="str">
        <f>IFERROR(IF(A1775="","",VLOOKUP(A1775,CadProd!$A:$B,2,0)),"")</f>
        <v/>
      </c>
      <c r="C1775" t="str">
        <f>IFERROR(IF(A1775="","",VLOOKUP(A1775,CadProd!$A:$C,3,0)),"")</f>
        <v/>
      </c>
      <c r="I1775" s="1" t="str">
        <f>IFERROR(IF(A1775="","",E1775*#REF!),"")</f>
        <v/>
      </c>
    </row>
    <row r="1776" spans="2:9" x14ac:dyDescent="0.3">
      <c r="B1776" t="str">
        <f>IFERROR(IF(A1776="","",VLOOKUP(A1776,CadProd!$A:$B,2,0)),"")</f>
        <v/>
      </c>
      <c r="C1776" t="str">
        <f>IFERROR(IF(A1776="","",VLOOKUP(A1776,CadProd!$A:$C,3,0)),"")</f>
        <v/>
      </c>
      <c r="I1776" s="1" t="str">
        <f>IFERROR(IF(A1776="","",E1776*#REF!),"")</f>
        <v/>
      </c>
    </row>
    <row r="1777" spans="2:9" x14ac:dyDescent="0.3">
      <c r="B1777" t="str">
        <f>IFERROR(IF(A1777="","",VLOOKUP(A1777,CadProd!$A:$B,2,0)),"")</f>
        <v/>
      </c>
      <c r="C1777" t="str">
        <f>IFERROR(IF(A1777="","",VLOOKUP(A1777,CadProd!$A:$C,3,0)),"")</f>
        <v/>
      </c>
      <c r="I1777" s="1" t="str">
        <f>IFERROR(IF(A1777="","",E1777*#REF!),"")</f>
        <v/>
      </c>
    </row>
    <row r="1778" spans="2:9" x14ac:dyDescent="0.3">
      <c r="B1778" t="str">
        <f>IFERROR(IF(A1778="","",VLOOKUP(A1778,CadProd!$A:$B,2,0)),"")</f>
        <v/>
      </c>
      <c r="C1778" t="str">
        <f>IFERROR(IF(A1778="","",VLOOKUP(A1778,CadProd!$A:$C,3,0)),"")</f>
        <v/>
      </c>
      <c r="I1778" s="1" t="str">
        <f>IFERROR(IF(A1778="","",E1778*#REF!),"")</f>
        <v/>
      </c>
    </row>
    <row r="1779" spans="2:9" x14ac:dyDescent="0.3">
      <c r="B1779" t="str">
        <f>IFERROR(IF(A1779="","",VLOOKUP(A1779,CadProd!$A:$B,2,0)),"")</f>
        <v/>
      </c>
      <c r="C1779" t="str">
        <f>IFERROR(IF(A1779="","",VLOOKUP(A1779,CadProd!$A:$C,3,0)),"")</f>
        <v/>
      </c>
      <c r="I1779" s="1" t="str">
        <f>IFERROR(IF(A1779="","",E1779*#REF!),"")</f>
        <v/>
      </c>
    </row>
    <row r="1780" spans="2:9" x14ac:dyDescent="0.3">
      <c r="B1780" t="str">
        <f>IFERROR(IF(A1780="","",VLOOKUP(A1780,CadProd!$A:$B,2,0)),"")</f>
        <v/>
      </c>
      <c r="C1780" t="str">
        <f>IFERROR(IF(A1780="","",VLOOKUP(A1780,CadProd!$A:$C,3,0)),"")</f>
        <v/>
      </c>
      <c r="I1780" s="1" t="str">
        <f>IFERROR(IF(A1780="","",E1780*#REF!),"")</f>
        <v/>
      </c>
    </row>
    <row r="1781" spans="2:9" x14ac:dyDescent="0.3">
      <c r="B1781" t="str">
        <f>IFERROR(IF(A1781="","",VLOOKUP(A1781,CadProd!$A:$B,2,0)),"")</f>
        <v/>
      </c>
      <c r="C1781" t="str">
        <f>IFERROR(IF(A1781="","",VLOOKUP(A1781,CadProd!$A:$C,3,0)),"")</f>
        <v/>
      </c>
      <c r="I1781" s="1" t="str">
        <f>IFERROR(IF(A1781="","",E1781*#REF!),"")</f>
        <v/>
      </c>
    </row>
    <row r="1782" spans="2:9" x14ac:dyDescent="0.3">
      <c r="B1782" t="str">
        <f>IFERROR(IF(A1782="","",VLOOKUP(A1782,CadProd!$A:$B,2,0)),"")</f>
        <v/>
      </c>
      <c r="C1782" t="str">
        <f>IFERROR(IF(A1782="","",VLOOKUP(A1782,CadProd!$A:$C,3,0)),"")</f>
        <v/>
      </c>
      <c r="I1782" s="1" t="str">
        <f>IFERROR(IF(A1782="","",E1782*#REF!),"")</f>
        <v/>
      </c>
    </row>
    <row r="1783" spans="2:9" x14ac:dyDescent="0.3">
      <c r="B1783" t="str">
        <f>IFERROR(IF(A1783="","",VLOOKUP(A1783,CadProd!$A:$B,2,0)),"")</f>
        <v/>
      </c>
      <c r="C1783" t="str">
        <f>IFERROR(IF(A1783="","",VLOOKUP(A1783,CadProd!$A:$C,3,0)),"")</f>
        <v/>
      </c>
      <c r="I1783" s="1" t="str">
        <f>IFERROR(IF(A1783="","",E1783*#REF!),"")</f>
        <v/>
      </c>
    </row>
    <row r="1784" spans="2:9" x14ac:dyDescent="0.3">
      <c r="B1784" t="str">
        <f>IFERROR(IF(A1784="","",VLOOKUP(A1784,CadProd!$A:$B,2,0)),"")</f>
        <v/>
      </c>
      <c r="C1784" t="str">
        <f>IFERROR(IF(A1784="","",VLOOKUP(A1784,CadProd!$A:$C,3,0)),"")</f>
        <v/>
      </c>
      <c r="I1784" s="1" t="str">
        <f>IFERROR(IF(A1784="","",E1784*#REF!),"")</f>
        <v/>
      </c>
    </row>
    <row r="1785" spans="2:9" x14ac:dyDescent="0.3">
      <c r="B1785" t="str">
        <f>IFERROR(IF(A1785="","",VLOOKUP(A1785,CadProd!$A:$B,2,0)),"")</f>
        <v/>
      </c>
      <c r="C1785" t="str">
        <f>IFERROR(IF(A1785="","",VLOOKUP(A1785,CadProd!$A:$C,3,0)),"")</f>
        <v/>
      </c>
      <c r="I1785" s="1" t="str">
        <f>IFERROR(IF(A1785="","",E1785*#REF!),"")</f>
        <v/>
      </c>
    </row>
    <row r="1786" spans="2:9" x14ac:dyDescent="0.3">
      <c r="B1786" t="str">
        <f>IFERROR(IF(A1786="","",VLOOKUP(A1786,CadProd!$A:$B,2,0)),"")</f>
        <v/>
      </c>
      <c r="C1786" t="str">
        <f>IFERROR(IF(A1786="","",VLOOKUP(A1786,CadProd!$A:$C,3,0)),"")</f>
        <v/>
      </c>
      <c r="I1786" s="1" t="str">
        <f>IFERROR(IF(A1786="","",E1786*#REF!),"")</f>
        <v/>
      </c>
    </row>
    <row r="1787" spans="2:9" x14ac:dyDescent="0.3">
      <c r="B1787" t="str">
        <f>IFERROR(IF(A1787="","",VLOOKUP(A1787,CadProd!$A:$B,2,0)),"")</f>
        <v/>
      </c>
      <c r="C1787" t="str">
        <f>IFERROR(IF(A1787="","",VLOOKUP(A1787,CadProd!$A:$C,3,0)),"")</f>
        <v/>
      </c>
      <c r="I1787" s="1" t="str">
        <f>IFERROR(IF(A1787="","",E1787*#REF!),"")</f>
        <v/>
      </c>
    </row>
    <row r="1788" spans="2:9" x14ac:dyDescent="0.3">
      <c r="B1788" t="str">
        <f>IFERROR(IF(A1788="","",VLOOKUP(A1788,CadProd!$A:$B,2,0)),"")</f>
        <v/>
      </c>
      <c r="C1788" t="str">
        <f>IFERROR(IF(A1788="","",VLOOKUP(A1788,CadProd!$A:$C,3,0)),"")</f>
        <v/>
      </c>
      <c r="I1788" s="1" t="str">
        <f>IFERROR(IF(A1788="","",E1788*#REF!),"")</f>
        <v/>
      </c>
    </row>
    <row r="1789" spans="2:9" x14ac:dyDescent="0.3">
      <c r="B1789" t="str">
        <f>IFERROR(IF(A1789="","",VLOOKUP(A1789,CadProd!$A:$B,2,0)),"")</f>
        <v/>
      </c>
      <c r="C1789" t="str">
        <f>IFERROR(IF(A1789="","",VLOOKUP(A1789,CadProd!$A:$C,3,0)),"")</f>
        <v/>
      </c>
      <c r="I1789" s="1" t="str">
        <f>IFERROR(IF(A1789="","",E1789*#REF!),"")</f>
        <v/>
      </c>
    </row>
    <row r="1790" spans="2:9" x14ac:dyDescent="0.3">
      <c r="B1790" t="str">
        <f>IFERROR(IF(A1790="","",VLOOKUP(A1790,CadProd!$A:$B,2,0)),"")</f>
        <v/>
      </c>
      <c r="C1790" t="str">
        <f>IFERROR(IF(A1790="","",VLOOKUP(A1790,CadProd!$A:$C,3,0)),"")</f>
        <v/>
      </c>
      <c r="I1790" s="1" t="str">
        <f>IFERROR(IF(A1790="","",E1790*#REF!),"")</f>
        <v/>
      </c>
    </row>
    <row r="1791" spans="2:9" x14ac:dyDescent="0.3">
      <c r="B1791" t="str">
        <f>IFERROR(IF(A1791="","",VLOOKUP(A1791,CadProd!$A:$B,2,0)),"")</f>
        <v/>
      </c>
      <c r="C1791" t="str">
        <f>IFERROR(IF(A1791="","",VLOOKUP(A1791,CadProd!$A:$C,3,0)),"")</f>
        <v/>
      </c>
      <c r="I1791" s="1" t="str">
        <f>IFERROR(IF(A1791="","",E1791*#REF!),"")</f>
        <v/>
      </c>
    </row>
    <row r="1792" spans="2:9" x14ac:dyDescent="0.3">
      <c r="B1792" t="str">
        <f>IFERROR(IF(A1792="","",VLOOKUP(A1792,CadProd!$A:$B,2,0)),"")</f>
        <v/>
      </c>
      <c r="C1792" t="str">
        <f>IFERROR(IF(A1792="","",VLOOKUP(A1792,CadProd!$A:$C,3,0)),"")</f>
        <v/>
      </c>
      <c r="I1792" s="1" t="str">
        <f>IFERROR(IF(A1792="","",E1792*#REF!),"")</f>
        <v/>
      </c>
    </row>
    <row r="1793" spans="2:9" x14ac:dyDescent="0.3">
      <c r="B1793" t="str">
        <f>IFERROR(IF(A1793="","",VLOOKUP(A1793,CadProd!$A:$B,2,0)),"")</f>
        <v/>
      </c>
      <c r="C1793" t="str">
        <f>IFERROR(IF(A1793="","",VLOOKUP(A1793,CadProd!$A:$C,3,0)),"")</f>
        <v/>
      </c>
      <c r="I1793" s="1" t="str">
        <f>IFERROR(IF(A1793="","",E1793*#REF!),"")</f>
        <v/>
      </c>
    </row>
    <row r="1794" spans="2:9" x14ac:dyDescent="0.3">
      <c r="B1794" t="str">
        <f>IFERROR(IF(A1794="","",VLOOKUP(A1794,CadProd!$A:$B,2,0)),"")</f>
        <v/>
      </c>
      <c r="C1794" t="str">
        <f>IFERROR(IF(A1794="","",VLOOKUP(A1794,CadProd!$A:$C,3,0)),"")</f>
        <v/>
      </c>
      <c r="I1794" s="1" t="str">
        <f>IFERROR(IF(A1794="","",E1794*#REF!),"")</f>
        <v/>
      </c>
    </row>
    <row r="1795" spans="2:9" x14ac:dyDescent="0.3">
      <c r="B1795" t="str">
        <f>IFERROR(IF(A1795="","",VLOOKUP(A1795,CadProd!$A:$B,2,0)),"")</f>
        <v/>
      </c>
      <c r="C1795" t="str">
        <f>IFERROR(IF(A1795="","",VLOOKUP(A1795,CadProd!$A:$C,3,0)),"")</f>
        <v/>
      </c>
      <c r="I1795" s="1" t="str">
        <f>IFERROR(IF(A1795="","",E1795*#REF!),"")</f>
        <v/>
      </c>
    </row>
    <row r="1796" spans="2:9" x14ac:dyDescent="0.3">
      <c r="B1796" t="str">
        <f>IFERROR(IF(A1796="","",VLOOKUP(A1796,CadProd!$A:$B,2,0)),"")</f>
        <v/>
      </c>
      <c r="C1796" t="str">
        <f>IFERROR(IF(A1796="","",VLOOKUP(A1796,CadProd!$A:$C,3,0)),"")</f>
        <v/>
      </c>
      <c r="I1796" s="1" t="str">
        <f>IFERROR(IF(A1796="","",E1796*#REF!),"")</f>
        <v/>
      </c>
    </row>
    <row r="1797" spans="2:9" x14ac:dyDescent="0.3">
      <c r="B1797" t="str">
        <f>IFERROR(IF(A1797="","",VLOOKUP(A1797,CadProd!$A:$B,2,0)),"")</f>
        <v/>
      </c>
      <c r="C1797" t="str">
        <f>IFERROR(IF(A1797="","",VLOOKUP(A1797,CadProd!$A:$C,3,0)),"")</f>
        <v/>
      </c>
      <c r="I1797" s="1" t="str">
        <f>IFERROR(IF(A1797="","",E1797*#REF!),"")</f>
        <v/>
      </c>
    </row>
    <row r="1798" spans="2:9" x14ac:dyDescent="0.3">
      <c r="B1798" t="str">
        <f>IFERROR(IF(A1798="","",VLOOKUP(A1798,CadProd!$A:$B,2,0)),"")</f>
        <v/>
      </c>
      <c r="C1798" t="str">
        <f>IFERROR(IF(A1798="","",VLOOKUP(A1798,CadProd!$A:$C,3,0)),"")</f>
        <v/>
      </c>
      <c r="I1798" s="1" t="str">
        <f>IFERROR(IF(A1798="","",E1798*#REF!),"")</f>
        <v/>
      </c>
    </row>
    <row r="1799" spans="2:9" x14ac:dyDescent="0.3">
      <c r="B1799" t="str">
        <f>IFERROR(IF(A1799="","",VLOOKUP(A1799,CadProd!$A:$B,2,0)),"")</f>
        <v/>
      </c>
      <c r="C1799" t="str">
        <f>IFERROR(IF(A1799="","",VLOOKUP(A1799,CadProd!$A:$C,3,0)),"")</f>
        <v/>
      </c>
      <c r="I1799" s="1" t="str">
        <f>IFERROR(IF(A1799="","",E1799*#REF!),"")</f>
        <v/>
      </c>
    </row>
    <row r="1800" spans="2:9" x14ac:dyDescent="0.3">
      <c r="B1800" t="str">
        <f>IFERROR(IF(A1800="","",VLOOKUP(A1800,CadProd!$A:$B,2,0)),"")</f>
        <v/>
      </c>
      <c r="C1800" t="str">
        <f>IFERROR(IF(A1800="","",VLOOKUP(A1800,CadProd!$A:$C,3,0)),"")</f>
        <v/>
      </c>
      <c r="I1800" s="1" t="str">
        <f>IFERROR(IF(A1800="","",E1800*#REF!),"")</f>
        <v/>
      </c>
    </row>
    <row r="1801" spans="2:9" x14ac:dyDescent="0.3">
      <c r="B1801" t="str">
        <f>IFERROR(IF(A1801="","",VLOOKUP(A1801,CadProd!$A:$B,2,0)),"")</f>
        <v/>
      </c>
      <c r="C1801" t="str">
        <f>IFERROR(IF(A1801="","",VLOOKUP(A1801,CadProd!$A:$C,3,0)),"")</f>
        <v/>
      </c>
      <c r="I1801" s="1" t="str">
        <f>IFERROR(IF(A1801="","",E1801*#REF!),"")</f>
        <v/>
      </c>
    </row>
    <row r="1802" spans="2:9" x14ac:dyDescent="0.3">
      <c r="B1802" t="str">
        <f>IFERROR(IF(A1802="","",VLOOKUP(A1802,CadProd!$A:$B,2,0)),"")</f>
        <v/>
      </c>
      <c r="C1802" t="str">
        <f>IFERROR(IF(A1802="","",VLOOKUP(A1802,CadProd!$A:$C,3,0)),"")</f>
        <v/>
      </c>
      <c r="I1802" s="1" t="str">
        <f>IFERROR(IF(A1802="","",E1802*#REF!),"")</f>
        <v/>
      </c>
    </row>
    <row r="1803" spans="2:9" x14ac:dyDescent="0.3">
      <c r="B1803" t="str">
        <f>IFERROR(IF(A1803="","",VLOOKUP(A1803,CadProd!$A:$B,2,0)),"")</f>
        <v/>
      </c>
      <c r="C1803" t="str">
        <f>IFERROR(IF(A1803="","",VLOOKUP(A1803,CadProd!$A:$C,3,0)),"")</f>
        <v/>
      </c>
      <c r="I1803" s="1" t="str">
        <f>IFERROR(IF(A1803="","",E1803*#REF!),"")</f>
        <v/>
      </c>
    </row>
    <row r="1804" spans="2:9" x14ac:dyDescent="0.3">
      <c r="B1804" t="str">
        <f>IFERROR(IF(A1804="","",VLOOKUP(A1804,CadProd!$A:$B,2,0)),"")</f>
        <v/>
      </c>
      <c r="C1804" t="str">
        <f>IFERROR(IF(A1804="","",VLOOKUP(A1804,CadProd!$A:$C,3,0)),"")</f>
        <v/>
      </c>
      <c r="I1804" s="1" t="str">
        <f>IFERROR(IF(A1804="","",E1804*#REF!),"")</f>
        <v/>
      </c>
    </row>
    <row r="1805" spans="2:9" x14ac:dyDescent="0.3">
      <c r="B1805" t="str">
        <f>IFERROR(IF(A1805="","",VLOOKUP(A1805,CadProd!$A:$B,2,0)),"")</f>
        <v/>
      </c>
      <c r="C1805" t="str">
        <f>IFERROR(IF(A1805="","",VLOOKUP(A1805,CadProd!$A:$C,3,0)),"")</f>
        <v/>
      </c>
      <c r="I1805" s="1" t="str">
        <f>IFERROR(IF(A1805="","",E1805*#REF!),"")</f>
        <v/>
      </c>
    </row>
    <row r="1806" spans="2:9" x14ac:dyDescent="0.3">
      <c r="B1806" t="str">
        <f>IFERROR(IF(A1806="","",VLOOKUP(A1806,CadProd!$A:$B,2,0)),"")</f>
        <v/>
      </c>
      <c r="C1806" t="str">
        <f>IFERROR(IF(A1806="","",VLOOKUP(A1806,CadProd!$A:$C,3,0)),"")</f>
        <v/>
      </c>
      <c r="I1806" s="1" t="str">
        <f>IFERROR(IF(A1806="","",E1806*#REF!),"")</f>
        <v/>
      </c>
    </row>
    <row r="1807" spans="2:9" x14ac:dyDescent="0.3">
      <c r="B1807" t="str">
        <f>IFERROR(IF(A1807="","",VLOOKUP(A1807,CadProd!$A:$B,2,0)),"")</f>
        <v/>
      </c>
      <c r="C1807" t="str">
        <f>IFERROR(IF(A1807="","",VLOOKUP(A1807,CadProd!$A:$C,3,0)),"")</f>
        <v/>
      </c>
      <c r="I1807" s="1" t="str">
        <f>IFERROR(IF(A1807="","",E1807*#REF!),"")</f>
        <v/>
      </c>
    </row>
    <row r="1808" spans="2:9" x14ac:dyDescent="0.3">
      <c r="B1808" t="str">
        <f>IFERROR(IF(A1808="","",VLOOKUP(A1808,CadProd!$A:$B,2,0)),"")</f>
        <v/>
      </c>
      <c r="C1808" t="str">
        <f>IFERROR(IF(A1808="","",VLOOKUP(A1808,CadProd!$A:$C,3,0)),"")</f>
        <v/>
      </c>
      <c r="I1808" s="1" t="str">
        <f>IFERROR(IF(A1808="","",E1808*#REF!),"")</f>
        <v/>
      </c>
    </row>
    <row r="1809" spans="2:9" x14ac:dyDescent="0.3">
      <c r="B1809" t="str">
        <f>IFERROR(IF(A1809="","",VLOOKUP(A1809,CadProd!$A:$B,2,0)),"")</f>
        <v/>
      </c>
      <c r="C1809" t="str">
        <f>IFERROR(IF(A1809="","",VLOOKUP(A1809,CadProd!$A:$C,3,0)),"")</f>
        <v/>
      </c>
      <c r="I1809" s="1" t="str">
        <f>IFERROR(IF(A1809="","",E1809*#REF!),"")</f>
        <v/>
      </c>
    </row>
    <row r="1810" spans="2:9" x14ac:dyDescent="0.3">
      <c r="B1810" t="str">
        <f>IFERROR(IF(A1810="","",VLOOKUP(A1810,CadProd!$A:$B,2,0)),"")</f>
        <v/>
      </c>
      <c r="C1810" t="str">
        <f>IFERROR(IF(A1810="","",VLOOKUP(A1810,CadProd!$A:$C,3,0)),"")</f>
        <v/>
      </c>
      <c r="I1810" s="1" t="str">
        <f>IFERROR(IF(A1810="","",E1810*#REF!),"")</f>
        <v/>
      </c>
    </row>
    <row r="1811" spans="2:9" x14ac:dyDescent="0.3">
      <c r="B1811" t="str">
        <f>IFERROR(IF(A1811="","",VLOOKUP(A1811,CadProd!$A:$B,2,0)),"")</f>
        <v/>
      </c>
      <c r="C1811" t="str">
        <f>IFERROR(IF(A1811="","",VLOOKUP(A1811,CadProd!$A:$C,3,0)),"")</f>
        <v/>
      </c>
      <c r="I1811" s="1" t="str">
        <f>IFERROR(IF(A1811="","",E1811*#REF!),"")</f>
        <v/>
      </c>
    </row>
    <row r="1812" spans="2:9" x14ac:dyDescent="0.3">
      <c r="B1812" t="str">
        <f>IFERROR(IF(A1812="","",VLOOKUP(A1812,CadProd!$A:$B,2,0)),"")</f>
        <v/>
      </c>
      <c r="C1812" t="str">
        <f>IFERROR(IF(A1812="","",VLOOKUP(A1812,CadProd!$A:$C,3,0)),"")</f>
        <v/>
      </c>
      <c r="I1812" s="1" t="str">
        <f>IFERROR(IF(A1812="","",E1812*#REF!),"")</f>
        <v/>
      </c>
    </row>
    <row r="1813" spans="2:9" x14ac:dyDescent="0.3">
      <c r="B1813" t="str">
        <f>IFERROR(IF(A1813="","",VLOOKUP(A1813,CadProd!$A:$B,2,0)),"")</f>
        <v/>
      </c>
      <c r="C1813" t="str">
        <f>IFERROR(IF(A1813="","",VLOOKUP(A1813,CadProd!$A:$C,3,0)),"")</f>
        <v/>
      </c>
      <c r="I1813" s="1" t="str">
        <f>IFERROR(IF(A1813="","",E1813*#REF!),"")</f>
        <v/>
      </c>
    </row>
    <row r="1814" spans="2:9" x14ac:dyDescent="0.3">
      <c r="B1814" t="str">
        <f>IFERROR(IF(A1814="","",VLOOKUP(A1814,CadProd!$A:$B,2,0)),"")</f>
        <v/>
      </c>
      <c r="C1814" t="str">
        <f>IFERROR(IF(A1814="","",VLOOKUP(A1814,CadProd!$A:$C,3,0)),"")</f>
        <v/>
      </c>
      <c r="I1814" s="1" t="str">
        <f>IFERROR(IF(A1814="","",E1814*#REF!),"")</f>
        <v/>
      </c>
    </row>
    <row r="1815" spans="2:9" x14ac:dyDescent="0.3">
      <c r="B1815" t="str">
        <f>IFERROR(IF(A1815="","",VLOOKUP(A1815,CadProd!$A:$B,2,0)),"")</f>
        <v/>
      </c>
      <c r="C1815" t="str">
        <f>IFERROR(IF(A1815="","",VLOOKUP(A1815,CadProd!$A:$C,3,0)),"")</f>
        <v/>
      </c>
      <c r="I1815" s="1" t="str">
        <f>IFERROR(IF(A1815="","",E1815*#REF!),"")</f>
        <v/>
      </c>
    </row>
    <row r="1816" spans="2:9" x14ac:dyDescent="0.3">
      <c r="B1816" t="str">
        <f>IFERROR(IF(A1816="","",VLOOKUP(A1816,CadProd!$A:$B,2,0)),"")</f>
        <v/>
      </c>
      <c r="C1816" t="str">
        <f>IFERROR(IF(A1816="","",VLOOKUP(A1816,CadProd!$A:$C,3,0)),"")</f>
        <v/>
      </c>
      <c r="I1816" s="1" t="str">
        <f>IFERROR(IF(A1816="","",E1816*#REF!),"")</f>
        <v/>
      </c>
    </row>
    <row r="1817" spans="2:9" x14ac:dyDescent="0.3">
      <c r="B1817" t="str">
        <f>IFERROR(IF(A1817="","",VLOOKUP(A1817,CadProd!$A:$B,2,0)),"")</f>
        <v/>
      </c>
      <c r="C1817" t="str">
        <f>IFERROR(IF(A1817="","",VLOOKUP(A1817,CadProd!$A:$C,3,0)),"")</f>
        <v/>
      </c>
      <c r="I1817" s="1" t="str">
        <f>IFERROR(IF(A1817="","",E1817*#REF!),"")</f>
        <v/>
      </c>
    </row>
    <row r="1818" spans="2:9" x14ac:dyDescent="0.3">
      <c r="B1818" t="str">
        <f>IFERROR(IF(A1818="","",VLOOKUP(A1818,CadProd!$A:$B,2,0)),"")</f>
        <v/>
      </c>
      <c r="C1818" t="str">
        <f>IFERROR(IF(A1818="","",VLOOKUP(A1818,CadProd!$A:$C,3,0)),"")</f>
        <v/>
      </c>
      <c r="I1818" s="1" t="str">
        <f>IFERROR(IF(A1818="","",E1818*#REF!),"")</f>
        <v/>
      </c>
    </row>
    <row r="1819" spans="2:9" x14ac:dyDescent="0.3">
      <c r="B1819" t="str">
        <f>IFERROR(IF(A1819="","",VLOOKUP(A1819,CadProd!$A:$B,2,0)),"")</f>
        <v/>
      </c>
      <c r="C1819" t="str">
        <f>IFERROR(IF(A1819="","",VLOOKUP(A1819,CadProd!$A:$C,3,0)),"")</f>
        <v/>
      </c>
      <c r="I1819" s="1" t="str">
        <f>IFERROR(IF(A1819="","",E1819*#REF!),"")</f>
        <v/>
      </c>
    </row>
    <row r="1820" spans="2:9" x14ac:dyDescent="0.3">
      <c r="B1820" t="str">
        <f>IFERROR(IF(A1820="","",VLOOKUP(A1820,CadProd!$A:$B,2,0)),"")</f>
        <v/>
      </c>
      <c r="C1820" t="str">
        <f>IFERROR(IF(A1820="","",VLOOKUP(A1820,CadProd!$A:$C,3,0)),"")</f>
        <v/>
      </c>
      <c r="I1820" s="1" t="str">
        <f>IFERROR(IF(A1820="","",E1820*#REF!),"")</f>
        <v/>
      </c>
    </row>
    <row r="1821" spans="2:9" x14ac:dyDescent="0.3">
      <c r="B1821" t="str">
        <f>IFERROR(IF(A1821="","",VLOOKUP(A1821,CadProd!$A:$B,2,0)),"")</f>
        <v/>
      </c>
      <c r="C1821" t="str">
        <f>IFERROR(IF(A1821="","",VLOOKUP(A1821,CadProd!$A:$C,3,0)),"")</f>
        <v/>
      </c>
      <c r="I1821" s="1" t="str">
        <f>IFERROR(IF(A1821="","",E1821*#REF!),"")</f>
        <v/>
      </c>
    </row>
    <row r="1822" spans="2:9" x14ac:dyDescent="0.3">
      <c r="B1822" t="str">
        <f>IFERROR(IF(A1822="","",VLOOKUP(A1822,CadProd!$A:$B,2,0)),"")</f>
        <v/>
      </c>
      <c r="C1822" t="str">
        <f>IFERROR(IF(A1822="","",VLOOKUP(A1822,CadProd!$A:$C,3,0)),"")</f>
        <v/>
      </c>
      <c r="I1822" s="1" t="str">
        <f>IFERROR(IF(A1822="","",E1822*#REF!),"")</f>
        <v/>
      </c>
    </row>
    <row r="1823" spans="2:9" x14ac:dyDescent="0.3">
      <c r="B1823" t="str">
        <f>IFERROR(IF(A1823="","",VLOOKUP(A1823,CadProd!$A:$B,2,0)),"")</f>
        <v/>
      </c>
      <c r="C1823" t="str">
        <f>IFERROR(IF(A1823="","",VLOOKUP(A1823,CadProd!$A:$C,3,0)),"")</f>
        <v/>
      </c>
      <c r="I1823" s="1" t="str">
        <f>IFERROR(IF(A1823="","",E1823*#REF!),"")</f>
        <v/>
      </c>
    </row>
    <row r="1824" spans="2:9" x14ac:dyDescent="0.3">
      <c r="B1824" t="str">
        <f>IFERROR(IF(A1824="","",VLOOKUP(A1824,CadProd!$A:$B,2,0)),"")</f>
        <v/>
      </c>
      <c r="C1824" t="str">
        <f>IFERROR(IF(A1824="","",VLOOKUP(A1824,CadProd!$A:$C,3,0)),"")</f>
        <v/>
      </c>
      <c r="I1824" s="1" t="str">
        <f>IFERROR(IF(A1824="","",E1824*#REF!),"")</f>
        <v/>
      </c>
    </row>
    <row r="1825" spans="2:9" x14ac:dyDescent="0.3">
      <c r="B1825" t="str">
        <f>IFERROR(IF(A1825="","",VLOOKUP(A1825,CadProd!$A:$B,2,0)),"")</f>
        <v/>
      </c>
      <c r="C1825" t="str">
        <f>IFERROR(IF(A1825="","",VLOOKUP(A1825,CadProd!$A:$C,3,0)),"")</f>
        <v/>
      </c>
      <c r="I1825" s="1" t="str">
        <f>IFERROR(IF(A1825="","",E1825*#REF!),"")</f>
        <v/>
      </c>
    </row>
    <row r="1826" spans="2:9" x14ac:dyDescent="0.3">
      <c r="B1826" t="str">
        <f>IFERROR(IF(A1826="","",VLOOKUP(A1826,CadProd!$A:$B,2,0)),"")</f>
        <v/>
      </c>
      <c r="C1826" t="str">
        <f>IFERROR(IF(A1826="","",VLOOKUP(A1826,CadProd!$A:$C,3,0)),"")</f>
        <v/>
      </c>
      <c r="I1826" s="1" t="str">
        <f>IFERROR(IF(A1826="","",E1826*#REF!),"")</f>
        <v/>
      </c>
    </row>
    <row r="1827" spans="2:9" x14ac:dyDescent="0.3">
      <c r="B1827" t="str">
        <f>IFERROR(IF(A1827="","",VLOOKUP(A1827,CadProd!$A:$B,2,0)),"")</f>
        <v/>
      </c>
      <c r="C1827" t="str">
        <f>IFERROR(IF(A1827="","",VLOOKUP(A1827,CadProd!$A:$C,3,0)),"")</f>
        <v/>
      </c>
      <c r="I1827" s="1" t="str">
        <f>IFERROR(IF(A1827="","",E1827*#REF!),"")</f>
        <v/>
      </c>
    </row>
    <row r="1828" spans="2:9" x14ac:dyDescent="0.3">
      <c r="B1828" t="str">
        <f>IFERROR(IF(A1828="","",VLOOKUP(A1828,CadProd!$A:$B,2,0)),"")</f>
        <v/>
      </c>
      <c r="C1828" t="str">
        <f>IFERROR(IF(A1828="","",VLOOKUP(A1828,CadProd!$A:$C,3,0)),"")</f>
        <v/>
      </c>
      <c r="I1828" s="1" t="str">
        <f>IFERROR(IF(A1828="","",E1828*#REF!),"")</f>
        <v/>
      </c>
    </row>
    <row r="1829" spans="2:9" x14ac:dyDescent="0.3">
      <c r="B1829" t="str">
        <f>IFERROR(IF(A1829="","",VLOOKUP(A1829,CadProd!$A:$B,2,0)),"")</f>
        <v/>
      </c>
      <c r="C1829" t="str">
        <f>IFERROR(IF(A1829="","",VLOOKUP(A1829,CadProd!$A:$C,3,0)),"")</f>
        <v/>
      </c>
      <c r="I1829" s="1" t="str">
        <f>IFERROR(IF(A1829="","",E1829*#REF!),"")</f>
        <v/>
      </c>
    </row>
    <row r="1830" spans="2:9" x14ac:dyDescent="0.3">
      <c r="B1830" t="str">
        <f>IFERROR(IF(A1830="","",VLOOKUP(A1830,CadProd!$A:$B,2,0)),"")</f>
        <v/>
      </c>
      <c r="C1830" t="str">
        <f>IFERROR(IF(A1830="","",VLOOKUP(A1830,CadProd!$A:$C,3,0)),"")</f>
        <v/>
      </c>
      <c r="I1830" s="1" t="str">
        <f>IFERROR(IF(A1830="","",E1830*#REF!),"")</f>
        <v/>
      </c>
    </row>
    <row r="1831" spans="2:9" x14ac:dyDescent="0.3">
      <c r="B1831" t="str">
        <f>IFERROR(IF(A1831="","",VLOOKUP(A1831,CadProd!$A:$B,2,0)),"")</f>
        <v/>
      </c>
      <c r="C1831" t="str">
        <f>IFERROR(IF(A1831="","",VLOOKUP(A1831,CadProd!$A:$C,3,0)),"")</f>
        <v/>
      </c>
      <c r="I1831" s="1" t="str">
        <f>IFERROR(IF(A1831="","",E1831*#REF!),"")</f>
        <v/>
      </c>
    </row>
    <row r="1832" spans="2:9" x14ac:dyDescent="0.3">
      <c r="B1832" t="str">
        <f>IFERROR(IF(A1832="","",VLOOKUP(A1832,CadProd!$A:$B,2,0)),"")</f>
        <v/>
      </c>
      <c r="C1832" t="str">
        <f>IFERROR(IF(A1832="","",VLOOKUP(A1832,CadProd!$A:$C,3,0)),"")</f>
        <v/>
      </c>
      <c r="I1832" s="1" t="str">
        <f>IFERROR(IF(A1832="","",E1832*#REF!),"")</f>
        <v/>
      </c>
    </row>
    <row r="1833" spans="2:9" x14ac:dyDescent="0.3">
      <c r="B1833" t="str">
        <f>IFERROR(IF(A1833="","",VLOOKUP(A1833,CadProd!$A:$B,2,0)),"")</f>
        <v/>
      </c>
      <c r="C1833" t="str">
        <f>IFERROR(IF(A1833="","",VLOOKUP(A1833,CadProd!$A:$C,3,0)),"")</f>
        <v/>
      </c>
      <c r="I1833" s="1" t="str">
        <f>IFERROR(IF(A1833="","",E1833*#REF!),"")</f>
        <v/>
      </c>
    </row>
    <row r="1834" spans="2:9" x14ac:dyDescent="0.3">
      <c r="B1834" t="str">
        <f>IFERROR(IF(A1834="","",VLOOKUP(A1834,CadProd!$A:$B,2,0)),"")</f>
        <v/>
      </c>
      <c r="C1834" t="str">
        <f>IFERROR(IF(A1834="","",VLOOKUP(A1834,CadProd!$A:$C,3,0)),"")</f>
        <v/>
      </c>
      <c r="I1834" s="1" t="str">
        <f>IFERROR(IF(A1834="","",E1834*#REF!),"")</f>
        <v/>
      </c>
    </row>
    <row r="1835" spans="2:9" x14ac:dyDescent="0.3">
      <c r="B1835" t="str">
        <f>IFERROR(IF(A1835="","",VLOOKUP(A1835,CadProd!$A:$B,2,0)),"")</f>
        <v/>
      </c>
      <c r="C1835" t="str">
        <f>IFERROR(IF(A1835="","",VLOOKUP(A1835,CadProd!$A:$C,3,0)),"")</f>
        <v/>
      </c>
      <c r="I1835" s="1" t="str">
        <f>IFERROR(IF(A1835="","",E1835*#REF!),"")</f>
        <v/>
      </c>
    </row>
    <row r="1836" spans="2:9" x14ac:dyDescent="0.3">
      <c r="B1836" t="str">
        <f>IFERROR(IF(A1836="","",VLOOKUP(A1836,CadProd!$A:$B,2,0)),"")</f>
        <v/>
      </c>
      <c r="C1836" t="str">
        <f>IFERROR(IF(A1836="","",VLOOKUP(A1836,CadProd!$A:$C,3,0)),"")</f>
        <v/>
      </c>
      <c r="I1836" s="1" t="str">
        <f>IFERROR(IF(A1836="","",E1836*#REF!),"")</f>
        <v/>
      </c>
    </row>
    <row r="1837" spans="2:9" x14ac:dyDescent="0.3">
      <c r="B1837" t="str">
        <f>IFERROR(IF(A1837="","",VLOOKUP(A1837,CadProd!$A:$B,2,0)),"")</f>
        <v/>
      </c>
      <c r="C1837" t="str">
        <f>IFERROR(IF(A1837="","",VLOOKUP(A1837,CadProd!$A:$C,3,0)),"")</f>
        <v/>
      </c>
      <c r="I1837" s="1" t="str">
        <f>IFERROR(IF(A1837="","",E1837*#REF!),"")</f>
        <v/>
      </c>
    </row>
    <row r="1838" spans="2:9" x14ac:dyDescent="0.3">
      <c r="B1838" t="str">
        <f>IFERROR(IF(A1838="","",VLOOKUP(A1838,CadProd!$A:$B,2,0)),"")</f>
        <v/>
      </c>
      <c r="C1838" t="str">
        <f>IFERROR(IF(A1838="","",VLOOKUP(A1838,CadProd!$A:$C,3,0)),"")</f>
        <v/>
      </c>
      <c r="I1838" s="1" t="str">
        <f>IFERROR(IF(A1838="","",E1838*#REF!),"")</f>
        <v/>
      </c>
    </row>
    <row r="1839" spans="2:9" x14ac:dyDescent="0.3">
      <c r="B1839" t="str">
        <f>IFERROR(IF(A1839="","",VLOOKUP(A1839,CadProd!$A:$B,2,0)),"")</f>
        <v/>
      </c>
      <c r="C1839" t="str">
        <f>IFERROR(IF(A1839="","",VLOOKUP(A1839,CadProd!$A:$C,3,0)),"")</f>
        <v/>
      </c>
      <c r="I1839" s="1" t="str">
        <f>IFERROR(IF(A1839="","",E1839*#REF!),"")</f>
        <v/>
      </c>
    </row>
    <row r="1840" spans="2:9" x14ac:dyDescent="0.3">
      <c r="B1840" t="str">
        <f>IFERROR(IF(A1840="","",VLOOKUP(A1840,CadProd!$A:$B,2,0)),"")</f>
        <v/>
      </c>
      <c r="C1840" t="str">
        <f>IFERROR(IF(A1840="","",VLOOKUP(A1840,CadProd!$A:$C,3,0)),"")</f>
        <v/>
      </c>
      <c r="I1840" s="1" t="str">
        <f>IFERROR(IF(A1840="","",E1840*#REF!),"")</f>
        <v/>
      </c>
    </row>
    <row r="1841" spans="2:9" x14ac:dyDescent="0.3">
      <c r="B1841" t="str">
        <f>IFERROR(IF(A1841="","",VLOOKUP(A1841,CadProd!$A:$B,2,0)),"")</f>
        <v/>
      </c>
      <c r="C1841" t="str">
        <f>IFERROR(IF(A1841="","",VLOOKUP(A1841,CadProd!$A:$C,3,0)),"")</f>
        <v/>
      </c>
      <c r="I1841" s="1" t="str">
        <f>IFERROR(IF(A1841="","",E1841*#REF!),"")</f>
        <v/>
      </c>
    </row>
    <row r="1842" spans="2:9" x14ac:dyDescent="0.3">
      <c r="B1842" t="str">
        <f>IFERROR(IF(A1842="","",VLOOKUP(A1842,CadProd!$A:$B,2,0)),"")</f>
        <v/>
      </c>
      <c r="C1842" t="str">
        <f>IFERROR(IF(A1842="","",VLOOKUP(A1842,CadProd!$A:$C,3,0)),"")</f>
        <v/>
      </c>
      <c r="I1842" s="1" t="str">
        <f>IFERROR(IF(A1842="","",E1842*#REF!),"")</f>
        <v/>
      </c>
    </row>
    <row r="1843" spans="2:9" x14ac:dyDescent="0.3">
      <c r="B1843" t="str">
        <f>IFERROR(IF(A1843="","",VLOOKUP(A1843,CadProd!$A:$B,2,0)),"")</f>
        <v/>
      </c>
      <c r="C1843" t="str">
        <f>IFERROR(IF(A1843="","",VLOOKUP(A1843,CadProd!$A:$C,3,0)),"")</f>
        <v/>
      </c>
      <c r="I1843" s="1" t="str">
        <f>IFERROR(IF(A1843="","",E1843*#REF!),"")</f>
        <v/>
      </c>
    </row>
    <row r="1844" spans="2:9" x14ac:dyDescent="0.3">
      <c r="B1844" t="str">
        <f>IFERROR(IF(A1844="","",VLOOKUP(A1844,CadProd!$A:$B,2,0)),"")</f>
        <v/>
      </c>
      <c r="C1844" t="str">
        <f>IFERROR(IF(A1844="","",VLOOKUP(A1844,CadProd!$A:$C,3,0)),"")</f>
        <v/>
      </c>
      <c r="I1844" s="1" t="str">
        <f>IFERROR(IF(A1844="","",E1844*#REF!),"")</f>
        <v/>
      </c>
    </row>
    <row r="1845" spans="2:9" x14ac:dyDescent="0.3">
      <c r="B1845" t="str">
        <f>IFERROR(IF(A1845="","",VLOOKUP(A1845,CadProd!$A:$B,2,0)),"")</f>
        <v/>
      </c>
      <c r="C1845" t="str">
        <f>IFERROR(IF(A1845="","",VLOOKUP(A1845,CadProd!$A:$C,3,0)),"")</f>
        <v/>
      </c>
      <c r="I1845" s="1" t="str">
        <f>IFERROR(IF(A1845="","",E1845*#REF!),"")</f>
        <v/>
      </c>
    </row>
    <row r="1846" spans="2:9" x14ac:dyDescent="0.3">
      <c r="B1846" t="str">
        <f>IFERROR(IF(A1846="","",VLOOKUP(A1846,CadProd!$A:$B,2,0)),"")</f>
        <v/>
      </c>
      <c r="C1846" t="str">
        <f>IFERROR(IF(A1846="","",VLOOKUP(A1846,CadProd!$A:$C,3,0)),"")</f>
        <v/>
      </c>
      <c r="I1846" s="1" t="str">
        <f>IFERROR(IF(A1846="","",E1846*#REF!),"")</f>
        <v/>
      </c>
    </row>
    <row r="1847" spans="2:9" x14ac:dyDescent="0.3">
      <c r="B1847" t="str">
        <f>IFERROR(IF(A1847="","",VLOOKUP(A1847,CadProd!$A:$B,2,0)),"")</f>
        <v/>
      </c>
      <c r="C1847" t="str">
        <f>IFERROR(IF(A1847="","",VLOOKUP(A1847,CadProd!$A:$C,3,0)),"")</f>
        <v/>
      </c>
      <c r="I1847" s="1" t="str">
        <f>IFERROR(IF(A1847="","",E1847*#REF!),"")</f>
        <v/>
      </c>
    </row>
    <row r="1848" spans="2:9" x14ac:dyDescent="0.3">
      <c r="B1848" t="str">
        <f>IFERROR(IF(A1848="","",VLOOKUP(A1848,CadProd!$A:$B,2,0)),"")</f>
        <v/>
      </c>
      <c r="C1848" t="str">
        <f>IFERROR(IF(A1848="","",VLOOKUP(A1848,CadProd!$A:$C,3,0)),"")</f>
        <v/>
      </c>
      <c r="I1848" s="1" t="str">
        <f>IFERROR(IF(A1848="","",E1848*#REF!),"")</f>
        <v/>
      </c>
    </row>
    <row r="1849" spans="2:9" x14ac:dyDescent="0.3">
      <c r="B1849" t="str">
        <f>IFERROR(IF(A1849="","",VLOOKUP(A1849,CadProd!$A:$B,2,0)),"")</f>
        <v/>
      </c>
      <c r="C1849" t="str">
        <f>IFERROR(IF(A1849="","",VLOOKUP(A1849,CadProd!$A:$C,3,0)),"")</f>
        <v/>
      </c>
      <c r="I1849" s="1" t="str">
        <f>IFERROR(IF(A1849="","",E1849*#REF!),"")</f>
        <v/>
      </c>
    </row>
    <row r="1850" spans="2:9" x14ac:dyDescent="0.3">
      <c r="B1850" t="str">
        <f>IFERROR(IF(A1850="","",VLOOKUP(A1850,CadProd!$A:$B,2,0)),"")</f>
        <v/>
      </c>
      <c r="C1850" t="str">
        <f>IFERROR(IF(A1850="","",VLOOKUP(A1850,CadProd!$A:$C,3,0)),"")</f>
        <v/>
      </c>
      <c r="I1850" s="1" t="str">
        <f>IFERROR(IF(A1850="","",E1850*#REF!),"")</f>
        <v/>
      </c>
    </row>
    <row r="1851" spans="2:9" x14ac:dyDescent="0.3">
      <c r="B1851" t="str">
        <f>IFERROR(IF(A1851="","",VLOOKUP(A1851,CadProd!$A:$B,2,0)),"")</f>
        <v/>
      </c>
      <c r="C1851" t="str">
        <f>IFERROR(IF(A1851="","",VLOOKUP(A1851,CadProd!$A:$C,3,0)),"")</f>
        <v/>
      </c>
      <c r="I1851" s="1" t="str">
        <f>IFERROR(IF(A1851="","",E1851*#REF!),"")</f>
        <v/>
      </c>
    </row>
    <row r="1852" spans="2:9" x14ac:dyDescent="0.3">
      <c r="B1852" t="str">
        <f>IFERROR(IF(A1852="","",VLOOKUP(A1852,CadProd!$A:$B,2,0)),"")</f>
        <v/>
      </c>
      <c r="C1852" t="str">
        <f>IFERROR(IF(A1852="","",VLOOKUP(A1852,CadProd!$A:$C,3,0)),"")</f>
        <v/>
      </c>
      <c r="I1852" s="1" t="str">
        <f>IFERROR(IF(A1852="","",E1852*#REF!),"")</f>
        <v/>
      </c>
    </row>
    <row r="1853" spans="2:9" x14ac:dyDescent="0.3">
      <c r="B1853" t="str">
        <f>IFERROR(IF(A1853="","",VLOOKUP(A1853,CadProd!$A:$B,2,0)),"")</f>
        <v/>
      </c>
      <c r="C1853" t="str">
        <f>IFERROR(IF(A1853="","",VLOOKUP(A1853,CadProd!$A:$C,3,0)),"")</f>
        <v/>
      </c>
      <c r="I1853" s="1" t="str">
        <f>IFERROR(IF(A1853="","",E1853*#REF!),"")</f>
        <v/>
      </c>
    </row>
    <row r="1854" spans="2:9" x14ac:dyDescent="0.3">
      <c r="B1854" t="str">
        <f>IFERROR(IF(A1854="","",VLOOKUP(A1854,CadProd!$A:$B,2,0)),"")</f>
        <v/>
      </c>
      <c r="C1854" t="str">
        <f>IFERROR(IF(A1854="","",VLOOKUP(A1854,CadProd!$A:$C,3,0)),"")</f>
        <v/>
      </c>
      <c r="I1854" s="1" t="str">
        <f>IFERROR(IF(A1854="","",E1854*#REF!),"")</f>
        <v/>
      </c>
    </row>
    <row r="1855" spans="2:9" x14ac:dyDescent="0.3">
      <c r="B1855" t="str">
        <f>IFERROR(IF(A1855="","",VLOOKUP(A1855,CadProd!$A:$B,2,0)),"")</f>
        <v/>
      </c>
      <c r="C1855" t="str">
        <f>IFERROR(IF(A1855="","",VLOOKUP(A1855,CadProd!$A:$C,3,0)),"")</f>
        <v/>
      </c>
      <c r="I1855" s="1" t="str">
        <f>IFERROR(IF(A1855="","",E1855*#REF!),"")</f>
        <v/>
      </c>
    </row>
    <row r="1856" spans="2:9" x14ac:dyDescent="0.3">
      <c r="B1856" t="str">
        <f>IFERROR(IF(A1856="","",VLOOKUP(A1856,CadProd!$A:$B,2,0)),"")</f>
        <v/>
      </c>
      <c r="C1856" t="str">
        <f>IFERROR(IF(A1856="","",VLOOKUP(A1856,CadProd!$A:$C,3,0)),"")</f>
        <v/>
      </c>
      <c r="I1856" s="1" t="str">
        <f>IFERROR(IF(A1856="","",E1856*#REF!),"")</f>
        <v/>
      </c>
    </row>
    <row r="1857" spans="2:9" x14ac:dyDescent="0.3">
      <c r="B1857" t="str">
        <f>IFERROR(IF(A1857="","",VLOOKUP(A1857,CadProd!$A:$B,2,0)),"")</f>
        <v/>
      </c>
      <c r="C1857" t="str">
        <f>IFERROR(IF(A1857="","",VLOOKUP(A1857,CadProd!$A:$C,3,0)),"")</f>
        <v/>
      </c>
      <c r="I1857" s="1" t="str">
        <f>IFERROR(IF(A1857="","",E1857*#REF!),"")</f>
        <v/>
      </c>
    </row>
    <row r="1858" spans="2:9" x14ac:dyDescent="0.3">
      <c r="B1858" t="str">
        <f>IFERROR(IF(A1858="","",VLOOKUP(A1858,CadProd!$A:$B,2,0)),"")</f>
        <v/>
      </c>
      <c r="C1858" t="str">
        <f>IFERROR(IF(A1858="","",VLOOKUP(A1858,CadProd!$A:$C,3,0)),"")</f>
        <v/>
      </c>
      <c r="I1858" s="1" t="str">
        <f>IFERROR(IF(A1858="","",E1858*#REF!),"")</f>
        <v/>
      </c>
    </row>
    <row r="1859" spans="2:9" x14ac:dyDescent="0.3">
      <c r="B1859" t="str">
        <f>IFERROR(IF(A1859="","",VLOOKUP(A1859,CadProd!$A:$B,2,0)),"")</f>
        <v/>
      </c>
      <c r="C1859" t="str">
        <f>IFERROR(IF(A1859="","",VLOOKUP(A1859,CadProd!$A:$C,3,0)),"")</f>
        <v/>
      </c>
      <c r="I1859" s="1" t="str">
        <f>IFERROR(IF(A1859="","",E1859*#REF!),"")</f>
        <v/>
      </c>
    </row>
    <row r="1860" spans="2:9" x14ac:dyDescent="0.3">
      <c r="B1860" t="str">
        <f>IFERROR(IF(A1860="","",VLOOKUP(A1860,CadProd!$A:$B,2,0)),"")</f>
        <v/>
      </c>
      <c r="C1860" t="str">
        <f>IFERROR(IF(A1860="","",VLOOKUP(A1860,CadProd!$A:$C,3,0)),"")</f>
        <v/>
      </c>
      <c r="I1860" s="1" t="str">
        <f>IFERROR(IF(A1860="","",E1860*#REF!),"")</f>
        <v/>
      </c>
    </row>
    <row r="1861" spans="2:9" x14ac:dyDescent="0.3">
      <c r="B1861" t="str">
        <f>IFERROR(IF(A1861="","",VLOOKUP(A1861,CadProd!$A:$B,2,0)),"")</f>
        <v/>
      </c>
      <c r="C1861" t="str">
        <f>IFERROR(IF(A1861="","",VLOOKUP(A1861,CadProd!$A:$C,3,0)),"")</f>
        <v/>
      </c>
      <c r="I1861" s="1" t="str">
        <f>IFERROR(IF(A1861="","",E1861*#REF!),"")</f>
        <v/>
      </c>
    </row>
    <row r="1862" spans="2:9" x14ac:dyDescent="0.3">
      <c r="B1862" t="str">
        <f>IFERROR(IF(A1862="","",VLOOKUP(A1862,CadProd!$A:$B,2,0)),"")</f>
        <v/>
      </c>
      <c r="C1862" t="str">
        <f>IFERROR(IF(A1862="","",VLOOKUP(A1862,CadProd!$A:$C,3,0)),"")</f>
        <v/>
      </c>
      <c r="I1862" s="1" t="str">
        <f>IFERROR(IF(A1862="","",E1862*#REF!),"")</f>
        <v/>
      </c>
    </row>
    <row r="1863" spans="2:9" x14ac:dyDescent="0.3">
      <c r="B1863" t="str">
        <f>IFERROR(IF(A1863="","",VLOOKUP(A1863,CadProd!$A:$B,2,0)),"")</f>
        <v/>
      </c>
      <c r="C1863" t="str">
        <f>IFERROR(IF(A1863="","",VLOOKUP(A1863,CadProd!$A:$C,3,0)),"")</f>
        <v/>
      </c>
      <c r="I1863" s="1" t="str">
        <f>IFERROR(IF(A1863="","",E1863*#REF!),"")</f>
        <v/>
      </c>
    </row>
    <row r="1864" spans="2:9" x14ac:dyDescent="0.3">
      <c r="B1864" t="str">
        <f>IFERROR(IF(A1864="","",VLOOKUP(A1864,CadProd!$A:$B,2,0)),"")</f>
        <v/>
      </c>
      <c r="C1864" t="str">
        <f>IFERROR(IF(A1864="","",VLOOKUP(A1864,CadProd!$A:$C,3,0)),"")</f>
        <v/>
      </c>
      <c r="I1864" s="1" t="str">
        <f>IFERROR(IF(A1864="","",E1864*#REF!),"")</f>
        <v/>
      </c>
    </row>
    <row r="1865" spans="2:9" x14ac:dyDescent="0.3">
      <c r="B1865" t="str">
        <f>IFERROR(IF(A1865="","",VLOOKUP(A1865,CadProd!$A:$B,2,0)),"")</f>
        <v/>
      </c>
      <c r="C1865" t="str">
        <f>IFERROR(IF(A1865="","",VLOOKUP(A1865,CadProd!$A:$C,3,0)),"")</f>
        <v/>
      </c>
      <c r="I1865" s="1" t="str">
        <f>IFERROR(IF(A1865="","",E1865*#REF!),"")</f>
        <v/>
      </c>
    </row>
    <row r="1866" spans="2:9" x14ac:dyDescent="0.3">
      <c r="B1866" t="str">
        <f>IFERROR(IF(A1866="","",VLOOKUP(A1866,CadProd!$A:$B,2,0)),"")</f>
        <v/>
      </c>
      <c r="C1866" t="str">
        <f>IFERROR(IF(A1866="","",VLOOKUP(A1866,CadProd!$A:$C,3,0)),"")</f>
        <v/>
      </c>
      <c r="I1866" s="1" t="str">
        <f>IFERROR(IF(A1866="","",E1866*#REF!),"")</f>
        <v/>
      </c>
    </row>
    <row r="1867" spans="2:9" x14ac:dyDescent="0.3">
      <c r="B1867" t="str">
        <f>IFERROR(IF(A1867="","",VLOOKUP(A1867,CadProd!$A:$B,2,0)),"")</f>
        <v/>
      </c>
      <c r="C1867" t="str">
        <f>IFERROR(IF(A1867="","",VLOOKUP(A1867,CadProd!$A:$C,3,0)),"")</f>
        <v/>
      </c>
      <c r="I1867" s="1" t="str">
        <f>IFERROR(IF(A1867="","",E1867*#REF!),"")</f>
        <v/>
      </c>
    </row>
    <row r="1868" spans="2:9" x14ac:dyDescent="0.3">
      <c r="B1868" t="str">
        <f>IFERROR(IF(A1868="","",VLOOKUP(A1868,CadProd!$A:$B,2,0)),"")</f>
        <v/>
      </c>
      <c r="C1868" t="str">
        <f>IFERROR(IF(A1868="","",VLOOKUP(A1868,CadProd!$A:$C,3,0)),"")</f>
        <v/>
      </c>
      <c r="I1868" s="1" t="str">
        <f>IFERROR(IF(A1868="","",E1868*#REF!),"")</f>
        <v/>
      </c>
    </row>
    <row r="1869" spans="2:9" x14ac:dyDescent="0.3">
      <c r="B1869" t="str">
        <f>IFERROR(IF(A1869="","",VLOOKUP(A1869,CadProd!$A:$B,2,0)),"")</f>
        <v/>
      </c>
      <c r="C1869" t="str">
        <f>IFERROR(IF(A1869="","",VLOOKUP(A1869,CadProd!$A:$C,3,0)),"")</f>
        <v/>
      </c>
      <c r="I1869" s="1" t="str">
        <f>IFERROR(IF(A1869="","",E1869*#REF!),"")</f>
        <v/>
      </c>
    </row>
    <row r="1870" spans="2:9" x14ac:dyDescent="0.3">
      <c r="B1870" t="str">
        <f>IFERROR(IF(A1870="","",VLOOKUP(A1870,CadProd!$A:$B,2,0)),"")</f>
        <v/>
      </c>
      <c r="C1870" t="str">
        <f>IFERROR(IF(A1870="","",VLOOKUP(A1870,CadProd!$A:$C,3,0)),"")</f>
        <v/>
      </c>
      <c r="I1870" s="1" t="str">
        <f>IFERROR(IF(A1870="","",E1870*#REF!),"")</f>
        <v/>
      </c>
    </row>
    <row r="1871" spans="2:9" x14ac:dyDescent="0.3">
      <c r="B1871" t="str">
        <f>IFERROR(IF(A1871="","",VLOOKUP(A1871,CadProd!$A:$B,2,0)),"")</f>
        <v/>
      </c>
      <c r="C1871" t="str">
        <f>IFERROR(IF(A1871="","",VLOOKUP(A1871,CadProd!$A:$C,3,0)),"")</f>
        <v/>
      </c>
      <c r="I1871" s="1" t="str">
        <f>IFERROR(IF(A1871="","",E1871*#REF!),"")</f>
        <v/>
      </c>
    </row>
    <row r="1872" spans="2:9" x14ac:dyDescent="0.3">
      <c r="B1872" t="str">
        <f>IFERROR(IF(A1872="","",VLOOKUP(A1872,CadProd!$A:$B,2,0)),"")</f>
        <v/>
      </c>
      <c r="C1872" t="str">
        <f>IFERROR(IF(A1872="","",VLOOKUP(A1872,CadProd!$A:$C,3,0)),"")</f>
        <v/>
      </c>
      <c r="I1872" s="1" t="str">
        <f>IFERROR(IF(A1872="","",E1872*#REF!),"")</f>
        <v/>
      </c>
    </row>
    <row r="1873" spans="2:9" x14ac:dyDescent="0.3">
      <c r="B1873" t="str">
        <f>IFERROR(IF(A1873="","",VLOOKUP(A1873,CadProd!$A:$B,2,0)),"")</f>
        <v/>
      </c>
      <c r="C1873" t="str">
        <f>IFERROR(IF(A1873="","",VLOOKUP(A1873,CadProd!$A:$C,3,0)),"")</f>
        <v/>
      </c>
      <c r="I1873" s="1" t="str">
        <f>IFERROR(IF(A1873="","",E1873*#REF!),"")</f>
        <v/>
      </c>
    </row>
    <row r="1874" spans="2:9" x14ac:dyDescent="0.3">
      <c r="B1874" t="str">
        <f>IFERROR(IF(A1874="","",VLOOKUP(A1874,CadProd!$A:$B,2,0)),"")</f>
        <v/>
      </c>
      <c r="C1874" t="str">
        <f>IFERROR(IF(A1874="","",VLOOKUP(A1874,CadProd!$A:$C,3,0)),"")</f>
        <v/>
      </c>
      <c r="I1874" s="1" t="str">
        <f>IFERROR(IF(A1874="","",E1874*#REF!),"")</f>
        <v/>
      </c>
    </row>
    <row r="1875" spans="2:9" x14ac:dyDescent="0.3">
      <c r="B1875" t="str">
        <f>IFERROR(IF(A1875="","",VLOOKUP(A1875,CadProd!$A:$B,2,0)),"")</f>
        <v/>
      </c>
      <c r="C1875" t="str">
        <f>IFERROR(IF(A1875="","",VLOOKUP(A1875,CadProd!$A:$C,3,0)),"")</f>
        <v/>
      </c>
      <c r="I1875" s="1" t="str">
        <f>IFERROR(IF(A1875="","",E1875*#REF!),"")</f>
        <v/>
      </c>
    </row>
    <row r="1876" spans="2:9" x14ac:dyDescent="0.3">
      <c r="B1876" t="str">
        <f>IFERROR(IF(A1876="","",VLOOKUP(A1876,CadProd!$A:$B,2,0)),"")</f>
        <v/>
      </c>
      <c r="C1876" t="str">
        <f>IFERROR(IF(A1876="","",VLOOKUP(A1876,CadProd!$A:$C,3,0)),"")</f>
        <v/>
      </c>
      <c r="I1876" s="1" t="str">
        <f>IFERROR(IF(A1876="","",E1876*#REF!),"")</f>
        <v/>
      </c>
    </row>
    <row r="1877" spans="2:9" x14ac:dyDescent="0.3">
      <c r="B1877" t="str">
        <f>IFERROR(IF(A1877="","",VLOOKUP(A1877,CadProd!$A:$B,2,0)),"")</f>
        <v/>
      </c>
      <c r="C1877" t="str">
        <f>IFERROR(IF(A1877="","",VLOOKUP(A1877,CadProd!$A:$C,3,0)),"")</f>
        <v/>
      </c>
      <c r="I1877" s="1" t="str">
        <f>IFERROR(IF(A1877="","",E1877*#REF!),"")</f>
        <v/>
      </c>
    </row>
    <row r="1878" spans="2:9" x14ac:dyDescent="0.3">
      <c r="B1878" t="str">
        <f>IFERROR(IF(A1878="","",VLOOKUP(A1878,CadProd!$A:$B,2,0)),"")</f>
        <v/>
      </c>
      <c r="C1878" t="str">
        <f>IFERROR(IF(A1878="","",VLOOKUP(A1878,CadProd!$A:$C,3,0)),"")</f>
        <v/>
      </c>
      <c r="I1878" s="1" t="str">
        <f>IFERROR(IF(A1878="","",E1878*#REF!),"")</f>
        <v/>
      </c>
    </row>
    <row r="1879" spans="2:9" x14ac:dyDescent="0.3">
      <c r="B1879" t="str">
        <f>IFERROR(IF(A1879="","",VLOOKUP(A1879,CadProd!$A:$B,2,0)),"")</f>
        <v/>
      </c>
      <c r="C1879" t="str">
        <f>IFERROR(IF(A1879="","",VLOOKUP(A1879,CadProd!$A:$C,3,0)),"")</f>
        <v/>
      </c>
      <c r="I1879" s="1" t="str">
        <f>IFERROR(IF(A1879="","",E1879*#REF!),"")</f>
        <v/>
      </c>
    </row>
    <row r="1880" spans="2:9" x14ac:dyDescent="0.3">
      <c r="B1880" t="str">
        <f>IFERROR(IF(A1880="","",VLOOKUP(A1880,CadProd!$A:$B,2,0)),"")</f>
        <v/>
      </c>
      <c r="C1880" t="str">
        <f>IFERROR(IF(A1880="","",VLOOKUP(A1880,CadProd!$A:$C,3,0)),"")</f>
        <v/>
      </c>
      <c r="I1880" s="1" t="str">
        <f>IFERROR(IF(A1880="","",E1880*#REF!),"")</f>
        <v/>
      </c>
    </row>
    <row r="1881" spans="2:9" x14ac:dyDescent="0.3">
      <c r="B1881" t="str">
        <f>IFERROR(IF(A1881="","",VLOOKUP(A1881,CadProd!$A:$B,2,0)),"")</f>
        <v/>
      </c>
      <c r="C1881" t="str">
        <f>IFERROR(IF(A1881="","",VLOOKUP(A1881,CadProd!$A:$C,3,0)),"")</f>
        <v/>
      </c>
      <c r="I1881" s="1" t="str">
        <f>IFERROR(IF(A1881="","",E1881*#REF!),"")</f>
        <v/>
      </c>
    </row>
    <row r="1882" spans="2:9" x14ac:dyDescent="0.3">
      <c r="B1882" t="str">
        <f>IFERROR(IF(A1882="","",VLOOKUP(A1882,CadProd!$A:$B,2,0)),"")</f>
        <v/>
      </c>
      <c r="C1882" t="str">
        <f>IFERROR(IF(A1882="","",VLOOKUP(A1882,CadProd!$A:$C,3,0)),"")</f>
        <v/>
      </c>
      <c r="I1882" s="1" t="str">
        <f>IFERROR(IF(A1882="","",E1882*#REF!),"")</f>
        <v/>
      </c>
    </row>
    <row r="1883" spans="2:9" x14ac:dyDescent="0.3">
      <c r="B1883" t="str">
        <f>IFERROR(IF(A1883="","",VLOOKUP(A1883,CadProd!$A:$B,2,0)),"")</f>
        <v/>
      </c>
      <c r="C1883" t="str">
        <f>IFERROR(IF(A1883="","",VLOOKUP(A1883,CadProd!$A:$C,3,0)),"")</f>
        <v/>
      </c>
      <c r="I1883" s="1" t="str">
        <f>IFERROR(IF(A1883="","",E1883*#REF!),"")</f>
        <v/>
      </c>
    </row>
    <row r="1884" spans="2:9" x14ac:dyDescent="0.3">
      <c r="B1884" t="str">
        <f>IFERROR(IF(A1884="","",VLOOKUP(A1884,CadProd!$A:$B,2,0)),"")</f>
        <v/>
      </c>
      <c r="C1884" t="str">
        <f>IFERROR(IF(A1884="","",VLOOKUP(A1884,CadProd!$A:$C,3,0)),"")</f>
        <v/>
      </c>
      <c r="I1884" s="1" t="str">
        <f>IFERROR(IF(A1884="","",E1884*#REF!),"")</f>
        <v/>
      </c>
    </row>
    <row r="1885" spans="2:9" x14ac:dyDescent="0.3">
      <c r="B1885" t="str">
        <f>IFERROR(IF(A1885="","",VLOOKUP(A1885,CadProd!$A:$B,2,0)),"")</f>
        <v/>
      </c>
      <c r="C1885" t="str">
        <f>IFERROR(IF(A1885="","",VLOOKUP(A1885,CadProd!$A:$C,3,0)),"")</f>
        <v/>
      </c>
      <c r="I1885" s="1" t="str">
        <f>IFERROR(IF(A1885="","",E1885*#REF!),"")</f>
        <v/>
      </c>
    </row>
    <row r="1886" spans="2:9" x14ac:dyDescent="0.3">
      <c r="B1886" t="str">
        <f>IFERROR(IF(A1886="","",VLOOKUP(A1886,CadProd!$A:$B,2,0)),"")</f>
        <v/>
      </c>
      <c r="C1886" t="str">
        <f>IFERROR(IF(A1886="","",VLOOKUP(A1886,CadProd!$A:$C,3,0)),"")</f>
        <v/>
      </c>
      <c r="I1886" s="1" t="str">
        <f>IFERROR(IF(A1886="","",E1886*#REF!),"")</f>
        <v/>
      </c>
    </row>
    <row r="1887" spans="2:9" x14ac:dyDescent="0.3">
      <c r="B1887" t="str">
        <f>IFERROR(IF(A1887="","",VLOOKUP(A1887,CadProd!$A:$B,2,0)),"")</f>
        <v/>
      </c>
      <c r="C1887" t="str">
        <f>IFERROR(IF(A1887="","",VLOOKUP(A1887,CadProd!$A:$C,3,0)),"")</f>
        <v/>
      </c>
      <c r="I1887" s="1" t="str">
        <f>IFERROR(IF(A1887="","",E1887*#REF!),"")</f>
        <v/>
      </c>
    </row>
    <row r="1888" spans="2:9" x14ac:dyDescent="0.3">
      <c r="B1888" t="str">
        <f>IFERROR(IF(A1888="","",VLOOKUP(A1888,CadProd!$A:$B,2,0)),"")</f>
        <v/>
      </c>
      <c r="C1888" t="str">
        <f>IFERROR(IF(A1888="","",VLOOKUP(A1888,CadProd!$A:$C,3,0)),"")</f>
        <v/>
      </c>
      <c r="I1888" s="1" t="str">
        <f>IFERROR(IF(A1888="","",E1888*#REF!),"")</f>
        <v/>
      </c>
    </row>
    <row r="1889" spans="2:9" x14ac:dyDescent="0.3">
      <c r="B1889" t="str">
        <f>IFERROR(IF(A1889="","",VLOOKUP(A1889,CadProd!$A:$B,2,0)),"")</f>
        <v/>
      </c>
      <c r="C1889" t="str">
        <f>IFERROR(IF(A1889="","",VLOOKUP(A1889,CadProd!$A:$C,3,0)),"")</f>
        <v/>
      </c>
      <c r="I1889" s="1" t="str">
        <f>IFERROR(IF(A1889="","",E1889*#REF!),"")</f>
        <v/>
      </c>
    </row>
    <row r="1890" spans="2:9" x14ac:dyDescent="0.3">
      <c r="B1890" t="str">
        <f>IFERROR(IF(A1890="","",VLOOKUP(A1890,CadProd!$A:$B,2,0)),"")</f>
        <v/>
      </c>
      <c r="C1890" t="str">
        <f>IFERROR(IF(A1890="","",VLOOKUP(A1890,CadProd!$A:$C,3,0)),"")</f>
        <v/>
      </c>
      <c r="I1890" s="1" t="str">
        <f>IFERROR(IF(A1890="","",E1890*#REF!),"")</f>
        <v/>
      </c>
    </row>
    <row r="1891" spans="2:9" x14ac:dyDescent="0.3">
      <c r="B1891" t="str">
        <f>IFERROR(IF(A1891="","",VLOOKUP(A1891,CadProd!$A:$B,2,0)),"")</f>
        <v/>
      </c>
      <c r="C1891" t="str">
        <f>IFERROR(IF(A1891="","",VLOOKUP(A1891,CadProd!$A:$C,3,0)),"")</f>
        <v/>
      </c>
      <c r="I1891" s="1" t="str">
        <f>IFERROR(IF(A1891="","",E1891*#REF!),"")</f>
        <v/>
      </c>
    </row>
    <row r="1892" spans="2:9" x14ac:dyDescent="0.3">
      <c r="B1892" t="str">
        <f>IFERROR(IF(A1892="","",VLOOKUP(A1892,CadProd!$A:$B,2,0)),"")</f>
        <v/>
      </c>
      <c r="C1892" t="str">
        <f>IFERROR(IF(A1892="","",VLOOKUP(A1892,CadProd!$A:$C,3,0)),"")</f>
        <v/>
      </c>
      <c r="I1892" s="1" t="str">
        <f>IFERROR(IF(A1892="","",E1892*#REF!),"")</f>
        <v/>
      </c>
    </row>
    <row r="1893" spans="2:9" x14ac:dyDescent="0.3">
      <c r="B1893" t="str">
        <f>IFERROR(IF(A1893="","",VLOOKUP(A1893,CadProd!$A:$B,2,0)),"")</f>
        <v/>
      </c>
      <c r="C1893" t="str">
        <f>IFERROR(IF(A1893="","",VLOOKUP(A1893,CadProd!$A:$C,3,0)),"")</f>
        <v/>
      </c>
      <c r="I1893" s="1" t="str">
        <f>IFERROR(IF(A1893="","",E1893*#REF!),"")</f>
        <v/>
      </c>
    </row>
    <row r="1894" spans="2:9" x14ac:dyDescent="0.3">
      <c r="B1894" t="str">
        <f>IFERROR(IF(A1894="","",VLOOKUP(A1894,CadProd!$A:$B,2,0)),"")</f>
        <v/>
      </c>
      <c r="C1894" t="str">
        <f>IFERROR(IF(A1894="","",VLOOKUP(A1894,CadProd!$A:$C,3,0)),"")</f>
        <v/>
      </c>
      <c r="I1894" s="1" t="str">
        <f>IFERROR(IF(A1894="","",E1894*#REF!),"")</f>
        <v/>
      </c>
    </row>
    <row r="1895" spans="2:9" x14ac:dyDescent="0.3">
      <c r="B1895" t="str">
        <f>IFERROR(IF(A1895="","",VLOOKUP(A1895,CadProd!$A:$B,2,0)),"")</f>
        <v/>
      </c>
      <c r="C1895" t="str">
        <f>IFERROR(IF(A1895="","",VLOOKUP(A1895,CadProd!$A:$C,3,0)),"")</f>
        <v/>
      </c>
      <c r="I1895" s="1" t="str">
        <f>IFERROR(IF(A1895="","",E1895*#REF!),"")</f>
        <v/>
      </c>
    </row>
    <row r="1896" spans="2:9" x14ac:dyDescent="0.3">
      <c r="B1896" t="str">
        <f>IFERROR(IF(A1896="","",VLOOKUP(A1896,CadProd!$A:$B,2,0)),"")</f>
        <v/>
      </c>
      <c r="C1896" t="str">
        <f>IFERROR(IF(A1896="","",VLOOKUP(A1896,CadProd!$A:$C,3,0)),"")</f>
        <v/>
      </c>
      <c r="I1896" s="1" t="str">
        <f>IFERROR(IF(A1896="","",E1896*#REF!),"")</f>
        <v/>
      </c>
    </row>
    <row r="1897" spans="2:9" x14ac:dyDescent="0.3">
      <c r="B1897" t="str">
        <f>IFERROR(IF(A1897="","",VLOOKUP(A1897,CadProd!$A:$B,2,0)),"")</f>
        <v/>
      </c>
      <c r="C1897" t="str">
        <f>IFERROR(IF(A1897="","",VLOOKUP(A1897,CadProd!$A:$C,3,0)),"")</f>
        <v/>
      </c>
      <c r="I1897" s="1" t="str">
        <f>IFERROR(IF(A1897="","",E1897*#REF!),"")</f>
        <v/>
      </c>
    </row>
    <row r="1898" spans="2:9" x14ac:dyDescent="0.3">
      <c r="B1898" t="str">
        <f>IFERROR(IF(A1898="","",VLOOKUP(A1898,CadProd!$A:$B,2,0)),"")</f>
        <v/>
      </c>
      <c r="C1898" t="str">
        <f>IFERROR(IF(A1898="","",VLOOKUP(A1898,CadProd!$A:$C,3,0)),"")</f>
        <v/>
      </c>
      <c r="I1898" s="1" t="str">
        <f>IFERROR(IF(A1898="","",E1898*#REF!),"")</f>
        <v/>
      </c>
    </row>
    <row r="1899" spans="2:9" x14ac:dyDescent="0.3">
      <c r="B1899" t="str">
        <f>IFERROR(IF(A1899="","",VLOOKUP(A1899,CadProd!$A:$B,2,0)),"")</f>
        <v/>
      </c>
      <c r="C1899" t="str">
        <f>IFERROR(IF(A1899="","",VLOOKUP(A1899,CadProd!$A:$C,3,0)),"")</f>
        <v/>
      </c>
      <c r="I1899" s="1" t="str">
        <f>IFERROR(IF(A1899="","",E1899*#REF!),"")</f>
        <v/>
      </c>
    </row>
    <row r="1900" spans="2:9" x14ac:dyDescent="0.3">
      <c r="B1900" t="str">
        <f>IFERROR(IF(A1900="","",VLOOKUP(A1900,CadProd!$A:$B,2,0)),"")</f>
        <v/>
      </c>
      <c r="C1900" t="str">
        <f>IFERROR(IF(A1900="","",VLOOKUP(A1900,CadProd!$A:$C,3,0)),"")</f>
        <v/>
      </c>
      <c r="I1900" s="1" t="str">
        <f>IFERROR(IF(A1900="","",E1900*#REF!),"")</f>
        <v/>
      </c>
    </row>
    <row r="1901" spans="2:9" x14ac:dyDescent="0.3">
      <c r="B1901" t="str">
        <f>IFERROR(IF(A1901="","",VLOOKUP(A1901,CadProd!$A:$B,2,0)),"")</f>
        <v/>
      </c>
      <c r="C1901" t="str">
        <f>IFERROR(IF(A1901="","",VLOOKUP(A1901,CadProd!$A:$C,3,0)),"")</f>
        <v/>
      </c>
      <c r="I1901" s="1" t="str">
        <f>IFERROR(IF(A1901="","",E1901*#REF!),"")</f>
        <v/>
      </c>
    </row>
    <row r="1902" spans="2:9" x14ac:dyDescent="0.3">
      <c r="B1902" t="str">
        <f>IFERROR(IF(A1902="","",VLOOKUP(A1902,CadProd!$A:$B,2,0)),"")</f>
        <v/>
      </c>
      <c r="C1902" t="str">
        <f>IFERROR(IF(A1902="","",VLOOKUP(A1902,CadProd!$A:$C,3,0)),"")</f>
        <v/>
      </c>
      <c r="I1902" s="1" t="str">
        <f>IFERROR(IF(A1902="","",E1902*#REF!),"")</f>
        <v/>
      </c>
    </row>
    <row r="1903" spans="2:9" x14ac:dyDescent="0.3">
      <c r="B1903" t="str">
        <f>IFERROR(IF(A1903="","",VLOOKUP(A1903,CadProd!$A:$B,2,0)),"")</f>
        <v/>
      </c>
      <c r="C1903" t="str">
        <f>IFERROR(IF(A1903="","",VLOOKUP(A1903,CadProd!$A:$C,3,0)),"")</f>
        <v/>
      </c>
      <c r="I1903" s="1" t="str">
        <f>IFERROR(IF(A1903="","",E1903*#REF!),"")</f>
        <v/>
      </c>
    </row>
    <row r="1904" spans="2:9" x14ac:dyDescent="0.3">
      <c r="B1904" t="str">
        <f>IFERROR(IF(A1904="","",VLOOKUP(A1904,CadProd!$A:$B,2,0)),"")</f>
        <v/>
      </c>
      <c r="C1904" t="str">
        <f>IFERROR(IF(A1904="","",VLOOKUP(A1904,CadProd!$A:$C,3,0)),"")</f>
        <v/>
      </c>
      <c r="I1904" s="1" t="str">
        <f>IFERROR(IF(A1904="","",E1904*#REF!),"")</f>
        <v/>
      </c>
    </row>
    <row r="1905" spans="2:9" x14ac:dyDescent="0.3">
      <c r="B1905" t="str">
        <f>IFERROR(IF(A1905="","",VLOOKUP(A1905,CadProd!$A:$B,2,0)),"")</f>
        <v/>
      </c>
      <c r="C1905" t="str">
        <f>IFERROR(IF(A1905="","",VLOOKUP(A1905,CadProd!$A:$C,3,0)),"")</f>
        <v/>
      </c>
      <c r="I1905" s="1" t="str">
        <f>IFERROR(IF(A1905="","",E1905*#REF!),"")</f>
        <v/>
      </c>
    </row>
    <row r="1906" spans="2:9" x14ac:dyDescent="0.3">
      <c r="B1906" t="str">
        <f>IFERROR(IF(A1906="","",VLOOKUP(A1906,CadProd!$A:$B,2,0)),"")</f>
        <v/>
      </c>
      <c r="C1906" t="str">
        <f>IFERROR(IF(A1906="","",VLOOKUP(A1906,CadProd!$A:$C,3,0)),"")</f>
        <v/>
      </c>
      <c r="I1906" s="1" t="str">
        <f>IFERROR(IF(A1906="","",E1906*#REF!),"")</f>
        <v/>
      </c>
    </row>
    <row r="1907" spans="2:9" x14ac:dyDescent="0.3">
      <c r="B1907" t="str">
        <f>IFERROR(IF(A1907="","",VLOOKUP(A1907,CadProd!$A:$B,2,0)),"")</f>
        <v/>
      </c>
      <c r="C1907" t="str">
        <f>IFERROR(IF(A1907="","",VLOOKUP(A1907,CadProd!$A:$C,3,0)),"")</f>
        <v/>
      </c>
      <c r="I1907" s="1" t="str">
        <f>IFERROR(IF(A1907="","",E1907*#REF!),"")</f>
        <v/>
      </c>
    </row>
    <row r="1908" spans="2:9" x14ac:dyDescent="0.3">
      <c r="B1908" t="str">
        <f>IFERROR(IF(A1908="","",VLOOKUP(A1908,CadProd!$A:$B,2,0)),"")</f>
        <v/>
      </c>
      <c r="C1908" t="str">
        <f>IFERROR(IF(A1908="","",VLOOKUP(A1908,CadProd!$A:$C,3,0)),"")</f>
        <v/>
      </c>
      <c r="I1908" s="1" t="str">
        <f>IFERROR(IF(A1908="","",E1908*#REF!),"")</f>
        <v/>
      </c>
    </row>
    <row r="1909" spans="2:9" x14ac:dyDescent="0.3">
      <c r="B1909" t="str">
        <f>IFERROR(IF(A1909="","",VLOOKUP(A1909,CadProd!$A:$B,2,0)),"")</f>
        <v/>
      </c>
      <c r="C1909" t="str">
        <f>IFERROR(IF(A1909="","",VLOOKUP(A1909,CadProd!$A:$C,3,0)),"")</f>
        <v/>
      </c>
      <c r="I1909" s="1" t="str">
        <f>IFERROR(IF(A1909="","",E1909*#REF!),"")</f>
        <v/>
      </c>
    </row>
    <row r="1910" spans="2:9" x14ac:dyDescent="0.3">
      <c r="B1910" t="str">
        <f>IFERROR(IF(A1910="","",VLOOKUP(A1910,CadProd!$A:$B,2,0)),"")</f>
        <v/>
      </c>
      <c r="C1910" t="str">
        <f>IFERROR(IF(A1910="","",VLOOKUP(A1910,CadProd!$A:$C,3,0)),"")</f>
        <v/>
      </c>
      <c r="I1910" s="1" t="str">
        <f>IFERROR(IF(A1910="","",E1910*#REF!),"")</f>
        <v/>
      </c>
    </row>
    <row r="1911" spans="2:9" x14ac:dyDescent="0.3">
      <c r="B1911" t="str">
        <f>IFERROR(IF(A1911="","",VLOOKUP(A1911,CadProd!$A:$B,2,0)),"")</f>
        <v/>
      </c>
      <c r="C1911" t="str">
        <f>IFERROR(IF(A1911="","",VLOOKUP(A1911,CadProd!$A:$C,3,0)),"")</f>
        <v/>
      </c>
      <c r="I1911" s="1" t="str">
        <f>IFERROR(IF(A1911="","",E1911*#REF!),"")</f>
        <v/>
      </c>
    </row>
    <row r="1912" spans="2:9" x14ac:dyDescent="0.3">
      <c r="B1912" t="str">
        <f>IFERROR(IF(A1912="","",VLOOKUP(A1912,CadProd!$A:$B,2,0)),"")</f>
        <v/>
      </c>
      <c r="C1912" t="str">
        <f>IFERROR(IF(A1912="","",VLOOKUP(A1912,CadProd!$A:$C,3,0)),"")</f>
        <v/>
      </c>
      <c r="I1912" s="1" t="str">
        <f>IFERROR(IF(A1912="","",E1912*#REF!),"")</f>
        <v/>
      </c>
    </row>
    <row r="1913" spans="2:9" x14ac:dyDescent="0.3">
      <c r="B1913" t="str">
        <f>IFERROR(IF(A1913="","",VLOOKUP(A1913,CadProd!$A:$B,2,0)),"")</f>
        <v/>
      </c>
      <c r="C1913" t="str">
        <f>IFERROR(IF(A1913="","",VLOOKUP(A1913,CadProd!$A:$C,3,0)),"")</f>
        <v/>
      </c>
      <c r="I1913" s="1" t="str">
        <f>IFERROR(IF(A1913="","",E1913*#REF!),"")</f>
        <v/>
      </c>
    </row>
    <row r="1914" spans="2:9" x14ac:dyDescent="0.3">
      <c r="B1914" t="str">
        <f>IFERROR(IF(A1914="","",VLOOKUP(A1914,CadProd!$A:$B,2,0)),"")</f>
        <v/>
      </c>
      <c r="C1914" t="str">
        <f>IFERROR(IF(A1914="","",VLOOKUP(A1914,CadProd!$A:$C,3,0)),"")</f>
        <v/>
      </c>
      <c r="I1914" s="1" t="str">
        <f>IFERROR(IF(A1914="","",E1914*#REF!),"")</f>
        <v/>
      </c>
    </row>
    <row r="1915" spans="2:9" x14ac:dyDescent="0.3">
      <c r="B1915" t="str">
        <f>IFERROR(IF(A1915="","",VLOOKUP(A1915,CadProd!$A:$B,2,0)),"")</f>
        <v/>
      </c>
      <c r="C1915" t="str">
        <f>IFERROR(IF(A1915="","",VLOOKUP(A1915,CadProd!$A:$C,3,0)),"")</f>
        <v/>
      </c>
      <c r="I1915" s="1" t="str">
        <f>IFERROR(IF(A1915="","",E1915*#REF!),"")</f>
        <v/>
      </c>
    </row>
    <row r="1916" spans="2:9" x14ac:dyDescent="0.3">
      <c r="B1916" t="str">
        <f>IFERROR(IF(A1916="","",VLOOKUP(A1916,CadProd!$A:$B,2,0)),"")</f>
        <v/>
      </c>
      <c r="C1916" t="str">
        <f>IFERROR(IF(A1916="","",VLOOKUP(A1916,CadProd!$A:$C,3,0)),"")</f>
        <v/>
      </c>
      <c r="I1916" s="1" t="str">
        <f>IFERROR(IF(A1916="","",E1916*#REF!),"")</f>
        <v/>
      </c>
    </row>
    <row r="1917" spans="2:9" x14ac:dyDescent="0.3">
      <c r="B1917" t="str">
        <f>IFERROR(IF(A1917="","",VLOOKUP(A1917,CadProd!$A:$B,2,0)),"")</f>
        <v/>
      </c>
      <c r="C1917" t="str">
        <f>IFERROR(IF(A1917="","",VLOOKUP(A1917,CadProd!$A:$C,3,0)),"")</f>
        <v/>
      </c>
      <c r="I1917" s="1" t="str">
        <f>IFERROR(IF(A1917="","",E1917*#REF!),"")</f>
        <v/>
      </c>
    </row>
    <row r="1918" spans="2:9" x14ac:dyDescent="0.3">
      <c r="B1918" t="str">
        <f>IFERROR(IF(A1918="","",VLOOKUP(A1918,CadProd!$A:$B,2,0)),"")</f>
        <v/>
      </c>
      <c r="C1918" t="str">
        <f>IFERROR(IF(A1918="","",VLOOKUP(A1918,CadProd!$A:$C,3,0)),"")</f>
        <v/>
      </c>
      <c r="I1918" s="1" t="str">
        <f>IFERROR(IF(A1918="","",E1918*#REF!),"")</f>
        <v/>
      </c>
    </row>
    <row r="1919" spans="2:9" x14ac:dyDescent="0.3">
      <c r="B1919" t="str">
        <f>IFERROR(IF(A1919="","",VLOOKUP(A1919,CadProd!$A:$B,2,0)),"")</f>
        <v/>
      </c>
      <c r="C1919" t="str">
        <f>IFERROR(IF(A1919="","",VLOOKUP(A1919,CadProd!$A:$C,3,0)),"")</f>
        <v/>
      </c>
      <c r="I1919" s="1" t="str">
        <f>IFERROR(IF(A1919="","",E1919*#REF!),"")</f>
        <v/>
      </c>
    </row>
    <row r="1920" spans="2:9" x14ac:dyDescent="0.3">
      <c r="B1920" t="str">
        <f>IFERROR(IF(A1920="","",VLOOKUP(A1920,CadProd!$A:$B,2,0)),"")</f>
        <v/>
      </c>
      <c r="C1920" t="str">
        <f>IFERROR(IF(A1920="","",VLOOKUP(A1920,CadProd!$A:$C,3,0)),"")</f>
        <v/>
      </c>
      <c r="I1920" s="1" t="str">
        <f>IFERROR(IF(A1920="","",E1920*#REF!),"")</f>
        <v/>
      </c>
    </row>
    <row r="1921" spans="2:9" x14ac:dyDescent="0.3">
      <c r="B1921" t="str">
        <f>IFERROR(IF(A1921="","",VLOOKUP(A1921,CadProd!$A:$B,2,0)),"")</f>
        <v/>
      </c>
      <c r="C1921" t="str">
        <f>IFERROR(IF(A1921="","",VLOOKUP(A1921,CadProd!$A:$C,3,0)),"")</f>
        <v/>
      </c>
      <c r="I1921" s="1" t="str">
        <f>IFERROR(IF(A1921="","",E1921*#REF!),"")</f>
        <v/>
      </c>
    </row>
    <row r="1922" spans="2:9" x14ac:dyDescent="0.3">
      <c r="B1922" t="str">
        <f>IFERROR(IF(A1922="","",VLOOKUP(A1922,CadProd!$A:$B,2,0)),"")</f>
        <v/>
      </c>
      <c r="C1922" t="str">
        <f>IFERROR(IF(A1922="","",VLOOKUP(A1922,CadProd!$A:$C,3,0)),"")</f>
        <v/>
      </c>
      <c r="I1922" s="1" t="str">
        <f>IFERROR(IF(A1922="","",E1922*#REF!),"")</f>
        <v/>
      </c>
    </row>
    <row r="1923" spans="2:9" x14ac:dyDescent="0.3">
      <c r="B1923" t="str">
        <f>IFERROR(IF(A1923="","",VLOOKUP(A1923,CadProd!$A:$B,2,0)),"")</f>
        <v/>
      </c>
      <c r="C1923" t="str">
        <f>IFERROR(IF(A1923="","",VLOOKUP(A1923,CadProd!$A:$C,3,0)),"")</f>
        <v/>
      </c>
      <c r="I1923" s="1" t="str">
        <f>IFERROR(IF(A1923="","",E1923*#REF!),"")</f>
        <v/>
      </c>
    </row>
    <row r="1924" spans="2:9" x14ac:dyDescent="0.3">
      <c r="B1924" t="str">
        <f>IFERROR(IF(A1924="","",VLOOKUP(A1924,CadProd!$A:$B,2,0)),"")</f>
        <v/>
      </c>
      <c r="C1924" t="str">
        <f>IFERROR(IF(A1924="","",VLOOKUP(A1924,CadProd!$A:$C,3,0)),"")</f>
        <v/>
      </c>
      <c r="I1924" s="1" t="str">
        <f>IFERROR(IF(A1924="","",E1924*#REF!),"")</f>
        <v/>
      </c>
    </row>
    <row r="1925" spans="2:9" x14ac:dyDescent="0.3">
      <c r="B1925" t="str">
        <f>IFERROR(IF(A1925="","",VLOOKUP(A1925,CadProd!$A:$B,2,0)),"")</f>
        <v/>
      </c>
      <c r="C1925" t="str">
        <f>IFERROR(IF(A1925="","",VLOOKUP(A1925,CadProd!$A:$C,3,0)),"")</f>
        <v/>
      </c>
      <c r="I1925" s="1" t="str">
        <f>IFERROR(IF(A1925="","",E1925*#REF!),"")</f>
        <v/>
      </c>
    </row>
    <row r="1926" spans="2:9" x14ac:dyDescent="0.3">
      <c r="B1926" t="str">
        <f>IFERROR(IF(A1926="","",VLOOKUP(A1926,CadProd!$A:$B,2,0)),"")</f>
        <v/>
      </c>
      <c r="C1926" t="str">
        <f>IFERROR(IF(A1926="","",VLOOKUP(A1926,CadProd!$A:$C,3,0)),"")</f>
        <v/>
      </c>
      <c r="I1926" s="1" t="str">
        <f>IFERROR(IF(A1926="","",E1926*#REF!),"")</f>
        <v/>
      </c>
    </row>
    <row r="1927" spans="2:9" x14ac:dyDescent="0.3">
      <c r="B1927" t="str">
        <f>IFERROR(IF(A1927="","",VLOOKUP(A1927,CadProd!$A:$B,2,0)),"")</f>
        <v/>
      </c>
      <c r="C1927" t="str">
        <f>IFERROR(IF(A1927="","",VLOOKUP(A1927,CadProd!$A:$C,3,0)),"")</f>
        <v/>
      </c>
      <c r="I1927" s="1" t="str">
        <f>IFERROR(IF(A1927="","",E1927*#REF!),"")</f>
        <v/>
      </c>
    </row>
    <row r="1928" spans="2:9" x14ac:dyDescent="0.3">
      <c r="B1928" t="str">
        <f>IFERROR(IF(A1928="","",VLOOKUP(A1928,CadProd!$A:$B,2,0)),"")</f>
        <v/>
      </c>
      <c r="C1928" t="str">
        <f>IFERROR(IF(A1928="","",VLOOKUP(A1928,CadProd!$A:$C,3,0)),"")</f>
        <v/>
      </c>
      <c r="I1928" s="1" t="str">
        <f>IFERROR(IF(A1928="","",E1928*#REF!),"")</f>
        <v/>
      </c>
    </row>
    <row r="1929" spans="2:9" x14ac:dyDescent="0.3">
      <c r="B1929" t="str">
        <f>IFERROR(IF(A1929="","",VLOOKUP(A1929,CadProd!$A:$B,2,0)),"")</f>
        <v/>
      </c>
      <c r="C1929" t="str">
        <f>IFERROR(IF(A1929="","",VLOOKUP(A1929,CadProd!$A:$C,3,0)),"")</f>
        <v/>
      </c>
      <c r="I1929" s="1" t="str">
        <f>IFERROR(IF(A1929="","",E1929*#REF!),"")</f>
        <v/>
      </c>
    </row>
    <row r="1930" spans="2:9" x14ac:dyDescent="0.3">
      <c r="B1930" t="str">
        <f>IFERROR(IF(A1930="","",VLOOKUP(A1930,CadProd!$A:$B,2,0)),"")</f>
        <v/>
      </c>
      <c r="C1930" t="str">
        <f>IFERROR(IF(A1930="","",VLOOKUP(A1930,CadProd!$A:$C,3,0)),"")</f>
        <v/>
      </c>
      <c r="I1930" s="1" t="str">
        <f>IFERROR(IF(A1930="","",E1930*#REF!),"")</f>
        <v/>
      </c>
    </row>
    <row r="1931" spans="2:9" x14ac:dyDescent="0.3">
      <c r="B1931" t="str">
        <f>IFERROR(IF(A1931="","",VLOOKUP(A1931,CadProd!$A:$B,2,0)),"")</f>
        <v/>
      </c>
      <c r="C1931" t="str">
        <f>IFERROR(IF(A1931="","",VLOOKUP(A1931,CadProd!$A:$C,3,0)),"")</f>
        <v/>
      </c>
      <c r="I1931" s="1" t="str">
        <f>IFERROR(IF(A1931="","",E1931*#REF!),"")</f>
        <v/>
      </c>
    </row>
    <row r="1932" spans="2:9" x14ac:dyDescent="0.3">
      <c r="B1932" t="str">
        <f>IFERROR(IF(A1932="","",VLOOKUP(A1932,CadProd!$A:$B,2,0)),"")</f>
        <v/>
      </c>
      <c r="C1932" t="str">
        <f>IFERROR(IF(A1932="","",VLOOKUP(A1932,CadProd!$A:$C,3,0)),"")</f>
        <v/>
      </c>
      <c r="I1932" s="1" t="str">
        <f>IFERROR(IF(A1932="","",E1932*#REF!),"")</f>
        <v/>
      </c>
    </row>
    <row r="1933" spans="2:9" x14ac:dyDescent="0.3">
      <c r="B1933" t="str">
        <f>IFERROR(IF(A1933="","",VLOOKUP(A1933,CadProd!$A:$B,2,0)),"")</f>
        <v/>
      </c>
      <c r="C1933" t="str">
        <f>IFERROR(IF(A1933="","",VLOOKUP(A1933,CadProd!$A:$C,3,0)),"")</f>
        <v/>
      </c>
      <c r="I1933" s="1" t="str">
        <f>IFERROR(IF(A1933="","",E1933*#REF!),"")</f>
        <v/>
      </c>
    </row>
    <row r="1934" spans="2:9" x14ac:dyDescent="0.3">
      <c r="B1934" t="str">
        <f>IFERROR(IF(A1934="","",VLOOKUP(A1934,CadProd!$A:$B,2,0)),"")</f>
        <v/>
      </c>
      <c r="C1934" t="str">
        <f>IFERROR(IF(A1934="","",VLOOKUP(A1934,CadProd!$A:$C,3,0)),"")</f>
        <v/>
      </c>
      <c r="I1934" s="1" t="str">
        <f>IFERROR(IF(A1934="","",E1934*#REF!),"")</f>
        <v/>
      </c>
    </row>
    <row r="1935" spans="2:9" x14ac:dyDescent="0.3">
      <c r="B1935" t="str">
        <f>IFERROR(IF(A1935="","",VLOOKUP(A1935,CadProd!$A:$B,2,0)),"")</f>
        <v/>
      </c>
      <c r="C1935" t="str">
        <f>IFERROR(IF(A1935="","",VLOOKUP(A1935,CadProd!$A:$C,3,0)),"")</f>
        <v/>
      </c>
      <c r="I1935" s="1" t="str">
        <f>IFERROR(IF(A1935="","",E1935*#REF!),"")</f>
        <v/>
      </c>
    </row>
    <row r="1936" spans="2:9" x14ac:dyDescent="0.3">
      <c r="B1936" t="str">
        <f>IFERROR(IF(A1936="","",VLOOKUP(A1936,CadProd!$A:$B,2,0)),"")</f>
        <v/>
      </c>
      <c r="C1936" t="str">
        <f>IFERROR(IF(A1936="","",VLOOKUP(A1936,CadProd!$A:$C,3,0)),"")</f>
        <v/>
      </c>
      <c r="I1936" s="1" t="str">
        <f>IFERROR(IF(A1936="","",E1936*#REF!),"")</f>
        <v/>
      </c>
    </row>
    <row r="1937" spans="2:9" x14ac:dyDescent="0.3">
      <c r="B1937" t="str">
        <f>IFERROR(IF(A1937="","",VLOOKUP(A1937,CadProd!$A:$B,2,0)),"")</f>
        <v/>
      </c>
      <c r="C1937" t="str">
        <f>IFERROR(IF(A1937="","",VLOOKUP(A1937,CadProd!$A:$C,3,0)),"")</f>
        <v/>
      </c>
      <c r="I1937" s="1" t="str">
        <f>IFERROR(IF(A1937="","",E1937*#REF!),"")</f>
        <v/>
      </c>
    </row>
    <row r="1938" spans="2:9" x14ac:dyDescent="0.3">
      <c r="B1938" t="str">
        <f>IFERROR(IF(A1938="","",VLOOKUP(A1938,CadProd!$A:$B,2,0)),"")</f>
        <v/>
      </c>
      <c r="C1938" t="str">
        <f>IFERROR(IF(A1938="","",VLOOKUP(A1938,CadProd!$A:$C,3,0)),"")</f>
        <v/>
      </c>
      <c r="I1938" s="1" t="str">
        <f>IFERROR(IF(A1938="","",E1938*#REF!),"")</f>
        <v/>
      </c>
    </row>
    <row r="1939" spans="2:9" x14ac:dyDescent="0.3">
      <c r="B1939" t="str">
        <f>IFERROR(IF(A1939="","",VLOOKUP(A1939,CadProd!$A:$B,2,0)),"")</f>
        <v/>
      </c>
      <c r="C1939" t="str">
        <f>IFERROR(IF(A1939="","",VLOOKUP(A1939,CadProd!$A:$C,3,0)),"")</f>
        <v/>
      </c>
      <c r="I1939" s="1" t="str">
        <f>IFERROR(IF(A1939="","",E1939*#REF!),"")</f>
        <v/>
      </c>
    </row>
    <row r="1940" spans="2:9" x14ac:dyDescent="0.3">
      <c r="B1940" t="str">
        <f>IFERROR(IF(A1940="","",VLOOKUP(A1940,CadProd!$A:$B,2,0)),"")</f>
        <v/>
      </c>
      <c r="C1940" t="str">
        <f>IFERROR(IF(A1940="","",VLOOKUP(A1940,CadProd!$A:$C,3,0)),"")</f>
        <v/>
      </c>
      <c r="I1940" s="1" t="str">
        <f>IFERROR(IF(A1940="","",E1940*#REF!),"")</f>
        <v/>
      </c>
    </row>
    <row r="1941" spans="2:9" x14ac:dyDescent="0.3">
      <c r="B1941" t="str">
        <f>IFERROR(IF(A1941="","",VLOOKUP(A1941,CadProd!$A:$B,2,0)),"")</f>
        <v/>
      </c>
      <c r="C1941" t="str">
        <f>IFERROR(IF(A1941="","",VLOOKUP(A1941,CadProd!$A:$C,3,0)),"")</f>
        <v/>
      </c>
      <c r="I1941" s="1" t="str">
        <f>IFERROR(IF(A1941="","",E1941*#REF!),"")</f>
        <v/>
      </c>
    </row>
    <row r="1942" spans="2:9" x14ac:dyDescent="0.3">
      <c r="B1942" t="str">
        <f>IFERROR(IF(A1942="","",VLOOKUP(A1942,CadProd!$A:$B,2,0)),"")</f>
        <v/>
      </c>
      <c r="C1942" t="str">
        <f>IFERROR(IF(A1942="","",VLOOKUP(A1942,CadProd!$A:$C,3,0)),"")</f>
        <v/>
      </c>
      <c r="I1942" s="1" t="str">
        <f>IFERROR(IF(A1942="","",E1942*#REF!),"")</f>
        <v/>
      </c>
    </row>
    <row r="1943" spans="2:9" x14ac:dyDescent="0.3">
      <c r="B1943" t="str">
        <f>IFERROR(IF(A1943="","",VLOOKUP(A1943,CadProd!$A:$B,2,0)),"")</f>
        <v/>
      </c>
      <c r="C1943" t="str">
        <f>IFERROR(IF(A1943="","",VLOOKUP(A1943,CadProd!$A:$C,3,0)),"")</f>
        <v/>
      </c>
      <c r="I1943" s="1" t="str">
        <f>IFERROR(IF(A1943="","",E1943*#REF!),"")</f>
        <v/>
      </c>
    </row>
    <row r="1944" spans="2:9" x14ac:dyDescent="0.3">
      <c r="B1944" t="str">
        <f>IFERROR(IF(A1944="","",VLOOKUP(A1944,CadProd!$A:$B,2,0)),"")</f>
        <v/>
      </c>
      <c r="C1944" t="str">
        <f>IFERROR(IF(A1944="","",VLOOKUP(A1944,CadProd!$A:$C,3,0)),"")</f>
        <v/>
      </c>
      <c r="I1944" s="1" t="str">
        <f>IFERROR(IF(A1944="","",E1944*#REF!),"")</f>
        <v/>
      </c>
    </row>
    <row r="1945" spans="2:9" x14ac:dyDescent="0.3">
      <c r="B1945" t="str">
        <f>IFERROR(IF(A1945="","",VLOOKUP(A1945,CadProd!$A:$B,2,0)),"")</f>
        <v/>
      </c>
      <c r="C1945" t="str">
        <f>IFERROR(IF(A1945="","",VLOOKUP(A1945,CadProd!$A:$C,3,0)),"")</f>
        <v/>
      </c>
      <c r="I1945" s="1" t="str">
        <f>IFERROR(IF(A1945="","",E1945*#REF!),"")</f>
        <v/>
      </c>
    </row>
    <row r="1946" spans="2:9" x14ac:dyDescent="0.3">
      <c r="B1946" t="str">
        <f>IFERROR(IF(A1946="","",VLOOKUP(A1946,CadProd!$A:$B,2,0)),"")</f>
        <v/>
      </c>
      <c r="C1946" t="str">
        <f>IFERROR(IF(A1946="","",VLOOKUP(A1946,CadProd!$A:$C,3,0)),"")</f>
        <v/>
      </c>
      <c r="I1946" s="1" t="str">
        <f>IFERROR(IF(A1946="","",E1946*#REF!),"")</f>
        <v/>
      </c>
    </row>
    <row r="1947" spans="2:9" x14ac:dyDescent="0.3">
      <c r="B1947" t="str">
        <f>IFERROR(IF(A1947="","",VLOOKUP(A1947,CadProd!$A:$B,2,0)),"")</f>
        <v/>
      </c>
      <c r="C1947" t="str">
        <f>IFERROR(IF(A1947="","",VLOOKUP(A1947,CadProd!$A:$C,3,0)),"")</f>
        <v/>
      </c>
      <c r="I1947" s="1" t="str">
        <f>IFERROR(IF(A1947="","",E1947*#REF!),"")</f>
        <v/>
      </c>
    </row>
    <row r="1948" spans="2:9" x14ac:dyDescent="0.3">
      <c r="B1948" t="str">
        <f>IFERROR(IF(A1948="","",VLOOKUP(A1948,CadProd!$A:$B,2,0)),"")</f>
        <v/>
      </c>
      <c r="C1948" t="str">
        <f>IFERROR(IF(A1948="","",VLOOKUP(A1948,CadProd!$A:$C,3,0)),"")</f>
        <v/>
      </c>
      <c r="I1948" s="1" t="str">
        <f>IFERROR(IF(A1948="","",E1948*#REF!),"")</f>
        <v/>
      </c>
    </row>
    <row r="1949" spans="2:9" x14ac:dyDescent="0.3">
      <c r="B1949" t="str">
        <f>IFERROR(IF(A1949="","",VLOOKUP(A1949,CadProd!$A:$B,2,0)),"")</f>
        <v/>
      </c>
      <c r="C1949" t="str">
        <f>IFERROR(IF(A1949="","",VLOOKUP(A1949,CadProd!$A:$C,3,0)),"")</f>
        <v/>
      </c>
      <c r="I1949" s="1" t="str">
        <f>IFERROR(IF(A1949="","",E1949*#REF!),"")</f>
        <v/>
      </c>
    </row>
    <row r="1950" spans="2:9" x14ac:dyDescent="0.3">
      <c r="B1950" t="str">
        <f>IFERROR(IF(A1950="","",VLOOKUP(A1950,CadProd!$A:$B,2,0)),"")</f>
        <v/>
      </c>
      <c r="C1950" t="str">
        <f>IFERROR(IF(A1950="","",VLOOKUP(A1950,CadProd!$A:$C,3,0)),"")</f>
        <v/>
      </c>
      <c r="I1950" s="1" t="str">
        <f>IFERROR(IF(A1950="","",E1950*#REF!),"")</f>
        <v/>
      </c>
    </row>
    <row r="1951" spans="2:9" x14ac:dyDescent="0.3">
      <c r="B1951" t="str">
        <f>IFERROR(IF(A1951="","",VLOOKUP(A1951,CadProd!$A:$B,2,0)),"")</f>
        <v/>
      </c>
      <c r="C1951" t="str">
        <f>IFERROR(IF(A1951="","",VLOOKUP(A1951,CadProd!$A:$C,3,0)),"")</f>
        <v/>
      </c>
      <c r="I1951" s="1" t="str">
        <f>IFERROR(IF(A1951="","",E1951*#REF!),"")</f>
        <v/>
      </c>
    </row>
    <row r="1952" spans="2:9" x14ac:dyDescent="0.3">
      <c r="B1952" t="str">
        <f>IFERROR(IF(A1952="","",VLOOKUP(A1952,CadProd!$A:$B,2,0)),"")</f>
        <v/>
      </c>
      <c r="C1952" t="str">
        <f>IFERROR(IF(A1952="","",VLOOKUP(A1952,CadProd!$A:$C,3,0)),"")</f>
        <v/>
      </c>
      <c r="I1952" s="1" t="str">
        <f>IFERROR(IF(A1952="","",E1952*#REF!),"")</f>
        <v/>
      </c>
    </row>
    <row r="1953" spans="2:9" x14ac:dyDescent="0.3">
      <c r="B1953" t="str">
        <f>IFERROR(IF(A1953="","",VLOOKUP(A1953,CadProd!$A:$B,2,0)),"")</f>
        <v/>
      </c>
      <c r="C1953" t="str">
        <f>IFERROR(IF(A1953="","",VLOOKUP(A1953,CadProd!$A:$C,3,0)),"")</f>
        <v/>
      </c>
      <c r="I1953" s="1" t="str">
        <f>IFERROR(IF(A1953="","",E1953*#REF!),"")</f>
        <v/>
      </c>
    </row>
    <row r="1954" spans="2:9" x14ac:dyDescent="0.3">
      <c r="B1954" t="str">
        <f>IFERROR(IF(A1954="","",VLOOKUP(A1954,CadProd!$A:$B,2,0)),"")</f>
        <v/>
      </c>
      <c r="C1954" t="str">
        <f>IFERROR(IF(A1954="","",VLOOKUP(A1954,CadProd!$A:$C,3,0)),"")</f>
        <v/>
      </c>
      <c r="I1954" s="1" t="str">
        <f>IFERROR(IF(A1954="","",E1954*#REF!),"")</f>
        <v/>
      </c>
    </row>
    <row r="1955" spans="2:9" x14ac:dyDescent="0.3">
      <c r="B1955" t="str">
        <f>IFERROR(IF(A1955="","",VLOOKUP(A1955,CadProd!$A:$B,2,0)),"")</f>
        <v/>
      </c>
      <c r="C1955" t="str">
        <f>IFERROR(IF(A1955="","",VLOOKUP(A1955,CadProd!$A:$C,3,0)),"")</f>
        <v/>
      </c>
      <c r="I1955" s="1" t="str">
        <f>IFERROR(IF(A1955="","",E1955*#REF!),"")</f>
        <v/>
      </c>
    </row>
    <row r="1956" spans="2:9" x14ac:dyDescent="0.3">
      <c r="B1956" t="str">
        <f>IFERROR(IF(A1956="","",VLOOKUP(A1956,CadProd!$A:$B,2,0)),"")</f>
        <v/>
      </c>
      <c r="C1956" t="str">
        <f>IFERROR(IF(A1956="","",VLOOKUP(A1956,CadProd!$A:$C,3,0)),"")</f>
        <v/>
      </c>
      <c r="I1956" s="1" t="str">
        <f>IFERROR(IF(A1956="","",E1956*#REF!),"")</f>
        <v/>
      </c>
    </row>
    <row r="1957" spans="2:9" x14ac:dyDescent="0.3">
      <c r="B1957" t="str">
        <f>IFERROR(IF(A1957="","",VLOOKUP(A1957,CadProd!$A:$B,2,0)),"")</f>
        <v/>
      </c>
      <c r="C1957" t="str">
        <f>IFERROR(IF(A1957="","",VLOOKUP(A1957,CadProd!$A:$C,3,0)),"")</f>
        <v/>
      </c>
      <c r="I1957" s="1" t="str">
        <f>IFERROR(IF(A1957="","",E1957*#REF!),"")</f>
        <v/>
      </c>
    </row>
    <row r="1958" spans="2:9" x14ac:dyDescent="0.3">
      <c r="B1958" t="str">
        <f>IFERROR(IF(A1958="","",VLOOKUP(A1958,CadProd!$A:$B,2,0)),"")</f>
        <v/>
      </c>
      <c r="C1958" t="str">
        <f>IFERROR(IF(A1958="","",VLOOKUP(A1958,CadProd!$A:$C,3,0)),"")</f>
        <v/>
      </c>
      <c r="I1958" s="1" t="str">
        <f>IFERROR(IF(A1958="","",E1958*#REF!),"")</f>
        <v/>
      </c>
    </row>
    <row r="1959" spans="2:9" x14ac:dyDescent="0.3">
      <c r="B1959" t="str">
        <f>IFERROR(IF(A1959="","",VLOOKUP(A1959,CadProd!$A:$B,2,0)),"")</f>
        <v/>
      </c>
      <c r="C1959" t="str">
        <f>IFERROR(IF(A1959="","",VLOOKUP(A1959,CadProd!$A:$C,3,0)),"")</f>
        <v/>
      </c>
      <c r="I1959" s="1" t="str">
        <f>IFERROR(IF(A1959="","",E1959*#REF!),"")</f>
        <v/>
      </c>
    </row>
    <row r="1960" spans="2:9" x14ac:dyDescent="0.3">
      <c r="B1960" t="str">
        <f>IFERROR(IF(A1960="","",VLOOKUP(A1960,CadProd!$A:$B,2,0)),"")</f>
        <v/>
      </c>
      <c r="C1960" t="str">
        <f>IFERROR(IF(A1960="","",VLOOKUP(A1960,CadProd!$A:$C,3,0)),"")</f>
        <v/>
      </c>
      <c r="I1960" s="1" t="str">
        <f>IFERROR(IF(A1960="","",E1960*#REF!),"")</f>
        <v/>
      </c>
    </row>
    <row r="1961" spans="2:9" x14ac:dyDescent="0.3">
      <c r="B1961" t="str">
        <f>IFERROR(IF(A1961="","",VLOOKUP(A1961,CadProd!$A:$B,2,0)),"")</f>
        <v/>
      </c>
      <c r="C1961" t="str">
        <f>IFERROR(IF(A1961="","",VLOOKUP(A1961,CadProd!$A:$C,3,0)),"")</f>
        <v/>
      </c>
      <c r="I1961" s="1" t="str">
        <f>IFERROR(IF(A1961="","",E1961*#REF!),"")</f>
        <v/>
      </c>
    </row>
    <row r="1962" spans="2:9" x14ac:dyDescent="0.3">
      <c r="B1962" t="str">
        <f>IFERROR(IF(A1962="","",VLOOKUP(A1962,CadProd!$A:$B,2,0)),"")</f>
        <v/>
      </c>
      <c r="C1962" t="str">
        <f>IFERROR(IF(A1962="","",VLOOKUP(A1962,CadProd!$A:$C,3,0)),"")</f>
        <v/>
      </c>
      <c r="I1962" s="1" t="str">
        <f>IFERROR(IF(A1962="","",E1962*#REF!),"")</f>
        <v/>
      </c>
    </row>
    <row r="1963" spans="2:9" x14ac:dyDescent="0.3">
      <c r="B1963" t="str">
        <f>IFERROR(IF(A1963="","",VLOOKUP(A1963,CadProd!$A:$B,2,0)),"")</f>
        <v/>
      </c>
      <c r="C1963" t="str">
        <f>IFERROR(IF(A1963="","",VLOOKUP(A1963,CadProd!$A:$C,3,0)),"")</f>
        <v/>
      </c>
      <c r="I1963" s="1" t="str">
        <f>IFERROR(IF(A1963="","",E1963*#REF!),"")</f>
        <v/>
      </c>
    </row>
    <row r="1964" spans="2:9" x14ac:dyDescent="0.3">
      <c r="B1964" t="str">
        <f>IFERROR(IF(A1964="","",VLOOKUP(A1964,CadProd!$A:$B,2,0)),"")</f>
        <v/>
      </c>
      <c r="C1964" t="str">
        <f>IFERROR(IF(A1964="","",VLOOKUP(A1964,CadProd!$A:$C,3,0)),"")</f>
        <v/>
      </c>
      <c r="I1964" s="1" t="str">
        <f>IFERROR(IF(A1964="","",E1964*#REF!),"")</f>
        <v/>
      </c>
    </row>
    <row r="1965" spans="2:9" x14ac:dyDescent="0.3">
      <c r="B1965" t="str">
        <f>IFERROR(IF(A1965="","",VLOOKUP(A1965,CadProd!$A:$B,2,0)),"")</f>
        <v/>
      </c>
      <c r="C1965" t="str">
        <f>IFERROR(IF(A1965="","",VLOOKUP(A1965,CadProd!$A:$C,3,0)),"")</f>
        <v/>
      </c>
      <c r="I1965" s="1" t="str">
        <f>IFERROR(IF(A1965="","",E1965*#REF!),"")</f>
        <v/>
      </c>
    </row>
    <row r="1966" spans="2:9" x14ac:dyDescent="0.3">
      <c r="B1966" t="str">
        <f>IFERROR(IF(A1966="","",VLOOKUP(A1966,CadProd!$A:$B,2,0)),"")</f>
        <v/>
      </c>
      <c r="C1966" t="str">
        <f>IFERROR(IF(A1966="","",VLOOKUP(A1966,CadProd!$A:$C,3,0)),"")</f>
        <v/>
      </c>
      <c r="I1966" s="1" t="str">
        <f>IFERROR(IF(A1966="","",E1966*#REF!),"")</f>
        <v/>
      </c>
    </row>
    <row r="1967" spans="2:9" x14ac:dyDescent="0.3">
      <c r="B1967" t="str">
        <f>IFERROR(IF(A1967="","",VLOOKUP(A1967,CadProd!$A:$B,2,0)),"")</f>
        <v/>
      </c>
      <c r="C1967" t="str">
        <f>IFERROR(IF(A1967="","",VLOOKUP(A1967,CadProd!$A:$C,3,0)),"")</f>
        <v/>
      </c>
      <c r="I1967" s="1" t="str">
        <f>IFERROR(IF(A1967="","",E1967*#REF!),"")</f>
        <v/>
      </c>
    </row>
    <row r="1968" spans="2:9" x14ac:dyDescent="0.3">
      <c r="B1968" t="str">
        <f>IFERROR(IF(A1968="","",VLOOKUP(A1968,CadProd!$A:$B,2,0)),"")</f>
        <v/>
      </c>
      <c r="C1968" t="str">
        <f>IFERROR(IF(A1968="","",VLOOKUP(A1968,CadProd!$A:$C,3,0)),"")</f>
        <v/>
      </c>
      <c r="I1968" s="1" t="str">
        <f>IFERROR(IF(A1968="","",E1968*#REF!),"")</f>
        <v/>
      </c>
    </row>
    <row r="1969" spans="2:9" x14ac:dyDescent="0.3">
      <c r="B1969" t="str">
        <f>IFERROR(IF(A1969="","",VLOOKUP(A1969,CadProd!$A:$B,2,0)),"")</f>
        <v/>
      </c>
      <c r="C1969" t="str">
        <f>IFERROR(IF(A1969="","",VLOOKUP(A1969,CadProd!$A:$C,3,0)),"")</f>
        <v/>
      </c>
      <c r="I1969" s="1" t="str">
        <f>IFERROR(IF(A1969="","",E1969*#REF!),"")</f>
        <v/>
      </c>
    </row>
    <row r="1970" spans="2:9" x14ac:dyDescent="0.3">
      <c r="B1970" t="str">
        <f>IFERROR(IF(A1970="","",VLOOKUP(A1970,CadProd!$A:$B,2,0)),"")</f>
        <v/>
      </c>
      <c r="C1970" t="str">
        <f>IFERROR(IF(A1970="","",VLOOKUP(A1970,CadProd!$A:$C,3,0)),"")</f>
        <v/>
      </c>
      <c r="I1970" s="1" t="str">
        <f>IFERROR(IF(A1970="","",E1970*#REF!),"")</f>
        <v/>
      </c>
    </row>
    <row r="1971" spans="2:9" x14ac:dyDescent="0.3">
      <c r="B1971" t="str">
        <f>IFERROR(IF(A1971="","",VLOOKUP(A1971,CadProd!$A:$B,2,0)),"")</f>
        <v/>
      </c>
      <c r="C1971" t="str">
        <f>IFERROR(IF(A1971="","",VLOOKUP(A1971,CadProd!$A:$C,3,0)),"")</f>
        <v/>
      </c>
      <c r="I1971" s="1" t="str">
        <f>IFERROR(IF(A1971="","",E1971*#REF!),"")</f>
        <v/>
      </c>
    </row>
    <row r="1972" spans="2:9" x14ac:dyDescent="0.3">
      <c r="B1972" t="str">
        <f>IFERROR(IF(A1972="","",VLOOKUP(A1972,CadProd!$A:$B,2,0)),"")</f>
        <v/>
      </c>
      <c r="C1972" t="str">
        <f>IFERROR(IF(A1972="","",VLOOKUP(A1972,CadProd!$A:$C,3,0)),"")</f>
        <v/>
      </c>
      <c r="I1972" s="1" t="str">
        <f>IFERROR(IF(A1972="","",E1972*#REF!),"")</f>
        <v/>
      </c>
    </row>
    <row r="1973" spans="2:9" x14ac:dyDescent="0.3">
      <c r="B1973" t="str">
        <f>IFERROR(IF(A1973="","",VLOOKUP(A1973,CadProd!$A:$B,2,0)),"")</f>
        <v/>
      </c>
      <c r="C1973" t="str">
        <f>IFERROR(IF(A1973="","",VLOOKUP(A1973,CadProd!$A:$C,3,0)),"")</f>
        <v/>
      </c>
      <c r="I1973" s="1" t="str">
        <f>IFERROR(IF(A1973="","",E1973*#REF!),"")</f>
        <v/>
      </c>
    </row>
    <row r="1974" spans="2:9" x14ac:dyDescent="0.3">
      <c r="B1974" t="str">
        <f>IFERROR(IF(A1974="","",VLOOKUP(A1974,CadProd!$A:$B,2,0)),"")</f>
        <v/>
      </c>
      <c r="C1974" t="str">
        <f>IFERROR(IF(A1974="","",VLOOKUP(A1974,CadProd!$A:$C,3,0)),"")</f>
        <v/>
      </c>
      <c r="I1974" s="1" t="str">
        <f>IFERROR(IF(A1974="","",E1974*#REF!),"")</f>
        <v/>
      </c>
    </row>
    <row r="1975" spans="2:9" x14ac:dyDescent="0.3">
      <c r="B1975" t="str">
        <f>IFERROR(IF(A1975="","",VLOOKUP(A1975,CadProd!$A:$B,2,0)),"")</f>
        <v/>
      </c>
      <c r="C1975" t="str">
        <f>IFERROR(IF(A1975="","",VLOOKUP(A1975,CadProd!$A:$C,3,0)),"")</f>
        <v/>
      </c>
      <c r="I1975" s="1" t="str">
        <f>IFERROR(IF(A1975="","",E1975*#REF!),"")</f>
        <v/>
      </c>
    </row>
    <row r="1976" spans="2:9" x14ac:dyDescent="0.3">
      <c r="B1976" t="str">
        <f>IFERROR(IF(A1976="","",VLOOKUP(A1976,CadProd!$A:$B,2,0)),"")</f>
        <v/>
      </c>
      <c r="C1976" t="str">
        <f>IFERROR(IF(A1976="","",VLOOKUP(A1976,CadProd!$A:$C,3,0)),"")</f>
        <v/>
      </c>
      <c r="I1976" s="1" t="str">
        <f>IFERROR(IF(A1976="","",E1976*#REF!),"")</f>
        <v/>
      </c>
    </row>
    <row r="1977" spans="2:9" x14ac:dyDescent="0.3">
      <c r="B1977" t="str">
        <f>IFERROR(IF(A1977="","",VLOOKUP(A1977,CadProd!$A:$B,2,0)),"")</f>
        <v/>
      </c>
      <c r="C1977" t="str">
        <f>IFERROR(IF(A1977="","",VLOOKUP(A1977,CadProd!$A:$C,3,0)),"")</f>
        <v/>
      </c>
      <c r="I1977" s="1" t="str">
        <f>IFERROR(IF(A1977="","",E1977*#REF!),"")</f>
        <v/>
      </c>
    </row>
    <row r="1978" spans="2:9" x14ac:dyDescent="0.3">
      <c r="B1978" t="str">
        <f>IFERROR(IF(A1978="","",VLOOKUP(A1978,CadProd!$A:$B,2,0)),"")</f>
        <v/>
      </c>
      <c r="C1978" t="str">
        <f>IFERROR(IF(A1978="","",VLOOKUP(A1978,CadProd!$A:$C,3,0)),"")</f>
        <v/>
      </c>
      <c r="I1978" s="1" t="str">
        <f>IFERROR(IF(A1978="","",E1978*#REF!),"")</f>
        <v/>
      </c>
    </row>
    <row r="1979" spans="2:9" x14ac:dyDescent="0.3">
      <c r="B1979" t="str">
        <f>IFERROR(IF(A1979="","",VLOOKUP(A1979,CadProd!$A:$B,2,0)),"")</f>
        <v/>
      </c>
      <c r="C1979" t="str">
        <f>IFERROR(IF(A1979="","",VLOOKUP(A1979,CadProd!$A:$C,3,0)),"")</f>
        <v/>
      </c>
      <c r="I1979" s="1" t="str">
        <f>IFERROR(IF(A1979="","",E1979*#REF!),"")</f>
        <v/>
      </c>
    </row>
    <row r="1980" spans="2:9" x14ac:dyDescent="0.3">
      <c r="B1980" t="str">
        <f>IFERROR(IF(A1980="","",VLOOKUP(A1980,CadProd!$A:$B,2,0)),"")</f>
        <v/>
      </c>
      <c r="C1980" t="str">
        <f>IFERROR(IF(A1980="","",VLOOKUP(A1980,CadProd!$A:$C,3,0)),"")</f>
        <v/>
      </c>
      <c r="I1980" s="1" t="str">
        <f>IFERROR(IF(A1980="","",E1980*#REF!),"")</f>
        <v/>
      </c>
    </row>
    <row r="1981" spans="2:9" x14ac:dyDescent="0.3">
      <c r="B1981" t="str">
        <f>IFERROR(IF(A1981="","",VLOOKUP(A1981,CadProd!$A:$B,2,0)),"")</f>
        <v/>
      </c>
      <c r="C1981" t="str">
        <f>IFERROR(IF(A1981="","",VLOOKUP(A1981,CadProd!$A:$C,3,0)),"")</f>
        <v/>
      </c>
      <c r="I1981" s="1" t="str">
        <f>IFERROR(IF(A1981="","",E1981*#REF!),"")</f>
        <v/>
      </c>
    </row>
    <row r="1982" spans="2:9" x14ac:dyDescent="0.3">
      <c r="B1982" t="str">
        <f>IFERROR(IF(A1982="","",VLOOKUP(A1982,CadProd!$A:$B,2,0)),"")</f>
        <v/>
      </c>
      <c r="C1982" t="str">
        <f>IFERROR(IF(A1982="","",VLOOKUP(A1982,CadProd!$A:$C,3,0)),"")</f>
        <v/>
      </c>
      <c r="I1982" s="1" t="str">
        <f>IFERROR(IF(A1982="","",E1982*#REF!),"")</f>
        <v/>
      </c>
    </row>
    <row r="1983" spans="2:9" x14ac:dyDescent="0.3">
      <c r="B1983" t="str">
        <f>IFERROR(IF(A1983="","",VLOOKUP(A1983,CadProd!$A:$B,2,0)),"")</f>
        <v/>
      </c>
      <c r="C1983" t="str">
        <f>IFERROR(IF(A1983="","",VLOOKUP(A1983,CadProd!$A:$C,3,0)),"")</f>
        <v/>
      </c>
      <c r="I1983" s="1" t="str">
        <f>IFERROR(IF(A1983="","",E1983*#REF!),"")</f>
        <v/>
      </c>
    </row>
    <row r="1984" spans="2:9" x14ac:dyDescent="0.3">
      <c r="B1984" t="str">
        <f>IFERROR(IF(A1984="","",VLOOKUP(A1984,CadProd!$A:$B,2,0)),"")</f>
        <v/>
      </c>
      <c r="C1984" t="str">
        <f>IFERROR(IF(A1984="","",VLOOKUP(A1984,CadProd!$A:$C,3,0)),"")</f>
        <v/>
      </c>
      <c r="I1984" s="1" t="str">
        <f>IFERROR(IF(A1984="","",E1984*#REF!),"")</f>
        <v/>
      </c>
    </row>
    <row r="1985" spans="2:9" x14ac:dyDescent="0.3">
      <c r="B1985" t="str">
        <f>IFERROR(IF(A1985="","",VLOOKUP(A1985,CadProd!$A:$B,2,0)),"")</f>
        <v/>
      </c>
      <c r="C1985" t="str">
        <f>IFERROR(IF(A1985="","",VLOOKUP(A1985,CadProd!$A:$C,3,0)),"")</f>
        <v/>
      </c>
      <c r="I1985" s="1" t="str">
        <f>IFERROR(IF(A1985="","",E1985*#REF!),"")</f>
        <v/>
      </c>
    </row>
    <row r="1986" spans="2:9" x14ac:dyDescent="0.3">
      <c r="B1986" t="str">
        <f>IFERROR(IF(A1986="","",VLOOKUP(A1986,CadProd!$A:$B,2,0)),"")</f>
        <v/>
      </c>
      <c r="C1986" t="str">
        <f>IFERROR(IF(A1986="","",VLOOKUP(A1986,CadProd!$A:$C,3,0)),"")</f>
        <v/>
      </c>
      <c r="I1986" s="1" t="str">
        <f>IFERROR(IF(A1986="","",E1986*#REF!),"")</f>
        <v/>
      </c>
    </row>
    <row r="1987" spans="2:9" x14ac:dyDescent="0.3">
      <c r="B1987" t="str">
        <f>IFERROR(IF(A1987="","",VLOOKUP(A1987,CadProd!$A:$B,2,0)),"")</f>
        <v/>
      </c>
      <c r="C1987" t="str">
        <f>IFERROR(IF(A1987="","",VLOOKUP(A1987,CadProd!$A:$C,3,0)),"")</f>
        <v/>
      </c>
      <c r="I1987" s="1" t="str">
        <f>IFERROR(IF(A1987="","",E1987*#REF!),"")</f>
        <v/>
      </c>
    </row>
    <row r="1988" spans="2:9" x14ac:dyDescent="0.3">
      <c r="B1988" t="str">
        <f>IFERROR(IF(A1988="","",VLOOKUP(A1988,CadProd!$A:$B,2,0)),"")</f>
        <v/>
      </c>
      <c r="C1988" t="str">
        <f>IFERROR(IF(A1988="","",VLOOKUP(A1988,CadProd!$A:$C,3,0)),"")</f>
        <v/>
      </c>
      <c r="I1988" s="1" t="str">
        <f>IFERROR(IF(A1988="","",E1988*#REF!),"")</f>
        <v/>
      </c>
    </row>
    <row r="1989" spans="2:9" x14ac:dyDescent="0.3">
      <c r="B1989" t="str">
        <f>IFERROR(IF(A1989="","",VLOOKUP(A1989,CadProd!$A:$B,2,0)),"")</f>
        <v/>
      </c>
      <c r="C1989" t="str">
        <f>IFERROR(IF(A1989="","",VLOOKUP(A1989,CadProd!$A:$C,3,0)),"")</f>
        <v/>
      </c>
      <c r="I1989" s="1" t="str">
        <f>IFERROR(IF(A1989="","",E1989*#REF!),"")</f>
        <v/>
      </c>
    </row>
    <row r="1990" spans="2:9" x14ac:dyDescent="0.3">
      <c r="B1990" t="str">
        <f>IFERROR(IF(A1990="","",VLOOKUP(A1990,CadProd!$A:$B,2,0)),"")</f>
        <v/>
      </c>
      <c r="C1990" t="str">
        <f>IFERROR(IF(A1990="","",VLOOKUP(A1990,CadProd!$A:$C,3,0)),"")</f>
        <v/>
      </c>
      <c r="I1990" s="1" t="str">
        <f>IFERROR(IF(A1990="","",E1990*#REF!),"")</f>
        <v/>
      </c>
    </row>
    <row r="1991" spans="2:9" x14ac:dyDescent="0.3">
      <c r="B1991" t="str">
        <f>IFERROR(IF(A1991="","",VLOOKUP(A1991,CadProd!$A:$B,2,0)),"")</f>
        <v/>
      </c>
      <c r="C1991" t="str">
        <f>IFERROR(IF(A1991="","",VLOOKUP(A1991,CadProd!$A:$C,3,0)),"")</f>
        <v/>
      </c>
      <c r="I1991" s="1" t="str">
        <f>IFERROR(IF(A1991="","",E1991*#REF!),"")</f>
        <v/>
      </c>
    </row>
    <row r="1992" spans="2:9" x14ac:dyDescent="0.3">
      <c r="B1992" t="str">
        <f>IFERROR(IF(A1992="","",VLOOKUP(A1992,CadProd!$A:$B,2,0)),"")</f>
        <v/>
      </c>
      <c r="C1992" t="str">
        <f>IFERROR(IF(A1992="","",VLOOKUP(A1992,CadProd!$A:$C,3,0)),"")</f>
        <v/>
      </c>
      <c r="I1992" s="1" t="str">
        <f>IFERROR(IF(A1992="","",E1992*#REF!),"")</f>
        <v/>
      </c>
    </row>
    <row r="1993" spans="2:9" x14ac:dyDescent="0.3">
      <c r="B1993" t="str">
        <f>IFERROR(IF(A1993="","",VLOOKUP(A1993,CadProd!$A:$B,2,0)),"")</f>
        <v/>
      </c>
      <c r="C1993" t="str">
        <f>IFERROR(IF(A1993="","",VLOOKUP(A1993,CadProd!$A:$C,3,0)),"")</f>
        <v/>
      </c>
      <c r="I1993" s="1" t="str">
        <f>IFERROR(IF(A1993="","",E1993*#REF!),"")</f>
        <v/>
      </c>
    </row>
    <row r="1994" spans="2:9" x14ac:dyDescent="0.3">
      <c r="B1994" t="str">
        <f>IFERROR(IF(A1994="","",VLOOKUP(A1994,CadProd!$A:$B,2,0)),"")</f>
        <v/>
      </c>
      <c r="C1994" t="str">
        <f>IFERROR(IF(A1994="","",VLOOKUP(A1994,CadProd!$A:$C,3,0)),"")</f>
        <v/>
      </c>
      <c r="I1994" s="1" t="str">
        <f>IFERROR(IF(A1994="","",E1994*#REF!),"")</f>
        <v/>
      </c>
    </row>
    <row r="1995" spans="2:9" x14ac:dyDescent="0.3">
      <c r="B1995" t="str">
        <f>IFERROR(IF(A1995="","",VLOOKUP(A1995,CadProd!$A:$B,2,0)),"")</f>
        <v/>
      </c>
      <c r="C1995" t="str">
        <f>IFERROR(IF(A1995="","",VLOOKUP(A1995,CadProd!$A:$C,3,0)),"")</f>
        <v/>
      </c>
      <c r="I1995" s="1" t="str">
        <f>IFERROR(IF(A1995="","",E1995*#REF!),"")</f>
        <v/>
      </c>
    </row>
    <row r="1996" spans="2:9" x14ac:dyDescent="0.3">
      <c r="B1996" t="str">
        <f>IFERROR(IF(A1996="","",VLOOKUP(A1996,CadProd!$A:$B,2,0)),"")</f>
        <v/>
      </c>
      <c r="C1996" t="str">
        <f>IFERROR(IF(A1996="","",VLOOKUP(A1996,CadProd!$A:$C,3,0)),"")</f>
        <v/>
      </c>
      <c r="I1996" s="1" t="str">
        <f>IFERROR(IF(A1996="","",E1996*#REF!),"")</f>
        <v/>
      </c>
    </row>
    <row r="1997" spans="2:9" x14ac:dyDescent="0.3">
      <c r="B1997" t="str">
        <f>IFERROR(IF(A1997="","",VLOOKUP(A1997,CadProd!$A:$B,2,0)),"")</f>
        <v/>
      </c>
      <c r="C1997" t="str">
        <f>IFERROR(IF(A1997="","",VLOOKUP(A1997,CadProd!$A:$C,3,0)),"")</f>
        <v/>
      </c>
      <c r="I1997" s="1" t="str">
        <f>IFERROR(IF(A1997="","",E1997*#REF!),"")</f>
        <v/>
      </c>
    </row>
    <row r="1998" spans="2:9" x14ac:dyDescent="0.3">
      <c r="B1998" t="str">
        <f>IFERROR(IF(A1998="","",VLOOKUP(A1998,CadProd!$A:$B,2,0)),"")</f>
        <v/>
      </c>
      <c r="C1998" t="str">
        <f>IFERROR(IF(A1998="","",VLOOKUP(A1998,CadProd!$A:$C,3,0)),"")</f>
        <v/>
      </c>
      <c r="I1998" s="1" t="str">
        <f>IFERROR(IF(A1998="","",E1998*#REF!),"")</f>
        <v/>
      </c>
    </row>
    <row r="1999" spans="2:9" x14ac:dyDescent="0.3">
      <c r="B1999" t="str">
        <f>IFERROR(IF(A1999="","",VLOOKUP(A1999,CadProd!$A:$B,2,0)),"")</f>
        <v/>
      </c>
      <c r="C1999" t="str">
        <f>IFERROR(IF(A1999="","",VLOOKUP(A1999,CadProd!$A:$C,3,0)),"")</f>
        <v/>
      </c>
      <c r="I1999" s="1" t="str">
        <f>IFERROR(IF(A1999="","",E1999*#REF!),"")</f>
        <v/>
      </c>
    </row>
    <row r="2000" spans="2:9" x14ac:dyDescent="0.3">
      <c r="B2000" t="str">
        <f>IFERROR(IF(A2000="","",VLOOKUP(A2000,CadProd!$A:$B,2,0)),"")</f>
        <v/>
      </c>
      <c r="C2000" t="str">
        <f>IFERROR(IF(A2000="","",VLOOKUP(A2000,CadProd!$A:$C,3,0)),"")</f>
        <v/>
      </c>
      <c r="I2000" s="1" t="str">
        <f>IFERROR(IF(A2000="","",E2000*#REF!),"")</f>
        <v/>
      </c>
    </row>
    <row r="2001" spans="2:9" x14ac:dyDescent="0.3">
      <c r="B2001" t="str">
        <f>IFERROR(IF(A2001="","",VLOOKUP(A2001,CadProd!$A:$B,2,0)),"")</f>
        <v/>
      </c>
      <c r="C2001" t="str">
        <f>IFERROR(IF(A2001="","",VLOOKUP(A2001,CadProd!$A:$C,3,0)),"")</f>
        <v/>
      </c>
      <c r="I2001" s="1" t="str">
        <f>IFERROR(IF(A2001="","",E2001*#REF!),"")</f>
        <v/>
      </c>
    </row>
    <row r="2002" spans="2:9" x14ac:dyDescent="0.3">
      <c r="B2002" t="str">
        <f>IFERROR(IF(A2002="","",VLOOKUP(A2002,CadProd!$A:$B,2,0)),"")</f>
        <v/>
      </c>
      <c r="C2002" t="str">
        <f>IFERROR(IF(A2002="","",VLOOKUP(A2002,CadProd!$A:$C,3,0)),"")</f>
        <v/>
      </c>
      <c r="I2002" s="1" t="str">
        <f>IFERROR(IF(A2002="","",E2002*#REF!),"")</f>
        <v/>
      </c>
    </row>
    <row r="2003" spans="2:9" x14ac:dyDescent="0.3">
      <c r="B2003" t="str">
        <f>IFERROR(IF(A2003="","",VLOOKUP(A2003,CadProd!$A:$B,2,0)),"")</f>
        <v/>
      </c>
      <c r="C2003" t="str">
        <f>IFERROR(IF(A2003="","",VLOOKUP(A2003,CadProd!$A:$C,3,0)),"")</f>
        <v/>
      </c>
      <c r="I2003" s="1" t="str">
        <f>IFERROR(IF(A2003="","",E2003*#REF!),"")</f>
        <v/>
      </c>
    </row>
    <row r="2004" spans="2:9" x14ac:dyDescent="0.3">
      <c r="B2004" t="str">
        <f>IFERROR(IF(A2004="","",VLOOKUP(A2004,CadProd!$A:$B,2,0)),"")</f>
        <v/>
      </c>
      <c r="C2004" t="str">
        <f>IFERROR(IF(A2004="","",VLOOKUP(A2004,CadProd!$A:$C,3,0)),"")</f>
        <v/>
      </c>
      <c r="I2004" s="1" t="str">
        <f>IFERROR(IF(A2004="","",E2004*#REF!),"")</f>
        <v/>
      </c>
    </row>
    <row r="2005" spans="2:9" x14ac:dyDescent="0.3">
      <c r="B2005" t="str">
        <f>IFERROR(IF(A2005="","",VLOOKUP(A2005,CadProd!$A:$B,2,0)),"")</f>
        <v/>
      </c>
      <c r="C2005" t="str">
        <f>IFERROR(IF(A2005="","",VLOOKUP(A2005,CadProd!$A:$C,3,0)),"")</f>
        <v/>
      </c>
      <c r="I2005" s="1" t="str">
        <f>IFERROR(IF(A2005="","",E2005*#REF!),"")</f>
        <v/>
      </c>
    </row>
    <row r="2006" spans="2:9" x14ac:dyDescent="0.3">
      <c r="B2006" t="str">
        <f>IFERROR(IF(A2006="","",VLOOKUP(A2006,CadProd!$A:$B,2,0)),"")</f>
        <v/>
      </c>
      <c r="C2006" t="str">
        <f>IFERROR(IF(A2006="","",VLOOKUP(A2006,CadProd!$A:$C,3,0)),"")</f>
        <v/>
      </c>
      <c r="I2006" s="1" t="str">
        <f>IFERROR(IF(A2006="","",E2006*#REF!),"")</f>
        <v/>
      </c>
    </row>
    <row r="2007" spans="2:9" x14ac:dyDescent="0.3">
      <c r="B2007" t="str">
        <f>IFERROR(IF(A2007="","",VLOOKUP(A2007,CadProd!$A:$B,2,0)),"")</f>
        <v/>
      </c>
      <c r="C2007" t="str">
        <f>IFERROR(IF(A2007="","",VLOOKUP(A2007,CadProd!$A:$C,3,0)),"")</f>
        <v/>
      </c>
      <c r="I2007" s="1" t="str">
        <f>IFERROR(IF(A2007="","",E2007*#REF!),"")</f>
        <v/>
      </c>
    </row>
    <row r="2008" spans="2:9" x14ac:dyDescent="0.3">
      <c r="B2008" t="str">
        <f>IFERROR(IF(A2008="","",VLOOKUP(A2008,CadProd!$A:$B,2,0)),"")</f>
        <v/>
      </c>
      <c r="C2008" t="str">
        <f>IFERROR(IF(A2008="","",VLOOKUP(A2008,CadProd!$A:$C,3,0)),"")</f>
        <v/>
      </c>
      <c r="I2008" s="1" t="str">
        <f>IFERROR(IF(A2008="","",E2008*#REF!),"")</f>
        <v/>
      </c>
    </row>
    <row r="2009" spans="2:9" x14ac:dyDescent="0.3">
      <c r="B2009" t="str">
        <f>IFERROR(IF(A2009="","",VLOOKUP(A2009,CadProd!$A:$B,2,0)),"")</f>
        <v/>
      </c>
      <c r="C2009" t="str">
        <f>IFERROR(IF(A2009="","",VLOOKUP(A2009,CadProd!$A:$C,3,0)),"")</f>
        <v/>
      </c>
      <c r="I2009" s="1" t="str">
        <f>IFERROR(IF(A2009="","",E2009*#REF!),"")</f>
        <v/>
      </c>
    </row>
    <row r="2010" spans="2:9" x14ac:dyDescent="0.3">
      <c r="B2010" t="str">
        <f>IFERROR(IF(A2010="","",VLOOKUP(A2010,CadProd!$A:$B,2,0)),"")</f>
        <v/>
      </c>
      <c r="C2010" t="str">
        <f>IFERROR(IF(A2010="","",VLOOKUP(A2010,CadProd!$A:$C,3,0)),"")</f>
        <v/>
      </c>
      <c r="I2010" s="1" t="str">
        <f>IFERROR(IF(A2010="","",E2010*#REF!),"")</f>
        <v/>
      </c>
    </row>
    <row r="2011" spans="2:9" x14ac:dyDescent="0.3">
      <c r="B2011" t="str">
        <f>IFERROR(IF(A2011="","",VLOOKUP(A2011,CadProd!$A:$B,2,0)),"")</f>
        <v/>
      </c>
      <c r="C2011" t="str">
        <f>IFERROR(IF(A2011="","",VLOOKUP(A2011,CadProd!$A:$C,3,0)),"")</f>
        <v/>
      </c>
      <c r="I2011" s="1" t="str">
        <f>IFERROR(IF(A2011="","",E2011*#REF!),"")</f>
        <v/>
      </c>
    </row>
    <row r="2012" spans="2:9" x14ac:dyDescent="0.3">
      <c r="B2012" t="str">
        <f>IFERROR(IF(A2012="","",VLOOKUP(A2012,CadProd!$A:$B,2,0)),"")</f>
        <v/>
      </c>
      <c r="C2012" t="str">
        <f>IFERROR(IF(A2012="","",VLOOKUP(A2012,CadProd!$A:$C,3,0)),"")</f>
        <v/>
      </c>
      <c r="I2012" s="1" t="str">
        <f>IFERROR(IF(A2012="","",E2012*#REF!),"")</f>
        <v/>
      </c>
    </row>
    <row r="2013" spans="2:9" x14ac:dyDescent="0.3">
      <c r="B2013" t="str">
        <f>IFERROR(IF(A2013="","",VLOOKUP(A2013,CadProd!$A:$B,2,0)),"")</f>
        <v/>
      </c>
      <c r="C2013" t="str">
        <f>IFERROR(IF(A2013="","",VLOOKUP(A2013,CadProd!$A:$C,3,0)),"")</f>
        <v/>
      </c>
      <c r="I2013" s="1" t="str">
        <f>IFERROR(IF(A2013="","",E2013*#REF!),"")</f>
        <v/>
      </c>
    </row>
    <row r="2014" spans="2:9" x14ac:dyDescent="0.3">
      <c r="B2014" t="str">
        <f>IFERROR(IF(A2014="","",VLOOKUP(A2014,CadProd!$A:$B,2,0)),"")</f>
        <v/>
      </c>
      <c r="C2014" t="str">
        <f>IFERROR(IF(A2014="","",VLOOKUP(A2014,CadProd!$A:$C,3,0)),"")</f>
        <v/>
      </c>
      <c r="I2014" s="1" t="str">
        <f>IFERROR(IF(A2014="","",E2014*#REF!),"")</f>
        <v/>
      </c>
    </row>
    <row r="2015" spans="2:9" x14ac:dyDescent="0.3">
      <c r="B2015" t="str">
        <f>IFERROR(IF(A2015="","",VLOOKUP(A2015,CadProd!$A:$B,2,0)),"")</f>
        <v/>
      </c>
      <c r="C2015" t="str">
        <f>IFERROR(IF(A2015="","",VLOOKUP(A2015,CadProd!$A:$C,3,0)),"")</f>
        <v/>
      </c>
      <c r="I2015" s="1" t="str">
        <f>IFERROR(IF(A2015="","",E2015*#REF!),"")</f>
        <v/>
      </c>
    </row>
    <row r="2016" spans="2:9" x14ac:dyDescent="0.3">
      <c r="B2016" t="str">
        <f>IFERROR(IF(A2016="","",VLOOKUP(A2016,CadProd!$A:$B,2,0)),"")</f>
        <v/>
      </c>
      <c r="C2016" t="str">
        <f>IFERROR(IF(A2016="","",VLOOKUP(A2016,CadProd!$A:$C,3,0)),"")</f>
        <v/>
      </c>
      <c r="I2016" s="1" t="str">
        <f>IFERROR(IF(A2016="","",E2016*#REF!),"")</f>
        <v/>
      </c>
    </row>
    <row r="2017" spans="2:9" x14ac:dyDescent="0.3">
      <c r="B2017" t="str">
        <f>IFERROR(IF(A2017="","",VLOOKUP(A2017,CadProd!$A:$B,2,0)),"")</f>
        <v/>
      </c>
      <c r="C2017" t="str">
        <f>IFERROR(IF(A2017="","",VLOOKUP(A2017,CadProd!$A:$C,3,0)),"")</f>
        <v/>
      </c>
      <c r="I2017" s="1" t="str">
        <f>IFERROR(IF(A2017="","",E2017*#REF!),"")</f>
        <v/>
      </c>
    </row>
    <row r="2018" spans="2:9" x14ac:dyDescent="0.3">
      <c r="B2018" t="str">
        <f>IFERROR(IF(A2018="","",VLOOKUP(A2018,CadProd!$A:$B,2,0)),"")</f>
        <v/>
      </c>
      <c r="C2018" t="str">
        <f>IFERROR(IF(A2018="","",VLOOKUP(A2018,CadProd!$A:$C,3,0)),"")</f>
        <v/>
      </c>
      <c r="I2018" s="1" t="str">
        <f>IFERROR(IF(A2018="","",E2018*#REF!),"")</f>
        <v/>
      </c>
    </row>
    <row r="2019" spans="2:9" x14ac:dyDescent="0.3">
      <c r="B2019" t="str">
        <f>IFERROR(IF(A2019="","",VLOOKUP(A2019,CadProd!$A:$B,2,0)),"")</f>
        <v/>
      </c>
      <c r="C2019" t="str">
        <f>IFERROR(IF(A2019="","",VLOOKUP(A2019,CadProd!$A:$C,3,0)),"")</f>
        <v/>
      </c>
      <c r="I2019" s="1" t="str">
        <f>IFERROR(IF(A2019="","",E2019*#REF!),"")</f>
        <v/>
      </c>
    </row>
    <row r="2020" spans="2:9" x14ac:dyDescent="0.3">
      <c r="B2020" t="str">
        <f>IFERROR(IF(A2020="","",VLOOKUP(A2020,CadProd!$A:$B,2,0)),"")</f>
        <v/>
      </c>
      <c r="C2020" t="str">
        <f>IFERROR(IF(A2020="","",VLOOKUP(A2020,CadProd!$A:$C,3,0)),"")</f>
        <v/>
      </c>
      <c r="I2020" s="1" t="str">
        <f>IFERROR(IF(A2020="","",E2020*#REF!),"")</f>
        <v/>
      </c>
    </row>
    <row r="2021" spans="2:9" x14ac:dyDescent="0.3">
      <c r="B2021" t="str">
        <f>IFERROR(IF(A2021="","",VLOOKUP(A2021,CadProd!$A:$B,2,0)),"")</f>
        <v/>
      </c>
      <c r="C2021" t="str">
        <f>IFERROR(IF(A2021="","",VLOOKUP(A2021,CadProd!$A:$C,3,0)),"")</f>
        <v/>
      </c>
      <c r="I2021" s="1" t="str">
        <f>IFERROR(IF(A2021="","",E2021*#REF!),"")</f>
        <v/>
      </c>
    </row>
    <row r="2022" spans="2:9" x14ac:dyDescent="0.3">
      <c r="B2022" t="str">
        <f>IFERROR(IF(A2022="","",VLOOKUP(A2022,CadProd!$A:$B,2,0)),"")</f>
        <v/>
      </c>
      <c r="C2022" t="str">
        <f>IFERROR(IF(A2022="","",VLOOKUP(A2022,CadProd!$A:$C,3,0)),"")</f>
        <v/>
      </c>
      <c r="I2022" s="1" t="str">
        <f>IFERROR(IF(A2022="","",E2022*#REF!),"")</f>
        <v/>
      </c>
    </row>
    <row r="2023" spans="2:9" x14ac:dyDescent="0.3">
      <c r="B2023" t="str">
        <f>IFERROR(IF(A2023="","",VLOOKUP(A2023,CadProd!$A:$B,2,0)),"")</f>
        <v/>
      </c>
      <c r="C2023" t="str">
        <f>IFERROR(IF(A2023="","",VLOOKUP(A2023,CadProd!$A:$C,3,0)),"")</f>
        <v/>
      </c>
      <c r="I2023" s="1" t="str">
        <f>IFERROR(IF(A2023="","",E2023*#REF!),"")</f>
        <v/>
      </c>
    </row>
    <row r="2024" spans="2:9" x14ac:dyDescent="0.3">
      <c r="B2024" t="str">
        <f>IFERROR(IF(A2024="","",VLOOKUP(A2024,CadProd!$A:$B,2,0)),"")</f>
        <v/>
      </c>
      <c r="C2024" t="str">
        <f>IFERROR(IF(A2024="","",VLOOKUP(A2024,CadProd!$A:$C,3,0)),"")</f>
        <v/>
      </c>
      <c r="I2024" s="1" t="str">
        <f>IFERROR(IF(A2024="","",E2024*#REF!),"")</f>
        <v/>
      </c>
    </row>
    <row r="2025" spans="2:9" x14ac:dyDescent="0.3">
      <c r="B2025" t="str">
        <f>IFERROR(IF(A2025="","",VLOOKUP(A2025,CadProd!$A:$B,2,0)),"")</f>
        <v/>
      </c>
      <c r="C2025" t="str">
        <f>IFERROR(IF(A2025="","",VLOOKUP(A2025,CadProd!$A:$C,3,0)),"")</f>
        <v/>
      </c>
      <c r="I2025" s="1" t="str">
        <f>IFERROR(IF(A2025="","",E2025*#REF!),"")</f>
        <v/>
      </c>
    </row>
    <row r="2026" spans="2:9" x14ac:dyDescent="0.3">
      <c r="B2026" t="str">
        <f>IFERROR(IF(A2026="","",VLOOKUP(A2026,CadProd!$A:$B,2,0)),"")</f>
        <v/>
      </c>
      <c r="C2026" t="str">
        <f>IFERROR(IF(A2026="","",VLOOKUP(A2026,CadProd!$A:$C,3,0)),"")</f>
        <v/>
      </c>
      <c r="I2026" s="1" t="str">
        <f>IFERROR(IF(A2026="","",E2026*#REF!),"")</f>
        <v/>
      </c>
    </row>
    <row r="2027" spans="2:9" x14ac:dyDescent="0.3">
      <c r="B2027" t="str">
        <f>IFERROR(IF(A2027="","",VLOOKUP(A2027,CadProd!$A:$B,2,0)),"")</f>
        <v/>
      </c>
      <c r="C2027" t="str">
        <f>IFERROR(IF(A2027="","",VLOOKUP(A2027,CadProd!$A:$C,3,0)),"")</f>
        <v/>
      </c>
      <c r="I2027" s="1" t="str">
        <f>IFERROR(IF(A2027="","",E2027*#REF!),"")</f>
        <v/>
      </c>
    </row>
    <row r="2028" spans="2:9" x14ac:dyDescent="0.3">
      <c r="B2028" t="str">
        <f>IFERROR(IF(A2028="","",VLOOKUP(A2028,CadProd!$A:$B,2,0)),"")</f>
        <v/>
      </c>
      <c r="C2028" t="str">
        <f>IFERROR(IF(A2028="","",VLOOKUP(A2028,CadProd!$A:$C,3,0)),"")</f>
        <v/>
      </c>
      <c r="I2028" s="1" t="str">
        <f>IFERROR(IF(A2028="","",E2028*#REF!),"")</f>
        <v/>
      </c>
    </row>
    <row r="2029" spans="2:9" x14ac:dyDescent="0.3">
      <c r="B2029" t="str">
        <f>IFERROR(IF(A2029="","",VLOOKUP(A2029,CadProd!$A:$B,2,0)),"")</f>
        <v/>
      </c>
      <c r="C2029" t="str">
        <f>IFERROR(IF(A2029="","",VLOOKUP(A2029,CadProd!$A:$C,3,0)),"")</f>
        <v/>
      </c>
      <c r="I2029" s="1" t="str">
        <f>IFERROR(IF(A2029="","",E2029*#REF!),"")</f>
        <v/>
      </c>
    </row>
    <row r="2030" spans="2:9" x14ac:dyDescent="0.3">
      <c r="B2030" t="str">
        <f>IFERROR(IF(A2030="","",VLOOKUP(A2030,CadProd!$A:$B,2,0)),"")</f>
        <v/>
      </c>
      <c r="C2030" t="str">
        <f>IFERROR(IF(A2030="","",VLOOKUP(A2030,CadProd!$A:$C,3,0)),"")</f>
        <v/>
      </c>
      <c r="I2030" s="1" t="str">
        <f>IFERROR(IF(A2030="","",E2030*#REF!),"")</f>
        <v/>
      </c>
    </row>
    <row r="2031" spans="2:9" x14ac:dyDescent="0.3">
      <c r="B2031" t="str">
        <f>IFERROR(IF(A2031="","",VLOOKUP(A2031,CadProd!$A:$B,2,0)),"")</f>
        <v/>
      </c>
      <c r="C2031" t="str">
        <f>IFERROR(IF(A2031="","",VLOOKUP(A2031,CadProd!$A:$C,3,0)),"")</f>
        <v/>
      </c>
      <c r="I2031" s="1" t="str">
        <f>IFERROR(IF(A2031="","",E2031*#REF!),"")</f>
        <v/>
      </c>
    </row>
    <row r="2032" spans="2:9" x14ac:dyDescent="0.3">
      <c r="B2032" t="str">
        <f>IFERROR(IF(A2032="","",VLOOKUP(A2032,CadProd!$A:$B,2,0)),"")</f>
        <v/>
      </c>
      <c r="C2032" t="str">
        <f>IFERROR(IF(A2032="","",VLOOKUP(A2032,CadProd!$A:$C,3,0)),"")</f>
        <v/>
      </c>
      <c r="I2032" s="1" t="str">
        <f>IFERROR(IF(A2032="","",E2032*#REF!),"")</f>
        <v/>
      </c>
    </row>
    <row r="2033" spans="2:9" x14ac:dyDescent="0.3">
      <c r="B2033" t="str">
        <f>IFERROR(IF(A2033="","",VLOOKUP(A2033,CadProd!$A:$B,2,0)),"")</f>
        <v/>
      </c>
      <c r="C2033" t="str">
        <f>IFERROR(IF(A2033="","",VLOOKUP(A2033,CadProd!$A:$C,3,0)),"")</f>
        <v/>
      </c>
      <c r="I2033" s="1" t="str">
        <f>IFERROR(IF(A2033="","",E2033*#REF!),"")</f>
        <v/>
      </c>
    </row>
    <row r="2034" spans="2:9" x14ac:dyDescent="0.3">
      <c r="B2034" t="str">
        <f>IFERROR(IF(A2034="","",VLOOKUP(A2034,CadProd!$A:$B,2,0)),"")</f>
        <v/>
      </c>
      <c r="C2034" t="str">
        <f>IFERROR(IF(A2034="","",VLOOKUP(A2034,CadProd!$A:$C,3,0)),"")</f>
        <v/>
      </c>
      <c r="I2034" s="1" t="str">
        <f>IFERROR(IF(A2034="","",E2034*#REF!),"")</f>
        <v/>
      </c>
    </row>
    <row r="2035" spans="2:9" x14ac:dyDescent="0.3">
      <c r="B2035" t="str">
        <f>IFERROR(IF(A2035="","",VLOOKUP(A2035,CadProd!$A:$B,2,0)),"")</f>
        <v/>
      </c>
      <c r="C2035" t="str">
        <f>IFERROR(IF(A2035="","",VLOOKUP(A2035,CadProd!$A:$C,3,0)),"")</f>
        <v/>
      </c>
      <c r="I2035" s="1" t="str">
        <f>IFERROR(IF(A2035="","",E2035*#REF!),"")</f>
        <v/>
      </c>
    </row>
    <row r="2036" spans="2:9" x14ac:dyDescent="0.3">
      <c r="B2036" t="str">
        <f>IFERROR(IF(A2036="","",VLOOKUP(A2036,CadProd!$A:$B,2,0)),"")</f>
        <v/>
      </c>
      <c r="C2036" t="str">
        <f>IFERROR(IF(A2036="","",VLOOKUP(A2036,CadProd!$A:$C,3,0)),"")</f>
        <v/>
      </c>
      <c r="I2036" s="1" t="str">
        <f>IFERROR(IF(A2036="","",E2036*#REF!),"")</f>
        <v/>
      </c>
    </row>
    <row r="2037" spans="2:9" x14ac:dyDescent="0.3">
      <c r="B2037" t="str">
        <f>IFERROR(IF(A2037="","",VLOOKUP(A2037,CadProd!$A:$B,2,0)),"")</f>
        <v/>
      </c>
      <c r="C2037" t="str">
        <f>IFERROR(IF(A2037="","",VLOOKUP(A2037,CadProd!$A:$C,3,0)),"")</f>
        <v/>
      </c>
      <c r="I2037" s="1" t="str">
        <f>IFERROR(IF(A2037="","",E2037*#REF!),"")</f>
        <v/>
      </c>
    </row>
    <row r="2038" spans="2:9" x14ac:dyDescent="0.3">
      <c r="B2038" t="str">
        <f>IFERROR(IF(A2038="","",VLOOKUP(A2038,CadProd!$A:$B,2,0)),"")</f>
        <v/>
      </c>
      <c r="C2038" t="str">
        <f>IFERROR(IF(A2038="","",VLOOKUP(A2038,CadProd!$A:$C,3,0)),"")</f>
        <v/>
      </c>
      <c r="I2038" s="1" t="str">
        <f>IFERROR(IF(A2038="","",E2038*#REF!),"")</f>
        <v/>
      </c>
    </row>
    <row r="2039" spans="2:9" x14ac:dyDescent="0.3">
      <c r="B2039" t="str">
        <f>IFERROR(IF(A2039="","",VLOOKUP(A2039,CadProd!$A:$B,2,0)),"")</f>
        <v/>
      </c>
      <c r="C2039" t="str">
        <f>IFERROR(IF(A2039="","",VLOOKUP(A2039,CadProd!$A:$C,3,0)),"")</f>
        <v/>
      </c>
      <c r="I2039" s="1" t="str">
        <f>IFERROR(IF(A2039="","",E2039*#REF!),"")</f>
        <v/>
      </c>
    </row>
    <row r="2040" spans="2:9" x14ac:dyDescent="0.3">
      <c r="B2040" t="str">
        <f>IFERROR(IF(A2040="","",VLOOKUP(A2040,CadProd!$A:$B,2,0)),"")</f>
        <v/>
      </c>
      <c r="C2040" t="str">
        <f>IFERROR(IF(A2040="","",VLOOKUP(A2040,CadProd!$A:$C,3,0)),"")</f>
        <v/>
      </c>
      <c r="I2040" s="1" t="str">
        <f>IFERROR(IF(A2040="","",E2040*#REF!),"")</f>
        <v/>
      </c>
    </row>
    <row r="2041" spans="2:9" x14ac:dyDescent="0.3">
      <c r="B2041" t="str">
        <f>IFERROR(IF(A2041="","",VLOOKUP(A2041,CadProd!$A:$B,2,0)),"")</f>
        <v/>
      </c>
      <c r="C2041" t="str">
        <f>IFERROR(IF(A2041="","",VLOOKUP(A2041,CadProd!$A:$C,3,0)),"")</f>
        <v/>
      </c>
      <c r="I2041" s="1" t="str">
        <f>IFERROR(IF(A2041="","",E2041*#REF!),"")</f>
        <v/>
      </c>
    </row>
    <row r="2042" spans="2:9" x14ac:dyDescent="0.3">
      <c r="B2042" t="str">
        <f>IFERROR(IF(A2042="","",VLOOKUP(A2042,CadProd!$A:$B,2,0)),"")</f>
        <v/>
      </c>
      <c r="C2042" t="str">
        <f>IFERROR(IF(A2042="","",VLOOKUP(A2042,CadProd!$A:$C,3,0)),"")</f>
        <v/>
      </c>
      <c r="I2042" s="1" t="str">
        <f>IFERROR(IF(A2042="","",E2042*#REF!),"")</f>
        <v/>
      </c>
    </row>
    <row r="2043" spans="2:9" x14ac:dyDescent="0.3">
      <c r="B2043" t="str">
        <f>IFERROR(IF(A2043="","",VLOOKUP(A2043,CadProd!$A:$B,2,0)),"")</f>
        <v/>
      </c>
      <c r="C2043" t="str">
        <f>IFERROR(IF(A2043="","",VLOOKUP(A2043,CadProd!$A:$C,3,0)),"")</f>
        <v/>
      </c>
      <c r="I2043" s="1" t="str">
        <f>IFERROR(IF(A2043="","",E2043*#REF!),"")</f>
        <v/>
      </c>
    </row>
    <row r="2044" spans="2:9" x14ac:dyDescent="0.3">
      <c r="B2044" t="str">
        <f>IFERROR(IF(A2044="","",VLOOKUP(A2044,CadProd!$A:$B,2,0)),"")</f>
        <v/>
      </c>
      <c r="C2044" t="str">
        <f>IFERROR(IF(A2044="","",VLOOKUP(A2044,CadProd!$A:$C,3,0)),"")</f>
        <v/>
      </c>
      <c r="I2044" s="1" t="str">
        <f>IFERROR(IF(A2044="","",E2044*#REF!),"")</f>
        <v/>
      </c>
    </row>
    <row r="2045" spans="2:9" x14ac:dyDescent="0.3">
      <c r="B2045" t="str">
        <f>IFERROR(IF(A2045="","",VLOOKUP(A2045,CadProd!$A:$B,2,0)),"")</f>
        <v/>
      </c>
      <c r="C2045" t="str">
        <f>IFERROR(IF(A2045="","",VLOOKUP(A2045,CadProd!$A:$C,3,0)),"")</f>
        <v/>
      </c>
      <c r="I2045" s="1" t="str">
        <f>IFERROR(IF(A2045="","",E2045*#REF!),"")</f>
        <v/>
      </c>
    </row>
    <row r="2046" spans="2:9" x14ac:dyDescent="0.3">
      <c r="B2046" t="str">
        <f>IFERROR(IF(A2046="","",VLOOKUP(A2046,CadProd!$A:$B,2,0)),"")</f>
        <v/>
      </c>
      <c r="C2046" t="str">
        <f>IFERROR(IF(A2046="","",VLOOKUP(A2046,CadProd!$A:$C,3,0)),"")</f>
        <v/>
      </c>
      <c r="I2046" s="1" t="str">
        <f>IFERROR(IF(A2046="","",E2046*#REF!),"")</f>
        <v/>
      </c>
    </row>
    <row r="2047" spans="2:9" x14ac:dyDescent="0.3">
      <c r="B2047" t="str">
        <f>IFERROR(IF(A2047="","",VLOOKUP(A2047,CadProd!$A:$B,2,0)),"")</f>
        <v/>
      </c>
      <c r="C2047" t="str">
        <f>IFERROR(IF(A2047="","",VLOOKUP(A2047,CadProd!$A:$C,3,0)),"")</f>
        <v/>
      </c>
      <c r="I2047" s="1" t="str">
        <f>IFERROR(IF(A2047="","",E2047*#REF!),"")</f>
        <v/>
      </c>
    </row>
    <row r="2048" spans="2:9" x14ac:dyDescent="0.3">
      <c r="B2048" t="str">
        <f>IFERROR(IF(A2048="","",VLOOKUP(A2048,CadProd!$A:$B,2,0)),"")</f>
        <v/>
      </c>
      <c r="C2048" t="str">
        <f>IFERROR(IF(A2048="","",VLOOKUP(A2048,CadProd!$A:$C,3,0)),"")</f>
        <v/>
      </c>
      <c r="I2048" s="1" t="str">
        <f>IFERROR(IF(A2048="","",E2048*#REF!),"")</f>
        <v/>
      </c>
    </row>
    <row r="2049" spans="2:9" x14ac:dyDescent="0.3">
      <c r="B2049" t="str">
        <f>IFERROR(IF(A2049="","",VLOOKUP(A2049,CadProd!$A:$B,2,0)),"")</f>
        <v/>
      </c>
      <c r="C2049" t="str">
        <f>IFERROR(IF(A2049="","",VLOOKUP(A2049,CadProd!$A:$C,3,0)),"")</f>
        <v/>
      </c>
      <c r="I2049" s="1" t="str">
        <f>IFERROR(IF(A2049="","",E2049*#REF!),"")</f>
        <v/>
      </c>
    </row>
    <row r="2050" spans="2:9" x14ac:dyDescent="0.3">
      <c r="B2050" t="str">
        <f>IFERROR(IF(A2050="","",VLOOKUP(A2050,CadProd!$A:$B,2,0)),"")</f>
        <v/>
      </c>
      <c r="C2050" t="str">
        <f>IFERROR(IF(A2050="","",VLOOKUP(A2050,CadProd!$A:$C,3,0)),"")</f>
        <v/>
      </c>
      <c r="I2050" s="1" t="str">
        <f>IFERROR(IF(A2050="","",E2050*#REF!),"")</f>
        <v/>
      </c>
    </row>
    <row r="2051" spans="2:9" x14ac:dyDescent="0.3">
      <c r="B2051" t="str">
        <f>IFERROR(IF(A2051="","",VLOOKUP(A2051,CadProd!$A:$B,2,0)),"")</f>
        <v/>
      </c>
      <c r="C2051" t="str">
        <f>IFERROR(IF(A2051="","",VLOOKUP(A2051,CadProd!$A:$C,3,0)),"")</f>
        <v/>
      </c>
      <c r="I2051" s="1" t="str">
        <f>IFERROR(IF(A2051="","",E2051*#REF!),"")</f>
        <v/>
      </c>
    </row>
    <row r="2052" spans="2:9" x14ac:dyDescent="0.3">
      <c r="B2052" t="str">
        <f>IFERROR(IF(A2052="","",VLOOKUP(A2052,CadProd!$A:$B,2,0)),"")</f>
        <v/>
      </c>
      <c r="C2052" t="str">
        <f>IFERROR(IF(A2052="","",VLOOKUP(A2052,CadProd!$A:$C,3,0)),"")</f>
        <v/>
      </c>
      <c r="I2052" s="1" t="str">
        <f>IFERROR(IF(A2052="","",E2052*#REF!),"")</f>
        <v/>
      </c>
    </row>
    <row r="2053" spans="2:9" x14ac:dyDescent="0.3">
      <c r="B2053" t="str">
        <f>IFERROR(IF(A2053="","",VLOOKUP(A2053,CadProd!$A:$B,2,0)),"")</f>
        <v/>
      </c>
      <c r="C2053" t="str">
        <f>IFERROR(IF(A2053="","",VLOOKUP(A2053,CadProd!$A:$C,3,0)),"")</f>
        <v/>
      </c>
      <c r="I2053" s="1" t="str">
        <f>IFERROR(IF(A2053="","",E2053*#REF!),"")</f>
        <v/>
      </c>
    </row>
    <row r="2054" spans="2:9" x14ac:dyDescent="0.3">
      <c r="B2054" t="str">
        <f>IFERROR(IF(A2054="","",VLOOKUP(A2054,CadProd!$A:$B,2,0)),"")</f>
        <v/>
      </c>
      <c r="C2054" t="str">
        <f>IFERROR(IF(A2054="","",VLOOKUP(A2054,CadProd!$A:$C,3,0)),"")</f>
        <v/>
      </c>
      <c r="I2054" s="1" t="str">
        <f>IFERROR(IF(A2054="","",E2054*#REF!),"")</f>
        <v/>
      </c>
    </row>
    <row r="2055" spans="2:9" x14ac:dyDescent="0.3">
      <c r="B2055" t="str">
        <f>IFERROR(IF(A2055="","",VLOOKUP(A2055,CadProd!$A:$B,2,0)),"")</f>
        <v/>
      </c>
      <c r="C2055" t="str">
        <f>IFERROR(IF(A2055="","",VLOOKUP(A2055,CadProd!$A:$C,3,0)),"")</f>
        <v/>
      </c>
      <c r="I2055" s="1" t="str">
        <f>IFERROR(IF(A2055="","",E2055*#REF!),"")</f>
        <v/>
      </c>
    </row>
    <row r="2056" spans="2:9" x14ac:dyDescent="0.3">
      <c r="B2056" t="str">
        <f>IFERROR(IF(A2056="","",VLOOKUP(A2056,CadProd!$A:$B,2,0)),"")</f>
        <v/>
      </c>
      <c r="C2056" t="str">
        <f>IFERROR(IF(A2056="","",VLOOKUP(A2056,CadProd!$A:$C,3,0)),"")</f>
        <v/>
      </c>
      <c r="I2056" s="1" t="str">
        <f>IFERROR(IF(A2056="","",E2056*#REF!),"")</f>
        <v/>
      </c>
    </row>
    <row r="2057" spans="2:9" x14ac:dyDescent="0.3">
      <c r="B2057" t="str">
        <f>IFERROR(IF(A2057="","",VLOOKUP(A2057,CadProd!$A:$B,2,0)),"")</f>
        <v/>
      </c>
      <c r="C2057" t="str">
        <f>IFERROR(IF(A2057="","",VLOOKUP(A2057,CadProd!$A:$C,3,0)),"")</f>
        <v/>
      </c>
      <c r="I2057" s="1" t="str">
        <f>IFERROR(IF(A2057="","",E2057*#REF!),"")</f>
        <v/>
      </c>
    </row>
    <row r="2058" spans="2:9" x14ac:dyDescent="0.3">
      <c r="B2058" t="str">
        <f>IFERROR(IF(A2058="","",VLOOKUP(A2058,CadProd!$A:$B,2,0)),"")</f>
        <v/>
      </c>
      <c r="C2058" t="str">
        <f>IFERROR(IF(A2058="","",VLOOKUP(A2058,CadProd!$A:$C,3,0)),"")</f>
        <v/>
      </c>
      <c r="I2058" s="1" t="str">
        <f>IFERROR(IF(A2058="","",E2058*#REF!),"")</f>
        <v/>
      </c>
    </row>
    <row r="2059" spans="2:9" x14ac:dyDescent="0.3">
      <c r="B2059" t="str">
        <f>IFERROR(IF(A2059="","",VLOOKUP(A2059,CadProd!$A:$B,2,0)),"")</f>
        <v/>
      </c>
      <c r="C2059" t="str">
        <f>IFERROR(IF(A2059="","",VLOOKUP(A2059,CadProd!$A:$C,3,0)),"")</f>
        <v/>
      </c>
      <c r="I2059" s="1" t="str">
        <f>IFERROR(IF(A2059="","",E2059*#REF!),"")</f>
        <v/>
      </c>
    </row>
    <row r="2060" spans="2:9" x14ac:dyDescent="0.3">
      <c r="B2060" t="str">
        <f>IFERROR(IF(A2060="","",VLOOKUP(A2060,CadProd!$A:$B,2,0)),"")</f>
        <v/>
      </c>
      <c r="C2060" t="str">
        <f>IFERROR(IF(A2060="","",VLOOKUP(A2060,CadProd!$A:$C,3,0)),"")</f>
        <v/>
      </c>
      <c r="I2060" s="1" t="str">
        <f>IFERROR(IF(A2060="","",E2060*#REF!),"")</f>
        <v/>
      </c>
    </row>
    <row r="2061" spans="2:9" x14ac:dyDescent="0.3">
      <c r="B2061" t="str">
        <f>IFERROR(IF(A2061="","",VLOOKUP(A2061,CadProd!$A:$B,2,0)),"")</f>
        <v/>
      </c>
      <c r="C2061" t="str">
        <f>IFERROR(IF(A2061="","",VLOOKUP(A2061,CadProd!$A:$C,3,0)),"")</f>
        <v/>
      </c>
      <c r="I2061" s="1" t="str">
        <f>IFERROR(IF(A2061="","",E2061*#REF!),"")</f>
        <v/>
      </c>
    </row>
    <row r="2062" spans="2:9" x14ac:dyDescent="0.3">
      <c r="B2062" t="str">
        <f>IFERROR(IF(A2062="","",VLOOKUP(A2062,CadProd!$A:$B,2,0)),"")</f>
        <v/>
      </c>
      <c r="C2062" t="str">
        <f>IFERROR(IF(A2062="","",VLOOKUP(A2062,CadProd!$A:$C,3,0)),"")</f>
        <v/>
      </c>
      <c r="I2062" s="1" t="str">
        <f>IFERROR(IF(A2062="","",E2062*#REF!),"")</f>
        <v/>
      </c>
    </row>
    <row r="2063" spans="2:9" x14ac:dyDescent="0.3">
      <c r="B2063" t="str">
        <f>IFERROR(IF(A2063="","",VLOOKUP(A2063,CadProd!$A:$B,2,0)),"")</f>
        <v/>
      </c>
      <c r="C2063" t="str">
        <f>IFERROR(IF(A2063="","",VLOOKUP(A2063,CadProd!$A:$C,3,0)),"")</f>
        <v/>
      </c>
      <c r="I2063" s="1" t="str">
        <f>IFERROR(IF(A2063="","",E2063*#REF!),"")</f>
        <v/>
      </c>
    </row>
    <row r="2064" spans="2:9" x14ac:dyDescent="0.3">
      <c r="B2064" t="str">
        <f>IFERROR(IF(A2064="","",VLOOKUP(A2064,CadProd!$A:$B,2,0)),"")</f>
        <v/>
      </c>
      <c r="C2064" t="str">
        <f>IFERROR(IF(A2064="","",VLOOKUP(A2064,CadProd!$A:$C,3,0)),"")</f>
        <v/>
      </c>
      <c r="I2064" s="1" t="str">
        <f>IFERROR(IF(A2064="","",E2064*#REF!),"")</f>
        <v/>
      </c>
    </row>
    <row r="2065" spans="2:9" x14ac:dyDescent="0.3">
      <c r="B2065" t="str">
        <f>IFERROR(IF(A2065="","",VLOOKUP(A2065,CadProd!$A:$B,2,0)),"")</f>
        <v/>
      </c>
      <c r="C2065" t="str">
        <f>IFERROR(IF(A2065="","",VLOOKUP(A2065,CadProd!$A:$C,3,0)),"")</f>
        <v/>
      </c>
      <c r="I2065" s="1" t="str">
        <f>IFERROR(IF(A2065="","",E2065*#REF!),"")</f>
        <v/>
      </c>
    </row>
    <row r="2066" spans="2:9" x14ac:dyDescent="0.3">
      <c r="B2066" t="str">
        <f>IFERROR(IF(A2066="","",VLOOKUP(A2066,CadProd!$A:$B,2,0)),"")</f>
        <v/>
      </c>
      <c r="C2066" t="str">
        <f>IFERROR(IF(A2066="","",VLOOKUP(A2066,CadProd!$A:$C,3,0)),"")</f>
        <v/>
      </c>
      <c r="I2066" s="1" t="str">
        <f>IFERROR(IF(A2066="","",E2066*#REF!),"")</f>
        <v/>
      </c>
    </row>
    <row r="2067" spans="2:9" x14ac:dyDescent="0.3">
      <c r="B2067" t="str">
        <f>IFERROR(IF(A2067="","",VLOOKUP(A2067,CadProd!$A:$B,2,0)),"")</f>
        <v/>
      </c>
      <c r="C2067" t="str">
        <f>IFERROR(IF(A2067="","",VLOOKUP(A2067,CadProd!$A:$C,3,0)),"")</f>
        <v/>
      </c>
      <c r="I2067" s="1" t="str">
        <f>IFERROR(IF(A2067="","",E2067*#REF!),"")</f>
        <v/>
      </c>
    </row>
    <row r="2068" spans="2:9" x14ac:dyDescent="0.3">
      <c r="B2068" t="str">
        <f>IFERROR(IF(A2068="","",VLOOKUP(A2068,CadProd!$A:$B,2,0)),"")</f>
        <v/>
      </c>
      <c r="C2068" t="str">
        <f>IFERROR(IF(A2068="","",VLOOKUP(A2068,CadProd!$A:$C,3,0)),"")</f>
        <v/>
      </c>
      <c r="I2068" s="1" t="str">
        <f>IFERROR(IF(A2068="","",E2068*#REF!),"")</f>
        <v/>
      </c>
    </row>
    <row r="2069" spans="2:9" x14ac:dyDescent="0.3">
      <c r="B2069" t="str">
        <f>IFERROR(IF(A2069="","",VLOOKUP(A2069,CadProd!$A:$B,2,0)),"")</f>
        <v/>
      </c>
      <c r="C2069" t="str">
        <f>IFERROR(IF(A2069="","",VLOOKUP(A2069,CadProd!$A:$C,3,0)),"")</f>
        <v/>
      </c>
      <c r="I2069" s="1" t="str">
        <f>IFERROR(IF(A2069="","",E2069*#REF!),"")</f>
        <v/>
      </c>
    </row>
    <row r="2070" spans="2:9" x14ac:dyDescent="0.3">
      <c r="B2070" t="str">
        <f>IFERROR(IF(A2070="","",VLOOKUP(A2070,CadProd!$A:$B,2,0)),"")</f>
        <v/>
      </c>
      <c r="C2070" t="str">
        <f>IFERROR(IF(A2070="","",VLOOKUP(A2070,CadProd!$A:$C,3,0)),"")</f>
        <v/>
      </c>
      <c r="I2070" s="1" t="str">
        <f>IFERROR(IF(A2070="","",E2070*#REF!),"")</f>
        <v/>
      </c>
    </row>
    <row r="2071" spans="2:9" x14ac:dyDescent="0.3">
      <c r="B2071" t="str">
        <f>IFERROR(IF(A2071="","",VLOOKUP(A2071,CadProd!$A:$B,2,0)),"")</f>
        <v/>
      </c>
      <c r="C2071" t="str">
        <f>IFERROR(IF(A2071="","",VLOOKUP(A2071,CadProd!$A:$C,3,0)),"")</f>
        <v/>
      </c>
      <c r="I2071" s="1" t="str">
        <f>IFERROR(IF(A2071="","",E2071*#REF!),"")</f>
        <v/>
      </c>
    </row>
    <row r="2072" spans="2:9" x14ac:dyDescent="0.3">
      <c r="B2072" t="str">
        <f>IFERROR(IF(A2072="","",VLOOKUP(A2072,CadProd!$A:$B,2,0)),"")</f>
        <v/>
      </c>
      <c r="C2072" t="str">
        <f>IFERROR(IF(A2072="","",VLOOKUP(A2072,CadProd!$A:$C,3,0)),"")</f>
        <v/>
      </c>
      <c r="I2072" s="1" t="str">
        <f>IFERROR(IF(A2072="","",E2072*#REF!),"")</f>
        <v/>
      </c>
    </row>
    <row r="2073" spans="2:9" x14ac:dyDescent="0.3">
      <c r="B2073" t="str">
        <f>IFERROR(IF(A2073="","",VLOOKUP(A2073,CadProd!$A:$B,2,0)),"")</f>
        <v/>
      </c>
      <c r="C2073" t="str">
        <f>IFERROR(IF(A2073="","",VLOOKUP(A2073,CadProd!$A:$C,3,0)),"")</f>
        <v/>
      </c>
      <c r="I2073" s="1" t="str">
        <f>IFERROR(IF(A2073="","",E2073*#REF!),"")</f>
        <v/>
      </c>
    </row>
    <row r="2074" spans="2:9" x14ac:dyDescent="0.3">
      <c r="B2074" t="str">
        <f>IFERROR(IF(A2074="","",VLOOKUP(A2074,CadProd!$A:$B,2,0)),"")</f>
        <v/>
      </c>
      <c r="C2074" t="str">
        <f>IFERROR(IF(A2074="","",VLOOKUP(A2074,CadProd!$A:$C,3,0)),"")</f>
        <v/>
      </c>
      <c r="I2074" s="1" t="str">
        <f>IFERROR(IF(A2074="","",E2074*#REF!),"")</f>
        <v/>
      </c>
    </row>
    <row r="2075" spans="2:9" x14ac:dyDescent="0.3">
      <c r="B2075" t="str">
        <f>IFERROR(IF(A2075="","",VLOOKUP(A2075,CadProd!$A:$B,2,0)),"")</f>
        <v/>
      </c>
      <c r="C2075" t="str">
        <f>IFERROR(IF(A2075="","",VLOOKUP(A2075,CadProd!$A:$C,3,0)),"")</f>
        <v/>
      </c>
      <c r="I2075" s="1" t="str">
        <f>IFERROR(IF(A2075="","",E2075*#REF!),"")</f>
        <v/>
      </c>
    </row>
    <row r="2076" spans="2:9" x14ac:dyDescent="0.3">
      <c r="B2076" t="str">
        <f>IFERROR(IF(A2076="","",VLOOKUP(A2076,CadProd!$A:$B,2,0)),"")</f>
        <v/>
      </c>
      <c r="C2076" t="str">
        <f>IFERROR(IF(A2076="","",VLOOKUP(A2076,CadProd!$A:$C,3,0)),"")</f>
        <v/>
      </c>
      <c r="I2076" s="1" t="str">
        <f>IFERROR(IF(A2076="","",E2076*#REF!),"")</f>
        <v/>
      </c>
    </row>
    <row r="2077" spans="2:9" x14ac:dyDescent="0.3">
      <c r="B2077" t="str">
        <f>IFERROR(IF(A2077="","",VLOOKUP(A2077,CadProd!$A:$B,2,0)),"")</f>
        <v/>
      </c>
      <c r="C2077" t="str">
        <f>IFERROR(IF(A2077="","",VLOOKUP(A2077,CadProd!$A:$C,3,0)),"")</f>
        <v/>
      </c>
      <c r="I2077" s="1" t="str">
        <f>IFERROR(IF(A2077="","",E2077*#REF!),"")</f>
        <v/>
      </c>
    </row>
    <row r="2078" spans="2:9" x14ac:dyDescent="0.3">
      <c r="B2078" t="str">
        <f>IFERROR(IF(A2078="","",VLOOKUP(A2078,CadProd!$A:$B,2,0)),"")</f>
        <v/>
      </c>
      <c r="C2078" t="str">
        <f>IFERROR(IF(A2078="","",VLOOKUP(A2078,CadProd!$A:$C,3,0)),"")</f>
        <v/>
      </c>
      <c r="I2078" s="1" t="str">
        <f>IFERROR(IF(A2078="","",E2078*#REF!),"")</f>
        <v/>
      </c>
    </row>
    <row r="2079" spans="2:9" x14ac:dyDescent="0.3">
      <c r="B2079" t="str">
        <f>IFERROR(IF(A2079="","",VLOOKUP(A2079,CadProd!$A:$B,2,0)),"")</f>
        <v/>
      </c>
      <c r="C2079" t="str">
        <f>IFERROR(IF(A2079="","",VLOOKUP(A2079,CadProd!$A:$C,3,0)),"")</f>
        <v/>
      </c>
      <c r="I2079" s="1" t="str">
        <f>IFERROR(IF(A2079="","",E2079*#REF!),"")</f>
        <v/>
      </c>
    </row>
    <row r="2080" spans="2:9" x14ac:dyDescent="0.3">
      <c r="B2080" t="str">
        <f>IFERROR(IF(A2080="","",VLOOKUP(A2080,CadProd!$A:$B,2,0)),"")</f>
        <v/>
      </c>
      <c r="C2080" t="str">
        <f>IFERROR(IF(A2080="","",VLOOKUP(A2080,CadProd!$A:$C,3,0)),"")</f>
        <v/>
      </c>
      <c r="I2080" s="1" t="str">
        <f>IFERROR(IF(A2080="","",E2080*#REF!),"")</f>
        <v/>
      </c>
    </row>
    <row r="2081" spans="2:9" x14ac:dyDescent="0.3">
      <c r="B2081" t="str">
        <f>IFERROR(IF(A2081="","",VLOOKUP(A2081,CadProd!$A:$B,2,0)),"")</f>
        <v/>
      </c>
      <c r="C2081" t="str">
        <f>IFERROR(IF(A2081="","",VLOOKUP(A2081,CadProd!$A:$C,3,0)),"")</f>
        <v/>
      </c>
      <c r="I2081" s="1" t="str">
        <f>IFERROR(IF(A2081="","",E2081*#REF!),"")</f>
        <v/>
      </c>
    </row>
    <row r="2082" spans="2:9" x14ac:dyDescent="0.3">
      <c r="B2082" t="str">
        <f>IFERROR(IF(A2082="","",VLOOKUP(A2082,CadProd!$A:$B,2,0)),"")</f>
        <v/>
      </c>
      <c r="C2082" t="str">
        <f>IFERROR(IF(A2082="","",VLOOKUP(A2082,CadProd!$A:$C,3,0)),"")</f>
        <v/>
      </c>
      <c r="I2082" s="1" t="str">
        <f>IFERROR(IF(A2082="","",E2082*#REF!),"")</f>
        <v/>
      </c>
    </row>
    <row r="2083" spans="2:9" x14ac:dyDescent="0.3">
      <c r="B2083" t="str">
        <f>IFERROR(IF(A2083="","",VLOOKUP(A2083,CadProd!$A:$B,2,0)),"")</f>
        <v/>
      </c>
      <c r="C2083" t="str">
        <f>IFERROR(IF(A2083="","",VLOOKUP(A2083,CadProd!$A:$C,3,0)),"")</f>
        <v/>
      </c>
      <c r="I2083" s="1" t="str">
        <f>IFERROR(IF(A2083="","",E2083*#REF!),"")</f>
        <v/>
      </c>
    </row>
    <row r="2084" spans="2:9" x14ac:dyDescent="0.3">
      <c r="B2084" t="str">
        <f>IFERROR(IF(A2084="","",VLOOKUP(A2084,CadProd!$A:$B,2,0)),"")</f>
        <v/>
      </c>
      <c r="C2084" t="str">
        <f>IFERROR(IF(A2084="","",VLOOKUP(A2084,CadProd!$A:$C,3,0)),"")</f>
        <v/>
      </c>
      <c r="I2084" s="1" t="str">
        <f>IFERROR(IF(A2084="","",E2084*#REF!),"")</f>
        <v/>
      </c>
    </row>
    <row r="2085" spans="2:9" x14ac:dyDescent="0.3">
      <c r="B2085" t="str">
        <f>IFERROR(IF(A2085="","",VLOOKUP(A2085,CadProd!$A:$B,2,0)),"")</f>
        <v/>
      </c>
      <c r="C2085" t="str">
        <f>IFERROR(IF(A2085="","",VLOOKUP(A2085,CadProd!$A:$C,3,0)),"")</f>
        <v/>
      </c>
      <c r="I2085" s="1" t="str">
        <f>IFERROR(IF(A2085="","",E2085*#REF!),"")</f>
        <v/>
      </c>
    </row>
    <row r="2086" spans="2:9" x14ac:dyDescent="0.3">
      <c r="B2086" t="str">
        <f>IFERROR(IF(A2086="","",VLOOKUP(A2086,CadProd!$A:$B,2,0)),"")</f>
        <v/>
      </c>
      <c r="C2086" t="str">
        <f>IFERROR(IF(A2086="","",VLOOKUP(A2086,CadProd!$A:$C,3,0)),"")</f>
        <v/>
      </c>
      <c r="I2086" s="1" t="str">
        <f>IFERROR(IF(A2086="","",E2086*#REF!),"")</f>
        <v/>
      </c>
    </row>
    <row r="2087" spans="2:9" x14ac:dyDescent="0.3">
      <c r="B2087" t="str">
        <f>IFERROR(IF(A2087="","",VLOOKUP(A2087,CadProd!$A:$B,2,0)),"")</f>
        <v/>
      </c>
      <c r="C2087" t="str">
        <f>IFERROR(IF(A2087="","",VLOOKUP(A2087,CadProd!$A:$C,3,0)),"")</f>
        <v/>
      </c>
      <c r="I2087" s="1" t="str">
        <f>IFERROR(IF(A2087="","",E2087*#REF!),"")</f>
        <v/>
      </c>
    </row>
    <row r="2088" spans="2:9" x14ac:dyDescent="0.3">
      <c r="B2088" t="str">
        <f>IFERROR(IF(A2088="","",VLOOKUP(A2088,CadProd!$A:$B,2,0)),"")</f>
        <v/>
      </c>
      <c r="C2088" t="str">
        <f>IFERROR(IF(A2088="","",VLOOKUP(A2088,CadProd!$A:$C,3,0)),"")</f>
        <v/>
      </c>
      <c r="I2088" s="1" t="str">
        <f>IFERROR(IF(A2088="","",E2088*#REF!),"")</f>
        <v/>
      </c>
    </row>
    <row r="2089" spans="2:9" x14ac:dyDescent="0.3">
      <c r="B2089" t="str">
        <f>IFERROR(IF(A2089="","",VLOOKUP(A2089,CadProd!$A:$B,2,0)),"")</f>
        <v/>
      </c>
      <c r="C2089" t="str">
        <f>IFERROR(IF(A2089="","",VLOOKUP(A2089,CadProd!$A:$C,3,0)),"")</f>
        <v/>
      </c>
      <c r="I2089" s="1" t="str">
        <f>IFERROR(IF(A2089="","",E2089*#REF!),"")</f>
        <v/>
      </c>
    </row>
    <row r="2090" spans="2:9" x14ac:dyDescent="0.3">
      <c r="B2090" t="str">
        <f>IFERROR(IF(A2090="","",VLOOKUP(A2090,CadProd!$A:$B,2,0)),"")</f>
        <v/>
      </c>
      <c r="C2090" t="str">
        <f>IFERROR(IF(A2090="","",VLOOKUP(A2090,CadProd!$A:$C,3,0)),"")</f>
        <v/>
      </c>
      <c r="I2090" s="1" t="str">
        <f>IFERROR(IF(A2090="","",E2090*#REF!),"")</f>
        <v/>
      </c>
    </row>
    <row r="2091" spans="2:9" x14ac:dyDescent="0.3">
      <c r="B2091" t="str">
        <f>IFERROR(IF(A2091="","",VLOOKUP(A2091,CadProd!$A:$B,2,0)),"")</f>
        <v/>
      </c>
      <c r="C2091" t="str">
        <f>IFERROR(IF(A2091="","",VLOOKUP(A2091,CadProd!$A:$C,3,0)),"")</f>
        <v/>
      </c>
      <c r="I2091" s="1" t="str">
        <f>IFERROR(IF(A2091="","",E2091*#REF!),"")</f>
        <v/>
      </c>
    </row>
    <row r="2092" spans="2:9" x14ac:dyDescent="0.3">
      <c r="B2092" t="str">
        <f>IFERROR(IF(A2092="","",VLOOKUP(A2092,CadProd!$A:$B,2,0)),"")</f>
        <v/>
      </c>
      <c r="C2092" t="str">
        <f>IFERROR(IF(A2092="","",VLOOKUP(A2092,CadProd!$A:$C,3,0)),"")</f>
        <v/>
      </c>
      <c r="I2092" s="1" t="str">
        <f>IFERROR(IF(A2092="","",E2092*#REF!),"")</f>
        <v/>
      </c>
    </row>
    <row r="2093" spans="2:9" x14ac:dyDescent="0.3">
      <c r="B2093" t="str">
        <f>IFERROR(IF(A2093="","",VLOOKUP(A2093,CadProd!$A:$B,2,0)),"")</f>
        <v/>
      </c>
      <c r="C2093" t="str">
        <f>IFERROR(IF(A2093="","",VLOOKUP(A2093,CadProd!$A:$C,3,0)),"")</f>
        <v/>
      </c>
      <c r="I2093" s="1" t="str">
        <f>IFERROR(IF(A2093="","",E2093*#REF!),"")</f>
        <v/>
      </c>
    </row>
    <row r="2094" spans="2:9" x14ac:dyDescent="0.3">
      <c r="B2094" t="str">
        <f>IFERROR(IF(A2094="","",VLOOKUP(A2094,CadProd!$A:$B,2,0)),"")</f>
        <v/>
      </c>
      <c r="C2094" t="str">
        <f>IFERROR(IF(A2094="","",VLOOKUP(A2094,CadProd!$A:$C,3,0)),"")</f>
        <v/>
      </c>
      <c r="I2094" s="1" t="str">
        <f>IFERROR(IF(A2094="","",E2094*#REF!),"")</f>
        <v/>
      </c>
    </row>
    <row r="2095" spans="2:9" x14ac:dyDescent="0.3">
      <c r="B2095" t="str">
        <f>IFERROR(IF(A2095="","",VLOOKUP(A2095,CadProd!$A:$B,2,0)),"")</f>
        <v/>
      </c>
      <c r="C2095" t="str">
        <f>IFERROR(IF(A2095="","",VLOOKUP(A2095,CadProd!$A:$C,3,0)),"")</f>
        <v/>
      </c>
      <c r="I2095" s="1" t="str">
        <f>IFERROR(IF(A2095="","",E2095*#REF!),"")</f>
        <v/>
      </c>
    </row>
    <row r="2096" spans="2:9" x14ac:dyDescent="0.3">
      <c r="B2096" t="str">
        <f>IFERROR(IF(A2096="","",VLOOKUP(A2096,CadProd!$A:$B,2,0)),"")</f>
        <v/>
      </c>
      <c r="C2096" t="str">
        <f>IFERROR(IF(A2096="","",VLOOKUP(A2096,CadProd!$A:$C,3,0)),"")</f>
        <v/>
      </c>
      <c r="I2096" s="1" t="str">
        <f>IFERROR(IF(A2096="","",E2096*#REF!),"")</f>
        <v/>
      </c>
    </row>
    <row r="2097" spans="2:9" x14ac:dyDescent="0.3">
      <c r="B2097" t="str">
        <f>IFERROR(IF(A2097="","",VLOOKUP(A2097,CadProd!$A:$B,2,0)),"")</f>
        <v/>
      </c>
      <c r="C2097" t="str">
        <f>IFERROR(IF(A2097="","",VLOOKUP(A2097,CadProd!$A:$C,3,0)),"")</f>
        <v/>
      </c>
      <c r="I2097" s="1" t="str">
        <f>IFERROR(IF(A2097="","",E2097*#REF!),"")</f>
        <v/>
      </c>
    </row>
    <row r="2098" spans="2:9" x14ac:dyDescent="0.3">
      <c r="B2098" t="str">
        <f>IFERROR(IF(A2098="","",VLOOKUP(A2098,CadProd!$A:$B,2,0)),"")</f>
        <v/>
      </c>
      <c r="C2098" t="str">
        <f>IFERROR(IF(A2098="","",VLOOKUP(A2098,CadProd!$A:$C,3,0)),"")</f>
        <v/>
      </c>
      <c r="I2098" s="1" t="str">
        <f>IFERROR(IF(A2098="","",E2098*#REF!),"")</f>
        <v/>
      </c>
    </row>
    <row r="2099" spans="2:9" x14ac:dyDescent="0.3">
      <c r="B2099" t="str">
        <f>IFERROR(IF(A2099="","",VLOOKUP(A2099,CadProd!$A:$B,2,0)),"")</f>
        <v/>
      </c>
      <c r="C2099" t="str">
        <f>IFERROR(IF(A2099="","",VLOOKUP(A2099,CadProd!$A:$C,3,0)),"")</f>
        <v/>
      </c>
      <c r="I2099" s="1" t="str">
        <f>IFERROR(IF(A2099="","",E2099*#REF!),"")</f>
        <v/>
      </c>
    </row>
    <row r="2100" spans="2:9" x14ac:dyDescent="0.3">
      <c r="B2100" t="str">
        <f>IFERROR(IF(A2100="","",VLOOKUP(A2100,CadProd!$A:$B,2,0)),"")</f>
        <v/>
      </c>
      <c r="C2100" t="str">
        <f>IFERROR(IF(A2100="","",VLOOKUP(A2100,CadProd!$A:$C,3,0)),"")</f>
        <v/>
      </c>
      <c r="I2100" s="1" t="str">
        <f>IFERROR(IF(A2100="","",E2100*#REF!),"")</f>
        <v/>
      </c>
    </row>
    <row r="2101" spans="2:9" x14ac:dyDescent="0.3">
      <c r="B2101" t="str">
        <f>IFERROR(IF(A2101="","",VLOOKUP(A2101,CadProd!$A:$B,2,0)),"")</f>
        <v/>
      </c>
      <c r="C2101" t="str">
        <f>IFERROR(IF(A2101="","",VLOOKUP(A2101,CadProd!$A:$C,3,0)),"")</f>
        <v/>
      </c>
      <c r="I2101" s="1" t="str">
        <f>IFERROR(IF(A2101="","",E2101*#REF!),"")</f>
        <v/>
      </c>
    </row>
    <row r="2102" spans="2:9" x14ac:dyDescent="0.3">
      <c r="B2102" t="str">
        <f>IFERROR(IF(A2102="","",VLOOKUP(A2102,CadProd!$A:$B,2,0)),"")</f>
        <v/>
      </c>
      <c r="C2102" t="str">
        <f>IFERROR(IF(A2102="","",VLOOKUP(A2102,CadProd!$A:$C,3,0)),"")</f>
        <v/>
      </c>
      <c r="I2102" s="1" t="str">
        <f>IFERROR(IF(A2102="","",E2102*#REF!),"")</f>
        <v/>
      </c>
    </row>
    <row r="2103" spans="2:9" x14ac:dyDescent="0.3">
      <c r="B2103" t="str">
        <f>IFERROR(IF(A2103="","",VLOOKUP(A2103,CadProd!$A:$B,2,0)),"")</f>
        <v/>
      </c>
      <c r="C2103" t="str">
        <f>IFERROR(IF(A2103="","",VLOOKUP(A2103,CadProd!$A:$C,3,0)),"")</f>
        <v/>
      </c>
      <c r="I2103" s="1" t="str">
        <f>IFERROR(IF(A2103="","",E2103*#REF!),"")</f>
        <v/>
      </c>
    </row>
    <row r="2104" spans="2:9" x14ac:dyDescent="0.3">
      <c r="B2104" t="str">
        <f>IFERROR(IF(A2104="","",VLOOKUP(A2104,CadProd!$A:$B,2,0)),"")</f>
        <v/>
      </c>
      <c r="C2104" t="str">
        <f>IFERROR(IF(A2104="","",VLOOKUP(A2104,CadProd!$A:$C,3,0)),"")</f>
        <v/>
      </c>
      <c r="I2104" s="1" t="str">
        <f>IFERROR(IF(A2104="","",E2104*#REF!),"")</f>
        <v/>
      </c>
    </row>
    <row r="2105" spans="2:9" x14ac:dyDescent="0.3">
      <c r="B2105" t="str">
        <f>IFERROR(IF(A2105="","",VLOOKUP(A2105,CadProd!$A:$B,2,0)),"")</f>
        <v/>
      </c>
      <c r="C2105" t="str">
        <f>IFERROR(IF(A2105="","",VLOOKUP(A2105,CadProd!$A:$C,3,0)),"")</f>
        <v/>
      </c>
      <c r="I2105" s="1" t="str">
        <f>IFERROR(IF(A2105="","",E2105*#REF!),"")</f>
        <v/>
      </c>
    </row>
    <row r="2106" spans="2:9" x14ac:dyDescent="0.3">
      <c r="B2106" t="str">
        <f>IFERROR(IF(A2106="","",VLOOKUP(A2106,CadProd!$A:$B,2,0)),"")</f>
        <v/>
      </c>
      <c r="C2106" t="str">
        <f>IFERROR(IF(A2106="","",VLOOKUP(A2106,CadProd!$A:$C,3,0)),"")</f>
        <v/>
      </c>
      <c r="I2106" s="1" t="str">
        <f>IFERROR(IF(A2106="","",E2106*#REF!),"")</f>
        <v/>
      </c>
    </row>
    <row r="2107" spans="2:9" x14ac:dyDescent="0.3">
      <c r="B2107" t="str">
        <f>IFERROR(IF(A2107="","",VLOOKUP(A2107,CadProd!$A:$B,2,0)),"")</f>
        <v/>
      </c>
      <c r="C2107" t="str">
        <f>IFERROR(IF(A2107="","",VLOOKUP(A2107,CadProd!$A:$C,3,0)),"")</f>
        <v/>
      </c>
      <c r="I2107" s="1" t="str">
        <f>IFERROR(IF(A2107="","",E2107*#REF!),"")</f>
        <v/>
      </c>
    </row>
    <row r="2108" spans="2:9" x14ac:dyDescent="0.3">
      <c r="B2108" t="str">
        <f>IFERROR(IF(A2108="","",VLOOKUP(A2108,CadProd!$A:$B,2,0)),"")</f>
        <v/>
      </c>
      <c r="C2108" t="str">
        <f>IFERROR(IF(A2108="","",VLOOKUP(A2108,CadProd!$A:$C,3,0)),"")</f>
        <v/>
      </c>
      <c r="I2108" s="1" t="str">
        <f>IFERROR(IF(A2108="","",E2108*#REF!),"")</f>
        <v/>
      </c>
    </row>
    <row r="2109" spans="2:9" x14ac:dyDescent="0.3">
      <c r="B2109" t="str">
        <f>IFERROR(IF(A2109="","",VLOOKUP(A2109,CadProd!$A:$B,2,0)),"")</f>
        <v/>
      </c>
      <c r="C2109" t="str">
        <f>IFERROR(IF(A2109="","",VLOOKUP(A2109,CadProd!$A:$C,3,0)),"")</f>
        <v/>
      </c>
      <c r="I2109" s="1" t="str">
        <f>IFERROR(IF(A2109="","",E2109*#REF!),"")</f>
        <v/>
      </c>
    </row>
    <row r="2110" spans="2:9" x14ac:dyDescent="0.3">
      <c r="B2110" t="str">
        <f>IFERROR(IF(A2110="","",VLOOKUP(A2110,CadProd!$A:$B,2,0)),"")</f>
        <v/>
      </c>
      <c r="C2110" t="str">
        <f>IFERROR(IF(A2110="","",VLOOKUP(A2110,CadProd!$A:$C,3,0)),"")</f>
        <v/>
      </c>
      <c r="I2110" s="1" t="str">
        <f>IFERROR(IF(A2110="","",E2110*#REF!),"")</f>
        <v/>
      </c>
    </row>
    <row r="2111" spans="2:9" x14ac:dyDescent="0.3">
      <c r="B2111" t="str">
        <f>IFERROR(IF(A2111="","",VLOOKUP(A2111,CadProd!$A:$B,2,0)),"")</f>
        <v/>
      </c>
      <c r="C2111" t="str">
        <f>IFERROR(IF(A2111="","",VLOOKUP(A2111,CadProd!$A:$C,3,0)),"")</f>
        <v/>
      </c>
      <c r="I2111" s="1" t="str">
        <f>IFERROR(IF(A2111="","",E2111*#REF!),"")</f>
        <v/>
      </c>
    </row>
    <row r="2112" spans="2:9" x14ac:dyDescent="0.3">
      <c r="B2112" t="str">
        <f>IFERROR(IF(A2112="","",VLOOKUP(A2112,CadProd!$A:$B,2,0)),"")</f>
        <v/>
      </c>
      <c r="C2112" t="str">
        <f>IFERROR(IF(A2112="","",VLOOKUP(A2112,CadProd!$A:$C,3,0)),"")</f>
        <v/>
      </c>
      <c r="I2112" s="1" t="str">
        <f>IFERROR(IF(A2112="","",E2112*#REF!),"")</f>
        <v/>
      </c>
    </row>
    <row r="2113" spans="2:9" x14ac:dyDescent="0.3">
      <c r="B2113" t="str">
        <f>IFERROR(IF(A2113="","",VLOOKUP(A2113,CadProd!$A:$B,2,0)),"")</f>
        <v/>
      </c>
      <c r="C2113" t="str">
        <f>IFERROR(IF(A2113="","",VLOOKUP(A2113,CadProd!$A:$C,3,0)),"")</f>
        <v/>
      </c>
      <c r="I2113" s="1" t="str">
        <f>IFERROR(IF(A2113="","",E2113*#REF!),"")</f>
        <v/>
      </c>
    </row>
    <row r="2114" spans="2:9" x14ac:dyDescent="0.3">
      <c r="B2114" t="str">
        <f>IFERROR(IF(A2114="","",VLOOKUP(A2114,CadProd!$A:$B,2,0)),"")</f>
        <v/>
      </c>
      <c r="C2114" t="str">
        <f>IFERROR(IF(A2114="","",VLOOKUP(A2114,CadProd!$A:$C,3,0)),"")</f>
        <v/>
      </c>
      <c r="I2114" s="1" t="str">
        <f>IFERROR(IF(A2114="","",E2114*#REF!),"")</f>
        <v/>
      </c>
    </row>
    <row r="2115" spans="2:9" x14ac:dyDescent="0.3">
      <c r="B2115" t="str">
        <f>IFERROR(IF(A2115="","",VLOOKUP(A2115,CadProd!$A:$B,2,0)),"")</f>
        <v/>
      </c>
      <c r="C2115" t="str">
        <f>IFERROR(IF(A2115="","",VLOOKUP(A2115,CadProd!$A:$C,3,0)),"")</f>
        <v/>
      </c>
      <c r="I2115" s="1" t="str">
        <f>IFERROR(IF(A2115="","",E2115*#REF!),"")</f>
        <v/>
      </c>
    </row>
    <row r="2116" spans="2:9" x14ac:dyDescent="0.3">
      <c r="B2116" t="str">
        <f>IFERROR(IF(A2116="","",VLOOKUP(A2116,CadProd!$A:$B,2,0)),"")</f>
        <v/>
      </c>
      <c r="C2116" t="str">
        <f>IFERROR(IF(A2116="","",VLOOKUP(A2116,CadProd!$A:$C,3,0)),"")</f>
        <v/>
      </c>
      <c r="I2116" s="1" t="str">
        <f>IFERROR(IF(A2116="","",E2116*#REF!),"")</f>
        <v/>
      </c>
    </row>
    <row r="2117" spans="2:9" x14ac:dyDescent="0.3">
      <c r="B2117" t="str">
        <f>IFERROR(IF(A2117="","",VLOOKUP(A2117,CadProd!$A:$B,2,0)),"")</f>
        <v/>
      </c>
      <c r="C2117" t="str">
        <f>IFERROR(IF(A2117="","",VLOOKUP(A2117,CadProd!$A:$C,3,0)),"")</f>
        <v/>
      </c>
      <c r="I2117" s="1" t="str">
        <f>IFERROR(IF(A2117="","",E2117*#REF!),"")</f>
        <v/>
      </c>
    </row>
    <row r="2118" spans="2:9" x14ac:dyDescent="0.3">
      <c r="B2118" t="str">
        <f>IFERROR(IF(A2118="","",VLOOKUP(A2118,CadProd!$A:$B,2,0)),"")</f>
        <v/>
      </c>
      <c r="C2118" t="str">
        <f>IFERROR(IF(A2118="","",VLOOKUP(A2118,CadProd!$A:$C,3,0)),"")</f>
        <v/>
      </c>
      <c r="I2118" s="1" t="str">
        <f>IFERROR(IF(A2118="","",E2118*#REF!),"")</f>
        <v/>
      </c>
    </row>
    <row r="2119" spans="2:9" x14ac:dyDescent="0.3">
      <c r="B2119" t="str">
        <f>IFERROR(IF(A2119="","",VLOOKUP(A2119,CadProd!$A:$B,2,0)),"")</f>
        <v/>
      </c>
      <c r="C2119" t="str">
        <f>IFERROR(IF(A2119="","",VLOOKUP(A2119,CadProd!$A:$C,3,0)),"")</f>
        <v/>
      </c>
      <c r="I2119" s="1" t="str">
        <f>IFERROR(IF(A2119="","",E2119*#REF!),"")</f>
        <v/>
      </c>
    </row>
    <row r="2120" spans="2:9" x14ac:dyDescent="0.3">
      <c r="B2120" t="str">
        <f>IFERROR(IF(A2120="","",VLOOKUP(A2120,CadProd!$A:$B,2,0)),"")</f>
        <v/>
      </c>
      <c r="C2120" t="str">
        <f>IFERROR(IF(A2120="","",VLOOKUP(A2120,CadProd!$A:$C,3,0)),"")</f>
        <v/>
      </c>
      <c r="I2120" s="1" t="str">
        <f>IFERROR(IF(A2120="","",E2120*#REF!),"")</f>
        <v/>
      </c>
    </row>
    <row r="2121" spans="2:9" x14ac:dyDescent="0.3">
      <c r="B2121" t="str">
        <f>IFERROR(IF(A2121="","",VLOOKUP(A2121,CadProd!$A:$B,2,0)),"")</f>
        <v/>
      </c>
      <c r="C2121" t="str">
        <f>IFERROR(IF(A2121="","",VLOOKUP(A2121,CadProd!$A:$C,3,0)),"")</f>
        <v/>
      </c>
      <c r="I2121" s="1" t="str">
        <f>IFERROR(IF(A2121="","",E2121*#REF!),"")</f>
        <v/>
      </c>
    </row>
    <row r="2122" spans="2:9" x14ac:dyDescent="0.3">
      <c r="B2122" t="str">
        <f>IFERROR(IF(A2122="","",VLOOKUP(A2122,CadProd!$A:$B,2,0)),"")</f>
        <v/>
      </c>
      <c r="C2122" t="str">
        <f>IFERROR(IF(A2122="","",VLOOKUP(A2122,CadProd!$A:$C,3,0)),"")</f>
        <v/>
      </c>
      <c r="I2122" s="1" t="str">
        <f>IFERROR(IF(A2122="","",E2122*#REF!),"")</f>
        <v/>
      </c>
    </row>
    <row r="2123" spans="2:9" x14ac:dyDescent="0.3">
      <c r="B2123" t="str">
        <f>IFERROR(IF(A2123="","",VLOOKUP(A2123,CadProd!$A:$B,2,0)),"")</f>
        <v/>
      </c>
      <c r="C2123" t="str">
        <f>IFERROR(IF(A2123="","",VLOOKUP(A2123,CadProd!$A:$C,3,0)),"")</f>
        <v/>
      </c>
      <c r="I2123" s="1" t="str">
        <f>IFERROR(IF(A2123="","",E2123*#REF!),"")</f>
        <v/>
      </c>
    </row>
    <row r="2124" spans="2:9" x14ac:dyDescent="0.3">
      <c r="B2124" t="str">
        <f>IFERROR(IF(A2124="","",VLOOKUP(A2124,CadProd!$A:$B,2,0)),"")</f>
        <v/>
      </c>
      <c r="C2124" t="str">
        <f>IFERROR(IF(A2124="","",VLOOKUP(A2124,CadProd!$A:$C,3,0)),"")</f>
        <v/>
      </c>
      <c r="I2124" s="1" t="str">
        <f>IFERROR(IF(A2124="","",E2124*#REF!),"")</f>
        <v/>
      </c>
    </row>
    <row r="2125" spans="2:9" x14ac:dyDescent="0.3">
      <c r="B2125" t="str">
        <f>IFERROR(IF(A2125="","",VLOOKUP(A2125,CadProd!$A:$B,2,0)),"")</f>
        <v/>
      </c>
      <c r="C2125" t="str">
        <f>IFERROR(IF(A2125="","",VLOOKUP(A2125,CadProd!$A:$C,3,0)),"")</f>
        <v/>
      </c>
      <c r="I2125" s="1" t="str">
        <f>IFERROR(IF(A2125="","",E2125*#REF!),"")</f>
        <v/>
      </c>
    </row>
    <row r="2126" spans="2:9" x14ac:dyDescent="0.3">
      <c r="B2126" t="str">
        <f>IFERROR(IF(A2126="","",VLOOKUP(A2126,CadProd!$A:$B,2,0)),"")</f>
        <v/>
      </c>
      <c r="C2126" t="str">
        <f>IFERROR(IF(A2126="","",VLOOKUP(A2126,CadProd!$A:$C,3,0)),"")</f>
        <v/>
      </c>
      <c r="I2126" s="1" t="str">
        <f>IFERROR(IF(A2126="","",E2126*#REF!),"")</f>
        <v/>
      </c>
    </row>
    <row r="2127" spans="2:9" x14ac:dyDescent="0.3">
      <c r="B2127" t="str">
        <f>IFERROR(IF(A2127="","",VLOOKUP(A2127,CadProd!$A:$B,2,0)),"")</f>
        <v/>
      </c>
      <c r="C2127" t="str">
        <f>IFERROR(IF(A2127="","",VLOOKUP(A2127,CadProd!$A:$C,3,0)),"")</f>
        <v/>
      </c>
      <c r="I2127" s="1" t="str">
        <f>IFERROR(IF(A2127="","",E2127*#REF!),"")</f>
        <v/>
      </c>
    </row>
    <row r="2128" spans="2:9" x14ac:dyDescent="0.3">
      <c r="B2128" t="str">
        <f>IFERROR(IF(A2128="","",VLOOKUP(A2128,CadProd!$A:$B,2,0)),"")</f>
        <v/>
      </c>
      <c r="C2128" t="str">
        <f>IFERROR(IF(A2128="","",VLOOKUP(A2128,CadProd!$A:$C,3,0)),"")</f>
        <v/>
      </c>
      <c r="I2128" s="1" t="str">
        <f>IFERROR(IF(A2128="","",E2128*#REF!),"")</f>
        <v/>
      </c>
    </row>
    <row r="2129" spans="2:9" x14ac:dyDescent="0.3">
      <c r="B2129" t="str">
        <f>IFERROR(IF(A2129="","",VLOOKUP(A2129,CadProd!$A:$B,2,0)),"")</f>
        <v/>
      </c>
      <c r="C2129" t="str">
        <f>IFERROR(IF(A2129="","",VLOOKUP(A2129,CadProd!$A:$C,3,0)),"")</f>
        <v/>
      </c>
      <c r="I2129" s="1" t="str">
        <f>IFERROR(IF(A2129="","",E2129*#REF!),"")</f>
        <v/>
      </c>
    </row>
    <row r="2130" spans="2:9" x14ac:dyDescent="0.3">
      <c r="B2130" t="str">
        <f>IFERROR(IF(A2130="","",VLOOKUP(A2130,CadProd!$A:$B,2,0)),"")</f>
        <v/>
      </c>
      <c r="C2130" t="str">
        <f>IFERROR(IF(A2130="","",VLOOKUP(A2130,CadProd!$A:$C,3,0)),"")</f>
        <v/>
      </c>
      <c r="I2130" s="1" t="str">
        <f>IFERROR(IF(A2130="","",E2130*#REF!),"")</f>
        <v/>
      </c>
    </row>
    <row r="2131" spans="2:9" x14ac:dyDescent="0.3">
      <c r="B2131" t="str">
        <f>IFERROR(IF(A2131="","",VLOOKUP(A2131,CadProd!$A:$B,2,0)),"")</f>
        <v/>
      </c>
      <c r="C2131" t="str">
        <f>IFERROR(IF(A2131="","",VLOOKUP(A2131,CadProd!$A:$C,3,0)),"")</f>
        <v/>
      </c>
      <c r="I2131" s="1" t="str">
        <f>IFERROR(IF(A2131="","",E2131*#REF!),"")</f>
        <v/>
      </c>
    </row>
    <row r="2132" spans="2:9" x14ac:dyDescent="0.3">
      <c r="B2132" t="str">
        <f>IFERROR(IF(A2132="","",VLOOKUP(A2132,CadProd!$A:$B,2,0)),"")</f>
        <v/>
      </c>
      <c r="C2132" t="str">
        <f>IFERROR(IF(A2132="","",VLOOKUP(A2132,CadProd!$A:$C,3,0)),"")</f>
        <v/>
      </c>
      <c r="I2132" s="1" t="str">
        <f>IFERROR(IF(A2132="","",E2132*#REF!),"")</f>
        <v/>
      </c>
    </row>
    <row r="2133" spans="2:9" x14ac:dyDescent="0.3">
      <c r="B2133" t="str">
        <f>IFERROR(IF(A2133="","",VLOOKUP(A2133,CadProd!$A:$B,2,0)),"")</f>
        <v/>
      </c>
      <c r="C2133" t="str">
        <f>IFERROR(IF(A2133="","",VLOOKUP(A2133,CadProd!$A:$C,3,0)),"")</f>
        <v/>
      </c>
      <c r="I2133" s="1" t="str">
        <f>IFERROR(IF(A2133="","",E2133*#REF!),"")</f>
        <v/>
      </c>
    </row>
    <row r="2134" spans="2:9" x14ac:dyDescent="0.3">
      <c r="B2134" t="str">
        <f>IFERROR(IF(A2134="","",VLOOKUP(A2134,CadProd!$A:$B,2,0)),"")</f>
        <v/>
      </c>
      <c r="C2134" t="str">
        <f>IFERROR(IF(A2134="","",VLOOKUP(A2134,CadProd!$A:$C,3,0)),"")</f>
        <v/>
      </c>
      <c r="I2134" s="1" t="str">
        <f>IFERROR(IF(A2134="","",E2134*#REF!),"")</f>
        <v/>
      </c>
    </row>
    <row r="2135" spans="2:9" x14ac:dyDescent="0.3">
      <c r="B2135" t="str">
        <f>IFERROR(IF(A2135="","",VLOOKUP(A2135,CadProd!$A:$B,2,0)),"")</f>
        <v/>
      </c>
      <c r="C2135" t="str">
        <f>IFERROR(IF(A2135="","",VLOOKUP(A2135,CadProd!$A:$C,3,0)),"")</f>
        <v/>
      </c>
      <c r="I2135" s="1" t="str">
        <f>IFERROR(IF(A2135="","",E2135*#REF!),"")</f>
        <v/>
      </c>
    </row>
    <row r="2136" spans="2:9" x14ac:dyDescent="0.3">
      <c r="B2136" t="str">
        <f>IFERROR(IF(A2136="","",VLOOKUP(A2136,CadProd!$A:$B,2,0)),"")</f>
        <v/>
      </c>
      <c r="C2136" t="str">
        <f>IFERROR(IF(A2136="","",VLOOKUP(A2136,CadProd!$A:$C,3,0)),"")</f>
        <v/>
      </c>
      <c r="I2136" s="1" t="str">
        <f>IFERROR(IF(A2136="","",E2136*#REF!),"")</f>
        <v/>
      </c>
    </row>
    <row r="2137" spans="2:9" x14ac:dyDescent="0.3">
      <c r="B2137" t="str">
        <f>IFERROR(IF(A2137="","",VLOOKUP(A2137,CadProd!$A:$B,2,0)),"")</f>
        <v/>
      </c>
      <c r="C2137" t="str">
        <f>IFERROR(IF(A2137="","",VLOOKUP(A2137,CadProd!$A:$C,3,0)),"")</f>
        <v/>
      </c>
      <c r="I2137" s="1" t="str">
        <f>IFERROR(IF(A2137="","",E2137*#REF!),"")</f>
        <v/>
      </c>
    </row>
    <row r="2138" spans="2:9" x14ac:dyDescent="0.3">
      <c r="B2138" t="str">
        <f>IFERROR(IF(A2138="","",VLOOKUP(A2138,CadProd!$A:$B,2,0)),"")</f>
        <v/>
      </c>
      <c r="C2138" t="str">
        <f>IFERROR(IF(A2138="","",VLOOKUP(A2138,CadProd!$A:$C,3,0)),"")</f>
        <v/>
      </c>
      <c r="I2138" s="1" t="str">
        <f>IFERROR(IF(A2138="","",E2138*#REF!),"")</f>
        <v/>
      </c>
    </row>
    <row r="2139" spans="2:9" x14ac:dyDescent="0.3">
      <c r="B2139" t="str">
        <f>IFERROR(IF(A2139="","",VLOOKUP(A2139,CadProd!$A:$B,2,0)),"")</f>
        <v/>
      </c>
      <c r="C2139" t="str">
        <f>IFERROR(IF(A2139="","",VLOOKUP(A2139,CadProd!$A:$C,3,0)),"")</f>
        <v/>
      </c>
      <c r="I2139" s="1" t="str">
        <f>IFERROR(IF(A2139="","",E2139*#REF!),"")</f>
        <v/>
      </c>
    </row>
    <row r="2140" spans="2:9" x14ac:dyDescent="0.3">
      <c r="B2140" t="str">
        <f>IFERROR(IF(A2140="","",VLOOKUP(A2140,CadProd!$A:$B,2,0)),"")</f>
        <v/>
      </c>
      <c r="C2140" t="str">
        <f>IFERROR(IF(A2140="","",VLOOKUP(A2140,CadProd!$A:$C,3,0)),"")</f>
        <v/>
      </c>
      <c r="I2140" s="1" t="str">
        <f>IFERROR(IF(A2140="","",E2140*#REF!),"")</f>
        <v/>
      </c>
    </row>
    <row r="2141" spans="2:9" x14ac:dyDescent="0.3">
      <c r="B2141" t="str">
        <f>IFERROR(IF(A2141="","",VLOOKUP(A2141,CadProd!$A:$B,2,0)),"")</f>
        <v/>
      </c>
      <c r="C2141" t="str">
        <f>IFERROR(IF(A2141="","",VLOOKUP(A2141,CadProd!$A:$C,3,0)),"")</f>
        <v/>
      </c>
      <c r="I2141" s="1" t="str">
        <f>IFERROR(IF(A2141="","",E2141*#REF!),"")</f>
        <v/>
      </c>
    </row>
    <row r="2142" spans="2:9" x14ac:dyDescent="0.3">
      <c r="B2142" t="str">
        <f>IFERROR(IF(A2142="","",VLOOKUP(A2142,CadProd!$A:$B,2,0)),"")</f>
        <v/>
      </c>
      <c r="C2142" t="str">
        <f>IFERROR(IF(A2142="","",VLOOKUP(A2142,CadProd!$A:$C,3,0)),"")</f>
        <v/>
      </c>
      <c r="I2142" s="1" t="str">
        <f>IFERROR(IF(A2142="","",E2142*#REF!),"")</f>
        <v/>
      </c>
    </row>
    <row r="2143" spans="2:9" x14ac:dyDescent="0.3">
      <c r="B2143" t="str">
        <f>IFERROR(IF(A2143="","",VLOOKUP(A2143,CadProd!$A:$B,2,0)),"")</f>
        <v/>
      </c>
      <c r="C2143" t="str">
        <f>IFERROR(IF(A2143="","",VLOOKUP(A2143,CadProd!$A:$C,3,0)),"")</f>
        <v/>
      </c>
      <c r="I2143" s="1" t="str">
        <f>IFERROR(IF(A2143="","",E2143*#REF!),"")</f>
        <v/>
      </c>
    </row>
    <row r="2144" spans="2:9" x14ac:dyDescent="0.3">
      <c r="B2144" t="str">
        <f>IFERROR(IF(A2144="","",VLOOKUP(A2144,CadProd!$A:$B,2,0)),"")</f>
        <v/>
      </c>
      <c r="C2144" t="str">
        <f>IFERROR(IF(A2144="","",VLOOKUP(A2144,CadProd!$A:$C,3,0)),"")</f>
        <v/>
      </c>
      <c r="I2144" s="1" t="str">
        <f>IFERROR(IF(A2144="","",E2144*#REF!),"")</f>
        <v/>
      </c>
    </row>
    <row r="2145" spans="2:9" x14ac:dyDescent="0.3">
      <c r="B2145" t="str">
        <f>IFERROR(IF(A2145="","",VLOOKUP(A2145,CadProd!$A:$B,2,0)),"")</f>
        <v/>
      </c>
      <c r="C2145" t="str">
        <f>IFERROR(IF(A2145="","",VLOOKUP(A2145,CadProd!$A:$C,3,0)),"")</f>
        <v/>
      </c>
      <c r="I2145" s="1" t="str">
        <f>IFERROR(IF(A2145="","",E2145*#REF!),"")</f>
        <v/>
      </c>
    </row>
    <row r="2146" spans="2:9" x14ac:dyDescent="0.3">
      <c r="B2146" t="str">
        <f>IFERROR(IF(A2146="","",VLOOKUP(A2146,CadProd!$A:$B,2,0)),"")</f>
        <v/>
      </c>
      <c r="C2146" t="str">
        <f>IFERROR(IF(A2146="","",VLOOKUP(A2146,CadProd!$A:$C,3,0)),"")</f>
        <v/>
      </c>
      <c r="I2146" s="1" t="str">
        <f>IFERROR(IF(A2146="","",E2146*#REF!),"")</f>
        <v/>
      </c>
    </row>
    <row r="2147" spans="2:9" x14ac:dyDescent="0.3">
      <c r="B2147" t="str">
        <f>IFERROR(IF(A2147="","",VLOOKUP(A2147,CadProd!$A:$B,2,0)),"")</f>
        <v/>
      </c>
      <c r="C2147" t="str">
        <f>IFERROR(IF(A2147="","",VLOOKUP(A2147,CadProd!$A:$C,3,0)),"")</f>
        <v/>
      </c>
      <c r="I2147" s="1" t="str">
        <f>IFERROR(IF(A2147="","",E2147*#REF!),"")</f>
        <v/>
      </c>
    </row>
    <row r="2148" spans="2:9" x14ac:dyDescent="0.3">
      <c r="B2148" t="str">
        <f>IFERROR(IF(A2148="","",VLOOKUP(A2148,CadProd!$A:$B,2,0)),"")</f>
        <v/>
      </c>
      <c r="C2148" t="str">
        <f>IFERROR(IF(A2148="","",VLOOKUP(A2148,CadProd!$A:$C,3,0)),"")</f>
        <v/>
      </c>
      <c r="I2148" s="1" t="str">
        <f>IFERROR(IF(A2148="","",E2148*#REF!),"")</f>
        <v/>
      </c>
    </row>
    <row r="2149" spans="2:9" x14ac:dyDescent="0.3">
      <c r="B2149" t="str">
        <f>IFERROR(IF(A2149="","",VLOOKUP(A2149,CadProd!$A:$B,2,0)),"")</f>
        <v/>
      </c>
      <c r="C2149" t="str">
        <f>IFERROR(IF(A2149="","",VLOOKUP(A2149,CadProd!$A:$C,3,0)),"")</f>
        <v/>
      </c>
      <c r="I2149" s="1" t="str">
        <f>IFERROR(IF(A2149="","",E2149*#REF!),"")</f>
        <v/>
      </c>
    </row>
    <row r="2150" spans="2:9" x14ac:dyDescent="0.3">
      <c r="B2150" t="str">
        <f>IFERROR(IF(A2150="","",VLOOKUP(A2150,CadProd!$A:$B,2,0)),"")</f>
        <v/>
      </c>
      <c r="C2150" t="str">
        <f>IFERROR(IF(A2150="","",VLOOKUP(A2150,CadProd!$A:$C,3,0)),"")</f>
        <v/>
      </c>
      <c r="I2150" s="1" t="str">
        <f>IFERROR(IF(A2150="","",E2150*#REF!),"")</f>
        <v/>
      </c>
    </row>
    <row r="2151" spans="2:9" x14ac:dyDescent="0.3">
      <c r="B2151" t="str">
        <f>IFERROR(IF(A2151="","",VLOOKUP(A2151,CadProd!$A:$B,2,0)),"")</f>
        <v/>
      </c>
      <c r="C2151" t="str">
        <f>IFERROR(IF(A2151="","",VLOOKUP(A2151,CadProd!$A:$C,3,0)),"")</f>
        <v/>
      </c>
      <c r="I2151" s="1" t="str">
        <f>IFERROR(IF(A2151="","",E2151*#REF!),"")</f>
        <v/>
      </c>
    </row>
    <row r="2152" spans="2:9" x14ac:dyDescent="0.3">
      <c r="B2152" t="str">
        <f>IFERROR(IF(A2152="","",VLOOKUP(A2152,CadProd!$A:$B,2,0)),"")</f>
        <v/>
      </c>
      <c r="C2152" t="str">
        <f>IFERROR(IF(A2152="","",VLOOKUP(A2152,CadProd!$A:$C,3,0)),"")</f>
        <v/>
      </c>
      <c r="I2152" s="1" t="str">
        <f>IFERROR(IF(A2152="","",E2152*#REF!),"")</f>
        <v/>
      </c>
    </row>
    <row r="2153" spans="2:9" x14ac:dyDescent="0.3">
      <c r="B2153" t="str">
        <f>IFERROR(IF(A2153="","",VLOOKUP(A2153,CadProd!$A:$B,2,0)),"")</f>
        <v/>
      </c>
      <c r="C2153" t="str">
        <f>IFERROR(IF(A2153="","",VLOOKUP(A2153,CadProd!$A:$C,3,0)),"")</f>
        <v/>
      </c>
      <c r="I2153" s="1" t="str">
        <f>IFERROR(IF(A2153="","",E2153*#REF!),"")</f>
        <v/>
      </c>
    </row>
    <row r="2154" spans="2:9" x14ac:dyDescent="0.3">
      <c r="B2154" t="str">
        <f>IFERROR(IF(A2154="","",VLOOKUP(A2154,CadProd!$A:$B,2,0)),"")</f>
        <v/>
      </c>
      <c r="C2154" t="str">
        <f>IFERROR(IF(A2154="","",VLOOKUP(A2154,CadProd!$A:$C,3,0)),"")</f>
        <v/>
      </c>
      <c r="I2154" s="1" t="str">
        <f>IFERROR(IF(A2154="","",E2154*#REF!),"")</f>
        <v/>
      </c>
    </row>
    <row r="2155" spans="2:9" x14ac:dyDescent="0.3">
      <c r="B2155" t="str">
        <f>IFERROR(IF(A2155="","",VLOOKUP(A2155,CadProd!$A:$B,2,0)),"")</f>
        <v/>
      </c>
      <c r="C2155" t="str">
        <f>IFERROR(IF(A2155="","",VLOOKUP(A2155,CadProd!$A:$C,3,0)),"")</f>
        <v/>
      </c>
      <c r="I2155" s="1" t="str">
        <f>IFERROR(IF(A2155="","",E2155*#REF!),"")</f>
        <v/>
      </c>
    </row>
    <row r="2156" spans="2:9" x14ac:dyDescent="0.3">
      <c r="B2156" t="str">
        <f>IFERROR(IF(A2156="","",VLOOKUP(A2156,CadProd!$A:$B,2,0)),"")</f>
        <v/>
      </c>
      <c r="C2156" t="str">
        <f>IFERROR(IF(A2156="","",VLOOKUP(A2156,CadProd!$A:$C,3,0)),"")</f>
        <v/>
      </c>
      <c r="I2156" s="1" t="str">
        <f>IFERROR(IF(A2156="","",E2156*#REF!),"")</f>
        <v/>
      </c>
    </row>
    <row r="2157" spans="2:9" x14ac:dyDescent="0.3">
      <c r="B2157" t="str">
        <f>IFERROR(IF(A2157="","",VLOOKUP(A2157,CadProd!$A:$B,2,0)),"")</f>
        <v/>
      </c>
      <c r="C2157" t="str">
        <f>IFERROR(IF(A2157="","",VLOOKUP(A2157,CadProd!$A:$C,3,0)),"")</f>
        <v/>
      </c>
      <c r="I2157" s="1" t="str">
        <f>IFERROR(IF(A2157="","",E2157*#REF!),"")</f>
        <v/>
      </c>
    </row>
    <row r="2158" spans="2:9" x14ac:dyDescent="0.3">
      <c r="B2158" t="str">
        <f>IFERROR(IF(A2158="","",VLOOKUP(A2158,CadProd!$A:$B,2,0)),"")</f>
        <v/>
      </c>
      <c r="C2158" t="str">
        <f>IFERROR(IF(A2158="","",VLOOKUP(A2158,CadProd!$A:$C,3,0)),"")</f>
        <v/>
      </c>
      <c r="I2158" s="1" t="str">
        <f>IFERROR(IF(A2158="","",E2158*#REF!),"")</f>
        <v/>
      </c>
    </row>
    <row r="2159" spans="2:9" x14ac:dyDescent="0.3">
      <c r="B2159" t="str">
        <f>IFERROR(IF(A2159="","",VLOOKUP(A2159,CadProd!$A:$B,2,0)),"")</f>
        <v/>
      </c>
      <c r="C2159" t="str">
        <f>IFERROR(IF(A2159="","",VLOOKUP(A2159,CadProd!$A:$C,3,0)),"")</f>
        <v/>
      </c>
      <c r="I2159" s="1" t="str">
        <f>IFERROR(IF(A2159="","",E2159*#REF!),"")</f>
        <v/>
      </c>
    </row>
    <row r="2160" spans="2:9" x14ac:dyDescent="0.3">
      <c r="B2160" t="str">
        <f>IFERROR(IF(A2160="","",VLOOKUP(A2160,CadProd!$A:$B,2,0)),"")</f>
        <v/>
      </c>
      <c r="C2160" t="str">
        <f>IFERROR(IF(A2160="","",VLOOKUP(A2160,CadProd!$A:$C,3,0)),"")</f>
        <v/>
      </c>
      <c r="I2160" s="1" t="str">
        <f>IFERROR(IF(A2160="","",E2160*#REF!),"")</f>
        <v/>
      </c>
    </row>
    <row r="2161" spans="2:9" x14ac:dyDescent="0.3">
      <c r="B2161" t="str">
        <f>IFERROR(IF(A2161="","",VLOOKUP(A2161,CadProd!$A:$B,2,0)),"")</f>
        <v/>
      </c>
      <c r="C2161" t="str">
        <f>IFERROR(IF(A2161="","",VLOOKUP(A2161,CadProd!$A:$C,3,0)),"")</f>
        <v/>
      </c>
      <c r="I2161" s="1" t="str">
        <f>IFERROR(IF(A2161="","",E2161*#REF!),"")</f>
        <v/>
      </c>
    </row>
    <row r="2162" spans="2:9" x14ac:dyDescent="0.3">
      <c r="B2162" t="str">
        <f>IFERROR(IF(A2162="","",VLOOKUP(A2162,CadProd!$A:$B,2,0)),"")</f>
        <v/>
      </c>
      <c r="C2162" t="str">
        <f>IFERROR(IF(A2162="","",VLOOKUP(A2162,CadProd!$A:$C,3,0)),"")</f>
        <v/>
      </c>
      <c r="I2162" s="1" t="str">
        <f>IFERROR(IF(A2162="","",E2162*#REF!),"")</f>
        <v/>
      </c>
    </row>
    <row r="2163" spans="2:9" x14ac:dyDescent="0.3">
      <c r="B2163" t="str">
        <f>IFERROR(IF(A2163="","",VLOOKUP(A2163,CadProd!$A:$B,2,0)),"")</f>
        <v/>
      </c>
      <c r="C2163" t="str">
        <f>IFERROR(IF(A2163="","",VLOOKUP(A2163,CadProd!$A:$C,3,0)),"")</f>
        <v/>
      </c>
      <c r="I2163" s="1" t="str">
        <f>IFERROR(IF(A2163="","",E2163*#REF!),"")</f>
        <v/>
      </c>
    </row>
    <row r="2164" spans="2:9" x14ac:dyDescent="0.3">
      <c r="B2164" t="str">
        <f>IFERROR(IF(A2164="","",VLOOKUP(A2164,CadProd!$A:$B,2,0)),"")</f>
        <v/>
      </c>
      <c r="C2164" t="str">
        <f>IFERROR(IF(A2164="","",VLOOKUP(A2164,CadProd!$A:$C,3,0)),"")</f>
        <v/>
      </c>
      <c r="I2164" s="1" t="str">
        <f>IFERROR(IF(A2164="","",E2164*#REF!),"")</f>
        <v/>
      </c>
    </row>
    <row r="2165" spans="2:9" x14ac:dyDescent="0.3">
      <c r="B2165" t="str">
        <f>IFERROR(IF(A2165="","",VLOOKUP(A2165,CadProd!$A:$B,2,0)),"")</f>
        <v/>
      </c>
      <c r="C2165" t="str">
        <f>IFERROR(IF(A2165="","",VLOOKUP(A2165,CadProd!$A:$C,3,0)),"")</f>
        <v/>
      </c>
      <c r="I2165" s="1" t="str">
        <f>IFERROR(IF(A2165="","",E2165*#REF!),"")</f>
        <v/>
      </c>
    </row>
    <row r="2166" spans="2:9" x14ac:dyDescent="0.3">
      <c r="B2166" t="str">
        <f>IFERROR(IF(A2166="","",VLOOKUP(A2166,CadProd!$A:$B,2,0)),"")</f>
        <v/>
      </c>
      <c r="C2166" t="str">
        <f>IFERROR(IF(A2166="","",VLOOKUP(A2166,CadProd!$A:$C,3,0)),"")</f>
        <v/>
      </c>
      <c r="I2166" s="1" t="str">
        <f>IFERROR(IF(A2166="","",E2166*#REF!),"")</f>
        <v/>
      </c>
    </row>
    <row r="2167" spans="2:9" x14ac:dyDescent="0.3">
      <c r="B2167" t="str">
        <f>IFERROR(IF(A2167="","",VLOOKUP(A2167,CadProd!$A:$B,2,0)),"")</f>
        <v/>
      </c>
      <c r="C2167" t="str">
        <f>IFERROR(IF(A2167="","",VLOOKUP(A2167,CadProd!$A:$C,3,0)),"")</f>
        <v/>
      </c>
      <c r="I2167" s="1" t="str">
        <f>IFERROR(IF(A2167="","",E2167*#REF!),"")</f>
        <v/>
      </c>
    </row>
    <row r="2168" spans="2:9" x14ac:dyDescent="0.3">
      <c r="B2168" t="str">
        <f>IFERROR(IF(A2168="","",VLOOKUP(A2168,CadProd!$A:$B,2,0)),"")</f>
        <v/>
      </c>
      <c r="C2168" t="str">
        <f>IFERROR(IF(A2168="","",VLOOKUP(A2168,CadProd!$A:$C,3,0)),"")</f>
        <v/>
      </c>
      <c r="I2168" s="1" t="str">
        <f>IFERROR(IF(A2168="","",E2168*#REF!),"")</f>
        <v/>
      </c>
    </row>
    <row r="2169" spans="2:9" x14ac:dyDescent="0.3">
      <c r="B2169" t="str">
        <f>IFERROR(IF(A2169="","",VLOOKUP(A2169,CadProd!$A:$B,2,0)),"")</f>
        <v/>
      </c>
      <c r="C2169" t="str">
        <f>IFERROR(IF(A2169="","",VLOOKUP(A2169,CadProd!$A:$C,3,0)),"")</f>
        <v/>
      </c>
      <c r="I2169" s="1" t="str">
        <f>IFERROR(IF(A2169="","",E2169*#REF!),"")</f>
        <v/>
      </c>
    </row>
    <row r="2170" spans="2:9" x14ac:dyDescent="0.3">
      <c r="B2170" t="str">
        <f>IFERROR(IF(A2170="","",VLOOKUP(A2170,CadProd!$A:$B,2,0)),"")</f>
        <v/>
      </c>
      <c r="C2170" t="str">
        <f>IFERROR(IF(A2170="","",VLOOKUP(A2170,CadProd!$A:$C,3,0)),"")</f>
        <v/>
      </c>
      <c r="I2170" s="1" t="str">
        <f>IFERROR(IF(A2170="","",E2170*#REF!),"")</f>
        <v/>
      </c>
    </row>
    <row r="2171" spans="2:9" x14ac:dyDescent="0.3">
      <c r="B2171" t="str">
        <f>IFERROR(IF(A2171="","",VLOOKUP(A2171,CadProd!$A:$B,2,0)),"")</f>
        <v/>
      </c>
      <c r="C2171" t="str">
        <f>IFERROR(IF(A2171="","",VLOOKUP(A2171,CadProd!$A:$C,3,0)),"")</f>
        <v/>
      </c>
      <c r="I2171" s="1" t="str">
        <f>IFERROR(IF(A2171="","",E2171*#REF!),"")</f>
        <v/>
      </c>
    </row>
    <row r="2172" spans="2:9" x14ac:dyDescent="0.3">
      <c r="B2172" t="str">
        <f>IFERROR(IF(A2172="","",VLOOKUP(A2172,CadProd!$A:$B,2,0)),"")</f>
        <v/>
      </c>
      <c r="C2172" t="str">
        <f>IFERROR(IF(A2172="","",VLOOKUP(A2172,CadProd!$A:$C,3,0)),"")</f>
        <v/>
      </c>
      <c r="I2172" s="1" t="str">
        <f>IFERROR(IF(A2172="","",E2172*#REF!),"")</f>
        <v/>
      </c>
    </row>
    <row r="2173" spans="2:9" x14ac:dyDescent="0.3">
      <c r="B2173" t="str">
        <f>IFERROR(IF(A2173="","",VLOOKUP(A2173,CadProd!$A:$B,2,0)),"")</f>
        <v/>
      </c>
      <c r="C2173" t="str">
        <f>IFERROR(IF(A2173="","",VLOOKUP(A2173,CadProd!$A:$C,3,0)),"")</f>
        <v/>
      </c>
      <c r="I2173" s="1" t="str">
        <f>IFERROR(IF(A2173="","",E2173*#REF!),"")</f>
        <v/>
      </c>
    </row>
    <row r="2174" spans="2:9" x14ac:dyDescent="0.3">
      <c r="B2174" t="str">
        <f>IFERROR(IF(A2174="","",VLOOKUP(A2174,CadProd!$A:$B,2,0)),"")</f>
        <v/>
      </c>
      <c r="C2174" t="str">
        <f>IFERROR(IF(A2174="","",VLOOKUP(A2174,CadProd!$A:$C,3,0)),"")</f>
        <v/>
      </c>
      <c r="I2174" s="1" t="str">
        <f>IFERROR(IF(A2174="","",E2174*#REF!),"")</f>
        <v/>
      </c>
    </row>
    <row r="2175" spans="2:9" x14ac:dyDescent="0.3">
      <c r="B2175" t="str">
        <f>IFERROR(IF(A2175="","",VLOOKUP(A2175,CadProd!$A:$B,2,0)),"")</f>
        <v/>
      </c>
      <c r="C2175" t="str">
        <f>IFERROR(IF(A2175="","",VLOOKUP(A2175,CadProd!$A:$C,3,0)),"")</f>
        <v/>
      </c>
      <c r="I2175" s="1" t="str">
        <f>IFERROR(IF(A2175="","",E2175*#REF!),"")</f>
        <v/>
      </c>
    </row>
    <row r="2176" spans="2:9" x14ac:dyDescent="0.3">
      <c r="B2176" t="str">
        <f>IFERROR(IF(A2176="","",VLOOKUP(A2176,CadProd!$A:$B,2,0)),"")</f>
        <v/>
      </c>
      <c r="C2176" t="str">
        <f>IFERROR(IF(A2176="","",VLOOKUP(A2176,CadProd!$A:$C,3,0)),"")</f>
        <v/>
      </c>
      <c r="I2176" s="1" t="str">
        <f>IFERROR(IF(A2176="","",E2176*#REF!),"")</f>
        <v/>
      </c>
    </row>
    <row r="2177" spans="2:9" x14ac:dyDescent="0.3">
      <c r="B2177" t="str">
        <f>IFERROR(IF(A2177="","",VLOOKUP(A2177,CadProd!$A:$B,2,0)),"")</f>
        <v/>
      </c>
      <c r="C2177" t="str">
        <f>IFERROR(IF(A2177="","",VLOOKUP(A2177,CadProd!$A:$C,3,0)),"")</f>
        <v/>
      </c>
      <c r="I2177" s="1" t="str">
        <f>IFERROR(IF(A2177="","",E2177*#REF!),"")</f>
        <v/>
      </c>
    </row>
    <row r="2178" spans="2:9" x14ac:dyDescent="0.3">
      <c r="B2178" t="str">
        <f>IFERROR(IF(A2178="","",VLOOKUP(A2178,CadProd!$A:$B,2,0)),"")</f>
        <v/>
      </c>
      <c r="C2178" t="str">
        <f>IFERROR(IF(A2178="","",VLOOKUP(A2178,CadProd!$A:$C,3,0)),"")</f>
        <v/>
      </c>
      <c r="I2178" s="1" t="str">
        <f>IFERROR(IF(A2178="","",E2178*#REF!),"")</f>
        <v/>
      </c>
    </row>
    <row r="2179" spans="2:9" x14ac:dyDescent="0.3">
      <c r="B2179" t="str">
        <f>IFERROR(IF(A2179="","",VLOOKUP(A2179,CadProd!$A:$B,2,0)),"")</f>
        <v/>
      </c>
      <c r="C2179" t="str">
        <f>IFERROR(IF(A2179="","",VLOOKUP(A2179,CadProd!$A:$C,3,0)),"")</f>
        <v/>
      </c>
      <c r="I2179" s="1" t="str">
        <f>IFERROR(IF(A2179="","",E2179*#REF!),"")</f>
        <v/>
      </c>
    </row>
    <row r="2180" spans="2:9" x14ac:dyDescent="0.3">
      <c r="B2180" t="str">
        <f>IFERROR(IF(A2180="","",VLOOKUP(A2180,CadProd!$A:$B,2,0)),"")</f>
        <v/>
      </c>
      <c r="C2180" t="str">
        <f>IFERROR(IF(A2180="","",VLOOKUP(A2180,CadProd!$A:$C,3,0)),"")</f>
        <v/>
      </c>
      <c r="I2180" s="1" t="str">
        <f>IFERROR(IF(A2180="","",E2180*#REF!),"")</f>
        <v/>
      </c>
    </row>
    <row r="2181" spans="2:9" x14ac:dyDescent="0.3">
      <c r="B2181" t="str">
        <f>IFERROR(IF(A2181="","",VLOOKUP(A2181,CadProd!$A:$B,2,0)),"")</f>
        <v/>
      </c>
      <c r="C2181" t="str">
        <f>IFERROR(IF(A2181="","",VLOOKUP(A2181,CadProd!$A:$C,3,0)),"")</f>
        <v/>
      </c>
      <c r="I2181" s="1" t="str">
        <f>IFERROR(IF(A2181="","",E2181*#REF!),"")</f>
        <v/>
      </c>
    </row>
    <row r="2182" spans="2:9" x14ac:dyDescent="0.3">
      <c r="B2182" t="str">
        <f>IFERROR(IF(A2182="","",VLOOKUP(A2182,CadProd!$A:$B,2,0)),"")</f>
        <v/>
      </c>
      <c r="C2182" t="str">
        <f>IFERROR(IF(A2182="","",VLOOKUP(A2182,CadProd!$A:$C,3,0)),"")</f>
        <v/>
      </c>
      <c r="I2182" s="1" t="str">
        <f>IFERROR(IF(A2182="","",E2182*#REF!),"")</f>
        <v/>
      </c>
    </row>
    <row r="2183" spans="2:9" x14ac:dyDescent="0.3">
      <c r="B2183" t="str">
        <f>IFERROR(IF(A2183="","",VLOOKUP(A2183,CadProd!$A:$B,2,0)),"")</f>
        <v/>
      </c>
      <c r="C2183" t="str">
        <f>IFERROR(IF(A2183="","",VLOOKUP(A2183,CadProd!$A:$C,3,0)),"")</f>
        <v/>
      </c>
      <c r="I2183" s="1" t="str">
        <f>IFERROR(IF(A2183="","",E2183*#REF!),"")</f>
        <v/>
      </c>
    </row>
    <row r="2184" spans="2:9" x14ac:dyDescent="0.3">
      <c r="B2184" t="str">
        <f>IFERROR(IF(A2184="","",VLOOKUP(A2184,CadProd!$A:$B,2,0)),"")</f>
        <v/>
      </c>
      <c r="C2184" t="str">
        <f>IFERROR(IF(A2184="","",VLOOKUP(A2184,CadProd!$A:$C,3,0)),"")</f>
        <v/>
      </c>
      <c r="I2184" s="1" t="str">
        <f>IFERROR(IF(A2184="","",E2184*#REF!),"")</f>
        <v/>
      </c>
    </row>
    <row r="2185" spans="2:9" x14ac:dyDescent="0.3">
      <c r="B2185" t="str">
        <f>IFERROR(IF(A2185="","",VLOOKUP(A2185,CadProd!$A:$B,2,0)),"")</f>
        <v/>
      </c>
      <c r="C2185" t="str">
        <f>IFERROR(IF(A2185="","",VLOOKUP(A2185,CadProd!$A:$C,3,0)),"")</f>
        <v/>
      </c>
      <c r="I2185" s="1" t="str">
        <f>IFERROR(IF(A2185="","",E2185*#REF!),"")</f>
        <v/>
      </c>
    </row>
    <row r="2186" spans="2:9" x14ac:dyDescent="0.3">
      <c r="B2186" t="str">
        <f>IFERROR(IF(A2186="","",VLOOKUP(A2186,CadProd!$A:$B,2,0)),"")</f>
        <v/>
      </c>
      <c r="C2186" t="str">
        <f>IFERROR(IF(A2186="","",VLOOKUP(A2186,CadProd!$A:$C,3,0)),"")</f>
        <v/>
      </c>
      <c r="I2186" s="1" t="str">
        <f>IFERROR(IF(A2186="","",E2186*#REF!),"")</f>
        <v/>
      </c>
    </row>
    <row r="2187" spans="2:9" x14ac:dyDescent="0.3">
      <c r="B2187" t="str">
        <f>IFERROR(IF(A2187="","",VLOOKUP(A2187,CadProd!$A:$B,2,0)),"")</f>
        <v/>
      </c>
      <c r="C2187" t="str">
        <f>IFERROR(IF(A2187="","",VLOOKUP(A2187,CadProd!$A:$C,3,0)),"")</f>
        <v/>
      </c>
      <c r="I2187" s="1" t="str">
        <f>IFERROR(IF(A2187="","",E2187*#REF!),"")</f>
        <v/>
      </c>
    </row>
    <row r="2188" spans="2:9" x14ac:dyDescent="0.3">
      <c r="B2188" t="str">
        <f>IFERROR(IF(A2188="","",VLOOKUP(A2188,CadProd!$A:$B,2,0)),"")</f>
        <v/>
      </c>
      <c r="C2188" t="str">
        <f>IFERROR(IF(A2188="","",VLOOKUP(A2188,CadProd!$A:$C,3,0)),"")</f>
        <v/>
      </c>
      <c r="I2188" s="1" t="str">
        <f>IFERROR(IF(A2188="","",E2188*#REF!),"")</f>
        <v/>
      </c>
    </row>
    <row r="2189" spans="2:9" x14ac:dyDescent="0.3">
      <c r="B2189" t="str">
        <f>IFERROR(IF(A2189="","",VLOOKUP(A2189,CadProd!$A:$B,2,0)),"")</f>
        <v/>
      </c>
      <c r="C2189" t="str">
        <f>IFERROR(IF(A2189="","",VLOOKUP(A2189,CadProd!$A:$C,3,0)),"")</f>
        <v/>
      </c>
      <c r="I2189" s="1" t="str">
        <f>IFERROR(IF(A2189="","",E2189*#REF!),"")</f>
        <v/>
      </c>
    </row>
    <row r="2190" spans="2:9" x14ac:dyDescent="0.3">
      <c r="B2190" t="str">
        <f>IFERROR(IF(A2190="","",VLOOKUP(A2190,CadProd!$A:$B,2,0)),"")</f>
        <v/>
      </c>
      <c r="C2190" t="str">
        <f>IFERROR(IF(A2190="","",VLOOKUP(A2190,CadProd!$A:$C,3,0)),"")</f>
        <v/>
      </c>
      <c r="I2190" s="1" t="str">
        <f>IFERROR(IF(A2190="","",E2190*#REF!),"")</f>
        <v/>
      </c>
    </row>
    <row r="2191" spans="2:9" x14ac:dyDescent="0.3">
      <c r="B2191" t="str">
        <f>IFERROR(IF(A2191="","",VLOOKUP(A2191,CadProd!$A:$B,2,0)),"")</f>
        <v/>
      </c>
      <c r="C2191" t="str">
        <f>IFERROR(IF(A2191="","",VLOOKUP(A2191,CadProd!$A:$C,3,0)),"")</f>
        <v/>
      </c>
      <c r="I2191" s="1" t="str">
        <f>IFERROR(IF(A2191="","",E2191*#REF!),"")</f>
        <v/>
      </c>
    </row>
    <row r="2192" spans="2:9" x14ac:dyDescent="0.3">
      <c r="B2192" t="str">
        <f>IFERROR(IF(A2192="","",VLOOKUP(A2192,CadProd!$A:$B,2,0)),"")</f>
        <v/>
      </c>
      <c r="C2192" t="str">
        <f>IFERROR(IF(A2192="","",VLOOKUP(A2192,CadProd!$A:$C,3,0)),"")</f>
        <v/>
      </c>
      <c r="I2192" s="1" t="str">
        <f>IFERROR(IF(A2192="","",E2192*#REF!),"")</f>
        <v/>
      </c>
    </row>
    <row r="2193" spans="2:9" x14ac:dyDescent="0.3">
      <c r="B2193" t="str">
        <f>IFERROR(IF(A2193="","",VLOOKUP(A2193,CadProd!$A:$B,2,0)),"")</f>
        <v/>
      </c>
      <c r="C2193" t="str">
        <f>IFERROR(IF(A2193="","",VLOOKUP(A2193,CadProd!$A:$C,3,0)),"")</f>
        <v/>
      </c>
      <c r="I2193" s="1" t="str">
        <f>IFERROR(IF(A2193="","",E2193*#REF!),"")</f>
        <v/>
      </c>
    </row>
    <row r="2194" spans="2:9" x14ac:dyDescent="0.3">
      <c r="B2194" t="str">
        <f>IFERROR(IF(A2194="","",VLOOKUP(A2194,CadProd!$A:$B,2,0)),"")</f>
        <v/>
      </c>
      <c r="C2194" t="str">
        <f>IFERROR(IF(A2194="","",VLOOKUP(A2194,CadProd!$A:$C,3,0)),"")</f>
        <v/>
      </c>
      <c r="I2194" s="1" t="str">
        <f>IFERROR(IF(A2194="","",E2194*#REF!),"")</f>
        <v/>
      </c>
    </row>
    <row r="2195" spans="2:9" x14ac:dyDescent="0.3">
      <c r="B2195" t="str">
        <f>IFERROR(IF(A2195="","",VLOOKUP(A2195,CadProd!$A:$B,2,0)),"")</f>
        <v/>
      </c>
      <c r="C2195" t="str">
        <f>IFERROR(IF(A2195="","",VLOOKUP(A2195,CadProd!$A:$C,3,0)),"")</f>
        <v/>
      </c>
      <c r="I2195" s="1" t="str">
        <f>IFERROR(IF(A2195="","",E2195*#REF!),"")</f>
        <v/>
      </c>
    </row>
    <row r="2196" spans="2:9" x14ac:dyDescent="0.3">
      <c r="B2196" t="str">
        <f>IFERROR(IF(A2196="","",VLOOKUP(A2196,CadProd!$A:$B,2,0)),"")</f>
        <v/>
      </c>
      <c r="C2196" t="str">
        <f>IFERROR(IF(A2196="","",VLOOKUP(A2196,CadProd!$A:$C,3,0)),"")</f>
        <v/>
      </c>
      <c r="I2196" s="1" t="str">
        <f>IFERROR(IF(A2196="","",E2196*#REF!),"")</f>
        <v/>
      </c>
    </row>
    <row r="2197" spans="2:9" x14ac:dyDescent="0.3">
      <c r="B2197" t="str">
        <f>IFERROR(IF(A2197="","",VLOOKUP(A2197,CadProd!$A:$B,2,0)),"")</f>
        <v/>
      </c>
      <c r="C2197" t="str">
        <f>IFERROR(IF(A2197="","",VLOOKUP(A2197,CadProd!$A:$C,3,0)),"")</f>
        <v/>
      </c>
      <c r="I2197" s="1" t="str">
        <f>IFERROR(IF(A2197="","",E2197*#REF!),"")</f>
        <v/>
      </c>
    </row>
    <row r="2198" spans="2:9" x14ac:dyDescent="0.3">
      <c r="B2198" t="str">
        <f>IFERROR(IF(A2198="","",VLOOKUP(A2198,CadProd!$A:$B,2,0)),"")</f>
        <v/>
      </c>
      <c r="C2198" t="str">
        <f>IFERROR(IF(A2198="","",VLOOKUP(A2198,CadProd!$A:$C,3,0)),"")</f>
        <v/>
      </c>
      <c r="I2198" s="1" t="str">
        <f>IFERROR(IF(A2198="","",E2198*#REF!),"")</f>
        <v/>
      </c>
    </row>
    <row r="2199" spans="2:9" x14ac:dyDescent="0.3">
      <c r="B2199" t="str">
        <f>IFERROR(IF(A2199="","",VLOOKUP(A2199,CadProd!$A:$B,2,0)),"")</f>
        <v/>
      </c>
      <c r="C2199" t="str">
        <f>IFERROR(IF(A2199="","",VLOOKUP(A2199,CadProd!$A:$C,3,0)),"")</f>
        <v/>
      </c>
      <c r="I2199" s="1" t="str">
        <f>IFERROR(IF(A2199="","",E2199*#REF!),"")</f>
        <v/>
      </c>
    </row>
    <row r="2200" spans="2:9" x14ac:dyDescent="0.3">
      <c r="B2200" t="str">
        <f>IFERROR(IF(A2200="","",VLOOKUP(A2200,CadProd!$A:$B,2,0)),"")</f>
        <v/>
      </c>
      <c r="C2200" t="str">
        <f>IFERROR(IF(A2200="","",VLOOKUP(A2200,CadProd!$A:$C,3,0)),"")</f>
        <v/>
      </c>
      <c r="I2200" s="1" t="str">
        <f>IFERROR(IF(A2200="","",E2200*#REF!),"")</f>
        <v/>
      </c>
    </row>
    <row r="2201" spans="2:9" x14ac:dyDescent="0.3">
      <c r="B2201" t="str">
        <f>IFERROR(IF(A2201="","",VLOOKUP(A2201,CadProd!$A:$B,2,0)),"")</f>
        <v/>
      </c>
      <c r="C2201" t="str">
        <f>IFERROR(IF(A2201="","",VLOOKUP(A2201,CadProd!$A:$C,3,0)),"")</f>
        <v/>
      </c>
      <c r="I2201" s="1" t="str">
        <f>IFERROR(IF(A2201="","",E2201*#REF!),"")</f>
        <v/>
      </c>
    </row>
    <row r="2202" spans="2:9" x14ac:dyDescent="0.3">
      <c r="B2202" t="str">
        <f>IFERROR(IF(A2202="","",VLOOKUP(A2202,CadProd!$A:$B,2,0)),"")</f>
        <v/>
      </c>
      <c r="C2202" t="str">
        <f>IFERROR(IF(A2202="","",VLOOKUP(A2202,CadProd!$A:$C,3,0)),"")</f>
        <v/>
      </c>
      <c r="I2202" s="1" t="str">
        <f>IFERROR(IF(A2202="","",E2202*#REF!),"")</f>
        <v/>
      </c>
    </row>
    <row r="2203" spans="2:9" x14ac:dyDescent="0.3">
      <c r="B2203" t="str">
        <f>IFERROR(IF(A2203="","",VLOOKUP(A2203,CadProd!$A:$B,2,0)),"")</f>
        <v/>
      </c>
      <c r="C2203" t="str">
        <f>IFERROR(IF(A2203="","",VLOOKUP(A2203,CadProd!$A:$C,3,0)),"")</f>
        <v/>
      </c>
      <c r="I2203" s="1" t="str">
        <f>IFERROR(IF(A2203="","",E2203*#REF!),"")</f>
        <v/>
      </c>
    </row>
    <row r="2204" spans="2:9" x14ac:dyDescent="0.3">
      <c r="B2204" t="str">
        <f>IFERROR(IF(A2204="","",VLOOKUP(A2204,CadProd!$A:$B,2,0)),"")</f>
        <v/>
      </c>
      <c r="C2204" t="str">
        <f>IFERROR(IF(A2204="","",VLOOKUP(A2204,CadProd!$A:$C,3,0)),"")</f>
        <v/>
      </c>
      <c r="I2204" s="1" t="str">
        <f>IFERROR(IF(A2204="","",E2204*#REF!),"")</f>
        <v/>
      </c>
    </row>
    <row r="2205" spans="2:9" x14ac:dyDescent="0.3">
      <c r="B2205" t="str">
        <f>IFERROR(IF(A2205="","",VLOOKUP(A2205,CadProd!$A:$B,2,0)),"")</f>
        <v/>
      </c>
      <c r="C2205" t="str">
        <f>IFERROR(IF(A2205="","",VLOOKUP(A2205,CadProd!$A:$C,3,0)),"")</f>
        <v/>
      </c>
      <c r="I2205" s="1" t="str">
        <f>IFERROR(IF(A2205="","",E2205*#REF!),"")</f>
        <v/>
      </c>
    </row>
    <row r="2206" spans="2:9" x14ac:dyDescent="0.3">
      <c r="B2206" t="str">
        <f>IFERROR(IF(A2206="","",VLOOKUP(A2206,CadProd!$A:$B,2,0)),"")</f>
        <v/>
      </c>
      <c r="C2206" t="str">
        <f>IFERROR(IF(A2206="","",VLOOKUP(A2206,CadProd!$A:$C,3,0)),"")</f>
        <v/>
      </c>
      <c r="I2206" s="1" t="str">
        <f>IFERROR(IF(A2206="","",E2206*#REF!),"")</f>
        <v/>
      </c>
    </row>
    <row r="2207" spans="2:9" x14ac:dyDescent="0.3">
      <c r="B2207" t="str">
        <f>IFERROR(IF(A2207="","",VLOOKUP(A2207,CadProd!$A:$B,2,0)),"")</f>
        <v/>
      </c>
      <c r="C2207" t="str">
        <f>IFERROR(IF(A2207="","",VLOOKUP(A2207,CadProd!$A:$C,3,0)),"")</f>
        <v/>
      </c>
      <c r="I2207" s="1" t="str">
        <f>IFERROR(IF(A2207="","",E2207*#REF!),"")</f>
        <v/>
      </c>
    </row>
    <row r="2208" spans="2:9" x14ac:dyDescent="0.3">
      <c r="B2208" t="str">
        <f>IFERROR(IF(A2208="","",VLOOKUP(A2208,CadProd!$A:$B,2,0)),"")</f>
        <v/>
      </c>
      <c r="C2208" t="str">
        <f>IFERROR(IF(A2208="","",VLOOKUP(A2208,CadProd!$A:$C,3,0)),"")</f>
        <v/>
      </c>
      <c r="I2208" s="1" t="str">
        <f>IFERROR(IF(A2208="","",E2208*#REF!),"")</f>
        <v/>
      </c>
    </row>
    <row r="2209" spans="2:9" x14ac:dyDescent="0.3">
      <c r="B2209" t="str">
        <f>IFERROR(IF(A2209="","",VLOOKUP(A2209,CadProd!$A:$B,2,0)),"")</f>
        <v/>
      </c>
      <c r="C2209" t="str">
        <f>IFERROR(IF(A2209="","",VLOOKUP(A2209,CadProd!$A:$C,3,0)),"")</f>
        <v/>
      </c>
      <c r="I2209" s="1" t="str">
        <f>IFERROR(IF(A2209="","",E2209*#REF!),"")</f>
        <v/>
      </c>
    </row>
    <row r="2210" spans="2:9" x14ac:dyDescent="0.3">
      <c r="B2210" t="str">
        <f>IFERROR(IF(A2210="","",VLOOKUP(A2210,CadProd!$A:$B,2,0)),"")</f>
        <v/>
      </c>
      <c r="C2210" t="str">
        <f>IFERROR(IF(A2210="","",VLOOKUP(A2210,CadProd!$A:$C,3,0)),"")</f>
        <v/>
      </c>
      <c r="I2210" s="1" t="str">
        <f>IFERROR(IF(A2210="","",E2210*#REF!),"")</f>
        <v/>
      </c>
    </row>
    <row r="2211" spans="2:9" x14ac:dyDescent="0.3">
      <c r="B2211" t="str">
        <f>IFERROR(IF(A2211="","",VLOOKUP(A2211,CadProd!$A:$B,2,0)),"")</f>
        <v/>
      </c>
      <c r="C2211" t="str">
        <f>IFERROR(IF(A2211="","",VLOOKUP(A2211,CadProd!$A:$C,3,0)),"")</f>
        <v/>
      </c>
      <c r="I2211" s="1" t="str">
        <f>IFERROR(IF(A2211="","",E2211*#REF!),"")</f>
        <v/>
      </c>
    </row>
    <row r="2212" spans="2:9" x14ac:dyDescent="0.3">
      <c r="B2212" t="str">
        <f>IFERROR(IF(A2212="","",VLOOKUP(A2212,CadProd!$A:$B,2,0)),"")</f>
        <v/>
      </c>
      <c r="C2212" t="str">
        <f>IFERROR(IF(A2212="","",VLOOKUP(A2212,CadProd!$A:$C,3,0)),"")</f>
        <v/>
      </c>
      <c r="I2212" s="1" t="str">
        <f>IFERROR(IF(A2212="","",E2212*#REF!),"")</f>
        <v/>
      </c>
    </row>
    <row r="2213" spans="2:9" x14ac:dyDescent="0.3">
      <c r="B2213" t="str">
        <f>IFERROR(IF(A2213="","",VLOOKUP(A2213,CadProd!$A:$B,2,0)),"")</f>
        <v/>
      </c>
      <c r="C2213" t="str">
        <f>IFERROR(IF(A2213="","",VLOOKUP(A2213,CadProd!$A:$C,3,0)),"")</f>
        <v/>
      </c>
      <c r="I2213" s="1" t="str">
        <f>IFERROR(IF(A2213="","",E2213*#REF!),"")</f>
        <v/>
      </c>
    </row>
    <row r="2214" spans="2:9" x14ac:dyDescent="0.3">
      <c r="B2214" t="str">
        <f>IFERROR(IF(A2214="","",VLOOKUP(A2214,CadProd!$A:$B,2,0)),"")</f>
        <v/>
      </c>
      <c r="C2214" t="str">
        <f>IFERROR(IF(A2214="","",VLOOKUP(A2214,CadProd!$A:$C,3,0)),"")</f>
        <v/>
      </c>
      <c r="I2214" s="1" t="str">
        <f>IFERROR(IF(A2214="","",E2214*#REF!),"")</f>
        <v/>
      </c>
    </row>
    <row r="2215" spans="2:9" x14ac:dyDescent="0.3">
      <c r="B2215" t="str">
        <f>IFERROR(IF(A2215="","",VLOOKUP(A2215,CadProd!$A:$B,2,0)),"")</f>
        <v/>
      </c>
      <c r="C2215" t="str">
        <f>IFERROR(IF(A2215="","",VLOOKUP(A2215,CadProd!$A:$C,3,0)),"")</f>
        <v/>
      </c>
      <c r="I2215" s="1" t="str">
        <f>IFERROR(IF(A2215="","",E2215*#REF!),"")</f>
        <v/>
      </c>
    </row>
    <row r="2216" spans="2:9" x14ac:dyDescent="0.3">
      <c r="B2216" t="str">
        <f>IFERROR(IF(A2216="","",VLOOKUP(A2216,CadProd!$A:$B,2,0)),"")</f>
        <v/>
      </c>
      <c r="C2216" t="str">
        <f>IFERROR(IF(A2216="","",VLOOKUP(A2216,CadProd!$A:$C,3,0)),"")</f>
        <v/>
      </c>
      <c r="I2216" s="1" t="str">
        <f>IFERROR(IF(A2216="","",E2216*#REF!),"")</f>
        <v/>
      </c>
    </row>
    <row r="2217" spans="2:9" x14ac:dyDescent="0.3">
      <c r="B2217" t="str">
        <f>IFERROR(IF(A2217="","",VLOOKUP(A2217,CadProd!$A:$B,2,0)),"")</f>
        <v/>
      </c>
      <c r="C2217" t="str">
        <f>IFERROR(IF(A2217="","",VLOOKUP(A2217,CadProd!$A:$C,3,0)),"")</f>
        <v/>
      </c>
      <c r="I2217" s="1" t="str">
        <f>IFERROR(IF(A2217="","",E2217*#REF!),"")</f>
        <v/>
      </c>
    </row>
    <row r="2218" spans="2:9" x14ac:dyDescent="0.3">
      <c r="B2218" t="str">
        <f>IFERROR(IF(A2218="","",VLOOKUP(A2218,CadProd!$A:$B,2,0)),"")</f>
        <v/>
      </c>
      <c r="C2218" t="str">
        <f>IFERROR(IF(A2218="","",VLOOKUP(A2218,CadProd!$A:$C,3,0)),"")</f>
        <v/>
      </c>
      <c r="I2218" s="1" t="str">
        <f>IFERROR(IF(A2218="","",E2218*#REF!),"")</f>
        <v/>
      </c>
    </row>
    <row r="2219" spans="2:9" x14ac:dyDescent="0.3">
      <c r="B2219" t="str">
        <f>IFERROR(IF(A2219="","",VLOOKUP(A2219,CadProd!$A:$B,2,0)),"")</f>
        <v/>
      </c>
      <c r="C2219" t="str">
        <f>IFERROR(IF(A2219="","",VLOOKUP(A2219,CadProd!$A:$C,3,0)),"")</f>
        <v/>
      </c>
      <c r="I2219" s="1" t="str">
        <f>IFERROR(IF(A2219="","",E2219*#REF!),"")</f>
        <v/>
      </c>
    </row>
    <row r="2220" spans="2:9" x14ac:dyDescent="0.3">
      <c r="B2220" t="str">
        <f>IFERROR(IF(A2220="","",VLOOKUP(A2220,CadProd!$A:$B,2,0)),"")</f>
        <v/>
      </c>
      <c r="C2220" t="str">
        <f>IFERROR(IF(A2220="","",VLOOKUP(A2220,CadProd!$A:$C,3,0)),"")</f>
        <v/>
      </c>
      <c r="I2220" s="1" t="str">
        <f>IFERROR(IF(A2220="","",E2220*#REF!),"")</f>
        <v/>
      </c>
    </row>
    <row r="2221" spans="2:9" x14ac:dyDescent="0.3">
      <c r="B2221" t="str">
        <f>IFERROR(IF(A2221="","",VLOOKUP(A2221,CadProd!$A:$B,2,0)),"")</f>
        <v/>
      </c>
      <c r="C2221" t="str">
        <f>IFERROR(IF(A2221="","",VLOOKUP(A2221,CadProd!$A:$C,3,0)),"")</f>
        <v/>
      </c>
      <c r="I2221" s="1" t="str">
        <f>IFERROR(IF(A2221="","",E2221*#REF!),"")</f>
        <v/>
      </c>
    </row>
    <row r="2222" spans="2:9" x14ac:dyDescent="0.3">
      <c r="B2222" t="str">
        <f>IFERROR(IF(A2222="","",VLOOKUP(A2222,CadProd!$A:$B,2,0)),"")</f>
        <v/>
      </c>
      <c r="C2222" t="str">
        <f>IFERROR(IF(A2222="","",VLOOKUP(A2222,CadProd!$A:$C,3,0)),"")</f>
        <v/>
      </c>
      <c r="I2222" s="1" t="str">
        <f>IFERROR(IF(A2222="","",E2222*#REF!),"")</f>
        <v/>
      </c>
    </row>
    <row r="2223" spans="2:9" x14ac:dyDescent="0.3">
      <c r="B2223" t="str">
        <f>IFERROR(IF(A2223="","",VLOOKUP(A2223,CadProd!$A:$B,2,0)),"")</f>
        <v/>
      </c>
      <c r="C2223" t="str">
        <f>IFERROR(IF(A2223="","",VLOOKUP(A2223,CadProd!$A:$C,3,0)),"")</f>
        <v/>
      </c>
      <c r="I2223" s="1" t="str">
        <f>IFERROR(IF(A2223="","",E2223*#REF!),"")</f>
        <v/>
      </c>
    </row>
    <row r="2224" spans="2:9" x14ac:dyDescent="0.3">
      <c r="B2224" t="str">
        <f>IFERROR(IF(A2224="","",VLOOKUP(A2224,CadProd!$A:$B,2,0)),"")</f>
        <v/>
      </c>
      <c r="C2224" t="str">
        <f>IFERROR(IF(A2224="","",VLOOKUP(A2224,CadProd!$A:$C,3,0)),"")</f>
        <v/>
      </c>
      <c r="I2224" s="1" t="str">
        <f>IFERROR(IF(A2224="","",E2224*#REF!),"")</f>
        <v/>
      </c>
    </row>
    <row r="2225" spans="2:9" x14ac:dyDescent="0.3">
      <c r="B2225" t="str">
        <f>IFERROR(IF(A2225="","",VLOOKUP(A2225,CadProd!$A:$B,2,0)),"")</f>
        <v/>
      </c>
      <c r="C2225" t="str">
        <f>IFERROR(IF(A2225="","",VLOOKUP(A2225,CadProd!$A:$C,3,0)),"")</f>
        <v/>
      </c>
      <c r="I2225" s="1" t="str">
        <f>IFERROR(IF(A2225="","",E2225*#REF!),"")</f>
        <v/>
      </c>
    </row>
    <row r="2226" spans="2:9" x14ac:dyDescent="0.3">
      <c r="B2226" t="str">
        <f>IFERROR(IF(A2226="","",VLOOKUP(A2226,CadProd!$A:$B,2,0)),"")</f>
        <v/>
      </c>
      <c r="C2226" t="str">
        <f>IFERROR(IF(A2226="","",VLOOKUP(A2226,CadProd!$A:$C,3,0)),"")</f>
        <v/>
      </c>
      <c r="I2226" s="1" t="str">
        <f>IFERROR(IF(A2226="","",E2226*#REF!),"")</f>
        <v/>
      </c>
    </row>
    <row r="2227" spans="2:9" x14ac:dyDescent="0.3">
      <c r="B2227" t="str">
        <f>IFERROR(IF(A2227="","",VLOOKUP(A2227,CadProd!$A:$B,2,0)),"")</f>
        <v/>
      </c>
      <c r="C2227" t="str">
        <f>IFERROR(IF(A2227="","",VLOOKUP(A2227,CadProd!$A:$C,3,0)),"")</f>
        <v/>
      </c>
      <c r="I2227" s="1" t="str">
        <f>IFERROR(IF(A2227="","",E2227*#REF!),"")</f>
        <v/>
      </c>
    </row>
    <row r="2228" spans="2:9" x14ac:dyDescent="0.3">
      <c r="B2228" t="str">
        <f>IFERROR(IF(A2228="","",VLOOKUP(A2228,CadProd!$A:$B,2,0)),"")</f>
        <v/>
      </c>
      <c r="C2228" t="str">
        <f>IFERROR(IF(A2228="","",VLOOKUP(A2228,CadProd!$A:$C,3,0)),"")</f>
        <v/>
      </c>
      <c r="I2228" s="1" t="str">
        <f>IFERROR(IF(A2228="","",E2228*#REF!),"")</f>
        <v/>
      </c>
    </row>
    <row r="2229" spans="2:9" x14ac:dyDescent="0.3">
      <c r="B2229" t="str">
        <f>IFERROR(IF(A2229="","",VLOOKUP(A2229,CadProd!$A:$B,2,0)),"")</f>
        <v/>
      </c>
      <c r="C2229" t="str">
        <f>IFERROR(IF(A2229="","",VLOOKUP(A2229,CadProd!$A:$C,3,0)),"")</f>
        <v/>
      </c>
      <c r="I2229" s="1" t="str">
        <f>IFERROR(IF(A2229="","",E2229*#REF!),"")</f>
        <v/>
      </c>
    </row>
    <row r="2230" spans="2:9" x14ac:dyDescent="0.3">
      <c r="B2230" t="str">
        <f>IFERROR(IF(A2230="","",VLOOKUP(A2230,CadProd!$A:$B,2,0)),"")</f>
        <v/>
      </c>
      <c r="C2230" t="str">
        <f>IFERROR(IF(A2230="","",VLOOKUP(A2230,CadProd!$A:$C,3,0)),"")</f>
        <v/>
      </c>
      <c r="I2230" s="1" t="str">
        <f>IFERROR(IF(A2230="","",E2230*#REF!),"")</f>
        <v/>
      </c>
    </row>
    <row r="2231" spans="2:9" x14ac:dyDescent="0.3">
      <c r="B2231" t="str">
        <f>IFERROR(IF(A2231="","",VLOOKUP(A2231,CadProd!$A:$B,2,0)),"")</f>
        <v/>
      </c>
      <c r="C2231" t="str">
        <f>IFERROR(IF(A2231="","",VLOOKUP(A2231,CadProd!$A:$C,3,0)),"")</f>
        <v/>
      </c>
      <c r="I2231" s="1" t="str">
        <f>IFERROR(IF(A2231="","",E2231*#REF!),"")</f>
        <v/>
      </c>
    </row>
    <row r="2232" spans="2:9" x14ac:dyDescent="0.3">
      <c r="B2232" t="str">
        <f>IFERROR(IF(A2232="","",VLOOKUP(A2232,CadProd!$A:$B,2,0)),"")</f>
        <v/>
      </c>
      <c r="C2232" t="str">
        <f>IFERROR(IF(A2232="","",VLOOKUP(A2232,CadProd!$A:$C,3,0)),"")</f>
        <v/>
      </c>
      <c r="I2232" s="1" t="str">
        <f>IFERROR(IF(A2232="","",E2232*#REF!),"")</f>
        <v/>
      </c>
    </row>
    <row r="2233" spans="2:9" x14ac:dyDescent="0.3">
      <c r="B2233" t="str">
        <f>IFERROR(IF(A2233="","",VLOOKUP(A2233,CadProd!$A:$B,2,0)),"")</f>
        <v/>
      </c>
      <c r="C2233" t="str">
        <f>IFERROR(IF(A2233="","",VLOOKUP(A2233,CadProd!$A:$C,3,0)),"")</f>
        <v/>
      </c>
      <c r="I2233" s="1" t="str">
        <f>IFERROR(IF(A2233="","",E2233*#REF!),"")</f>
        <v/>
      </c>
    </row>
    <row r="2234" spans="2:9" x14ac:dyDescent="0.3">
      <c r="B2234" t="str">
        <f>IFERROR(IF(A2234="","",VLOOKUP(A2234,CadProd!$A:$B,2,0)),"")</f>
        <v/>
      </c>
      <c r="C2234" t="str">
        <f>IFERROR(IF(A2234="","",VLOOKUP(A2234,CadProd!$A:$C,3,0)),"")</f>
        <v/>
      </c>
      <c r="I2234" s="1" t="str">
        <f>IFERROR(IF(A2234="","",E2234*#REF!),"")</f>
        <v/>
      </c>
    </row>
    <row r="2235" spans="2:9" x14ac:dyDescent="0.3">
      <c r="B2235" t="str">
        <f>IFERROR(IF(A2235="","",VLOOKUP(A2235,CadProd!$A:$B,2,0)),"")</f>
        <v/>
      </c>
      <c r="C2235" t="str">
        <f>IFERROR(IF(A2235="","",VLOOKUP(A2235,CadProd!$A:$C,3,0)),"")</f>
        <v/>
      </c>
      <c r="I2235" s="1" t="str">
        <f>IFERROR(IF(A2235="","",E2235*#REF!),"")</f>
        <v/>
      </c>
    </row>
    <row r="2236" spans="2:9" x14ac:dyDescent="0.3">
      <c r="B2236" t="str">
        <f>IFERROR(IF(A2236="","",VLOOKUP(A2236,CadProd!$A:$B,2,0)),"")</f>
        <v/>
      </c>
      <c r="C2236" t="str">
        <f>IFERROR(IF(A2236="","",VLOOKUP(A2236,CadProd!$A:$C,3,0)),"")</f>
        <v/>
      </c>
      <c r="I2236" s="1" t="str">
        <f>IFERROR(IF(A2236="","",E2236*#REF!),"")</f>
        <v/>
      </c>
    </row>
    <row r="2237" spans="2:9" x14ac:dyDescent="0.3">
      <c r="B2237" t="str">
        <f>IFERROR(IF(A2237="","",VLOOKUP(A2237,CadProd!$A:$B,2,0)),"")</f>
        <v/>
      </c>
      <c r="C2237" t="str">
        <f>IFERROR(IF(A2237="","",VLOOKUP(A2237,CadProd!$A:$C,3,0)),"")</f>
        <v/>
      </c>
      <c r="I2237" s="1" t="str">
        <f>IFERROR(IF(A2237="","",E2237*#REF!),"")</f>
        <v/>
      </c>
    </row>
    <row r="2238" spans="2:9" x14ac:dyDescent="0.3">
      <c r="B2238" t="str">
        <f>IFERROR(IF(A2238="","",VLOOKUP(A2238,CadProd!$A:$B,2,0)),"")</f>
        <v/>
      </c>
      <c r="C2238" t="str">
        <f>IFERROR(IF(A2238="","",VLOOKUP(A2238,CadProd!$A:$C,3,0)),"")</f>
        <v/>
      </c>
      <c r="I2238" s="1" t="str">
        <f>IFERROR(IF(A2238="","",E2238*#REF!),"")</f>
        <v/>
      </c>
    </row>
    <row r="2239" spans="2:9" x14ac:dyDescent="0.3">
      <c r="B2239" t="str">
        <f>IFERROR(IF(A2239="","",VLOOKUP(A2239,CadProd!$A:$B,2,0)),"")</f>
        <v/>
      </c>
      <c r="C2239" t="str">
        <f>IFERROR(IF(A2239="","",VLOOKUP(A2239,CadProd!$A:$C,3,0)),"")</f>
        <v/>
      </c>
      <c r="I2239" s="1" t="str">
        <f>IFERROR(IF(A2239="","",E2239*#REF!),"")</f>
        <v/>
      </c>
    </row>
    <row r="2240" spans="2:9" x14ac:dyDescent="0.3">
      <c r="B2240" t="str">
        <f>IFERROR(IF(A2240="","",VLOOKUP(A2240,CadProd!$A:$B,2,0)),"")</f>
        <v/>
      </c>
      <c r="C2240" t="str">
        <f>IFERROR(IF(A2240="","",VLOOKUP(A2240,CadProd!$A:$C,3,0)),"")</f>
        <v/>
      </c>
      <c r="I2240" s="1" t="str">
        <f>IFERROR(IF(A2240="","",E2240*#REF!),"")</f>
        <v/>
      </c>
    </row>
    <row r="2241" spans="2:9" x14ac:dyDescent="0.3">
      <c r="B2241" t="str">
        <f>IFERROR(IF(A2241="","",VLOOKUP(A2241,CadProd!$A:$B,2,0)),"")</f>
        <v/>
      </c>
      <c r="C2241" t="str">
        <f>IFERROR(IF(A2241="","",VLOOKUP(A2241,CadProd!$A:$C,3,0)),"")</f>
        <v/>
      </c>
      <c r="I2241" s="1" t="str">
        <f>IFERROR(IF(A2241="","",E2241*#REF!),"")</f>
        <v/>
      </c>
    </row>
    <row r="2242" spans="2:9" x14ac:dyDescent="0.3">
      <c r="B2242" t="str">
        <f>IFERROR(IF(A2242="","",VLOOKUP(A2242,CadProd!$A:$B,2,0)),"")</f>
        <v/>
      </c>
      <c r="C2242" t="str">
        <f>IFERROR(IF(A2242="","",VLOOKUP(A2242,CadProd!$A:$C,3,0)),"")</f>
        <v/>
      </c>
      <c r="I2242" s="1" t="str">
        <f>IFERROR(IF(A2242="","",E2242*#REF!),"")</f>
        <v/>
      </c>
    </row>
    <row r="2243" spans="2:9" x14ac:dyDescent="0.3">
      <c r="B2243" t="str">
        <f>IFERROR(IF(A2243="","",VLOOKUP(A2243,CadProd!$A:$B,2,0)),"")</f>
        <v/>
      </c>
      <c r="C2243" t="str">
        <f>IFERROR(IF(A2243="","",VLOOKUP(A2243,CadProd!$A:$C,3,0)),"")</f>
        <v/>
      </c>
      <c r="I2243" s="1" t="str">
        <f>IFERROR(IF(A2243="","",E2243*#REF!),"")</f>
        <v/>
      </c>
    </row>
    <row r="2244" spans="2:9" x14ac:dyDescent="0.3">
      <c r="B2244" t="str">
        <f>IFERROR(IF(A2244="","",VLOOKUP(A2244,CadProd!$A:$B,2,0)),"")</f>
        <v/>
      </c>
      <c r="C2244" t="str">
        <f>IFERROR(IF(A2244="","",VLOOKUP(A2244,CadProd!$A:$C,3,0)),"")</f>
        <v/>
      </c>
      <c r="I2244" s="1" t="str">
        <f>IFERROR(IF(A2244="","",E2244*#REF!),"")</f>
        <v/>
      </c>
    </row>
    <row r="2245" spans="2:9" x14ac:dyDescent="0.3">
      <c r="B2245" t="str">
        <f>IFERROR(IF(A2245="","",VLOOKUP(A2245,CadProd!$A:$B,2,0)),"")</f>
        <v/>
      </c>
      <c r="C2245" t="str">
        <f>IFERROR(IF(A2245="","",VLOOKUP(A2245,CadProd!$A:$C,3,0)),"")</f>
        <v/>
      </c>
      <c r="I2245" s="1" t="str">
        <f>IFERROR(IF(A2245="","",E2245*#REF!),"")</f>
        <v/>
      </c>
    </row>
    <row r="2246" spans="2:9" x14ac:dyDescent="0.3">
      <c r="B2246" t="str">
        <f>IFERROR(IF(A2246="","",VLOOKUP(A2246,CadProd!$A:$B,2,0)),"")</f>
        <v/>
      </c>
      <c r="C2246" t="str">
        <f>IFERROR(IF(A2246="","",VLOOKUP(A2246,CadProd!$A:$C,3,0)),"")</f>
        <v/>
      </c>
      <c r="I2246" s="1" t="str">
        <f>IFERROR(IF(A2246="","",E2246*#REF!),"")</f>
        <v/>
      </c>
    </row>
    <row r="2247" spans="2:9" x14ac:dyDescent="0.3">
      <c r="B2247" t="str">
        <f>IFERROR(IF(A2247="","",VLOOKUP(A2247,CadProd!$A:$B,2,0)),"")</f>
        <v/>
      </c>
      <c r="C2247" t="str">
        <f>IFERROR(IF(A2247="","",VLOOKUP(A2247,CadProd!$A:$C,3,0)),"")</f>
        <v/>
      </c>
      <c r="I2247" s="1" t="str">
        <f>IFERROR(IF(A2247="","",E2247*#REF!),"")</f>
        <v/>
      </c>
    </row>
    <row r="2248" spans="2:9" x14ac:dyDescent="0.3">
      <c r="B2248" t="str">
        <f>IFERROR(IF(A2248="","",VLOOKUP(A2248,CadProd!$A:$B,2,0)),"")</f>
        <v/>
      </c>
      <c r="C2248" t="str">
        <f>IFERROR(IF(A2248="","",VLOOKUP(A2248,CadProd!$A:$C,3,0)),"")</f>
        <v/>
      </c>
      <c r="I2248" s="1" t="str">
        <f>IFERROR(IF(A2248="","",E2248*#REF!),"")</f>
        <v/>
      </c>
    </row>
    <row r="2249" spans="2:9" x14ac:dyDescent="0.3">
      <c r="B2249" t="str">
        <f>IFERROR(IF(A2249="","",VLOOKUP(A2249,CadProd!$A:$B,2,0)),"")</f>
        <v/>
      </c>
      <c r="C2249" t="str">
        <f>IFERROR(IF(A2249="","",VLOOKUP(A2249,CadProd!$A:$C,3,0)),"")</f>
        <v/>
      </c>
      <c r="I2249" s="1" t="str">
        <f>IFERROR(IF(A2249="","",E2249*#REF!),"")</f>
        <v/>
      </c>
    </row>
    <row r="2250" spans="2:9" x14ac:dyDescent="0.3">
      <c r="B2250" t="str">
        <f>IFERROR(IF(A2250="","",VLOOKUP(A2250,CadProd!$A:$B,2,0)),"")</f>
        <v/>
      </c>
      <c r="C2250" t="str">
        <f>IFERROR(IF(A2250="","",VLOOKUP(A2250,CadProd!$A:$C,3,0)),"")</f>
        <v/>
      </c>
      <c r="I2250" s="1" t="str">
        <f>IFERROR(IF(A2250="","",E2250*#REF!),"")</f>
        <v/>
      </c>
    </row>
    <row r="2251" spans="2:9" x14ac:dyDescent="0.3">
      <c r="B2251" t="str">
        <f>IFERROR(IF(A2251="","",VLOOKUP(A2251,CadProd!$A:$B,2,0)),"")</f>
        <v/>
      </c>
      <c r="C2251" t="str">
        <f>IFERROR(IF(A2251="","",VLOOKUP(A2251,CadProd!$A:$C,3,0)),"")</f>
        <v/>
      </c>
      <c r="I2251" s="1" t="str">
        <f>IFERROR(IF(A2251="","",E2251*#REF!),"")</f>
        <v/>
      </c>
    </row>
    <row r="2252" spans="2:9" x14ac:dyDescent="0.3">
      <c r="B2252" t="str">
        <f>IFERROR(IF(A2252="","",VLOOKUP(A2252,CadProd!$A:$B,2,0)),"")</f>
        <v/>
      </c>
      <c r="C2252" t="str">
        <f>IFERROR(IF(A2252="","",VLOOKUP(A2252,CadProd!$A:$C,3,0)),"")</f>
        <v/>
      </c>
      <c r="I2252" s="1" t="str">
        <f>IFERROR(IF(A2252="","",E2252*#REF!),"")</f>
        <v/>
      </c>
    </row>
    <row r="2253" spans="2:9" x14ac:dyDescent="0.3">
      <c r="B2253" t="str">
        <f>IFERROR(IF(A2253="","",VLOOKUP(A2253,CadProd!$A:$B,2,0)),"")</f>
        <v/>
      </c>
      <c r="C2253" t="str">
        <f>IFERROR(IF(A2253="","",VLOOKUP(A2253,CadProd!$A:$C,3,0)),"")</f>
        <v/>
      </c>
      <c r="I2253" s="1" t="str">
        <f>IFERROR(IF(A2253="","",E2253*#REF!),"")</f>
        <v/>
      </c>
    </row>
    <row r="2254" spans="2:9" x14ac:dyDescent="0.3">
      <c r="B2254" t="str">
        <f>IFERROR(IF(A2254="","",VLOOKUP(A2254,CadProd!$A:$B,2,0)),"")</f>
        <v/>
      </c>
      <c r="C2254" t="str">
        <f>IFERROR(IF(A2254="","",VLOOKUP(A2254,CadProd!$A:$C,3,0)),"")</f>
        <v/>
      </c>
      <c r="I2254" s="1" t="str">
        <f>IFERROR(IF(A2254="","",E2254*#REF!),"")</f>
        <v/>
      </c>
    </row>
    <row r="2255" spans="2:9" x14ac:dyDescent="0.3">
      <c r="B2255" t="str">
        <f>IFERROR(IF(A2255="","",VLOOKUP(A2255,CadProd!$A:$B,2,0)),"")</f>
        <v/>
      </c>
      <c r="C2255" t="str">
        <f>IFERROR(IF(A2255="","",VLOOKUP(A2255,CadProd!$A:$C,3,0)),"")</f>
        <v/>
      </c>
      <c r="I2255" s="1" t="str">
        <f>IFERROR(IF(A2255="","",E2255*#REF!),"")</f>
        <v/>
      </c>
    </row>
    <row r="2256" spans="2:9" x14ac:dyDescent="0.3">
      <c r="B2256" t="str">
        <f>IFERROR(IF(A2256="","",VLOOKUP(A2256,CadProd!$A:$B,2,0)),"")</f>
        <v/>
      </c>
      <c r="C2256" t="str">
        <f>IFERROR(IF(A2256="","",VLOOKUP(A2256,CadProd!$A:$C,3,0)),"")</f>
        <v/>
      </c>
      <c r="I2256" s="1" t="str">
        <f>IFERROR(IF(A2256="","",E2256*#REF!),"")</f>
        <v/>
      </c>
    </row>
    <row r="2257" spans="2:9" x14ac:dyDescent="0.3">
      <c r="B2257" t="str">
        <f>IFERROR(IF(A2257="","",VLOOKUP(A2257,CadProd!$A:$B,2,0)),"")</f>
        <v/>
      </c>
      <c r="C2257" t="str">
        <f>IFERROR(IF(A2257="","",VLOOKUP(A2257,CadProd!$A:$C,3,0)),"")</f>
        <v/>
      </c>
      <c r="I2257" s="1" t="str">
        <f>IFERROR(IF(A2257="","",E2257*#REF!),"")</f>
        <v/>
      </c>
    </row>
    <row r="2258" spans="2:9" x14ac:dyDescent="0.3">
      <c r="B2258" t="str">
        <f>IFERROR(IF(A2258="","",VLOOKUP(A2258,CadProd!$A:$B,2,0)),"")</f>
        <v/>
      </c>
      <c r="C2258" t="str">
        <f>IFERROR(IF(A2258="","",VLOOKUP(A2258,CadProd!$A:$C,3,0)),"")</f>
        <v/>
      </c>
      <c r="I2258" s="1" t="str">
        <f>IFERROR(IF(A2258="","",E2258*#REF!),"")</f>
        <v/>
      </c>
    </row>
    <row r="2259" spans="2:9" x14ac:dyDescent="0.3">
      <c r="B2259" t="str">
        <f>IFERROR(IF(A2259="","",VLOOKUP(A2259,CadProd!$A:$B,2,0)),"")</f>
        <v/>
      </c>
      <c r="C2259" t="str">
        <f>IFERROR(IF(A2259="","",VLOOKUP(A2259,CadProd!$A:$C,3,0)),"")</f>
        <v/>
      </c>
      <c r="I2259" s="1" t="str">
        <f>IFERROR(IF(A2259="","",E2259*#REF!),"")</f>
        <v/>
      </c>
    </row>
    <row r="2260" spans="2:9" x14ac:dyDescent="0.3">
      <c r="B2260" t="str">
        <f>IFERROR(IF(A2260="","",VLOOKUP(A2260,CadProd!$A:$B,2,0)),"")</f>
        <v/>
      </c>
      <c r="C2260" t="str">
        <f>IFERROR(IF(A2260="","",VLOOKUP(A2260,CadProd!$A:$C,3,0)),"")</f>
        <v/>
      </c>
      <c r="I2260" s="1" t="str">
        <f>IFERROR(IF(A2260="","",E2260*#REF!),"")</f>
        <v/>
      </c>
    </row>
    <row r="2261" spans="2:9" x14ac:dyDescent="0.3">
      <c r="B2261" t="str">
        <f>IFERROR(IF(A2261="","",VLOOKUP(A2261,CadProd!$A:$B,2,0)),"")</f>
        <v/>
      </c>
      <c r="C2261" t="str">
        <f>IFERROR(IF(A2261="","",VLOOKUP(A2261,CadProd!$A:$C,3,0)),"")</f>
        <v/>
      </c>
      <c r="I2261" s="1" t="str">
        <f>IFERROR(IF(A2261="","",E2261*#REF!),"")</f>
        <v/>
      </c>
    </row>
    <row r="2262" spans="2:9" x14ac:dyDescent="0.3">
      <c r="B2262" t="str">
        <f>IFERROR(IF(A2262="","",VLOOKUP(A2262,CadProd!$A:$B,2,0)),"")</f>
        <v/>
      </c>
      <c r="C2262" t="str">
        <f>IFERROR(IF(A2262="","",VLOOKUP(A2262,CadProd!$A:$C,3,0)),"")</f>
        <v/>
      </c>
      <c r="I2262" s="1" t="str">
        <f>IFERROR(IF(A2262="","",E2262*#REF!),"")</f>
        <v/>
      </c>
    </row>
    <row r="2263" spans="2:9" x14ac:dyDescent="0.3">
      <c r="B2263" t="str">
        <f>IFERROR(IF(A2263="","",VLOOKUP(A2263,CadProd!$A:$B,2,0)),"")</f>
        <v/>
      </c>
      <c r="C2263" t="str">
        <f>IFERROR(IF(A2263="","",VLOOKUP(A2263,CadProd!$A:$C,3,0)),"")</f>
        <v/>
      </c>
      <c r="I2263" s="1" t="str">
        <f>IFERROR(IF(A2263="","",E2263*#REF!),"")</f>
        <v/>
      </c>
    </row>
    <row r="2264" spans="2:9" x14ac:dyDescent="0.3">
      <c r="B2264" t="str">
        <f>IFERROR(IF(A2264="","",VLOOKUP(A2264,CadProd!$A:$B,2,0)),"")</f>
        <v/>
      </c>
      <c r="C2264" t="str">
        <f>IFERROR(IF(A2264="","",VLOOKUP(A2264,CadProd!$A:$C,3,0)),"")</f>
        <v/>
      </c>
      <c r="I2264" s="1" t="str">
        <f>IFERROR(IF(A2264="","",E2264*#REF!),"")</f>
        <v/>
      </c>
    </row>
    <row r="2265" spans="2:9" x14ac:dyDescent="0.3">
      <c r="B2265" t="str">
        <f>IFERROR(IF(A2265="","",VLOOKUP(A2265,CadProd!$A:$B,2,0)),"")</f>
        <v/>
      </c>
      <c r="C2265" t="str">
        <f>IFERROR(IF(A2265="","",VLOOKUP(A2265,CadProd!$A:$C,3,0)),"")</f>
        <v/>
      </c>
      <c r="I2265" s="1" t="str">
        <f>IFERROR(IF(A2265="","",E2265*#REF!),"")</f>
        <v/>
      </c>
    </row>
    <row r="2266" spans="2:9" x14ac:dyDescent="0.3">
      <c r="B2266" t="str">
        <f>IFERROR(IF(A2266="","",VLOOKUP(A2266,CadProd!$A:$B,2,0)),"")</f>
        <v/>
      </c>
      <c r="C2266" t="str">
        <f>IFERROR(IF(A2266="","",VLOOKUP(A2266,CadProd!$A:$C,3,0)),"")</f>
        <v/>
      </c>
      <c r="I2266" s="1" t="str">
        <f>IFERROR(IF(A2266="","",E2266*#REF!),"")</f>
        <v/>
      </c>
    </row>
    <row r="2267" spans="2:9" x14ac:dyDescent="0.3">
      <c r="B2267" t="str">
        <f>IFERROR(IF(A2267="","",VLOOKUP(A2267,CadProd!$A:$B,2,0)),"")</f>
        <v/>
      </c>
      <c r="C2267" t="str">
        <f>IFERROR(IF(A2267="","",VLOOKUP(A2267,CadProd!$A:$C,3,0)),"")</f>
        <v/>
      </c>
      <c r="I2267" s="1" t="str">
        <f>IFERROR(IF(A2267="","",E2267*#REF!),"")</f>
        <v/>
      </c>
    </row>
    <row r="2268" spans="2:9" x14ac:dyDescent="0.3">
      <c r="B2268" t="str">
        <f>IFERROR(IF(A2268="","",VLOOKUP(A2268,CadProd!$A:$B,2,0)),"")</f>
        <v/>
      </c>
      <c r="C2268" t="str">
        <f>IFERROR(IF(A2268="","",VLOOKUP(A2268,CadProd!$A:$C,3,0)),"")</f>
        <v/>
      </c>
      <c r="I2268" s="1" t="str">
        <f>IFERROR(IF(A2268="","",E2268*#REF!),"")</f>
        <v/>
      </c>
    </row>
    <row r="2269" spans="2:9" x14ac:dyDescent="0.3">
      <c r="B2269" t="str">
        <f>IFERROR(IF(A2269="","",VLOOKUP(A2269,CadProd!$A:$B,2,0)),"")</f>
        <v/>
      </c>
      <c r="C2269" t="str">
        <f>IFERROR(IF(A2269="","",VLOOKUP(A2269,CadProd!$A:$C,3,0)),"")</f>
        <v/>
      </c>
      <c r="I2269" s="1" t="str">
        <f>IFERROR(IF(A2269="","",E2269*#REF!),"")</f>
        <v/>
      </c>
    </row>
    <row r="2270" spans="2:9" x14ac:dyDescent="0.3">
      <c r="B2270" t="str">
        <f>IFERROR(IF(A2270="","",VLOOKUP(A2270,CadProd!$A:$B,2,0)),"")</f>
        <v/>
      </c>
      <c r="C2270" t="str">
        <f>IFERROR(IF(A2270="","",VLOOKUP(A2270,CadProd!$A:$C,3,0)),"")</f>
        <v/>
      </c>
      <c r="I2270" s="1" t="str">
        <f>IFERROR(IF(A2270="","",E2270*#REF!),"")</f>
        <v/>
      </c>
    </row>
    <row r="2271" spans="2:9" x14ac:dyDescent="0.3">
      <c r="B2271" t="str">
        <f>IFERROR(IF(A2271="","",VLOOKUP(A2271,CadProd!$A:$B,2,0)),"")</f>
        <v/>
      </c>
      <c r="C2271" t="str">
        <f>IFERROR(IF(A2271="","",VLOOKUP(A2271,CadProd!$A:$C,3,0)),"")</f>
        <v/>
      </c>
      <c r="I2271" s="1" t="str">
        <f>IFERROR(IF(A2271="","",E2271*#REF!),"")</f>
        <v/>
      </c>
    </row>
    <row r="2272" spans="2:9" x14ac:dyDescent="0.3">
      <c r="B2272" t="str">
        <f>IFERROR(IF(A2272="","",VLOOKUP(A2272,CadProd!$A:$B,2,0)),"")</f>
        <v/>
      </c>
      <c r="C2272" t="str">
        <f>IFERROR(IF(A2272="","",VLOOKUP(A2272,CadProd!$A:$C,3,0)),"")</f>
        <v/>
      </c>
      <c r="I2272" s="1" t="str">
        <f>IFERROR(IF(A2272="","",E2272*#REF!),"")</f>
        <v/>
      </c>
    </row>
    <row r="2273" spans="2:9" x14ac:dyDescent="0.3">
      <c r="B2273" t="str">
        <f>IFERROR(IF(A2273="","",VLOOKUP(A2273,CadProd!$A:$B,2,0)),"")</f>
        <v/>
      </c>
      <c r="C2273" t="str">
        <f>IFERROR(IF(A2273="","",VLOOKUP(A2273,CadProd!$A:$C,3,0)),"")</f>
        <v/>
      </c>
      <c r="I2273" s="1" t="str">
        <f>IFERROR(IF(A2273="","",E2273*#REF!),"")</f>
        <v/>
      </c>
    </row>
    <row r="2274" spans="2:9" x14ac:dyDescent="0.3">
      <c r="B2274" t="str">
        <f>IFERROR(IF(A2274="","",VLOOKUP(A2274,CadProd!$A:$B,2,0)),"")</f>
        <v/>
      </c>
      <c r="C2274" t="str">
        <f>IFERROR(IF(A2274="","",VLOOKUP(A2274,CadProd!$A:$C,3,0)),"")</f>
        <v/>
      </c>
      <c r="I2274" s="1" t="str">
        <f>IFERROR(IF(A2274="","",E2274*#REF!),"")</f>
        <v/>
      </c>
    </row>
    <row r="2275" spans="2:9" x14ac:dyDescent="0.3">
      <c r="B2275" t="str">
        <f>IFERROR(IF(A2275="","",VLOOKUP(A2275,CadProd!$A:$B,2,0)),"")</f>
        <v/>
      </c>
      <c r="C2275" t="str">
        <f>IFERROR(IF(A2275="","",VLOOKUP(A2275,CadProd!$A:$C,3,0)),"")</f>
        <v/>
      </c>
      <c r="I2275" s="1" t="str">
        <f>IFERROR(IF(A2275="","",E2275*#REF!),"")</f>
        <v/>
      </c>
    </row>
    <row r="2276" spans="2:9" x14ac:dyDescent="0.3">
      <c r="B2276" t="str">
        <f>IFERROR(IF(A2276="","",VLOOKUP(A2276,CadProd!$A:$B,2,0)),"")</f>
        <v/>
      </c>
      <c r="C2276" t="str">
        <f>IFERROR(IF(A2276="","",VLOOKUP(A2276,CadProd!$A:$C,3,0)),"")</f>
        <v/>
      </c>
      <c r="I2276" s="1" t="str">
        <f>IFERROR(IF(A2276="","",E2276*#REF!),"")</f>
        <v/>
      </c>
    </row>
    <row r="2277" spans="2:9" x14ac:dyDescent="0.3">
      <c r="B2277" t="str">
        <f>IFERROR(IF(A2277="","",VLOOKUP(A2277,CadProd!$A:$B,2,0)),"")</f>
        <v/>
      </c>
      <c r="C2277" t="str">
        <f>IFERROR(IF(A2277="","",VLOOKUP(A2277,CadProd!$A:$C,3,0)),"")</f>
        <v/>
      </c>
      <c r="I2277" s="1" t="str">
        <f>IFERROR(IF(A2277="","",E2277*#REF!),"")</f>
        <v/>
      </c>
    </row>
    <row r="2278" spans="2:9" x14ac:dyDescent="0.3">
      <c r="B2278" t="str">
        <f>IFERROR(IF(A2278="","",VLOOKUP(A2278,CadProd!$A:$B,2,0)),"")</f>
        <v/>
      </c>
      <c r="C2278" t="str">
        <f>IFERROR(IF(A2278="","",VLOOKUP(A2278,CadProd!$A:$C,3,0)),"")</f>
        <v/>
      </c>
      <c r="I2278" s="1" t="str">
        <f>IFERROR(IF(A2278="","",E2278*#REF!),"")</f>
        <v/>
      </c>
    </row>
    <row r="2279" spans="2:9" x14ac:dyDescent="0.3">
      <c r="B2279" t="str">
        <f>IFERROR(IF(A2279="","",VLOOKUP(A2279,CadProd!$A:$B,2,0)),"")</f>
        <v/>
      </c>
      <c r="C2279" t="str">
        <f>IFERROR(IF(A2279="","",VLOOKUP(A2279,CadProd!$A:$C,3,0)),"")</f>
        <v/>
      </c>
      <c r="I2279" s="1" t="str">
        <f>IFERROR(IF(A2279="","",E2279*#REF!),"")</f>
        <v/>
      </c>
    </row>
    <row r="2280" spans="2:9" x14ac:dyDescent="0.3">
      <c r="B2280" t="str">
        <f>IFERROR(IF(A2280="","",VLOOKUP(A2280,CadProd!$A:$B,2,0)),"")</f>
        <v/>
      </c>
      <c r="C2280" t="str">
        <f>IFERROR(IF(A2280="","",VLOOKUP(A2280,CadProd!$A:$C,3,0)),"")</f>
        <v/>
      </c>
      <c r="I2280" s="1" t="str">
        <f>IFERROR(IF(A2280="","",E2280*#REF!),"")</f>
        <v/>
      </c>
    </row>
    <row r="2281" spans="2:9" x14ac:dyDescent="0.3">
      <c r="B2281" t="str">
        <f>IFERROR(IF(A2281="","",VLOOKUP(A2281,CadProd!$A:$B,2,0)),"")</f>
        <v/>
      </c>
      <c r="C2281" t="str">
        <f>IFERROR(IF(A2281="","",VLOOKUP(A2281,CadProd!$A:$C,3,0)),"")</f>
        <v/>
      </c>
      <c r="I2281" s="1" t="str">
        <f>IFERROR(IF(A2281="","",E2281*#REF!),"")</f>
        <v/>
      </c>
    </row>
    <row r="2282" spans="2:9" x14ac:dyDescent="0.3">
      <c r="B2282" t="str">
        <f>IFERROR(IF(A2282="","",VLOOKUP(A2282,CadProd!$A:$B,2,0)),"")</f>
        <v/>
      </c>
      <c r="C2282" t="str">
        <f>IFERROR(IF(A2282="","",VLOOKUP(A2282,CadProd!$A:$C,3,0)),"")</f>
        <v/>
      </c>
      <c r="I2282" s="1" t="str">
        <f>IFERROR(IF(A2282="","",E2282*#REF!),"")</f>
        <v/>
      </c>
    </row>
    <row r="2283" spans="2:9" x14ac:dyDescent="0.3">
      <c r="B2283" t="str">
        <f>IFERROR(IF(A2283="","",VLOOKUP(A2283,CadProd!$A:$B,2,0)),"")</f>
        <v/>
      </c>
      <c r="C2283" t="str">
        <f>IFERROR(IF(A2283="","",VLOOKUP(A2283,CadProd!$A:$C,3,0)),"")</f>
        <v/>
      </c>
      <c r="I2283" s="1" t="str">
        <f>IFERROR(IF(A2283="","",E2283*#REF!),"")</f>
        <v/>
      </c>
    </row>
    <row r="2284" spans="2:9" x14ac:dyDescent="0.3">
      <c r="B2284" t="str">
        <f>IFERROR(IF(A2284="","",VLOOKUP(A2284,CadProd!$A:$B,2,0)),"")</f>
        <v/>
      </c>
      <c r="C2284" t="str">
        <f>IFERROR(IF(A2284="","",VLOOKUP(A2284,CadProd!$A:$C,3,0)),"")</f>
        <v/>
      </c>
      <c r="I2284" s="1" t="str">
        <f>IFERROR(IF(A2284="","",E2284*#REF!),"")</f>
        <v/>
      </c>
    </row>
    <row r="2285" spans="2:9" x14ac:dyDescent="0.3">
      <c r="B2285" t="str">
        <f>IFERROR(IF(A2285="","",VLOOKUP(A2285,CadProd!$A:$B,2,0)),"")</f>
        <v/>
      </c>
      <c r="C2285" t="str">
        <f>IFERROR(IF(A2285="","",VLOOKUP(A2285,CadProd!$A:$C,3,0)),"")</f>
        <v/>
      </c>
      <c r="I2285" s="1" t="str">
        <f>IFERROR(IF(A2285="","",E2285*#REF!),"")</f>
        <v/>
      </c>
    </row>
    <row r="2286" spans="2:9" x14ac:dyDescent="0.3">
      <c r="B2286" t="str">
        <f>IFERROR(IF(A2286="","",VLOOKUP(A2286,CadProd!$A:$B,2,0)),"")</f>
        <v/>
      </c>
      <c r="C2286" t="str">
        <f>IFERROR(IF(A2286="","",VLOOKUP(A2286,CadProd!$A:$C,3,0)),"")</f>
        <v/>
      </c>
      <c r="I2286" s="1" t="str">
        <f>IFERROR(IF(A2286="","",E2286*#REF!),"")</f>
        <v/>
      </c>
    </row>
    <row r="2287" spans="2:9" x14ac:dyDescent="0.3">
      <c r="B2287" t="str">
        <f>IFERROR(IF(A2287="","",VLOOKUP(A2287,CadProd!$A:$B,2,0)),"")</f>
        <v/>
      </c>
      <c r="C2287" t="str">
        <f>IFERROR(IF(A2287="","",VLOOKUP(A2287,CadProd!$A:$C,3,0)),"")</f>
        <v/>
      </c>
      <c r="I2287" s="1" t="str">
        <f>IFERROR(IF(A2287="","",E2287*#REF!),"")</f>
        <v/>
      </c>
    </row>
    <row r="2288" spans="2:9" x14ac:dyDescent="0.3">
      <c r="B2288" t="str">
        <f>IFERROR(IF(A2288="","",VLOOKUP(A2288,CadProd!$A:$B,2,0)),"")</f>
        <v/>
      </c>
      <c r="C2288" t="str">
        <f>IFERROR(IF(A2288="","",VLOOKUP(A2288,CadProd!$A:$C,3,0)),"")</f>
        <v/>
      </c>
      <c r="I2288" s="1" t="str">
        <f>IFERROR(IF(A2288="","",E2288*#REF!),"")</f>
        <v/>
      </c>
    </row>
    <row r="2289" spans="2:9" x14ac:dyDescent="0.3">
      <c r="B2289" t="str">
        <f>IFERROR(IF(A2289="","",VLOOKUP(A2289,CadProd!$A:$B,2,0)),"")</f>
        <v/>
      </c>
      <c r="C2289" t="str">
        <f>IFERROR(IF(A2289="","",VLOOKUP(A2289,CadProd!$A:$C,3,0)),"")</f>
        <v/>
      </c>
      <c r="I2289" s="1" t="str">
        <f>IFERROR(IF(A2289="","",E2289*#REF!),"")</f>
        <v/>
      </c>
    </row>
    <row r="2290" spans="2:9" x14ac:dyDescent="0.3">
      <c r="B2290" t="str">
        <f>IFERROR(IF(A2290="","",VLOOKUP(A2290,CadProd!$A:$B,2,0)),"")</f>
        <v/>
      </c>
      <c r="C2290" t="str">
        <f>IFERROR(IF(A2290="","",VLOOKUP(A2290,CadProd!$A:$C,3,0)),"")</f>
        <v/>
      </c>
      <c r="I2290" s="1" t="str">
        <f>IFERROR(IF(A2290="","",E2290*#REF!),"")</f>
        <v/>
      </c>
    </row>
    <row r="2291" spans="2:9" x14ac:dyDescent="0.3">
      <c r="B2291" t="str">
        <f>IFERROR(IF(A2291="","",VLOOKUP(A2291,CadProd!$A:$B,2,0)),"")</f>
        <v/>
      </c>
      <c r="C2291" t="str">
        <f>IFERROR(IF(A2291="","",VLOOKUP(A2291,CadProd!$A:$C,3,0)),"")</f>
        <v/>
      </c>
      <c r="I2291" s="1" t="str">
        <f>IFERROR(IF(A2291="","",E2291*#REF!),"")</f>
        <v/>
      </c>
    </row>
    <row r="2292" spans="2:9" x14ac:dyDescent="0.3">
      <c r="B2292" t="str">
        <f>IFERROR(IF(A2292="","",VLOOKUP(A2292,CadProd!$A:$B,2,0)),"")</f>
        <v/>
      </c>
      <c r="C2292" t="str">
        <f>IFERROR(IF(A2292="","",VLOOKUP(A2292,CadProd!$A:$C,3,0)),"")</f>
        <v/>
      </c>
      <c r="I2292" s="1" t="str">
        <f>IFERROR(IF(A2292="","",E2292*#REF!),"")</f>
        <v/>
      </c>
    </row>
    <row r="2293" spans="2:9" x14ac:dyDescent="0.3">
      <c r="B2293" t="str">
        <f>IFERROR(IF(A2293="","",VLOOKUP(A2293,CadProd!$A:$B,2,0)),"")</f>
        <v/>
      </c>
      <c r="C2293" t="str">
        <f>IFERROR(IF(A2293="","",VLOOKUP(A2293,CadProd!$A:$C,3,0)),"")</f>
        <v/>
      </c>
      <c r="I2293" s="1" t="str">
        <f>IFERROR(IF(A2293="","",E2293*#REF!),"")</f>
        <v/>
      </c>
    </row>
    <row r="2294" spans="2:9" x14ac:dyDescent="0.3">
      <c r="B2294" t="str">
        <f>IFERROR(IF(A2294="","",VLOOKUP(A2294,CadProd!$A:$B,2,0)),"")</f>
        <v/>
      </c>
      <c r="C2294" t="str">
        <f>IFERROR(IF(A2294="","",VLOOKUP(A2294,CadProd!$A:$C,3,0)),"")</f>
        <v/>
      </c>
      <c r="I2294" s="1" t="str">
        <f>IFERROR(IF(A2294="","",E2294*#REF!),"")</f>
        <v/>
      </c>
    </row>
    <row r="2295" spans="2:9" x14ac:dyDescent="0.3">
      <c r="B2295" t="str">
        <f>IFERROR(IF(A2295="","",VLOOKUP(A2295,CadProd!$A:$B,2,0)),"")</f>
        <v/>
      </c>
      <c r="C2295" t="str">
        <f>IFERROR(IF(A2295="","",VLOOKUP(A2295,CadProd!$A:$C,3,0)),"")</f>
        <v/>
      </c>
      <c r="I2295" s="1" t="str">
        <f>IFERROR(IF(A2295="","",E2295*#REF!),"")</f>
        <v/>
      </c>
    </row>
    <row r="2296" spans="2:9" x14ac:dyDescent="0.3">
      <c r="B2296" t="str">
        <f>IFERROR(IF(A2296="","",VLOOKUP(A2296,CadProd!$A:$B,2,0)),"")</f>
        <v/>
      </c>
      <c r="C2296" t="str">
        <f>IFERROR(IF(A2296="","",VLOOKUP(A2296,CadProd!$A:$C,3,0)),"")</f>
        <v/>
      </c>
      <c r="I2296" s="1" t="str">
        <f>IFERROR(IF(A2296="","",E2296*#REF!),"")</f>
        <v/>
      </c>
    </row>
    <row r="2297" spans="2:9" x14ac:dyDescent="0.3">
      <c r="B2297" t="str">
        <f>IFERROR(IF(A2297="","",VLOOKUP(A2297,CadProd!$A:$B,2,0)),"")</f>
        <v/>
      </c>
      <c r="C2297" t="str">
        <f>IFERROR(IF(A2297="","",VLOOKUP(A2297,CadProd!$A:$C,3,0)),"")</f>
        <v/>
      </c>
      <c r="I2297" s="1" t="str">
        <f>IFERROR(IF(A2297="","",E2297*#REF!),"")</f>
        <v/>
      </c>
    </row>
    <row r="2298" spans="2:9" x14ac:dyDescent="0.3">
      <c r="B2298" t="str">
        <f>IFERROR(IF(A2298="","",VLOOKUP(A2298,CadProd!$A:$B,2,0)),"")</f>
        <v/>
      </c>
      <c r="C2298" t="str">
        <f>IFERROR(IF(A2298="","",VLOOKUP(A2298,CadProd!$A:$C,3,0)),"")</f>
        <v/>
      </c>
      <c r="I2298" s="1" t="str">
        <f>IFERROR(IF(A2298="","",E2298*#REF!),"")</f>
        <v/>
      </c>
    </row>
    <row r="2299" spans="2:9" x14ac:dyDescent="0.3">
      <c r="B2299" t="str">
        <f>IFERROR(IF(A2299="","",VLOOKUP(A2299,CadProd!$A:$B,2,0)),"")</f>
        <v/>
      </c>
      <c r="C2299" t="str">
        <f>IFERROR(IF(A2299="","",VLOOKUP(A2299,CadProd!$A:$C,3,0)),"")</f>
        <v/>
      </c>
      <c r="I2299" s="1" t="str">
        <f>IFERROR(IF(A2299="","",E2299*#REF!),"")</f>
        <v/>
      </c>
    </row>
    <row r="2300" spans="2:9" x14ac:dyDescent="0.3">
      <c r="B2300" t="str">
        <f>IFERROR(IF(A2300="","",VLOOKUP(A2300,CadProd!$A:$B,2,0)),"")</f>
        <v/>
      </c>
      <c r="C2300" t="str">
        <f>IFERROR(IF(A2300="","",VLOOKUP(A2300,CadProd!$A:$C,3,0)),"")</f>
        <v/>
      </c>
      <c r="I2300" s="1" t="str">
        <f>IFERROR(IF(A2300="","",E2300*#REF!),"")</f>
        <v/>
      </c>
    </row>
    <row r="2301" spans="2:9" x14ac:dyDescent="0.3">
      <c r="B2301" t="str">
        <f>IFERROR(IF(A2301="","",VLOOKUP(A2301,CadProd!$A:$B,2,0)),"")</f>
        <v/>
      </c>
      <c r="C2301" t="str">
        <f>IFERROR(IF(A2301="","",VLOOKUP(A2301,CadProd!$A:$C,3,0)),"")</f>
        <v/>
      </c>
      <c r="I2301" s="1" t="str">
        <f>IFERROR(IF(A2301="","",E2301*#REF!),"")</f>
        <v/>
      </c>
    </row>
    <row r="2302" spans="2:9" x14ac:dyDescent="0.3">
      <c r="B2302" t="str">
        <f>IFERROR(IF(A2302="","",VLOOKUP(A2302,CadProd!$A:$B,2,0)),"")</f>
        <v/>
      </c>
      <c r="C2302" t="str">
        <f>IFERROR(IF(A2302="","",VLOOKUP(A2302,CadProd!$A:$C,3,0)),"")</f>
        <v/>
      </c>
      <c r="I2302" s="1" t="str">
        <f>IFERROR(IF(A2302="","",E2302*#REF!),"")</f>
        <v/>
      </c>
    </row>
    <row r="2303" spans="2:9" x14ac:dyDescent="0.3">
      <c r="B2303" t="str">
        <f>IFERROR(IF(A2303="","",VLOOKUP(A2303,CadProd!$A:$B,2,0)),"")</f>
        <v/>
      </c>
      <c r="C2303" t="str">
        <f>IFERROR(IF(A2303="","",VLOOKUP(A2303,CadProd!$A:$C,3,0)),"")</f>
        <v/>
      </c>
      <c r="I2303" s="1" t="str">
        <f>IFERROR(IF(A2303="","",E2303*#REF!),"")</f>
        <v/>
      </c>
    </row>
    <row r="2304" spans="2:9" x14ac:dyDescent="0.3">
      <c r="B2304" t="str">
        <f>IFERROR(IF(A2304="","",VLOOKUP(A2304,CadProd!$A:$B,2,0)),"")</f>
        <v/>
      </c>
      <c r="C2304" t="str">
        <f>IFERROR(IF(A2304="","",VLOOKUP(A2304,CadProd!$A:$C,3,0)),"")</f>
        <v/>
      </c>
      <c r="I2304" s="1" t="str">
        <f>IFERROR(IF(A2304="","",E2304*#REF!),"")</f>
        <v/>
      </c>
    </row>
    <row r="2305" spans="2:9" x14ac:dyDescent="0.3">
      <c r="B2305" t="str">
        <f>IFERROR(IF(A2305="","",VLOOKUP(A2305,CadProd!$A:$B,2,0)),"")</f>
        <v/>
      </c>
      <c r="C2305" t="str">
        <f>IFERROR(IF(A2305="","",VLOOKUP(A2305,CadProd!$A:$C,3,0)),"")</f>
        <v/>
      </c>
      <c r="I2305" s="1" t="str">
        <f>IFERROR(IF(A2305="","",E2305*#REF!),"")</f>
        <v/>
      </c>
    </row>
    <row r="2306" spans="2:9" x14ac:dyDescent="0.3">
      <c r="B2306" t="str">
        <f>IFERROR(IF(A2306="","",VLOOKUP(A2306,CadProd!$A:$B,2,0)),"")</f>
        <v/>
      </c>
      <c r="C2306" t="str">
        <f>IFERROR(IF(A2306="","",VLOOKUP(A2306,CadProd!$A:$C,3,0)),"")</f>
        <v/>
      </c>
      <c r="I2306" s="1" t="str">
        <f>IFERROR(IF(A2306="","",E2306*#REF!),"")</f>
        <v/>
      </c>
    </row>
    <row r="2307" spans="2:9" x14ac:dyDescent="0.3">
      <c r="B2307" t="str">
        <f>IFERROR(IF(A2307="","",VLOOKUP(A2307,CadProd!$A:$B,2,0)),"")</f>
        <v/>
      </c>
      <c r="C2307" t="str">
        <f>IFERROR(IF(A2307="","",VLOOKUP(A2307,CadProd!$A:$C,3,0)),"")</f>
        <v/>
      </c>
      <c r="I2307" s="1" t="str">
        <f>IFERROR(IF(A2307="","",E2307*#REF!),"")</f>
        <v/>
      </c>
    </row>
    <row r="2308" spans="2:9" x14ac:dyDescent="0.3">
      <c r="B2308" t="str">
        <f>IFERROR(IF(A2308="","",VLOOKUP(A2308,CadProd!$A:$B,2,0)),"")</f>
        <v/>
      </c>
      <c r="C2308" t="str">
        <f>IFERROR(IF(A2308="","",VLOOKUP(A2308,CadProd!$A:$C,3,0)),"")</f>
        <v/>
      </c>
      <c r="I2308" s="1" t="str">
        <f>IFERROR(IF(A2308="","",E2308*#REF!),"")</f>
        <v/>
      </c>
    </row>
    <row r="2309" spans="2:9" x14ac:dyDescent="0.3">
      <c r="B2309" t="str">
        <f>IFERROR(IF(A2309="","",VLOOKUP(A2309,CadProd!$A:$B,2,0)),"")</f>
        <v/>
      </c>
      <c r="C2309" t="str">
        <f>IFERROR(IF(A2309="","",VLOOKUP(A2309,CadProd!$A:$C,3,0)),"")</f>
        <v/>
      </c>
      <c r="I2309" s="1" t="str">
        <f>IFERROR(IF(A2309="","",E2309*#REF!),"")</f>
        <v/>
      </c>
    </row>
    <row r="2310" spans="2:9" x14ac:dyDescent="0.3">
      <c r="B2310" t="str">
        <f>IFERROR(IF(A2310="","",VLOOKUP(A2310,CadProd!$A:$B,2,0)),"")</f>
        <v/>
      </c>
      <c r="C2310" t="str">
        <f>IFERROR(IF(A2310="","",VLOOKUP(A2310,CadProd!$A:$C,3,0)),"")</f>
        <v/>
      </c>
      <c r="I2310" s="1" t="str">
        <f>IFERROR(IF(A2310="","",E2310*#REF!),"")</f>
        <v/>
      </c>
    </row>
    <row r="2311" spans="2:9" x14ac:dyDescent="0.3">
      <c r="B2311" t="str">
        <f>IFERROR(IF(A2311="","",VLOOKUP(A2311,CadProd!$A:$B,2,0)),"")</f>
        <v/>
      </c>
      <c r="C2311" t="str">
        <f>IFERROR(IF(A2311="","",VLOOKUP(A2311,CadProd!$A:$C,3,0)),"")</f>
        <v/>
      </c>
      <c r="I2311" s="1" t="str">
        <f>IFERROR(IF(A2311="","",E2311*#REF!),"")</f>
        <v/>
      </c>
    </row>
    <row r="2312" spans="2:9" x14ac:dyDescent="0.3">
      <c r="B2312" t="str">
        <f>IFERROR(IF(A2312="","",VLOOKUP(A2312,CadProd!$A:$B,2,0)),"")</f>
        <v/>
      </c>
      <c r="C2312" t="str">
        <f>IFERROR(IF(A2312="","",VLOOKUP(A2312,CadProd!$A:$C,3,0)),"")</f>
        <v/>
      </c>
      <c r="I2312" s="1" t="str">
        <f>IFERROR(IF(A2312="","",E2312*#REF!),"")</f>
        <v/>
      </c>
    </row>
    <row r="2313" spans="2:9" x14ac:dyDescent="0.3">
      <c r="B2313" t="str">
        <f>IFERROR(IF(A2313="","",VLOOKUP(A2313,CadProd!$A:$B,2,0)),"")</f>
        <v/>
      </c>
      <c r="C2313" t="str">
        <f>IFERROR(IF(A2313="","",VLOOKUP(A2313,CadProd!$A:$C,3,0)),"")</f>
        <v/>
      </c>
      <c r="I2313" s="1" t="str">
        <f>IFERROR(IF(A2313="","",E2313*#REF!),"")</f>
        <v/>
      </c>
    </row>
    <row r="2314" spans="2:9" x14ac:dyDescent="0.3">
      <c r="B2314" t="str">
        <f>IFERROR(IF(A2314="","",VLOOKUP(A2314,CadProd!$A:$B,2,0)),"")</f>
        <v/>
      </c>
      <c r="C2314" t="str">
        <f>IFERROR(IF(A2314="","",VLOOKUP(A2314,CadProd!$A:$C,3,0)),"")</f>
        <v/>
      </c>
      <c r="I2314" s="1" t="str">
        <f>IFERROR(IF(A2314="","",E2314*#REF!),"")</f>
        <v/>
      </c>
    </row>
    <row r="2315" spans="2:9" x14ac:dyDescent="0.3">
      <c r="B2315" t="str">
        <f>IFERROR(IF(A2315="","",VLOOKUP(A2315,CadProd!$A:$B,2,0)),"")</f>
        <v/>
      </c>
      <c r="C2315" t="str">
        <f>IFERROR(IF(A2315="","",VLOOKUP(A2315,CadProd!$A:$C,3,0)),"")</f>
        <v/>
      </c>
      <c r="I2315" s="1" t="str">
        <f>IFERROR(IF(A2315="","",E2315*#REF!),"")</f>
        <v/>
      </c>
    </row>
    <row r="2316" spans="2:9" x14ac:dyDescent="0.3">
      <c r="B2316" t="str">
        <f>IFERROR(IF(A2316="","",VLOOKUP(A2316,CadProd!$A:$B,2,0)),"")</f>
        <v/>
      </c>
      <c r="C2316" t="str">
        <f>IFERROR(IF(A2316="","",VLOOKUP(A2316,CadProd!$A:$C,3,0)),"")</f>
        <v/>
      </c>
      <c r="I2316" s="1" t="str">
        <f>IFERROR(IF(A2316="","",E2316*#REF!),"")</f>
        <v/>
      </c>
    </row>
    <row r="2317" spans="2:9" x14ac:dyDescent="0.3">
      <c r="B2317" t="str">
        <f>IFERROR(IF(A2317="","",VLOOKUP(A2317,CadProd!$A:$B,2,0)),"")</f>
        <v/>
      </c>
      <c r="C2317" t="str">
        <f>IFERROR(IF(A2317="","",VLOOKUP(A2317,CadProd!$A:$C,3,0)),"")</f>
        <v/>
      </c>
      <c r="I2317" s="1" t="str">
        <f>IFERROR(IF(A2317="","",E2317*#REF!),"")</f>
        <v/>
      </c>
    </row>
    <row r="2318" spans="2:9" x14ac:dyDescent="0.3">
      <c r="B2318" t="str">
        <f>IFERROR(IF(A2318="","",VLOOKUP(A2318,CadProd!$A:$B,2,0)),"")</f>
        <v/>
      </c>
      <c r="C2318" t="str">
        <f>IFERROR(IF(A2318="","",VLOOKUP(A2318,CadProd!$A:$C,3,0)),"")</f>
        <v/>
      </c>
      <c r="I2318" s="1" t="str">
        <f>IFERROR(IF(A2318="","",E2318*#REF!),"")</f>
        <v/>
      </c>
    </row>
    <row r="2319" spans="2:9" x14ac:dyDescent="0.3">
      <c r="B2319" t="str">
        <f>IFERROR(IF(A2319="","",VLOOKUP(A2319,CadProd!$A:$B,2,0)),"")</f>
        <v/>
      </c>
      <c r="C2319" t="str">
        <f>IFERROR(IF(A2319="","",VLOOKUP(A2319,CadProd!$A:$C,3,0)),"")</f>
        <v/>
      </c>
      <c r="I2319" s="1" t="str">
        <f>IFERROR(IF(A2319="","",E2319*#REF!),"")</f>
        <v/>
      </c>
    </row>
    <row r="2320" spans="2:9" x14ac:dyDescent="0.3">
      <c r="B2320" t="str">
        <f>IFERROR(IF(A2320="","",VLOOKUP(A2320,CadProd!$A:$B,2,0)),"")</f>
        <v/>
      </c>
      <c r="C2320" t="str">
        <f>IFERROR(IF(A2320="","",VLOOKUP(A2320,CadProd!$A:$C,3,0)),"")</f>
        <v/>
      </c>
      <c r="I2320" s="1" t="str">
        <f>IFERROR(IF(A2320="","",E2320*#REF!),"")</f>
        <v/>
      </c>
    </row>
    <row r="2321" spans="2:9" x14ac:dyDescent="0.3">
      <c r="B2321" t="str">
        <f>IFERROR(IF(A2321="","",VLOOKUP(A2321,CadProd!$A:$B,2,0)),"")</f>
        <v/>
      </c>
      <c r="C2321" t="str">
        <f>IFERROR(IF(A2321="","",VLOOKUP(A2321,CadProd!$A:$C,3,0)),"")</f>
        <v/>
      </c>
      <c r="I2321" s="1" t="str">
        <f>IFERROR(IF(A2321="","",E2321*#REF!),"")</f>
        <v/>
      </c>
    </row>
    <row r="2322" spans="2:9" x14ac:dyDescent="0.3">
      <c r="B2322" t="str">
        <f>IFERROR(IF(A2322="","",VLOOKUP(A2322,CadProd!$A:$B,2,0)),"")</f>
        <v/>
      </c>
      <c r="C2322" t="str">
        <f>IFERROR(IF(A2322="","",VLOOKUP(A2322,CadProd!$A:$C,3,0)),"")</f>
        <v/>
      </c>
      <c r="I2322" s="1" t="str">
        <f>IFERROR(IF(A2322="","",E2322*#REF!),"")</f>
        <v/>
      </c>
    </row>
    <row r="2323" spans="2:9" x14ac:dyDescent="0.3">
      <c r="B2323" t="str">
        <f>IFERROR(IF(A2323="","",VLOOKUP(A2323,CadProd!$A:$B,2,0)),"")</f>
        <v/>
      </c>
      <c r="C2323" t="str">
        <f>IFERROR(IF(A2323="","",VLOOKUP(A2323,CadProd!$A:$C,3,0)),"")</f>
        <v/>
      </c>
      <c r="I2323" s="1" t="str">
        <f>IFERROR(IF(A2323="","",E2323*#REF!),"")</f>
        <v/>
      </c>
    </row>
    <row r="2324" spans="2:9" x14ac:dyDescent="0.3">
      <c r="B2324" t="str">
        <f>IFERROR(IF(A2324="","",VLOOKUP(A2324,CadProd!$A:$B,2,0)),"")</f>
        <v/>
      </c>
      <c r="C2324" t="str">
        <f>IFERROR(IF(A2324="","",VLOOKUP(A2324,CadProd!$A:$C,3,0)),"")</f>
        <v/>
      </c>
      <c r="I2324" s="1" t="str">
        <f>IFERROR(IF(A2324="","",E2324*#REF!),"")</f>
        <v/>
      </c>
    </row>
    <row r="2325" spans="2:9" x14ac:dyDescent="0.3">
      <c r="B2325" t="str">
        <f>IFERROR(IF(A2325="","",VLOOKUP(A2325,CadProd!$A:$B,2,0)),"")</f>
        <v/>
      </c>
      <c r="C2325" t="str">
        <f>IFERROR(IF(A2325="","",VLOOKUP(A2325,CadProd!$A:$C,3,0)),"")</f>
        <v/>
      </c>
      <c r="I2325" s="1" t="str">
        <f>IFERROR(IF(A2325="","",E2325*#REF!),"")</f>
        <v/>
      </c>
    </row>
    <row r="2326" spans="2:9" x14ac:dyDescent="0.3">
      <c r="B2326" t="str">
        <f>IFERROR(IF(A2326="","",VLOOKUP(A2326,CadProd!$A:$B,2,0)),"")</f>
        <v/>
      </c>
      <c r="C2326" t="str">
        <f>IFERROR(IF(A2326="","",VLOOKUP(A2326,CadProd!$A:$C,3,0)),"")</f>
        <v/>
      </c>
      <c r="I2326" s="1" t="str">
        <f>IFERROR(IF(A2326="","",E2326*#REF!),"")</f>
        <v/>
      </c>
    </row>
    <row r="2327" spans="2:9" x14ac:dyDescent="0.3">
      <c r="B2327" t="str">
        <f>IFERROR(IF(A2327="","",VLOOKUP(A2327,CadProd!$A:$B,2,0)),"")</f>
        <v/>
      </c>
      <c r="C2327" t="str">
        <f>IFERROR(IF(A2327="","",VLOOKUP(A2327,CadProd!$A:$C,3,0)),"")</f>
        <v/>
      </c>
      <c r="I2327" s="1" t="str">
        <f>IFERROR(IF(A2327="","",E2327*#REF!),"")</f>
        <v/>
      </c>
    </row>
    <row r="2328" spans="2:9" x14ac:dyDescent="0.3">
      <c r="B2328" t="str">
        <f>IFERROR(IF(A2328="","",VLOOKUP(A2328,CadProd!$A:$B,2,0)),"")</f>
        <v/>
      </c>
      <c r="C2328" t="str">
        <f>IFERROR(IF(A2328="","",VLOOKUP(A2328,CadProd!$A:$C,3,0)),"")</f>
        <v/>
      </c>
      <c r="I2328" s="1" t="str">
        <f>IFERROR(IF(A2328="","",E2328*#REF!),"")</f>
        <v/>
      </c>
    </row>
    <row r="2329" spans="2:9" x14ac:dyDescent="0.3">
      <c r="B2329" t="str">
        <f>IFERROR(IF(A2329="","",VLOOKUP(A2329,CadProd!$A:$B,2,0)),"")</f>
        <v/>
      </c>
      <c r="C2329" t="str">
        <f>IFERROR(IF(A2329="","",VLOOKUP(A2329,CadProd!$A:$C,3,0)),"")</f>
        <v/>
      </c>
      <c r="I2329" s="1" t="str">
        <f>IFERROR(IF(A2329="","",E2329*#REF!),"")</f>
        <v/>
      </c>
    </row>
    <row r="2330" spans="2:9" x14ac:dyDescent="0.3">
      <c r="B2330" t="str">
        <f>IFERROR(IF(A2330="","",VLOOKUP(A2330,CadProd!$A:$B,2,0)),"")</f>
        <v/>
      </c>
      <c r="C2330" t="str">
        <f>IFERROR(IF(A2330="","",VLOOKUP(A2330,CadProd!$A:$C,3,0)),"")</f>
        <v/>
      </c>
      <c r="I2330" s="1" t="str">
        <f>IFERROR(IF(A2330="","",E2330*#REF!),"")</f>
        <v/>
      </c>
    </row>
    <row r="2331" spans="2:9" x14ac:dyDescent="0.3">
      <c r="B2331" t="str">
        <f>IFERROR(IF(A2331="","",VLOOKUP(A2331,CadProd!$A:$B,2,0)),"")</f>
        <v/>
      </c>
      <c r="C2331" t="str">
        <f>IFERROR(IF(A2331="","",VLOOKUP(A2331,CadProd!$A:$C,3,0)),"")</f>
        <v/>
      </c>
      <c r="I2331" s="1" t="str">
        <f>IFERROR(IF(A2331="","",E2331*#REF!),"")</f>
        <v/>
      </c>
    </row>
    <row r="2332" spans="2:9" x14ac:dyDescent="0.3">
      <c r="B2332" t="str">
        <f>IFERROR(IF(A2332="","",VLOOKUP(A2332,CadProd!$A:$B,2,0)),"")</f>
        <v/>
      </c>
      <c r="C2332" t="str">
        <f>IFERROR(IF(A2332="","",VLOOKUP(A2332,CadProd!$A:$C,3,0)),"")</f>
        <v/>
      </c>
      <c r="I2332" s="1" t="str">
        <f>IFERROR(IF(A2332="","",E2332*#REF!),"")</f>
        <v/>
      </c>
    </row>
    <row r="2333" spans="2:9" x14ac:dyDescent="0.3">
      <c r="B2333" t="str">
        <f>IFERROR(IF(A2333="","",VLOOKUP(A2333,CadProd!$A:$B,2,0)),"")</f>
        <v/>
      </c>
      <c r="C2333" t="str">
        <f>IFERROR(IF(A2333="","",VLOOKUP(A2333,CadProd!$A:$C,3,0)),"")</f>
        <v/>
      </c>
      <c r="I2333" s="1" t="str">
        <f>IFERROR(IF(A2333="","",E2333*#REF!),"")</f>
        <v/>
      </c>
    </row>
    <row r="2334" spans="2:9" x14ac:dyDescent="0.3">
      <c r="B2334" t="str">
        <f>IFERROR(IF(A2334="","",VLOOKUP(A2334,CadProd!$A:$B,2,0)),"")</f>
        <v/>
      </c>
      <c r="C2334" t="str">
        <f>IFERROR(IF(A2334="","",VLOOKUP(A2334,CadProd!$A:$C,3,0)),"")</f>
        <v/>
      </c>
      <c r="I2334" s="1" t="str">
        <f>IFERROR(IF(A2334="","",E2334*#REF!),"")</f>
        <v/>
      </c>
    </row>
    <row r="2335" spans="2:9" x14ac:dyDescent="0.3">
      <c r="B2335" t="str">
        <f>IFERROR(IF(A2335="","",VLOOKUP(A2335,CadProd!$A:$B,2,0)),"")</f>
        <v/>
      </c>
      <c r="C2335" t="str">
        <f>IFERROR(IF(A2335="","",VLOOKUP(A2335,CadProd!$A:$C,3,0)),"")</f>
        <v/>
      </c>
      <c r="I2335" s="1" t="str">
        <f>IFERROR(IF(A2335="","",E2335*#REF!),"")</f>
        <v/>
      </c>
    </row>
    <row r="2336" spans="2:9" x14ac:dyDescent="0.3">
      <c r="B2336" t="str">
        <f>IFERROR(IF(A2336="","",VLOOKUP(A2336,CadProd!$A:$B,2,0)),"")</f>
        <v/>
      </c>
      <c r="C2336" t="str">
        <f>IFERROR(IF(A2336="","",VLOOKUP(A2336,CadProd!$A:$C,3,0)),"")</f>
        <v/>
      </c>
      <c r="I2336" s="1" t="str">
        <f>IFERROR(IF(A2336="","",E2336*#REF!),"")</f>
        <v/>
      </c>
    </row>
    <row r="2337" spans="2:9" x14ac:dyDescent="0.3">
      <c r="B2337" t="str">
        <f>IFERROR(IF(A2337="","",VLOOKUP(A2337,CadProd!$A:$B,2,0)),"")</f>
        <v/>
      </c>
      <c r="C2337" t="str">
        <f>IFERROR(IF(A2337="","",VLOOKUP(A2337,CadProd!$A:$C,3,0)),"")</f>
        <v/>
      </c>
      <c r="I2337" s="1" t="str">
        <f>IFERROR(IF(A2337="","",E2337*#REF!),"")</f>
        <v/>
      </c>
    </row>
    <row r="2338" spans="2:9" x14ac:dyDescent="0.3">
      <c r="B2338" t="str">
        <f>IFERROR(IF(A2338="","",VLOOKUP(A2338,CadProd!$A:$B,2,0)),"")</f>
        <v/>
      </c>
      <c r="C2338" t="str">
        <f>IFERROR(IF(A2338="","",VLOOKUP(A2338,CadProd!$A:$C,3,0)),"")</f>
        <v/>
      </c>
      <c r="I2338" s="1" t="str">
        <f>IFERROR(IF(A2338="","",E2338*#REF!),"")</f>
        <v/>
      </c>
    </row>
    <row r="2339" spans="2:9" x14ac:dyDescent="0.3">
      <c r="B2339" t="str">
        <f>IFERROR(IF(A2339="","",VLOOKUP(A2339,CadProd!$A:$B,2,0)),"")</f>
        <v/>
      </c>
      <c r="C2339" t="str">
        <f>IFERROR(IF(A2339="","",VLOOKUP(A2339,CadProd!$A:$C,3,0)),"")</f>
        <v/>
      </c>
      <c r="I2339" s="1" t="str">
        <f>IFERROR(IF(A2339="","",E2339*#REF!),"")</f>
        <v/>
      </c>
    </row>
    <row r="2340" spans="2:9" x14ac:dyDescent="0.3">
      <c r="B2340" t="str">
        <f>IFERROR(IF(A2340="","",VLOOKUP(A2340,CadProd!$A:$B,2,0)),"")</f>
        <v/>
      </c>
      <c r="C2340" t="str">
        <f>IFERROR(IF(A2340="","",VLOOKUP(A2340,CadProd!$A:$C,3,0)),"")</f>
        <v/>
      </c>
      <c r="I2340" s="1" t="str">
        <f>IFERROR(IF(A2340="","",E2340*#REF!),"")</f>
        <v/>
      </c>
    </row>
    <row r="2341" spans="2:9" x14ac:dyDescent="0.3">
      <c r="B2341" t="str">
        <f>IFERROR(IF(A2341="","",VLOOKUP(A2341,CadProd!$A:$B,2,0)),"")</f>
        <v/>
      </c>
      <c r="C2341" t="str">
        <f>IFERROR(IF(A2341="","",VLOOKUP(A2341,CadProd!$A:$C,3,0)),"")</f>
        <v/>
      </c>
      <c r="I2341" s="1" t="str">
        <f>IFERROR(IF(A2341="","",E2341*#REF!),"")</f>
        <v/>
      </c>
    </row>
    <row r="2342" spans="2:9" x14ac:dyDescent="0.3">
      <c r="B2342" t="str">
        <f>IFERROR(IF(A2342="","",VLOOKUP(A2342,CadProd!$A:$B,2,0)),"")</f>
        <v/>
      </c>
      <c r="C2342" t="str">
        <f>IFERROR(IF(A2342="","",VLOOKUP(A2342,CadProd!$A:$C,3,0)),"")</f>
        <v/>
      </c>
      <c r="I2342" s="1" t="str">
        <f>IFERROR(IF(A2342="","",E2342*#REF!),"")</f>
        <v/>
      </c>
    </row>
    <row r="2343" spans="2:9" x14ac:dyDescent="0.3">
      <c r="B2343" t="str">
        <f>IFERROR(IF(A2343="","",VLOOKUP(A2343,CadProd!$A:$B,2,0)),"")</f>
        <v/>
      </c>
      <c r="C2343" t="str">
        <f>IFERROR(IF(A2343="","",VLOOKUP(A2343,CadProd!$A:$C,3,0)),"")</f>
        <v/>
      </c>
      <c r="I2343" s="1" t="str">
        <f>IFERROR(IF(A2343="","",E2343*#REF!),"")</f>
        <v/>
      </c>
    </row>
    <row r="2344" spans="2:9" x14ac:dyDescent="0.3">
      <c r="B2344" t="str">
        <f>IFERROR(IF(A2344="","",VLOOKUP(A2344,CadProd!$A:$B,2,0)),"")</f>
        <v/>
      </c>
      <c r="C2344" t="str">
        <f>IFERROR(IF(A2344="","",VLOOKUP(A2344,CadProd!$A:$C,3,0)),"")</f>
        <v/>
      </c>
      <c r="I2344" s="1" t="str">
        <f>IFERROR(IF(A2344="","",E2344*#REF!),"")</f>
        <v/>
      </c>
    </row>
    <row r="2345" spans="2:9" x14ac:dyDescent="0.3">
      <c r="B2345" t="str">
        <f>IFERROR(IF(A2345="","",VLOOKUP(A2345,CadProd!$A:$B,2,0)),"")</f>
        <v/>
      </c>
      <c r="C2345" t="str">
        <f>IFERROR(IF(A2345="","",VLOOKUP(A2345,CadProd!$A:$C,3,0)),"")</f>
        <v/>
      </c>
      <c r="I2345" s="1" t="str">
        <f>IFERROR(IF(A2345="","",E2345*#REF!),"")</f>
        <v/>
      </c>
    </row>
    <row r="2346" spans="2:9" x14ac:dyDescent="0.3">
      <c r="B2346" t="str">
        <f>IFERROR(IF(A2346="","",VLOOKUP(A2346,CadProd!$A:$B,2,0)),"")</f>
        <v/>
      </c>
      <c r="C2346" t="str">
        <f>IFERROR(IF(A2346="","",VLOOKUP(A2346,CadProd!$A:$C,3,0)),"")</f>
        <v/>
      </c>
      <c r="I2346" s="1" t="str">
        <f>IFERROR(IF(A2346="","",E2346*#REF!),"")</f>
        <v/>
      </c>
    </row>
    <row r="2347" spans="2:9" x14ac:dyDescent="0.3">
      <c r="B2347" t="str">
        <f>IFERROR(IF(A2347="","",VLOOKUP(A2347,CadProd!$A:$B,2,0)),"")</f>
        <v/>
      </c>
      <c r="C2347" t="str">
        <f>IFERROR(IF(A2347="","",VLOOKUP(A2347,CadProd!$A:$C,3,0)),"")</f>
        <v/>
      </c>
      <c r="I2347" s="1" t="str">
        <f>IFERROR(IF(A2347="","",E2347*#REF!),"")</f>
        <v/>
      </c>
    </row>
    <row r="2348" spans="2:9" x14ac:dyDescent="0.3">
      <c r="B2348" t="str">
        <f>IFERROR(IF(A2348="","",VLOOKUP(A2348,CadProd!$A:$B,2,0)),"")</f>
        <v/>
      </c>
      <c r="C2348" t="str">
        <f>IFERROR(IF(A2348="","",VLOOKUP(A2348,CadProd!$A:$C,3,0)),"")</f>
        <v/>
      </c>
      <c r="I2348" s="1" t="str">
        <f>IFERROR(IF(A2348="","",E2348*#REF!),"")</f>
        <v/>
      </c>
    </row>
    <row r="2349" spans="2:9" x14ac:dyDescent="0.3">
      <c r="B2349" t="str">
        <f>IFERROR(IF(A2349="","",VLOOKUP(A2349,CadProd!$A:$B,2,0)),"")</f>
        <v/>
      </c>
      <c r="C2349" t="str">
        <f>IFERROR(IF(A2349="","",VLOOKUP(A2349,CadProd!$A:$C,3,0)),"")</f>
        <v/>
      </c>
      <c r="I2349" s="1" t="str">
        <f>IFERROR(IF(A2349="","",E2349*#REF!),"")</f>
        <v/>
      </c>
    </row>
    <row r="2350" spans="2:9" x14ac:dyDescent="0.3">
      <c r="B2350" t="str">
        <f>IFERROR(IF(A2350="","",VLOOKUP(A2350,CadProd!$A:$B,2,0)),"")</f>
        <v/>
      </c>
      <c r="C2350" t="str">
        <f>IFERROR(IF(A2350="","",VLOOKUP(A2350,CadProd!$A:$C,3,0)),"")</f>
        <v/>
      </c>
      <c r="I2350" s="1" t="str">
        <f>IFERROR(IF(A2350="","",E2350*#REF!),"")</f>
        <v/>
      </c>
    </row>
    <row r="2351" spans="2:9" x14ac:dyDescent="0.3">
      <c r="B2351" t="str">
        <f>IFERROR(IF(A2351="","",VLOOKUP(A2351,CadProd!$A:$B,2,0)),"")</f>
        <v/>
      </c>
      <c r="C2351" t="str">
        <f>IFERROR(IF(A2351="","",VLOOKUP(A2351,CadProd!$A:$C,3,0)),"")</f>
        <v/>
      </c>
      <c r="I2351" s="1" t="str">
        <f>IFERROR(IF(A2351="","",E2351*#REF!),"")</f>
        <v/>
      </c>
    </row>
    <row r="2352" spans="2:9" x14ac:dyDescent="0.3">
      <c r="B2352" t="str">
        <f>IFERROR(IF(A2352="","",VLOOKUP(A2352,CadProd!$A:$B,2,0)),"")</f>
        <v/>
      </c>
      <c r="C2352" t="str">
        <f>IFERROR(IF(A2352="","",VLOOKUP(A2352,CadProd!$A:$C,3,0)),"")</f>
        <v/>
      </c>
      <c r="I2352" s="1" t="str">
        <f>IFERROR(IF(A2352="","",E2352*#REF!),"")</f>
        <v/>
      </c>
    </row>
    <row r="2353" spans="2:9" x14ac:dyDescent="0.3">
      <c r="B2353" t="str">
        <f>IFERROR(IF(A2353="","",VLOOKUP(A2353,CadProd!$A:$B,2,0)),"")</f>
        <v/>
      </c>
      <c r="C2353" t="str">
        <f>IFERROR(IF(A2353="","",VLOOKUP(A2353,CadProd!$A:$C,3,0)),"")</f>
        <v/>
      </c>
      <c r="I2353" s="1" t="str">
        <f>IFERROR(IF(A2353="","",E2353*#REF!),"")</f>
        <v/>
      </c>
    </row>
    <row r="2354" spans="2:9" x14ac:dyDescent="0.3">
      <c r="B2354" t="str">
        <f>IFERROR(IF(A2354="","",VLOOKUP(A2354,CadProd!$A:$B,2,0)),"")</f>
        <v/>
      </c>
      <c r="C2354" t="str">
        <f>IFERROR(IF(A2354="","",VLOOKUP(A2354,CadProd!$A:$C,3,0)),"")</f>
        <v/>
      </c>
      <c r="I2354" s="1" t="str">
        <f>IFERROR(IF(A2354="","",E2354*#REF!),"")</f>
        <v/>
      </c>
    </row>
    <row r="2355" spans="2:9" x14ac:dyDescent="0.3">
      <c r="B2355" t="str">
        <f>IFERROR(IF(A2355="","",VLOOKUP(A2355,CadProd!$A:$B,2,0)),"")</f>
        <v/>
      </c>
      <c r="C2355" t="str">
        <f>IFERROR(IF(A2355="","",VLOOKUP(A2355,CadProd!$A:$C,3,0)),"")</f>
        <v/>
      </c>
      <c r="I2355" s="1" t="str">
        <f>IFERROR(IF(A2355="","",E2355*#REF!),"")</f>
        <v/>
      </c>
    </row>
    <row r="2356" spans="2:9" x14ac:dyDescent="0.3">
      <c r="B2356" t="str">
        <f>IFERROR(IF(A2356="","",VLOOKUP(A2356,CadProd!$A:$B,2,0)),"")</f>
        <v/>
      </c>
      <c r="C2356" t="str">
        <f>IFERROR(IF(A2356="","",VLOOKUP(A2356,CadProd!$A:$C,3,0)),"")</f>
        <v/>
      </c>
      <c r="I2356" s="1" t="str">
        <f>IFERROR(IF(A2356="","",E2356*#REF!),"")</f>
        <v/>
      </c>
    </row>
    <row r="2357" spans="2:9" x14ac:dyDescent="0.3">
      <c r="B2357" t="str">
        <f>IFERROR(IF(A2357="","",VLOOKUP(A2357,CadProd!$A:$B,2,0)),"")</f>
        <v/>
      </c>
      <c r="C2357" t="str">
        <f>IFERROR(IF(A2357="","",VLOOKUP(A2357,CadProd!$A:$C,3,0)),"")</f>
        <v/>
      </c>
      <c r="I2357" s="1" t="str">
        <f>IFERROR(IF(A2357="","",E2357*#REF!),"")</f>
        <v/>
      </c>
    </row>
    <row r="2358" spans="2:9" x14ac:dyDescent="0.3">
      <c r="B2358" t="str">
        <f>IFERROR(IF(A2358="","",VLOOKUP(A2358,CadProd!$A:$B,2,0)),"")</f>
        <v/>
      </c>
      <c r="C2358" t="str">
        <f>IFERROR(IF(A2358="","",VLOOKUP(A2358,CadProd!$A:$C,3,0)),"")</f>
        <v/>
      </c>
      <c r="I2358" s="1" t="str">
        <f>IFERROR(IF(A2358="","",E2358*#REF!),"")</f>
        <v/>
      </c>
    </row>
    <row r="2359" spans="2:9" x14ac:dyDescent="0.3">
      <c r="B2359" t="str">
        <f>IFERROR(IF(A2359="","",VLOOKUP(A2359,CadProd!$A:$B,2,0)),"")</f>
        <v/>
      </c>
      <c r="C2359" t="str">
        <f>IFERROR(IF(A2359="","",VLOOKUP(A2359,CadProd!$A:$C,3,0)),"")</f>
        <v/>
      </c>
      <c r="I2359" s="1" t="str">
        <f>IFERROR(IF(A2359="","",E2359*#REF!),"")</f>
        <v/>
      </c>
    </row>
    <row r="2360" spans="2:9" x14ac:dyDescent="0.3">
      <c r="B2360" t="str">
        <f>IFERROR(IF(A2360="","",VLOOKUP(A2360,CadProd!$A:$B,2,0)),"")</f>
        <v/>
      </c>
      <c r="C2360" t="str">
        <f>IFERROR(IF(A2360="","",VLOOKUP(A2360,CadProd!$A:$C,3,0)),"")</f>
        <v/>
      </c>
      <c r="I2360" s="1" t="str">
        <f>IFERROR(IF(A2360="","",E2360*#REF!),"")</f>
        <v/>
      </c>
    </row>
    <row r="2361" spans="2:9" x14ac:dyDescent="0.3">
      <c r="B2361" t="str">
        <f>IFERROR(IF(A2361="","",VLOOKUP(A2361,CadProd!$A:$B,2,0)),"")</f>
        <v/>
      </c>
      <c r="C2361" t="str">
        <f>IFERROR(IF(A2361="","",VLOOKUP(A2361,CadProd!$A:$C,3,0)),"")</f>
        <v/>
      </c>
      <c r="I2361" s="1" t="str">
        <f>IFERROR(IF(A2361="","",E2361*#REF!),"")</f>
        <v/>
      </c>
    </row>
    <row r="2362" spans="2:9" x14ac:dyDescent="0.3">
      <c r="B2362" t="str">
        <f>IFERROR(IF(A2362="","",VLOOKUP(A2362,CadProd!$A:$B,2,0)),"")</f>
        <v/>
      </c>
      <c r="C2362" t="str">
        <f>IFERROR(IF(A2362="","",VLOOKUP(A2362,CadProd!$A:$C,3,0)),"")</f>
        <v/>
      </c>
      <c r="I2362" s="1" t="str">
        <f>IFERROR(IF(A2362="","",E2362*#REF!),"")</f>
        <v/>
      </c>
    </row>
    <row r="2363" spans="2:9" x14ac:dyDescent="0.3">
      <c r="B2363" t="str">
        <f>IFERROR(IF(A2363="","",VLOOKUP(A2363,CadProd!$A:$B,2,0)),"")</f>
        <v/>
      </c>
      <c r="C2363" t="str">
        <f>IFERROR(IF(A2363="","",VLOOKUP(A2363,CadProd!$A:$C,3,0)),"")</f>
        <v/>
      </c>
      <c r="I2363" s="1" t="str">
        <f>IFERROR(IF(A2363="","",E2363*#REF!),"")</f>
        <v/>
      </c>
    </row>
    <row r="2364" spans="2:9" x14ac:dyDescent="0.3">
      <c r="B2364" t="str">
        <f>IFERROR(IF(A2364="","",VLOOKUP(A2364,CadProd!$A:$B,2,0)),"")</f>
        <v/>
      </c>
      <c r="C2364" t="str">
        <f>IFERROR(IF(A2364="","",VLOOKUP(A2364,CadProd!$A:$C,3,0)),"")</f>
        <v/>
      </c>
      <c r="I2364" s="1" t="str">
        <f>IFERROR(IF(A2364="","",E2364*#REF!),"")</f>
        <v/>
      </c>
    </row>
    <row r="2365" spans="2:9" x14ac:dyDescent="0.3">
      <c r="B2365" t="str">
        <f>IFERROR(IF(A2365="","",VLOOKUP(A2365,CadProd!$A:$B,2,0)),"")</f>
        <v/>
      </c>
      <c r="C2365" t="str">
        <f>IFERROR(IF(A2365="","",VLOOKUP(A2365,CadProd!$A:$C,3,0)),"")</f>
        <v/>
      </c>
      <c r="I2365" s="1" t="str">
        <f>IFERROR(IF(A2365="","",E2365*#REF!),"")</f>
        <v/>
      </c>
    </row>
    <row r="2366" spans="2:9" x14ac:dyDescent="0.3">
      <c r="B2366" t="str">
        <f>IFERROR(IF(A2366="","",VLOOKUP(A2366,CadProd!$A:$B,2,0)),"")</f>
        <v/>
      </c>
      <c r="C2366" t="str">
        <f>IFERROR(IF(A2366="","",VLOOKUP(A2366,CadProd!$A:$C,3,0)),"")</f>
        <v/>
      </c>
      <c r="I2366" s="1" t="str">
        <f>IFERROR(IF(A2366="","",E2366*#REF!),"")</f>
        <v/>
      </c>
    </row>
    <row r="2367" spans="2:9" x14ac:dyDescent="0.3">
      <c r="B2367" t="str">
        <f>IFERROR(IF(A2367="","",VLOOKUP(A2367,CadProd!$A:$B,2,0)),"")</f>
        <v/>
      </c>
      <c r="C2367" t="str">
        <f>IFERROR(IF(A2367="","",VLOOKUP(A2367,CadProd!$A:$C,3,0)),"")</f>
        <v/>
      </c>
      <c r="I2367" s="1" t="str">
        <f>IFERROR(IF(A2367="","",E2367*#REF!),"")</f>
        <v/>
      </c>
    </row>
    <row r="2368" spans="2:9" x14ac:dyDescent="0.3">
      <c r="B2368" t="str">
        <f>IFERROR(IF(A2368="","",VLOOKUP(A2368,CadProd!$A:$B,2,0)),"")</f>
        <v/>
      </c>
      <c r="C2368" t="str">
        <f>IFERROR(IF(A2368="","",VLOOKUP(A2368,CadProd!$A:$C,3,0)),"")</f>
        <v/>
      </c>
      <c r="I2368" s="1" t="str">
        <f>IFERROR(IF(A2368="","",E2368*#REF!),"")</f>
        <v/>
      </c>
    </row>
    <row r="2369" spans="2:9" x14ac:dyDescent="0.3">
      <c r="B2369" t="str">
        <f>IFERROR(IF(A2369="","",VLOOKUP(A2369,CadProd!$A:$B,2,0)),"")</f>
        <v/>
      </c>
      <c r="C2369" t="str">
        <f>IFERROR(IF(A2369="","",VLOOKUP(A2369,CadProd!$A:$C,3,0)),"")</f>
        <v/>
      </c>
      <c r="I2369" s="1" t="str">
        <f>IFERROR(IF(A2369="","",E2369*#REF!),"")</f>
        <v/>
      </c>
    </row>
    <row r="2370" spans="2:9" x14ac:dyDescent="0.3">
      <c r="B2370" t="str">
        <f>IFERROR(IF(A2370="","",VLOOKUP(A2370,CadProd!$A:$B,2,0)),"")</f>
        <v/>
      </c>
      <c r="C2370" t="str">
        <f>IFERROR(IF(A2370="","",VLOOKUP(A2370,CadProd!$A:$C,3,0)),"")</f>
        <v/>
      </c>
      <c r="I2370" s="1" t="str">
        <f>IFERROR(IF(A2370="","",E2370*#REF!),"")</f>
        <v/>
      </c>
    </row>
    <row r="2371" spans="2:9" x14ac:dyDescent="0.3">
      <c r="B2371" t="str">
        <f>IFERROR(IF(A2371="","",VLOOKUP(A2371,CadProd!$A:$B,2,0)),"")</f>
        <v/>
      </c>
      <c r="C2371" t="str">
        <f>IFERROR(IF(A2371="","",VLOOKUP(A2371,CadProd!$A:$C,3,0)),"")</f>
        <v/>
      </c>
      <c r="I2371" s="1" t="str">
        <f>IFERROR(IF(A2371="","",E2371*#REF!),"")</f>
        <v/>
      </c>
    </row>
    <row r="2372" spans="2:9" x14ac:dyDescent="0.3">
      <c r="B2372" t="str">
        <f>IFERROR(IF(A2372="","",VLOOKUP(A2372,CadProd!$A:$B,2,0)),"")</f>
        <v/>
      </c>
      <c r="C2372" t="str">
        <f>IFERROR(IF(A2372="","",VLOOKUP(A2372,CadProd!$A:$C,3,0)),"")</f>
        <v/>
      </c>
      <c r="I2372" s="1" t="str">
        <f>IFERROR(IF(A2372="","",E2372*#REF!),"")</f>
        <v/>
      </c>
    </row>
    <row r="2373" spans="2:9" x14ac:dyDescent="0.3">
      <c r="B2373" t="str">
        <f>IFERROR(IF(A2373="","",VLOOKUP(A2373,CadProd!$A:$B,2,0)),"")</f>
        <v/>
      </c>
      <c r="C2373" t="str">
        <f>IFERROR(IF(A2373="","",VLOOKUP(A2373,CadProd!$A:$C,3,0)),"")</f>
        <v/>
      </c>
      <c r="I2373" s="1" t="str">
        <f>IFERROR(IF(A2373="","",E2373*#REF!),"")</f>
        <v/>
      </c>
    </row>
    <row r="2374" spans="2:9" x14ac:dyDescent="0.3">
      <c r="B2374" t="str">
        <f>IFERROR(IF(A2374="","",VLOOKUP(A2374,CadProd!$A:$B,2,0)),"")</f>
        <v/>
      </c>
      <c r="C2374" t="str">
        <f>IFERROR(IF(A2374="","",VLOOKUP(A2374,CadProd!$A:$C,3,0)),"")</f>
        <v/>
      </c>
      <c r="I2374" s="1" t="str">
        <f>IFERROR(IF(A2374="","",E2374*#REF!),"")</f>
        <v/>
      </c>
    </row>
    <row r="2375" spans="2:9" x14ac:dyDescent="0.3">
      <c r="B2375" t="str">
        <f>IFERROR(IF(A2375="","",VLOOKUP(A2375,CadProd!$A:$B,2,0)),"")</f>
        <v/>
      </c>
      <c r="C2375" t="str">
        <f>IFERROR(IF(A2375="","",VLOOKUP(A2375,CadProd!$A:$C,3,0)),"")</f>
        <v/>
      </c>
      <c r="I2375" s="1" t="str">
        <f>IFERROR(IF(A2375="","",E2375*#REF!),"")</f>
        <v/>
      </c>
    </row>
    <row r="2376" spans="2:9" x14ac:dyDescent="0.3">
      <c r="B2376" t="str">
        <f>IFERROR(IF(A2376="","",VLOOKUP(A2376,CadProd!$A:$B,2,0)),"")</f>
        <v/>
      </c>
      <c r="C2376" t="str">
        <f>IFERROR(IF(A2376="","",VLOOKUP(A2376,CadProd!$A:$C,3,0)),"")</f>
        <v/>
      </c>
      <c r="I2376" s="1" t="str">
        <f>IFERROR(IF(A2376="","",E2376*#REF!),"")</f>
        <v/>
      </c>
    </row>
    <row r="2377" spans="2:9" x14ac:dyDescent="0.3">
      <c r="B2377" t="str">
        <f>IFERROR(IF(A2377="","",VLOOKUP(A2377,CadProd!$A:$B,2,0)),"")</f>
        <v/>
      </c>
      <c r="C2377" t="str">
        <f>IFERROR(IF(A2377="","",VLOOKUP(A2377,CadProd!$A:$C,3,0)),"")</f>
        <v/>
      </c>
      <c r="I2377" s="1" t="str">
        <f>IFERROR(IF(A2377="","",E2377*#REF!),"")</f>
        <v/>
      </c>
    </row>
    <row r="2378" spans="2:9" x14ac:dyDescent="0.3">
      <c r="B2378" t="str">
        <f>IFERROR(IF(A2378="","",VLOOKUP(A2378,CadProd!$A:$B,2,0)),"")</f>
        <v/>
      </c>
      <c r="C2378" t="str">
        <f>IFERROR(IF(A2378="","",VLOOKUP(A2378,CadProd!$A:$C,3,0)),"")</f>
        <v/>
      </c>
      <c r="I2378" s="1" t="str">
        <f>IFERROR(IF(A2378="","",E2378*#REF!),"")</f>
        <v/>
      </c>
    </row>
    <row r="2379" spans="2:9" x14ac:dyDescent="0.3">
      <c r="B2379" t="str">
        <f>IFERROR(IF(A2379="","",VLOOKUP(A2379,CadProd!$A:$B,2,0)),"")</f>
        <v/>
      </c>
      <c r="C2379" t="str">
        <f>IFERROR(IF(A2379="","",VLOOKUP(A2379,CadProd!$A:$C,3,0)),"")</f>
        <v/>
      </c>
      <c r="I2379" s="1" t="str">
        <f>IFERROR(IF(A2379="","",E2379*#REF!),"")</f>
        <v/>
      </c>
    </row>
    <row r="2380" spans="2:9" x14ac:dyDescent="0.3">
      <c r="B2380" t="str">
        <f>IFERROR(IF(A2380="","",VLOOKUP(A2380,CadProd!$A:$B,2,0)),"")</f>
        <v/>
      </c>
      <c r="C2380" t="str">
        <f>IFERROR(IF(A2380="","",VLOOKUP(A2380,CadProd!$A:$C,3,0)),"")</f>
        <v/>
      </c>
      <c r="I2380" s="1" t="str">
        <f>IFERROR(IF(A2380="","",E2380*#REF!),"")</f>
        <v/>
      </c>
    </row>
    <row r="2381" spans="2:9" x14ac:dyDescent="0.3">
      <c r="B2381" t="str">
        <f>IFERROR(IF(A2381="","",VLOOKUP(A2381,CadProd!$A:$B,2,0)),"")</f>
        <v/>
      </c>
      <c r="C2381" t="str">
        <f>IFERROR(IF(A2381="","",VLOOKUP(A2381,CadProd!$A:$C,3,0)),"")</f>
        <v/>
      </c>
      <c r="I2381" s="1" t="str">
        <f>IFERROR(IF(A2381="","",E2381*#REF!),"")</f>
        <v/>
      </c>
    </row>
    <row r="2382" spans="2:9" x14ac:dyDescent="0.3">
      <c r="B2382" t="str">
        <f>IFERROR(IF(A2382="","",VLOOKUP(A2382,CadProd!$A:$B,2,0)),"")</f>
        <v/>
      </c>
      <c r="C2382" t="str">
        <f>IFERROR(IF(A2382="","",VLOOKUP(A2382,CadProd!$A:$C,3,0)),"")</f>
        <v/>
      </c>
      <c r="I2382" s="1" t="str">
        <f>IFERROR(IF(A2382="","",E2382*#REF!),"")</f>
        <v/>
      </c>
    </row>
    <row r="2383" spans="2:9" x14ac:dyDescent="0.3">
      <c r="B2383" t="str">
        <f>IFERROR(IF(A2383="","",VLOOKUP(A2383,CadProd!$A:$B,2,0)),"")</f>
        <v/>
      </c>
      <c r="C2383" t="str">
        <f>IFERROR(IF(A2383="","",VLOOKUP(A2383,CadProd!$A:$C,3,0)),"")</f>
        <v/>
      </c>
      <c r="I2383" s="1" t="str">
        <f>IFERROR(IF(A2383="","",E2383*#REF!),"")</f>
        <v/>
      </c>
    </row>
    <row r="2384" spans="2:9" x14ac:dyDescent="0.3">
      <c r="B2384" t="str">
        <f>IFERROR(IF(A2384="","",VLOOKUP(A2384,CadProd!$A:$B,2,0)),"")</f>
        <v/>
      </c>
      <c r="C2384" t="str">
        <f>IFERROR(IF(A2384="","",VLOOKUP(A2384,CadProd!$A:$C,3,0)),"")</f>
        <v/>
      </c>
      <c r="I2384" s="1" t="str">
        <f>IFERROR(IF(A2384="","",E2384*#REF!),"")</f>
        <v/>
      </c>
    </row>
    <row r="2385" spans="2:9" x14ac:dyDescent="0.3">
      <c r="B2385" t="str">
        <f>IFERROR(IF(A2385="","",VLOOKUP(A2385,CadProd!$A:$B,2,0)),"")</f>
        <v/>
      </c>
      <c r="C2385" t="str">
        <f>IFERROR(IF(A2385="","",VLOOKUP(A2385,CadProd!$A:$C,3,0)),"")</f>
        <v/>
      </c>
      <c r="I2385" s="1" t="str">
        <f>IFERROR(IF(A2385="","",E2385*#REF!),"")</f>
        <v/>
      </c>
    </row>
    <row r="2386" spans="2:9" x14ac:dyDescent="0.3">
      <c r="B2386" t="str">
        <f>IFERROR(IF(A2386="","",VLOOKUP(A2386,CadProd!$A:$B,2,0)),"")</f>
        <v/>
      </c>
      <c r="C2386" t="str">
        <f>IFERROR(IF(A2386="","",VLOOKUP(A2386,CadProd!$A:$C,3,0)),"")</f>
        <v/>
      </c>
      <c r="I2386" s="1" t="str">
        <f>IFERROR(IF(A2386="","",E2386*#REF!),"")</f>
        <v/>
      </c>
    </row>
    <row r="2387" spans="2:9" x14ac:dyDescent="0.3">
      <c r="B2387" t="str">
        <f>IFERROR(IF(A2387="","",VLOOKUP(A2387,CadProd!$A:$B,2,0)),"")</f>
        <v/>
      </c>
      <c r="C2387" t="str">
        <f>IFERROR(IF(A2387="","",VLOOKUP(A2387,CadProd!$A:$C,3,0)),"")</f>
        <v/>
      </c>
      <c r="I2387" s="1" t="str">
        <f>IFERROR(IF(A2387="","",E2387*#REF!),"")</f>
        <v/>
      </c>
    </row>
    <row r="2388" spans="2:9" x14ac:dyDescent="0.3">
      <c r="B2388" t="str">
        <f>IFERROR(IF(A2388="","",VLOOKUP(A2388,CadProd!$A:$B,2,0)),"")</f>
        <v/>
      </c>
      <c r="C2388" t="str">
        <f>IFERROR(IF(A2388="","",VLOOKUP(A2388,CadProd!$A:$C,3,0)),"")</f>
        <v/>
      </c>
      <c r="I2388" s="1" t="str">
        <f>IFERROR(IF(A2388="","",E2388*#REF!),"")</f>
        <v/>
      </c>
    </row>
    <row r="2389" spans="2:9" x14ac:dyDescent="0.3">
      <c r="B2389" t="str">
        <f>IFERROR(IF(A2389="","",VLOOKUP(A2389,CadProd!$A:$B,2,0)),"")</f>
        <v/>
      </c>
      <c r="C2389" t="str">
        <f>IFERROR(IF(A2389="","",VLOOKUP(A2389,CadProd!$A:$C,3,0)),"")</f>
        <v/>
      </c>
      <c r="I2389" s="1" t="str">
        <f>IFERROR(IF(A2389="","",E2389*#REF!),"")</f>
        <v/>
      </c>
    </row>
    <row r="2390" spans="2:9" x14ac:dyDescent="0.3">
      <c r="B2390" t="str">
        <f>IFERROR(IF(A2390="","",VLOOKUP(A2390,CadProd!$A:$B,2,0)),"")</f>
        <v/>
      </c>
      <c r="C2390" t="str">
        <f>IFERROR(IF(A2390="","",VLOOKUP(A2390,CadProd!$A:$C,3,0)),"")</f>
        <v/>
      </c>
      <c r="I2390" s="1" t="str">
        <f>IFERROR(IF(A2390="","",E2390*#REF!),"")</f>
        <v/>
      </c>
    </row>
    <row r="2391" spans="2:9" x14ac:dyDescent="0.3">
      <c r="B2391" t="str">
        <f>IFERROR(IF(A2391="","",VLOOKUP(A2391,CadProd!$A:$B,2,0)),"")</f>
        <v/>
      </c>
      <c r="C2391" t="str">
        <f>IFERROR(IF(A2391="","",VLOOKUP(A2391,CadProd!$A:$C,3,0)),"")</f>
        <v/>
      </c>
      <c r="I2391" s="1" t="str">
        <f>IFERROR(IF(A2391="","",E2391*#REF!),"")</f>
        <v/>
      </c>
    </row>
    <row r="2392" spans="2:9" x14ac:dyDescent="0.3">
      <c r="B2392" t="str">
        <f>IFERROR(IF(A2392="","",VLOOKUP(A2392,CadProd!$A:$B,2,0)),"")</f>
        <v/>
      </c>
      <c r="C2392" t="str">
        <f>IFERROR(IF(A2392="","",VLOOKUP(A2392,CadProd!$A:$C,3,0)),"")</f>
        <v/>
      </c>
      <c r="I2392" s="1" t="str">
        <f>IFERROR(IF(A2392="","",E2392*#REF!),"")</f>
        <v/>
      </c>
    </row>
    <row r="2393" spans="2:9" x14ac:dyDescent="0.3">
      <c r="B2393" t="str">
        <f>IFERROR(IF(A2393="","",VLOOKUP(A2393,CadProd!$A:$B,2,0)),"")</f>
        <v/>
      </c>
      <c r="C2393" t="str">
        <f>IFERROR(IF(A2393="","",VLOOKUP(A2393,CadProd!$A:$C,3,0)),"")</f>
        <v/>
      </c>
      <c r="I2393" s="1" t="str">
        <f>IFERROR(IF(A2393="","",E2393*#REF!),"")</f>
        <v/>
      </c>
    </row>
    <row r="2394" spans="2:9" x14ac:dyDescent="0.3">
      <c r="B2394" t="str">
        <f>IFERROR(IF(A2394="","",VLOOKUP(A2394,CadProd!$A:$B,2,0)),"")</f>
        <v/>
      </c>
      <c r="C2394" t="str">
        <f>IFERROR(IF(A2394="","",VLOOKUP(A2394,CadProd!$A:$C,3,0)),"")</f>
        <v/>
      </c>
      <c r="I2394" s="1" t="str">
        <f>IFERROR(IF(A2394="","",E2394*#REF!),"")</f>
        <v/>
      </c>
    </row>
    <row r="2395" spans="2:9" x14ac:dyDescent="0.3">
      <c r="B2395" t="str">
        <f>IFERROR(IF(A2395="","",VLOOKUP(A2395,CadProd!$A:$B,2,0)),"")</f>
        <v/>
      </c>
      <c r="C2395" t="str">
        <f>IFERROR(IF(A2395="","",VLOOKUP(A2395,CadProd!$A:$C,3,0)),"")</f>
        <v/>
      </c>
      <c r="I2395" s="1" t="str">
        <f>IFERROR(IF(A2395="","",E2395*#REF!),"")</f>
        <v/>
      </c>
    </row>
    <row r="2396" spans="2:9" x14ac:dyDescent="0.3">
      <c r="B2396" t="str">
        <f>IFERROR(IF(A2396="","",VLOOKUP(A2396,CadProd!$A:$B,2,0)),"")</f>
        <v/>
      </c>
      <c r="C2396" t="str">
        <f>IFERROR(IF(A2396="","",VLOOKUP(A2396,CadProd!$A:$C,3,0)),"")</f>
        <v/>
      </c>
      <c r="I2396" s="1" t="str">
        <f>IFERROR(IF(A2396="","",E2396*#REF!),"")</f>
        <v/>
      </c>
    </row>
    <row r="2397" spans="2:9" x14ac:dyDescent="0.3">
      <c r="B2397" t="str">
        <f>IFERROR(IF(A2397="","",VLOOKUP(A2397,CadProd!$A:$B,2,0)),"")</f>
        <v/>
      </c>
      <c r="C2397" t="str">
        <f>IFERROR(IF(A2397="","",VLOOKUP(A2397,CadProd!$A:$C,3,0)),"")</f>
        <v/>
      </c>
      <c r="I2397" s="1" t="str">
        <f>IFERROR(IF(A2397="","",E2397*#REF!),"")</f>
        <v/>
      </c>
    </row>
    <row r="2398" spans="2:9" x14ac:dyDescent="0.3">
      <c r="B2398" t="str">
        <f>IFERROR(IF(A2398="","",VLOOKUP(A2398,CadProd!$A:$B,2,0)),"")</f>
        <v/>
      </c>
      <c r="C2398" t="str">
        <f>IFERROR(IF(A2398="","",VLOOKUP(A2398,CadProd!$A:$C,3,0)),"")</f>
        <v/>
      </c>
      <c r="I2398" s="1" t="str">
        <f>IFERROR(IF(A2398="","",E2398*#REF!),"")</f>
        <v/>
      </c>
    </row>
    <row r="2399" spans="2:9" x14ac:dyDescent="0.3">
      <c r="B2399" t="str">
        <f>IFERROR(IF(A2399="","",VLOOKUP(A2399,CadProd!$A:$B,2,0)),"")</f>
        <v/>
      </c>
      <c r="C2399" t="str">
        <f>IFERROR(IF(A2399="","",VLOOKUP(A2399,CadProd!$A:$C,3,0)),"")</f>
        <v/>
      </c>
      <c r="I2399" s="1" t="str">
        <f>IFERROR(IF(A2399="","",E2399*#REF!),"")</f>
        <v/>
      </c>
    </row>
    <row r="2400" spans="2:9" x14ac:dyDescent="0.3">
      <c r="B2400" t="str">
        <f>IFERROR(IF(A2400="","",VLOOKUP(A2400,CadProd!$A:$B,2,0)),"")</f>
        <v/>
      </c>
      <c r="C2400" t="str">
        <f>IFERROR(IF(A2400="","",VLOOKUP(A2400,CadProd!$A:$C,3,0)),"")</f>
        <v/>
      </c>
      <c r="I2400" s="1" t="str">
        <f>IFERROR(IF(A2400="","",E2400*#REF!),"")</f>
        <v/>
      </c>
    </row>
    <row r="2401" spans="2:9" x14ac:dyDescent="0.3">
      <c r="B2401" t="str">
        <f>IFERROR(IF(A2401="","",VLOOKUP(A2401,CadProd!$A:$B,2,0)),"")</f>
        <v/>
      </c>
      <c r="C2401" t="str">
        <f>IFERROR(IF(A2401="","",VLOOKUP(A2401,CadProd!$A:$C,3,0)),"")</f>
        <v/>
      </c>
      <c r="I2401" s="1" t="str">
        <f>IFERROR(IF(A2401="","",E2401*#REF!),"")</f>
        <v/>
      </c>
    </row>
    <row r="2402" spans="2:9" x14ac:dyDescent="0.3">
      <c r="B2402" t="str">
        <f>IFERROR(IF(A2402="","",VLOOKUP(A2402,CadProd!$A:$B,2,0)),"")</f>
        <v/>
      </c>
      <c r="C2402" t="str">
        <f>IFERROR(IF(A2402="","",VLOOKUP(A2402,CadProd!$A:$C,3,0)),"")</f>
        <v/>
      </c>
      <c r="I2402" s="1" t="str">
        <f>IFERROR(IF(A2402="","",E2402*#REF!),"")</f>
        <v/>
      </c>
    </row>
    <row r="2403" spans="2:9" x14ac:dyDescent="0.3">
      <c r="B2403" t="str">
        <f>IFERROR(IF(A2403="","",VLOOKUP(A2403,CadProd!$A:$B,2,0)),"")</f>
        <v/>
      </c>
      <c r="C2403" t="str">
        <f>IFERROR(IF(A2403="","",VLOOKUP(A2403,CadProd!$A:$C,3,0)),"")</f>
        <v/>
      </c>
      <c r="I2403" s="1" t="str">
        <f>IFERROR(IF(A2403="","",E2403*#REF!),"")</f>
        <v/>
      </c>
    </row>
    <row r="2404" spans="2:9" x14ac:dyDescent="0.3">
      <c r="B2404" t="str">
        <f>IFERROR(IF(A2404="","",VLOOKUP(A2404,CadProd!$A:$B,2,0)),"")</f>
        <v/>
      </c>
      <c r="C2404" t="str">
        <f>IFERROR(IF(A2404="","",VLOOKUP(A2404,CadProd!$A:$C,3,0)),"")</f>
        <v/>
      </c>
      <c r="I2404" s="1" t="str">
        <f>IFERROR(IF(A2404="","",E2404*#REF!),"")</f>
        <v/>
      </c>
    </row>
    <row r="2405" spans="2:9" x14ac:dyDescent="0.3">
      <c r="B2405" t="str">
        <f>IFERROR(IF(A2405="","",VLOOKUP(A2405,CadProd!$A:$B,2,0)),"")</f>
        <v/>
      </c>
      <c r="C2405" t="str">
        <f>IFERROR(IF(A2405="","",VLOOKUP(A2405,CadProd!$A:$C,3,0)),"")</f>
        <v/>
      </c>
      <c r="I2405" s="1" t="str">
        <f>IFERROR(IF(A2405="","",E2405*#REF!),"")</f>
        <v/>
      </c>
    </row>
    <row r="2406" spans="2:9" x14ac:dyDescent="0.3">
      <c r="B2406" t="str">
        <f>IFERROR(IF(A2406="","",VLOOKUP(A2406,CadProd!$A:$B,2,0)),"")</f>
        <v/>
      </c>
      <c r="C2406" t="str">
        <f>IFERROR(IF(A2406="","",VLOOKUP(A2406,CadProd!$A:$C,3,0)),"")</f>
        <v/>
      </c>
      <c r="I2406" s="1" t="str">
        <f>IFERROR(IF(A2406="","",E2406*#REF!),"")</f>
        <v/>
      </c>
    </row>
    <row r="2407" spans="2:9" x14ac:dyDescent="0.3">
      <c r="B2407" t="str">
        <f>IFERROR(IF(A2407="","",VLOOKUP(A2407,CadProd!$A:$B,2,0)),"")</f>
        <v/>
      </c>
      <c r="C2407" t="str">
        <f>IFERROR(IF(A2407="","",VLOOKUP(A2407,CadProd!$A:$C,3,0)),"")</f>
        <v/>
      </c>
      <c r="I2407" s="1" t="str">
        <f>IFERROR(IF(A2407="","",E2407*#REF!),"")</f>
        <v/>
      </c>
    </row>
    <row r="2408" spans="2:9" x14ac:dyDescent="0.3">
      <c r="B2408" t="str">
        <f>IFERROR(IF(A2408="","",VLOOKUP(A2408,CadProd!$A:$B,2,0)),"")</f>
        <v/>
      </c>
      <c r="C2408" t="str">
        <f>IFERROR(IF(A2408="","",VLOOKUP(A2408,CadProd!$A:$C,3,0)),"")</f>
        <v/>
      </c>
      <c r="I2408" s="1" t="str">
        <f>IFERROR(IF(A2408="","",E2408*#REF!),"")</f>
        <v/>
      </c>
    </row>
    <row r="2409" spans="2:9" x14ac:dyDescent="0.3">
      <c r="B2409" t="str">
        <f>IFERROR(IF(A2409="","",VLOOKUP(A2409,CadProd!$A:$B,2,0)),"")</f>
        <v/>
      </c>
      <c r="C2409" t="str">
        <f>IFERROR(IF(A2409="","",VLOOKUP(A2409,CadProd!$A:$C,3,0)),"")</f>
        <v/>
      </c>
      <c r="I2409" s="1" t="str">
        <f>IFERROR(IF(A2409="","",E2409*#REF!),"")</f>
        <v/>
      </c>
    </row>
    <row r="2410" spans="2:9" x14ac:dyDescent="0.3">
      <c r="B2410" t="str">
        <f>IFERROR(IF(A2410="","",VLOOKUP(A2410,CadProd!$A:$B,2,0)),"")</f>
        <v/>
      </c>
      <c r="C2410" t="str">
        <f>IFERROR(IF(A2410="","",VLOOKUP(A2410,CadProd!$A:$C,3,0)),"")</f>
        <v/>
      </c>
      <c r="I2410" s="1" t="str">
        <f>IFERROR(IF(A2410="","",E2410*#REF!),"")</f>
        <v/>
      </c>
    </row>
    <row r="2411" spans="2:9" x14ac:dyDescent="0.3">
      <c r="B2411" t="str">
        <f>IFERROR(IF(A2411="","",VLOOKUP(A2411,CadProd!$A:$B,2,0)),"")</f>
        <v/>
      </c>
      <c r="C2411" t="str">
        <f>IFERROR(IF(A2411="","",VLOOKUP(A2411,CadProd!$A:$C,3,0)),"")</f>
        <v/>
      </c>
      <c r="I2411" s="1" t="str">
        <f>IFERROR(IF(A2411="","",E2411*#REF!),"")</f>
        <v/>
      </c>
    </row>
    <row r="2412" spans="2:9" x14ac:dyDescent="0.3">
      <c r="B2412" t="str">
        <f>IFERROR(IF(A2412="","",VLOOKUP(A2412,CadProd!$A:$B,2,0)),"")</f>
        <v/>
      </c>
      <c r="C2412" t="str">
        <f>IFERROR(IF(A2412="","",VLOOKUP(A2412,CadProd!$A:$C,3,0)),"")</f>
        <v/>
      </c>
      <c r="I2412" s="1" t="str">
        <f>IFERROR(IF(A2412="","",E2412*#REF!),"")</f>
        <v/>
      </c>
    </row>
    <row r="2413" spans="2:9" x14ac:dyDescent="0.3">
      <c r="B2413" t="str">
        <f>IFERROR(IF(A2413="","",VLOOKUP(A2413,CadProd!$A:$B,2,0)),"")</f>
        <v/>
      </c>
      <c r="C2413" t="str">
        <f>IFERROR(IF(A2413="","",VLOOKUP(A2413,CadProd!$A:$C,3,0)),"")</f>
        <v/>
      </c>
      <c r="I2413" s="1" t="str">
        <f>IFERROR(IF(A2413="","",E2413*#REF!),"")</f>
        <v/>
      </c>
    </row>
    <row r="2414" spans="2:9" x14ac:dyDescent="0.3">
      <c r="B2414" t="str">
        <f>IFERROR(IF(A2414="","",VLOOKUP(A2414,CadProd!$A:$B,2,0)),"")</f>
        <v/>
      </c>
      <c r="C2414" t="str">
        <f>IFERROR(IF(A2414="","",VLOOKUP(A2414,CadProd!$A:$C,3,0)),"")</f>
        <v/>
      </c>
      <c r="I2414" s="1" t="str">
        <f>IFERROR(IF(A2414="","",E2414*#REF!),"")</f>
        <v/>
      </c>
    </row>
    <row r="2415" spans="2:9" x14ac:dyDescent="0.3">
      <c r="B2415" t="str">
        <f>IFERROR(IF(A2415="","",VLOOKUP(A2415,CadProd!$A:$B,2,0)),"")</f>
        <v/>
      </c>
      <c r="C2415" t="str">
        <f>IFERROR(IF(A2415="","",VLOOKUP(A2415,CadProd!$A:$C,3,0)),"")</f>
        <v/>
      </c>
      <c r="I2415" s="1" t="str">
        <f>IFERROR(IF(A2415="","",E2415*#REF!),"")</f>
        <v/>
      </c>
    </row>
    <row r="2416" spans="2:9" x14ac:dyDescent="0.3">
      <c r="B2416" t="str">
        <f>IFERROR(IF(A2416="","",VLOOKUP(A2416,CadProd!$A:$B,2,0)),"")</f>
        <v/>
      </c>
      <c r="C2416" t="str">
        <f>IFERROR(IF(A2416="","",VLOOKUP(A2416,CadProd!$A:$C,3,0)),"")</f>
        <v/>
      </c>
      <c r="I2416" s="1" t="str">
        <f>IFERROR(IF(A2416="","",E2416*#REF!),"")</f>
        <v/>
      </c>
    </row>
    <row r="2417" spans="2:9" x14ac:dyDescent="0.3">
      <c r="B2417" t="str">
        <f>IFERROR(IF(A2417="","",VLOOKUP(A2417,CadProd!$A:$B,2,0)),"")</f>
        <v/>
      </c>
      <c r="C2417" t="str">
        <f>IFERROR(IF(A2417="","",VLOOKUP(A2417,CadProd!$A:$C,3,0)),"")</f>
        <v/>
      </c>
      <c r="I2417" s="1" t="str">
        <f>IFERROR(IF(A2417="","",E2417*#REF!),"")</f>
        <v/>
      </c>
    </row>
    <row r="2418" spans="2:9" x14ac:dyDescent="0.3">
      <c r="B2418" t="str">
        <f>IFERROR(IF(A2418="","",VLOOKUP(A2418,CadProd!$A:$B,2,0)),"")</f>
        <v/>
      </c>
      <c r="C2418" t="str">
        <f>IFERROR(IF(A2418="","",VLOOKUP(A2418,CadProd!$A:$C,3,0)),"")</f>
        <v/>
      </c>
      <c r="I2418" s="1" t="str">
        <f>IFERROR(IF(A2418="","",E2418*#REF!),"")</f>
        <v/>
      </c>
    </row>
    <row r="2419" spans="2:9" x14ac:dyDescent="0.3">
      <c r="B2419" t="str">
        <f>IFERROR(IF(A2419="","",VLOOKUP(A2419,CadProd!$A:$B,2,0)),"")</f>
        <v/>
      </c>
      <c r="C2419" t="str">
        <f>IFERROR(IF(A2419="","",VLOOKUP(A2419,CadProd!$A:$C,3,0)),"")</f>
        <v/>
      </c>
      <c r="I2419" s="1" t="str">
        <f>IFERROR(IF(A2419="","",E2419*#REF!),"")</f>
        <v/>
      </c>
    </row>
    <row r="2420" spans="2:9" x14ac:dyDescent="0.3">
      <c r="B2420" t="str">
        <f>IFERROR(IF(A2420="","",VLOOKUP(A2420,CadProd!$A:$B,2,0)),"")</f>
        <v/>
      </c>
      <c r="C2420" t="str">
        <f>IFERROR(IF(A2420="","",VLOOKUP(A2420,CadProd!$A:$C,3,0)),"")</f>
        <v/>
      </c>
      <c r="I2420" s="1" t="str">
        <f>IFERROR(IF(A2420="","",E2420*#REF!),"")</f>
        <v/>
      </c>
    </row>
    <row r="2421" spans="2:9" x14ac:dyDescent="0.3">
      <c r="B2421" t="str">
        <f>IFERROR(IF(A2421="","",VLOOKUP(A2421,CadProd!$A:$B,2,0)),"")</f>
        <v/>
      </c>
      <c r="C2421" t="str">
        <f>IFERROR(IF(A2421="","",VLOOKUP(A2421,CadProd!$A:$C,3,0)),"")</f>
        <v/>
      </c>
      <c r="I2421" s="1" t="str">
        <f>IFERROR(IF(A2421="","",E2421*#REF!),"")</f>
        <v/>
      </c>
    </row>
    <row r="2422" spans="2:9" x14ac:dyDescent="0.3">
      <c r="B2422" t="str">
        <f>IFERROR(IF(A2422="","",VLOOKUP(A2422,CadProd!$A:$B,2,0)),"")</f>
        <v/>
      </c>
      <c r="C2422" t="str">
        <f>IFERROR(IF(A2422="","",VLOOKUP(A2422,CadProd!$A:$C,3,0)),"")</f>
        <v/>
      </c>
      <c r="I2422" s="1" t="str">
        <f>IFERROR(IF(A2422="","",E2422*#REF!),"")</f>
        <v/>
      </c>
    </row>
    <row r="2423" spans="2:9" x14ac:dyDescent="0.3">
      <c r="B2423" t="str">
        <f>IFERROR(IF(A2423="","",VLOOKUP(A2423,CadProd!$A:$B,2,0)),"")</f>
        <v/>
      </c>
      <c r="C2423" t="str">
        <f>IFERROR(IF(A2423="","",VLOOKUP(A2423,CadProd!$A:$C,3,0)),"")</f>
        <v/>
      </c>
      <c r="I2423" s="1" t="str">
        <f>IFERROR(IF(A2423="","",E2423*#REF!),"")</f>
        <v/>
      </c>
    </row>
    <row r="2424" spans="2:9" x14ac:dyDescent="0.3">
      <c r="B2424" t="str">
        <f>IFERROR(IF(A2424="","",VLOOKUP(A2424,CadProd!$A:$B,2,0)),"")</f>
        <v/>
      </c>
      <c r="C2424" t="str">
        <f>IFERROR(IF(A2424="","",VLOOKUP(A2424,CadProd!$A:$C,3,0)),"")</f>
        <v/>
      </c>
      <c r="I2424" s="1" t="str">
        <f>IFERROR(IF(A2424="","",E2424*#REF!),"")</f>
        <v/>
      </c>
    </row>
    <row r="2425" spans="2:9" x14ac:dyDescent="0.3">
      <c r="B2425" t="str">
        <f>IFERROR(IF(A2425="","",VLOOKUP(A2425,CadProd!$A:$B,2,0)),"")</f>
        <v/>
      </c>
      <c r="C2425" t="str">
        <f>IFERROR(IF(A2425="","",VLOOKUP(A2425,CadProd!$A:$C,3,0)),"")</f>
        <v/>
      </c>
      <c r="I2425" s="1" t="str">
        <f>IFERROR(IF(A2425="","",E2425*#REF!),"")</f>
        <v/>
      </c>
    </row>
    <row r="2426" spans="2:9" x14ac:dyDescent="0.3">
      <c r="B2426" t="str">
        <f>IFERROR(IF(A2426="","",VLOOKUP(A2426,CadProd!$A:$B,2,0)),"")</f>
        <v/>
      </c>
      <c r="C2426" t="str">
        <f>IFERROR(IF(A2426="","",VLOOKUP(A2426,CadProd!$A:$C,3,0)),"")</f>
        <v/>
      </c>
      <c r="I2426" s="1" t="str">
        <f>IFERROR(IF(A2426="","",E2426*#REF!),"")</f>
        <v/>
      </c>
    </row>
    <row r="2427" spans="2:9" x14ac:dyDescent="0.3">
      <c r="B2427" t="str">
        <f>IFERROR(IF(A2427="","",VLOOKUP(A2427,CadProd!$A:$B,2,0)),"")</f>
        <v/>
      </c>
      <c r="C2427" t="str">
        <f>IFERROR(IF(A2427="","",VLOOKUP(A2427,CadProd!$A:$C,3,0)),"")</f>
        <v/>
      </c>
      <c r="I2427" s="1" t="str">
        <f>IFERROR(IF(A2427="","",E2427*#REF!),"")</f>
        <v/>
      </c>
    </row>
    <row r="2428" spans="2:9" x14ac:dyDescent="0.3">
      <c r="B2428" t="str">
        <f>IFERROR(IF(A2428="","",VLOOKUP(A2428,CadProd!$A:$B,2,0)),"")</f>
        <v/>
      </c>
      <c r="C2428" t="str">
        <f>IFERROR(IF(A2428="","",VLOOKUP(A2428,CadProd!$A:$C,3,0)),"")</f>
        <v/>
      </c>
      <c r="I2428" s="1" t="str">
        <f>IFERROR(IF(A2428="","",E2428*#REF!),"")</f>
        <v/>
      </c>
    </row>
    <row r="2429" spans="2:9" x14ac:dyDescent="0.3">
      <c r="B2429" t="str">
        <f>IFERROR(IF(A2429="","",VLOOKUP(A2429,CadProd!$A:$B,2,0)),"")</f>
        <v/>
      </c>
      <c r="C2429" t="str">
        <f>IFERROR(IF(A2429="","",VLOOKUP(A2429,CadProd!$A:$C,3,0)),"")</f>
        <v/>
      </c>
      <c r="I2429" s="1" t="str">
        <f>IFERROR(IF(A2429="","",E2429*#REF!),"")</f>
        <v/>
      </c>
    </row>
    <row r="2430" spans="2:9" x14ac:dyDescent="0.3">
      <c r="B2430" t="str">
        <f>IFERROR(IF(A2430="","",VLOOKUP(A2430,CadProd!$A:$B,2,0)),"")</f>
        <v/>
      </c>
      <c r="C2430" t="str">
        <f>IFERROR(IF(A2430="","",VLOOKUP(A2430,CadProd!$A:$C,3,0)),"")</f>
        <v/>
      </c>
      <c r="I2430" s="1" t="str">
        <f>IFERROR(IF(A2430="","",E2430*#REF!),"")</f>
        <v/>
      </c>
    </row>
    <row r="2431" spans="2:9" x14ac:dyDescent="0.3">
      <c r="B2431" t="str">
        <f>IFERROR(IF(A2431="","",VLOOKUP(A2431,CadProd!$A:$B,2,0)),"")</f>
        <v/>
      </c>
      <c r="C2431" t="str">
        <f>IFERROR(IF(A2431="","",VLOOKUP(A2431,CadProd!$A:$C,3,0)),"")</f>
        <v/>
      </c>
      <c r="I2431" s="1" t="str">
        <f>IFERROR(IF(A2431="","",E2431*#REF!),"")</f>
        <v/>
      </c>
    </row>
    <row r="2432" spans="2:9" x14ac:dyDescent="0.3">
      <c r="B2432" t="str">
        <f>IFERROR(IF(A2432="","",VLOOKUP(A2432,CadProd!$A:$B,2,0)),"")</f>
        <v/>
      </c>
      <c r="C2432" t="str">
        <f>IFERROR(IF(A2432="","",VLOOKUP(A2432,CadProd!$A:$C,3,0)),"")</f>
        <v/>
      </c>
      <c r="I2432" s="1" t="str">
        <f>IFERROR(IF(A2432="","",E2432*#REF!),"")</f>
        <v/>
      </c>
    </row>
    <row r="2433" spans="2:9" x14ac:dyDescent="0.3">
      <c r="B2433" t="str">
        <f>IFERROR(IF(A2433="","",VLOOKUP(A2433,CadProd!$A:$B,2,0)),"")</f>
        <v/>
      </c>
      <c r="C2433" t="str">
        <f>IFERROR(IF(A2433="","",VLOOKUP(A2433,CadProd!$A:$C,3,0)),"")</f>
        <v/>
      </c>
      <c r="I2433" s="1" t="str">
        <f>IFERROR(IF(A2433="","",E2433*#REF!),"")</f>
        <v/>
      </c>
    </row>
    <row r="2434" spans="2:9" x14ac:dyDescent="0.3">
      <c r="B2434" t="str">
        <f>IFERROR(IF(A2434="","",VLOOKUP(A2434,CadProd!$A:$B,2,0)),"")</f>
        <v/>
      </c>
      <c r="C2434" t="str">
        <f>IFERROR(IF(A2434="","",VLOOKUP(A2434,CadProd!$A:$C,3,0)),"")</f>
        <v/>
      </c>
      <c r="I2434" s="1" t="str">
        <f>IFERROR(IF(A2434="","",E2434*#REF!),"")</f>
        <v/>
      </c>
    </row>
    <row r="2435" spans="2:9" x14ac:dyDescent="0.3">
      <c r="B2435" t="str">
        <f>IFERROR(IF(A2435="","",VLOOKUP(A2435,CadProd!$A:$B,2,0)),"")</f>
        <v/>
      </c>
      <c r="C2435" t="str">
        <f>IFERROR(IF(A2435="","",VLOOKUP(A2435,CadProd!$A:$C,3,0)),"")</f>
        <v/>
      </c>
      <c r="I2435" s="1" t="str">
        <f>IFERROR(IF(A2435="","",E2435*#REF!),"")</f>
        <v/>
      </c>
    </row>
    <row r="2436" spans="2:9" x14ac:dyDescent="0.3">
      <c r="B2436" t="str">
        <f>IFERROR(IF(A2436="","",VLOOKUP(A2436,CadProd!$A:$B,2,0)),"")</f>
        <v/>
      </c>
      <c r="C2436" t="str">
        <f>IFERROR(IF(A2436="","",VLOOKUP(A2436,CadProd!$A:$C,3,0)),"")</f>
        <v/>
      </c>
      <c r="I2436" s="1" t="str">
        <f>IFERROR(IF(A2436="","",E2436*#REF!),"")</f>
        <v/>
      </c>
    </row>
    <row r="2437" spans="2:9" x14ac:dyDescent="0.3">
      <c r="B2437" t="str">
        <f>IFERROR(IF(A2437="","",VLOOKUP(A2437,CadProd!$A:$B,2,0)),"")</f>
        <v/>
      </c>
      <c r="C2437" t="str">
        <f>IFERROR(IF(A2437="","",VLOOKUP(A2437,CadProd!$A:$C,3,0)),"")</f>
        <v/>
      </c>
      <c r="I2437" s="1" t="str">
        <f>IFERROR(IF(A2437="","",E2437*#REF!),"")</f>
        <v/>
      </c>
    </row>
    <row r="2438" spans="2:9" x14ac:dyDescent="0.3">
      <c r="B2438" t="str">
        <f>IFERROR(IF(A2438="","",VLOOKUP(A2438,CadProd!$A:$B,2,0)),"")</f>
        <v/>
      </c>
      <c r="C2438" t="str">
        <f>IFERROR(IF(A2438="","",VLOOKUP(A2438,CadProd!$A:$C,3,0)),"")</f>
        <v/>
      </c>
      <c r="I2438" s="1" t="str">
        <f>IFERROR(IF(A2438="","",E2438*#REF!),"")</f>
        <v/>
      </c>
    </row>
    <row r="2439" spans="2:9" x14ac:dyDescent="0.3">
      <c r="B2439" t="str">
        <f>IFERROR(IF(A2439="","",VLOOKUP(A2439,CadProd!$A:$B,2,0)),"")</f>
        <v/>
      </c>
      <c r="C2439" t="str">
        <f>IFERROR(IF(A2439="","",VLOOKUP(A2439,CadProd!$A:$C,3,0)),"")</f>
        <v/>
      </c>
      <c r="I2439" s="1" t="str">
        <f>IFERROR(IF(A2439="","",E2439*#REF!),"")</f>
        <v/>
      </c>
    </row>
    <row r="2440" spans="2:9" x14ac:dyDescent="0.3">
      <c r="B2440" t="str">
        <f>IFERROR(IF(A2440="","",VLOOKUP(A2440,CadProd!$A:$B,2,0)),"")</f>
        <v/>
      </c>
      <c r="C2440" t="str">
        <f>IFERROR(IF(A2440="","",VLOOKUP(A2440,CadProd!$A:$C,3,0)),"")</f>
        <v/>
      </c>
      <c r="I2440" s="1" t="str">
        <f>IFERROR(IF(A2440="","",E2440*#REF!),"")</f>
        <v/>
      </c>
    </row>
    <row r="2441" spans="2:9" x14ac:dyDescent="0.3">
      <c r="B2441" t="str">
        <f>IFERROR(IF(A2441="","",VLOOKUP(A2441,CadProd!$A:$B,2,0)),"")</f>
        <v/>
      </c>
      <c r="C2441" t="str">
        <f>IFERROR(IF(A2441="","",VLOOKUP(A2441,CadProd!$A:$C,3,0)),"")</f>
        <v/>
      </c>
      <c r="I2441" s="1" t="str">
        <f>IFERROR(IF(A2441="","",E2441*#REF!),"")</f>
        <v/>
      </c>
    </row>
    <row r="2442" spans="2:9" x14ac:dyDescent="0.3">
      <c r="B2442" t="str">
        <f>IFERROR(IF(A2442="","",VLOOKUP(A2442,CadProd!$A:$B,2,0)),"")</f>
        <v/>
      </c>
      <c r="C2442" t="str">
        <f>IFERROR(IF(A2442="","",VLOOKUP(A2442,CadProd!$A:$C,3,0)),"")</f>
        <v/>
      </c>
      <c r="I2442" s="1" t="str">
        <f>IFERROR(IF(A2442="","",E2442*#REF!),"")</f>
        <v/>
      </c>
    </row>
    <row r="2443" spans="2:9" x14ac:dyDescent="0.3">
      <c r="B2443" t="str">
        <f>IFERROR(IF(A2443="","",VLOOKUP(A2443,CadProd!$A:$B,2,0)),"")</f>
        <v/>
      </c>
      <c r="C2443" t="str">
        <f>IFERROR(IF(A2443="","",VLOOKUP(A2443,CadProd!$A:$C,3,0)),"")</f>
        <v/>
      </c>
      <c r="I2443" s="1" t="str">
        <f>IFERROR(IF(A2443="","",E2443*#REF!),"")</f>
        <v/>
      </c>
    </row>
    <row r="2444" spans="2:9" x14ac:dyDescent="0.3">
      <c r="B2444" t="str">
        <f>IFERROR(IF(A2444="","",VLOOKUP(A2444,CadProd!$A:$B,2,0)),"")</f>
        <v/>
      </c>
      <c r="C2444" t="str">
        <f>IFERROR(IF(A2444="","",VLOOKUP(A2444,CadProd!$A:$C,3,0)),"")</f>
        <v/>
      </c>
      <c r="I2444" s="1" t="str">
        <f>IFERROR(IF(A2444="","",E2444*#REF!),"")</f>
        <v/>
      </c>
    </row>
    <row r="2445" spans="2:9" x14ac:dyDescent="0.3">
      <c r="B2445" t="str">
        <f>IFERROR(IF(A2445="","",VLOOKUP(A2445,CadProd!$A:$B,2,0)),"")</f>
        <v/>
      </c>
      <c r="C2445" t="str">
        <f>IFERROR(IF(A2445="","",VLOOKUP(A2445,CadProd!$A:$C,3,0)),"")</f>
        <v/>
      </c>
      <c r="I2445" s="1" t="str">
        <f>IFERROR(IF(A2445="","",E2445*#REF!),"")</f>
        <v/>
      </c>
    </row>
    <row r="2446" spans="2:9" x14ac:dyDescent="0.3">
      <c r="B2446" t="str">
        <f>IFERROR(IF(A2446="","",VLOOKUP(A2446,CadProd!$A:$B,2,0)),"")</f>
        <v/>
      </c>
      <c r="C2446" t="str">
        <f>IFERROR(IF(A2446="","",VLOOKUP(A2446,CadProd!$A:$C,3,0)),"")</f>
        <v/>
      </c>
      <c r="I2446" s="1" t="str">
        <f>IFERROR(IF(A2446="","",E2446*#REF!),"")</f>
        <v/>
      </c>
    </row>
    <row r="2447" spans="2:9" x14ac:dyDescent="0.3">
      <c r="B2447" t="str">
        <f>IFERROR(IF(A2447="","",VLOOKUP(A2447,CadProd!$A:$B,2,0)),"")</f>
        <v/>
      </c>
      <c r="C2447" t="str">
        <f>IFERROR(IF(A2447="","",VLOOKUP(A2447,CadProd!$A:$C,3,0)),"")</f>
        <v/>
      </c>
      <c r="I2447" s="1" t="str">
        <f>IFERROR(IF(A2447="","",E2447*#REF!),"")</f>
        <v/>
      </c>
    </row>
    <row r="2448" spans="2:9" x14ac:dyDescent="0.3">
      <c r="B2448" t="str">
        <f>IFERROR(IF(A2448="","",VLOOKUP(A2448,CadProd!$A:$B,2,0)),"")</f>
        <v/>
      </c>
      <c r="C2448" t="str">
        <f>IFERROR(IF(A2448="","",VLOOKUP(A2448,CadProd!$A:$C,3,0)),"")</f>
        <v/>
      </c>
      <c r="I2448" s="1" t="str">
        <f>IFERROR(IF(A2448="","",E2448*#REF!),"")</f>
        <v/>
      </c>
    </row>
    <row r="2449" spans="2:9" x14ac:dyDescent="0.3">
      <c r="B2449" t="str">
        <f>IFERROR(IF(A2449="","",VLOOKUP(A2449,CadProd!$A:$B,2,0)),"")</f>
        <v/>
      </c>
      <c r="C2449" t="str">
        <f>IFERROR(IF(A2449="","",VLOOKUP(A2449,CadProd!$A:$C,3,0)),"")</f>
        <v/>
      </c>
      <c r="I2449" s="1" t="str">
        <f>IFERROR(IF(A2449="","",E2449*#REF!),"")</f>
        <v/>
      </c>
    </row>
    <row r="2450" spans="2:9" x14ac:dyDescent="0.3">
      <c r="B2450" t="str">
        <f>IFERROR(IF(A2450="","",VLOOKUP(A2450,CadProd!$A:$B,2,0)),"")</f>
        <v/>
      </c>
      <c r="C2450" t="str">
        <f>IFERROR(IF(A2450="","",VLOOKUP(A2450,CadProd!$A:$C,3,0)),"")</f>
        <v/>
      </c>
      <c r="I2450" s="1" t="str">
        <f>IFERROR(IF(A2450="","",E2450*#REF!),"")</f>
        <v/>
      </c>
    </row>
    <row r="2451" spans="2:9" x14ac:dyDescent="0.3">
      <c r="B2451" t="str">
        <f>IFERROR(IF(A2451="","",VLOOKUP(A2451,CadProd!$A:$B,2,0)),"")</f>
        <v/>
      </c>
      <c r="C2451" t="str">
        <f>IFERROR(IF(A2451="","",VLOOKUP(A2451,CadProd!$A:$C,3,0)),"")</f>
        <v/>
      </c>
      <c r="I2451" s="1" t="str">
        <f>IFERROR(IF(A2451="","",E2451*#REF!),"")</f>
        <v/>
      </c>
    </row>
    <row r="2452" spans="2:9" x14ac:dyDescent="0.3">
      <c r="B2452" t="str">
        <f>IFERROR(IF(A2452="","",VLOOKUP(A2452,CadProd!$A:$B,2,0)),"")</f>
        <v/>
      </c>
      <c r="C2452" t="str">
        <f>IFERROR(IF(A2452="","",VLOOKUP(A2452,CadProd!$A:$C,3,0)),"")</f>
        <v/>
      </c>
      <c r="I2452" s="1" t="str">
        <f>IFERROR(IF(A2452="","",E2452*#REF!),"")</f>
        <v/>
      </c>
    </row>
    <row r="2453" spans="2:9" x14ac:dyDescent="0.3">
      <c r="B2453" t="str">
        <f>IFERROR(IF(A2453="","",VLOOKUP(A2453,CadProd!$A:$B,2,0)),"")</f>
        <v/>
      </c>
      <c r="C2453" t="str">
        <f>IFERROR(IF(A2453="","",VLOOKUP(A2453,CadProd!$A:$C,3,0)),"")</f>
        <v/>
      </c>
      <c r="I2453" s="1" t="str">
        <f>IFERROR(IF(A2453="","",E2453*#REF!),"")</f>
        <v/>
      </c>
    </row>
    <row r="2454" spans="2:9" x14ac:dyDescent="0.3">
      <c r="B2454" t="str">
        <f>IFERROR(IF(A2454="","",VLOOKUP(A2454,CadProd!$A:$B,2,0)),"")</f>
        <v/>
      </c>
      <c r="C2454" t="str">
        <f>IFERROR(IF(A2454="","",VLOOKUP(A2454,CadProd!$A:$C,3,0)),"")</f>
        <v/>
      </c>
      <c r="I2454" s="1" t="str">
        <f>IFERROR(IF(A2454="","",E2454*#REF!),"")</f>
        <v/>
      </c>
    </row>
    <row r="2455" spans="2:9" x14ac:dyDescent="0.3">
      <c r="B2455" t="str">
        <f>IFERROR(IF(A2455="","",VLOOKUP(A2455,CadProd!$A:$B,2,0)),"")</f>
        <v/>
      </c>
      <c r="C2455" t="str">
        <f>IFERROR(IF(A2455="","",VLOOKUP(A2455,CadProd!$A:$C,3,0)),"")</f>
        <v/>
      </c>
      <c r="I2455" s="1" t="str">
        <f>IFERROR(IF(A2455="","",E2455*#REF!),"")</f>
        <v/>
      </c>
    </row>
    <row r="2456" spans="2:9" x14ac:dyDescent="0.3">
      <c r="B2456" t="str">
        <f>IFERROR(IF(A2456="","",VLOOKUP(A2456,CadProd!$A:$B,2,0)),"")</f>
        <v/>
      </c>
      <c r="C2456" t="str">
        <f>IFERROR(IF(A2456="","",VLOOKUP(A2456,CadProd!$A:$C,3,0)),"")</f>
        <v/>
      </c>
      <c r="I2456" s="1" t="str">
        <f>IFERROR(IF(A2456="","",E2456*#REF!),"")</f>
        <v/>
      </c>
    </row>
    <row r="2457" spans="2:9" x14ac:dyDescent="0.3">
      <c r="B2457" t="str">
        <f>IFERROR(IF(A2457="","",VLOOKUP(A2457,CadProd!$A:$B,2,0)),"")</f>
        <v/>
      </c>
      <c r="C2457" t="str">
        <f>IFERROR(IF(A2457="","",VLOOKUP(A2457,CadProd!$A:$C,3,0)),"")</f>
        <v/>
      </c>
      <c r="I2457" s="1" t="str">
        <f>IFERROR(IF(A2457="","",E2457*#REF!),"")</f>
        <v/>
      </c>
    </row>
    <row r="2458" spans="2:9" x14ac:dyDescent="0.3">
      <c r="B2458" t="str">
        <f>IFERROR(IF(A2458="","",VLOOKUP(A2458,CadProd!$A:$B,2,0)),"")</f>
        <v/>
      </c>
      <c r="C2458" t="str">
        <f>IFERROR(IF(A2458="","",VLOOKUP(A2458,CadProd!$A:$C,3,0)),"")</f>
        <v/>
      </c>
      <c r="I2458" s="1" t="str">
        <f>IFERROR(IF(A2458="","",E2458*#REF!),"")</f>
        <v/>
      </c>
    </row>
    <row r="2459" spans="2:9" x14ac:dyDescent="0.3">
      <c r="B2459" t="str">
        <f>IFERROR(IF(A2459="","",VLOOKUP(A2459,CadProd!$A:$B,2,0)),"")</f>
        <v/>
      </c>
      <c r="C2459" t="str">
        <f>IFERROR(IF(A2459="","",VLOOKUP(A2459,CadProd!$A:$C,3,0)),"")</f>
        <v/>
      </c>
      <c r="I2459" s="1" t="str">
        <f>IFERROR(IF(A2459="","",E2459*#REF!),"")</f>
        <v/>
      </c>
    </row>
    <row r="2460" spans="2:9" x14ac:dyDescent="0.3">
      <c r="B2460" t="str">
        <f>IFERROR(IF(A2460="","",VLOOKUP(A2460,CadProd!$A:$B,2,0)),"")</f>
        <v/>
      </c>
      <c r="C2460" t="str">
        <f>IFERROR(IF(A2460="","",VLOOKUP(A2460,CadProd!$A:$C,3,0)),"")</f>
        <v/>
      </c>
      <c r="I2460" s="1" t="str">
        <f>IFERROR(IF(A2460="","",E2460*#REF!),"")</f>
        <v/>
      </c>
    </row>
    <row r="2461" spans="2:9" x14ac:dyDescent="0.3">
      <c r="B2461" t="str">
        <f>IFERROR(IF(A2461="","",VLOOKUP(A2461,CadProd!$A:$B,2,0)),"")</f>
        <v/>
      </c>
      <c r="C2461" t="str">
        <f>IFERROR(IF(A2461="","",VLOOKUP(A2461,CadProd!$A:$C,3,0)),"")</f>
        <v/>
      </c>
      <c r="I2461" s="1" t="str">
        <f>IFERROR(IF(A2461="","",E2461*#REF!),"")</f>
        <v/>
      </c>
    </row>
    <row r="2462" spans="2:9" x14ac:dyDescent="0.3">
      <c r="B2462" t="str">
        <f>IFERROR(IF(A2462="","",VLOOKUP(A2462,CadProd!$A:$B,2,0)),"")</f>
        <v/>
      </c>
      <c r="C2462" t="str">
        <f>IFERROR(IF(A2462="","",VLOOKUP(A2462,CadProd!$A:$C,3,0)),"")</f>
        <v/>
      </c>
      <c r="I2462" s="1" t="str">
        <f>IFERROR(IF(A2462="","",E2462*#REF!),"")</f>
        <v/>
      </c>
    </row>
    <row r="2463" spans="2:9" x14ac:dyDescent="0.3">
      <c r="B2463" t="str">
        <f>IFERROR(IF(A2463="","",VLOOKUP(A2463,CadProd!$A:$B,2,0)),"")</f>
        <v/>
      </c>
      <c r="C2463" t="str">
        <f>IFERROR(IF(A2463="","",VLOOKUP(A2463,CadProd!$A:$C,3,0)),"")</f>
        <v/>
      </c>
      <c r="I2463" s="1" t="str">
        <f>IFERROR(IF(A2463="","",E2463*#REF!),"")</f>
        <v/>
      </c>
    </row>
    <row r="2464" spans="2:9" x14ac:dyDescent="0.3">
      <c r="B2464" t="str">
        <f>IFERROR(IF(A2464="","",VLOOKUP(A2464,CadProd!$A:$B,2,0)),"")</f>
        <v/>
      </c>
      <c r="C2464" t="str">
        <f>IFERROR(IF(A2464="","",VLOOKUP(A2464,CadProd!$A:$C,3,0)),"")</f>
        <v/>
      </c>
      <c r="I2464" s="1" t="str">
        <f>IFERROR(IF(A2464="","",E2464*#REF!),"")</f>
        <v/>
      </c>
    </row>
    <row r="2465" spans="2:9" x14ac:dyDescent="0.3">
      <c r="B2465" t="str">
        <f>IFERROR(IF(A2465="","",VLOOKUP(A2465,CadProd!$A:$B,2,0)),"")</f>
        <v/>
      </c>
      <c r="C2465" t="str">
        <f>IFERROR(IF(A2465="","",VLOOKUP(A2465,CadProd!$A:$C,3,0)),"")</f>
        <v/>
      </c>
      <c r="I2465" s="1" t="str">
        <f>IFERROR(IF(A2465="","",E2465*#REF!),"")</f>
        <v/>
      </c>
    </row>
    <row r="2466" spans="2:9" x14ac:dyDescent="0.3">
      <c r="B2466" t="str">
        <f>IFERROR(IF(A2466="","",VLOOKUP(A2466,CadProd!$A:$B,2,0)),"")</f>
        <v/>
      </c>
      <c r="C2466" t="str">
        <f>IFERROR(IF(A2466="","",VLOOKUP(A2466,CadProd!$A:$C,3,0)),"")</f>
        <v/>
      </c>
      <c r="I2466" s="1" t="str">
        <f>IFERROR(IF(A2466="","",E2466*#REF!),"")</f>
        <v/>
      </c>
    </row>
    <row r="2467" spans="2:9" x14ac:dyDescent="0.3">
      <c r="B2467" t="str">
        <f>IFERROR(IF(A2467="","",VLOOKUP(A2467,CadProd!$A:$B,2,0)),"")</f>
        <v/>
      </c>
      <c r="C2467" t="str">
        <f>IFERROR(IF(A2467="","",VLOOKUP(A2467,CadProd!$A:$C,3,0)),"")</f>
        <v/>
      </c>
      <c r="I2467" s="1" t="str">
        <f>IFERROR(IF(A2467="","",E2467*#REF!),"")</f>
        <v/>
      </c>
    </row>
    <row r="2468" spans="2:9" x14ac:dyDescent="0.3">
      <c r="B2468" t="str">
        <f>IFERROR(IF(A2468="","",VLOOKUP(A2468,CadProd!$A:$B,2,0)),"")</f>
        <v/>
      </c>
      <c r="C2468" t="str">
        <f>IFERROR(IF(A2468="","",VLOOKUP(A2468,CadProd!$A:$C,3,0)),"")</f>
        <v/>
      </c>
      <c r="I2468" s="1" t="str">
        <f>IFERROR(IF(A2468="","",E2468*#REF!),"")</f>
        <v/>
      </c>
    </row>
    <row r="2469" spans="2:9" x14ac:dyDescent="0.3">
      <c r="B2469" t="str">
        <f>IFERROR(IF(A2469="","",VLOOKUP(A2469,CadProd!$A:$B,2,0)),"")</f>
        <v/>
      </c>
      <c r="C2469" t="str">
        <f>IFERROR(IF(A2469="","",VLOOKUP(A2469,CadProd!$A:$C,3,0)),"")</f>
        <v/>
      </c>
      <c r="I2469" s="1" t="str">
        <f>IFERROR(IF(A2469="","",E2469*#REF!),"")</f>
        <v/>
      </c>
    </row>
    <row r="2470" spans="2:9" x14ac:dyDescent="0.3">
      <c r="B2470" t="str">
        <f>IFERROR(IF(A2470="","",VLOOKUP(A2470,CadProd!$A:$B,2,0)),"")</f>
        <v/>
      </c>
      <c r="C2470" t="str">
        <f>IFERROR(IF(A2470="","",VLOOKUP(A2470,CadProd!$A:$C,3,0)),"")</f>
        <v/>
      </c>
      <c r="I2470" s="1" t="str">
        <f>IFERROR(IF(A2470="","",E2470*#REF!),"")</f>
        <v/>
      </c>
    </row>
    <row r="2471" spans="2:9" x14ac:dyDescent="0.3">
      <c r="B2471" t="str">
        <f>IFERROR(IF(A2471="","",VLOOKUP(A2471,CadProd!$A:$B,2,0)),"")</f>
        <v/>
      </c>
      <c r="C2471" t="str">
        <f>IFERROR(IF(A2471="","",VLOOKUP(A2471,CadProd!$A:$C,3,0)),"")</f>
        <v/>
      </c>
      <c r="I2471" s="1" t="str">
        <f>IFERROR(IF(A2471="","",E2471*#REF!),"")</f>
        <v/>
      </c>
    </row>
    <row r="2472" spans="2:9" x14ac:dyDescent="0.3">
      <c r="B2472" t="str">
        <f>IFERROR(IF(A2472="","",VLOOKUP(A2472,CadProd!$A:$B,2,0)),"")</f>
        <v/>
      </c>
      <c r="C2472" t="str">
        <f>IFERROR(IF(A2472="","",VLOOKUP(A2472,CadProd!$A:$C,3,0)),"")</f>
        <v/>
      </c>
      <c r="I2472" s="1" t="str">
        <f>IFERROR(IF(A2472="","",E2472*#REF!),"")</f>
        <v/>
      </c>
    </row>
    <row r="2473" spans="2:9" x14ac:dyDescent="0.3">
      <c r="B2473" t="str">
        <f>IFERROR(IF(A2473="","",VLOOKUP(A2473,CadProd!$A:$B,2,0)),"")</f>
        <v/>
      </c>
      <c r="C2473" t="str">
        <f>IFERROR(IF(A2473="","",VLOOKUP(A2473,CadProd!$A:$C,3,0)),"")</f>
        <v/>
      </c>
      <c r="I2473" s="1" t="str">
        <f>IFERROR(IF(A2473="","",E2473*#REF!),"")</f>
        <v/>
      </c>
    </row>
    <row r="2474" spans="2:9" x14ac:dyDescent="0.3">
      <c r="B2474" t="str">
        <f>IFERROR(IF(A2474="","",VLOOKUP(A2474,CadProd!$A:$B,2,0)),"")</f>
        <v/>
      </c>
      <c r="C2474" t="str">
        <f>IFERROR(IF(A2474="","",VLOOKUP(A2474,CadProd!$A:$C,3,0)),"")</f>
        <v/>
      </c>
      <c r="I2474" s="1" t="str">
        <f>IFERROR(IF(A2474="","",E2474*#REF!),"")</f>
        <v/>
      </c>
    </row>
    <row r="2475" spans="2:9" x14ac:dyDescent="0.3">
      <c r="B2475" t="str">
        <f>IFERROR(IF(A2475="","",VLOOKUP(A2475,CadProd!$A:$B,2,0)),"")</f>
        <v/>
      </c>
      <c r="C2475" t="str">
        <f>IFERROR(IF(A2475="","",VLOOKUP(A2475,CadProd!$A:$C,3,0)),"")</f>
        <v/>
      </c>
      <c r="I2475" s="1" t="str">
        <f>IFERROR(IF(A2475="","",E2475*#REF!),"")</f>
        <v/>
      </c>
    </row>
    <row r="2476" spans="2:9" x14ac:dyDescent="0.3">
      <c r="B2476" t="str">
        <f>IFERROR(IF(A2476="","",VLOOKUP(A2476,CadProd!$A:$B,2,0)),"")</f>
        <v/>
      </c>
      <c r="C2476" t="str">
        <f>IFERROR(IF(A2476="","",VLOOKUP(A2476,CadProd!$A:$C,3,0)),"")</f>
        <v/>
      </c>
      <c r="I2476" s="1" t="str">
        <f>IFERROR(IF(A2476="","",E2476*#REF!),"")</f>
        <v/>
      </c>
    </row>
    <row r="2477" spans="2:9" x14ac:dyDescent="0.3">
      <c r="B2477" t="str">
        <f>IFERROR(IF(A2477="","",VLOOKUP(A2477,CadProd!$A:$B,2,0)),"")</f>
        <v/>
      </c>
      <c r="C2477" t="str">
        <f>IFERROR(IF(A2477="","",VLOOKUP(A2477,CadProd!$A:$C,3,0)),"")</f>
        <v/>
      </c>
      <c r="I2477" s="1" t="str">
        <f>IFERROR(IF(A2477="","",E2477*#REF!),"")</f>
        <v/>
      </c>
    </row>
    <row r="2478" spans="2:9" x14ac:dyDescent="0.3">
      <c r="B2478" t="str">
        <f>IFERROR(IF(A2478="","",VLOOKUP(A2478,CadProd!$A:$B,2,0)),"")</f>
        <v/>
      </c>
      <c r="C2478" t="str">
        <f>IFERROR(IF(A2478="","",VLOOKUP(A2478,CadProd!$A:$C,3,0)),"")</f>
        <v/>
      </c>
      <c r="I2478" s="1" t="str">
        <f>IFERROR(IF(A2478="","",E2478*#REF!),"")</f>
        <v/>
      </c>
    </row>
    <row r="2479" spans="2:9" x14ac:dyDescent="0.3">
      <c r="B2479" t="str">
        <f>IFERROR(IF(A2479="","",VLOOKUP(A2479,CadProd!$A:$B,2,0)),"")</f>
        <v/>
      </c>
      <c r="C2479" t="str">
        <f>IFERROR(IF(A2479="","",VLOOKUP(A2479,CadProd!$A:$C,3,0)),"")</f>
        <v/>
      </c>
      <c r="I2479" s="1" t="str">
        <f>IFERROR(IF(A2479="","",E2479*#REF!),"")</f>
        <v/>
      </c>
    </row>
    <row r="2480" spans="2:9" x14ac:dyDescent="0.3">
      <c r="B2480" t="str">
        <f>IFERROR(IF(A2480="","",VLOOKUP(A2480,CadProd!$A:$B,2,0)),"")</f>
        <v/>
      </c>
      <c r="C2480" t="str">
        <f>IFERROR(IF(A2480="","",VLOOKUP(A2480,CadProd!$A:$C,3,0)),"")</f>
        <v/>
      </c>
      <c r="I2480" s="1" t="str">
        <f>IFERROR(IF(A2480="","",E2480*#REF!),"")</f>
        <v/>
      </c>
    </row>
    <row r="2481" spans="2:9" x14ac:dyDescent="0.3">
      <c r="B2481" t="str">
        <f>IFERROR(IF(A2481="","",VLOOKUP(A2481,CadProd!$A:$B,2,0)),"")</f>
        <v/>
      </c>
      <c r="C2481" t="str">
        <f>IFERROR(IF(A2481="","",VLOOKUP(A2481,CadProd!$A:$C,3,0)),"")</f>
        <v/>
      </c>
      <c r="I2481" s="1" t="str">
        <f>IFERROR(IF(A2481="","",E2481*#REF!),"")</f>
        <v/>
      </c>
    </row>
    <row r="2482" spans="2:9" x14ac:dyDescent="0.3">
      <c r="B2482" t="str">
        <f>IFERROR(IF(A2482="","",VLOOKUP(A2482,CadProd!$A:$B,2,0)),"")</f>
        <v/>
      </c>
      <c r="C2482" t="str">
        <f>IFERROR(IF(A2482="","",VLOOKUP(A2482,CadProd!$A:$C,3,0)),"")</f>
        <v/>
      </c>
      <c r="I2482" s="1" t="str">
        <f>IFERROR(IF(A2482="","",E2482*#REF!),"")</f>
        <v/>
      </c>
    </row>
    <row r="2483" spans="2:9" x14ac:dyDescent="0.3">
      <c r="B2483" t="str">
        <f>IFERROR(IF(A2483="","",VLOOKUP(A2483,CadProd!$A:$B,2,0)),"")</f>
        <v/>
      </c>
      <c r="C2483" t="str">
        <f>IFERROR(IF(A2483="","",VLOOKUP(A2483,CadProd!$A:$C,3,0)),"")</f>
        <v/>
      </c>
      <c r="I2483" s="1" t="str">
        <f>IFERROR(IF(A2483="","",E2483*#REF!),"")</f>
        <v/>
      </c>
    </row>
    <row r="2484" spans="2:9" x14ac:dyDescent="0.3">
      <c r="B2484" t="str">
        <f>IFERROR(IF(A2484="","",VLOOKUP(A2484,CadProd!$A:$B,2,0)),"")</f>
        <v/>
      </c>
      <c r="C2484" t="str">
        <f>IFERROR(IF(A2484="","",VLOOKUP(A2484,CadProd!$A:$C,3,0)),"")</f>
        <v/>
      </c>
      <c r="I2484" s="1" t="str">
        <f>IFERROR(IF(A2484="","",E2484*#REF!),"")</f>
        <v/>
      </c>
    </row>
    <row r="2485" spans="2:9" x14ac:dyDescent="0.3">
      <c r="B2485" t="str">
        <f>IFERROR(IF(A2485="","",VLOOKUP(A2485,CadProd!$A:$B,2,0)),"")</f>
        <v/>
      </c>
      <c r="C2485" t="str">
        <f>IFERROR(IF(A2485="","",VLOOKUP(A2485,CadProd!$A:$C,3,0)),"")</f>
        <v/>
      </c>
      <c r="I2485" s="1" t="str">
        <f>IFERROR(IF(A2485="","",E2485*#REF!),"")</f>
        <v/>
      </c>
    </row>
    <row r="2486" spans="2:9" x14ac:dyDescent="0.3">
      <c r="B2486" t="str">
        <f>IFERROR(IF(A2486="","",VLOOKUP(A2486,CadProd!$A:$B,2,0)),"")</f>
        <v/>
      </c>
      <c r="C2486" t="str">
        <f>IFERROR(IF(A2486="","",VLOOKUP(A2486,CadProd!$A:$C,3,0)),"")</f>
        <v/>
      </c>
      <c r="I2486" s="1" t="str">
        <f>IFERROR(IF(A2486="","",E2486*#REF!),"")</f>
        <v/>
      </c>
    </row>
    <row r="2487" spans="2:9" x14ac:dyDescent="0.3">
      <c r="B2487" t="str">
        <f>IFERROR(IF(A2487="","",VLOOKUP(A2487,CadProd!$A:$B,2,0)),"")</f>
        <v/>
      </c>
      <c r="C2487" t="str">
        <f>IFERROR(IF(A2487="","",VLOOKUP(A2487,CadProd!$A:$C,3,0)),"")</f>
        <v/>
      </c>
      <c r="I2487" s="1" t="str">
        <f>IFERROR(IF(A2487="","",E2487*#REF!),"")</f>
        <v/>
      </c>
    </row>
    <row r="2488" spans="2:9" x14ac:dyDescent="0.3">
      <c r="B2488" t="str">
        <f>IFERROR(IF(A2488="","",VLOOKUP(A2488,CadProd!$A:$B,2,0)),"")</f>
        <v/>
      </c>
      <c r="C2488" t="str">
        <f>IFERROR(IF(A2488="","",VLOOKUP(A2488,CadProd!$A:$C,3,0)),"")</f>
        <v/>
      </c>
      <c r="I2488" s="1" t="str">
        <f>IFERROR(IF(A2488="","",E2488*#REF!),"")</f>
        <v/>
      </c>
    </row>
    <row r="2489" spans="2:9" x14ac:dyDescent="0.3">
      <c r="B2489" t="str">
        <f>IFERROR(IF(A2489="","",VLOOKUP(A2489,CadProd!$A:$B,2,0)),"")</f>
        <v/>
      </c>
      <c r="C2489" t="str">
        <f>IFERROR(IF(A2489="","",VLOOKUP(A2489,CadProd!$A:$C,3,0)),"")</f>
        <v/>
      </c>
      <c r="I2489" s="1" t="str">
        <f>IFERROR(IF(A2489="","",E2489*#REF!),"")</f>
        <v/>
      </c>
    </row>
    <row r="2490" spans="2:9" x14ac:dyDescent="0.3">
      <c r="B2490" t="str">
        <f>IFERROR(IF(A2490="","",VLOOKUP(A2490,CadProd!$A:$B,2,0)),"")</f>
        <v/>
      </c>
      <c r="C2490" t="str">
        <f>IFERROR(IF(A2490="","",VLOOKUP(A2490,CadProd!$A:$C,3,0)),"")</f>
        <v/>
      </c>
      <c r="I2490" s="1" t="str">
        <f>IFERROR(IF(A2490="","",E2490*#REF!),"")</f>
        <v/>
      </c>
    </row>
    <row r="2491" spans="2:9" x14ac:dyDescent="0.3">
      <c r="B2491" t="str">
        <f>IFERROR(IF(A2491="","",VLOOKUP(A2491,CadProd!$A:$B,2,0)),"")</f>
        <v/>
      </c>
      <c r="C2491" t="str">
        <f>IFERROR(IF(A2491="","",VLOOKUP(A2491,CadProd!$A:$C,3,0)),"")</f>
        <v/>
      </c>
      <c r="I2491" s="1" t="str">
        <f>IFERROR(IF(A2491="","",E2491*#REF!),"")</f>
        <v/>
      </c>
    </row>
    <row r="2492" spans="2:9" x14ac:dyDescent="0.3">
      <c r="B2492" t="str">
        <f>IFERROR(IF(A2492="","",VLOOKUP(A2492,CadProd!$A:$B,2,0)),"")</f>
        <v/>
      </c>
      <c r="C2492" t="str">
        <f>IFERROR(IF(A2492="","",VLOOKUP(A2492,CadProd!$A:$C,3,0)),"")</f>
        <v/>
      </c>
      <c r="I2492" s="1" t="str">
        <f>IFERROR(IF(A2492="","",E2492*#REF!),"")</f>
        <v/>
      </c>
    </row>
    <row r="2493" spans="2:9" x14ac:dyDescent="0.3">
      <c r="B2493" t="str">
        <f>IFERROR(IF(A2493="","",VLOOKUP(A2493,CadProd!$A:$B,2,0)),"")</f>
        <v/>
      </c>
      <c r="C2493" t="str">
        <f>IFERROR(IF(A2493="","",VLOOKUP(A2493,CadProd!$A:$C,3,0)),"")</f>
        <v/>
      </c>
      <c r="I2493" s="1" t="str">
        <f>IFERROR(IF(A2493="","",E2493*#REF!),"")</f>
        <v/>
      </c>
    </row>
    <row r="2494" spans="2:9" x14ac:dyDescent="0.3">
      <c r="B2494" t="str">
        <f>IFERROR(IF(A2494="","",VLOOKUP(A2494,CadProd!$A:$B,2,0)),"")</f>
        <v/>
      </c>
      <c r="C2494" t="str">
        <f>IFERROR(IF(A2494="","",VLOOKUP(A2494,CadProd!$A:$C,3,0)),"")</f>
        <v/>
      </c>
      <c r="I2494" s="1" t="str">
        <f>IFERROR(IF(A2494="","",E2494*#REF!),"")</f>
        <v/>
      </c>
    </row>
    <row r="2495" spans="2:9" x14ac:dyDescent="0.3">
      <c r="B2495" t="str">
        <f>IFERROR(IF(A2495="","",VLOOKUP(A2495,CadProd!$A:$B,2,0)),"")</f>
        <v/>
      </c>
      <c r="C2495" t="str">
        <f>IFERROR(IF(A2495="","",VLOOKUP(A2495,CadProd!$A:$C,3,0)),"")</f>
        <v/>
      </c>
      <c r="I2495" s="1" t="str">
        <f>IFERROR(IF(A2495="","",E2495*#REF!),"")</f>
        <v/>
      </c>
    </row>
    <row r="2496" spans="2:9" x14ac:dyDescent="0.3">
      <c r="B2496" t="str">
        <f>IFERROR(IF(A2496="","",VLOOKUP(A2496,CadProd!$A:$B,2,0)),"")</f>
        <v/>
      </c>
      <c r="C2496" t="str">
        <f>IFERROR(IF(A2496="","",VLOOKUP(A2496,CadProd!$A:$C,3,0)),"")</f>
        <v/>
      </c>
      <c r="I2496" s="1" t="str">
        <f>IFERROR(IF(A2496="","",E2496*#REF!),"")</f>
        <v/>
      </c>
    </row>
    <row r="2497" spans="2:9" x14ac:dyDescent="0.3">
      <c r="B2497" t="str">
        <f>IFERROR(IF(A2497="","",VLOOKUP(A2497,CadProd!$A:$B,2,0)),"")</f>
        <v/>
      </c>
      <c r="C2497" t="str">
        <f>IFERROR(IF(A2497="","",VLOOKUP(A2497,CadProd!$A:$C,3,0)),"")</f>
        <v/>
      </c>
      <c r="I2497" s="1" t="str">
        <f>IFERROR(IF(A2497="","",E2497*#REF!),"")</f>
        <v/>
      </c>
    </row>
    <row r="2498" spans="2:9" x14ac:dyDescent="0.3">
      <c r="B2498" t="str">
        <f>IFERROR(IF(A2498="","",VLOOKUP(A2498,CadProd!$A:$B,2,0)),"")</f>
        <v/>
      </c>
      <c r="C2498" t="str">
        <f>IFERROR(IF(A2498="","",VLOOKUP(A2498,CadProd!$A:$C,3,0)),"")</f>
        <v/>
      </c>
      <c r="I2498" s="1" t="str">
        <f>IFERROR(IF(A2498="","",E2498*#REF!),"")</f>
        <v/>
      </c>
    </row>
    <row r="2499" spans="2:9" x14ac:dyDescent="0.3">
      <c r="B2499" t="str">
        <f>IFERROR(IF(A2499="","",VLOOKUP(A2499,CadProd!$A:$B,2,0)),"")</f>
        <v/>
      </c>
      <c r="C2499" t="str">
        <f>IFERROR(IF(A2499="","",VLOOKUP(A2499,CadProd!$A:$C,3,0)),"")</f>
        <v/>
      </c>
      <c r="I2499" s="1" t="str">
        <f>IFERROR(IF(A2499="","",E2499*#REF!),"")</f>
        <v/>
      </c>
    </row>
    <row r="2500" spans="2:9" x14ac:dyDescent="0.3">
      <c r="B2500" t="str">
        <f>IFERROR(IF(A2500="","",VLOOKUP(A2500,CadProd!$A:$B,2,0)),"")</f>
        <v/>
      </c>
      <c r="C2500" t="str">
        <f>IFERROR(IF(A2500="","",VLOOKUP(A2500,CadProd!$A:$C,3,0)),"")</f>
        <v/>
      </c>
      <c r="I2500" s="1" t="str">
        <f>IFERROR(IF(A2500="","",E2500*#REF!),"")</f>
        <v/>
      </c>
    </row>
    <row r="2501" spans="2:9" x14ac:dyDescent="0.3">
      <c r="B2501" t="str">
        <f>IFERROR(IF(A2501="","",VLOOKUP(A2501,CadProd!$A:$B,2,0)),"")</f>
        <v/>
      </c>
      <c r="C2501" t="str">
        <f>IFERROR(IF(A2501="","",VLOOKUP(A2501,CadProd!$A:$C,3,0)),"")</f>
        <v/>
      </c>
      <c r="I2501" s="1" t="str">
        <f>IFERROR(IF(A2501="","",E2501*#REF!),"")</f>
        <v/>
      </c>
    </row>
    <row r="2502" spans="2:9" x14ac:dyDescent="0.3">
      <c r="B2502" t="str">
        <f>IFERROR(IF(A2502="","",VLOOKUP(A2502,CadProd!$A:$B,2,0)),"")</f>
        <v/>
      </c>
      <c r="C2502" t="str">
        <f>IFERROR(IF(A2502="","",VLOOKUP(A2502,CadProd!$A:$C,3,0)),"")</f>
        <v/>
      </c>
      <c r="I2502" s="1" t="str">
        <f>IFERROR(IF(A2502="","",E2502*#REF!),"")</f>
        <v/>
      </c>
    </row>
    <row r="2503" spans="2:9" x14ac:dyDescent="0.3">
      <c r="B2503" t="str">
        <f>IFERROR(IF(A2503="","",VLOOKUP(A2503,CadProd!$A:$B,2,0)),"")</f>
        <v/>
      </c>
      <c r="C2503" t="str">
        <f>IFERROR(IF(A2503="","",VLOOKUP(A2503,CadProd!$A:$C,3,0)),"")</f>
        <v/>
      </c>
      <c r="I2503" s="1" t="str">
        <f>IFERROR(IF(A2503="","",E2503*#REF!),"")</f>
        <v/>
      </c>
    </row>
    <row r="2504" spans="2:9" x14ac:dyDescent="0.3">
      <c r="B2504" t="str">
        <f>IFERROR(IF(A2504="","",VLOOKUP(A2504,CadProd!$A:$B,2,0)),"")</f>
        <v/>
      </c>
      <c r="C2504" t="str">
        <f>IFERROR(IF(A2504="","",VLOOKUP(A2504,CadProd!$A:$C,3,0)),"")</f>
        <v/>
      </c>
      <c r="I2504" s="1" t="str">
        <f>IFERROR(IF(A2504="","",E2504*#REF!),"")</f>
        <v/>
      </c>
    </row>
    <row r="2505" spans="2:9" x14ac:dyDescent="0.3">
      <c r="B2505" t="str">
        <f>IFERROR(IF(A2505="","",VLOOKUP(A2505,CadProd!$A:$B,2,0)),"")</f>
        <v/>
      </c>
      <c r="C2505" t="str">
        <f>IFERROR(IF(A2505="","",VLOOKUP(A2505,CadProd!$A:$C,3,0)),"")</f>
        <v/>
      </c>
      <c r="I2505" s="1" t="str">
        <f>IFERROR(IF(A2505="","",E2505*#REF!),"")</f>
        <v/>
      </c>
    </row>
    <row r="2506" spans="2:9" x14ac:dyDescent="0.3">
      <c r="B2506" t="str">
        <f>IFERROR(IF(A2506="","",VLOOKUP(A2506,CadProd!$A:$B,2,0)),"")</f>
        <v/>
      </c>
      <c r="C2506" t="str">
        <f>IFERROR(IF(A2506="","",VLOOKUP(A2506,CadProd!$A:$C,3,0)),"")</f>
        <v/>
      </c>
      <c r="I2506" s="1" t="str">
        <f>IFERROR(IF(A2506="","",E2506*#REF!),"")</f>
        <v/>
      </c>
    </row>
    <row r="2507" spans="2:9" x14ac:dyDescent="0.3">
      <c r="B2507" t="str">
        <f>IFERROR(IF(A2507="","",VLOOKUP(A2507,CadProd!$A:$B,2,0)),"")</f>
        <v/>
      </c>
      <c r="C2507" t="str">
        <f>IFERROR(IF(A2507="","",VLOOKUP(A2507,CadProd!$A:$C,3,0)),"")</f>
        <v/>
      </c>
      <c r="I2507" s="1" t="str">
        <f>IFERROR(IF(A2507="","",E2507*#REF!),"")</f>
        <v/>
      </c>
    </row>
    <row r="2508" spans="2:9" x14ac:dyDescent="0.3">
      <c r="B2508" t="str">
        <f>IFERROR(IF(A2508="","",VLOOKUP(A2508,CadProd!$A:$B,2,0)),"")</f>
        <v/>
      </c>
      <c r="C2508" t="str">
        <f>IFERROR(IF(A2508="","",VLOOKUP(A2508,CadProd!$A:$C,3,0)),"")</f>
        <v/>
      </c>
      <c r="I2508" s="1" t="str">
        <f>IFERROR(IF(A2508="","",E2508*#REF!),"")</f>
        <v/>
      </c>
    </row>
    <row r="2509" spans="2:9" x14ac:dyDescent="0.3">
      <c r="B2509" t="str">
        <f>IFERROR(IF(A2509="","",VLOOKUP(A2509,CadProd!$A:$B,2,0)),"")</f>
        <v/>
      </c>
      <c r="C2509" t="str">
        <f>IFERROR(IF(A2509="","",VLOOKUP(A2509,CadProd!$A:$C,3,0)),"")</f>
        <v/>
      </c>
      <c r="I2509" s="1" t="str">
        <f>IFERROR(IF(A2509="","",E2509*#REF!),"")</f>
        <v/>
      </c>
    </row>
    <row r="2510" spans="2:9" x14ac:dyDescent="0.3">
      <c r="B2510" t="str">
        <f>IFERROR(IF(A2510="","",VLOOKUP(A2510,CadProd!$A:$B,2,0)),"")</f>
        <v/>
      </c>
      <c r="C2510" t="str">
        <f>IFERROR(IF(A2510="","",VLOOKUP(A2510,CadProd!$A:$C,3,0)),"")</f>
        <v/>
      </c>
      <c r="I2510" s="1" t="str">
        <f>IFERROR(IF(A2510="","",E2510*#REF!),"")</f>
        <v/>
      </c>
    </row>
    <row r="2511" spans="2:9" x14ac:dyDescent="0.3">
      <c r="B2511" t="str">
        <f>IFERROR(IF(A2511="","",VLOOKUP(A2511,CadProd!$A:$B,2,0)),"")</f>
        <v/>
      </c>
      <c r="C2511" t="str">
        <f>IFERROR(IF(A2511="","",VLOOKUP(A2511,CadProd!$A:$C,3,0)),"")</f>
        <v/>
      </c>
      <c r="I2511" s="1" t="str">
        <f>IFERROR(IF(A2511="","",E2511*#REF!),"")</f>
        <v/>
      </c>
    </row>
    <row r="2512" spans="2:9" x14ac:dyDescent="0.3">
      <c r="B2512" t="str">
        <f>IFERROR(IF(A2512="","",VLOOKUP(A2512,CadProd!$A:$B,2,0)),"")</f>
        <v/>
      </c>
      <c r="C2512" t="str">
        <f>IFERROR(IF(A2512="","",VLOOKUP(A2512,CadProd!$A:$C,3,0)),"")</f>
        <v/>
      </c>
      <c r="I2512" s="1" t="str">
        <f>IFERROR(IF(A2512="","",E2512*#REF!),"")</f>
        <v/>
      </c>
    </row>
    <row r="2513" spans="2:9" x14ac:dyDescent="0.3">
      <c r="B2513" t="str">
        <f>IFERROR(IF(A2513="","",VLOOKUP(A2513,CadProd!$A:$B,2,0)),"")</f>
        <v/>
      </c>
      <c r="C2513" t="str">
        <f>IFERROR(IF(A2513="","",VLOOKUP(A2513,CadProd!$A:$C,3,0)),"")</f>
        <v/>
      </c>
      <c r="I2513" s="1" t="str">
        <f>IFERROR(IF(A2513="","",E2513*#REF!),"")</f>
        <v/>
      </c>
    </row>
    <row r="2514" spans="2:9" x14ac:dyDescent="0.3">
      <c r="B2514" t="str">
        <f>IFERROR(IF(A2514="","",VLOOKUP(A2514,CadProd!$A:$B,2,0)),"")</f>
        <v/>
      </c>
      <c r="C2514" t="str">
        <f>IFERROR(IF(A2514="","",VLOOKUP(A2514,CadProd!$A:$C,3,0)),"")</f>
        <v/>
      </c>
      <c r="I2514" s="1" t="str">
        <f>IFERROR(IF(A2514="","",E2514*#REF!),"")</f>
        <v/>
      </c>
    </row>
    <row r="2515" spans="2:9" x14ac:dyDescent="0.3">
      <c r="B2515" t="str">
        <f>IFERROR(IF(A2515="","",VLOOKUP(A2515,CadProd!$A:$B,2,0)),"")</f>
        <v/>
      </c>
      <c r="C2515" t="str">
        <f>IFERROR(IF(A2515="","",VLOOKUP(A2515,CadProd!$A:$C,3,0)),"")</f>
        <v/>
      </c>
      <c r="I2515" s="1" t="str">
        <f>IFERROR(IF(A2515="","",E2515*#REF!),"")</f>
        <v/>
      </c>
    </row>
    <row r="2516" spans="2:9" x14ac:dyDescent="0.3">
      <c r="B2516" t="str">
        <f>IFERROR(IF(A2516="","",VLOOKUP(A2516,CadProd!$A:$B,2,0)),"")</f>
        <v/>
      </c>
      <c r="C2516" t="str">
        <f>IFERROR(IF(A2516="","",VLOOKUP(A2516,CadProd!$A:$C,3,0)),"")</f>
        <v/>
      </c>
      <c r="I2516" s="1" t="str">
        <f>IFERROR(IF(A2516="","",E2516*#REF!),"")</f>
        <v/>
      </c>
    </row>
    <row r="2517" spans="2:9" x14ac:dyDescent="0.3">
      <c r="B2517" t="str">
        <f>IFERROR(IF(A2517="","",VLOOKUP(A2517,CadProd!$A:$B,2,0)),"")</f>
        <v/>
      </c>
      <c r="C2517" t="str">
        <f>IFERROR(IF(A2517="","",VLOOKUP(A2517,CadProd!$A:$C,3,0)),"")</f>
        <v/>
      </c>
      <c r="I2517" s="1" t="str">
        <f>IFERROR(IF(A2517="","",E2517*#REF!),"")</f>
        <v/>
      </c>
    </row>
    <row r="2518" spans="2:9" x14ac:dyDescent="0.3">
      <c r="B2518" t="str">
        <f>IFERROR(IF(A2518="","",VLOOKUP(A2518,CadProd!$A:$B,2,0)),"")</f>
        <v/>
      </c>
      <c r="C2518" t="str">
        <f>IFERROR(IF(A2518="","",VLOOKUP(A2518,CadProd!$A:$C,3,0)),"")</f>
        <v/>
      </c>
      <c r="I2518" s="1" t="str">
        <f>IFERROR(IF(A2518="","",E2518*#REF!),"")</f>
        <v/>
      </c>
    </row>
    <row r="2519" spans="2:9" x14ac:dyDescent="0.3">
      <c r="B2519" t="str">
        <f>IFERROR(IF(A2519="","",VLOOKUP(A2519,CadProd!$A:$B,2,0)),"")</f>
        <v/>
      </c>
      <c r="C2519" t="str">
        <f>IFERROR(IF(A2519="","",VLOOKUP(A2519,CadProd!$A:$C,3,0)),"")</f>
        <v/>
      </c>
      <c r="I2519" s="1" t="str">
        <f>IFERROR(IF(A2519="","",E2519*#REF!),"")</f>
        <v/>
      </c>
    </row>
    <row r="2520" spans="2:9" x14ac:dyDescent="0.3">
      <c r="B2520" t="str">
        <f>IFERROR(IF(A2520="","",VLOOKUP(A2520,CadProd!$A:$B,2,0)),"")</f>
        <v/>
      </c>
      <c r="C2520" t="str">
        <f>IFERROR(IF(A2520="","",VLOOKUP(A2520,CadProd!$A:$C,3,0)),"")</f>
        <v/>
      </c>
      <c r="I2520" s="1" t="str">
        <f>IFERROR(IF(A2520="","",E2520*#REF!),"")</f>
        <v/>
      </c>
    </row>
    <row r="2521" spans="2:9" x14ac:dyDescent="0.3">
      <c r="B2521" t="str">
        <f>IFERROR(IF(A2521="","",VLOOKUP(A2521,CadProd!$A:$B,2,0)),"")</f>
        <v/>
      </c>
      <c r="C2521" t="str">
        <f>IFERROR(IF(A2521="","",VLOOKUP(A2521,CadProd!$A:$C,3,0)),"")</f>
        <v/>
      </c>
      <c r="I2521" s="1" t="str">
        <f>IFERROR(IF(A2521="","",E2521*#REF!),"")</f>
        <v/>
      </c>
    </row>
    <row r="2522" spans="2:9" x14ac:dyDescent="0.3">
      <c r="B2522" t="str">
        <f>IFERROR(IF(A2522="","",VLOOKUP(A2522,CadProd!$A:$B,2,0)),"")</f>
        <v/>
      </c>
      <c r="C2522" t="str">
        <f>IFERROR(IF(A2522="","",VLOOKUP(A2522,CadProd!$A:$C,3,0)),"")</f>
        <v/>
      </c>
      <c r="I2522" s="1" t="str">
        <f>IFERROR(IF(A2522="","",E2522*#REF!),"")</f>
        <v/>
      </c>
    </row>
    <row r="2523" spans="2:9" x14ac:dyDescent="0.3">
      <c r="B2523" t="str">
        <f>IFERROR(IF(A2523="","",VLOOKUP(A2523,CadProd!$A:$B,2,0)),"")</f>
        <v/>
      </c>
      <c r="C2523" t="str">
        <f>IFERROR(IF(A2523="","",VLOOKUP(A2523,CadProd!$A:$C,3,0)),"")</f>
        <v/>
      </c>
      <c r="I2523" s="1" t="str">
        <f>IFERROR(IF(A2523="","",E2523*#REF!),"")</f>
        <v/>
      </c>
    </row>
    <row r="2524" spans="2:9" x14ac:dyDescent="0.3">
      <c r="B2524" t="str">
        <f>IFERROR(IF(A2524="","",VLOOKUP(A2524,CadProd!$A:$B,2,0)),"")</f>
        <v/>
      </c>
      <c r="C2524" t="str">
        <f>IFERROR(IF(A2524="","",VLOOKUP(A2524,CadProd!$A:$C,3,0)),"")</f>
        <v/>
      </c>
      <c r="I2524" s="1" t="str">
        <f>IFERROR(IF(A2524="","",E2524*#REF!),"")</f>
        <v/>
      </c>
    </row>
    <row r="2525" spans="2:9" x14ac:dyDescent="0.3">
      <c r="B2525" t="str">
        <f>IFERROR(IF(A2525="","",VLOOKUP(A2525,CadProd!$A:$B,2,0)),"")</f>
        <v/>
      </c>
      <c r="C2525" t="str">
        <f>IFERROR(IF(A2525="","",VLOOKUP(A2525,CadProd!$A:$C,3,0)),"")</f>
        <v/>
      </c>
      <c r="I2525" s="1" t="str">
        <f>IFERROR(IF(A2525="","",E2525*#REF!),"")</f>
        <v/>
      </c>
    </row>
    <row r="2526" spans="2:9" x14ac:dyDescent="0.3">
      <c r="B2526" t="str">
        <f>IFERROR(IF(A2526="","",VLOOKUP(A2526,CadProd!$A:$B,2,0)),"")</f>
        <v/>
      </c>
      <c r="C2526" t="str">
        <f>IFERROR(IF(A2526="","",VLOOKUP(A2526,CadProd!$A:$C,3,0)),"")</f>
        <v/>
      </c>
      <c r="I2526" s="1" t="str">
        <f>IFERROR(IF(A2526="","",E2526*#REF!),"")</f>
        <v/>
      </c>
    </row>
    <row r="2527" spans="2:9" x14ac:dyDescent="0.3">
      <c r="B2527" t="str">
        <f>IFERROR(IF(A2527="","",VLOOKUP(A2527,CadProd!$A:$B,2,0)),"")</f>
        <v/>
      </c>
      <c r="C2527" t="str">
        <f>IFERROR(IF(A2527="","",VLOOKUP(A2527,CadProd!$A:$C,3,0)),"")</f>
        <v/>
      </c>
      <c r="I2527" s="1" t="str">
        <f>IFERROR(IF(A2527="","",E2527*#REF!),"")</f>
        <v/>
      </c>
    </row>
    <row r="2528" spans="2:9" x14ac:dyDescent="0.3">
      <c r="B2528" t="str">
        <f>IFERROR(IF(A2528="","",VLOOKUP(A2528,CadProd!$A:$B,2,0)),"")</f>
        <v/>
      </c>
      <c r="C2528" t="str">
        <f>IFERROR(IF(A2528="","",VLOOKUP(A2528,CadProd!$A:$C,3,0)),"")</f>
        <v/>
      </c>
      <c r="I2528" s="1" t="str">
        <f>IFERROR(IF(A2528="","",E2528*#REF!),"")</f>
        <v/>
      </c>
    </row>
    <row r="2529" spans="2:9" x14ac:dyDescent="0.3">
      <c r="B2529" t="str">
        <f>IFERROR(IF(A2529="","",VLOOKUP(A2529,CadProd!$A:$B,2,0)),"")</f>
        <v/>
      </c>
      <c r="C2529" t="str">
        <f>IFERROR(IF(A2529="","",VLOOKUP(A2529,CadProd!$A:$C,3,0)),"")</f>
        <v/>
      </c>
      <c r="I2529" s="1" t="str">
        <f>IFERROR(IF(A2529="","",E2529*#REF!),"")</f>
        <v/>
      </c>
    </row>
    <row r="2530" spans="2:9" x14ac:dyDescent="0.3">
      <c r="B2530" t="str">
        <f>IFERROR(IF(A2530="","",VLOOKUP(A2530,CadProd!$A:$B,2,0)),"")</f>
        <v/>
      </c>
      <c r="C2530" t="str">
        <f>IFERROR(IF(A2530="","",VLOOKUP(A2530,CadProd!$A:$C,3,0)),"")</f>
        <v/>
      </c>
      <c r="I2530" s="1" t="str">
        <f>IFERROR(IF(A2530="","",E2530*#REF!),"")</f>
        <v/>
      </c>
    </row>
    <row r="2531" spans="2:9" x14ac:dyDescent="0.3">
      <c r="B2531" t="str">
        <f>IFERROR(IF(A2531="","",VLOOKUP(A2531,CadProd!$A:$B,2,0)),"")</f>
        <v/>
      </c>
      <c r="C2531" t="str">
        <f>IFERROR(IF(A2531="","",VLOOKUP(A2531,CadProd!$A:$C,3,0)),"")</f>
        <v/>
      </c>
      <c r="I2531" s="1" t="str">
        <f>IFERROR(IF(A2531="","",E2531*#REF!),"")</f>
        <v/>
      </c>
    </row>
    <row r="2532" spans="2:9" x14ac:dyDescent="0.3">
      <c r="B2532" t="str">
        <f>IFERROR(IF(A2532="","",VLOOKUP(A2532,CadProd!$A:$B,2,0)),"")</f>
        <v/>
      </c>
      <c r="C2532" t="str">
        <f>IFERROR(IF(A2532="","",VLOOKUP(A2532,CadProd!$A:$C,3,0)),"")</f>
        <v/>
      </c>
      <c r="I2532" s="1" t="str">
        <f>IFERROR(IF(A2532="","",E2532*#REF!),"")</f>
        <v/>
      </c>
    </row>
    <row r="2533" spans="2:9" x14ac:dyDescent="0.3">
      <c r="B2533" t="str">
        <f>IFERROR(IF(A2533="","",VLOOKUP(A2533,CadProd!$A:$B,2,0)),"")</f>
        <v/>
      </c>
      <c r="C2533" t="str">
        <f>IFERROR(IF(A2533="","",VLOOKUP(A2533,CadProd!$A:$C,3,0)),"")</f>
        <v/>
      </c>
      <c r="I2533" s="1" t="str">
        <f>IFERROR(IF(A2533="","",E2533*#REF!),"")</f>
        <v/>
      </c>
    </row>
    <row r="2534" spans="2:9" x14ac:dyDescent="0.3">
      <c r="B2534" t="str">
        <f>IFERROR(IF(A2534="","",VLOOKUP(A2534,CadProd!$A:$B,2,0)),"")</f>
        <v/>
      </c>
      <c r="C2534" t="str">
        <f>IFERROR(IF(A2534="","",VLOOKUP(A2534,CadProd!$A:$C,3,0)),"")</f>
        <v/>
      </c>
      <c r="I2534" s="1" t="str">
        <f>IFERROR(IF(A2534="","",E2534*#REF!),"")</f>
        <v/>
      </c>
    </row>
    <row r="2535" spans="2:9" x14ac:dyDescent="0.3">
      <c r="B2535" t="str">
        <f>IFERROR(IF(A2535="","",VLOOKUP(A2535,CadProd!$A:$B,2,0)),"")</f>
        <v/>
      </c>
      <c r="C2535" t="str">
        <f>IFERROR(IF(A2535="","",VLOOKUP(A2535,CadProd!$A:$C,3,0)),"")</f>
        <v/>
      </c>
      <c r="I2535" s="1" t="str">
        <f>IFERROR(IF(A2535="","",E2535*#REF!),"")</f>
        <v/>
      </c>
    </row>
    <row r="2536" spans="2:9" x14ac:dyDescent="0.3">
      <c r="B2536" t="str">
        <f>IFERROR(IF(A2536="","",VLOOKUP(A2536,CadProd!$A:$B,2,0)),"")</f>
        <v/>
      </c>
      <c r="C2536" t="str">
        <f>IFERROR(IF(A2536="","",VLOOKUP(A2536,CadProd!$A:$C,3,0)),"")</f>
        <v/>
      </c>
      <c r="I2536" s="1" t="str">
        <f>IFERROR(IF(A2536="","",E2536*#REF!),"")</f>
        <v/>
      </c>
    </row>
    <row r="2537" spans="2:9" x14ac:dyDescent="0.3">
      <c r="B2537" t="str">
        <f>IFERROR(IF(A2537="","",VLOOKUP(A2537,CadProd!$A:$B,2,0)),"")</f>
        <v/>
      </c>
      <c r="C2537" t="str">
        <f>IFERROR(IF(A2537="","",VLOOKUP(A2537,CadProd!$A:$C,3,0)),"")</f>
        <v/>
      </c>
      <c r="I2537" s="1" t="str">
        <f>IFERROR(IF(A2537="","",E2537*#REF!),"")</f>
        <v/>
      </c>
    </row>
    <row r="2538" spans="2:9" x14ac:dyDescent="0.3">
      <c r="B2538" t="str">
        <f>IFERROR(IF(A2538="","",VLOOKUP(A2538,CadProd!$A:$B,2,0)),"")</f>
        <v/>
      </c>
      <c r="C2538" t="str">
        <f>IFERROR(IF(A2538="","",VLOOKUP(A2538,CadProd!$A:$C,3,0)),"")</f>
        <v/>
      </c>
      <c r="I2538" s="1" t="str">
        <f>IFERROR(IF(A2538="","",E2538*#REF!),"")</f>
        <v/>
      </c>
    </row>
    <row r="2539" spans="2:9" x14ac:dyDescent="0.3">
      <c r="B2539" t="str">
        <f>IFERROR(IF(A2539="","",VLOOKUP(A2539,CadProd!$A:$B,2,0)),"")</f>
        <v/>
      </c>
      <c r="C2539" t="str">
        <f>IFERROR(IF(A2539="","",VLOOKUP(A2539,CadProd!$A:$C,3,0)),"")</f>
        <v/>
      </c>
      <c r="I2539" s="1" t="str">
        <f>IFERROR(IF(A2539="","",E2539*#REF!),"")</f>
        <v/>
      </c>
    </row>
    <row r="2540" spans="2:9" x14ac:dyDescent="0.3">
      <c r="B2540" t="str">
        <f>IFERROR(IF(A2540="","",VLOOKUP(A2540,CadProd!$A:$B,2,0)),"")</f>
        <v/>
      </c>
      <c r="C2540" t="str">
        <f>IFERROR(IF(A2540="","",VLOOKUP(A2540,CadProd!$A:$C,3,0)),"")</f>
        <v/>
      </c>
      <c r="I2540" s="1" t="str">
        <f>IFERROR(IF(A2540="","",E2540*#REF!),"")</f>
        <v/>
      </c>
    </row>
    <row r="2541" spans="2:9" x14ac:dyDescent="0.3">
      <c r="B2541" t="str">
        <f>IFERROR(IF(A2541="","",VLOOKUP(A2541,CadProd!$A:$B,2,0)),"")</f>
        <v/>
      </c>
      <c r="C2541" t="str">
        <f>IFERROR(IF(A2541="","",VLOOKUP(A2541,CadProd!$A:$C,3,0)),"")</f>
        <v/>
      </c>
      <c r="I2541" s="1" t="str">
        <f>IFERROR(IF(A2541="","",E2541*#REF!),"")</f>
        <v/>
      </c>
    </row>
    <row r="2542" spans="2:9" x14ac:dyDescent="0.3">
      <c r="B2542" t="str">
        <f>IFERROR(IF(A2542="","",VLOOKUP(A2542,CadProd!$A:$B,2,0)),"")</f>
        <v/>
      </c>
      <c r="C2542" t="str">
        <f>IFERROR(IF(A2542="","",VLOOKUP(A2542,CadProd!$A:$C,3,0)),"")</f>
        <v/>
      </c>
      <c r="I2542" s="1" t="str">
        <f>IFERROR(IF(A2542="","",E2542*#REF!),"")</f>
        <v/>
      </c>
    </row>
    <row r="2543" spans="2:9" x14ac:dyDescent="0.3">
      <c r="B2543" t="str">
        <f>IFERROR(IF(A2543="","",VLOOKUP(A2543,CadProd!$A:$B,2,0)),"")</f>
        <v/>
      </c>
      <c r="C2543" t="str">
        <f>IFERROR(IF(A2543="","",VLOOKUP(A2543,CadProd!$A:$C,3,0)),"")</f>
        <v/>
      </c>
      <c r="I2543" s="1" t="str">
        <f>IFERROR(IF(A2543="","",E2543*#REF!),"")</f>
        <v/>
      </c>
    </row>
    <row r="2544" spans="2:9" x14ac:dyDescent="0.3">
      <c r="B2544" t="str">
        <f>IFERROR(IF(A2544="","",VLOOKUP(A2544,CadProd!$A:$B,2,0)),"")</f>
        <v/>
      </c>
      <c r="C2544" t="str">
        <f>IFERROR(IF(A2544="","",VLOOKUP(A2544,CadProd!$A:$C,3,0)),"")</f>
        <v/>
      </c>
      <c r="I2544" s="1" t="str">
        <f>IFERROR(IF(A2544="","",E2544*#REF!),"")</f>
        <v/>
      </c>
    </row>
    <row r="2545" spans="2:9" x14ac:dyDescent="0.3">
      <c r="B2545" t="str">
        <f>IFERROR(IF(A2545="","",VLOOKUP(A2545,CadProd!$A:$B,2,0)),"")</f>
        <v/>
      </c>
      <c r="C2545" t="str">
        <f>IFERROR(IF(A2545="","",VLOOKUP(A2545,CadProd!$A:$C,3,0)),"")</f>
        <v/>
      </c>
      <c r="I2545" s="1" t="str">
        <f>IFERROR(IF(A2545="","",E2545*#REF!),"")</f>
        <v/>
      </c>
    </row>
    <row r="2546" spans="2:9" x14ac:dyDescent="0.3">
      <c r="B2546" t="str">
        <f>IFERROR(IF(A2546="","",VLOOKUP(A2546,CadProd!$A:$B,2,0)),"")</f>
        <v/>
      </c>
      <c r="C2546" t="str">
        <f>IFERROR(IF(A2546="","",VLOOKUP(A2546,CadProd!$A:$C,3,0)),"")</f>
        <v/>
      </c>
      <c r="I2546" s="1" t="str">
        <f>IFERROR(IF(A2546="","",E2546*#REF!),"")</f>
        <v/>
      </c>
    </row>
    <row r="2547" spans="2:9" x14ac:dyDescent="0.3">
      <c r="B2547" t="str">
        <f>IFERROR(IF(A2547="","",VLOOKUP(A2547,CadProd!$A:$B,2,0)),"")</f>
        <v/>
      </c>
      <c r="C2547" t="str">
        <f>IFERROR(IF(A2547="","",VLOOKUP(A2547,CadProd!$A:$C,3,0)),"")</f>
        <v/>
      </c>
      <c r="I2547" s="1" t="str">
        <f>IFERROR(IF(A2547="","",E2547*#REF!),"")</f>
        <v/>
      </c>
    </row>
    <row r="2548" spans="2:9" x14ac:dyDescent="0.3">
      <c r="B2548" t="str">
        <f>IFERROR(IF(A2548="","",VLOOKUP(A2548,CadProd!$A:$B,2,0)),"")</f>
        <v/>
      </c>
      <c r="C2548" t="str">
        <f>IFERROR(IF(A2548="","",VLOOKUP(A2548,CadProd!$A:$C,3,0)),"")</f>
        <v/>
      </c>
      <c r="I2548" s="1" t="str">
        <f>IFERROR(IF(A2548="","",E2548*#REF!),"")</f>
        <v/>
      </c>
    </row>
    <row r="2549" spans="2:9" x14ac:dyDescent="0.3">
      <c r="B2549" t="str">
        <f>IFERROR(IF(A2549="","",VLOOKUP(A2549,CadProd!$A:$B,2,0)),"")</f>
        <v/>
      </c>
      <c r="C2549" t="str">
        <f>IFERROR(IF(A2549="","",VLOOKUP(A2549,CadProd!$A:$C,3,0)),"")</f>
        <v/>
      </c>
      <c r="I2549" s="1" t="str">
        <f>IFERROR(IF(A2549="","",E2549*#REF!),"")</f>
        <v/>
      </c>
    </row>
    <row r="2550" spans="2:9" x14ac:dyDescent="0.3">
      <c r="B2550" t="str">
        <f>IFERROR(IF(A2550="","",VLOOKUP(A2550,CadProd!$A:$B,2,0)),"")</f>
        <v/>
      </c>
      <c r="C2550" t="str">
        <f>IFERROR(IF(A2550="","",VLOOKUP(A2550,CadProd!$A:$C,3,0)),"")</f>
        <v/>
      </c>
      <c r="I2550" s="1" t="str">
        <f>IFERROR(IF(A2550="","",E2550*#REF!),"")</f>
        <v/>
      </c>
    </row>
    <row r="2551" spans="2:9" x14ac:dyDescent="0.3">
      <c r="B2551" t="str">
        <f>IFERROR(IF(A2551="","",VLOOKUP(A2551,CadProd!$A:$B,2,0)),"")</f>
        <v/>
      </c>
      <c r="C2551" t="str">
        <f>IFERROR(IF(A2551="","",VLOOKUP(A2551,CadProd!$A:$C,3,0)),"")</f>
        <v/>
      </c>
      <c r="I2551" s="1" t="str">
        <f>IFERROR(IF(A2551="","",E2551*#REF!),"")</f>
        <v/>
      </c>
    </row>
    <row r="2552" spans="2:9" x14ac:dyDescent="0.3">
      <c r="B2552" t="str">
        <f>IFERROR(IF(A2552="","",VLOOKUP(A2552,CadProd!$A:$B,2,0)),"")</f>
        <v/>
      </c>
      <c r="C2552" t="str">
        <f>IFERROR(IF(A2552="","",VLOOKUP(A2552,CadProd!$A:$C,3,0)),"")</f>
        <v/>
      </c>
      <c r="I2552" s="1" t="str">
        <f>IFERROR(IF(A2552="","",E2552*#REF!),"")</f>
        <v/>
      </c>
    </row>
    <row r="2553" spans="2:9" x14ac:dyDescent="0.3">
      <c r="B2553" t="str">
        <f>IFERROR(IF(A2553="","",VLOOKUP(A2553,CadProd!$A:$B,2,0)),"")</f>
        <v/>
      </c>
      <c r="C2553" t="str">
        <f>IFERROR(IF(A2553="","",VLOOKUP(A2553,CadProd!$A:$C,3,0)),"")</f>
        <v/>
      </c>
      <c r="I2553" s="1" t="str">
        <f>IFERROR(IF(A2553="","",E2553*#REF!),"")</f>
        <v/>
      </c>
    </row>
    <row r="2554" spans="2:9" x14ac:dyDescent="0.3">
      <c r="B2554" t="str">
        <f>IFERROR(IF(A2554="","",VLOOKUP(A2554,CadProd!$A:$B,2,0)),"")</f>
        <v/>
      </c>
      <c r="C2554" t="str">
        <f>IFERROR(IF(A2554="","",VLOOKUP(A2554,CadProd!$A:$C,3,0)),"")</f>
        <v/>
      </c>
      <c r="I2554" s="1" t="str">
        <f>IFERROR(IF(A2554="","",E2554*#REF!),"")</f>
        <v/>
      </c>
    </row>
    <row r="2555" spans="2:9" x14ac:dyDescent="0.3">
      <c r="B2555" t="str">
        <f>IFERROR(IF(A2555="","",VLOOKUP(A2555,CadProd!$A:$B,2,0)),"")</f>
        <v/>
      </c>
      <c r="C2555" t="str">
        <f>IFERROR(IF(A2555="","",VLOOKUP(A2555,CadProd!$A:$C,3,0)),"")</f>
        <v/>
      </c>
      <c r="I2555" s="1" t="str">
        <f>IFERROR(IF(A2555="","",E2555*#REF!),"")</f>
        <v/>
      </c>
    </row>
    <row r="2556" spans="2:9" x14ac:dyDescent="0.3">
      <c r="B2556" t="str">
        <f>IFERROR(IF(A2556="","",VLOOKUP(A2556,CadProd!$A:$B,2,0)),"")</f>
        <v/>
      </c>
      <c r="C2556" t="str">
        <f>IFERROR(IF(A2556="","",VLOOKUP(A2556,CadProd!$A:$C,3,0)),"")</f>
        <v/>
      </c>
      <c r="I2556" s="1" t="str">
        <f>IFERROR(IF(A2556="","",E2556*#REF!),"")</f>
        <v/>
      </c>
    </row>
    <row r="2557" spans="2:9" x14ac:dyDescent="0.3">
      <c r="B2557" t="str">
        <f>IFERROR(IF(A2557="","",VLOOKUP(A2557,CadProd!$A:$B,2,0)),"")</f>
        <v/>
      </c>
      <c r="C2557" t="str">
        <f>IFERROR(IF(A2557="","",VLOOKUP(A2557,CadProd!$A:$C,3,0)),"")</f>
        <v/>
      </c>
      <c r="I2557" s="1" t="str">
        <f>IFERROR(IF(A2557="","",E2557*#REF!),"")</f>
        <v/>
      </c>
    </row>
    <row r="2558" spans="2:9" x14ac:dyDescent="0.3">
      <c r="B2558" t="str">
        <f>IFERROR(IF(A2558="","",VLOOKUP(A2558,CadProd!$A:$B,2,0)),"")</f>
        <v/>
      </c>
      <c r="C2558" t="str">
        <f>IFERROR(IF(A2558="","",VLOOKUP(A2558,CadProd!$A:$C,3,0)),"")</f>
        <v/>
      </c>
      <c r="I2558" s="1" t="str">
        <f>IFERROR(IF(A2558="","",E2558*#REF!),"")</f>
        <v/>
      </c>
    </row>
    <row r="2559" spans="2:9" x14ac:dyDescent="0.3">
      <c r="B2559" t="str">
        <f>IFERROR(IF(A2559="","",VLOOKUP(A2559,CadProd!$A:$B,2,0)),"")</f>
        <v/>
      </c>
      <c r="C2559" t="str">
        <f>IFERROR(IF(A2559="","",VLOOKUP(A2559,CadProd!$A:$C,3,0)),"")</f>
        <v/>
      </c>
      <c r="I2559" s="1" t="str">
        <f>IFERROR(IF(A2559="","",E2559*#REF!),"")</f>
        <v/>
      </c>
    </row>
    <row r="2560" spans="2:9" x14ac:dyDescent="0.3">
      <c r="B2560" t="str">
        <f>IFERROR(IF(A2560="","",VLOOKUP(A2560,CadProd!$A:$B,2,0)),"")</f>
        <v/>
      </c>
      <c r="C2560" t="str">
        <f>IFERROR(IF(A2560="","",VLOOKUP(A2560,CadProd!$A:$C,3,0)),"")</f>
        <v/>
      </c>
      <c r="I2560" s="1" t="str">
        <f>IFERROR(IF(A2560="","",E2560*#REF!),"")</f>
        <v/>
      </c>
    </row>
    <row r="2561" spans="2:9" x14ac:dyDescent="0.3">
      <c r="B2561" t="str">
        <f>IFERROR(IF(A2561="","",VLOOKUP(A2561,CadProd!$A:$B,2,0)),"")</f>
        <v/>
      </c>
      <c r="C2561" t="str">
        <f>IFERROR(IF(A2561="","",VLOOKUP(A2561,CadProd!$A:$C,3,0)),"")</f>
        <v/>
      </c>
      <c r="I2561" s="1" t="str">
        <f>IFERROR(IF(A2561="","",E2561*#REF!),"")</f>
        <v/>
      </c>
    </row>
    <row r="2562" spans="2:9" x14ac:dyDescent="0.3">
      <c r="B2562" t="str">
        <f>IFERROR(IF(A2562="","",VLOOKUP(A2562,CadProd!$A:$B,2,0)),"")</f>
        <v/>
      </c>
      <c r="C2562" t="str">
        <f>IFERROR(IF(A2562="","",VLOOKUP(A2562,CadProd!$A:$C,3,0)),"")</f>
        <v/>
      </c>
      <c r="I2562" s="1" t="str">
        <f>IFERROR(IF(A2562="","",E2562*#REF!),"")</f>
        <v/>
      </c>
    </row>
    <row r="2563" spans="2:9" x14ac:dyDescent="0.3">
      <c r="B2563" t="str">
        <f>IFERROR(IF(A2563="","",VLOOKUP(A2563,CadProd!$A:$B,2,0)),"")</f>
        <v/>
      </c>
      <c r="C2563" t="str">
        <f>IFERROR(IF(A2563="","",VLOOKUP(A2563,CadProd!$A:$C,3,0)),"")</f>
        <v/>
      </c>
      <c r="I2563" s="1" t="str">
        <f>IFERROR(IF(A2563="","",E2563*#REF!),"")</f>
        <v/>
      </c>
    </row>
    <row r="2564" spans="2:9" x14ac:dyDescent="0.3">
      <c r="B2564" t="str">
        <f>IFERROR(IF(A2564="","",VLOOKUP(A2564,CadProd!$A:$B,2,0)),"")</f>
        <v/>
      </c>
      <c r="C2564" t="str">
        <f>IFERROR(IF(A2564="","",VLOOKUP(A2564,CadProd!$A:$C,3,0)),"")</f>
        <v/>
      </c>
      <c r="I2564" s="1" t="str">
        <f>IFERROR(IF(A2564="","",E2564*#REF!),"")</f>
        <v/>
      </c>
    </row>
    <row r="2565" spans="2:9" x14ac:dyDescent="0.3">
      <c r="B2565" t="str">
        <f>IFERROR(IF(A2565="","",VLOOKUP(A2565,CadProd!$A:$B,2,0)),"")</f>
        <v/>
      </c>
      <c r="C2565" t="str">
        <f>IFERROR(IF(A2565="","",VLOOKUP(A2565,CadProd!$A:$C,3,0)),"")</f>
        <v/>
      </c>
      <c r="I2565" s="1" t="str">
        <f>IFERROR(IF(A2565="","",E2565*#REF!),"")</f>
        <v/>
      </c>
    </row>
    <row r="2566" spans="2:9" x14ac:dyDescent="0.3">
      <c r="B2566" t="str">
        <f>IFERROR(IF(A2566="","",VLOOKUP(A2566,CadProd!$A:$B,2,0)),"")</f>
        <v/>
      </c>
      <c r="C2566" t="str">
        <f>IFERROR(IF(A2566="","",VLOOKUP(A2566,CadProd!$A:$C,3,0)),"")</f>
        <v/>
      </c>
      <c r="I2566" s="1" t="str">
        <f>IFERROR(IF(A2566="","",E2566*#REF!),"")</f>
        <v/>
      </c>
    </row>
    <row r="2567" spans="2:9" x14ac:dyDescent="0.3">
      <c r="B2567" t="str">
        <f>IFERROR(IF(A2567="","",VLOOKUP(A2567,CadProd!$A:$B,2,0)),"")</f>
        <v/>
      </c>
      <c r="C2567" t="str">
        <f>IFERROR(IF(A2567="","",VLOOKUP(A2567,CadProd!$A:$C,3,0)),"")</f>
        <v/>
      </c>
      <c r="I2567" s="1" t="str">
        <f>IFERROR(IF(A2567="","",E2567*#REF!),"")</f>
        <v/>
      </c>
    </row>
    <row r="2568" spans="2:9" x14ac:dyDescent="0.3">
      <c r="B2568" t="str">
        <f>IFERROR(IF(A2568="","",VLOOKUP(A2568,CadProd!$A:$B,2,0)),"")</f>
        <v/>
      </c>
      <c r="C2568" t="str">
        <f>IFERROR(IF(A2568="","",VLOOKUP(A2568,CadProd!$A:$C,3,0)),"")</f>
        <v/>
      </c>
      <c r="I2568" s="1" t="str">
        <f>IFERROR(IF(A2568="","",E2568*#REF!),"")</f>
        <v/>
      </c>
    </row>
    <row r="2569" spans="2:9" x14ac:dyDescent="0.3">
      <c r="B2569" t="str">
        <f>IFERROR(IF(A2569="","",VLOOKUP(A2569,CadProd!$A:$B,2,0)),"")</f>
        <v/>
      </c>
      <c r="C2569" t="str">
        <f>IFERROR(IF(A2569="","",VLOOKUP(A2569,CadProd!$A:$C,3,0)),"")</f>
        <v/>
      </c>
      <c r="I2569" s="1" t="str">
        <f>IFERROR(IF(A2569="","",E2569*#REF!),"")</f>
        <v/>
      </c>
    </row>
    <row r="2570" spans="2:9" x14ac:dyDescent="0.3">
      <c r="B2570" t="str">
        <f>IFERROR(IF(A2570="","",VLOOKUP(A2570,CadProd!$A:$B,2,0)),"")</f>
        <v/>
      </c>
      <c r="C2570" t="str">
        <f>IFERROR(IF(A2570="","",VLOOKUP(A2570,CadProd!$A:$C,3,0)),"")</f>
        <v/>
      </c>
      <c r="I2570" s="1" t="str">
        <f>IFERROR(IF(A2570="","",E2570*#REF!),"")</f>
        <v/>
      </c>
    </row>
    <row r="2571" spans="2:9" x14ac:dyDescent="0.3">
      <c r="B2571" t="str">
        <f>IFERROR(IF(A2571="","",VLOOKUP(A2571,CadProd!$A:$B,2,0)),"")</f>
        <v/>
      </c>
      <c r="C2571" t="str">
        <f>IFERROR(IF(A2571="","",VLOOKUP(A2571,CadProd!$A:$C,3,0)),"")</f>
        <v/>
      </c>
      <c r="I2571" s="1" t="str">
        <f>IFERROR(IF(A2571="","",E2571*#REF!),"")</f>
        <v/>
      </c>
    </row>
    <row r="2572" spans="2:9" x14ac:dyDescent="0.3">
      <c r="B2572" t="str">
        <f>IFERROR(IF(A2572="","",VLOOKUP(A2572,CadProd!$A:$B,2,0)),"")</f>
        <v/>
      </c>
      <c r="C2572" t="str">
        <f>IFERROR(IF(A2572="","",VLOOKUP(A2572,CadProd!$A:$C,3,0)),"")</f>
        <v/>
      </c>
      <c r="I2572" s="1" t="str">
        <f>IFERROR(IF(A2572="","",E2572*#REF!),"")</f>
        <v/>
      </c>
    </row>
    <row r="2573" spans="2:9" x14ac:dyDescent="0.3">
      <c r="B2573" t="str">
        <f>IFERROR(IF(A2573="","",VLOOKUP(A2573,CadProd!$A:$B,2,0)),"")</f>
        <v/>
      </c>
      <c r="C2573" t="str">
        <f>IFERROR(IF(A2573="","",VLOOKUP(A2573,CadProd!$A:$C,3,0)),"")</f>
        <v/>
      </c>
      <c r="I2573" s="1" t="str">
        <f>IFERROR(IF(A2573="","",E2573*#REF!),"")</f>
        <v/>
      </c>
    </row>
    <row r="2574" spans="2:9" x14ac:dyDescent="0.3">
      <c r="B2574" t="str">
        <f>IFERROR(IF(A2574="","",VLOOKUP(A2574,CadProd!$A:$B,2,0)),"")</f>
        <v/>
      </c>
      <c r="C2574" t="str">
        <f>IFERROR(IF(A2574="","",VLOOKUP(A2574,CadProd!$A:$C,3,0)),"")</f>
        <v/>
      </c>
      <c r="I2574" s="1" t="str">
        <f>IFERROR(IF(A2574="","",E2574*#REF!),"")</f>
        <v/>
      </c>
    </row>
    <row r="2575" spans="2:9" x14ac:dyDescent="0.3">
      <c r="B2575" t="str">
        <f>IFERROR(IF(A2575="","",VLOOKUP(A2575,CadProd!$A:$B,2,0)),"")</f>
        <v/>
      </c>
      <c r="C2575" t="str">
        <f>IFERROR(IF(A2575="","",VLOOKUP(A2575,CadProd!$A:$C,3,0)),"")</f>
        <v/>
      </c>
      <c r="I2575" s="1" t="str">
        <f>IFERROR(IF(A2575="","",E2575*#REF!),"")</f>
        <v/>
      </c>
    </row>
    <row r="2576" spans="2:9" x14ac:dyDescent="0.3">
      <c r="B2576" t="str">
        <f>IFERROR(IF(A2576="","",VLOOKUP(A2576,CadProd!$A:$B,2,0)),"")</f>
        <v/>
      </c>
      <c r="C2576" t="str">
        <f>IFERROR(IF(A2576="","",VLOOKUP(A2576,CadProd!$A:$C,3,0)),"")</f>
        <v/>
      </c>
      <c r="I2576" s="1" t="str">
        <f>IFERROR(IF(A2576="","",E2576*#REF!),"")</f>
        <v/>
      </c>
    </row>
    <row r="2577" spans="2:9" x14ac:dyDescent="0.3">
      <c r="B2577" t="str">
        <f>IFERROR(IF(A2577="","",VLOOKUP(A2577,CadProd!$A:$B,2,0)),"")</f>
        <v/>
      </c>
      <c r="C2577" t="str">
        <f>IFERROR(IF(A2577="","",VLOOKUP(A2577,CadProd!$A:$C,3,0)),"")</f>
        <v/>
      </c>
      <c r="I2577" s="1" t="str">
        <f>IFERROR(IF(A2577="","",E2577*#REF!),"")</f>
        <v/>
      </c>
    </row>
    <row r="2578" spans="2:9" x14ac:dyDescent="0.3">
      <c r="B2578" t="str">
        <f>IFERROR(IF(A2578="","",VLOOKUP(A2578,CadProd!$A:$B,2,0)),"")</f>
        <v/>
      </c>
      <c r="C2578" t="str">
        <f>IFERROR(IF(A2578="","",VLOOKUP(A2578,CadProd!$A:$C,3,0)),"")</f>
        <v/>
      </c>
      <c r="I2578" s="1" t="str">
        <f>IFERROR(IF(A2578="","",E2578*#REF!),"")</f>
        <v/>
      </c>
    </row>
    <row r="2579" spans="2:9" x14ac:dyDescent="0.3">
      <c r="B2579" t="str">
        <f>IFERROR(IF(A2579="","",VLOOKUP(A2579,CadProd!$A:$B,2,0)),"")</f>
        <v/>
      </c>
      <c r="C2579" t="str">
        <f>IFERROR(IF(A2579="","",VLOOKUP(A2579,CadProd!$A:$C,3,0)),"")</f>
        <v/>
      </c>
      <c r="I2579" s="1" t="str">
        <f>IFERROR(IF(A2579="","",E2579*#REF!),"")</f>
        <v/>
      </c>
    </row>
    <row r="2580" spans="2:9" x14ac:dyDescent="0.3">
      <c r="B2580" t="str">
        <f>IFERROR(IF(A2580="","",VLOOKUP(A2580,CadProd!$A:$B,2,0)),"")</f>
        <v/>
      </c>
      <c r="C2580" t="str">
        <f>IFERROR(IF(A2580="","",VLOOKUP(A2580,CadProd!$A:$C,3,0)),"")</f>
        <v/>
      </c>
      <c r="I2580" s="1" t="str">
        <f>IFERROR(IF(A2580="","",E2580*#REF!),"")</f>
        <v/>
      </c>
    </row>
    <row r="2581" spans="2:9" x14ac:dyDescent="0.3">
      <c r="B2581" t="str">
        <f>IFERROR(IF(A2581="","",VLOOKUP(A2581,CadProd!$A:$B,2,0)),"")</f>
        <v/>
      </c>
      <c r="C2581" t="str">
        <f>IFERROR(IF(A2581="","",VLOOKUP(A2581,CadProd!$A:$C,3,0)),"")</f>
        <v/>
      </c>
      <c r="I2581" s="1" t="str">
        <f>IFERROR(IF(A2581="","",E2581*#REF!),"")</f>
        <v/>
      </c>
    </row>
    <row r="2582" spans="2:9" x14ac:dyDescent="0.3">
      <c r="B2582" t="str">
        <f>IFERROR(IF(A2582="","",VLOOKUP(A2582,CadProd!$A:$B,2,0)),"")</f>
        <v/>
      </c>
      <c r="C2582" t="str">
        <f>IFERROR(IF(A2582="","",VLOOKUP(A2582,CadProd!$A:$C,3,0)),"")</f>
        <v/>
      </c>
      <c r="I2582" s="1" t="str">
        <f>IFERROR(IF(A2582="","",E2582*#REF!),"")</f>
        <v/>
      </c>
    </row>
    <row r="2583" spans="2:9" x14ac:dyDescent="0.3">
      <c r="B2583" t="str">
        <f>IFERROR(IF(A2583="","",VLOOKUP(A2583,CadProd!$A:$B,2,0)),"")</f>
        <v/>
      </c>
      <c r="C2583" t="str">
        <f>IFERROR(IF(A2583="","",VLOOKUP(A2583,CadProd!$A:$C,3,0)),"")</f>
        <v/>
      </c>
      <c r="I2583" s="1" t="str">
        <f>IFERROR(IF(A2583="","",E2583*#REF!),"")</f>
        <v/>
      </c>
    </row>
    <row r="2584" spans="2:9" x14ac:dyDescent="0.3">
      <c r="B2584" t="str">
        <f>IFERROR(IF(A2584="","",VLOOKUP(A2584,CadProd!$A:$B,2,0)),"")</f>
        <v/>
      </c>
      <c r="C2584" t="str">
        <f>IFERROR(IF(A2584="","",VLOOKUP(A2584,CadProd!$A:$C,3,0)),"")</f>
        <v/>
      </c>
      <c r="I2584" s="1" t="str">
        <f>IFERROR(IF(A2584="","",E2584*#REF!),"")</f>
        <v/>
      </c>
    </row>
    <row r="2585" spans="2:9" x14ac:dyDescent="0.3">
      <c r="B2585" t="str">
        <f>IFERROR(IF(A2585="","",VLOOKUP(A2585,CadProd!$A:$B,2,0)),"")</f>
        <v/>
      </c>
      <c r="C2585" t="str">
        <f>IFERROR(IF(A2585="","",VLOOKUP(A2585,CadProd!$A:$C,3,0)),"")</f>
        <v/>
      </c>
      <c r="I2585" s="1" t="str">
        <f>IFERROR(IF(A2585="","",E2585*#REF!),"")</f>
        <v/>
      </c>
    </row>
    <row r="2586" spans="2:9" x14ac:dyDescent="0.3">
      <c r="B2586" t="str">
        <f>IFERROR(IF(A2586="","",VLOOKUP(A2586,CadProd!$A:$B,2,0)),"")</f>
        <v/>
      </c>
      <c r="C2586" t="str">
        <f>IFERROR(IF(A2586="","",VLOOKUP(A2586,CadProd!$A:$C,3,0)),"")</f>
        <v/>
      </c>
      <c r="I2586" s="1" t="str">
        <f>IFERROR(IF(A2586="","",E2586*#REF!),"")</f>
        <v/>
      </c>
    </row>
    <row r="2587" spans="2:9" x14ac:dyDescent="0.3">
      <c r="B2587" t="str">
        <f>IFERROR(IF(A2587="","",VLOOKUP(A2587,CadProd!$A:$B,2,0)),"")</f>
        <v/>
      </c>
      <c r="C2587" t="str">
        <f>IFERROR(IF(A2587="","",VLOOKUP(A2587,CadProd!$A:$C,3,0)),"")</f>
        <v/>
      </c>
      <c r="I2587" s="1" t="str">
        <f>IFERROR(IF(A2587="","",E2587*#REF!),"")</f>
        <v/>
      </c>
    </row>
    <row r="2588" spans="2:9" x14ac:dyDescent="0.3">
      <c r="B2588" t="str">
        <f>IFERROR(IF(A2588="","",VLOOKUP(A2588,CadProd!$A:$B,2,0)),"")</f>
        <v/>
      </c>
      <c r="C2588" t="str">
        <f>IFERROR(IF(A2588="","",VLOOKUP(A2588,CadProd!$A:$C,3,0)),"")</f>
        <v/>
      </c>
      <c r="I2588" s="1" t="str">
        <f>IFERROR(IF(A2588="","",E2588*#REF!),"")</f>
        <v/>
      </c>
    </row>
    <row r="2589" spans="2:9" x14ac:dyDescent="0.3">
      <c r="B2589" t="str">
        <f>IFERROR(IF(A2589="","",VLOOKUP(A2589,CadProd!$A:$B,2,0)),"")</f>
        <v/>
      </c>
      <c r="C2589" t="str">
        <f>IFERROR(IF(A2589="","",VLOOKUP(A2589,CadProd!$A:$C,3,0)),"")</f>
        <v/>
      </c>
      <c r="I2589" s="1" t="str">
        <f>IFERROR(IF(A2589="","",E2589*#REF!),"")</f>
        <v/>
      </c>
    </row>
    <row r="2590" spans="2:9" x14ac:dyDescent="0.3">
      <c r="B2590" t="str">
        <f>IFERROR(IF(A2590="","",VLOOKUP(A2590,CadProd!$A:$B,2,0)),"")</f>
        <v/>
      </c>
      <c r="C2590" t="str">
        <f>IFERROR(IF(A2590="","",VLOOKUP(A2590,CadProd!$A:$C,3,0)),"")</f>
        <v/>
      </c>
      <c r="I2590" s="1" t="str">
        <f>IFERROR(IF(A2590="","",E2590*#REF!),"")</f>
        <v/>
      </c>
    </row>
    <row r="2591" spans="2:9" x14ac:dyDescent="0.3">
      <c r="B2591" t="str">
        <f>IFERROR(IF(A2591="","",VLOOKUP(A2591,CadProd!$A:$B,2,0)),"")</f>
        <v/>
      </c>
      <c r="C2591" t="str">
        <f>IFERROR(IF(A2591="","",VLOOKUP(A2591,CadProd!$A:$C,3,0)),"")</f>
        <v/>
      </c>
      <c r="I2591" s="1" t="str">
        <f>IFERROR(IF(A2591="","",E2591*#REF!),"")</f>
        <v/>
      </c>
    </row>
    <row r="2592" spans="2:9" x14ac:dyDescent="0.3">
      <c r="B2592" t="str">
        <f>IFERROR(IF(A2592="","",VLOOKUP(A2592,CadProd!$A:$B,2,0)),"")</f>
        <v/>
      </c>
      <c r="C2592" t="str">
        <f>IFERROR(IF(A2592="","",VLOOKUP(A2592,CadProd!$A:$C,3,0)),"")</f>
        <v/>
      </c>
      <c r="I2592" s="1" t="str">
        <f>IFERROR(IF(A2592="","",E2592*#REF!),"")</f>
        <v/>
      </c>
    </row>
    <row r="2593" spans="2:9" x14ac:dyDescent="0.3">
      <c r="B2593" t="str">
        <f>IFERROR(IF(A2593="","",VLOOKUP(A2593,CadProd!$A:$B,2,0)),"")</f>
        <v/>
      </c>
      <c r="C2593" t="str">
        <f>IFERROR(IF(A2593="","",VLOOKUP(A2593,CadProd!$A:$C,3,0)),"")</f>
        <v/>
      </c>
      <c r="I2593" s="1" t="str">
        <f>IFERROR(IF(A2593="","",E2593*#REF!),"")</f>
        <v/>
      </c>
    </row>
    <row r="2594" spans="2:9" x14ac:dyDescent="0.3">
      <c r="B2594" t="str">
        <f>IFERROR(IF(A2594="","",VLOOKUP(A2594,CadProd!$A:$B,2,0)),"")</f>
        <v/>
      </c>
      <c r="C2594" t="str">
        <f>IFERROR(IF(A2594="","",VLOOKUP(A2594,CadProd!$A:$C,3,0)),"")</f>
        <v/>
      </c>
      <c r="I2594" s="1" t="str">
        <f>IFERROR(IF(A2594="","",E2594*#REF!),"")</f>
        <v/>
      </c>
    </row>
    <row r="2595" spans="2:9" x14ac:dyDescent="0.3">
      <c r="B2595" t="str">
        <f>IFERROR(IF(A2595="","",VLOOKUP(A2595,CadProd!$A:$B,2,0)),"")</f>
        <v/>
      </c>
      <c r="C2595" t="str">
        <f>IFERROR(IF(A2595="","",VLOOKUP(A2595,CadProd!$A:$C,3,0)),"")</f>
        <v/>
      </c>
      <c r="I2595" s="1" t="str">
        <f>IFERROR(IF(A2595="","",E2595*#REF!),"")</f>
        <v/>
      </c>
    </row>
    <row r="2596" spans="2:9" x14ac:dyDescent="0.3">
      <c r="B2596" t="str">
        <f>IFERROR(IF(A2596="","",VLOOKUP(A2596,CadProd!$A:$B,2,0)),"")</f>
        <v/>
      </c>
      <c r="C2596" t="str">
        <f>IFERROR(IF(A2596="","",VLOOKUP(A2596,CadProd!$A:$C,3,0)),"")</f>
        <v/>
      </c>
      <c r="I2596" s="1" t="str">
        <f>IFERROR(IF(A2596="","",E2596*#REF!),"")</f>
        <v/>
      </c>
    </row>
    <row r="2597" spans="2:9" x14ac:dyDescent="0.3">
      <c r="B2597" t="str">
        <f>IFERROR(IF(A2597="","",VLOOKUP(A2597,CadProd!$A:$B,2,0)),"")</f>
        <v/>
      </c>
      <c r="C2597" t="str">
        <f>IFERROR(IF(A2597="","",VLOOKUP(A2597,CadProd!$A:$C,3,0)),"")</f>
        <v/>
      </c>
      <c r="I2597" s="1" t="str">
        <f>IFERROR(IF(A2597="","",E2597*#REF!),"")</f>
        <v/>
      </c>
    </row>
    <row r="2598" spans="2:9" x14ac:dyDescent="0.3">
      <c r="B2598" t="str">
        <f>IFERROR(IF(A2598="","",VLOOKUP(A2598,CadProd!$A:$B,2,0)),"")</f>
        <v/>
      </c>
      <c r="C2598" t="str">
        <f>IFERROR(IF(A2598="","",VLOOKUP(A2598,CadProd!$A:$C,3,0)),"")</f>
        <v/>
      </c>
      <c r="I2598" s="1" t="str">
        <f>IFERROR(IF(A2598="","",E2598*#REF!),"")</f>
        <v/>
      </c>
    </row>
    <row r="2599" spans="2:9" x14ac:dyDescent="0.3">
      <c r="B2599" t="str">
        <f>IFERROR(IF(A2599="","",VLOOKUP(A2599,CadProd!$A:$B,2,0)),"")</f>
        <v/>
      </c>
      <c r="C2599" t="str">
        <f>IFERROR(IF(A2599="","",VLOOKUP(A2599,CadProd!$A:$C,3,0)),"")</f>
        <v/>
      </c>
      <c r="I2599" s="1" t="str">
        <f>IFERROR(IF(A2599="","",E2599*#REF!),"")</f>
        <v/>
      </c>
    </row>
    <row r="2600" spans="2:9" x14ac:dyDescent="0.3">
      <c r="B2600" t="str">
        <f>IFERROR(IF(A2600="","",VLOOKUP(A2600,CadProd!$A:$B,2,0)),"")</f>
        <v/>
      </c>
      <c r="C2600" t="str">
        <f>IFERROR(IF(A2600="","",VLOOKUP(A2600,CadProd!$A:$C,3,0)),"")</f>
        <v/>
      </c>
      <c r="I2600" s="1" t="str">
        <f>IFERROR(IF(A2600="","",E2600*#REF!),"")</f>
        <v/>
      </c>
    </row>
    <row r="2601" spans="2:9" x14ac:dyDescent="0.3">
      <c r="B2601" t="str">
        <f>IFERROR(IF(A2601="","",VLOOKUP(A2601,CadProd!$A:$B,2,0)),"")</f>
        <v/>
      </c>
      <c r="C2601" t="str">
        <f>IFERROR(IF(A2601="","",VLOOKUP(A2601,CadProd!$A:$C,3,0)),"")</f>
        <v/>
      </c>
      <c r="I2601" s="1" t="str">
        <f>IFERROR(IF(A2601="","",E2601*#REF!),"")</f>
        <v/>
      </c>
    </row>
    <row r="2602" spans="2:9" x14ac:dyDescent="0.3">
      <c r="B2602" t="str">
        <f>IFERROR(IF(A2602="","",VLOOKUP(A2602,CadProd!$A:$B,2,0)),"")</f>
        <v/>
      </c>
      <c r="C2602" t="str">
        <f>IFERROR(IF(A2602="","",VLOOKUP(A2602,CadProd!$A:$C,3,0)),"")</f>
        <v/>
      </c>
      <c r="I2602" s="1" t="str">
        <f>IFERROR(IF(A2602="","",E2602*#REF!),"")</f>
        <v/>
      </c>
    </row>
    <row r="2603" spans="2:9" x14ac:dyDescent="0.3">
      <c r="B2603" t="str">
        <f>IFERROR(IF(A2603="","",VLOOKUP(A2603,CadProd!$A:$B,2,0)),"")</f>
        <v/>
      </c>
      <c r="C2603" t="str">
        <f>IFERROR(IF(A2603="","",VLOOKUP(A2603,CadProd!$A:$C,3,0)),"")</f>
        <v/>
      </c>
      <c r="I2603" s="1" t="str">
        <f>IFERROR(IF(A2603="","",E2603*#REF!),"")</f>
        <v/>
      </c>
    </row>
    <row r="2604" spans="2:9" x14ac:dyDescent="0.3">
      <c r="B2604" t="str">
        <f>IFERROR(IF(A2604="","",VLOOKUP(A2604,CadProd!$A:$B,2,0)),"")</f>
        <v/>
      </c>
      <c r="C2604" t="str">
        <f>IFERROR(IF(A2604="","",VLOOKUP(A2604,CadProd!$A:$C,3,0)),"")</f>
        <v/>
      </c>
      <c r="I2604" s="1" t="str">
        <f>IFERROR(IF(A2604="","",E2604*#REF!),"")</f>
        <v/>
      </c>
    </row>
    <row r="2605" spans="2:9" x14ac:dyDescent="0.3">
      <c r="B2605" t="str">
        <f>IFERROR(IF(A2605="","",VLOOKUP(A2605,CadProd!$A:$B,2,0)),"")</f>
        <v/>
      </c>
      <c r="C2605" t="str">
        <f>IFERROR(IF(A2605="","",VLOOKUP(A2605,CadProd!$A:$C,3,0)),"")</f>
        <v/>
      </c>
      <c r="I2605" s="1" t="str">
        <f>IFERROR(IF(A2605="","",E2605*#REF!),"")</f>
        <v/>
      </c>
    </row>
    <row r="2606" spans="2:9" x14ac:dyDescent="0.3">
      <c r="B2606" t="str">
        <f>IFERROR(IF(A2606="","",VLOOKUP(A2606,CadProd!$A:$B,2,0)),"")</f>
        <v/>
      </c>
      <c r="C2606" t="str">
        <f>IFERROR(IF(A2606="","",VLOOKUP(A2606,CadProd!$A:$C,3,0)),"")</f>
        <v/>
      </c>
      <c r="I2606" s="1" t="str">
        <f>IFERROR(IF(A2606="","",E2606*#REF!),"")</f>
        <v/>
      </c>
    </row>
    <row r="2607" spans="2:9" x14ac:dyDescent="0.3">
      <c r="B2607" t="str">
        <f>IFERROR(IF(A2607="","",VLOOKUP(A2607,CadProd!$A:$B,2,0)),"")</f>
        <v/>
      </c>
      <c r="C2607" t="str">
        <f>IFERROR(IF(A2607="","",VLOOKUP(A2607,CadProd!$A:$C,3,0)),"")</f>
        <v/>
      </c>
      <c r="I2607" s="1" t="str">
        <f>IFERROR(IF(A2607="","",E2607*#REF!),"")</f>
        <v/>
      </c>
    </row>
    <row r="2608" spans="2:9" x14ac:dyDescent="0.3">
      <c r="B2608" t="str">
        <f>IFERROR(IF(A2608="","",VLOOKUP(A2608,CadProd!$A:$B,2,0)),"")</f>
        <v/>
      </c>
      <c r="C2608" t="str">
        <f>IFERROR(IF(A2608="","",VLOOKUP(A2608,CadProd!$A:$C,3,0)),"")</f>
        <v/>
      </c>
      <c r="I2608" s="1" t="str">
        <f>IFERROR(IF(A2608="","",E2608*#REF!),"")</f>
        <v/>
      </c>
    </row>
    <row r="2609" spans="2:9" x14ac:dyDescent="0.3">
      <c r="B2609" t="str">
        <f>IFERROR(IF(A2609="","",VLOOKUP(A2609,CadProd!$A:$B,2,0)),"")</f>
        <v/>
      </c>
      <c r="C2609" t="str">
        <f>IFERROR(IF(A2609="","",VLOOKUP(A2609,CadProd!$A:$C,3,0)),"")</f>
        <v/>
      </c>
      <c r="I2609" s="1" t="str">
        <f>IFERROR(IF(A2609="","",E2609*#REF!),"")</f>
        <v/>
      </c>
    </row>
    <row r="2610" spans="2:9" x14ac:dyDescent="0.3">
      <c r="B2610" t="str">
        <f>IFERROR(IF(A2610="","",VLOOKUP(A2610,CadProd!$A:$B,2,0)),"")</f>
        <v/>
      </c>
      <c r="C2610" t="str">
        <f>IFERROR(IF(A2610="","",VLOOKUP(A2610,CadProd!$A:$C,3,0)),"")</f>
        <v/>
      </c>
      <c r="I2610" s="1" t="str">
        <f>IFERROR(IF(A2610="","",E2610*#REF!),"")</f>
        <v/>
      </c>
    </row>
    <row r="2611" spans="2:9" x14ac:dyDescent="0.3">
      <c r="B2611" t="str">
        <f>IFERROR(IF(A2611="","",VLOOKUP(A2611,CadProd!$A:$B,2,0)),"")</f>
        <v/>
      </c>
      <c r="C2611" t="str">
        <f>IFERROR(IF(A2611="","",VLOOKUP(A2611,CadProd!$A:$C,3,0)),"")</f>
        <v/>
      </c>
      <c r="I2611" s="1" t="str">
        <f>IFERROR(IF(A2611="","",E2611*#REF!),"")</f>
        <v/>
      </c>
    </row>
    <row r="2612" spans="2:9" x14ac:dyDescent="0.3">
      <c r="B2612" t="str">
        <f>IFERROR(IF(A2612="","",VLOOKUP(A2612,CadProd!$A:$B,2,0)),"")</f>
        <v/>
      </c>
      <c r="C2612" t="str">
        <f>IFERROR(IF(A2612="","",VLOOKUP(A2612,CadProd!$A:$C,3,0)),"")</f>
        <v/>
      </c>
      <c r="I2612" s="1" t="str">
        <f>IFERROR(IF(A2612="","",E2612*#REF!),"")</f>
        <v/>
      </c>
    </row>
    <row r="2613" spans="2:9" x14ac:dyDescent="0.3">
      <c r="B2613" t="str">
        <f>IFERROR(IF(A2613="","",VLOOKUP(A2613,CadProd!$A:$B,2,0)),"")</f>
        <v/>
      </c>
      <c r="C2613" t="str">
        <f>IFERROR(IF(A2613="","",VLOOKUP(A2613,CadProd!$A:$C,3,0)),"")</f>
        <v/>
      </c>
      <c r="I2613" s="1" t="str">
        <f>IFERROR(IF(A2613="","",E2613*#REF!),"")</f>
        <v/>
      </c>
    </row>
    <row r="2614" spans="2:9" x14ac:dyDescent="0.3">
      <c r="B2614" t="str">
        <f>IFERROR(IF(A2614="","",VLOOKUP(A2614,CadProd!$A:$B,2,0)),"")</f>
        <v/>
      </c>
      <c r="C2614" t="str">
        <f>IFERROR(IF(A2614="","",VLOOKUP(A2614,CadProd!$A:$C,3,0)),"")</f>
        <v/>
      </c>
      <c r="I2614" s="1" t="str">
        <f>IFERROR(IF(A2614="","",E2614*#REF!),"")</f>
        <v/>
      </c>
    </row>
    <row r="2615" spans="2:9" x14ac:dyDescent="0.3">
      <c r="B2615" t="str">
        <f>IFERROR(IF(A2615="","",VLOOKUP(A2615,CadProd!$A:$B,2,0)),"")</f>
        <v/>
      </c>
      <c r="C2615" t="str">
        <f>IFERROR(IF(A2615="","",VLOOKUP(A2615,CadProd!$A:$C,3,0)),"")</f>
        <v/>
      </c>
      <c r="I2615" s="1" t="str">
        <f>IFERROR(IF(A2615="","",E2615*#REF!),"")</f>
        <v/>
      </c>
    </row>
    <row r="2616" spans="2:9" x14ac:dyDescent="0.3">
      <c r="B2616" t="str">
        <f>IFERROR(IF(A2616="","",VLOOKUP(A2616,CadProd!$A:$B,2,0)),"")</f>
        <v/>
      </c>
      <c r="C2616" t="str">
        <f>IFERROR(IF(A2616="","",VLOOKUP(A2616,CadProd!$A:$C,3,0)),"")</f>
        <v/>
      </c>
      <c r="I2616" s="1" t="str">
        <f>IFERROR(IF(A2616="","",E2616*#REF!),"")</f>
        <v/>
      </c>
    </row>
    <row r="2617" spans="2:9" x14ac:dyDescent="0.3">
      <c r="B2617" t="str">
        <f>IFERROR(IF(A2617="","",VLOOKUP(A2617,CadProd!$A:$B,2,0)),"")</f>
        <v/>
      </c>
      <c r="C2617" t="str">
        <f>IFERROR(IF(A2617="","",VLOOKUP(A2617,CadProd!$A:$C,3,0)),"")</f>
        <v/>
      </c>
      <c r="I2617" s="1" t="str">
        <f>IFERROR(IF(A2617="","",E2617*#REF!),"")</f>
        <v/>
      </c>
    </row>
    <row r="2618" spans="2:9" x14ac:dyDescent="0.3">
      <c r="B2618" t="str">
        <f>IFERROR(IF(A2618="","",VLOOKUP(A2618,CadProd!$A:$B,2,0)),"")</f>
        <v/>
      </c>
      <c r="C2618" t="str">
        <f>IFERROR(IF(A2618="","",VLOOKUP(A2618,CadProd!$A:$C,3,0)),"")</f>
        <v/>
      </c>
      <c r="I2618" s="1" t="str">
        <f>IFERROR(IF(A2618="","",E2618*#REF!),"")</f>
        <v/>
      </c>
    </row>
    <row r="2619" spans="2:9" x14ac:dyDescent="0.3">
      <c r="B2619" t="str">
        <f>IFERROR(IF(A2619="","",VLOOKUP(A2619,CadProd!$A:$B,2,0)),"")</f>
        <v/>
      </c>
      <c r="C2619" t="str">
        <f>IFERROR(IF(A2619="","",VLOOKUP(A2619,CadProd!$A:$C,3,0)),"")</f>
        <v/>
      </c>
      <c r="I2619" s="1" t="str">
        <f>IFERROR(IF(A2619="","",E2619*#REF!),"")</f>
        <v/>
      </c>
    </row>
    <row r="2620" spans="2:9" x14ac:dyDescent="0.3">
      <c r="B2620" t="str">
        <f>IFERROR(IF(A2620="","",VLOOKUP(A2620,CadProd!$A:$B,2,0)),"")</f>
        <v/>
      </c>
      <c r="C2620" t="str">
        <f>IFERROR(IF(A2620="","",VLOOKUP(A2620,CadProd!$A:$C,3,0)),"")</f>
        <v/>
      </c>
      <c r="I2620" s="1" t="str">
        <f>IFERROR(IF(A2620="","",E2620*#REF!),"")</f>
        <v/>
      </c>
    </row>
    <row r="2621" spans="2:9" x14ac:dyDescent="0.3">
      <c r="B2621" t="str">
        <f>IFERROR(IF(A2621="","",VLOOKUP(A2621,CadProd!$A:$B,2,0)),"")</f>
        <v/>
      </c>
      <c r="C2621" t="str">
        <f>IFERROR(IF(A2621="","",VLOOKUP(A2621,CadProd!$A:$C,3,0)),"")</f>
        <v/>
      </c>
      <c r="I2621" s="1" t="str">
        <f>IFERROR(IF(A2621="","",E2621*#REF!),"")</f>
        <v/>
      </c>
    </row>
    <row r="2622" spans="2:9" x14ac:dyDescent="0.3">
      <c r="B2622" t="str">
        <f>IFERROR(IF(A2622="","",VLOOKUP(A2622,CadProd!$A:$B,2,0)),"")</f>
        <v/>
      </c>
      <c r="C2622" t="str">
        <f>IFERROR(IF(A2622="","",VLOOKUP(A2622,CadProd!$A:$C,3,0)),"")</f>
        <v/>
      </c>
      <c r="I2622" s="1" t="str">
        <f>IFERROR(IF(A2622="","",E2622*#REF!),"")</f>
        <v/>
      </c>
    </row>
    <row r="2623" spans="2:9" x14ac:dyDescent="0.3">
      <c r="B2623" t="str">
        <f>IFERROR(IF(A2623="","",VLOOKUP(A2623,CadProd!$A:$B,2,0)),"")</f>
        <v/>
      </c>
      <c r="C2623" t="str">
        <f>IFERROR(IF(A2623="","",VLOOKUP(A2623,CadProd!$A:$C,3,0)),"")</f>
        <v/>
      </c>
      <c r="I2623" s="1" t="str">
        <f>IFERROR(IF(A2623="","",E2623*#REF!),"")</f>
        <v/>
      </c>
    </row>
    <row r="2624" spans="2:9" x14ac:dyDescent="0.3">
      <c r="B2624" t="str">
        <f>IFERROR(IF(A2624="","",VLOOKUP(A2624,CadProd!$A:$B,2,0)),"")</f>
        <v/>
      </c>
      <c r="C2624" t="str">
        <f>IFERROR(IF(A2624="","",VLOOKUP(A2624,CadProd!$A:$C,3,0)),"")</f>
        <v/>
      </c>
      <c r="I2624" s="1" t="str">
        <f>IFERROR(IF(A2624="","",E2624*#REF!),"")</f>
        <v/>
      </c>
    </row>
    <row r="2625" spans="2:9" x14ac:dyDescent="0.3">
      <c r="B2625" t="str">
        <f>IFERROR(IF(A2625="","",VLOOKUP(A2625,CadProd!$A:$B,2,0)),"")</f>
        <v/>
      </c>
      <c r="C2625" t="str">
        <f>IFERROR(IF(A2625="","",VLOOKUP(A2625,CadProd!$A:$C,3,0)),"")</f>
        <v/>
      </c>
      <c r="I2625" s="1" t="str">
        <f>IFERROR(IF(A2625="","",E2625*#REF!),"")</f>
        <v/>
      </c>
    </row>
    <row r="2626" spans="2:9" x14ac:dyDescent="0.3">
      <c r="B2626" t="str">
        <f>IFERROR(IF(A2626="","",VLOOKUP(A2626,CadProd!$A:$B,2,0)),"")</f>
        <v/>
      </c>
      <c r="C2626" t="str">
        <f>IFERROR(IF(A2626="","",VLOOKUP(A2626,CadProd!$A:$C,3,0)),"")</f>
        <v/>
      </c>
      <c r="I2626" s="1" t="str">
        <f>IFERROR(IF(A2626="","",E2626*#REF!),"")</f>
        <v/>
      </c>
    </row>
    <row r="2627" spans="2:9" x14ac:dyDescent="0.3">
      <c r="B2627" t="str">
        <f>IFERROR(IF(A2627="","",VLOOKUP(A2627,CadProd!$A:$B,2,0)),"")</f>
        <v/>
      </c>
      <c r="C2627" t="str">
        <f>IFERROR(IF(A2627="","",VLOOKUP(A2627,CadProd!$A:$C,3,0)),"")</f>
        <v/>
      </c>
      <c r="I2627" s="1" t="str">
        <f>IFERROR(IF(A2627="","",E2627*#REF!),"")</f>
        <v/>
      </c>
    </row>
    <row r="2628" spans="2:9" x14ac:dyDescent="0.3">
      <c r="B2628" t="str">
        <f>IFERROR(IF(A2628="","",VLOOKUP(A2628,CadProd!$A:$B,2,0)),"")</f>
        <v/>
      </c>
      <c r="C2628" t="str">
        <f>IFERROR(IF(A2628="","",VLOOKUP(A2628,CadProd!$A:$C,3,0)),"")</f>
        <v/>
      </c>
      <c r="I2628" s="1" t="str">
        <f>IFERROR(IF(A2628="","",E2628*#REF!),"")</f>
        <v/>
      </c>
    </row>
    <row r="2629" spans="2:9" x14ac:dyDescent="0.3">
      <c r="B2629" t="str">
        <f>IFERROR(IF(A2629="","",VLOOKUP(A2629,CadProd!$A:$B,2,0)),"")</f>
        <v/>
      </c>
      <c r="C2629" t="str">
        <f>IFERROR(IF(A2629="","",VLOOKUP(A2629,CadProd!$A:$C,3,0)),"")</f>
        <v/>
      </c>
      <c r="I2629" s="1" t="str">
        <f>IFERROR(IF(A2629="","",E2629*#REF!),"")</f>
        <v/>
      </c>
    </row>
    <row r="2630" spans="2:9" x14ac:dyDescent="0.3">
      <c r="B2630" t="str">
        <f>IFERROR(IF(A2630="","",VLOOKUP(A2630,CadProd!$A:$B,2,0)),"")</f>
        <v/>
      </c>
      <c r="C2630" t="str">
        <f>IFERROR(IF(A2630="","",VLOOKUP(A2630,CadProd!$A:$C,3,0)),"")</f>
        <v/>
      </c>
      <c r="I2630" s="1" t="str">
        <f>IFERROR(IF(A2630="","",E2630*#REF!),"")</f>
        <v/>
      </c>
    </row>
    <row r="2631" spans="2:9" x14ac:dyDescent="0.3">
      <c r="B2631" t="str">
        <f>IFERROR(IF(A2631="","",VLOOKUP(A2631,CadProd!$A:$B,2,0)),"")</f>
        <v/>
      </c>
      <c r="C2631" t="str">
        <f>IFERROR(IF(A2631="","",VLOOKUP(A2631,CadProd!$A:$C,3,0)),"")</f>
        <v/>
      </c>
      <c r="I2631" s="1" t="str">
        <f>IFERROR(IF(A2631="","",E2631*#REF!),"")</f>
        <v/>
      </c>
    </row>
    <row r="2632" spans="2:9" x14ac:dyDescent="0.3">
      <c r="B2632" t="str">
        <f>IFERROR(IF(A2632="","",VLOOKUP(A2632,CadProd!$A:$B,2,0)),"")</f>
        <v/>
      </c>
      <c r="C2632" t="str">
        <f>IFERROR(IF(A2632="","",VLOOKUP(A2632,CadProd!$A:$C,3,0)),"")</f>
        <v/>
      </c>
      <c r="I2632" s="1" t="str">
        <f>IFERROR(IF(A2632="","",E2632*#REF!),"")</f>
        <v/>
      </c>
    </row>
    <row r="2633" spans="2:9" x14ac:dyDescent="0.3">
      <c r="B2633" t="str">
        <f>IFERROR(IF(A2633="","",VLOOKUP(A2633,CadProd!$A:$B,2,0)),"")</f>
        <v/>
      </c>
      <c r="C2633" t="str">
        <f>IFERROR(IF(A2633="","",VLOOKUP(A2633,CadProd!$A:$C,3,0)),"")</f>
        <v/>
      </c>
      <c r="I2633" s="1" t="str">
        <f>IFERROR(IF(A2633="","",E2633*#REF!),"")</f>
        <v/>
      </c>
    </row>
    <row r="2634" spans="2:9" x14ac:dyDescent="0.3">
      <c r="B2634" t="str">
        <f>IFERROR(IF(A2634="","",VLOOKUP(A2634,CadProd!$A:$B,2,0)),"")</f>
        <v/>
      </c>
      <c r="C2634" t="str">
        <f>IFERROR(IF(A2634="","",VLOOKUP(A2634,CadProd!$A:$C,3,0)),"")</f>
        <v/>
      </c>
      <c r="I2634" s="1" t="str">
        <f>IFERROR(IF(A2634="","",E2634*#REF!),"")</f>
        <v/>
      </c>
    </row>
    <row r="2635" spans="2:9" x14ac:dyDescent="0.3">
      <c r="B2635" t="str">
        <f>IFERROR(IF(A2635="","",VLOOKUP(A2635,CadProd!$A:$B,2,0)),"")</f>
        <v/>
      </c>
      <c r="C2635" t="str">
        <f>IFERROR(IF(A2635="","",VLOOKUP(A2635,CadProd!$A:$C,3,0)),"")</f>
        <v/>
      </c>
      <c r="I2635" s="1" t="str">
        <f>IFERROR(IF(A2635="","",E2635*#REF!),"")</f>
        <v/>
      </c>
    </row>
    <row r="2636" spans="2:9" x14ac:dyDescent="0.3">
      <c r="B2636" t="str">
        <f>IFERROR(IF(A2636="","",VLOOKUP(A2636,CadProd!$A:$B,2,0)),"")</f>
        <v/>
      </c>
      <c r="C2636" t="str">
        <f>IFERROR(IF(A2636="","",VLOOKUP(A2636,CadProd!$A:$C,3,0)),"")</f>
        <v/>
      </c>
      <c r="I2636" s="1" t="str">
        <f>IFERROR(IF(A2636="","",E2636*#REF!),"")</f>
        <v/>
      </c>
    </row>
    <row r="2637" spans="2:9" x14ac:dyDescent="0.3">
      <c r="B2637" t="str">
        <f>IFERROR(IF(A2637="","",VLOOKUP(A2637,CadProd!$A:$B,2,0)),"")</f>
        <v/>
      </c>
      <c r="C2637" t="str">
        <f>IFERROR(IF(A2637="","",VLOOKUP(A2637,CadProd!$A:$C,3,0)),"")</f>
        <v/>
      </c>
      <c r="I2637" s="1" t="str">
        <f>IFERROR(IF(A2637="","",E2637*#REF!),"")</f>
        <v/>
      </c>
    </row>
    <row r="2638" spans="2:9" x14ac:dyDescent="0.3">
      <c r="B2638" t="str">
        <f>IFERROR(IF(A2638="","",VLOOKUP(A2638,CadProd!$A:$B,2,0)),"")</f>
        <v/>
      </c>
      <c r="C2638" t="str">
        <f>IFERROR(IF(A2638="","",VLOOKUP(A2638,CadProd!$A:$C,3,0)),"")</f>
        <v/>
      </c>
      <c r="I2638" s="1" t="str">
        <f>IFERROR(IF(A2638="","",E2638*#REF!),"")</f>
        <v/>
      </c>
    </row>
    <row r="2639" spans="2:9" x14ac:dyDescent="0.3">
      <c r="B2639" t="str">
        <f>IFERROR(IF(A2639="","",VLOOKUP(A2639,CadProd!$A:$B,2,0)),"")</f>
        <v/>
      </c>
      <c r="C2639" t="str">
        <f>IFERROR(IF(A2639="","",VLOOKUP(A2639,CadProd!$A:$C,3,0)),"")</f>
        <v/>
      </c>
      <c r="I2639" s="1" t="str">
        <f>IFERROR(IF(A2639="","",E2639*#REF!),"")</f>
        <v/>
      </c>
    </row>
    <row r="2640" spans="2:9" x14ac:dyDescent="0.3">
      <c r="B2640" t="str">
        <f>IFERROR(IF(A2640="","",VLOOKUP(A2640,CadProd!$A:$B,2,0)),"")</f>
        <v/>
      </c>
      <c r="C2640" t="str">
        <f>IFERROR(IF(A2640="","",VLOOKUP(A2640,CadProd!$A:$C,3,0)),"")</f>
        <v/>
      </c>
      <c r="I2640" s="1" t="str">
        <f>IFERROR(IF(A2640="","",E2640*#REF!),"")</f>
        <v/>
      </c>
    </row>
    <row r="2641" spans="2:9" x14ac:dyDescent="0.3">
      <c r="B2641" t="str">
        <f>IFERROR(IF(A2641="","",VLOOKUP(A2641,CadProd!$A:$B,2,0)),"")</f>
        <v/>
      </c>
      <c r="C2641" t="str">
        <f>IFERROR(IF(A2641="","",VLOOKUP(A2641,CadProd!$A:$C,3,0)),"")</f>
        <v/>
      </c>
      <c r="I2641" s="1" t="str">
        <f>IFERROR(IF(A2641="","",E2641*#REF!),"")</f>
        <v/>
      </c>
    </row>
    <row r="2642" spans="2:9" x14ac:dyDescent="0.3">
      <c r="B2642" t="str">
        <f>IFERROR(IF(A2642="","",VLOOKUP(A2642,CadProd!$A:$B,2,0)),"")</f>
        <v/>
      </c>
      <c r="C2642" t="str">
        <f>IFERROR(IF(A2642="","",VLOOKUP(A2642,CadProd!$A:$C,3,0)),"")</f>
        <v/>
      </c>
      <c r="I2642" s="1" t="str">
        <f>IFERROR(IF(A2642="","",E2642*#REF!),"")</f>
        <v/>
      </c>
    </row>
    <row r="2643" spans="2:9" x14ac:dyDescent="0.3">
      <c r="B2643" t="str">
        <f>IFERROR(IF(A2643="","",VLOOKUP(A2643,CadProd!$A:$B,2,0)),"")</f>
        <v/>
      </c>
      <c r="C2643" t="str">
        <f>IFERROR(IF(A2643="","",VLOOKUP(A2643,CadProd!$A:$C,3,0)),"")</f>
        <v/>
      </c>
      <c r="I2643" s="1" t="str">
        <f>IFERROR(IF(A2643="","",E2643*#REF!),"")</f>
        <v/>
      </c>
    </row>
    <row r="2644" spans="2:9" x14ac:dyDescent="0.3">
      <c r="B2644" t="str">
        <f>IFERROR(IF(A2644="","",VLOOKUP(A2644,CadProd!$A:$B,2,0)),"")</f>
        <v/>
      </c>
      <c r="C2644" t="str">
        <f>IFERROR(IF(A2644="","",VLOOKUP(A2644,CadProd!$A:$C,3,0)),"")</f>
        <v/>
      </c>
      <c r="I2644" s="1" t="str">
        <f>IFERROR(IF(A2644="","",E2644*#REF!),"")</f>
        <v/>
      </c>
    </row>
    <row r="2645" spans="2:9" x14ac:dyDescent="0.3">
      <c r="B2645" t="str">
        <f>IFERROR(IF(A2645="","",VLOOKUP(A2645,CadProd!$A:$B,2,0)),"")</f>
        <v/>
      </c>
      <c r="C2645" t="str">
        <f>IFERROR(IF(A2645="","",VLOOKUP(A2645,CadProd!$A:$C,3,0)),"")</f>
        <v/>
      </c>
      <c r="I2645" s="1" t="str">
        <f>IFERROR(IF(A2645="","",E2645*#REF!),"")</f>
        <v/>
      </c>
    </row>
    <row r="2646" spans="2:9" x14ac:dyDescent="0.3">
      <c r="B2646" t="str">
        <f>IFERROR(IF(A2646="","",VLOOKUP(A2646,CadProd!$A:$B,2,0)),"")</f>
        <v/>
      </c>
      <c r="C2646" t="str">
        <f>IFERROR(IF(A2646="","",VLOOKUP(A2646,CadProd!$A:$C,3,0)),"")</f>
        <v/>
      </c>
      <c r="I2646" s="1" t="str">
        <f>IFERROR(IF(A2646="","",E2646*#REF!),"")</f>
        <v/>
      </c>
    </row>
    <row r="2647" spans="2:9" x14ac:dyDescent="0.3">
      <c r="B2647" t="str">
        <f>IFERROR(IF(A2647="","",VLOOKUP(A2647,CadProd!$A:$B,2,0)),"")</f>
        <v/>
      </c>
      <c r="C2647" t="str">
        <f>IFERROR(IF(A2647="","",VLOOKUP(A2647,CadProd!$A:$C,3,0)),"")</f>
        <v/>
      </c>
      <c r="I2647" s="1" t="str">
        <f>IFERROR(IF(A2647="","",E2647*#REF!),"")</f>
        <v/>
      </c>
    </row>
    <row r="2648" spans="2:9" x14ac:dyDescent="0.3">
      <c r="B2648" t="str">
        <f>IFERROR(IF(A2648="","",VLOOKUP(A2648,CadProd!$A:$B,2,0)),"")</f>
        <v/>
      </c>
      <c r="C2648" t="str">
        <f>IFERROR(IF(A2648="","",VLOOKUP(A2648,CadProd!$A:$C,3,0)),"")</f>
        <v/>
      </c>
      <c r="I2648" s="1" t="str">
        <f>IFERROR(IF(A2648="","",E2648*#REF!),"")</f>
        <v/>
      </c>
    </row>
    <row r="2649" spans="2:9" x14ac:dyDescent="0.3">
      <c r="B2649" t="str">
        <f>IFERROR(IF(A2649="","",VLOOKUP(A2649,CadProd!$A:$B,2,0)),"")</f>
        <v/>
      </c>
      <c r="C2649" t="str">
        <f>IFERROR(IF(A2649="","",VLOOKUP(A2649,CadProd!$A:$C,3,0)),"")</f>
        <v/>
      </c>
      <c r="I2649" s="1" t="str">
        <f>IFERROR(IF(A2649="","",E2649*#REF!),"")</f>
        <v/>
      </c>
    </row>
    <row r="2650" spans="2:9" x14ac:dyDescent="0.3">
      <c r="B2650" t="str">
        <f>IFERROR(IF(A2650="","",VLOOKUP(A2650,CadProd!$A:$B,2,0)),"")</f>
        <v/>
      </c>
      <c r="C2650" t="str">
        <f>IFERROR(IF(A2650="","",VLOOKUP(A2650,CadProd!$A:$C,3,0)),"")</f>
        <v/>
      </c>
      <c r="I2650" s="1" t="str">
        <f>IFERROR(IF(A2650="","",E2650*#REF!),"")</f>
        <v/>
      </c>
    </row>
    <row r="2651" spans="2:9" x14ac:dyDescent="0.3">
      <c r="B2651" t="str">
        <f>IFERROR(IF(A2651="","",VLOOKUP(A2651,CadProd!$A:$B,2,0)),"")</f>
        <v/>
      </c>
      <c r="C2651" t="str">
        <f>IFERROR(IF(A2651="","",VLOOKUP(A2651,CadProd!$A:$C,3,0)),"")</f>
        <v/>
      </c>
      <c r="I2651" s="1" t="str">
        <f>IFERROR(IF(A2651="","",E2651*#REF!),"")</f>
        <v/>
      </c>
    </row>
    <row r="2652" spans="2:9" x14ac:dyDescent="0.3">
      <c r="B2652" t="str">
        <f>IFERROR(IF(A2652="","",VLOOKUP(A2652,CadProd!$A:$B,2,0)),"")</f>
        <v/>
      </c>
      <c r="C2652" t="str">
        <f>IFERROR(IF(A2652="","",VLOOKUP(A2652,CadProd!$A:$C,3,0)),"")</f>
        <v/>
      </c>
      <c r="I2652" s="1" t="str">
        <f>IFERROR(IF(A2652="","",E2652*#REF!),"")</f>
        <v/>
      </c>
    </row>
    <row r="2653" spans="2:9" x14ac:dyDescent="0.3">
      <c r="B2653" t="str">
        <f>IFERROR(IF(A2653="","",VLOOKUP(A2653,CadProd!$A:$B,2,0)),"")</f>
        <v/>
      </c>
      <c r="C2653" t="str">
        <f>IFERROR(IF(A2653="","",VLOOKUP(A2653,CadProd!$A:$C,3,0)),"")</f>
        <v/>
      </c>
      <c r="I2653" s="1" t="str">
        <f>IFERROR(IF(A2653="","",E2653*#REF!),"")</f>
        <v/>
      </c>
    </row>
    <row r="2654" spans="2:9" x14ac:dyDescent="0.3">
      <c r="B2654" t="str">
        <f>IFERROR(IF(A2654="","",VLOOKUP(A2654,CadProd!$A:$B,2,0)),"")</f>
        <v/>
      </c>
      <c r="C2654" t="str">
        <f>IFERROR(IF(A2654="","",VLOOKUP(A2654,CadProd!$A:$C,3,0)),"")</f>
        <v/>
      </c>
      <c r="I2654" s="1" t="str">
        <f>IFERROR(IF(A2654="","",E2654*#REF!),"")</f>
        <v/>
      </c>
    </row>
    <row r="2655" spans="2:9" x14ac:dyDescent="0.3">
      <c r="B2655" t="str">
        <f>IFERROR(IF(A2655="","",VLOOKUP(A2655,CadProd!$A:$B,2,0)),"")</f>
        <v/>
      </c>
      <c r="C2655" t="str">
        <f>IFERROR(IF(A2655="","",VLOOKUP(A2655,CadProd!$A:$C,3,0)),"")</f>
        <v/>
      </c>
      <c r="I2655" s="1" t="str">
        <f>IFERROR(IF(A2655="","",E2655*#REF!),"")</f>
        <v/>
      </c>
    </row>
    <row r="2656" spans="2:9" x14ac:dyDescent="0.3">
      <c r="B2656" t="str">
        <f>IFERROR(IF(A2656="","",VLOOKUP(A2656,CadProd!$A:$B,2,0)),"")</f>
        <v/>
      </c>
      <c r="C2656" t="str">
        <f>IFERROR(IF(A2656="","",VLOOKUP(A2656,CadProd!$A:$C,3,0)),"")</f>
        <v/>
      </c>
      <c r="I2656" s="1" t="str">
        <f>IFERROR(IF(A2656="","",E2656*#REF!),"")</f>
        <v/>
      </c>
    </row>
    <row r="2657" spans="2:9" x14ac:dyDescent="0.3">
      <c r="B2657" t="str">
        <f>IFERROR(IF(A2657="","",VLOOKUP(A2657,CadProd!$A:$B,2,0)),"")</f>
        <v/>
      </c>
      <c r="C2657" t="str">
        <f>IFERROR(IF(A2657="","",VLOOKUP(A2657,CadProd!$A:$C,3,0)),"")</f>
        <v/>
      </c>
      <c r="I2657" s="1" t="str">
        <f>IFERROR(IF(A2657="","",E2657*#REF!),"")</f>
        <v/>
      </c>
    </row>
    <row r="2658" spans="2:9" x14ac:dyDescent="0.3">
      <c r="B2658" t="str">
        <f>IFERROR(IF(A2658="","",VLOOKUP(A2658,CadProd!$A:$B,2,0)),"")</f>
        <v/>
      </c>
      <c r="C2658" t="str">
        <f>IFERROR(IF(A2658="","",VLOOKUP(A2658,CadProd!$A:$C,3,0)),"")</f>
        <v/>
      </c>
      <c r="I2658" s="1" t="str">
        <f>IFERROR(IF(A2658="","",E2658*#REF!),"")</f>
        <v/>
      </c>
    </row>
    <row r="2659" spans="2:9" x14ac:dyDescent="0.3">
      <c r="B2659" t="str">
        <f>IFERROR(IF(A2659="","",VLOOKUP(A2659,CadProd!$A:$B,2,0)),"")</f>
        <v/>
      </c>
      <c r="C2659" t="str">
        <f>IFERROR(IF(A2659="","",VLOOKUP(A2659,CadProd!$A:$C,3,0)),"")</f>
        <v/>
      </c>
      <c r="I2659" s="1" t="str">
        <f>IFERROR(IF(A2659="","",E2659*#REF!),"")</f>
        <v/>
      </c>
    </row>
    <row r="2660" spans="2:9" x14ac:dyDescent="0.3">
      <c r="B2660" t="str">
        <f>IFERROR(IF(A2660="","",VLOOKUP(A2660,CadProd!$A:$B,2,0)),"")</f>
        <v/>
      </c>
      <c r="C2660" t="str">
        <f>IFERROR(IF(A2660="","",VLOOKUP(A2660,CadProd!$A:$C,3,0)),"")</f>
        <v/>
      </c>
      <c r="I2660" s="1" t="str">
        <f>IFERROR(IF(A2660="","",E2660*#REF!),"")</f>
        <v/>
      </c>
    </row>
    <row r="2661" spans="2:9" x14ac:dyDescent="0.3">
      <c r="B2661" t="str">
        <f>IFERROR(IF(A2661="","",VLOOKUP(A2661,CadProd!$A:$B,2,0)),"")</f>
        <v/>
      </c>
      <c r="C2661" t="str">
        <f>IFERROR(IF(A2661="","",VLOOKUP(A2661,CadProd!$A:$C,3,0)),"")</f>
        <v/>
      </c>
      <c r="I2661" s="1" t="str">
        <f>IFERROR(IF(A2661="","",E2661*#REF!),"")</f>
        <v/>
      </c>
    </row>
    <row r="2662" spans="2:9" x14ac:dyDescent="0.3">
      <c r="B2662" t="str">
        <f>IFERROR(IF(A2662="","",VLOOKUP(A2662,CadProd!$A:$B,2,0)),"")</f>
        <v/>
      </c>
      <c r="C2662" t="str">
        <f>IFERROR(IF(A2662="","",VLOOKUP(A2662,CadProd!$A:$C,3,0)),"")</f>
        <v/>
      </c>
      <c r="I2662" s="1" t="str">
        <f>IFERROR(IF(A2662="","",E2662*#REF!),"")</f>
        <v/>
      </c>
    </row>
    <row r="2663" spans="2:9" x14ac:dyDescent="0.3">
      <c r="B2663" t="str">
        <f>IFERROR(IF(A2663="","",VLOOKUP(A2663,CadProd!$A:$B,2,0)),"")</f>
        <v/>
      </c>
      <c r="C2663" t="str">
        <f>IFERROR(IF(A2663="","",VLOOKUP(A2663,CadProd!$A:$C,3,0)),"")</f>
        <v/>
      </c>
      <c r="I2663" s="1" t="str">
        <f>IFERROR(IF(A2663="","",E2663*#REF!),"")</f>
        <v/>
      </c>
    </row>
    <row r="2664" spans="2:9" x14ac:dyDescent="0.3">
      <c r="B2664" t="str">
        <f>IFERROR(IF(A2664="","",VLOOKUP(A2664,CadProd!$A:$B,2,0)),"")</f>
        <v/>
      </c>
      <c r="C2664" t="str">
        <f>IFERROR(IF(A2664="","",VLOOKUP(A2664,CadProd!$A:$C,3,0)),"")</f>
        <v/>
      </c>
      <c r="I2664" s="1" t="str">
        <f>IFERROR(IF(A2664="","",E2664*#REF!),"")</f>
        <v/>
      </c>
    </row>
    <row r="2665" spans="2:9" x14ac:dyDescent="0.3">
      <c r="B2665" t="str">
        <f>IFERROR(IF(A2665="","",VLOOKUP(A2665,CadProd!$A:$B,2,0)),"")</f>
        <v/>
      </c>
      <c r="C2665" t="str">
        <f>IFERROR(IF(A2665="","",VLOOKUP(A2665,CadProd!$A:$C,3,0)),"")</f>
        <v/>
      </c>
      <c r="I2665" s="1" t="str">
        <f>IFERROR(IF(A2665="","",E2665*#REF!),"")</f>
        <v/>
      </c>
    </row>
    <row r="2666" spans="2:9" x14ac:dyDescent="0.3">
      <c r="B2666" t="str">
        <f>IFERROR(IF(A2666="","",VLOOKUP(A2666,CadProd!$A:$B,2,0)),"")</f>
        <v/>
      </c>
      <c r="C2666" t="str">
        <f>IFERROR(IF(A2666="","",VLOOKUP(A2666,CadProd!$A:$C,3,0)),"")</f>
        <v/>
      </c>
      <c r="I2666" s="1" t="str">
        <f>IFERROR(IF(A2666="","",E2666*#REF!),"")</f>
        <v/>
      </c>
    </row>
    <row r="2667" spans="2:9" x14ac:dyDescent="0.3">
      <c r="B2667" t="str">
        <f>IFERROR(IF(A2667="","",VLOOKUP(A2667,CadProd!$A:$B,2,0)),"")</f>
        <v/>
      </c>
      <c r="C2667" t="str">
        <f>IFERROR(IF(A2667="","",VLOOKUP(A2667,CadProd!$A:$C,3,0)),"")</f>
        <v/>
      </c>
      <c r="I2667" s="1" t="str">
        <f>IFERROR(IF(A2667="","",E2667*#REF!),"")</f>
        <v/>
      </c>
    </row>
    <row r="2668" spans="2:9" x14ac:dyDescent="0.3">
      <c r="B2668" t="str">
        <f>IFERROR(IF(A2668="","",VLOOKUP(A2668,CadProd!$A:$B,2,0)),"")</f>
        <v/>
      </c>
      <c r="C2668" t="str">
        <f>IFERROR(IF(A2668="","",VLOOKUP(A2668,CadProd!$A:$C,3,0)),"")</f>
        <v/>
      </c>
      <c r="I2668" s="1" t="str">
        <f>IFERROR(IF(A2668="","",E2668*#REF!),"")</f>
        <v/>
      </c>
    </row>
    <row r="2669" spans="2:9" x14ac:dyDescent="0.3">
      <c r="B2669" t="str">
        <f>IFERROR(IF(A2669="","",VLOOKUP(A2669,CadProd!$A:$B,2,0)),"")</f>
        <v/>
      </c>
      <c r="C2669" t="str">
        <f>IFERROR(IF(A2669="","",VLOOKUP(A2669,CadProd!$A:$C,3,0)),"")</f>
        <v/>
      </c>
      <c r="I2669" s="1" t="str">
        <f>IFERROR(IF(A2669="","",E2669*#REF!),"")</f>
        <v/>
      </c>
    </row>
    <row r="2670" spans="2:9" x14ac:dyDescent="0.3">
      <c r="B2670" t="str">
        <f>IFERROR(IF(A2670="","",VLOOKUP(A2670,CadProd!$A:$B,2,0)),"")</f>
        <v/>
      </c>
      <c r="C2670" t="str">
        <f>IFERROR(IF(A2670="","",VLOOKUP(A2670,CadProd!$A:$C,3,0)),"")</f>
        <v/>
      </c>
      <c r="I2670" s="1" t="str">
        <f>IFERROR(IF(A2670="","",E2670*#REF!),"")</f>
        <v/>
      </c>
    </row>
    <row r="2671" spans="2:9" x14ac:dyDescent="0.3">
      <c r="B2671" t="str">
        <f>IFERROR(IF(A2671="","",VLOOKUP(A2671,CadProd!$A:$B,2,0)),"")</f>
        <v/>
      </c>
      <c r="C2671" t="str">
        <f>IFERROR(IF(A2671="","",VLOOKUP(A2671,CadProd!$A:$C,3,0)),"")</f>
        <v/>
      </c>
      <c r="I2671" s="1" t="str">
        <f>IFERROR(IF(A2671="","",E2671*#REF!),"")</f>
        <v/>
      </c>
    </row>
    <row r="2672" spans="2:9" x14ac:dyDescent="0.3">
      <c r="B2672" t="str">
        <f>IFERROR(IF(A2672="","",VLOOKUP(A2672,CadProd!$A:$B,2,0)),"")</f>
        <v/>
      </c>
      <c r="C2672" t="str">
        <f>IFERROR(IF(A2672="","",VLOOKUP(A2672,CadProd!$A:$C,3,0)),"")</f>
        <v/>
      </c>
      <c r="I2672" s="1" t="str">
        <f>IFERROR(IF(A2672="","",E2672*#REF!),"")</f>
        <v/>
      </c>
    </row>
    <row r="2673" spans="2:9" x14ac:dyDescent="0.3">
      <c r="B2673" t="str">
        <f>IFERROR(IF(A2673="","",VLOOKUP(A2673,CadProd!$A:$B,2,0)),"")</f>
        <v/>
      </c>
      <c r="C2673" t="str">
        <f>IFERROR(IF(A2673="","",VLOOKUP(A2673,CadProd!$A:$C,3,0)),"")</f>
        <v/>
      </c>
      <c r="I2673" s="1" t="str">
        <f>IFERROR(IF(A2673="","",E2673*#REF!),"")</f>
        <v/>
      </c>
    </row>
    <row r="2674" spans="2:9" x14ac:dyDescent="0.3">
      <c r="B2674" t="str">
        <f>IFERROR(IF(A2674="","",VLOOKUP(A2674,CadProd!$A:$B,2,0)),"")</f>
        <v/>
      </c>
      <c r="C2674" t="str">
        <f>IFERROR(IF(A2674="","",VLOOKUP(A2674,CadProd!$A:$C,3,0)),"")</f>
        <v/>
      </c>
      <c r="I2674" s="1" t="str">
        <f>IFERROR(IF(A2674="","",E2674*#REF!),"")</f>
        <v/>
      </c>
    </row>
    <row r="2675" spans="2:9" x14ac:dyDescent="0.3">
      <c r="B2675" t="str">
        <f>IFERROR(IF(A2675="","",VLOOKUP(A2675,CadProd!$A:$B,2,0)),"")</f>
        <v/>
      </c>
      <c r="C2675" t="str">
        <f>IFERROR(IF(A2675="","",VLOOKUP(A2675,CadProd!$A:$C,3,0)),"")</f>
        <v/>
      </c>
      <c r="I2675" s="1" t="str">
        <f>IFERROR(IF(A2675="","",E2675*#REF!),"")</f>
        <v/>
      </c>
    </row>
    <row r="2676" spans="2:9" x14ac:dyDescent="0.3">
      <c r="B2676" t="str">
        <f>IFERROR(IF(A2676="","",VLOOKUP(A2676,CadProd!$A:$B,2,0)),"")</f>
        <v/>
      </c>
      <c r="C2676" t="str">
        <f>IFERROR(IF(A2676="","",VLOOKUP(A2676,CadProd!$A:$C,3,0)),"")</f>
        <v/>
      </c>
      <c r="I2676" s="1" t="str">
        <f>IFERROR(IF(A2676="","",E2676*#REF!),"")</f>
        <v/>
      </c>
    </row>
    <row r="2677" spans="2:9" x14ac:dyDescent="0.3">
      <c r="B2677" t="str">
        <f>IFERROR(IF(A2677="","",VLOOKUP(A2677,CadProd!$A:$B,2,0)),"")</f>
        <v/>
      </c>
      <c r="C2677" t="str">
        <f>IFERROR(IF(A2677="","",VLOOKUP(A2677,CadProd!$A:$C,3,0)),"")</f>
        <v/>
      </c>
      <c r="I2677" s="1" t="str">
        <f>IFERROR(IF(A2677="","",E2677*#REF!),"")</f>
        <v/>
      </c>
    </row>
    <row r="2678" spans="2:9" x14ac:dyDescent="0.3">
      <c r="B2678" t="str">
        <f>IFERROR(IF(A2678="","",VLOOKUP(A2678,CadProd!$A:$B,2,0)),"")</f>
        <v/>
      </c>
      <c r="C2678" t="str">
        <f>IFERROR(IF(A2678="","",VLOOKUP(A2678,CadProd!$A:$C,3,0)),"")</f>
        <v/>
      </c>
      <c r="I2678" s="1" t="str">
        <f>IFERROR(IF(A2678="","",E2678*#REF!),"")</f>
        <v/>
      </c>
    </row>
    <row r="2679" spans="2:9" x14ac:dyDescent="0.3">
      <c r="B2679" t="str">
        <f>IFERROR(IF(A2679="","",VLOOKUP(A2679,CadProd!$A:$B,2,0)),"")</f>
        <v/>
      </c>
      <c r="C2679" t="str">
        <f>IFERROR(IF(A2679="","",VLOOKUP(A2679,CadProd!$A:$C,3,0)),"")</f>
        <v/>
      </c>
      <c r="I2679" s="1" t="str">
        <f>IFERROR(IF(A2679="","",E2679*#REF!),"")</f>
        <v/>
      </c>
    </row>
    <row r="2680" spans="2:9" x14ac:dyDescent="0.3">
      <c r="B2680" t="str">
        <f>IFERROR(IF(A2680="","",VLOOKUP(A2680,CadProd!$A:$B,2,0)),"")</f>
        <v/>
      </c>
      <c r="C2680" t="str">
        <f>IFERROR(IF(A2680="","",VLOOKUP(A2680,CadProd!$A:$C,3,0)),"")</f>
        <v/>
      </c>
      <c r="I2680" s="1" t="str">
        <f>IFERROR(IF(A2680="","",E2680*#REF!),"")</f>
        <v/>
      </c>
    </row>
    <row r="2681" spans="2:9" x14ac:dyDescent="0.3">
      <c r="B2681" t="str">
        <f>IFERROR(IF(A2681="","",VLOOKUP(A2681,CadProd!$A:$B,2,0)),"")</f>
        <v/>
      </c>
      <c r="C2681" t="str">
        <f>IFERROR(IF(A2681="","",VLOOKUP(A2681,CadProd!$A:$C,3,0)),"")</f>
        <v/>
      </c>
      <c r="I2681" s="1" t="str">
        <f>IFERROR(IF(A2681="","",E2681*#REF!),"")</f>
        <v/>
      </c>
    </row>
    <row r="2682" spans="2:9" x14ac:dyDescent="0.3">
      <c r="B2682" t="str">
        <f>IFERROR(IF(A2682="","",VLOOKUP(A2682,CadProd!$A:$B,2,0)),"")</f>
        <v/>
      </c>
      <c r="C2682" t="str">
        <f>IFERROR(IF(A2682="","",VLOOKUP(A2682,CadProd!$A:$C,3,0)),"")</f>
        <v/>
      </c>
      <c r="I2682" s="1" t="str">
        <f>IFERROR(IF(A2682="","",E2682*#REF!),"")</f>
        <v/>
      </c>
    </row>
    <row r="2683" spans="2:9" x14ac:dyDescent="0.3">
      <c r="B2683" t="str">
        <f>IFERROR(IF(A2683="","",VLOOKUP(A2683,CadProd!$A:$B,2,0)),"")</f>
        <v/>
      </c>
      <c r="C2683" t="str">
        <f>IFERROR(IF(A2683="","",VLOOKUP(A2683,CadProd!$A:$C,3,0)),"")</f>
        <v/>
      </c>
      <c r="I2683" s="1" t="str">
        <f>IFERROR(IF(A2683="","",E2683*#REF!),"")</f>
        <v/>
      </c>
    </row>
    <row r="2684" spans="2:9" x14ac:dyDescent="0.3">
      <c r="B2684" t="str">
        <f>IFERROR(IF(A2684="","",VLOOKUP(A2684,CadProd!$A:$B,2,0)),"")</f>
        <v/>
      </c>
      <c r="C2684" t="str">
        <f>IFERROR(IF(A2684="","",VLOOKUP(A2684,CadProd!$A:$C,3,0)),"")</f>
        <v/>
      </c>
      <c r="I2684" s="1" t="str">
        <f>IFERROR(IF(A2684="","",E2684*#REF!),"")</f>
        <v/>
      </c>
    </row>
    <row r="2685" spans="2:9" x14ac:dyDescent="0.3">
      <c r="B2685" t="str">
        <f>IFERROR(IF(A2685="","",VLOOKUP(A2685,CadProd!$A:$B,2,0)),"")</f>
        <v/>
      </c>
      <c r="C2685" t="str">
        <f>IFERROR(IF(A2685="","",VLOOKUP(A2685,CadProd!$A:$C,3,0)),"")</f>
        <v/>
      </c>
      <c r="I2685" s="1" t="str">
        <f>IFERROR(IF(A2685="","",E2685*#REF!),"")</f>
        <v/>
      </c>
    </row>
    <row r="2686" spans="2:9" x14ac:dyDescent="0.3">
      <c r="B2686" t="str">
        <f>IFERROR(IF(A2686="","",VLOOKUP(A2686,CadProd!$A:$B,2,0)),"")</f>
        <v/>
      </c>
      <c r="C2686" t="str">
        <f>IFERROR(IF(A2686="","",VLOOKUP(A2686,CadProd!$A:$C,3,0)),"")</f>
        <v/>
      </c>
      <c r="I2686" s="1" t="str">
        <f>IFERROR(IF(A2686="","",E2686*#REF!),"")</f>
        <v/>
      </c>
    </row>
    <row r="2687" spans="2:9" x14ac:dyDescent="0.3">
      <c r="B2687" t="str">
        <f>IFERROR(IF(A2687="","",VLOOKUP(A2687,CadProd!$A:$B,2,0)),"")</f>
        <v/>
      </c>
      <c r="C2687" t="str">
        <f>IFERROR(IF(A2687="","",VLOOKUP(A2687,CadProd!$A:$C,3,0)),"")</f>
        <v/>
      </c>
      <c r="I2687" s="1" t="str">
        <f>IFERROR(IF(A2687="","",E2687*#REF!),"")</f>
        <v/>
      </c>
    </row>
    <row r="2688" spans="2:9" x14ac:dyDescent="0.3">
      <c r="B2688" t="str">
        <f>IFERROR(IF(A2688="","",VLOOKUP(A2688,CadProd!$A:$B,2,0)),"")</f>
        <v/>
      </c>
      <c r="C2688" t="str">
        <f>IFERROR(IF(A2688="","",VLOOKUP(A2688,CadProd!$A:$C,3,0)),"")</f>
        <v/>
      </c>
      <c r="I2688" s="1" t="str">
        <f>IFERROR(IF(A2688="","",E2688*#REF!),"")</f>
        <v/>
      </c>
    </row>
    <row r="2689" spans="2:9" x14ac:dyDescent="0.3">
      <c r="B2689" t="str">
        <f>IFERROR(IF(A2689="","",VLOOKUP(A2689,CadProd!$A:$B,2,0)),"")</f>
        <v/>
      </c>
      <c r="C2689" t="str">
        <f>IFERROR(IF(A2689="","",VLOOKUP(A2689,CadProd!$A:$C,3,0)),"")</f>
        <v/>
      </c>
      <c r="I2689" s="1" t="str">
        <f>IFERROR(IF(A2689="","",E2689*#REF!),"")</f>
        <v/>
      </c>
    </row>
    <row r="2690" spans="2:9" x14ac:dyDescent="0.3">
      <c r="B2690" t="str">
        <f>IFERROR(IF(A2690="","",VLOOKUP(A2690,CadProd!$A:$B,2,0)),"")</f>
        <v/>
      </c>
      <c r="C2690" t="str">
        <f>IFERROR(IF(A2690="","",VLOOKUP(A2690,CadProd!$A:$C,3,0)),"")</f>
        <v/>
      </c>
      <c r="I2690" s="1" t="str">
        <f>IFERROR(IF(A2690="","",E2690*#REF!),"")</f>
        <v/>
      </c>
    </row>
    <row r="2691" spans="2:9" x14ac:dyDescent="0.3">
      <c r="B2691" t="str">
        <f>IFERROR(IF(A2691="","",VLOOKUP(A2691,CadProd!$A:$B,2,0)),"")</f>
        <v/>
      </c>
      <c r="C2691" t="str">
        <f>IFERROR(IF(A2691="","",VLOOKUP(A2691,CadProd!$A:$C,3,0)),"")</f>
        <v/>
      </c>
      <c r="I2691" s="1" t="str">
        <f>IFERROR(IF(A2691="","",E2691*#REF!),"")</f>
        <v/>
      </c>
    </row>
    <row r="2692" spans="2:9" x14ac:dyDescent="0.3">
      <c r="B2692" t="str">
        <f>IFERROR(IF(A2692="","",VLOOKUP(A2692,CadProd!$A:$B,2,0)),"")</f>
        <v/>
      </c>
      <c r="C2692" t="str">
        <f>IFERROR(IF(A2692="","",VLOOKUP(A2692,CadProd!$A:$C,3,0)),"")</f>
        <v/>
      </c>
      <c r="I2692" s="1" t="str">
        <f>IFERROR(IF(A2692="","",E2692*#REF!),"")</f>
        <v/>
      </c>
    </row>
    <row r="2693" spans="2:9" x14ac:dyDescent="0.3">
      <c r="B2693" t="str">
        <f>IFERROR(IF(A2693="","",VLOOKUP(A2693,CadProd!$A:$B,2,0)),"")</f>
        <v/>
      </c>
      <c r="C2693" t="str">
        <f>IFERROR(IF(A2693="","",VLOOKUP(A2693,CadProd!$A:$C,3,0)),"")</f>
        <v/>
      </c>
      <c r="I2693" s="1" t="str">
        <f>IFERROR(IF(A2693="","",E2693*#REF!),"")</f>
        <v/>
      </c>
    </row>
    <row r="2694" spans="2:9" x14ac:dyDescent="0.3">
      <c r="B2694" t="str">
        <f>IFERROR(IF(A2694="","",VLOOKUP(A2694,CadProd!$A:$B,2,0)),"")</f>
        <v/>
      </c>
      <c r="C2694" t="str">
        <f>IFERROR(IF(A2694="","",VLOOKUP(A2694,CadProd!$A:$C,3,0)),"")</f>
        <v/>
      </c>
      <c r="I2694" s="1" t="str">
        <f>IFERROR(IF(A2694="","",E2694*#REF!),"")</f>
        <v/>
      </c>
    </row>
    <row r="2695" spans="2:9" x14ac:dyDescent="0.3">
      <c r="B2695" t="str">
        <f>IFERROR(IF(A2695="","",VLOOKUP(A2695,CadProd!$A:$B,2,0)),"")</f>
        <v/>
      </c>
      <c r="C2695" t="str">
        <f>IFERROR(IF(A2695="","",VLOOKUP(A2695,CadProd!$A:$C,3,0)),"")</f>
        <v/>
      </c>
      <c r="I2695" s="1" t="str">
        <f>IFERROR(IF(A2695="","",E2695*#REF!),"")</f>
        <v/>
      </c>
    </row>
    <row r="2696" spans="2:9" x14ac:dyDescent="0.3">
      <c r="B2696" t="str">
        <f>IFERROR(IF(A2696="","",VLOOKUP(A2696,CadProd!$A:$B,2,0)),"")</f>
        <v/>
      </c>
      <c r="C2696" t="str">
        <f>IFERROR(IF(A2696="","",VLOOKUP(A2696,CadProd!$A:$C,3,0)),"")</f>
        <v/>
      </c>
      <c r="I2696" s="1" t="str">
        <f>IFERROR(IF(A2696="","",E2696*#REF!),"")</f>
        <v/>
      </c>
    </row>
    <row r="2697" spans="2:9" x14ac:dyDescent="0.3">
      <c r="B2697" t="str">
        <f>IFERROR(IF(A2697="","",VLOOKUP(A2697,CadProd!$A:$B,2,0)),"")</f>
        <v/>
      </c>
      <c r="C2697" t="str">
        <f>IFERROR(IF(A2697="","",VLOOKUP(A2697,CadProd!$A:$C,3,0)),"")</f>
        <v/>
      </c>
      <c r="I2697" s="1" t="str">
        <f>IFERROR(IF(A2697="","",E2697*#REF!),"")</f>
        <v/>
      </c>
    </row>
    <row r="2698" spans="2:9" x14ac:dyDescent="0.3">
      <c r="B2698" t="str">
        <f>IFERROR(IF(A2698="","",VLOOKUP(A2698,CadProd!$A:$B,2,0)),"")</f>
        <v/>
      </c>
      <c r="C2698" t="str">
        <f>IFERROR(IF(A2698="","",VLOOKUP(A2698,CadProd!$A:$C,3,0)),"")</f>
        <v/>
      </c>
      <c r="I2698" s="1" t="str">
        <f>IFERROR(IF(A2698="","",E2698*#REF!),"")</f>
        <v/>
      </c>
    </row>
    <row r="2699" spans="2:9" x14ac:dyDescent="0.3">
      <c r="B2699" t="str">
        <f>IFERROR(IF(A2699="","",VLOOKUP(A2699,CadProd!$A:$B,2,0)),"")</f>
        <v/>
      </c>
      <c r="C2699" t="str">
        <f>IFERROR(IF(A2699="","",VLOOKUP(A2699,CadProd!$A:$C,3,0)),"")</f>
        <v/>
      </c>
      <c r="I2699" s="1" t="str">
        <f>IFERROR(IF(A2699="","",E2699*#REF!),"")</f>
        <v/>
      </c>
    </row>
    <row r="2700" spans="2:9" x14ac:dyDescent="0.3">
      <c r="B2700" t="str">
        <f>IFERROR(IF(A2700="","",VLOOKUP(A2700,CadProd!$A:$B,2,0)),"")</f>
        <v/>
      </c>
      <c r="C2700" t="str">
        <f>IFERROR(IF(A2700="","",VLOOKUP(A2700,CadProd!$A:$C,3,0)),"")</f>
        <v/>
      </c>
      <c r="I2700" s="1" t="str">
        <f>IFERROR(IF(A2700="","",E2700*#REF!),"")</f>
        <v/>
      </c>
    </row>
    <row r="2701" spans="2:9" x14ac:dyDescent="0.3">
      <c r="B2701" t="str">
        <f>IFERROR(IF(A2701="","",VLOOKUP(A2701,CadProd!$A:$B,2,0)),"")</f>
        <v/>
      </c>
      <c r="C2701" t="str">
        <f>IFERROR(IF(A2701="","",VLOOKUP(A2701,CadProd!$A:$C,3,0)),"")</f>
        <v/>
      </c>
      <c r="I2701" s="1" t="str">
        <f>IFERROR(IF(A2701="","",E2701*#REF!),"")</f>
        <v/>
      </c>
    </row>
    <row r="2702" spans="2:9" x14ac:dyDescent="0.3">
      <c r="B2702" t="str">
        <f>IFERROR(IF(A2702="","",VLOOKUP(A2702,CadProd!$A:$B,2,0)),"")</f>
        <v/>
      </c>
      <c r="C2702" t="str">
        <f>IFERROR(IF(A2702="","",VLOOKUP(A2702,CadProd!$A:$C,3,0)),"")</f>
        <v/>
      </c>
      <c r="I2702" s="1" t="str">
        <f>IFERROR(IF(A2702="","",E2702*#REF!),"")</f>
        <v/>
      </c>
    </row>
    <row r="2703" spans="2:9" x14ac:dyDescent="0.3">
      <c r="B2703" t="str">
        <f>IFERROR(IF(A2703="","",VLOOKUP(A2703,CadProd!$A:$B,2,0)),"")</f>
        <v/>
      </c>
      <c r="C2703" t="str">
        <f>IFERROR(IF(A2703="","",VLOOKUP(A2703,CadProd!$A:$C,3,0)),"")</f>
        <v/>
      </c>
      <c r="I2703" s="1" t="str">
        <f>IFERROR(IF(A2703="","",E2703*#REF!),"")</f>
        <v/>
      </c>
    </row>
    <row r="2704" spans="2:9" x14ac:dyDescent="0.3">
      <c r="B2704" t="str">
        <f>IFERROR(IF(A2704="","",VLOOKUP(A2704,CadProd!$A:$B,2,0)),"")</f>
        <v/>
      </c>
      <c r="C2704" t="str">
        <f>IFERROR(IF(A2704="","",VLOOKUP(A2704,CadProd!$A:$C,3,0)),"")</f>
        <v/>
      </c>
      <c r="I2704" s="1" t="str">
        <f>IFERROR(IF(A2704="","",E2704*#REF!),"")</f>
        <v/>
      </c>
    </row>
    <row r="2705" spans="2:9" x14ac:dyDescent="0.3">
      <c r="B2705" t="str">
        <f>IFERROR(IF(A2705="","",VLOOKUP(A2705,CadProd!$A:$B,2,0)),"")</f>
        <v/>
      </c>
      <c r="C2705" t="str">
        <f>IFERROR(IF(A2705="","",VLOOKUP(A2705,CadProd!$A:$C,3,0)),"")</f>
        <v/>
      </c>
      <c r="I2705" s="1" t="str">
        <f>IFERROR(IF(A2705="","",E2705*#REF!),"")</f>
        <v/>
      </c>
    </row>
    <row r="2706" spans="2:9" x14ac:dyDescent="0.3">
      <c r="B2706" t="str">
        <f>IFERROR(IF(A2706="","",VLOOKUP(A2706,CadProd!$A:$B,2,0)),"")</f>
        <v/>
      </c>
      <c r="C2706" t="str">
        <f>IFERROR(IF(A2706="","",VLOOKUP(A2706,CadProd!$A:$C,3,0)),"")</f>
        <v/>
      </c>
      <c r="I2706" s="1" t="str">
        <f>IFERROR(IF(A2706="","",E2706*#REF!),"")</f>
        <v/>
      </c>
    </row>
    <row r="2707" spans="2:9" x14ac:dyDescent="0.3">
      <c r="B2707" t="str">
        <f>IFERROR(IF(A2707="","",VLOOKUP(A2707,CadProd!$A:$B,2,0)),"")</f>
        <v/>
      </c>
      <c r="C2707" t="str">
        <f>IFERROR(IF(A2707="","",VLOOKUP(A2707,CadProd!$A:$C,3,0)),"")</f>
        <v/>
      </c>
      <c r="I2707" s="1" t="str">
        <f>IFERROR(IF(A2707="","",E2707*#REF!),"")</f>
        <v/>
      </c>
    </row>
    <row r="2708" spans="2:9" x14ac:dyDescent="0.3">
      <c r="B2708" t="str">
        <f>IFERROR(IF(A2708="","",VLOOKUP(A2708,CadProd!$A:$B,2,0)),"")</f>
        <v/>
      </c>
      <c r="C2708" t="str">
        <f>IFERROR(IF(A2708="","",VLOOKUP(A2708,CadProd!$A:$C,3,0)),"")</f>
        <v/>
      </c>
      <c r="I2708" s="1" t="str">
        <f>IFERROR(IF(A2708="","",E2708*#REF!),"")</f>
        <v/>
      </c>
    </row>
    <row r="2709" spans="2:9" x14ac:dyDescent="0.3">
      <c r="B2709" t="str">
        <f>IFERROR(IF(A2709="","",VLOOKUP(A2709,CadProd!$A:$B,2,0)),"")</f>
        <v/>
      </c>
      <c r="C2709" t="str">
        <f>IFERROR(IF(A2709="","",VLOOKUP(A2709,CadProd!$A:$C,3,0)),"")</f>
        <v/>
      </c>
      <c r="I2709" s="1" t="str">
        <f>IFERROR(IF(A2709="","",E2709*#REF!),"")</f>
        <v/>
      </c>
    </row>
    <row r="2710" spans="2:9" x14ac:dyDescent="0.3">
      <c r="B2710" t="str">
        <f>IFERROR(IF(A2710="","",VLOOKUP(A2710,CadProd!$A:$B,2,0)),"")</f>
        <v/>
      </c>
      <c r="C2710" t="str">
        <f>IFERROR(IF(A2710="","",VLOOKUP(A2710,CadProd!$A:$C,3,0)),"")</f>
        <v/>
      </c>
      <c r="I2710" s="1" t="str">
        <f>IFERROR(IF(A2710="","",E2710*#REF!),"")</f>
        <v/>
      </c>
    </row>
    <row r="2711" spans="2:9" x14ac:dyDescent="0.3">
      <c r="B2711" t="str">
        <f>IFERROR(IF(A2711="","",VLOOKUP(A2711,CadProd!$A:$B,2,0)),"")</f>
        <v/>
      </c>
      <c r="C2711" t="str">
        <f>IFERROR(IF(A2711="","",VLOOKUP(A2711,CadProd!$A:$C,3,0)),"")</f>
        <v/>
      </c>
      <c r="I2711" s="1" t="str">
        <f>IFERROR(IF(A2711="","",E2711*#REF!),"")</f>
        <v/>
      </c>
    </row>
    <row r="2712" spans="2:9" x14ac:dyDescent="0.3">
      <c r="B2712" t="str">
        <f>IFERROR(IF(A2712="","",VLOOKUP(A2712,CadProd!$A:$B,2,0)),"")</f>
        <v/>
      </c>
      <c r="C2712" t="str">
        <f>IFERROR(IF(A2712="","",VLOOKUP(A2712,CadProd!$A:$C,3,0)),"")</f>
        <v/>
      </c>
      <c r="I2712" s="1" t="str">
        <f>IFERROR(IF(A2712="","",E2712*#REF!),"")</f>
        <v/>
      </c>
    </row>
    <row r="2713" spans="2:9" x14ac:dyDescent="0.3">
      <c r="B2713" t="str">
        <f>IFERROR(IF(A2713="","",VLOOKUP(A2713,CadProd!$A:$B,2,0)),"")</f>
        <v/>
      </c>
      <c r="C2713" t="str">
        <f>IFERROR(IF(A2713="","",VLOOKUP(A2713,CadProd!$A:$C,3,0)),"")</f>
        <v/>
      </c>
      <c r="I2713" s="1" t="str">
        <f>IFERROR(IF(A2713="","",E2713*#REF!),"")</f>
        <v/>
      </c>
    </row>
    <row r="2714" spans="2:9" x14ac:dyDescent="0.3">
      <c r="B2714" t="str">
        <f>IFERROR(IF(A2714="","",VLOOKUP(A2714,CadProd!$A:$B,2,0)),"")</f>
        <v/>
      </c>
      <c r="C2714" t="str">
        <f>IFERROR(IF(A2714="","",VLOOKUP(A2714,CadProd!$A:$C,3,0)),"")</f>
        <v/>
      </c>
      <c r="I2714" s="1" t="str">
        <f>IFERROR(IF(A2714="","",E2714*#REF!),"")</f>
        <v/>
      </c>
    </row>
    <row r="2715" spans="2:9" x14ac:dyDescent="0.3">
      <c r="B2715" t="str">
        <f>IFERROR(IF(A2715="","",VLOOKUP(A2715,CadProd!$A:$B,2,0)),"")</f>
        <v/>
      </c>
      <c r="C2715" t="str">
        <f>IFERROR(IF(A2715="","",VLOOKUP(A2715,CadProd!$A:$C,3,0)),"")</f>
        <v/>
      </c>
      <c r="I2715" s="1" t="str">
        <f>IFERROR(IF(A2715="","",E2715*#REF!),"")</f>
        <v/>
      </c>
    </row>
    <row r="2716" spans="2:9" x14ac:dyDescent="0.3">
      <c r="B2716" t="str">
        <f>IFERROR(IF(A2716="","",VLOOKUP(A2716,CadProd!$A:$B,2,0)),"")</f>
        <v/>
      </c>
      <c r="C2716" t="str">
        <f>IFERROR(IF(A2716="","",VLOOKUP(A2716,CadProd!$A:$C,3,0)),"")</f>
        <v/>
      </c>
      <c r="I2716" s="1" t="str">
        <f>IFERROR(IF(A2716="","",E2716*#REF!),"")</f>
        <v/>
      </c>
    </row>
    <row r="2717" spans="2:9" x14ac:dyDescent="0.3">
      <c r="B2717" t="str">
        <f>IFERROR(IF(A2717="","",VLOOKUP(A2717,CadProd!$A:$B,2,0)),"")</f>
        <v/>
      </c>
      <c r="C2717" t="str">
        <f>IFERROR(IF(A2717="","",VLOOKUP(A2717,CadProd!$A:$C,3,0)),"")</f>
        <v/>
      </c>
      <c r="I2717" s="1" t="str">
        <f>IFERROR(IF(A2717="","",E2717*#REF!),"")</f>
        <v/>
      </c>
    </row>
    <row r="2718" spans="2:9" x14ac:dyDescent="0.3">
      <c r="B2718" t="str">
        <f>IFERROR(IF(A2718="","",VLOOKUP(A2718,CadProd!$A:$B,2,0)),"")</f>
        <v/>
      </c>
      <c r="C2718" t="str">
        <f>IFERROR(IF(A2718="","",VLOOKUP(A2718,CadProd!$A:$C,3,0)),"")</f>
        <v/>
      </c>
      <c r="I2718" s="1" t="str">
        <f>IFERROR(IF(A2718="","",E2718*#REF!),"")</f>
        <v/>
      </c>
    </row>
    <row r="2719" spans="2:9" x14ac:dyDescent="0.3">
      <c r="B2719" t="str">
        <f>IFERROR(IF(A2719="","",VLOOKUP(A2719,CadProd!$A:$B,2,0)),"")</f>
        <v/>
      </c>
      <c r="C2719" t="str">
        <f>IFERROR(IF(A2719="","",VLOOKUP(A2719,CadProd!$A:$C,3,0)),"")</f>
        <v/>
      </c>
      <c r="I2719" s="1" t="str">
        <f>IFERROR(IF(A2719="","",E2719*#REF!),"")</f>
        <v/>
      </c>
    </row>
    <row r="2720" spans="2:9" x14ac:dyDescent="0.3">
      <c r="B2720" t="str">
        <f>IFERROR(IF(A2720="","",VLOOKUP(A2720,CadProd!$A:$B,2,0)),"")</f>
        <v/>
      </c>
      <c r="C2720" t="str">
        <f>IFERROR(IF(A2720="","",VLOOKUP(A2720,CadProd!$A:$C,3,0)),"")</f>
        <v/>
      </c>
      <c r="I2720" s="1" t="str">
        <f>IFERROR(IF(A2720="","",E2720*#REF!),"")</f>
        <v/>
      </c>
    </row>
    <row r="2721" spans="2:9" x14ac:dyDescent="0.3">
      <c r="B2721" t="str">
        <f>IFERROR(IF(A2721="","",VLOOKUP(A2721,CadProd!$A:$B,2,0)),"")</f>
        <v/>
      </c>
      <c r="C2721" t="str">
        <f>IFERROR(IF(A2721="","",VLOOKUP(A2721,CadProd!$A:$C,3,0)),"")</f>
        <v/>
      </c>
      <c r="I2721" s="1" t="str">
        <f>IFERROR(IF(A2721="","",E2721*#REF!),"")</f>
        <v/>
      </c>
    </row>
    <row r="2722" spans="2:9" x14ac:dyDescent="0.3">
      <c r="B2722" t="str">
        <f>IFERROR(IF(A2722="","",VLOOKUP(A2722,CadProd!$A:$B,2,0)),"")</f>
        <v/>
      </c>
      <c r="C2722" t="str">
        <f>IFERROR(IF(A2722="","",VLOOKUP(A2722,CadProd!$A:$C,3,0)),"")</f>
        <v/>
      </c>
      <c r="I2722" s="1" t="str">
        <f>IFERROR(IF(A2722="","",E2722*#REF!),"")</f>
        <v/>
      </c>
    </row>
    <row r="2723" spans="2:9" x14ac:dyDescent="0.3">
      <c r="B2723" t="str">
        <f>IFERROR(IF(A2723="","",VLOOKUP(A2723,CadProd!$A:$B,2,0)),"")</f>
        <v/>
      </c>
      <c r="C2723" t="str">
        <f>IFERROR(IF(A2723="","",VLOOKUP(A2723,CadProd!$A:$C,3,0)),"")</f>
        <v/>
      </c>
      <c r="I2723" s="1" t="str">
        <f>IFERROR(IF(A2723="","",E2723*#REF!),"")</f>
        <v/>
      </c>
    </row>
    <row r="2724" spans="2:9" x14ac:dyDescent="0.3">
      <c r="B2724" t="str">
        <f>IFERROR(IF(A2724="","",VLOOKUP(A2724,CadProd!$A:$B,2,0)),"")</f>
        <v/>
      </c>
      <c r="C2724" t="str">
        <f>IFERROR(IF(A2724="","",VLOOKUP(A2724,CadProd!$A:$C,3,0)),"")</f>
        <v/>
      </c>
      <c r="I2724" s="1" t="str">
        <f>IFERROR(IF(A2724="","",E2724*#REF!),"")</f>
        <v/>
      </c>
    </row>
    <row r="2725" spans="2:9" x14ac:dyDescent="0.3">
      <c r="B2725" t="str">
        <f>IFERROR(IF(A2725="","",VLOOKUP(A2725,CadProd!$A:$B,2,0)),"")</f>
        <v/>
      </c>
      <c r="C2725" t="str">
        <f>IFERROR(IF(A2725="","",VLOOKUP(A2725,CadProd!$A:$C,3,0)),"")</f>
        <v/>
      </c>
      <c r="I2725" s="1" t="str">
        <f>IFERROR(IF(A2725="","",E2725*#REF!),"")</f>
        <v/>
      </c>
    </row>
    <row r="2726" spans="2:9" x14ac:dyDescent="0.3">
      <c r="B2726" t="str">
        <f>IFERROR(IF(A2726="","",VLOOKUP(A2726,CadProd!$A:$B,2,0)),"")</f>
        <v/>
      </c>
      <c r="C2726" t="str">
        <f>IFERROR(IF(A2726="","",VLOOKUP(A2726,CadProd!$A:$C,3,0)),"")</f>
        <v/>
      </c>
      <c r="I2726" s="1" t="str">
        <f>IFERROR(IF(A2726="","",E2726*#REF!),"")</f>
        <v/>
      </c>
    </row>
    <row r="2727" spans="2:9" x14ac:dyDescent="0.3">
      <c r="B2727" t="str">
        <f>IFERROR(IF(A2727="","",VLOOKUP(A2727,CadProd!$A:$B,2,0)),"")</f>
        <v/>
      </c>
      <c r="C2727" t="str">
        <f>IFERROR(IF(A2727="","",VLOOKUP(A2727,CadProd!$A:$C,3,0)),"")</f>
        <v/>
      </c>
      <c r="I2727" s="1" t="str">
        <f>IFERROR(IF(A2727="","",E2727*#REF!),"")</f>
        <v/>
      </c>
    </row>
    <row r="2728" spans="2:9" x14ac:dyDescent="0.3">
      <c r="B2728" t="str">
        <f>IFERROR(IF(A2728="","",VLOOKUP(A2728,CadProd!$A:$B,2,0)),"")</f>
        <v/>
      </c>
      <c r="C2728" t="str">
        <f>IFERROR(IF(A2728="","",VLOOKUP(A2728,CadProd!$A:$C,3,0)),"")</f>
        <v/>
      </c>
      <c r="I2728" s="1" t="str">
        <f>IFERROR(IF(A2728="","",E2728*#REF!),"")</f>
        <v/>
      </c>
    </row>
    <row r="2729" spans="2:9" x14ac:dyDescent="0.3">
      <c r="B2729" t="str">
        <f>IFERROR(IF(A2729="","",VLOOKUP(A2729,CadProd!$A:$B,2,0)),"")</f>
        <v/>
      </c>
      <c r="C2729" t="str">
        <f>IFERROR(IF(A2729="","",VLOOKUP(A2729,CadProd!$A:$C,3,0)),"")</f>
        <v/>
      </c>
      <c r="I2729" s="1" t="str">
        <f>IFERROR(IF(A2729="","",E2729*#REF!),"")</f>
        <v/>
      </c>
    </row>
    <row r="2730" spans="2:9" x14ac:dyDescent="0.3">
      <c r="B2730" t="str">
        <f>IFERROR(IF(A2730="","",VLOOKUP(A2730,CadProd!$A:$B,2,0)),"")</f>
        <v/>
      </c>
      <c r="C2730" t="str">
        <f>IFERROR(IF(A2730="","",VLOOKUP(A2730,CadProd!$A:$C,3,0)),"")</f>
        <v/>
      </c>
      <c r="I2730" s="1" t="str">
        <f>IFERROR(IF(A2730="","",E2730*#REF!),"")</f>
        <v/>
      </c>
    </row>
    <row r="2731" spans="2:9" x14ac:dyDescent="0.3">
      <c r="B2731" t="str">
        <f>IFERROR(IF(A2731="","",VLOOKUP(A2731,CadProd!$A:$B,2,0)),"")</f>
        <v/>
      </c>
      <c r="C2731" t="str">
        <f>IFERROR(IF(A2731="","",VLOOKUP(A2731,CadProd!$A:$C,3,0)),"")</f>
        <v/>
      </c>
      <c r="I2731" s="1" t="str">
        <f>IFERROR(IF(A2731="","",E2731*#REF!),"")</f>
        <v/>
      </c>
    </row>
    <row r="2732" spans="2:9" x14ac:dyDescent="0.3">
      <c r="B2732" t="str">
        <f>IFERROR(IF(A2732="","",VLOOKUP(A2732,CadProd!$A:$B,2,0)),"")</f>
        <v/>
      </c>
      <c r="C2732" t="str">
        <f>IFERROR(IF(A2732="","",VLOOKUP(A2732,CadProd!$A:$C,3,0)),"")</f>
        <v/>
      </c>
      <c r="I2732" s="1" t="str">
        <f>IFERROR(IF(A2732="","",E2732*#REF!),"")</f>
        <v/>
      </c>
    </row>
    <row r="2733" spans="2:9" x14ac:dyDescent="0.3">
      <c r="B2733" t="str">
        <f>IFERROR(IF(A2733="","",VLOOKUP(A2733,CadProd!$A:$B,2,0)),"")</f>
        <v/>
      </c>
      <c r="C2733" t="str">
        <f>IFERROR(IF(A2733="","",VLOOKUP(A2733,CadProd!$A:$C,3,0)),"")</f>
        <v/>
      </c>
      <c r="I2733" s="1" t="str">
        <f>IFERROR(IF(A2733="","",E2733*#REF!),"")</f>
        <v/>
      </c>
    </row>
    <row r="2734" spans="2:9" x14ac:dyDescent="0.3">
      <c r="B2734" t="str">
        <f>IFERROR(IF(A2734="","",VLOOKUP(A2734,CadProd!$A:$B,2,0)),"")</f>
        <v/>
      </c>
      <c r="C2734" t="str">
        <f>IFERROR(IF(A2734="","",VLOOKUP(A2734,CadProd!$A:$C,3,0)),"")</f>
        <v/>
      </c>
      <c r="I2734" s="1" t="str">
        <f>IFERROR(IF(A2734="","",E2734*#REF!),"")</f>
        <v/>
      </c>
    </row>
    <row r="2735" spans="2:9" x14ac:dyDescent="0.3">
      <c r="B2735" t="str">
        <f>IFERROR(IF(A2735="","",VLOOKUP(A2735,CadProd!$A:$B,2,0)),"")</f>
        <v/>
      </c>
      <c r="C2735" t="str">
        <f>IFERROR(IF(A2735="","",VLOOKUP(A2735,CadProd!$A:$C,3,0)),"")</f>
        <v/>
      </c>
      <c r="I2735" s="1" t="str">
        <f>IFERROR(IF(A2735="","",E2735*#REF!),"")</f>
        <v/>
      </c>
    </row>
    <row r="2736" spans="2:9" x14ac:dyDescent="0.3">
      <c r="B2736" t="str">
        <f>IFERROR(IF(A2736="","",VLOOKUP(A2736,CadProd!$A:$B,2,0)),"")</f>
        <v/>
      </c>
      <c r="C2736" t="str">
        <f>IFERROR(IF(A2736="","",VLOOKUP(A2736,CadProd!$A:$C,3,0)),"")</f>
        <v/>
      </c>
      <c r="I2736" s="1" t="str">
        <f>IFERROR(IF(A2736="","",E2736*#REF!),"")</f>
        <v/>
      </c>
    </row>
    <row r="2737" spans="2:9" x14ac:dyDescent="0.3">
      <c r="B2737" t="str">
        <f>IFERROR(IF(A2737="","",VLOOKUP(A2737,CadProd!$A:$B,2,0)),"")</f>
        <v/>
      </c>
      <c r="C2737" t="str">
        <f>IFERROR(IF(A2737="","",VLOOKUP(A2737,CadProd!$A:$C,3,0)),"")</f>
        <v/>
      </c>
      <c r="I2737" s="1" t="str">
        <f>IFERROR(IF(A2737="","",E2737*#REF!),"")</f>
        <v/>
      </c>
    </row>
    <row r="2738" spans="2:9" x14ac:dyDescent="0.3">
      <c r="B2738" t="str">
        <f>IFERROR(IF(A2738="","",VLOOKUP(A2738,CadProd!$A:$B,2,0)),"")</f>
        <v/>
      </c>
      <c r="C2738" t="str">
        <f>IFERROR(IF(A2738="","",VLOOKUP(A2738,CadProd!$A:$C,3,0)),"")</f>
        <v/>
      </c>
      <c r="I2738" s="1" t="str">
        <f>IFERROR(IF(A2738="","",E2738*#REF!),"")</f>
        <v/>
      </c>
    </row>
    <row r="2739" spans="2:9" x14ac:dyDescent="0.3">
      <c r="B2739" t="str">
        <f>IFERROR(IF(A2739="","",VLOOKUP(A2739,CadProd!$A:$B,2,0)),"")</f>
        <v/>
      </c>
      <c r="C2739" t="str">
        <f>IFERROR(IF(A2739="","",VLOOKUP(A2739,CadProd!$A:$C,3,0)),"")</f>
        <v/>
      </c>
      <c r="I2739" s="1" t="str">
        <f>IFERROR(IF(A2739="","",E2739*#REF!),"")</f>
        <v/>
      </c>
    </row>
    <row r="2740" spans="2:9" x14ac:dyDescent="0.3">
      <c r="B2740" t="str">
        <f>IFERROR(IF(A2740="","",VLOOKUP(A2740,CadProd!$A:$B,2,0)),"")</f>
        <v/>
      </c>
      <c r="C2740" t="str">
        <f>IFERROR(IF(A2740="","",VLOOKUP(A2740,CadProd!$A:$C,3,0)),"")</f>
        <v/>
      </c>
      <c r="I2740" s="1" t="str">
        <f>IFERROR(IF(A2740="","",E2740*#REF!),"")</f>
        <v/>
      </c>
    </row>
    <row r="2741" spans="2:9" x14ac:dyDescent="0.3">
      <c r="B2741" t="str">
        <f>IFERROR(IF(A2741="","",VLOOKUP(A2741,CadProd!$A:$B,2,0)),"")</f>
        <v/>
      </c>
      <c r="C2741" t="str">
        <f>IFERROR(IF(A2741="","",VLOOKUP(A2741,CadProd!$A:$C,3,0)),"")</f>
        <v/>
      </c>
      <c r="I2741" s="1" t="str">
        <f>IFERROR(IF(A2741="","",E2741*#REF!),"")</f>
        <v/>
      </c>
    </row>
    <row r="2742" spans="2:9" x14ac:dyDescent="0.3">
      <c r="B2742" t="str">
        <f>IFERROR(IF(A2742="","",VLOOKUP(A2742,CadProd!$A:$B,2,0)),"")</f>
        <v/>
      </c>
      <c r="C2742" t="str">
        <f>IFERROR(IF(A2742="","",VLOOKUP(A2742,CadProd!$A:$C,3,0)),"")</f>
        <v/>
      </c>
      <c r="I2742" s="1" t="str">
        <f>IFERROR(IF(A2742="","",E2742*#REF!),"")</f>
        <v/>
      </c>
    </row>
    <row r="2743" spans="2:9" x14ac:dyDescent="0.3">
      <c r="B2743" t="str">
        <f>IFERROR(IF(A2743="","",VLOOKUP(A2743,CadProd!$A:$B,2,0)),"")</f>
        <v/>
      </c>
      <c r="C2743" t="str">
        <f>IFERROR(IF(A2743="","",VLOOKUP(A2743,CadProd!$A:$C,3,0)),"")</f>
        <v/>
      </c>
      <c r="I2743" s="1" t="str">
        <f>IFERROR(IF(A2743="","",E2743*#REF!),"")</f>
        <v/>
      </c>
    </row>
    <row r="2744" spans="2:9" x14ac:dyDescent="0.3">
      <c r="B2744" t="str">
        <f>IFERROR(IF(A2744="","",VLOOKUP(A2744,CadProd!$A:$B,2,0)),"")</f>
        <v/>
      </c>
      <c r="C2744" t="str">
        <f>IFERROR(IF(A2744="","",VLOOKUP(A2744,CadProd!$A:$C,3,0)),"")</f>
        <v/>
      </c>
      <c r="I2744" s="1" t="str">
        <f>IFERROR(IF(A2744="","",E2744*#REF!),"")</f>
        <v/>
      </c>
    </row>
    <row r="2745" spans="2:9" x14ac:dyDescent="0.3">
      <c r="B2745" t="str">
        <f>IFERROR(IF(A2745="","",VLOOKUP(A2745,CadProd!$A:$B,2,0)),"")</f>
        <v/>
      </c>
      <c r="C2745" t="str">
        <f>IFERROR(IF(A2745="","",VLOOKUP(A2745,CadProd!$A:$C,3,0)),"")</f>
        <v/>
      </c>
      <c r="I2745" s="1" t="str">
        <f>IFERROR(IF(A2745="","",E2745*#REF!),"")</f>
        <v/>
      </c>
    </row>
    <row r="2746" spans="2:9" x14ac:dyDescent="0.3">
      <c r="B2746" t="str">
        <f>IFERROR(IF(A2746="","",VLOOKUP(A2746,CadProd!$A:$B,2,0)),"")</f>
        <v/>
      </c>
      <c r="C2746" t="str">
        <f>IFERROR(IF(A2746="","",VLOOKUP(A2746,CadProd!$A:$C,3,0)),"")</f>
        <v/>
      </c>
      <c r="I2746" s="1" t="str">
        <f>IFERROR(IF(A2746="","",E2746*#REF!),"")</f>
        <v/>
      </c>
    </row>
    <row r="2747" spans="2:9" x14ac:dyDescent="0.3">
      <c r="B2747" t="str">
        <f>IFERROR(IF(A2747="","",VLOOKUP(A2747,CadProd!$A:$B,2,0)),"")</f>
        <v/>
      </c>
      <c r="C2747" t="str">
        <f>IFERROR(IF(A2747="","",VLOOKUP(A2747,CadProd!$A:$C,3,0)),"")</f>
        <v/>
      </c>
      <c r="I2747" s="1" t="str">
        <f>IFERROR(IF(A2747="","",E2747*#REF!),"")</f>
        <v/>
      </c>
    </row>
    <row r="2748" spans="2:9" x14ac:dyDescent="0.3">
      <c r="B2748" t="str">
        <f>IFERROR(IF(A2748="","",VLOOKUP(A2748,CadProd!$A:$B,2,0)),"")</f>
        <v/>
      </c>
      <c r="C2748" t="str">
        <f>IFERROR(IF(A2748="","",VLOOKUP(A2748,CadProd!$A:$C,3,0)),"")</f>
        <v/>
      </c>
      <c r="I2748" s="1" t="str">
        <f>IFERROR(IF(A2748="","",E2748*#REF!),"")</f>
        <v/>
      </c>
    </row>
    <row r="2749" spans="2:9" x14ac:dyDescent="0.3">
      <c r="B2749" t="str">
        <f>IFERROR(IF(A2749="","",VLOOKUP(A2749,CadProd!$A:$B,2,0)),"")</f>
        <v/>
      </c>
      <c r="C2749" t="str">
        <f>IFERROR(IF(A2749="","",VLOOKUP(A2749,CadProd!$A:$C,3,0)),"")</f>
        <v/>
      </c>
      <c r="I2749" s="1" t="str">
        <f>IFERROR(IF(A2749="","",E2749*#REF!),"")</f>
        <v/>
      </c>
    </row>
    <row r="2750" spans="2:9" x14ac:dyDescent="0.3">
      <c r="B2750" t="str">
        <f>IFERROR(IF(A2750="","",VLOOKUP(A2750,CadProd!$A:$B,2,0)),"")</f>
        <v/>
      </c>
      <c r="C2750" t="str">
        <f>IFERROR(IF(A2750="","",VLOOKUP(A2750,CadProd!$A:$C,3,0)),"")</f>
        <v/>
      </c>
      <c r="I2750" s="1" t="str">
        <f>IFERROR(IF(A2750="","",E2750*#REF!),"")</f>
        <v/>
      </c>
    </row>
    <row r="2751" spans="2:9" x14ac:dyDescent="0.3">
      <c r="B2751" t="str">
        <f>IFERROR(IF(A2751="","",VLOOKUP(A2751,CadProd!$A:$B,2,0)),"")</f>
        <v/>
      </c>
      <c r="C2751" t="str">
        <f>IFERROR(IF(A2751="","",VLOOKUP(A2751,CadProd!$A:$C,3,0)),"")</f>
        <v/>
      </c>
      <c r="I2751" s="1" t="str">
        <f>IFERROR(IF(A2751="","",E2751*#REF!),"")</f>
        <v/>
      </c>
    </row>
    <row r="2752" spans="2:9" x14ac:dyDescent="0.3">
      <c r="B2752" t="str">
        <f>IFERROR(IF(A2752="","",VLOOKUP(A2752,CadProd!$A:$B,2,0)),"")</f>
        <v/>
      </c>
      <c r="C2752" t="str">
        <f>IFERROR(IF(A2752="","",VLOOKUP(A2752,CadProd!$A:$C,3,0)),"")</f>
        <v/>
      </c>
      <c r="I2752" s="1" t="str">
        <f>IFERROR(IF(A2752="","",E2752*#REF!),"")</f>
        <v/>
      </c>
    </row>
    <row r="2753" spans="2:9" x14ac:dyDescent="0.3">
      <c r="B2753" t="str">
        <f>IFERROR(IF(A2753="","",VLOOKUP(A2753,CadProd!$A:$B,2,0)),"")</f>
        <v/>
      </c>
      <c r="C2753" t="str">
        <f>IFERROR(IF(A2753="","",VLOOKUP(A2753,CadProd!$A:$C,3,0)),"")</f>
        <v/>
      </c>
      <c r="I2753" s="1" t="str">
        <f>IFERROR(IF(A2753="","",E2753*#REF!),"")</f>
        <v/>
      </c>
    </row>
    <row r="2754" spans="2:9" x14ac:dyDescent="0.3">
      <c r="B2754" t="str">
        <f>IFERROR(IF(A2754="","",VLOOKUP(A2754,CadProd!$A:$B,2,0)),"")</f>
        <v/>
      </c>
      <c r="C2754" t="str">
        <f>IFERROR(IF(A2754="","",VLOOKUP(A2754,CadProd!$A:$C,3,0)),"")</f>
        <v/>
      </c>
      <c r="I2754" s="1" t="str">
        <f>IFERROR(IF(A2754="","",E2754*#REF!),"")</f>
        <v/>
      </c>
    </row>
    <row r="2755" spans="2:9" x14ac:dyDescent="0.3">
      <c r="B2755" t="str">
        <f>IFERROR(IF(A2755="","",VLOOKUP(A2755,CadProd!$A:$B,2,0)),"")</f>
        <v/>
      </c>
      <c r="C2755" t="str">
        <f>IFERROR(IF(A2755="","",VLOOKUP(A2755,CadProd!$A:$C,3,0)),"")</f>
        <v/>
      </c>
      <c r="I2755" s="1" t="str">
        <f>IFERROR(IF(A2755="","",E2755*#REF!),"")</f>
        <v/>
      </c>
    </row>
    <row r="2756" spans="2:9" x14ac:dyDescent="0.3">
      <c r="B2756" t="str">
        <f>IFERROR(IF(A2756="","",VLOOKUP(A2756,CadProd!$A:$B,2,0)),"")</f>
        <v/>
      </c>
      <c r="C2756" t="str">
        <f>IFERROR(IF(A2756="","",VLOOKUP(A2756,CadProd!$A:$C,3,0)),"")</f>
        <v/>
      </c>
      <c r="I2756" s="1" t="str">
        <f>IFERROR(IF(A2756="","",E2756*#REF!),"")</f>
        <v/>
      </c>
    </row>
    <row r="2757" spans="2:9" x14ac:dyDescent="0.3">
      <c r="B2757" t="str">
        <f>IFERROR(IF(A2757="","",VLOOKUP(A2757,CadProd!$A:$B,2,0)),"")</f>
        <v/>
      </c>
      <c r="C2757" t="str">
        <f>IFERROR(IF(A2757="","",VLOOKUP(A2757,CadProd!$A:$C,3,0)),"")</f>
        <v/>
      </c>
      <c r="I2757" s="1" t="str">
        <f>IFERROR(IF(A2757="","",E2757*#REF!),"")</f>
        <v/>
      </c>
    </row>
    <row r="2758" spans="2:9" x14ac:dyDescent="0.3">
      <c r="B2758" t="str">
        <f>IFERROR(IF(A2758="","",VLOOKUP(A2758,CadProd!$A:$B,2,0)),"")</f>
        <v/>
      </c>
      <c r="C2758" t="str">
        <f>IFERROR(IF(A2758="","",VLOOKUP(A2758,CadProd!$A:$C,3,0)),"")</f>
        <v/>
      </c>
      <c r="I2758" s="1" t="str">
        <f>IFERROR(IF(A2758="","",E2758*#REF!),"")</f>
        <v/>
      </c>
    </row>
    <row r="2759" spans="2:9" x14ac:dyDescent="0.3">
      <c r="B2759" t="str">
        <f>IFERROR(IF(A2759="","",VLOOKUP(A2759,CadProd!$A:$B,2,0)),"")</f>
        <v/>
      </c>
      <c r="C2759" t="str">
        <f>IFERROR(IF(A2759="","",VLOOKUP(A2759,CadProd!$A:$C,3,0)),"")</f>
        <v/>
      </c>
      <c r="I2759" s="1" t="str">
        <f>IFERROR(IF(A2759="","",E2759*#REF!),"")</f>
        <v/>
      </c>
    </row>
    <row r="2760" spans="2:9" x14ac:dyDescent="0.3">
      <c r="B2760" t="str">
        <f>IFERROR(IF(A2760="","",VLOOKUP(A2760,CadProd!$A:$B,2,0)),"")</f>
        <v/>
      </c>
      <c r="C2760" t="str">
        <f>IFERROR(IF(A2760="","",VLOOKUP(A2760,CadProd!$A:$C,3,0)),"")</f>
        <v/>
      </c>
      <c r="I2760" s="1" t="str">
        <f>IFERROR(IF(A2760="","",E2760*#REF!),"")</f>
        <v/>
      </c>
    </row>
    <row r="2761" spans="2:9" x14ac:dyDescent="0.3">
      <c r="B2761" t="str">
        <f>IFERROR(IF(A2761="","",VLOOKUP(A2761,CadProd!$A:$B,2,0)),"")</f>
        <v/>
      </c>
      <c r="C2761" t="str">
        <f>IFERROR(IF(A2761="","",VLOOKUP(A2761,CadProd!$A:$C,3,0)),"")</f>
        <v/>
      </c>
      <c r="I2761" s="1" t="str">
        <f>IFERROR(IF(A2761="","",E2761*#REF!),"")</f>
        <v/>
      </c>
    </row>
    <row r="2762" spans="2:9" x14ac:dyDescent="0.3">
      <c r="B2762" t="str">
        <f>IFERROR(IF(A2762="","",VLOOKUP(A2762,CadProd!$A:$B,2,0)),"")</f>
        <v/>
      </c>
      <c r="C2762" t="str">
        <f>IFERROR(IF(A2762="","",VLOOKUP(A2762,CadProd!$A:$C,3,0)),"")</f>
        <v/>
      </c>
      <c r="I2762" s="1" t="str">
        <f>IFERROR(IF(A2762="","",E2762*#REF!),"")</f>
        <v/>
      </c>
    </row>
    <row r="2763" spans="2:9" x14ac:dyDescent="0.3">
      <c r="B2763" t="str">
        <f>IFERROR(IF(A2763="","",VLOOKUP(A2763,CadProd!$A:$B,2,0)),"")</f>
        <v/>
      </c>
      <c r="C2763" t="str">
        <f>IFERROR(IF(A2763="","",VLOOKUP(A2763,CadProd!$A:$C,3,0)),"")</f>
        <v/>
      </c>
      <c r="I2763" s="1" t="str">
        <f>IFERROR(IF(A2763="","",E2763*#REF!),"")</f>
        <v/>
      </c>
    </row>
    <row r="2764" spans="2:9" x14ac:dyDescent="0.3">
      <c r="B2764" t="str">
        <f>IFERROR(IF(A2764="","",VLOOKUP(A2764,CadProd!$A:$B,2,0)),"")</f>
        <v/>
      </c>
      <c r="C2764" t="str">
        <f>IFERROR(IF(A2764="","",VLOOKUP(A2764,CadProd!$A:$C,3,0)),"")</f>
        <v/>
      </c>
      <c r="I2764" s="1" t="str">
        <f>IFERROR(IF(A2764="","",E2764*#REF!),"")</f>
        <v/>
      </c>
    </row>
    <row r="2765" spans="2:9" x14ac:dyDescent="0.3">
      <c r="B2765" t="str">
        <f>IFERROR(IF(A2765="","",VLOOKUP(A2765,CadProd!$A:$B,2,0)),"")</f>
        <v/>
      </c>
      <c r="C2765" t="str">
        <f>IFERROR(IF(A2765="","",VLOOKUP(A2765,CadProd!$A:$C,3,0)),"")</f>
        <v/>
      </c>
      <c r="I2765" s="1" t="str">
        <f>IFERROR(IF(A2765="","",E2765*#REF!),"")</f>
        <v/>
      </c>
    </row>
    <row r="2766" spans="2:9" x14ac:dyDescent="0.3">
      <c r="B2766" t="str">
        <f>IFERROR(IF(A2766="","",VLOOKUP(A2766,CadProd!$A:$B,2,0)),"")</f>
        <v/>
      </c>
      <c r="C2766" t="str">
        <f>IFERROR(IF(A2766="","",VLOOKUP(A2766,CadProd!$A:$C,3,0)),"")</f>
        <v/>
      </c>
      <c r="I2766" s="1" t="str">
        <f>IFERROR(IF(A2766="","",E2766*#REF!),"")</f>
        <v/>
      </c>
    </row>
    <row r="2767" spans="2:9" x14ac:dyDescent="0.3">
      <c r="B2767" t="str">
        <f>IFERROR(IF(A2767="","",VLOOKUP(A2767,CadProd!$A:$B,2,0)),"")</f>
        <v/>
      </c>
      <c r="C2767" t="str">
        <f>IFERROR(IF(A2767="","",VLOOKUP(A2767,CadProd!$A:$C,3,0)),"")</f>
        <v/>
      </c>
      <c r="I2767" s="1" t="str">
        <f>IFERROR(IF(A2767="","",E2767*#REF!),"")</f>
        <v/>
      </c>
    </row>
    <row r="2768" spans="2:9" x14ac:dyDescent="0.3">
      <c r="B2768" t="str">
        <f>IFERROR(IF(A2768="","",VLOOKUP(A2768,CadProd!$A:$B,2,0)),"")</f>
        <v/>
      </c>
      <c r="C2768" t="str">
        <f>IFERROR(IF(A2768="","",VLOOKUP(A2768,CadProd!$A:$C,3,0)),"")</f>
        <v/>
      </c>
      <c r="I2768" s="1" t="str">
        <f>IFERROR(IF(A2768="","",E2768*#REF!),"")</f>
        <v/>
      </c>
    </row>
    <row r="2769" spans="2:9" x14ac:dyDescent="0.3">
      <c r="B2769" t="str">
        <f>IFERROR(IF(A2769="","",VLOOKUP(A2769,CadProd!$A:$B,2,0)),"")</f>
        <v/>
      </c>
      <c r="C2769" t="str">
        <f>IFERROR(IF(A2769="","",VLOOKUP(A2769,CadProd!$A:$C,3,0)),"")</f>
        <v/>
      </c>
      <c r="I2769" s="1" t="str">
        <f>IFERROR(IF(A2769="","",E2769*#REF!),"")</f>
        <v/>
      </c>
    </row>
    <row r="2770" spans="2:9" x14ac:dyDescent="0.3">
      <c r="B2770" t="str">
        <f>IFERROR(IF(A2770="","",VLOOKUP(A2770,CadProd!$A:$B,2,0)),"")</f>
        <v/>
      </c>
      <c r="C2770" t="str">
        <f>IFERROR(IF(A2770="","",VLOOKUP(A2770,CadProd!$A:$C,3,0)),"")</f>
        <v/>
      </c>
      <c r="I2770" s="1" t="str">
        <f>IFERROR(IF(A2770="","",E2770*#REF!),"")</f>
        <v/>
      </c>
    </row>
    <row r="2771" spans="2:9" x14ac:dyDescent="0.3">
      <c r="B2771" t="str">
        <f>IFERROR(IF(A2771="","",VLOOKUP(A2771,CadProd!$A:$B,2,0)),"")</f>
        <v/>
      </c>
      <c r="C2771" t="str">
        <f>IFERROR(IF(A2771="","",VLOOKUP(A2771,CadProd!$A:$C,3,0)),"")</f>
        <v/>
      </c>
      <c r="I2771" s="1" t="str">
        <f>IFERROR(IF(A2771="","",E2771*#REF!),"")</f>
        <v/>
      </c>
    </row>
    <row r="2772" spans="2:9" x14ac:dyDescent="0.3">
      <c r="B2772" t="str">
        <f>IFERROR(IF(A2772="","",VLOOKUP(A2772,CadProd!$A:$B,2,0)),"")</f>
        <v/>
      </c>
      <c r="C2772" t="str">
        <f>IFERROR(IF(A2772="","",VLOOKUP(A2772,CadProd!$A:$C,3,0)),"")</f>
        <v/>
      </c>
      <c r="I2772" s="1" t="str">
        <f>IFERROR(IF(A2772="","",E2772*#REF!),"")</f>
        <v/>
      </c>
    </row>
    <row r="2773" spans="2:9" x14ac:dyDescent="0.3">
      <c r="B2773" t="str">
        <f>IFERROR(IF(A2773="","",VLOOKUP(A2773,CadProd!$A:$B,2,0)),"")</f>
        <v/>
      </c>
      <c r="C2773" t="str">
        <f>IFERROR(IF(A2773="","",VLOOKUP(A2773,CadProd!$A:$C,3,0)),"")</f>
        <v/>
      </c>
      <c r="I2773" s="1" t="str">
        <f>IFERROR(IF(A2773="","",E2773*#REF!),"")</f>
        <v/>
      </c>
    </row>
    <row r="2774" spans="2:9" x14ac:dyDescent="0.3">
      <c r="B2774" t="str">
        <f>IFERROR(IF(A2774="","",VLOOKUP(A2774,CadProd!$A:$B,2,0)),"")</f>
        <v/>
      </c>
      <c r="C2774" t="str">
        <f>IFERROR(IF(A2774="","",VLOOKUP(A2774,CadProd!$A:$C,3,0)),"")</f>
        <v/>
      </c>
      <c r="I2774" s="1" t="str">
        <f>IFERROR(IF(A2774="","",E2774*#REF!),"")</f>
        <v/>
      </c>
    </row>
    <row r="2775" spans="2:9" x14ac:dyDescent="0.3">
      <c r="B2775" t="str">
        <f>IFERROR(IF(A2775="","",VLOOKUP(A2775,CadProd!$A:$B,2,0)),"")</f>
        <v/>
      </c>
      <c r="C2775" t="str">
        <f>IFERROR(IF(A2775="","",VLOOKUP(A2775,CadProd!$A:$C,3,0)),"")</f>
        <v/>
      </c>
      <c r="I2775" s="1" t="str">
        <f>IFERROR(IF(A2775="","",E2775*#REF!),"")</f>
        <v/>
      </c>
    </row>
    <row r="2776" spans="2:9" x14ac:dyDescent="0.3">
      <c r="B2776" t="str">
        <f>IFERROR(IF(A2776="","",VLOOKUP(A2776,CadProd!$A:$B,2,0)),"")</f>
        <v/>
      </c>
      <c r="C2776" t="str">
        <f>IFERROR(IF(A2776="","",VLOOKUP(A2776,CadProd!$A:$C,3,0)),"")</f>
        <v/>
      </c>
      <c r="I2776" s="1" t="str">
        <f>IFERROR(IF(A2776="","",E2776*#REF!),"")</f>
        <v/>
      </c>
    </row>
    <row r="2777" spans="2:9" x14ac:dyDescent="0.3">
      <c r="B2777" t="str">
        <f>IFERROR(IF(A2777="","",VLOOKUP(A2777,CadProd!$A:$B,2,0)),"")</f>
        <v/>
      </c>
      <c r="C2777" t="str">
        <f>IFERROR(IF(A2777="","",VLOOKUP(A2777,CadProd!$A:$C,3,0)),"")</f>
        <v/>
      </c>
      <c r="I2777" s="1" t="str">
        <f>IFERROR(IF(A2777="","",E2777*#REF!),"")</f>
        <v/>
      </c>
    </row>
    <row r="2778" spans="2:9" x14ac:dyDescent="0.3">
      <c r="B2778" t="str">
        <f>IFERROR(IF(A2778="","",VLOOKUP(A2778,CadProd!$A:$B,2,0)),"")</f>
        <v/>
      </c>
      <c r="C2778" t="str">
        <f>IFERROR(IF(A2778="","",VLOOKUP(A2778,CadProd!$A:$C,3,0)),"")</f>
        <v/>
      </c>
      <c r="I2778" s="1" t="str">
        <f>IFERROR(IF(A2778="","",E2778*#REF!),"")</f>
        <v/>
      </c>
    </row>
    <row r="2779" spans="2:9" x14ac:dyDescent="0.3">
      <c r="B2779" t="str">
        <f>IFERROR(IF(A2779="","",VLOOKUP(A2779,CadProd!$A:$B,2,0)),"")</f>
        <v/>
      </c>
      <c r="C2779" t="str">
        <f>IFERROR(IF(A2779="","",VLOOKUP(A2779,CadProd!$A:$C,3,0)),"")</f>
        <v/>
      </c>
      <c r="I2779" s="1" t="str">
        <f>IFERROR(IF(A2779="","",E2779*#REF!),"")</f>
        <v/>
      </c>
    </row>
    <row r="2780" spans="2:9" x14ac:dyDescent="0.3">
      <c r="B2780" t="str">
        <f>IFERROR(IF(A2780="","",VLOOKUP(A2780,CadProd!$A:$B,2,0)),"")</f>
        <v/>
      </c>
      <c r="C2780" t="str">
        <f>IFERROR(IF(A2780="","",VLOOKUP(A2780,CadProd!$A:$C,3,0)),"")</f>
        <v/>
      </c>
      <c r="I2780" s="1" t="str">
        <f>IFERROR(IF(A2780="","",E2780*#REF!),"")</f>
        <v/>
      </c>
    </row>
    <row r="2781" spans="2:9" x14ac:dyDescent="0.3">
      <c r="B2781" t="str">
        <f>IFERROR(IF(A2781="","",VLOOKUP(A2781,CadProd!$A:$B,2,0)),"")</f>
        <v/>
      </c>
      <c r="C2781" t="str">
        <f>IFERROR(IF(A2781="","",VLOOKUP(A2781,CadProd!$A:$C,3,0)),"")</f>
        <v/>
      </c>
      <c r="I2781" s="1" t="str">
        <f>IFERROR(IF(A2781="","",E2781*#REF!),"")</f>
        <v/>
      </c>
    </row>
    <row r="2782" spans="2:9" x14ac:dyDescent="0.3">
      <c r="B2782" t="str">
        <f>IFERROR(IF(A2782="","",VLOOKUP(A2782,CadProd!$A:$B,2,0)),"")</f>
        <v/>
      </c>
      <c r="C2782" t="str">
        <f>IFERROR(IF(A2782="","",VLOOKUP(A2782,CadProd!$A:$C,3,0)),"")</f>
        <v/>
      </c>
      <c r="I2782" s="1" t="str">
        <f>IFERROR(IF(A2782="","",E2782*#REF!),"")</f>
        <v/>
      </c>
    </row>
    <row r="2783" spans="2:9" x14ac:dyDescent="0.3">
      <c r="B2783" t="str">
        <f>IFERROR(IF(A2783="","",VLOOKUP(A2783,CadProd!$A:$B,2,0)),"")</f>
        <v/>
      </c>
      <c r="C2783" t="str">
        <f>IFERROR(IF(A2783="","",VLOOKUP(A2783,CadProd!$A:$C,3,0)),"")</f>
        <v/>
      </c>
      <c r="I2783" s="1" t="str">
        <f>IFERROR(IF(A2783="","",E2783*#REF!),"")</f>
        <v/>
      </c>
    </row>
    <row r="2784" spans="2:9" x14ac:dyDescent="0.3">
      <c r="B2784" t="str">
        <f>IFERROR(IF(A2784="","",VLOOKUP(A2784,CadProd!$A:$B,2,0)),"")</f>
        <v/>
      </c>
      <c r="C2784" t="str">
        <f>IFERROR(IF(A2784="","",VLOOKUP(A2784,CadProd!$A:$C,3,0)),"")</f>
        <v/>
      </c>
      <c r="I2784" s="1" t="str">
        <f>IFERROR(IF(A2784="","",E2784*#REF!),"")</f>
        <v/>
      </c>
    </row>
    <row r="2785" spans="2:9" x14ac:dyDescent="0.3">
      <c r="B2785" t="str">
        <f>IFERROR(IF(A2785="","",VLOOKUP(A2785,CadProd!$A:$B,2,0)),"")</f>
        <v/>
      </c>
      <c r="C2785" t="str">
        <f>IFERROR(IF(A2785="","",VLOOKUP(A2785,CadProd!$A:$C,3,0)),"")</f>
        <v/>
      </c>
      <c r="I2785" s="1" t="str">
        <f>IFERROR(IF(A2785="","",E2785*#REF!),"")</f>
        <v/>
      </c>
    </row>
    <row r="2786" spans="2:9" x14ac:dyDescent="0.3">
      <c r="B2786" t="str">
        <f>IFERROR(IF(A2786="","",VLOOKUP(A2786,CadProd!$A:$B,2,0)),"")</f>
        <v/>
      </c>
      <c r="C2786" t="str">
        <f>IFERROR(IF(A2786="","",VLOOKUP(A2786,CadProd!$A:$C,3,0)),"")</f>
        <v/>
      </c>
      <c r="I2786" s="1" t="str">
        <f>IFERROR(IF(A2786="","",E2786*#REF!),"")</f>
        <v/>
      </c>
    </row>
    <row r="2787" spans="2:9" x14ac:dyDescent="0.3">
      <c r="B2787" t="str">
        <f>IFERROR(IF(A2787="","",VLOOKUP(A2787,CadProd!$A:$B,2,0)),"")</f>
        <v/>
      </c>
      <c r="C2787" t="str">
        <f>IFERROR(IF(A2787="","",VLOOKUP(A2787,CadProd!$A:$C,3,0)),"")</f>
        <v/>
      </c>
      <c r="I2787" s="1" t="str">
        <f>IFERROR(IF(A2787="","",E2787*#REF!),"")</f>
        <v/>
      </c>
    </row>
    <row r="2788" spans="2:9" x14ac:dyDescent="0.3">
      <c r="B2788" t="str">
        <f>IFERROR(IF(A2788="","",VLOOKUP(A2788,CadProd!$A:$B,2,0)),"")</f>
        <v/>
      </c>
      <c r="C2788" t="str">
        <f>IFERROR(IF(A2788="","",VLOOKUP(A2788,CadProd!$A:$C,3,0)),"")</f>
        <v/>
      </c>
      <c r="I2788" s="1" t="str">
        <f>IFERROR(IF(A2788="","",E2788*#REF!),"")</f>
        <v/>
      </c>
    </row>
    <row r="2789" spans="2:9" x14ac:dyDescent="0.3">
      <c r="B2789" t="str">
        <f>IFERROR(IF(A2789="","",VLOOKUP(A2789,CadProd!$A:$B,2,0)),"")</f>
        <v/>
      </c>
      <c r="C2789" t="str">
        <f>IFERROR(IF(A2789="","",VLOOKUP(A2789,CadProd!$A:$C,3,0)),"")</f>
        <v/>
      </c>
      <c r="I2789" s="1" t="str">
        <f>IFERROR(IF(A2789="","",E2789*#REF!),"")</f>
        <v/>
      </c>
    </row>
    <row r="2790" spans="2:9" x14ac:dyDescent="0.3">
      <c r="B2790" t="str">
        <f>IFERROR(IF(A2790="","",VLOOKUP(A2790,CadProd!$A:$B,2,0)),"")</f>
        <v/>
      </c>
      <c r="C2790" t="str">
        <f>IFERROR(IF(A2790="","",VLOOKUP(A2790,CadProd!$A:$C,3,0)),"")</f>
        <v/>
      </c>
      <c r="I2790" s="1" t="str">
        <f>IFERROR(IF(A2790="","",E2790*#REF!),"")</f>
        <v/>
      </c>
    </row>
    <row r="2791" spans="2:9" x14ac:dyDescent="0.3">
      <c r="B2791" t="str">
        <f>IFERROR(IF(A2791="","",VLOOKUP(A2791,CadProd!$A:$B,2,0)),"")</f>
        <v/>
      </c>
      <c r="C2791" t="str">
        <f>IFERROR(IF(A2791="","",VLOOKUP(A2791,CadProd!$A:$C,3,0)),"")</f>
        <v/>
      </c>
      <c r="I2791" s="1" t="str">
        <f>IFERROR(IF(A2791="","",E2791*#REF!),"")</f>
        <v/>
      </c>
    </row>
    <row r="2792" spans="2:9" x14ac:dyDescent="0.3">
      <c r="B2792" t="str">
        <f>IFERROR(IF(A2792="","",VLOOKUP(A2792,CadProd!$A:$B,2,0)),"")</f>
        <v/>
      </c>
      <c r="C2792" t="str">
        <f>IFERROR(IF(A2792="","",VLOOKUP(A2792,CadProd!$A:$C,3,0)),"")</f>
        <v/>
      </c>
      <c r="I2792" s="1" t="str">
        <f>IFERROR(IF(A2792="","",E2792*#REF!),"")</f>
        <v/>
      </c>
    </row>
    <row r="2793" spans="2:9" x14ac:dyDescent="0.3">
      <c r="B2793" t="str">
        <f>IFERROR(IF(A2793="","",VLOOKUP(A2793,CadProd!$A:$B,2,0)),"")</f>
        <v/>
      </c>
      <c r="C2793" t="str">
        <f>IFERROR(IF(A2793="","",VLOOKUP(A2793,CadProd!$A:$C,3,0)),"")</f>
        <v/>
      </c>
      <c r="I2793" s="1" t="str">
        <f>IFERROR(IF(A2793="","",E2793*#REF!),"")</f>
        <v/>
      </c>
    </row>
    <row r="2794" spans="2:9" x14ac:dyDescent="0.3">
      <c r="B2794" t="str">
        <f>IFERROR(IF(A2794="","",VLOOKUP(A2794,CadProd!$A:$B,2,0)),"")</f>
        <v/>
      </c>
      <c r="C2794" t="str">
        <f>IFERROR(IF(A2794="","",VLOOKUP(A2794,CadProd!$A:$C,3,0)),"")</f>
        <v/>
      </c>
      <c r="I2794" s="1" t="str">
        <f>IFERROR(IF(A2794="","",E2794*#REF!),"")</f>
        <v/>
      </c>
    </row>
    <row r="2795" spans="2:9" x14ac:dyDescent="0.3">
      <c r="B2795" t="str">
        <f>IFERROR(IF(A2795="","",VLOOKUP(A2795,CadProd!$A:$B,2,0)),"")</f>
        <v/>
      </c>
      <c r="C2795" t="str">
        <f>IFERROR(IF(A2795="","",VLOOKUP(A2795,CadProd!$A:$C,3,0)),"")</f>
        <v/>
      </c>
      <c r="I2795" s="1" t="str">
        <f>IFERROR(IF(A2795="","",E2795*#REF!),"")</f>
        <v/>
      </c>
    </row>
    <row r="2796" spans="2:9" x14ac:dyDescent="0.3">
      <c r="B2796" t="str">
        <f>IFERROR(IF(A2796="","",VLOOKUP(A2796,CadProd!$A:$B,2,0)),"")</f>
        <v/>
      </c>
      <c r="C2796" t="str">
        <f>IFERROR(IF(A2796="","",VLOOKUP(A2796,CadProd!$A:$C,3,0)),"")</f>
        <v/>
      </c>
      <c r="I2796" s="1" t="str">
        <f>IFERROR(IF(A2796="","",E2796*#REF!),"")</f>
        <v/>
      </c>
    </row>
    <row r="2797" spans="2:9" x14ac:dyDescent="0.3">
      <c r="B2797" t="str">
        <f>IFERROR(IF(A2797="","",VLOOKUP(A2797,CadProd!$A:$B,2,0)),"")</f>
        <v/>
      </c>
      <c r="C2797" t="str">
        <f>IFERROR(IF(A2797="","",VLOOKUP(A2797,CadProd!$A:$C,3,0)),"")</f>
        <v/>
      </c>
      <c r="I2797" s="1" t="str">
        <f>IFERROR(IF(A2797="","",E2797*#REF!),"")</f>
        <v/>
      </c>
    </row>
    <row r="2798" spans="2:9" x14ac:dyDescent="0.3">
      <c r="B2798" t="str">
        <f>IFERROR(IF(A2798="","",VLOOKUP(A2798,CadProd!$A:$B,2,0)),"")</f>
        <v/>
      </c>
      <c r="C2798" t="str">
        <f>IFERROR(IF(A2798="","",VLOOKUP(A2798,CadProd!$A:$C,3,0)),"")</f>
        <v/>
      </c>
      <c r="I2798" s="1" t="str">
        <f>IFERROR(IF(A2798="","",E2798*#REF!),"")</f>
        <v/>
      </c>
    </row>
    <row r="2799" spans="2:9" x14ac:dyDescent="0.3">
      <c r="B2799" t="str">
        <f>IFERROR(IF(A2799="","",VLOOKUP(A2799,CadProd!$A:$B,2,0)),"")</f>
        <v/>
      </c>
      <c r="C2799" t="str">
        <f>IFERROR(IF(A2799="","",VLOOKUP(A2799,CadProd!$A:$C,3,0)),"")</f>
        <v/>
      </c>
      <c r="I2799" s="1" t="str">
        <f>IFERROR(IF(A2799="","",E2799*#REF!),"")</f>
        <v/>
      </c>
    </row>
    <row r="2800" spans="2:9" x14ac:dyDescent="0.3">
      <c r="B2800" t="str">
        <f>IFERROR(IF(A2800="","",VLOOKUP(A2800,CadProd!$A:$B,2,0)),"")</f>
        <v/>
      </c>
      <c r="C2800" t="str">
        <f>IFERROR(IF(A2800="","",VLOOKUP(A2800,CadProd!$A:$C,3,0)),"")</f>
        <v/>
      </c>
      <c r="I2800" s="1" t="str">
        <f>IFERROR(IF(A2800="","",E2800*#REF!),"")</f>
        <v/>
      </c>
    </row>
    <row r="2801" spans="2:9" x14ac:dyDescent="0.3">
      <c r="B2801" t="str">
        <f>IFERROR(IF(A2801="","",VLOOKUP(A2801,CadProd!$A:$B,2,0)),"")</f>
        <v/>
      </c>
      <c r="C2801" t="str">
        <f>IFERROR(IF(A2801="","",VLOOKUP(A2801,CadProd!$A:$C,3,0)),"")</f>
        <v/>
      </c>
      <c r="I2801" s="1" t="str">
        <f>IFERROR(IF(A2801="","",E2801*#REF!),"")</f>
        <v/>
      </c>
    </row>
    <row r="2802" spans="2:9" x14ac:dyDescent="0.3">
      <c r="B2802" t="str">
        <f>IFERROR(IF(A2802="","",VLOOKUP(A2802,CadProd!$A:$B,2,0)),"")</f>
        <v/>
      </c>
      <c r="C2802" t="str">
        <f>IFERROR(IF(A2802="","",VLOOKUP(A2802,CadProd!$A:$C,3,0)),"")</f>
        <v/>
      </c>
      <c r="I2802" s="1" t="str">
        <f>IFERROR(IF(A2802="","",E2802*#REF!),"")</f>
        <v/>
      </c>
    </row>
    <row r="2803" spans="2:9" x14ac:dyDescent="0.3">
      <c r="B2803" t="str">
        <f>IFERROR(IF(A2803="","",VLOOKUP(A2803,CadProd!$A:$B,2,0)),"")</f>
        <v/>
      </c>
      <c r="C2803" t="str">
        <f>IFERROR(IF(A2803="","",VLOOKUP(A2803,CadProd!$A:$C,3,0)),"")</f>
        <v/>
      </c>
      <c r="I2803" s="1" t="str">
        <f>IFERROR(IF(A2803="","",E2803*#REF!),"")</f>
        <v/>
      </c>
    </row>
    <row r="2804" spans="2:9" x14ac:dyDescent="0.3">
      <c r="B2804" t="str">
        <f>IFERROR(IF(A2804="","",VLOOKUP(A2804,CadProd!$A:$B,2,0)),"")</f>
        <v/>
      </c>
      <c r="C2804" t="str">
        <f>IFERROR(IF(A2804="","",VLOOKUP(A2804,CadProd!$A:$C,3,0)),"")</f>
        <v/>
      </c>
      <c r="I2804" s="1" t="str">
        <f>IFERROR(IF(A2804="","",E2804*#REF!),"")</f>
        <v/>
      </c>
    </row>
    <row r="2805" spans="2:9" x14ac:dyDescent="0.3">
      <c r="B2805" t="str">
        <f>IFERROR(IF(A2805="","",VLOOKUP(A2805,CadProd!$A:$B,2,0)),"")</f>
        <v/>
      </c>
      <c r="C2805" t="str">
        <f>IFERROR(IF(A2805="","",VLOOKUP(A2805,CadProd!$A:$C,3,0)),"")</f>
        <v/>
      </c>
      <c r="I2805" s="1" t="str">
        <f>IFERROR(IF(A2805="","",E2805*#REF!),"")</f>
        <v/>
      </c>
    </row>
    <row r="2806" spans="2:9" x14ac:dyDescent="0.3">
      <c r="B2806" t="str">
        <f>IFERROR(IF(A2806="","",VLOOKUP(A2806,CadProd!$A:$B,2,0)),"")</f>
        <v/>
      </c>
      <c r="C2806" t="str">
        <f>IFERROR(IF(A2806="","",VLOOKUP(A2806,CadProd!$A:$C,3,0)),"")</f>
        <v/>
      </c>
      <c r="I2806" s="1" t="str">
        <f>IFERROR(IF(A2806="","",E2806*#REF!),"")</f>
        <v/>
      </c>
    </row>
    <row r="2807" spans="2:9" x14ac:dyDescent="0.3">
      <c r="B2807" t="str">
        <f>IFERROR(IF(A2807="","",VLOOKUP(A2807,CadProd!$A:$B,2,0)),"")</f>
        <v/>
      </c>
      <c r="C2807" t="str">
        <f>IFERROR(IF(A2807="","",VLOOKUP(A2807,CadProd!$A:$C,3,0)),"")</f>
        <v/>
      </c>
      <c r="I2807" s="1" t="str">
        <f>IFERROR(IF(A2807="","",E2807*#REF!),"")</f>
        <v/>
      </c>
    </row>
    <row r="2808" spans="2:9" x14ac:dyDescent="0.3">
      <c r="B2808" t="str">
        <f>IFERROR(IF(A2808="","",VLOOKUP(A2808,CadProd!$A:$B,2,0)),"")</f>
        <v/>
      </c>
      <c r="C2808" t="str">
        <f>IFERROR(IF(A2808="","",VLOOKUP(A2808,CadProd!$A:$C,3,0)),"")</f>
        <v/>
      </c>
      <c r="I2808" s="1" t="str">
        <f>IFERROR(IF(A2808="","",E2808*#REF!),"")</f>
        <v/>
      </c>
    </row>
    <row r="2809" spans="2:9" x14ac:dyDescent="0.3">
      <c r="B2809" t="str">
        <f>IFERROR(IF(A2809="","",VLOOKUP(A2809,CadProd!$A:$B,2,0)),"")</f>
        <v/>
      </c>
      <c r="C2809" t="str">
        <f>IFERROR(IF(A2809="","",VLOOKUP(A2809,CadProd!$A:$C,3,0)),"")</f>
        <v/>
      </c>
      <c r="I2809" s="1" t="str">
        <f>IFERROR(IF(A2809="","",E2809*#REF!),"")</f>
        <v/>
      </c>
    </row>
    <row r="2810" spans="2:9" x14ac:dyDescent="0.3">
      <c r="B2810" t="str">
        <f>IFERROR(IF(A2810="","",VLOOKUP(A2810,CadProd!$A:$B,2,0)),"")</f>
        <v/>
      </c>
      <c r="C2810" t="str">
        <f>IFERROR(IF(A2810="","",VLOOKUP(A2810,CadProd!$A:$C,3,0)),"")</f>
        <v/>
      </c>
      <c r="I2810" s="1" t="str">
        <f>IFERROR(IF(A2810="","",E2810*#REF!),"")</f>
        <v/>
      </c>
    </row>
    <row r="2811" spans="2:9" x14ac:dyDescent="0.3">
      <c r="B2811" t="str">
        <f>IFERROR(IF(A2811="","",VLOOKUP(A2811,CadProd!$A:$B,2,0)),"")</f>
        <v/>
      </c>
      <c r="C2811" t="str">
        <f>IFERROR(IF(A2811="","",VLOOKUP(A2811,CadProd!$A:$C,3,0)),"")</f>
        <v/>
      </c>
      <c r="I2811" s="1" t="str">
        <f>IFERROR(IF(A2811="","",E2811*#REF!),"")</f>
        <v/>
      </c>
    </row>
    <row r="2812" spans="2:9" x14ac:dyDescent="0.3">
      <c r="B2812" t="str">
        <f>IFERROR(IF(A2812="","",VLOOKUP(A2812,CadProd!$A:$B,2,0)),"")</f>
        <v/>
      </c>
      <c r="C2812" t="str">
        <f>IFERROR(IF(A2812="","",VLOOKUP(A2812,CadProd!$A:$C,3,0)),"")</f>
        <v/>
      </c>
      <c r="I2812" s="1" t="str">
        <f>IFERROR(IF(A2812="","",E2812*#REF!),"")</f>
        <v/>
      </c>
    </row>
    <row r="2813" spans="2:9" x14ac:dyDescent="0.3">
      <c r="B2813" t="str">
        <f>IFERROR(IF(A2813="","",VLOOKUP(A2813,CadProd!$A:$B,2,0)),"")</f>
        <v/>
      </c>
      <c r="C2813" t="str">
        <f>IFERROR(IF(A2813="","",VLOOKUP(A2813,CadProd!$A:$C,3,0)),"")</f>
        <v/>
      </c>
      <c r="I2813" s="1" t="str">
        <f>IFERROR(IF(A2813="","",E2813*#REF!),"")</f>
        <v/>
      </c>
    </row>
    <row r="2814" spans="2:9" x14ac:dyDescent="0.3">
      <c r="B2814" t="str">
        <f>IFERROR(IF(A2814="","",VLOOKUP(A2814,CadProd!$A:$B,2,0)),"")</f>
        <v/>
      </c>
      <c r="C2814" t="str">
        <f>IFERROR(IF(A2814="","",VLOOKUP(A2814,CadProd!$A:$C,3,0)),"")</f>
        <v/>
      </c>
      <c r="I2814" s="1" t="str">
        <f>IFERROR(IF(A2814="","",E2814*#REF!),"")</f>
        <v/>
      </c>
    </row>
    <row r="2815" spans="2:9" x14ac:dyDescent="0.3">
      <c r="B2815" t="str">
        <f>IFERROR(IF(A2815="","",VLOOKUP(A2815,CadProd!$A:$B,2,0)),"")</f>
        <v/>
      </c>
      <c r="C2815" t="str">
        <f>IFERROR(IF(A2815="","",VLOOKUP(A2815,CadProd!$A:$C,3,0)),"")</f>
        <v/>
      </c>
      <c r="I2815" s="1" t="str">
        <f>IFERROR(IF(A2815="","",E2815*#REF!),"")</f>
        <v/>
      </c>
    </row>
    <row r="2816" spans="2:9" x14ac:dyDescent="0.3">
      <c r="B2816" t="str">
        <f>IFERROR(IF(A2816="","",VLOOKUP(A2816,CadProd!$A:$B,2,0)),"")</f>
        <v/>
      </c>
      <c r="C2816" t="str">
        <f>IFERROR(IF(A2816="","",VLOOKUP(A2816,CadProd!$A:$C,3,0)),"")</f>
        <v/>
      </c>
      <c r="I2816" s="1" t="str">
        <f>IFERROR(IF(A2816="","",E2816*#REF!),"")</f>
        <v/>
      </c>
    </row>
    <row r="2817" spans="2:9" x14ac:dyDescent="0.3">
      <c r="B2817" t="str">
        <f>IFERROR(IF(A2817="","",VLOOKUP(A2817,CadProd!$A:$B,2,0)),"")</f>
        <v/>
      </c>
      <c r="C2817" t="str">
        <f>IFERROR(IF(A2817="","",VLOOKUP(A2817,CadProd!$A:$C,3,0)),"")</f>
        <v/>
      </c>
      <c r="I2817" s="1" t="str">
        <f>IFERROR(IF(A2817="","",E2817*#REF!),"")</f>
        <v/>
      </c>
    </row>
    <row r="2818" spans="2:9" x14ac:dyDescent="0.3">
      <c r="B2818" t="str">
        <f>IFERROR(IF(A2818="","",VLOOKUP(A2818,CadProd!$A:$B,2,0)),"")</f>
        <v/>
      </c>
      <c r="C2818" t="str">
        <f>IFERROR(IF(A2818="","",VLOOKUP(A2818,CadProd!$A:$C,3,0)),"")</f>
        <v/>
      </c>
      <c r="I2818" s="1" t="str">
        <f>IFERROR(IF(A2818="","",E2818*#REF!),"")</f>
        <v/>
      </c>
    </row>
    <row r="2819" spans="2:9" x14ac:dyDescent="0.3">
      <c r="B2819" t="str">
        <f>IFERROR(IF(A2819="","",VLOOKUP(A2819,CadProd!$A:$B,2,0)),"")</f>
        <v/>
      </c>
      <c r="C2819" t="str">
        <f>IFERROR(IF(A2819="","",VLOOKUP(A2819,CadProd!$A:$C,3,0)),"")</f>
        <v/>
      </c>
      <c r="I2819" s="1" t="str">
        <f>IFERROR(IF(A2819="","",E2819*#REF!),"")</f>
        <v/>
      </c>
    </row>
    <row r="2820" spans="2:9" x14ac:dyDescent="0.3">
      <c r="B2820" t="str">
        <f>IFERROR(IF(A2820="","",VLOOKUP(A2820,CadProd!$A:$B,2,0)),"")</f>
        <v/>
      </c>
      <c r="C2820" t="str">
        <f>IFERROR(IF(A2820="","",VLOOKUP(A2820,CadProd!$A:$C,3,0)),"")</f>
        <v/>
      </c>
      <c r="I2820" s="1" t="str">
        <f>IFERROR(IF(A2820="","",E2820*#REF!),"")</f>
        <v/>
      </c>
    </row>
    <row r="2821" spans="2:9" x14ac:dyDescent="0.3">
      <c r="B2821" t="str">
        <f>IFERROR(IF(A2821="","",VLOOKUP(A2821,CadProd!$A:$B,2,0)),"")</f>
        <v/>
      </c>
      <c r="C2821" t="str">
        <f>IFERROR(IF(A2821="","",VLOOKUP(A2821,CadProd!$A:$C,3,0)),"")</f>
        <v/>
      </c>
      <c r="I2821" s="1" t="str">
        <f>IFERROR(IF(A2821="","",E2821*#REF!),"")</f>
        <v/>
      </c>
    </row>
    <row r="2822" spans="2:9" x14ac:dyDescent="0.3">
      <c r="B2822" t="str">
        <f>IFERROR(IF(A2822="","",VLOOKUP(A2822,CadProd!$A:$B,2,0)),"")</f>
        <v/>
      </c>
      <c r="C2822" t="str">
        <f>IFERROR(IF(A2822="","",VLOOKUP(A2822,CadProd!$A:$C,3,0)),"")</f>
        <v/>
      </c>
      <c r="I2822" s="1" t="str">
        <f>IFERROR(IF(A2822="","",E2822*#REF!),"")</f>
        <v/>
      </c>
    </row>
    <row r="2823" spans="2:9" x14ac:dyDescent="0.3">
      <c r="B2823" t="str">
        <f>IFERROR(IF(A2823="","",VLOOKUP(A2823,CadProd!$A:$B,2,0)),"")</f>
        <v/>
      </c>
      <c r="C2823" t="str">
        <f>IFERROR(IF(A2823="","",VLOOKUP(A2823,CadProd!$A:$C,3,0)),"")</f>
        <v/>
      </c>
      <c r="I2823" s="1" t="str">
        <f>IFERROR(IF(A2823="","",E2823*#REF!),"")</f>
        <v/>
      </c>
    </row>
    <row r="2824" spans="2:9" x14ac:dyDescent="0.3">
      <c r="B2824" t="str">
        <f>IFERROR(IF(A2824="","",VLOOKUP(A2824,CadProd!$A:$B,2,0)),"")</f>
        <v/>
      </c>
      <c r="C2824" t="str">
        <f>IFERROR(IF(A2824="","",VLOOKUP(A2824,CadProd!$A:$C,3,0)),"")</f>
        <v/>
      </c>
      <c r="I2824" s="1" t="str">
        <f>IFERROR(IF(A2824="","",E2824*#REF!),"")</f>
        <v/>
      </c>
    </row>
    <row r="2825" spans="2:9" x14ac:dyDescent="0.3">
      <c r="B2825" t="str">
        <f>IFERROR(IF(A2825="","",VLOOKUP(A2825,CadProd!$A:$B,2,0)),"")</f>
        <v/>
      </c>
      <c r="C2825" t="str">
        <f>IFERROR(IF(A2825="","",VLOOKUP(A2825,CadProd!$A:$C,3,0)),"")</f>
        <v/>
      </c>
      <c r="I2825" s="1" t="str">
        <f>IFERROR(IF(A2825="","",E2825*#REF!),"")</f>
        <v/>
      </c>
    </row>
    <row r="2826" spans="2:9" x14ac:dyDescent="0.3">
      <c r="B2826" t="str">
        <f>IFERROR(IF(A2826="","",VLOOKUP(A2826,CadProd!$A:$B,2,0)),"")</f>
        <v/>
      </c>
      <c r="C2826" t="str">
        <f>IFERROR(IF(A2826="","",VLOOKUP(A2826,CadProd!$A:$C,3,0)),"")</f>
        <v/>
      </c>
      <c r="I2826" s="1" t="str">
        <f>IFERROR(IF(A2826="","",E2826*#REF!),"")</f>
        <v/>
      </c>
    </row>
    <row r="2827" spans="2:9" x14ac:dyDescent="0.3">
      <c r="B2827" t="str">
        <f>IFERROR(IF(A2827="","",VLOOKUP(A2827,CadProd!$A:$B,2,0)),"")</f>
        <v/>
      </c>
      <c r="C2827" t="str">
        <f>IFERROR(IF(A2827="","",VLOOKUP(A2827,CadProd!$A:$C,3,0)),"")</f>
        <v/>
      </c>
      <c r="I2827" s="1" t="str">
        <f>IFERROR(IF(A2827="","",E2827*#REF!),"")</f>
        <v/>
      </c>
    </row>
    <row r="2828" spans="2:9" x14ac:dyDescent="0.3">
      <c r="B2828" t="str">
        <f>IFERROR(IF(A2828="","",VLOOKUP(A2828,CadProd!$A:$B,2,0)),"")</f>
        <v/>
      </c>
      <c r="C2828" t="str">
        <f>IFERROR(IF(A2828="","",VLOOKUP(A2828,CadProd!$A:$C,3,0)),"")</f>
        <v/>
      </c>
      <c r="I2828" s="1" t="str">
        <f>IFERROR(IF(A2828="","",E2828*#REF!),"")</f>
        <v/>
      </c>
    </row>
    <row r="2829" spans="2:9" x14ac:dyDescent="0.3">
      <c r="B2829" t="str">
        <f>IFERROR(IF(A2829="","",VLOOKUP(A2829,CadProd!$A:$B,2,0)),"")</f>
        <v/>
      </c>
      <c r="C2829" t="str">
        <f>IFERROR(IF(A2829="","",VLOOKUP(A2829,CadProd!$A:$C,3,0)),"")</f>
        <v/>
      </c>
      <c r="I2829" s="1" t="str">
        <f>IFERROR(IF(A2829="","",E2829*#REF!),"")</f>
        <v/>
      </c>
    </row>
    <row r="2830" spans="2:9" x14ac:dyDescent="0.3">
      <c r="B2830" t="str">
        <f>IFERROR(IF(A2830="","",VLOOKUP(A2830,CadProd!$A:$B,2,0)),"")</f>
        <v/>
      </c>
      <c r="C2830" t="str">
        <f>IFERROR(IF(A2830="","",VLOOKUP(A2830,CadProd!$A:$C,3,0)),"")</f>
        <v/>
      </c>
      <c r="I2830" s="1" t="str">
        <f>IFERROR(IF(A2830="","",E2830*#REF!),"")</f>
        <v/>
      </c>
    </row>
    <row r="2831" spans="2:9" x14ac:dyDescent="0.3">
      <c r="B2831" t="str">
        <f>IFERROR(IF(A2831="","",VLOOKUP(A2831,CadProd!$A:$B,2,0)),"")</f>
        <v/>
      </c>
      <c r="C2831" t="str">
        <f>IFERROR(IF(A2831="","",VLOOKUP(A2831,CadProd!$A:$C,3,0)),"")</f>
        <v/>
      </c>
      <c r="I2831" s="1" t="str">
        <f>IFERROR(IF(A2831="","",E2831*#REF!),"")</f>
        <v/>
      </c>
    </row>
    <row r="2832" spans="2:9" x14ac:dyDescent="0.3">
      <c r="B2832" t="str">
        <f>IFERROR(IF(A2832="","",VLOOKUP(A2832,CadProd!$A:$B,2,0)),"")</f>
        <v/>
      </c>
      <c r="C2832" t="str">
        <f>IFERROR(IF(A2832="","",VLOOKUP(A2832,CadProd!$A:$C,3,0)),"")</f>
        <v/>
      </c>
      <c r="I2832" s="1" t="str">
        <f>IFERROR(IF(A2832="","",E2832*#REF!),"")</f>
        <v/>
      </c>
    </row>
    <row r="2833" spans="2:9" x14ac:dyDescent="0.3">
      <c r="B2833" t="str">
        <f>IFERROR(IF(A2833="","",VLOOKUP(A2833,CadProd!$A:$B,2,0)),"")</f>
        <v/>
      </c>
      <c r="C2833" t="str">
        <f>IFERROR(IF(A2833="","",VLOOKUP(A2833,CadProd!$A:$C,3,0)),"")</f>
        <v/>
      </c>
      <c r="I2833" s="1" t="str">
        <f>IFERROR(IF(A2833="","",E2833*#REF!),"")</f>
        <v/>
      </c>
    </row>
    <row r="2834" spans="2:9" x14ac:dyDescent="0.3">
      <c r="B2834" t="str">
        <f>IFERROR(IF(A2834="","",VLOOKUP(A2834,CadProd!$A:$B,2,0)),"")</f>
        <v/>
      </c>
      <c r="C2834" t="str">
        <f>IFERROR(IF(A2834="","",VLOOKUP(A2834,CadProd!$A:$C,3,0)),"")</f>
        <v/>
      </c>
      <c r="I2834" s="1" t="str">
        <f>IFERROR(IF(A2834="","",E2834*#REF!),"")</f>
        <v/>
      </c>
    </row>
    <row r="2835" spans="2:9" x14ac:dyDescent="0.3">
      <c r="B2835" t="str">
        <f>IFERROR(IF(A2835="","",VLOOKUP(A2835,CadProd!$A:$B,2,0)),"")</f>
        <v/>
      </c>
      <c r="C2835" t="str">
        <f>IFERROR(IF(A2835="","",VLOOKUP(A2835,CadProd!$A:$C,3,0)),"")</f>
        <v/>
      </c>
      <c r="I2835" s="1" t="str">
        <f>IFERROR(IF(A2835="","",E2835*#REF!),"")</f>
        <v/>
      </c>
    </row>
    <row r="2836" spans="2:9" x14ac:dyDescent="0.3">
      <c r="B2836" t="str">
        <f>IFERROR(IF(A2836="","",VLOOKUP(A2836,CadProd!$A:$B,2,0)),"")</f>
        <v/>
      </c>
      <c r="C2836" t="str">
        <f>IFERROR(IF(A2836="","",VLOOKUP(A2836,CadProd!$A:$C,3,0)),"")</f>
        <v/>
      </c>
      <c r="I2836" s="1" t="str">
        <f>IFERROR(IF(A2836="","",E2836*#REF!),"")</f>
        <v/>
      </c>
    </row>
    <row r="2837" spans="2:9" x14ac:dyDescent="0.3">
      <c r="B2837" t="str">
        <f>IFERROR(IF(A2837="","",VLOOKUP(A2837,CadProd!$A:$B,2,0)),"")</f>
        <v/>
      </c>
      <c r="C2837" t="str">
        <f>IFERROR(IF(A2837="","",VLOOKUP(A2837,CadProd!$A:$C,3,0)),"")</f>
        <v/>
      </c>
      <c r="I2837" s="1" t="str">
        <f>IFERROR(IF(A2837="","",E2837*#REF!),"")</f>
        <v/>
      </c>
    </row>
    <row r="2838" spans="2:9" x14ac:dyDescent="0.3">
      <c r="B2838" t="str">
        <f>IFERROR(IF(A2838="","",VLOOKUP(A2838,CadProd!$A:$B,2,0)),"")</f>
        <v/>
      </c>
      <c r="C2838" t="str">
        <f>IFERROR(IF(A2838="","",VLOOKUP(A2838,CadProd!$A:$C,3,0)),"")</f>
        <v/>
      </c>
      <c r="I2838" s="1" t="str">
        <f>IFERROR(IF(A2838="","",E2838*#REF!),"")</f>
        <v/>
      </c>
    </row>
    <row r="2839" spans="2:9" x14ac:dyDescent="0.3">
      <c r="B2839" t="str">
        <f>IFERROR(IF(A2839="","",VLOOKUP(A2839,CadProd!$A:$B,2,0)),"")</f>
        <v/>
      </c>
      <c r="C2839" t="str">
        <f>IFERROR(IF(A2839="","",VLOOKUP(A2839,CadProd!$A:$C,3,0)),"")</f>
        <v/>
      </c>
      <c r="I2839" s="1" t="str">
        <f>IFERROR(IF(A2839="","",E2839*#REF!),"")</f>
        <v/>
      </c>
    </row>
    <row r="2840" spans="2:9" x14ac:dyDescent="0.3">
      <c r="B2840" t="str">
        <f>IFERROR(IF(A2840="","",VLOOKUP(A2840,CadProd!$A:$B,2,0)),"")</f>
        <v/>
      </c>
      <c r="C2840" t="str">
        <f>IFERROR(IF(A2840="","",VLOOKUP(A2840,CadProd!$A:$C,3,0)),"")</f>
        <v/>
      </c>
      <c r="I2840" s="1" t="str">
        <f>IFERROR(IF(A2840="","",E2840*#REF!),"")</f>
        <v/>
      </c>
    </row>
    <row r="2841" spans="2:9" x14ac:dyDescent="0.3">
      <c r="B2841" t="str">
        <f>IFERROR(IF(A2841="","",VLOOKUP(A2841,CadProd!$A:$B,2,0)),"")</f>
        <v/>
      </c>
      <c r="C2841" t="str">
        <f>IFERROR(IF(A2841="","",VLOOKUP(A2841,CadProd!$A:$C,3,0)),"")</f>
        <v/>
      </c>
      <c r="I2841" s="1" t="str">
        <f>IFERROR(IF(A2841="","",E2841*#REF!),"")</f>
        <v/>
      </c>
    </row>
    <row r="2842" spans="2:9" x14ac:dyDescent="0.3">
      <c r="B2842" t="str">
        <f>IFERROR(IF(A2842="","",VLOOKUP(A2842,CadProd!$A:$B,2,0)),"")</f>
        <v/>
      </c>
      <c r="C2842" t="str">
        <f>IFERROR(IF(A2842="","",VLOOKUP(A2842,CadProd!$A:$C,3,0)),"")</f>
        <v/>
      </c>
      <c r="I2842" s="1" t="str">
        <f>IFERROR(IF(A2842="","",E2842*#REF!),"")</f>
        <v/>
      </c>
    </row>
    <row r="2843" spans="2:9" x14ac:dyDescent="0.3">
      <c r="B2843" t="str">
        <f>IFERROR(IF(A2843="","",VLOOKUP(A2843,CadProd!$A:$B,2,0)),"")</f>
        <v/>
      </c>
      <c r="C2843" t="str">
        <f>IFERROR(IF(A2843="","",VLOOKUP(A2843,CadProd!$A:$C,3,0)),"")</f>
        <v/>
      </c>
      <c r="I2843" s="1" t="str">
        <f>IFERROR(IF(A2843="","",E2843*#REF!),"")</f>
        <v/>
      </c>
    </row>
    <row r="2844" spans="2:9" x14ac:dyDescent="0.3">
      <c r="B2844" t="str">
        <f>IFERROR(IF(A2844="","",VLOOKUP(A2844,CadProd!$A:$B,2,0)),"")</f>
        <v/>
      </c>
      <c r="C2844" t="str">
        <f>IFERROR(IF(A2844="","",VLOOKUP(A2844,CadProd!$A:$C,3,0)),"")</f>
        <v/>
      </c>
      <c r="I2844" s="1" t="str">
        <f>IFERROR(IF(A2844="","",E2844*#REF!),"")</f>
        <v/>
      </c>
    </row>
    <row r="2845" spans="2:9" x14ac:dyDescent="0.3">
      <c r="B2845" t="str">
        <f>IFERROR(IF(A2845="","",VLOOKUP(A2845,CadProd!$A:$B,2,0)),"")</f>
        <v/>
      </c>
      <c r="C2845" t="str">
        <f>IFERROR(IF(A2845="","",VLOOKUP(A2845,CadProd!$A:$C,3,0)),"")</f>
        <v/>
      </c>
      <c r="I2845" s="1" t="str">
        <f>IFERROR(IF(A2845="","",E2845*#REF!),"")</f>
        <v/>
      </c>
    </row>
    <row r="2846" spans="2:9" x14ac:dyDescent="0.3">
      <c r="B2846" t="str">
        <f>IFERROR(IF(A2846="","",VLOOKUP(A2846,CadProd!$A:$B,2,0)),"")</f>
        <v/>
      </c>
      <c r="C2846" t="str">
        <f>IFERROR(IF(A2846="","",VLOOKUP(A2846,CadProd!$A:$C,3,0)),"")</f>
        <v/>
      </c>
      <c r="I2846" s="1" t="str">
        <f>IFERROR(IF(A2846="","",E2846*#REF!),"")</f>
        <v/>
      </c>
    </row>
    <row r="2847" spans="2:9" x14ac:dyDescent="0.3">
      <c r="B2847" t="str">
        <f>IFERROR(IF(A2847="","",VLOOKUP(A2847,CadProd!$A:$B,2,0)),"")</f>
        <v/>
      </c>
      <c r="C2847" t="str">
        <f>IFERROR(IF(A2847="","",VLOOKUP(A2847,CadProd!$A:$C,3,0)),"")</f>
        <v/>
      </c>
      <c r="I2847" s="1" t="str">
        <f>IFERROR(IF(A2847="","",E2847*#REF!),"")</f>
        <v/>
      </c>
    </row>
    <row r="2848" spans="2:9" x14ac:dyDescent="0.3">
      <c r="B2848" t="str">
        <f>IFERROR(IF(A2848="","",VLOOKUP(A2848,CadProd!$A:$B,2,0)),"")</f>
        <v/>
      </c>
      <c r="C2848" t="str">
        <f>IFERROR(IF(A2848="","",VLOOKUP(A2848,CadProd!$A:$C,3,0)),"")</f>
        <v/>
      </c>
      <c r="I2848" s="1" t="str">
        <f>IFERROR(IF(A2848="","",E2848*#REF!),"")</f>
        <v/>
      </c>
    </row>
    <row r="2849" spans="2:9" x14ac:dyDescent="0.3">
      <c r="B2849" t="str">
        <f>IFERROR(IF(A2849="","",VLOOKUP(A2849,CadProd!$A:$B,2,0)),"")</f>
        <v/>
      </c>
      <c r="C2849" t="str">
        <f>IFERROR(IF(A2849="","",VLOOKUP(A2849,CadProd!$A:$C,3,0)),"")</f>
        <v/>
      </c>
      <c r="I2849" s="1" t="str">
        <f>IFERROR(IF(A2849="","",E2849*#REF!),"")</f>
        <v/>
      </c>
    </row>
    <row r="2850" spans="2:9" x14ac:dyDescent="0.3">
      <c r="B2850" t="str">
        <f>IFERROR(IF(A2850="","",VLOOKUP(A2850,CadProd!$A:$B,2,0)),"")</f>
        <v/>
      </c>
      <c r="C2850" t="str">
        <f>IFERROR(IF(A2850="","",VLOOKUP(A2850,CadProd!$A:$C,3,0)),"")</f>
        <v/>
      </c>
      <c r="I2850" s="1" t="str">
        <f>IFERROR(IF(A2850="","",E2850*#REF!),"")</f>
        <v/>
      </c>
    </row>
    <row r="2851" spans="2:9" x14ac:dyDescent="0.3">
      <c r="B2851" t="str">
        <f>IFERROR(IF(A2851="","",VLOOKUP(A2851,CadProd!$A:$B,2,0)),"")</f>
        <v/>
      </c>
      <c r="C2851" t="str">
        <f>IFERROR(IF(A2851="","",VLOOKUP(A2851,CadProd!$A:$C,3,0)),"")</f>
        <v/>
      </c>
      <c r="I2851" s="1" t="str">
        <f>IFERROR(IF(A2851="","",E2851*#REF!),"")</f>
        <v/>
      </c>
    </row>
    <row r="2852" spans="2:9" x14ac:dyDescent="0.3">
      <c r="B2852" t="str">
        <f>IFERROR(IF(A2852="","",VLOOKUP(A2852,CadProd!$A:$B,2,0)),"")</f>
        <v/>
      </c>
      <c r="C2852" t="str">
        <f>IFERROR(IF(A2852="","",VLOOKUP(A2852,CadProd!$A:$C,3,0)),"")</f>
        <v/>
      </c>
      <c r="I2852" s="1" t="str">
        <f>IFERROR(IF(A2852="","",E2852*#REF!),"")</f>
        <v/>
      </c>
    </row>
    <row r="2853" spans="2:9" x14ac:dyDescent="0.3">
      <c r="B2853" t="str">
        <f>IFERROR(IF(A2853="","",VLOOKUP(A2853,CadProd!$A:$B,2,0)),"")</f>
        <v/>
      </c>
      <c r="C2853" t="str">
        <f>IFERROR(IF(A2853="","",VLOOKUP(A2853,CadProd!$A:$C,3,0)),"")</f>
        <v/>
      </c>
      <c r="I2853" s="1" t="str">
        <f>IFERROR(IF(A2853="","",E2853*#REF!),"")</f>
        <v/>
      </c>
    </row>
    <row r="2854" spans="2:9" x14ac:dyDescent="0.3">
      <c r="B2854" t="str">
        <f>IFERROR(IF(A2854="","",VLOOKUP(A2854,CadProd!$A:$B,2,0)),"")</f>
        <v/>
      </c>
      <c r="C2854" t="str">
        <f>IFERROR(IF(A2854="","",VLOOKUP(A2854,CadProd!$A:$C,3,0)),"")</f>
        <v/>
      </c>
      <c r="I2854" s="1" t="str">
        <f>IFERROR(IF(A2854="","",E2854*#REF!),"")</f>
        <v/>
      </c>
    </row>
    <row r="2855" spans="2:9" x14ac:dyDescent="0.3">
      <c r="B2855" t="str">
        <f>IFERROR(IF(A2855="","",VLOOKUP(A2855,CadProd!$A:$B,2,0)),"")</f>
        <v/>
      </c>
      <c r="C2855" t="str">
        <f>IFERROR(IF(A2855="","",VLOOKUP(A2855,CadProd!$A:$C,3,0)),"")</f>
        <v/>
      </c>
      <c r="I2855" s="1" t="str">
        <f>IFERROR(IF(A2855="","",E2855*#REF!),"")</f>
        <v/>
      </c>
    </row>
    <row r="2856" spans="2:9" x14ac:dyDescent="0.3">
      <c r="B2856" t="str">
        <f>IFERROR(IF(A2856="","",VLOOKUP(A2856,CadProd!$A:$B,2,0)),"")</f>
        <v/>
      </c>
      <c r="C2856" t="str">
        <f>IFERROR(IF(A2856="","",VLOOKUP(A2856,CadProd!$A:$C,3,0)),"")</f>
        <v/>
      </c>
      <c r="I2856" s="1" t="str">
        <f>IFERROR(IF(A2856="","",E2856*#REF!),"")</f>
        <v/>
      </c>
    </row>
    <row r="2857" spans="2:9" x14ac:dyDescent="0.3">
      <c r="B2857" t="str">
        <f>IFERROR(IF(A2857="","",VLOOKUP(A2857,CadProd!$A:$B,2,0)),"")</f>
        <v/>
      </c>
      <c r="C2857" t="str">
        <f>IFERROR(IF(A2857="","",VLOOKUP(A2857,CadProd!$A:$C,3,0)),"")</f>
        <v/>
      </c>
      <c r="I2857" s="1" t="str">
        <f>IFERROR(IF(A2857="","",E2857*#REF!),"")</f>
        <v/>
      </c>
    </row>
    <row r="2858" spans="2:9" x14ac:dyDescent="0.3">
      <c r="B2858" t="str">
        <f>IFERROR(IF(A2858="","",VLOOKUP(A2858,CadProd!$A:$B,2,0)),"")</f>
        <v/>
      </c>
      <c r="C2858" t="str">
        <f>IFERROR(IF(A2858="","",VLOOKUP(A2858,CadProd!$A:$C,3,0)),"")</f>
        <v/>
      </c>
      <c r="I2858" s="1" t="str">
        <f>IFERROR(IF(A2858="","",E2858*#REF!),"")</f>
        <v/>
      </c>
    </row>
    <row r="2859" spans="2:9" x14ac:dyDescent="0.3">
      <c r="B2859" t="str">
        <f>IFERROR(IF(A2859="","",VLOOKUP(A2859,CadProd!$A:$B,2,0)),"")</f>
        <v/>
      </c>
      <c r="C2859" t="str">
        <f>IFERROR(IF(A2859="","",VLOOKUP(A2859,CadProd!$A:$C,3,0)),"")</f>
        <v/>
      </c>
      <c r="I2859" s="1" t="str">
        <f>IFERROR(IF(A2859="","",E2859*#REF!),"")</f>
        <v/>
      </c>
    </row>
    <row r="2860" spans="2:9" x14ac:dyDescent="0.3">
      <c r="B2860" t="str">
        <f>IFERROR(IF(A2860="","",VLOOKUP(A2860,CadProd!$A:$B,2,0)),"")</f>
        <v/>
      </c>
      <c r="C2860" t="str">
        <f>IFERROR(IF(A2860="","",VLOOKUP(A2860,CadProd!$A:$C,3,0)),"")</f>
        <v/>
      </c>
      <c r="I2860" s="1" t="str">
        <f>IFERROR(IF(A2860="","",E2860*#REF!),"")</f>
        <v/>
      </c>
    </row>
    <row r="2861" spans="2:9" x14ac:dyDescent="0.3">
      <c r="B2861" t="str">
        <f>IFERROR(IF(A2861="","",VLOOKUP(A2861,CadProd!$A:$B,2,0)),"")</f>
        <v/>
      </c>
      <c r="C2861" t="str">
        <f>IFERROR(IF(A2861="","",VLOOKUP(A2861,CadProd!$A:$C,3,0)),"")</f>
        <v/>
      </c>
      <c r="I2861" s="1" t="str">
        <f>IFERROR(IF(A2861="","",E2861*#REF!),"")</f>
        <v/>
      </c>
    </row>
    <row r="2862" spans="2:9" x14ac:dyDescent="0.3">
      <c r="B2862" t="str">
        <f>IFERROR(IF(A2862="","",VLOOKUP(A2862,CadProd!$A:$B,2,0)),"")</f>
        <v/>
      </c>
      <c r="C2862" t="str">
        <f>IFERROR(IF(A2862="","",VLOOKUP(A2862,CadProd!$A:$C,3,0)),"")</f>
        <v/>
      </c>
      <c r="I2862" s="1" t="str">
        <f>IFERROR(IF(A2862="","",E2862*#REF!),"")</f>
        <v/>
      </c>
    </row>
    <row r="2863" spans="2:9" x14ac:dyDescent="0.3">
      <c r="B2863" t="str">
        <f>IFERROR(IF(A2863="","",VLOOKUP(A2863,CadProd!$A:$B,2,0)),"")</f>
        <v/>
      </c>
      <c r="C2863" t="str">
        <f>IFERROR(IF(A2863="","",VLOOKUP(A2863,CadProd!$A:$C,3,0)),"")</f>
        <v/>
      </c>
      <c r="I2863" s="1" t="str">
        <f>IFERROR(IF(A2863="","",E2863*#REF!),"")</f>
        <v/>
      </c>
    </row>
    <row r="2864" spans="2:9" x14ac:dyDescent="0.3">
      <c r="B2864" t="str">
        <f>IFERROR(IF(A2864="","",VLOOKUP(A2864,CadProd!$A:$B,2,0)),"")</f>
        <v/>
      </c>
      <c r="C2864" t="str">
        <f>IFERROR(IF(A2864="","",VLOOKUP(A2864,CadProd!$A:$C,3,0)),"")</f>
        <v/>
      </c>
      <c r="I2864" s="1" t="str">
        <f>IFERROR(IF(A2864="","",E2864*#REF!),"")</f>
        <v/>
      </c>
    </row>
    <row r="2865" spans="2:9" x14ac:dyDescent="0.3">
      <c r="B2865" t="str">
        <f>IFERROR(IF(A2865="","",VLOOKUP(A2865,CadProd!$A:$B,2,0)),"")</f>
        <v/>
      </c>
      <c r="C2865" t="str">
        <f>IFERROR(IF(A2865="","",VLOOKUP(A2865,CadProd!$A:$C,3,0)),"")</f>
        <v/>
      </c>
      <c r="I2865" s="1" t="str">
        <f>IFERROR(IF(A2865="","",E2865*#REF!),"")</f>
        <v/>
      </c>
    </row>
    <row r="2866" spans="2:9" x14ac:dyDescent="0.3">
      <c r="B2866" t="str">
        <f>IFERROR(IF(A2866="","",VLOOKUP(A2866,CadProd!$A:$B,2,0)),"")</f>
        <v/>
      </c>
      <c r="C2866" t="str">
        <f>IFERROR(IF(A2866="","",VLOOKUP(A2866,CadProd!$A:$C,3,0)),"")</f>
        <v/>
      </c>
      <c r="I2866" s="1" t="str">
        <f>IFERROR(IF(A2866="","",E2866*#REF!),"")</f>
        <v/>
      </c>
    </row>
    <row r="2867" spans="2:9" x14ac:dyDescent="0.3">
      <c r="B2867" t="str">
        <f>IFERROR(IF(A2867="","",VLOOKUP(A2867,CadProd!$A:$B,2,0)),"")</f>
        <v/>
      </c>
      <c r="C2867" t="str">
        <f>IFERROR(IF(A2867="","",VLOOKUP(A2867,CadProd!$A:$C,3,0)),"")</f>
        <v/>
      </c>
      <c r="I2867" s="1" t="str">
        <f>IFERROR(IF(A2867="","",E2867*#REF!),"")</f>
        <v/>
      </c>
    </row>
    <row r="2868" spans="2:9" x14ac:dyDescent="0.3">
      <c r="B2868" t="str">
        <f>IFERROR(IF(A2868="","",VLOOKUP(A2868,CadProd!$A:$B,2,0)),"")</f>
        <v/>
      </c>
      <c r="C2868" t="str">
        <f>IFERROR(IF(A2868="","",VLOOKUP(A2868,CadProd!$A:$C,3,0)),"")</f>
        <v/>
      </c>
      <c r="I2868" s="1" t="str">
        <f>IFERROR(IF(A2868="","",E2868*#REF!),"")</f>
        <v/>
      </c>
    </row>
    <row r="2869" spans="2:9" x14ac:dyDescent="0.3">
      <c r="B2869" t="str">
        <f>IFERROR(IF(A2869="","",VLOOKUP(A2869,CadProd!$A:$B,2,0)),"")</f>
        <v/>
      </c>
      <c r="C2869" t="str">
        <f>IFERROR(IF(A2869="","",VLOOKUP(A2869,CadProd!$A:$C,3,0)),"")</f>
        <v/>
      </c>
      <c r="I2869" s="1" t="str">
        <f>IFERROR(IF(A2869="","",E2869*#REF!),"")</f>
        <v/>
      </c>
    </row>
    <row r="2870" spans="2:9" x14ac:dyDescent="0.3">
      <c r="B2870" t="str">
        <f>IFERROR(IF(A2870="","",VLOOKUP(A2870,CadProd!$A:$B,2,0)),"")</f>
        <v/>
      </c>
      <c r="C2870" t="str">
        <f>IFERROR(IF(A2870="","",VLOOKUP(A2870,CadProd!$A:$C,3,0)),"")</f>
        <v/>
      </c>
      <c r="I2870" s="1" t="str">
        <f>IFERROR(IF(A2870="","",E2870*#REF!),"")</f>
        <v/>
      </c>
    </row>
    <row r="2871" spans="2:9" x14ac:dyDescent="0.3">
      <c r="B2871" t="str">
        <f>IFERROR(IF(A2871="","",VLOOKUP(A2871,CadProd!$A:$B,2,0)),"")</f>
        <v/>
      </c>
      <c r="C2871" t="str">
        <f>IFERROR(IF(A2871="","",VLOOKUP(A2871,CadProd!$A:$C,3,0)),"")</f>
        <v/>
      </c>
      <c r="I2871" s="1" t="str">
        <f>IFERROR(IF(A2871="","",E2871*#REF!),"")</f>
        <v/>
      </c>
    </row>
    <row r="2872" spans="2:9" x14ac:dyDescent="0.3">
      <c r="B2872" t="str">
        <f>IFERROR(IF(A2872="","",VLOOKUP(A2872,CadProd!$A:$B,2,0)),"")</f>
        <v/>
      </c>
      <c r="C2872" t="str">
        <f>IFERROR(IF(A2872="","",VLOOKUP(A2872,CadProd!$A:$C,3,0)),"")</f>
        <v/>
      </c>
      <c r="I2872" s="1" t="str">
        <f>IFERROR(IF(A2872="","",E2872*#REF!),"")</f>
        <v/>
      </c>
    </row>
    <row r="2873" spans="2:9" x14ac:dyDescent="0.3">
      <c r="B2873" t="str">
        <f>IFERROR(IF(A2873="","",VLOOKUP(A2873,CadProd!$A:$B,2,0)),"")</f>
        <v/>
      </c>
      <c r="C2873" t="str">
        <f>IFERROR(IF(A2873="","",VLOOKUP(A2873,CadProd!$A:$C,3,0)),"")</f>
        <v/>
      </c>
      <c r="I2873" s="1" t="str">
        <f>IFERROR(IF(A2873="","",E2873*#REF!),"")</f>
        <v/>
      </c>
    </row>
    <row r="2874" spans="2:9" x14ac:dyDescent="0.3">
      <c r="B2874" t="str">
        <f>IFERROR(IF(A2874="","",VLOOKUP(A2874,CadProd!$A:$B,2,0)),"")</f>
        <v/>
      </c>
      <c r="C2874" t="str">
        <f>IFERROR(IF(A2874="","",VLOOKUP(A2874,CadProd!$A:$C,3,0)),"")</f>
        <v/>
      </c>
      <c r="I2874" s="1" t="str">
        <f>IFERROR(IF(A2874="","",E2874*#REF!),"")</f>
        <v/>
      </c>
    </row>
    <row r="2875" spans="2:9" x14ac:dyDescent="0.3">
      <c r="B2875" t="str">
        <f>IFERROR(IF(A2875="","",VLOOKUP(A2875,CadProd!$A:$B,2,0)),"")</f>
        <v/>
      </c>
      <c r="C2875" t="str">
        <f>IFERROR(IF(A2875="","",VLOOKUP(A2875,CadProd!$A:$C,3,0)),"")</f>
        <v/>
      </c>
      <c r="I2875" s="1" t="str">
        <f>IFERROR(IF(A2875="","",E2875*#REF!),"")</f>
        <v/>
      </c>
    </row>
    <row r="2876" spans="2:9" x14ac:dyDescent="0.3">
      <c r="B2876" t="str">
        <f>IFERROR(IF(A2876="","",VLOOKUP(A2876,CadProd!$A:$B,2,0)),"")</f>
        <v/>
      </c>
      <c r="C2876" t="str">
        <f>IFERROR(IF(A2876="","",VLOOKUP(A2876,CadProd!$A:$C,3,0)),"")</f>
        <v/>
      </c>
      <c r="I2876" s="1" t="str">
        <f>IFERROR(IF(A2876="","",E2876*#REF!),"")</f>
        <v/>
      </c>
    </row>
    <row r="2877" spans="2:9" x14ac:dyDescent="0.3">
      <c r="B2877" t="str">
        <f>IFERROR(IF(A2877="","",VLOOKUP(A2877,CadProd!$A:$B,2,0)),"")</f>
        <v/>
      </c>
      <c r="C2877" t="str">
        <f>IFERROR(IF(A2877="","",VLOOKUP(A2877,CadProd!$A:$C,3,0)),"")</f>
        <v/>
      </c>
      <c r="I2877" s="1" t="str">
        <f>IFERROR(IF(A2877="","",E2877*#REF!),"")</f>
        <v/>
      </c>
    </row>
    <row r="2878" spans="2:9" x14ac:dyDescent="0.3">
      <c r="B2878" t="str">
        <f>IFERROR(IF(A2878="","",VLOOKUP(A2878,CadProd!$A:$B,2,0)),"")</f>
        <v/>
      </c>
      <c r="C2878" t="str">
        <f>IFERROR(IF(A2878="","",VLOOKUP(A2878,CadProd!$A:$C,3,0)),"")</f>
        <v/>
      </c>
      <c r="I2878" s="1" t="str">
        <f>IFERROR(IF(A2878="","",E2878*#REF!),"")</f>
        <v/>
      </c>
    </row>
    <row r="2879" spans="2:9" x14ac:dyDescent="0.3">
      <c r="B2879" t="str">
        <f>IFERROR(IF(A2879="","",VLOOKUP(A2879,CadProd!$A:$B,2,0)),"")</f>
        <v/>
      </c>
      <c r="C2879" t="str">
        <f>IFERROR(IF(A2879="","",VLOOKUP(A2879,CadProd!$A:$C,3,0)),"")</f>
        <v/>
      </c>
      <c r="I2879" s="1" t="str">
        <f>IFERROR(IF(A2879="","",E2879*#REF!),"")</f>
        <v/>
      </c>
    </row>
    <row r="2880" spans="2:9" x14ac:dyDescent="0.3">
      <c r="B2880" t="str">
        <f>IFERROR(IF(A2880="","",VLOOKUP(A2880,CadProd!$A:$B,2,0)),"")</f>
        <v/>
      </c>
      <c r="C2880" t="str">
        <f>IFERROR(IF(A2880="","",VLOOKUP(A2880,CadProd!$A:$C,3,0)),"")</f>
        <v/>
      </c>
      <c r="I2880" s="1" t="str">
        <f>IFERROR(IF(A2880="","",E2880*#REF!),"")</f>
        <v/>
      </c>
    </row>
    <row r="2881" spans="2:9" x14ac:dyDescent="0.3">
      <c r="B2881" t="str">
        <f>IFERROR(IF(A2881="","",VLOOKUP(A2881,CadProd!$A:$B,2,0)),"")</f>
        <v/>
      </c>
      <c r="C2881" t="str">
        <f>IFERROR(IF(A2881="","",VLOOKUP(A2881,CadProd!$A:$C,3,0)),"")</f>
        <v/>
      </c>
      <c r="I2881" s="1" t="str">
        <f>IFERROR(IF(A2881="","",E2881*#REF!),"")</f>
        <v/>
      </c>
    </row>
    <row r="2882" spans="2:9" x14ac:dyDescent="0.3">
      <c r="B2882" t="str">
        <f>IFERROR(IF(A2882="","",VLOOKUP(A2882,CadProd!$A:$B,2,0)),"")</f>
        <v/>
      </c>
      <c r="C2882" t="str">
        <f>IFERROR(IF(A2882="","",VLOOKUP(A2882,CadProd!$A:$C,3,0)),"")</f>
        <v/>
      </c>
      <c r="I2882" s="1" t="str">
        <f>IFERROR(IF(A2882="","",E2882*#REF!),"")</f>
        <v/>
      </c>
    </row>
    <row r="2883" spans="2:9" x14ac:dyDescent="0.3">
      <c r="B2883" t="str">
        <f>IFERROR(IF(A2883="","",VLOOKUP(A2883,CadProd!$A:$B,2,0)),"")</f>
        <v/>
      </c>
      <c r="C2883" t="str">
        <f>IFERROR(IF(A2883="","",VLOOKUP(A2883,CadProd!$A:$C,3,0)),"")</f>
        <v/>
      </c>
      <c r="I2883" s="1" t="str">
        <f>IFERROR(IF(A2883="","",E2883*#REF!),"")</f>
        <v/>
      </c>
    </row>
    <row r="2884" spans="2:9" x14ac:dyDescent="0.3">
      <c r="B2884" t="str">
        <f>IFERROR(IF(A2884="","",VLOOKUP(A2884,CadProd!$A:$B,2,0)),"")</f>
        <v/>
      </c>
      <c r="C2884" t="str">
        <f>IFERROR(IF(A2884="","",VLOOKUP(A2884,CadProd!$A:$C,3,0)),"")</f>
        <v/>
      </c>
      <c r="I2884" s="1" t="str">
        <f>IFERROR(IF(A2884="","",E2884*#REF!),"")</f>
        <v/>
      </c>
    </row>
    <row r="2885" spans="2:9" x14ac:dyDescent="0.3">
      <c r="B2885" t="str">
        <f>IFERROR(IF(A2885="","",VLOOKUP(A2885,CadProd!$A:$B,2,0)),"")</f>
        <v/>
      </c>
      <c r="C2885" t="str">
        <f>IFERROR(IF(A2885="","",VLOOKUP(A2885,CadProd!$A:$C,3,0)),"")</f>
        <v/>
      </c>
      <c r="I2885" s="1" t="str">
        <f>IFERROR(IF(A2885="","",E2885*#REF!),"")</f>
        <v/>
      </c>
    </row>
    <row r="2886" spans="2:9" x14ac:dyDescent="0.3">
      <c r="B2886" t="str">
        <f>IFERROR(IF(A2886="","",VLOOKUP(A2886,CadProd!$A:$B,2,0)),"")</f>
        <v/>
      </c>
      <c r="C2886" t="str">
        <f>IFERROR(IF(A2886="","",VLOOKUP(A2886,CadProd!$A:$C,3,0)),"")</f>
        <v/>
      </c>
      <c r="I2886" s="1" t="str">
        <f>IFERROR(IF(A2886="","",E2886*#REF!),"")</f>
        <v/>
      </c>
    </row>
    <row r="2887" spans="2:9" x14ac:dyDescent="0.3">
      <c r="B2887" t="str">
        <f>IFERROR(IF(A2887="","",VLOOKUP(A2887,CadProd!$A:$B,2,0)),"")</f>
        <v/>
      </c>
      <c r="C2887" t="str">
        <f>IFERROR(IF(A2887="","",VLOOKUP(A2887,CadProd!$A:$C,3,0)),"")</f>
        <v/>
      </c>
      <c r="I2887" s="1" t="str">
        <f>IFERROR(IF(A2887="","",E2887*#REF!),"")</f>
        <v/>
      </c>
    </row>
    <row r="2888" spans="2:9" x14ac:dyDescent="0.3">
      <c r="B2888" t="str">
        <f>IFERROR(IF(A2888="","",VLOOKUP(A2888,CadProd!$A:$B,2,0)),"")</f>
        <v/>
      </c>
      <c r="C2888" t="str">
        <f>IFERROR(IF(A2888="","",VLOOKUP(A2888,CadProd!$A:$C,3,0)),"")</f>
        <v/>
      </c>
      <c r="I2888" s="1" t="str">
        <f>IFERROR(IF(A2888="","",E2888*#REF!),"")</f>
        <v/>
      </c>
    </row>
    <row r="2889" spans="2:9" x14ac:dyDescent="0.3">
      <c r="B2889" t="str">
        <f>IFERROR(IF(A2889="","",VLOOKUP(A2889,CadProd!$A:$B,2,0)),"")</f>
        <v/>
      </c>
      <c r="C2889" t="str">
        <f>IFERROR(IF(A2889="","",VLOOKUP(A2889,CadProd!$A:$C,3,0)),"")</f>
        <v/>
      </c>
      <c r="I2889" s="1" t="str">
        <f>IFERROR(IF(A2889="","",E2889*#REF!),"")</f>
        <v/>
      </c>
    </row>
    <row r="2890" spans="2:9" x14ac:dyDescent="0.3">
      <c r="B2890" t="str">
        <f>IFERROR(IF(A2890="","",VLOOKUP(A2890,CadProd!$A:$B,2,0)),"")</f>
        <v/>
      </c>
      <c r="C2890" t="str">
        <f>IFERROR(IF(A2890="","",VLOOKUP(A2890,CadProd!$A:$C,3,0)),"")</f>
        <v/>
      </c>
      <c r="I2890" s="1" t="str">
        <f>IFERROR(IF(A2890="","",E2890*#REF!),"")</f>
        <v/>
      </c>
    </row>
    <row r="2891" spans="2:9" x14ac:dyDescent="0.3">
      <c r="B2891" t="str">
        <f>IFERROR(IF(A2891="","",VLOOKUP(A2891,CadProd!$A:$B,2,0)),"")</f>
        <v/>
      </c>
      <c r="C2891" t="str">
        <f>IFERROR(IF(A2891="","",VLOOKUP(A2891,CadProd!$A:$C,3,0)),"")</f>
        <v/>
      </c>
      <c r="I2891" s="1" t="str">
        <f>IFERROR(IF(A2891="","",E2891*#REF!),"")</f>
        <v/>
      </c>
    </row>
    <row r="2892" spans="2:9" x14ac:dyDescent="0.3">
      <c r="B2892" t="str">
        <f>IFERROR(IF(A2892="","",VLOOKUP(A2892,CadProd!$A:$B,2,0)),"")</f>
        <v/>
      </c>
      <c r="C2892" t="str">
        <f>IFERROR(IF(A2892="","",VLOOKUP(A2892,CadProd!$A:$C,3,0)),"")</f>
        <v/>
      </c>
      <c r="I2892" s="1" t="str">
        <f>IFERROR(IF(A2892="","",E2892*#REF!),"")</f>
        <v/>
      </c>
    </row>
    <row r="2893" spans="2:9" x14ac:dyDescent="0.3">
      <c r="B2893" t="str">
        <f>IFERROR(IF(A2893="","",VLOOKUP(A2893,CadProd!$A:$B,2,0)),"")</f>
        <v/>
      </c>
      <c r="C2893" t="str">
        <f>IFERROR(IF(A2893="","",VLOOKUP(A2893,CadProd!$A:$C,3,0)),"")</f>
        <v/>
      </c>
      <c r="I2893" s="1" t="str">
        <f>IFERROR(IF(A2893="","",E2893*#REF!),"")</f>
        <v/>
      </c>
    </row>
    <row r="2894" spans="2:9" x14ac:dyDescent="0.3">
      <c r="B2894" t="str">
        <f>IFERROR(IF(A2894="","",VLOOKUP(A2894,CadProd!$A:$B,2,0)),"")</f>
        <v/>
      </c>
      <c r="C2894" t="str">
        <f>IFERROR(IF(A2894="","",VLOOKUP(A2894,CadProd!$A:$C,3,0)),"")</f>
        <v/>
      </c>
      <c r="I2894" s="1" t="str">
        <f>IFERROR(IF(A2894="","",E2894*#REF!),"")</f>
        <v/>
      </c>
    </row>
    <row r="2895" spans="2:9" x14ac:dyDescent="0.3">
      <c r="B2895" t="str">
        <f>IFERROR(IF(A2895="","",VLOOKUP(A2895,CadProd!$A:$B,2,0)),"")</f>
        <v/>
      </c>
      <c r="C2895" t="str">
        <f>IFERROR(IF(A2895="","",VLOOKUP(A2895,CadProd!$A:$C,3,0)),"")</f>
        <v/>
      </c>
      <c r="I2895" s="1" t="str">
        <f>IFERROR(IF(A2895="","",E2895*#REF!),"")</f>
        <v/>
      </c>
    </row>
    <row r="2896" spans="2:9" x14ac:dyDescent="0.3">
      <c r="B2896" t="str">
        <f>IFERROR(IF(A2896="","",VLOOKUP(A2896,CadProd!$A:$B,2,0)),"")</f>
        <v/>
      </c>
      <c r="C2896" t="str">
        <f>IFERROR(IF(A2896="","",VLOOKUP(A2896,CadProd!$A:$C,3,0)),"")</f>
        <v/>
      </c>
      <c r="I2896" s="1" t="str">
        <f>IFERROR(IF(A2896="","",E2896*#REF!),"")</f>
        <v/>
      </c>
    </row>
    <row r="2897" spans="2:9" x14ac:dyDescent="0.3">
      <c r="B2897" t="str">
        <f>IFERROR(IF(A2897="","",VLOOKUP(A2897,CadProd!$A:$B,2,0)),"")</f>
        <v/>
      </c>
      <c r="C2897" t="str">
        <f>IFERROR(IF(A2897="","",VLOOKUP(A2897,CadProd!$A:$C,3,0)),"")</f>
        <v/>
      </c>
      <c r="I2897" s="1" t="str">
        <f>IFERROR(IF(A2897="","",E2897*#REF!),"")</f>
        <v/>
      </c>
    </row>
    <row r="2898" spans="2:9" x14ac:dyDescent="0.3">
      <c r="B2898" t="str">
        <f>IFERROR(IF(A2898="","",VLOOKUP(A2898,CadProd!$A:$B,2,0)),"")</f>
        <v/>
      </c>
      <c r="C2898" t="str">
        <f>IFERROR(IF(A2898="","",VLOOKUP(A2898,CadProd!$A:$C,3,0)),"")</f>
        <v/>
      </c>
      <c r="I2898" s="1" t="str">
        <f>IFERROR(IF(A2898="","",E2898*#REF!),"")</f>
        <v/>
      </c>
    </row>
    <row r="2899" spans="2:9" x14ac:dyDescent="0.3">
      <c r="B2899" t="str">
        <f>IFERROR(IF(A2899="","",VLOOKUP(A2899,CadProd!$A:$B,2,0)),"")</f>
        <v/>
      </c>
      <c r="C2899" t="str">
        <f>IFERROR(IF(A2899="","",VLOOKUP(A2899,CadProd!$A:$C,3,0)),"")</f>
        <v/>
      </c>
      <c r="I2899" s="1" t="str">
        <f>IFERROR(IF(A2899="","",E2899*#REF!),"")</f>
        <v/>
      </c>
    </row>
    <row r="2900" spans="2:9" x14ac:dyDescent="0.3">
      <c r="B2900" t="str">
        <f>IFERROR(IF(A2900="","",VLOOKUP(A2900,CadProd!$A:$B,2,0)),"")</f>
        <v/>
      </c>
      <c r="C2900" t="str">
        <f>IFERROR(IF(A2900="","",VLOOKUP(A2900,CadProd!$A:$C,3,0)),"")</f>
        <v/>
      </c>
      <c r="I2900" s="1" t="str">
        <f>IFERROR(IF(A2900="","",E2900*#REF!),"")</f>
        <v/>
      </c>
    </row>
    <row r="2901" spans="2:9" x14ac:dyDescent="0.3">
      <c r="B2901" t="str">
        <f>IFERROR(IF(A2901="","",VLOOKUP(A2901,CadProd!$A:$B,2,0)),"")</f>
        <v/>
      </c>
      <c r="C2901" t="str">
        <f>IFERROR(IF(A2901="","",VLOOKUP(A2901,CadProd!$A:$C,3,0)),"")</f>
        <v/>
      </c>
      <c r="I2901" s="1" t="str">
        <f>IFERROR(IF(A2901="","",E2901*#REF!),"")</f>
        <v/>
      </c>
    </row>
    <row r="2902" spans="2:9" x14ac:dyDescent="0.3">
      <c r="B2902" t="str">
        <f>IFERROR(IF(A2902="","",VLOOKUP(A2902,CadProd!$A:$B,2,0)),"")</f>
        <v/>
      </c>
      <c r="C2902" t="str">
        <f>IFERROR(IF(A2902="","",VLOOKUP(A2902,CadProd!$A:$C,3,0)),"")</f>
        <v/>
      </c>
      <c r="I2902" s="1" t="str">
        <f>IFERROR(IF(A2902="","",E2902*#REF!),"")</f>
        <v/>
      </c>
    </row>
    <row r="2903" spans="2:9" x14ac:dyDescent="0.3">
      <c r="B2903" t="str">
        <f>IFERROR(IF(A2903="","",VLOOKUP(A2903,CadProd!$A:$B,2,0)),"")</f>
        <v/>
      </c>
      <c r="C2903" t="str">
        <f>IFERROR(IF(A2903="","",VLOOKUP(A2903,CadProd!$A:$C,3,0)),"")</f>
        <v/>
      </c>
      <c r="I2903" s="1" t="str">
        <f>IFERROR(IF(A2903="","",E2903*#REF!),"")</f>
        <v/>
      </c>
    </row>
    <row r="2904" spans="2:9" x14ac:dyDescent="0.3">
      <c r="B2904" t="str">
        <f>IFERROR(IF(A2904="","",VLOOKUP(A2904,CadProd!$A:$B,2,0)),"")</f>
        <v/>
      </c>
      <c r="C2904" t="str">
        <f>IFERROR(IF(A2904="","",VLOOKUP(A2904,CadProd!$A:$C,3,0)),"")</f>
        <v/>
      </c>
      <c r="I2904" s="1" t="str">
        <f>IFERROR(IF(A2904="","",E2904*#REF!),"")</f>
        <v/>
      </c>
    </row>
    <row r="2905" spans="2:9" x14ac:dyDescent="0.3">
      <c r="B2905" t="str">
        <f>IFERROR(IF(A2905="","",VLOOKUP(A2905,CadProd!$A:$B,2,0)),"")</f>
        <v/>
      </c>
      <c r="C2905" t="str">
        <f>IFERROR(IF(A2905="","",VLOOKUP(A2905,CadProd!$A:$C,3,0)),"")</f>
        <v/>
      </c>
      <c r="I2905" s="1" t="str">
        <f>IFERROR(IF(A2905="","",E2905*#REF!),"")</f>
        <v/>
      </c>
    </row>
    <row r="2906" spans="2:9" x14ac:dyDescent="0.3">
      <c r="B2906" t="str">
        <f>IFERROR(IF(A2906="","",VLOOKUP(A2906,CadProd!$A:$B,2,0)),"")</f>
        <v/>
      </c>
      <c r="C2906" t="str">
        <f>IFERROR(IF(A2906="","",VLOOKUP(A2906,CadProd!$A:$C,3,0)),"")</f>
        <v/>
      </c>
      <c r="I2906" s="1" t="str">
        <f>IFERROR(IF(A2906="","",E2906*#REF!),"")</f>
        <v/>
      </c>
    </row>
    <row r="2907" spans="2:9" x14ac:dyDescent="0.3">
      <c r="B2907" t="str">
        <f>IFERROR(IF(A2907="","",VLOOKUP(A2907,CadProd!$A:$B,2,0)),"")</f>
        <v/>
      </c>
      <c r="C2907" t="str">
        <f>IFERROR(IF(A2907="","",VLOOKUP(A2907,CadProd!$A:$C,3,0)),"")</f>
        <v/>
      </c>
      <c r="I2907" s="1" t="str">
        <f>IFERROR(IF(A2907="","",E2907*#REF!),"")</f>
        <v/>
      </c>
    </row>
    <row r="2908" spans="2:9" x14ac:dyDescent="0.3">
      <c r="B2908" t="str">
        <f>IFERROR(IF(A2908="","",VLOOKUP(A2908,CadProd!$A:$B,2,0)),"")</f>
        <v/>
      </c>
      <c r="C2908" t="str">
        <f>IFERROR(IF(A2908="","",VLOOKUP(A2908,CadProd!$A:$C,3,0)),"")</f>
        <v/>
      </c>
      <c r="I2908" s="1" t="str">
        <f>IFERROR(IF(A2908="","",E2908*#REF!),"")</f>
        <v/>
      </c>
    </row>
    <row r="2909" spans="2:9" x14ac:dyDescent="0.3">
      <c r="B2909" t="str">
        <f>IFERROR(IF(A2909="","",VLOOKUP(A2909,CadProd!$A:$B,2,0)),"")</f>
        <v/>
      </c>
      <c r="C2909" t="str">
        <f>IFERROR(IF(A2909="","",VLOOKUP(A2909,CadProd!$A:$C,3,0)),"")</f>
        <v/>
      </c>
      <c r="I2909" s="1" t="str">
        <f>IFERROR(IF(A2909="","",E2909*#REF!),"")</f>
        <v/>
      </c>
    </row>
    <row r="2910" spans="2:9" x14ac:dyDescent="0.3">
      <c r="B2910" t="str">
        <f>IFERROR(IF(A2910="","",VLOOKUP(A2910,CadProd!$A:$B,2,0)),"")</f>
        <v/>
      </c>
      <c r="C2910" t="str">
        <f>IFERROR(IF(A2910="","",VLOOKUP(A2910,CadProd!$A:$C,3,0)),"")</f>
        <v/>
      </c>
      <c r="I2910" s="1" t="str">
        <f>IFERROR(IF(A2910="","",E2910*#REF!),"")</f>
        <v/>
      </c>
    </row>
    <row r="2911" spans="2:9" x14ac:dyDescent="0.3">
      <c r="B2911" t="str">
        <f>IFERROR(IF(A2911="","",VLOOKUP(A2911,CadProd!$A:$B,2,0)),"")</f>
        <v/>
      </c>
      <c r="C2911" t="str">
        <f>IFERROR(IF(A2911="","",VLOOKUP(A2911,CadProd!$A:$C,3,0)),"")</f>
        <v/>
      </c>
      <c r="I2911" s="1" t="str">
        <f>IFERROR(IF(A2911="","",E2911*#REF!),"")</f>
        <v/>
      </c>
    </row>
    <row r="2912" spans="2:9" x14ac:dyDescent="0.3">
      <c r="B2912" t="str">
        <f>IFERROR(IF(A2912="","",VLOOKUP(A2912,CadProd!$A:$B,2,0)),"")</f>
        <v/>
      </c>
      <c r="C2912" t="str">
        <f>IFERROR(IF(A2912="","",VLOOKUP(A2912,CadProd!$A:$C,3,0)),"")</f>
        <v/>
      </c>
      <c r="I2912" s="1" t="str">
        <f>IFERROR(IF(A2912="","",E2912*#REF!),"")</f>
        <v/>
      </c>
    </row>
    <row r="2913" spans="2:9" x14ac:dyDescent="0.3">
      <c r="B2913" t="str">
        <f>IFERROR(IF(A2913="","",VLOOKUP(A2913,CadProd!$A:$B,2,0)),"")</f>
        <v/>
      </c>
      <c r="C2913" t="str">
        <f>IFERROR(IF(A2913="","",VLOOKUP(A2913,CadProd!$A:$C,3,0)),"")</f>
        <v/>
      </c>
      <c r="I2913" s="1" t="str">
        <f>IFERROR(IF(A2913="","",E2913*#REF!),"")</f>
        <v/>
      </c>
    </row>
    <row r="2914" spans="2:9" x14ac:dyDescent="0.3">
      <c r="B2914" t="str">
        <f>IFERROR(IF(A2914="","",VLOOKUP(A2914,CadProd!$A:$B,2,0)),"")</f>
        <v/>
      </c>
      <c r="C2914" t="str">
        <f>IFERROR(IF(A2914="","",VLOOKUP(A2914,CadProd!$A:$C,3,0)),"")</f>
        <v/>
      </c>
      <c r="I2914" s="1" t="str">
        <f>IFERROR(IF(A2914="","",E2914*#REF!),"")</f>
        <v/>
      </c>
    </row>
    <row r="2915" spans="2:9" x14ac:dyDescent="0.3">
      <c r="B2915" t="str">
        <f>IFERROR(IF(A2915="","",VLOOKUP(A2915,CadProd!$A:$B,2,0)),"")</f>
        <v/>
      </c>
      <c r="C2915" t="str">
        <f>IFERROR(IF(A2915="","",VLOOKUP(A2915,CadProd!$A:$C,3,0)),"")</f>
        <v/>
      </c>
      <c r="I2915" s="1" t="str">
        <f>IFERROR(IF(A2915="","",E2915*#REF!),"")</f>
        <v/>
      </c>
    </row>
    <row r="2916" spans="2:9" x14ac:dyDescent="0.3">
      <c r="B2916" t="str">
        <f>IFERROR(IF(A2916="","",VLOOKUP(A2916,CadProd!$A:$B,2,0)),"")</f>
        <v/>
      </c>
      <c r="C2916" t="str">
        <f>IFERROR(IF(A2916="","",VLOOKUP(A2916,CadProd!$A:$C,3,0)),"")</f>
        <v/>
      </c>
      <c r="I2916" s="1" t="str">
        <f>IFERROR(IF(A2916="","",E2916*#REF!),"")</f>
        <v/>
      </c>
    </row>
    <row r="2917" spans="2:9" x14ac:dyDescent="0.3">
      <c r="B2917" t="str">
        <f>IFERROR(IF(A2917="","",VLOOKUP(A2917,CadProd!$A:$B,2,0)),"")</f>
        <v/>
      </c>
      <c r="C2917" t="str">
        <f>IFERROR(IF(A2917="","",VLOOKUP(A2917,CadProd!$A:$C,3,0)),"")</f>
        <v/>
      </c>
      <c r="I2917" s="1" t="str">
        <f>IFERROR(IF(A2917="","",E2917*#REF!),"")</f>
        <v/>
      </c>
    </row>
    <row r="2918" spans="2:9" x14ac:dyDescent="0.3">
      <c r="B2918" t="str">
        <f>IFERROR(IF(A2918="","",VLOOKUP(A2918,CadProd!$A:$B,2,0)),"")</f>
        <v/>
      </c>
      <c r="C2918" t="str">
        <f>IFERROR(IF(A2918="","",VLOOKUP(A2918,CadProd!$A:$C,3,0)),"")</f>
        <v/>
      </c>
      <c r="I2918" s="1" t="str">
        <f>IFERROR(IF(A2918="","",E2918*#REF!),"")</f>
        <v/>
      </c>
    </row>
    <row r="2919" spans="2:9" x14ac:dyDescent="0.3">
      <c r="B2919" t="str">
        <f>IFERROR(IF(A2919="","",VLOOKUP(A2919,CadProd!$A:$B,2,0)),"")</f>
        <v/>
      </c>
      <c r="C2919" t="str">
        <f>IFERROR(IF(A2919="","",VLOOKUP(A2919,CadProd!$A:$C,3,0)),"")</f>
        <v/>
      </c>
      <c r="I2919" s="1" t="str">
        <f>IFERROR(IF(A2919="","",E2919*#REF!),"")</f>
        <v/>
      </c>
    </row>
    <row r="2920" spans="2:9" x14ac:dyDescent="0.3">
      <c r="B2920" t="str">
        <f>IFERROR(IF(A2920="","",VLOOKUP(A2920,CadProd!$A:$B,2,0)),"")</f>
        <v/>
      </c>
      <c r="C2920" t="str">
        <f>IFERROR(IF(A2920="","",VLOOKUP(A2920,CadProd!$A:$C,3,0)),"")</f>
        <v/>
      </c>
      <c r="I2920" s="1" t="str">
        <f>IFERROR(IF(A2920="","",E2920*#REF!),"")</f>
        <v/>
      </c>
    </row>
    <row r="2921" spans="2:9" x14ac:dyDescent="0.3">
      <c r="B2921" t="str">
        <f>IFERROR(IF(A2921="","",VLOOKUP(A2921,CadProd!$A:$B,2,0)),"")</f>
        <v/>
      </c>
      <c r="C2921" t="str">
        <f>IFERROR(IF(A2921="","",VLOOKUP(A2921,CadProd!$A:$C,3,0)),"")</f>
        <v/>
      </c>
      <c r="I2921" s="1" t="str">
        <f>IFERROR(IF(A2921="","",E2921*#REF!),"")</f>
        <v/>
      </c>
    </row>
    <row r="2922" spans="2:9" x14ac:dyDescent="0.3">
      <c r="B2922" t="str">
        <f>IFERROR(IF(A2922="","",VLOOKUP(A2922,CadProd!$A:$B,2,0)),"")</f>
        <v/>
      </c>
      <c r="C2922" t="str">
        <f>IFERROR(IF(A2922="","",VLOOKUP(A2922,CadProd!$A:$C,3,0)),"")</f>
        <v/>
      </c>
      <c r="I2922" s="1" t="str">
        <f>IFERROR(IF(A2922="","",E2922*#REF!),"")</f>
        <v/>
      </c>
    </row>
    <row r="2923" spans="2:9" x14ac:dyDescent="0.3">
      <c r="B2923" t="str">
        <f>IFERROR(IF(A2923="","",VLOOKUP(A2923,CadProd!$A:$B,2,0)),"")</f>
        <v/>
      </c>
      <c r="C2923" t="str">
        <f>IFERROR(IF(A2923="","",VLOOKUP(A2923,CadProd!$A:$C,3,0)),"")</f>
        <v/>
      </c>
      <c r="I2923" s="1" t="str">
        <f>IFERROR(IF(A2923="","",E2923*#REF!),"")</f>
        <v/>
      </c>
    </row>
    <row r="2924" spans="2:9" x14ac:dyDescent="0.3">
      <c r="B2924" t="str">
        <f>IFERROR(IF(A2924="","",VLOOKUP(A2924,CadProd!$A:$B,2,0)),"")</f>
        <v/>
      </c>
      <c r="C2924" t="str">
        <f>IFERROR(IF(A2924="","",VLOOKUP(A2924,CadProd!$A:$C,3,0)),"")</f>
        <v/>
      </c>
      <c r="I2924" s="1" t="str">
        <f>IFERROR(IF(A2924="","",E2924*#REF!),"")</f>
        <v/>
      </c>
    </row>
    <row r="2925" spans="2:9" x14ac:dyDescent="0.3">
      <c r="B2925" t="str">
        <f>IFERROR(IF(A2925="","",VLOOKUP(A2925,CadProd!$A:$B,2,0)),"")</f>
        <v/>
      </c>
      <c r="C2925" t="str">
        <f>IFERROR(IF(A2925="","",VLOOKUP(A2925,CadProd!$A:$C,3,0)),"")</f>
        <v/>
      </c>
      <c r="I2925" s="1" t="str">
        <f>IFERROR(IF(A2925="","",E2925*#REF!),"")</f>
        <v/>
      </c>
    </row>
    <row r="2926" spans="2:9" x14ac:dyDescent="0.3">
      <c r="B2926" t="str">
        <f>IFERROR(IF(A2926="","",VLOOKUP(A2926,CadProd!$A:$B,2,0)),"")</f>
        <v/>
      </c>
      <c r="C2926" t="str">
        <f>IFERROR(IF(A2926="","",VLOOKUP(A2926,CadProd!$A:$C,3,0)),"")</f>
        <v/>
      </c>
      <c r="I2926" s="1" t="str">
        <f>IFERROR(IF(A2926="","",E2926*#REF!),"")</f>
        <v/>
      </c>
    </row>
    <row r="2927" spans="2:9" x14ac:dyDescent="0.3">
      <c r="B2927" t="str">
        <f>IFERROR(IF(A2927="","",VLOOKUP(A2927,CadProd!$A:$B,2,0)),"")</f>
        <v/>
      </c>
      <c r="C2927" t="str">
        <f>IFERROR(IF(A2927="","",VLOOKUP(A2927,CadProd!$A:$C,3,0)),"")</f>
        <v/>
      </c>
      <c r="I2927" s="1" t="str">
        <f>IFERROR(IF(A2927="","",E2927*#REF!),"")</f>
        <v/>
      </c>
    </row>
    <row r="2928" spans="2:9" x14ac:dyDescent="0.3">
      <c r="B2928" t="str">
        <f>IFERROR(IF(A2928="","",VLOOKUP(A2928,CadProd!$A:$B,2,0)),"")</f>
        <v/>
      </c>
      <c r="C2928" t="str">
        <f>IFERROR(IF(A2928="","",VLOOKUP(A2928,CadProd!$A:$C,3,0)),"")</f>
        <v/>
      </c>
      <c r="I2928" s="1" t="str">
        <f>IFERROR(IF(A2928="","",E2928*#REF!),"")</f>
        <v/>
      </c>
    </row>
    <row r="2929" spans="2:9" x14ac:dyDescent="0.3">
      <c r="B2929" t="str">
        <f>IFERROR(IF(A2929="","",VLOOKUP(A2929,CadProd!$A:$B,2,0)),"")</f>
        <v/>
      </c>
      <c r="C2929" t="str">
        <f>IFERROR(IF(A2929="","",VLOOKUP(A2929,CadProd!$A:$C,3,0)),"")</f>
        <v/>
      </c>
      <c r="I2929" s="1" t="str">
        <f>IFERROR(IF(A2929="","",E2929*#REF!),"")</f>
        <v/>
      </c>
    </row>
    <row r="2930" spans="2:9" x14ac:dyDescent="0.3">
      <c r="B2930" t="str">
        <f>IFERROR(IF(A2930="","",VLOOKUP(A2930,CadProd!$A:$B,2,0)),"")</f>
        <v/>
      </c>
      <c r="C2930" t="str">
        <f>IFERROR(IF(A2930="","",VLOOKUP(A2930,CadProd!$A:$C,3,0)),"")</f>
        <v/>
      </c>
      <c r="I2930" s="1" t="str">
        <f>IFERROR(IF(A2930="","",E2930*#REF!),"")</f>
        <v/>
      </c>
    </row>
    <row r="2931" spans="2:9" x14ac:dyDescent="0.3">
      <c r="B2931" t="str">
        <f>IFERROR(IF(A2931="","",VLOOKUP(A2931,CadProd!$A:$B,2,0)),"")</f>
        <v/>
      </c>
      <c r="C2931" t="str">
        <f>IFERROR(IF(A2931="","",VLOOKUP(A2931,CadProd!$A:$C,3,0)),"")</f>
        <v/>
      </c>
      <c r="I2931" s="1" t="str">
        <f>IFERROR(IF(A2931="","",E2931*#REF!),"")</f>
        <v/>
      </c>
    </row>
    <row r="2932" spans="2:9" x14ac:dyDescent="0.3">
      <c r="B2932" t="str">
        <f>IFERROR(IF(A2932="","",VLOOKUP(A2932,CadProd!$A:$B,2,0)),"")</f>
        <v/>
      </c>
      <c r="C2932" t="str">
        <f>IFERROR(IF(A2932="","",VLOOKUP(A2932,CadProd!$A:$C,3,0)),"")</f>
        <v/>
      </c>
      <c r="I2932" s="1" t="str">
        <f>IFERROR(IF(A2932="","",E2932*#REF!),"")</f>
        <v/>
      </c>
    </row>
    <row r="2933" spans="2:9" x14ac:dyDescent="0.3">
      <c r="B2933" t="str">
        <f>IFERROR(IF(A2933="","",VLOOKUP(A2933,CadProd!$A:$B,2,0)),"")</f>
        <v/>
      </c>
      <c r="C2933" t="str">
        <f>IFERROR(IF(A2933="","",VLOOKUP(A2933,CadProd!$A:$C,3,0)),"")</f>
        <v/>
      </c>
      <c r="I2933" s="1" t="str">
        <f>IFERROR(IF(A2933="","",E2933*#REF!),"")</f>
        <v/>
      </c>
    </row>
    <row r="2934" spans="2:9" x14ac:dyDescent="0.3">
      <c r="B2934" t="str">
        <f>IFERROR(IF(A2934="","",VLOOKUP(A2934,CadProd!$A:$B,2,0)),"")</f>
        <v/>
      </c>
      <c r="C2934" t="str">
        <f>IFERROR(IF(A2934="","",VLOOKUP(A2934,CadProd!$A:$C,3,0)),"")</f>
        <v/>
      </c>
      <c r="I2934" s="1" t="str">
        <f>IFERROR(IF(A2934="","",E2934*#REF!),"")</f>
        <v/>
      </c>
    </row>
    <row r="2935" spans="2:9" x14ac:dyDescent="0.3">
      <c r="B2935" t="str">
        <f>IFERROR(IF(A2935="","",VLOOKUP(A2935,CadProd!$A:$B,2,0)),"")</f>
        <v/>
      </c>
      <c r="C2935" t="str">
        <f>IFERROR(IF(A2935="","",VLOOKUP(A2935,CadProd!$A:$C,3,0)),"")</f>
        <v/>
      </c>
      <c r="I2935" s="1" t="str">
        <f>IFERROR(IF(A2935="","",E2935*#REF!),"")</f>
        <v/>
      </c>
    </row>
    <row r="2936" spans="2:9" x14ac:dyDescent="0.3">
      <c r="B2936" t="str">
        <f>IFERROR(IF(A2936="","",VLOOKUP(A2936,CadProd!$A:$B,2,0)),"")</f>
        <v/>
      </c>
      <c r="C2936" t="str">
        <f>IFERROR(IF(A2936="","",VLOOKUP(A2936,CadProd!$A:$C,3,0)),"")</f>
        <v/>
      </c>
      <c r="I2936" s="1" t="str">
        <f>IFERROR(IF(A2936="","",E2936*#REF!),"")</f>
        <v/>
      </c>
    </row>
    <row r="2937" spans="2:9" x14ac:dyDescent="0.3">
      <c r="B2937" t="str">
        <f>IFERROR(IF(A2937="","",VLOOKUP(A2937,CadProd!$A:$B,2,0)),"")</f>
        <v/>
      </c>
      <c r="C2937" t="str">
        <f>IFERROR(IF(A2937="","",VLOOKUP(A2937,CadProd!$A:$C,3,0)),"")</f>
        <v/>
      </c>
      <c r="I2937" s="1" t="str">
        <f>IFERROR(IF(A2937="","",E2937*#REF!),"")</f>
        <v/>
      </c>
    </row>
    <row r="2938" spans="2:9" x14ac:dyDescent="0.3">
      <c r="B2938" t="str">
        <f>IFERROR(IF(A2938="","",VLOOKUP(A2938,CadProd!$A:$B,2,0)),"")</f>
        <v/>
      </c>
      <c r="C2938" t="str">
        <f>IFERROR(IF(A2938="","",VLOOKUP(A2938,CadProd!$A:$C,3,0)),"")</f>
        <v/>
      </c>
      <c r="I2938" s="1" t="str">
        <f>IFERROR(IF(A2938="","",E2938*#REF!),"")</f>
        <v/>
      </c>
    </row>
    <row r="2939" spans="2:9" x14ac:dyDescent="0.3">
      <c r="B2939" t="str">
        <f>IFERROR(IF(A2939="","",VLOOKUP(A2939,CadProd!$A:$B,2,0)),"")</f>
        <v/>
      </c>
      <c r="C2939" t="str">
        <f>IFERROR(IF(A2939="","",VLOOKUP(A2939,CadProd!$A:$C,3,0)),"")</f>
        <v/>
      </c>
      <c r="I2939" s="1" t="str">
        <f>IFERROR(IF(A2939="","",E2939*#REF!),"")</f>
        <v/>
      </c>
    </row>
    <row r="2940" spans="2:9" x14ac:dyDescent="0.3">
      <c r="B2940" t="str">
        <f>IFERROR(IF(A2940="","",VLOOKUP(A2940,CadProd!$A:$B,2,0)),"")</f>
        <v/>
      </c>
      <c r="C2940" t="str">
        <f>IFERROR(IF(A2940="","",VLOOKUP(A2940,CadProd!$A:$C,3,0)),"")</f>
        <v/>
      </c>
      <c r="I2940" s="1" t="str">
        <f>IFERROR(IF(A2940="","",E2940*#REF!),"")</f>
        <v/>
      </c>
    </row>
    <row r="2941" spans="2:9" x14ac:dyDescent="0.3">
      <c r="B2941" t="str">
        <f>IFERROR(IF(A2941="","",VLOOKUP(A2941,CadProd!$A:$B,2,0)),"")</f>
        <v/>
      </c>
      <c r="C2941" t="str">
        <f>IFERROR(IF(A2941="","",VLOOKUP(A2941,CadProd!$A:$C,3,0)),"")</f>
        <v/>
      </c>
      <c r="I2941" s="1" t="str">
        <f>IFERROR(IF(A2941="","",E2941*#REF!),"")</f>
        <v/>
      </c>
    </row>
    <row r="2942" spans="2:9" x14ac:dyDescent="0.3">
      <c r="B2942" t="str">
        <f>IFERROR(IF(A2942="","",VLOOKUP(A2942,CadProd!$A:$B,2,0)),"")</f>
        <v/>
      </c>
      <c r="C2942" t="str">
        <f>IFERROR(IF(A2942="","",VLOOKUP(A2942,CadProd!$A:$C,3,0)),"")</f>
        <v/>
      </c>
      <c r="I2942" s="1" t="str">
        <f>IFERROR(IF(A2942="","",E2942*#REF!),"")</f>
        <v/>
      </c>
    </row>
    <row r="2943" spans="2:9" x14ac:dyDescent="0.3">
      <c r="B2943" t="str">
        <f>IFERROR(IF(A2943="","",VLOOKUP(A2943,CadProd!$A:$B,2,0)),"")</f>
        <v/>
      </c>
      <c r="C2943" t="str">
        <f>IFERROR(IF(A2943="","",VLOOKUP(A2943,CadProd!$A:$C,3,0)),"")</f>
        <v/>
      </c>
      <c r="I2943" s="1" t="str">
        <f>IFERROR(IF(A2943="","",E2943*#REF!),"")</f>
        <v/>
      </c>
    </row>
    <row r="2944" spans="2:9" x14ac:dyDescent="0.3">
      <c r="B2944" t="str">
        <f>IFERROR(IF(A2944="","",VLOOKUP(A2944,CadProd!$A:$B,2,0)),"")</f>
        <v/>
      </c>
      <c r="C2944" t="str">
        <f>IFERROR(IF(A2944="","",VLOOKUP(A2944,CadProd!$A:$C,3,0)),"")</f>
        <v/>
      </c>
      <c r="I2944" s="1" t="str">
        <f>IFERROR(IF(A2944="","",E2944*#REF!),"")</f>
        <v/>
      </c>
    </row>
    <row r="2945" spans="2:9" x14ac:dyDescent="0.3">
      <c r="B2945" t="str">
        <f>IFERROR(IF(A2945="","",VLOOKUP(A2945,CadProd!$A:$B,2,0)),"")</f>
        <v/>
      </c>
      <c r="C2945" t="str">
        <f>IFERROR(IF(A2945="","",VLOOKUP(A2945,CadProd!$A:$C,3,0)),"")</f>
        <v/>
      </c>
      <c r="I2945" s="1" t="str">
        <f>IFERROR(IF(A2945="","",E2945*#REF!),"")</f>
        <v/>
      </c>
    </row>
    <row r="2946" spans="2:9" x14ac:dyDescent="0.3">
      <c r="B2946" t="str">
        <f>IFERROR(IF(A2946="","",VLOOKUP(A2946,CadProd!$A:$B,2,0)),"")</f>
        <v/>
      </c>
      <c r="C2946" t="str">
        <f>IFERROR(IF(A2946="","",VLOOKUP(A2946,CadProd!$A:$C,3,0)),"")</f>
        <v/>
      </c>
      <c r="I2946" s="1" t="str">
        <f>IFERROR(IF(A2946="","",E2946*#REF!),"")</f>
        <v/>
      </c>
    </row>
    <row r="2947" spans="2:9" x14ac:dyDescent="0.3">
      <c r="B2947" t="str">
        <f>IFERROR(IF(A2947="","",VLOOKUP(A2947,CadProd!$A:$B,2,0)),"")</f>
        <v/>
      </c>
      <c r="C2947" t="str">
        <f>IFERROR(IF(A2947="","",VLOOKUP(A2947,CadProd!$A:$C,3,0)),"")</f>
        <v/>
      </c>
      <c r="I2947" s="1" t="str">
        <f>IFERROR(IF(A2947="","",E2947*#REF!),"")</f>
        <v/>
      </c>
    </row>
    <row r="2948" spans="2:9" x14ac:dyDescent="0.3">
      <c r="B2948" t="str">
        <f>IFERROR(IF(A2948="","",VLOOKUP(A2948,CadProd!$A:$B,2,0)),"")</f>
        <v/>
      </c>
      <c r="C2948" t="str">
        <f>IFERROR(IF(A2948="","",VLOOKUP(A2948,CadProd!$A:$C,3,0)),"")</f>
        <v/>
      </c>
      <c r="I2948" s="1" t="str">
        <f>IFERROR(IF(A2948="","",E2948*#REF!),"")</f>
        <v/>
      </c>
    </row>
    <row r="2949" spans="2:9" x14ac:dyDescent="0.3">
      <c r="B2949" t="str">
        <f>IFERROR(IF(A2949="","",VLOOKUP(A2949,CadProd!$A:$B,2,0)),"")</f>
        <v/>
      </c>
      <c r="C2949" t="str">
        <f>IFERROR(IF(A2949="","",VLOOKUP(A2949,CadProd!$A:$C,3,0)),"")</f>
        <v/>
      </c>
      <c r="I2949" s="1" t="str">
        <f>IFERROR(IF(A2949="","",E2949*#REF!),"")</f>
        <v/>
      </c>
    </row>
    <row r="2950" spans="2:9" x14ac:dyDescent="0.3">
      <c r="B2950" t="str">
        <f>IFERROR(IF(A2950="","",VLOOKUP(A2950,CadProd!$A:$B,2,0)),"")</f>
        <v/>
      </c>
      <c r="C2950" t="str">
        <f>IFERROR(IF(A2950="","",VLOOKUP(A2950,CadProd!$A:$C,3,0)),"")</f>
        <v/>
      </c>
      <c r="I2950" s="1" t="str">
        <f>IFERROR(IF(A2950="","",E2950*#REF!),"")</f>
        <v/>
      </c>
    </row>
    <row r="2951" spans="2:9" x14ac:dyDescent="0.3">
      <c r="B2951" t="str">
        <f>IFERROR(IF(A2951="","",VLOOKUP(A2951,CadProd!$A:$B,2,0)),"")</f>
        <v/>
      </c>
      <c r="C2951" t="str">
        <f>IFERROR(IF(A2951="","",VLOOKUP(A2951,CadProd!$A:$C,3,0)),"")</f>
        <v/>
      </c>
      <c r="I2951" s="1" t="str">
        <f>IFERROR(IF(A2951="","",E2951*#REF!),"")</f>
        <v/>
      </c>
    </row>
    <row r="2952" spans="2:9" x14ac:dyDescent="0.3">
      <c r="B2952" t="str">
        <f>IFERROR(IF(A2952="","",VLOOKUP(A2952,CadProd!$A:$B,2,0)),"")</f>
        <v/>
      </c>
      <c r="C2952" t="str">
        <f>IFERROR(IF(A2952="","",VLOOKUP(A2952,CadProd!$A:$C,3,0)),"")</f>
        <v/>
      </c>
      <c r="I2952" s="1" t="str">
        <f>IFERROR(IF(A2952="","",E2952*#REF!),"")</f>
        <v/>
      </c>
    </row>
    <row r="2953" spans="2:9" x14ac:dyDescent="0.3">
      <c r="B2953" t="str">
        <f>IFERROR(IF(A2953="","",VLOOKUP(A2953,CadProd!$A:$B,2,0)),"")</f>
        <v/>
      </c>
      <c r="C2953" t="str">
        <f>IFERROR(IF(A2953="","",VLOOKUP(A2953,CadProd!$A:$C,3,0)),"")</f>
        <v/>
      </c>
      <c r="I2953" s="1" t="str">
        <f>IFERROR(IF(A2953="","",E2953*#REF!),"")</f>
        <v/>
      </c>
    </row>
    <row r="2954" spans="2:9" x14ac:dyDescent="0.3">
      <c r="B2954" t="str">
        <f>IFERROR(IF(A2954="","",VLOOKUP(A2954,CadProd!$A:$B,2,0)),"")</f>
        <v/>
      </c>
      <c r="C2954" t="str">
        <f>IFERROR(IF(A2954="","",VLOOKUP(A2954,CadProd!$A:$C,3,0)),"")</f>
        <v/>
      </c>
      <c r="I2954" s="1" t="str">
        <f>IFERROR(IF(A2954="","",E2954*#REF!),"")</f>
        <v/>
      </c>
    </row>
    <row r="2955" spans="2:9" x14ac:dyDescent="0.3">
      <c r="B2955" t="str">
        <f>IFERROR(IF(A2955="","",VLOOKUP(A2955,CadProd!$A:$B,2,0)),"")</f>
        <v/>
      </c>
      <c r="C2955" t="str">
        <f>IFERROR(IF(A2955="","",VLOOKUP(A2955,CadProd!$A:$C,3,0)),"")</f>
        <v/>
      </c>
      <c r="I2955" s="1" t="str">
        <f>IFERROR(IF(A2955="","",E2955*#REF!),"")</f>
        <v/>
      </c>
    </row>
    <row r="2956" spans="2:9" x14ac:dyDescent="0.3">
      <c r="B2956" t="str">
        <f>IFERROR(IF(A2956="","",VLOOKUP(A2956,CadProd!$A:$B,2,0)),"")</f>
        <v/>
      </c>
      <c r="C2956" t="str">
        <f>IFERROR(IF(A2956="","",VLOOKUP(A2956,CadProd!$A:$C,3,0)),"")</f>
        <v/>
      </c>
      <c r="I2956" s="1" t="str">
        <f>IFERROR(IF(A2956="","",E2956*#REF!),"")</f>
        <v/>
      </c>
    </row>
    <row r="2957" spans="2:9" x14ac:dyDescent="0.3">
      <c r="B2957" t="str">
        <f>IFERROR(IF(A2957="","",VLOOKUP(A2957,CadProd!$A:$B,2,0)),"")</f>
        <v/>
      </c>
      <c r="C2957" t="str">
        <f>IFERROR(IF(A2957="","",VLOOKUP(A2957,CadProd!$A:$C,3,0)),"")</f>
        <v/>
      </c>
      <c r="I2957" s="1" t="str">
        <f>IFERROR(IF(A2957="","",E2957*#REF!),"")</f>
        <v/>
      </c>
    </row>
    <row r="2958" spans="2:9" x14ac:dyDescent="0.3">
      <c r="B2958" t="str">
        <f>IFERROR(IF(A2958="","",VLOOKUP(A2958,CadProd!$A:$B,2,0)),"")</f>
        <v/>
      </c>
      <c r="C2958" t="str">
        <f>IFERROR(IF(A2958="","",VLOOKUP(A2958,CadProd!$A:$C,3,0)),"")</f>
        <v/>
      </c>
      <c r="I2958" s="1" t="str">
        <f>IFERROR(IF(A2958="","",E2958*#REF!),"")</f>
        <v/>
      </c>
    </row>
    <row r="2959" spans="2:9" x14ac:dyDescent="0.3">
      <c r="B2959" t="str">
        <f>IFERROR(IF(A2959="","",VLOOKUP(A2959,CadProd!$A:$B,2,0)),"")</f>
        <v/>
      </c>
      <c r="C2959" t="str">
        <f>IFERROR(IF(A2959="","",VLOOKUP(A2959,CadProd!$A:$C,3,0)),"")</f>
        <v/>
      </c>
      <c r="I2959" s="1" t="str">
        <f>IFERROR(IF(A2959="","",E2959*#REF!),"")</f>
        <v/>
      </c>
    </row>
    <row r="2960" spans="2:9" x14ac:dyDescent="0.3">
      <c r="B2960" t="str">
        <f>IFERROR(IF(A2960="","",VLOOKUP(A2960,CadProd!$A:$B,2,0)),"")</f>
        <v/>
      </c>
      <c r="C2960" t="str">
        <f>IFERROR(IF(A2960="","",VLOOKUP(A2960,CadProd!$A:$C,3,0)),"")</f>
        <v/>
      </c>
      <c r="I2960" s="1" t="str">
        <f>IFERROR(IF(A2960="","",E2960*#REF!),"")</f>
        <v/>
      </c>
    </row>
    <row r="2961" spans="2:9" x14ac:dyDescent="0.3">
      <c r="B2961" t="str">
        <f>IFERROR(IF(A2961="","",VLOOKUP(A2961,CadProd!$A:$B,2,0)),"")</f>
        <v/>
      </c>
      <c r="C2961" t="str">
        <f>IFERROR(IF(A2961="","",VLOOKUP(A2961,CadProd!$A:$C,3,0)),"")</f>
        <v/>
      </c>
      <c r="I2961" s="1" t="str">
        <f>IFERROR(IF(A2961="","",E2961*#REF!),"")</f>
        <v/>
      </c>
    </row>
    <row r="2962" spans="2:9" x14ac:dyDescent="0.3">
      <c r="B2962" t="str">
        <f>IFERROR(IF(A2962="","",VLOOKUP(A2962,CadProd!$A:$B,2,0)),"")</f>
        <v/>
      </c>
      <c r="C2962" t="str">
        <f>IFERROR(IF(A2962="","",VLOOKUP(A2962,CadProd!$A:$C,3,0)),"")</f>
        <v/>
      </c>
      <c r="I2962" s="1" t="str">
        <f>IFERROR(IF(A2962="","",E2962*#REF!),"")</f>
        <v/>
      </c>
    </row>
    <row r="2963" spans="2:9" x14ac:dyDescent="0.3">
      <c r="B2963" t="str">
        <f>IFERROR(IF(A2963="","",VLOOKUP(A2963,CadProd!$A:$B,2,0)),"")</f>
        <v/>
      </c>
      <c r="C2963" t="str">
        <f>IFERROR(IF(A2963="","",VLOOKUP(A2963,CadProd!$A:$C,3,0)),"")</f>
        <v/>
      </c>
      <c r="I2963" s="1" t="str">
        <f>IFERROR(IF(A2963="","",E2963*#REF!),"")</f>
        <v/>
      </c>
    </row>
    <row r="2964" spans="2:9" x14ac:dyDescent="0.3">
      <c r="B2964" t="str">
        <f>IFERROR(IF(A2964="","",VLOOKUP(A2964,CadProd!$A:$B,2,0)),"")</f>
        <v/>
      </c>
      <c r="C2964" t="str">
        <f>IFERROR(IF(A2964="","",VLOOKUP(A2964,CadProd!$A:$C,3,0)),"")</f>
        <v/>
      </c>
      <c r="I2964" s="1" t="str">
        <f>IFERROR(IF(A2964="","",E2964*#REF!),"")</f>
        <v/>
      </c>
    </row>
    <row r="2965" spans="2:9" x14ac:dyDescent="0.3">
      <c r="B2965" t="str">
        <f>IFERROR(IF(A2965="","",VLOOKUP(A2965,CadProd!$A:$B,2,0)),"")</f>
        <v/>
      </c>
      <c r="C2965" t="str">
        <f>IFERROR(IF(A2965="","",VLOOKUP(A2965,CadProd!$A:$C,3,0)),"")</f>
        <v/>
      </c>
      <c r="I2965" s="1" t="str">
        <f>IFERROR(IF(A2965="","",E2965*#REF!),"")</f>
        <v/>
      </c>
    </row>
    <row r="2966" spans="2:9" x14ac:dyDescent="0.3">
      <c r="B2966" t="str">
        <f>IFERROR(IF(A2966="","",VLOOKUP(A2966,CadProd!$A:$B,2,0)),"")</f>
        <v/>
      </c>
      <c r="C2966" t="str">
        <f>IFERROR(IF(A2966="","",VLOOKUP(A2966,CadProd!$A:$C,3,0)),"")</f>
        <v/>
      </c>
      <c r="I2966" s="1" t="str">
        <f>IFERROR(IF(A2966="","",E2966*#REF!),"")</f>
        <v/>
      </c>
    </row>
    <row r="2967" spans="2:9" x14ac:dyDescent="0.3">
      <c r="B2967" t="str">
        <f>IFERROR(IF(A2967="","",VLOOKUP(A2967,CadProd!$A:$B,2,0)),"")</f>
        <v/>
      </c>
      <c r="C2967" t="str">
        <f>IFERROR(IF(A2967="","",VLOOKUP(A2967,CadProd!$A:$C,3,0)),"")</f>
        <v/>
      </c>
      <c r="I2967" s="1" t="str">
        <f>IFERROR(IF(A2967="","",E2967*#REF!),"")</f>
        <v/>
      </c>
    </row>
    <row r="2968" spans="2:9" x14ac:dyDescent="0.3">
      <c r="B2968" t="str">
        <f>IFERROR(IF(A2968="","",VLOOKUP(A2968,CadProd!$A:$B,2,0)),"")</f>
        <v/>
      </c>
      <c r="C2968" t="str">
        <f>IFERROR(IF(A2968="","",VLOOKUP(A2968,CadProd!$A:$C,3,0)),"")</f>
        <v/>
      </c>
      <c r="I2968" s="1" t="str">
        <f>IFERROR(IF(A2968="","",E2968*#REF!),"")</f>
        <v/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1AA00-F411-4966-9AB8-384031497EC3}">
  <sheetPr codeName="Planilha21"/>
  <dimension ref="A1:T6"/>
  <sheetViews>
    <sheetView workbookViewId="0">
      <selection activeCell="A2" sqref="A2:N2"/>
    </sheetView>
  </sheetViews>
  <sheetFormatPr defaultRowHeight="14.4" x14ac:dyDescent="0.3"/>
  <cols>
    <col min="2" max="2" width="11.88671875" bestFit="1" customWidth="1"/>
    <col min="3" max="3" width="26.44140625" customWidth="1"/>
    <col min="5" max="5" width="10.33203125" style="1" bestFit="1" customWidth="1"/>
    <col min="6" max="6" width="12.44140625" style="1" bestFit="1" customWidth="1"/>
    <col min="7" max="7" width="13.109375" bestFit="1" customWidth="1"/>
    <col min="8" max="8" width="10.5546875" bestFit="1" customWidth="1"/>
    <col min="9" max="9" width="8.5546875" bestFit="1" customWidth="1"/>
    <col min="10" max="10" width="14.44140625" bestFit="1" customWidth="1"/>
    <col min="11" max="11" width="14.44140625" customWidth="1"/>
    <col min="12" max="12" width="9.33203125" bestFit="1" customWidth="1"/>
    <col min="13" max="13" width="12.44140625" bestFit="1" customWidth="1"/>
    <col min="14" max="14" width="11.88671875" bestFit="1" customWidth="1"/>
    <col min="16" max="16" width="11.5546875" bestFit="1" customWidth="1"/>
    <col min="19" max="19" width="12.33203125" bestFit="1" customWidth="1"/>
    <col min="20" max="20" width="11.88671875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4</v>
      </c>
      <c r="E1" s="3" t="s">
        <v>3</v>
      </c>
      <c r="F1" s="3" t="s">
        <v>11</v>
      </c>
      <c r="G1" t="s">
        <v>13</v>
      </c>
      <c r="H1" t="s">
        <v>5</v>
      </c>
      <c r="I1" t="s">
        <v>7</v>
      </c>
      <c r="J1" t="s">
        <v>15</v>
      </c>
      <c r="K1" t="s">
        <v>34</v>
      </c>
      <c r="L1" t="s">
        <v>16</v>
      </c>
      <c r="M1" t="s">
        <v>6</v>
      </c>
      <c r="N1" t="s">
        <v>17</v>
      </c>
      <c r="P1" t="s">
        <v>12</v>
      </c>
      <c r="Q1">
        <f>SUM(TempLucro!D:D)</f>
        <v>0</v>
      </c>
      <c r="S1" t="s">
        <v>11</v>
      </c>
      <c r="T1" s="1">
        <f>SUM(TempLucro!N:N)</f>
        <v>0</v>
      </c>
    </row>
    <row r="2" spans="1:20" x14ac:dyDescent="0.3">
      <c r="J2" s="1"/>
      <c r="K2" s="1"/>
      <c r="L2" s="1"/>
      <c r="M2" s="1"/>
      <c r="N2" s="1"/>
    </row>
    <row r="3" spans="1:20" x14ac:dyDescent="0.3">
      <c r="J3" s="1"/>
      <c r="K3" s="1"/>
      <c r="L3" s="1"/>
      <c r="M3" s="1"/>
      <c r="N3" s="1"/>
    </row>
    <row r="4" spans="1:20" x14ac:dyDescent="0.3">
      <c r="J4" s="1"/>
      <c r="K4" s="1"/>
      <c r="L4" s="1"/>
      <c r="M4" s="1"/>
      <c r="N4" s="1"/>
    </row>
    <row r="5" spans="1:20" x14ac:dyDescent="0.3">
      <c r="J5" s="1"/>
      <c r="K5" s="1"/>
      <c r="L5" s="1"/>
      <c r="M5" s="1"/>
      <c r="N5" s="1"/>
    </row>
    <row r="6" spans="1:20" x14ac:dyDescent="0.3">
      <c r="J6" s="1"/>
      <c r="K6" s="1"/>
      <c r="L6" s="1"/>
      <c r="M6" s="1"/>
      <c r="N6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21FAA-F268-48DC-9514-0B016035590B}">
  <sheetPr codeName="Planilha22"/>
  <dimension ref="A1:T6"/>
  <sheetViews>
    <sheetView workbookViewId="0">
      <selection sqref="A1:T6"/>
    </sheetView>
  </sheetViews>
  <sheetFormatPr defaultRowHeight="14.4" x14ac:dyDescent="0.3"/>
  <cols>
    <col min="2" max="2" width="11.88671875" bestFit="1" customWidth="1"/>
    <col min="3" max="3" width="26.44140625" customWidth="1"/>
    <col min="5" max="5" width="10.33203125" style="1" bestFit="1" customWidth="1"/>
    <col min="6" max="6" width="12.44140625" style="1" bestFit="1" customWidth="1"/>
    <col min="7" max="7" width="13.109375" bestFit="1" customWidth="1"/>
    <col min="8" max="8" width="10.5546875" bestFit="1" customWidth="1"/>
    <col min="9" max="9" width="8.5546875" bestFit="1" customWidth="1"/>
    <col min="10" max="10" width="14.44140625" bestFit="1" customWidth="1"/>
    <col min="11" max="11" width="14.44140625" customWidth="1"/>
    <col min="12" max="12" width="9.33203125" bestFit="1" customWidth="1"/>
    <col min="13" max="13" width="12.44140625" bestFit="1" customWidth="1"/>
    <col min="14" max="14" width="11.88671875" bestFit="1" customWidth="1"/>
    <col min="16" max="16" width="11.5546875" bestFit="1" customWidth="1"/>
    <col min="19" max="19" width="12.33203125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4</v>
      </c>
      <c r="E1" s="3" t="s">
        <v>3</v>
      </c>
      <c r="F1" s="3" t="s">
        <v>11</v>
      </c>
      <c r="G1" t="s">
        <v>13</v>
      </c>
      <c r="H1" t="s">
        <v>5</v>
      </c>
      <c r="I1" t="s">
        <v>7</v>
      </c>
      <c r="J1" t="s">
        <v>15</v>
      </c>
      <c r="K1" t="s">
        <v>34</v>
      </c>
      <c r="L1" t="s">
        <v>16</v>
      </c>
      <c r="M1" t="s">
        <v>6</v>
      </c>
      <c r="N1" t="s">
        <v>17</v>
      </c>
      <c r="P1" t="s">
        <v>12</v>
      </c>
      <c r="Q1">
        <f>SUM(TempLucro!D:D)</f>
        <v>0</v>
      </c>
      <c r="S1" t="s">
        <v>11</v>
      </c>
      <c r="T1" s="1">
        <f>SUM(TempLucro!N:N)</f>
        <v>0</v>
      </c>
    </row>
    <row r="2" spans="1:20" x14ac:dyDescent="0.3">
      <c r="J2" s="1"/>
      <c r="K2" s="1"/>
      <c r="L2" s="1"/>
      <c r="M2" s="1"/>
      <c r="N2" s="1"/>
    </row>
    <row r="3" spans="1:20" x14ac:dyDescent="0.3">
      <c r="J3" s="1"/>
      <c r="K3" s="1"/>
      <c r="L3" s="1"/>
      <c r="M3" s="1"/>
      <c r="N3" s="1"/>
    </row>
    <row r="4" spans="1:20" x14ac:dyDescent="0.3">
      <c r="J4" s="1"/>
      <c r="K4" s="1"/>
      <c r="L4" s="1"/>
      <c r="M4" s="1"/>
      <c r="N4" s="1"/>
    </row>
    <row r="5" spans="1:20" x14ac:dyDescent="0.3">
      <c r="J5" s="1"/>
      <c r="K5" s="1"/>
      <c r="L5" s="1"/>
      <c r="M5" s="1"/>
      <c r="N5" s="1"/>
    </row>
    <row r="6" spans="1:20" x14ac:dyDescent="0.3">
      <c r="J6" s="1"/>
      <c r="K6" s="1"/>
      <c r="L6" s="1"/>
      <c r="M6" s="1"/>
      <c r="N6" s="1"/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8A301-D700-4A5F-8013-96D25494DD24}">
  <sheetPr codeName="Planilha6"/>
  <dimension ref="A1:Q36"/>
  <sheetViews>
    <sheetView zoomScale="80" zoomScaleNormal="80" workbookViewId="0">
      <selection activeCell="F3" sqref="F3"/>
    </sheetView>
  </sheetViews>
  <sheetFormatPr defaultRowHeight="14.4" x14ac:dyDescent="0.3"/>
  <cols>
    <col min="1" max="1" width="8.44140625" bestFit="1" customWidth="1"/>
    <col min="2" max="2" width="11.21875" style="2" bestFit="1" customWidth="1"/>
    <col min="3" max="3" width="3.33203125" bestFit="1" customWidth="1"/>
    <col min="4" max="4" width="5.44140625" bestFit="1" customWidth="1"/>
    <col min="6" max="6" width="11.21875" bestFit="1" customWidth="1"/>
    <col min="8" max="8" width="16.6640625" bestFit="1" customWidth="1"/>
  </cols>
  <sheetData>
    <row r="1" spans="1:17" x14ac:dyDescent="0.3">
      <c r="A1" t="str">
        <f ca="1">IFERROR(IF(B1&lt;=$F$1,IF(C1&lt;10,0&amp;C1&amp;"_"&amp;D1,C1&amp;"_"&amp;D1),""),"")</f>
        <v>01_2023</v>
      </c>
      <c r="B1" s="2">
        <v>44927</v>
      </c>
      <c r="C1">
        <f>MONTH(B1)</f>
        <v>1</v>
      </c>
      <c r="D1">
        <f>YEAR(B1)</f>
        <v>2023</v>
      </c>
      <c r="F1" s="2">
        <f ca="1">TODAY()</f>
        <v>45004</v>
      </c>
      <c r="H1" s="7">
        <f ca="1">NOW()</f>
        <v>45004.776281712962</v>
      </c>
      <c r="J1">
        <f ca="1">DAY(H1)</f>
        <v>19</v>
      </c>
      <c r="K1">
        <f ca="1">MONTH(H1)</f>
        <v>3</v>
      </c>
      <c r="L1" t="str">
        <f ca="1">IFERROR(IF(K1&lt;10,0&amp;K1,K1),"")</f>
        <v>03</v>
      </c>
      <c r="M1">
        <f ca="1">YEAR(H1)</f>
        <v>2023</v>
      </c>
      <c r="O1">
        <f ca="1">HOUR(H1)</f>
        <v>18</v>
      </c>
      <c r="P1">
        <f ca="1">MINUTE(H1)</f>
        <v>37</v>
      </c>
      <c r="Q1">
        <f ca="1">IFERROR(IF(P1&lt;10,0&amp;P1,P1),"")</f>
        <v>37</v>
      </c>
    </row>
    <row r="2" spans="1:17" x14ac:dyDescent="0.3">
      <c r="A2" t="str">
        <f t="shared" ref="A2:A36" ca="1" si="0">IFERROR(IF(B2&lt;=$F$1,IF(C2&lt;10,0&amp;C2&amp;"_"&amp;D2,C2&amp;"_"&amp;D2),""),"")</f>
        <v>02_2023</v>
      </c>
      <c r="B2" s="2">
        <v>44958</v>
      </c>
      <c r="C2">
        <f t="shared" ref="C2:C36" si="1">MONTH(B2)</f>
        <v>2</v>
      </c>
      <c r="D2">
        <f t="shared" ref="D2:D36" si="2">YEAR(B2)</f>
        <v>2023</v>
      </c>
    </row>
    <row r="3" spans="1:17" x14ac:dyDescent="0.3">
      <c r="A3" t="str">
        <f t="shared" ca="1" si="0"/>
        <v>03_2023</v>
      </c>
      <c r="B3" s="2">
        <v>44986</v>
      </c>
      <c r="C3">
        <f t="shared" si="1"/>
        <v>3</v>
      </c>
      <c r="D3">
        <f t="shared" si="2"/>
        <v>2023</v>
      </c>
      <c r="F3" t="str">
        <f ca="1">L1&amp;"_"&amp;M1</f>
        <v>03_2023</v>
      </c>
    </row>
    <row r="4" spans="1:17" x14ac:dyDescent="0.3">
      <c r="A4" t="str">
        <f t="shared" ca="1" si="0"/>
        <v/>
      </c>
      <c r="B4" s="2">
        <v>45017</v>
      </c>
      <c r="C4">
        <f t="shared" si="1"/>
        <v>4</v>
      </c>
      <c r="D4">
        <f t="shared" si="2"/>
        <v>2023</v>
      </c>
    </row>
    <row r="5" spans="1:17" x14ac:dyDescent="0.3">
      <c r="A5" t="str">
        <f t="shared" ca="1" si="0"/>
        <v/>
      </c>
      <c r="B5" s="2">
        <v>45047</v>
      </c>
      <c r="C5">
        <f t="shared" si="1"/>
        <v>5</v>
      </c>
      <c r="D5">
        <f t="shared" si="2"/>
        <v>2023</v>
      </c>
    </row>
    <row r="6" spans="1:17" x14ac:dyDescent="0.3">
      <c r="A6" t="str">
        <f t="shared" ca="1" si="0"/>
        <v/>
      </c>
      <c r="B6" s="2">
        <v>45078</v>
      </c>
      <c r="C6">
        <f t="shared" si="1"/>
        <v>6</v>
      </c>
      <c r="D6">
        <f t="shared" si="2"/>
        <v>2023</v>
      </c>
    </row>
    <row r="7" spans="1:17" x14ac:dyDescent="0.3">
      <c r="A7" t="str">
        <f t="shared" ca="1" si="0"/>
        <v/>
      </c>
      <c r="B7" s="2">
        <v>45108</v>
      </c>
      <c r="C7">
        <f t="shared" si="1"/>
        <v>7</v>
      </c>
      <c r="D7">
        <f t="shared" si="2"/>
        <v>2023</v>
      </c>
    </row>
    <row r="8" spans="1:17" x14ac:dyDescent="0.3">
      <c r="A8" t="str">
        <f t="shared" ca="1" si="0"/>
        <v/>
      </c>
      <c r="B8" s="2">
        <v>45139</v>
      </c>
      <c r="C8">
        <f t="shared" si="1"/>
        <v>8</v>
      </c>
      <c r="D8">
        <f t="shared" si="2"/>
        <v>2023</v>
      </c>
    </row>
    <row r="9" spans="1:17" x14ac:dyDescent="0.3">
      <c r="A9" t="str">
        <f t="shared" ca="1" si="0"/>
        <v/>
      </c>
      <c r="B9" s="2">
        <v>45170</v>
      </c>
      <c r="C9">
        <f t="shared" si="1"/>
        <v>9</v>
      </c>
      <c r="D9">
        <f t="shared" si="2"/>
        <v>2023</v>
      </c>
    </row>
    <row r="10" spans="1:17" x14ac:dyDescent="0.3">
      <c r="A10" t="str">
        <f t="shared" ca="1" si="0"/>
        <v/>
      </c>
      <c r="B10" s="2">
        <v>45200</v>
      </c>
      <c r="C10">
        <f t="shared" si="1"/>
        <v>10</v>
      </c>
      <c r="D10">
        <f t="shared" si="2"/>
        <v>2023</v>
      </c>
    </row>
    <row r="11" spans="1:17" x14ac:dyDescent="0.3">
      <c r="A11" t="str">
        <f t="shared" ca="1" si="0"/>
        <v/>
      </c>
      <c r="B11" s="2">
        <v>45231</v>
      </c>
      <c r="C11">
        <f t="shared" si="1"/>
        <v>11</v>
      </c>
      <c r="D11">
        <f t="shared" si="2"/>
        <v>2023</v>
      </c>
    </row>
    <row r="12" spans="1:17" x14ac:dyDescent="0.3">
      <c r="A12" t="str">
        <f t="shared" ca="1" si="0"/>
        <v/>
      </c>
      <c r="B12" s="2">
        <v>45261</v>
      </c>
      <c r="C12">
        <f t="shared" si="1"/>
        <v>12</v>
      </c>
      <c r="D12">
        <f t="shared" si="2"/>
        <v>2023</v>
      </c>
    </row>
    <row r="13" spans="1:17" x14ac:dyDescent="0.3">
      <c r="A13" t="str">
        <f t="shared" ca="1" si="0"/>
        <v/>
      </c>
      <c r="B13" s="2">
        <v>45292</v>
      </c>
      <c r="C13">
        <f t="shared" si="1"/>
        <v>1</v>
      </c>
      <c r="D13">
        <f t="shared" si="2"/>
        <v>2024</v>
      </c>
    </row>
    <row r="14" spans="1:17" x14ac:dyDescent="0.3">
      <c r="A14" t="str">
        <f t="shared" ca="1" si="0"/>
        <v/>
      </c>
      <c r="B14" s="2">
        <v>45323</v>
      </c>
      <c r="C14">
        <f t="shared" si="1"/>
        <v>2</v>
      </c>
      <c r="D14">
        <f t="shared" si="2"/>
        <v>2024</v>
      </c>
    </row>
    <row r="15" spans="1:17" x14ac:dyDescent="0.3">
      <c r="A15" t="str">
        <f t="shared" ca="1" si="0"/>
        <v/>
      </c>
      <c r="B15" s="2">
        <v>45352</v>
      </c>
      <c r="C15">
        <f t="shared" si="1"/>
        <v>3</v>
      </c>
      <c r="D15">
        <f t="shared" si="2"/>
        <v>2024</v>
      </c>
    </row>
    <row r="16" spans="1:17" x14ac:dyDescent="0.3">
      <c r="A16" t="str">
        <f t="shared" ca="1" si="0"/>
        <v/>
      </c>
      <c r="B16" s="2">
        <v>45383</v>
      </c>
      <c r="C16">
        <f t="shared" si="1"/>
        <v>4</v>
      </c>
      <c r="D16">
        <f t="shared" si="2"/>
        <v>2024</v>
      </c>
    </row>
    <row r="17" spans="1:4" x14ac:dyDescent="0.3">
      <c r="A17" t="str">
        <f t="shared" ca="1" si="0"/>
        <v/>
      </c>
      <c r="B17" s="2">
        <v>45413</v>
      </c>
      <c r="C17">
        <f t="shared" si="1"/>
        <v>5</v>
      </c>
      <c r="D17">
        <f t="shared" si="2"/>
        <v>2024</v>
      </c>
    </row>
    <row r="18" spans="1:4" x14ac:dyDescent="0.3">
      <c r="A18" t="str">
        <f t="shared" ca="1" si="0"/>
        <v/>
      </c>
      <c r="B18" s="2">
        <v>45444</v>
      </c>
      <c r="C18">
        <f t="shared" si="1"/>
        <v>6</v>
      </c>
      <c r="D18">
        <f t="shared" si="2"/>
        <v>2024</v>
      </c>
    </row>
    <row r="19" spans="1:4" x14ac:dyDescent="0.3">
      <c r="A19" t="str">
        <f t="shared" ca="1" si="0"/>
        <v/>
      </c>
      <c r="B19" s="2">
        <v>45474</v>
      </c>
      <c r="C19">
        <f t="shared" si="1"/>
        <v>7</v>
      </c>
      <c r="D19">
        <f t="shared" si="2"/>
        <v>2024</v>
      </c>
    </row>
    <row r="20" spans="1:4" x14ac:dyDescent="0.3">
      <c r="A20" t="str">
        <f t="shared" ca="1" si="0"/>
        <v/>
      </c>
      <c r="B20" s="2">
        <v>45505</v>
      </c>
      <c r="C20">
        <f t="shared" si="1"/>
        <v>8</v>
      </c>
      <c r="D20">
        <f t="shared" si="2"/>
        <v>2024</v>
      </c>
    </row>
    <row r="21" spans="1:4" x14ac:dyDescent="0.3">
      <c r="A21" t="str">
        <f t="shared" ca="1" si="0"/>
        <v/>
      </c>
      <c r="B21" s="2">
        <v>45536</v>
      </c>
      <c r="C21">
        <f t="shared" si="1"/>
        <v>9</v>
      </c>
      <c r="D21">
        <f t="shared" si="2"/>
        <v>2024</v>
      </c>
    </row>
    <row r="22" spans="1:4" x14ac:dyDescent="0.3">
      <c r="A22" t="str">
        <f t="shared" ca="1" si="0"/>
        <v/>
      </c>
      <c r="B22" s="2">
        <v>45566</v>
      </c>
      <c r="C22">
        <f t="shared" si="1"/>
        <v>10</v>
      </c>
      <c r="D22">
        <f t="shared" si="2"/>
        <v>2024</v>
      </c>
    </row>
    <row r="23" spans="1:4" x14ac:dyDescent="0.3">
      <c r="A23" t="str">
        <f t="shared" ca="1" si="0"/>
        <v/>
      </c>
      <c r="B23" s="2">
        <v>45597</v>
      </c>
      <c r="C23">
        <f t="shared" si="1"/>
        <v>11</v>
      </c>
      <c r="D23">
        <f t="shared" si="2"/>
        <v>2024</v>
      </c>
    </row>
    <row r="24" spans="1:4" x14ac:dyDescent="0.3">
      <c r="A24" t="str">
        <f t="shared" ca="1" si="0"/>
        <v/>
      </c>
      <c r="B24" s="2">
        <v>45627</v>
      </c>
      <c r="C24">
        <f t="shared" si="1"/>
        <v>12</v>
      </c>
      <c r="D24">
        <f t="shared" si="2"/>
        <v>2024</v>
      </c>
    </row>
    <row r="25" spans="1:4" x14ac:dyDescent="0.3">
      <c r="A25" t="str">
        <f t="shared" ca="1" si="0"/>
        <v/>
      </c>
      <c r="B25" s="2">
        <v>45658</v>
      </c>
      <c r="C25">
        <f t="shared" si="1"/>
        <v>1</v>
      </c>
      <c r="D25">
        <f t="shared" si="2"/>
        <v>2025</v>
      </c>
    </row>
    <row r="26" spans="1:4" x14ac:dyDescent="0.3">
      <c r="A26" t="str">
        <f t="shared" ca="1" si="0"/>
        <v/>
      </c>
      <c r="B26" s="2">
        <v>45689</v>
      </c>
      <c r="C26">
        <f t="shared" si="1"/>
        <v>2</v>
      </c>
      <c r="D26">
        <f t="shared" si="2"/>
        <v>2025</v>
      </c>
    </row>
    <row r="27" spans="1:4" x14ac:dyDescent="0.3">
      <c r="A27" t="str">
        <f t="shared" ca="1" si="0"/>
        <v/>
      </c>
      <c r="B27" s="2">
        <v>45717</v>
      </c>
      <c r="C27">
        <f t="shared" si="1"/>
        <v>3</v>
      </c>
      <c r="D27">
        <f t="shared" si="2"/>
        <v>2025</v>
      </c>
    </row>
    <row r="28" spans="1:4" x14ac:dyDescent="0.3">
      <c r="A28" t="str">
        <f t="shared" ca="1" si="0"/>
        <v/>
      </c>
      <c r="B28" s="2">
        <v>45748</v>
      </c>
      <c r="C28">
        <f t="shared" si="1"/>
        <v>4</v>
      </c>
      <c r="D28">
        <f t="shared" si="2"/>
        <v>2025</v>
      </c>
    </row>
    <row r="29" spans="1:4" x14ac:dyDescent="0.3">
      <c r="A29" t="str">
        <f t="shared" ca="1" si="0"/>
        <v/>
      </c>
      <c r="B29" s="2">
        <v>45778</v>
      </c>
      <c r="C29">
        <f t="shared" si="1"/>
        <v>5</v>
      </c>
      <c r="D29">
        <f t="shared" si="2"/>
        <v>2025</v>
      </c>
    </row>
    <row r="30" spans="1:4" x14ac:dyDescent="0.3">
      <c r="A30" t="str">
        <f t="shared" ca="1" si="0"/>
        <v/>
      </c>
      <c r="B30" s="2">
        <v>45809</v>
      </c>
      <c r="C30">
        <f t="shared" si="1"/>
        <v>6</v>
      </c>
      <c r="D30">
        <f t="shared" si="2"/>
        <v>2025</v>
      </c>
    </row>
    <row r="31" spans="1:4" x14ac:dyDescent="0.3">
      <c r="A31" t="str">
        <f t="shared" ca="1" si="0"/>
        <v/>
      </c>
      <c r="B31" s="2">
        <v>45839</v>
      </c>
      <c r="C31">
        <f t="shared" si="1"/>
        <v>7</v>
      </c>
      <c r="D31">
        <f t="shared" si="2"/>
        <v>2025</v>
      </c>
    </row>
    <row r="32" spans="1:4" x14ac:dyDescent="0.3">
      <c r="A32" t="str">
        <f t="shared" ca="1" si="0"/>
        <v/>
      </c>
      <c r="B32" s="2">
        <v>45870</v>
      </c>
      <c r="C32">
        <f t="shared" si="1"/>
        <v>8</v>
      </c>
      <c r="D32">
        <f t="shared" si="2"/>
        <v>2025</v>
      </c>
    </row>
    <row r="33" spans="1:4" x14ac:dyDescent="0.3">
      <c r="A33" t="str">
        <f t="shared" ca="1" si="0"/>
        <v/>
      </c>
      <c r="B33" s="2">
        <v>45901</v>
      </c>
      <c r="C33">
        <f t="shared" si="1"/>
        <v>9</v>
      </c>
      <c r="D33">
        <f t="shared" si="2"/>
        <v>2025</v>
      </c>
    </row>
    <row r="34" spans="1:4" x14ac:dyDescent="0.3">
      <c r="A34" t="str">
        <f t="shared" ca="1" si="0"/>
        <v/>
      </c>
      <c r="B34" s="2">
        <v>45931</v>
      </c>
      <c r="C34">
        <f t="shared" si="1"/>
        <v>10</v>
      </c>
      <c r="D34">
        <f t="shared" si="2"/>
        <v>2025</v>
      </c>
    </row>
    <row r="35" spans="1:4" x14ac:dyDescent="0.3">
      <c r="A35" t="str">
        <f t="shared" ca="1" si="0"/>
        <v/>
      </c>
      <c r="B35" s="2">
        <v>45962</v>
      </c>
      <c r="C35">
        <f t="shared" si="1"/>
        <v>11</v>
      </c>
      <c r="D35">
        <f t="shared" si="2"/>
        <v>2025</v>
      </c>
    </row>
    <row r="36" spans="1:4" x14ac:dyDescent="0.3">
      <c r="A36" t="str">
        <f t="shared" ca="1" si="0"/>
        <v/>
      </c>
      <c r="B36" s="2">
        <v>45992</v>
      </c>
      <c r="C36">
        <f t="shared" si="1"/>
        <v>12</v>
      </c>
      <c r="D36">
        <f t="shared" si="2"/>
        <v>2025</v>
      </c>
    </row>
  </sheetData>
  <phoneticPr fontId="2" type="noConversion"/>
  <pageMargins left="0.511811024" right="0.511811024" top="0.78740157499999996" bottom="0.78740157499999996" header="0.31496062000000002" footer="0.31496062000000002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78D14-1F33-44B0-B1E3-D240389E7D57}">
  <sheetPr codeName="Planilha7"/>
  <dimension ref="A1"/>
  <sheetViews>
    <sheetView zoomScaleNormal="100" workbookViewId="0">
      <selection activeCell="A2" sqref="A2"/>
    </sheetView>
  </sheetViews>
  <sheetFormatPr defaultRowHeight="14.4" x14ac:dyDescent="0.3"/>
  <cols>
    <col min="1" max="1" width="13.44140625" customWidth="1"/>
  </cols>
  <sheetData>
    <row r="1" spans="1:1" x14ac:dyDescent="0.3">
      <c r="A1" t="s">
        <v>10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685D9-1C28-4DED-A492-DEAAA0695A1F}">
  <sheetPr codeName="Planilha17"/>
  <dimension ref="A1"/>
  <sheetViews>
    <sheetView workbookViewId="0">
      <selection activeCell="C2" sqref="C2"/>
    </sheetView>
  </sheetViews>
  <sheetFormatPr defaultRowHeight="14.4" x14ac:dyDescent="0.3"/>
  <cols>
    <col min="1" max="1" width="14.5546875" bestFit="1" customWidth="1"/>
  </cols>
  <sheetData>
    <row r="1" spans="1:1" x14ac:dyDescent="0.3">
      <c r="A1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E5EC7-A080-430A-97DC-2B001B505D43}">
  <sheetPr codeName="Planilha23"/>
  <dimension ref="B1"/>
  <sheetViews>
    <sheetView workbookViewId="0">
      <selection activeCell="B2" sqref="B2"/>
    </sheetView>
  </sheetViews>
  <sheetFormatPr defaultRowHeight="14.4" x14ac:dyDescent="0.3"/>
  <cols>
    <col min="1" max="1" width="14.5546875" bestFit="1" customWidth="1"/>
  </cols>
  <sheetData>
    <row r="1" spans="2:2" x14ac:dyDescent="0.3">
      <c r="B1" t="str">
        <f>IFERROR(VLOOKUP(A1,BD_CUSTO!$A:$B,2,0),"")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25</vt:i4>
      </vt:variant>
    </vt:vector>
  </HeadingPairs>
  <TitlesOfParts>
    <vt:vector size="25" baseType="lpstr">
      <vt:lpstr>Iniciar</vt:lpstr>
      <vt:lpstr>CadProd</vt:lpstr>
      <vt:lpstr>TempCadProd</vt:lpstr>
      <vt:lpstr>CadProdInfo</vt:lpstr>
      <vt:lpstr>Custos</vt:lpstr>
      <vt:lpstr>TempCustos</vt:lpstr>
      <vt:lpstr>CustosInfo</vt:lpstr>
      <vt:lpstr>Estoque</vt:lpstr>
      <vt:lpstr>TempEstoque</vt:lpstr>
      <vt:lpstr>EstoqueInfo</vt:lpstr>
      <vt:lpstr>Entrada</vt:lpstr>
      <vt:lpstr>TempEntrada</vt:lpstr>
      <vt:lpstr>MovEntrada</vt:lpstr>
      <vt:lpstr>TempMovEntrada</vt:lpstr>
      <vt:lpstr>Saida</vt:lpstr>
      <vt:lpstr>TempSaida</vt:lpstr>
      <vt:lpstr>MovSaida</vt:lpstr>
      <vt:lpstr>TempMovSaida</vt:lpstr>
      <vt:lpstr>CalcDesc</vt:lpstr>
      <vt:lpstr>Lucro</vt:lpstr>
      <vt:lpstr>TempLucro</vt:lpstr>
      <vt:lpstr>BD_INFO</vt:lpstr>
      <vt:lpstr>BD_MARCA</vt:lpstr>
      <vt:lpstr>BD_CUSTO</vt:lpstr>
      <vt:lpstr>BD_CUSTO_Info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Vinícius Pereira</dc:creator>
  <cp:lastModifiedBy>Vinícius Pereira</cp:lastModifiedBy>
  <dcterms:created xsi:type="dcterms:W3CDTF">2023-02-28T02:44:04Z</dcterms:created>
  <dcterms:modified xsi:type="dcterms:W3CDTF">2023-03-19T21:38:52Z</dcterms:modified>
</cp:coreProperties>
</file>